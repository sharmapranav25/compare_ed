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MPLATE" sheetId="1" state="visible" r:id="rId1"/>
    <sheet xmlns:r="http://schemas.openxmlformats.org/officeDocument/2006/relationships" name="Pre Size Chart" sheetId="2" state="visible" r:id="rId2"/>
    <sheet xmlns:r="http://schemas.openxmlformats.org/officeDocument/2006/relationships" name="Season" sheetId="3" state="hidden" r:id="rId3"/>
    <sheet xmlns:r="http://schemas.openxmlformats.org/officeDocument/2006/relationships" name="Product Data" sheetId="4" state="hidden" r:id="rId4"/>
    <sheet xmlns:r="http://schemas.openxmlformats.org/officeDocument/2006/relationships" name="Vendor Da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0.0%"/>
    <numFmt numFmtId="165" formatCode="[$$]#,##0"/>
    <numFmt numFmtId="166" formatCode="[$€]#,##0"/>
    <numFmt numFmtId="167" formatCode="[$£]#,##0"/>
    <numFmt numFmtId="168" formatCode="m/d/yyyy"/>
    <numFmt numFmtId="169" formatCode="[&lt;999950]$0.0,&quot;K&quot;;[&lt;999950000]$0.0,,&quot;M&quot;;$0.0,,,&quot;B&quot;"/>
    <numFmt numFmtId="170" formatCode="[&lt;999950]€0.0,&quot;K&quot;;[&lt;999950000]€0.0,,&quot;M&quot;;€0.0,,,&quot;B&quot;"/>
    <numFmt numFmtId="171" formatCode="[&lt;999950]£0.0,&quot;K&quot;;[&lt;999950000]£0.0,,&quot;M&quot;;£0.0,,,&quot;B&quot;"/>
    <numFmt numFmtId="172" formatCode="&quot;$&quot;#,##0.00"/>
    <numFmt numFmtId="173" formatCode="[$€]#,##0.00"/>
    <numFmt numFmtId="174" formatCode="[$£]#,##0.00"/>
    <numFmt numFmtId="175" formatCode="[$$]#,##0.00"/>
  </numFmts>
  <fonts count="26">
    <font>
      <name val="Arial"/>
      <color rgb="FF000000"/>
      <sz val="10"/>
      <scheme val="minor"/>
    </font>
    <font>
      <name val="&quot;Aptos Narrow&quot;"/>
      <b val="1"/>
      <color rgb="FFFFFFFF"/>
      <sz val="12"/>
    </font>
    <font>
      <name val="Arial"/>
      <b val="1"/>
      <color rgb="FF000000"/>
      <sz val="12"/>
    </font>
    <font>
      <name val="Arial"/>
      <b val="1"/>
      <color rgb="FFFFFFFF"/>
      <sz val="11"/>
      <scheme val="minor"/>
    </font>
    <font>
      <name val="Arial"/>
      <b val="1"/>
      <color theme="1"/>
      <sz val="11"/>
      <scheme val="minor"/>
    </font>
    <font>
      <name val="Arial"/>
      <b val="1"/>
      <color theme="1"/>
      <sz val="9"/>
      <scheme val="minor"/>
    </font>
    <font>
      <name val="Arial"/>
      <color theme="1"/>
      <scheme val="minor"/>
    </font>
    <font>
      <name val="Arial"/>
      <b val="1"/>
      <color rgb="FFFFFFFF"/>
      <sz val="9"/>
      <scheme val="minor"/>
    </font>
    <font>
      <name val="Arial"/>
      <color theme="1"/>
      <sz val="11"/>
      <scheme val="minor"/>
    </font>
    <font>
      <name val="Arial"/>
      <b val="1"/>
      <color rgb="FFFFFFFF"/>
      <sz val="12"/>
      <scheme val="minor"/>
    </font>
    <font>
      <name val="Arial"/>
      <color rgb="FFFFFFFF"/>
      <sz val="9"/>
      <scheme val="minor"/>
    </font>
    <font>
      <name val="Arial"/>
      <color theme="1"/>
      <sz val="9"/>
      <scheme val="minor"/>
    </font>
    <font>
      <name val="Arial"/>
      <b val="1"/>
      <color rgb="FFFFFFFF"/>
      <scheme val="minor"/>
    </font>
    <font>
      <name val="Calibri"/>
      <b val="1"/>
      <color rgb="FFFFFFFF"/>
      <sz val="13"/>
    </font>
    <font>
      <name val="Calibri"/>
      <b val="1"/>
      <color theme="1"/>
      <sz val="13"/>
    </font>
    <font>
      <name val="Calibri"/>
      <b val="1"/>
      <color rgb="FF000000"/>
      <sz val="13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Arial"/>
      <color theme="1"/>
      <sz val="11"/>
    </font>
    <font>
      <name val="Arial"/>
      <b val="1"/>
      <color theme="1"/>
      <scheme val="minor"/>
    </font>
    <font>
      <name val="Arial"/>
      <b val="1"/>
      <color rgb="FFFFFFFF"/>
      <sz val="11"/>
    </font>
    <font>
      <name val="Aptos Narrow"/>
      <b val="1"/>
      <color rgb="FFFFFFFF"/>
      <sz val="11"/>
    </font>
    <font>
      <name val="Aptos Narrow"/>
      <b val="1"/>
      <color theme="1"/>
      <sz val="11"/>
    </font>
    <font>
      <name val="Arial"/>
      <color rgb="FFF3F3F3"/>
      <scheme val="minor"/>
    </font>
    <font>
      <name val="Aptos Narrow"/>
      <color rgb="FFF3F3F3"/>
      <sz val="11"/>
    </font>
    <font>
      <name val="Aptos Narrow"/>
      <color theme="1"/>
      <sz val="11"/>
    </font>
  </fonts>
  <fills count="17">
    <fill>
      <patternFill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3F3F3"/>
        <bgColor rgb="FFF3F3F3"/>
      </patternFill>
    </fill>
    <fill>
      <patternFill patternType="solid">
        <fgColor rgb="FF990000"/>
        <bgColor rgb="FF990000"/>
      </patternFill>
    </fill>
    <fill>
      <patternFill patternType="solid">
        <fgColor rgb="FF1155CC"/>
        <bgColor rgb="FF1155CC"/>
      </patternFill>
    </fill>
    <fill>
      <patternFill patternType="solid">
        <fgColor rgb="FF274E13"/>
        <bgColor rgb="FF274E13"/>
      </patternFill>
    </fill>
    <fill>
      <patternFill patternType="solid">
        <fgColor rgb="FFBF9000"/>
        <bgColor rgb="FFBF9000"/>
      </patternFill>
    </fill>
    <fill>
      <patternFill patternType="solid">
        <fgColor rgb="FFCC0000"/>
        <bgColor rgb="FFCC0000"/>
      </patternFill>
    </fill>
    <fill>
      <patternFill patternType="solid">
        <fgColor rgb="FF3C78D8"/>
        <bgColor rgb="FF3C78D8"/>
      </patternFill>
    </fill>
    <fill>
      <patternFill patternType="solid">
        <fgColor rgb="FF38761D"/>
        <bgColor rgb="FF38761D"/>
      </patternFill>
    </fill>
    <fill>
      <patternFill patternType="solid">
        <fgColor rgb="FF7F6000"/>
        <bgColor rgb="FF7F6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4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left style="medium">
        <color rgb="FF000000"/>
      </left>
      <right style="thin">
        <color rgb="FF999999"/>
      </right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 style="thin">
        <color rgb="FF000000"/>
      </bottom>
    </border>
    <border>
      <bottom style="thin">
        <color rgb="FF000000"/>
      </bottom>
    </border>
    <border>
      <left/>
      <right/>
      <bottom/>
    </border>
  </borders>
  <cellStyleXfs count="1">
    <xf numFmtId="0" fontId="0" fillId="0" borderId="0"/>
  </cellStyleXfs>
  <cellXfs count="16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right" vertical="bottom"/>
    </xf>
    <xf numFmtId="0" fontId="2" fillId="3" borderId="1" applyAlignment="1" pivotButton="0" quotePrefix="0" xfId="0">
      <alignment vertical="bottom"/>
    </xf>
    <xf numFmtId="0" fontId="3" fillId="2" borderId="2" applyAlignment="1" pivotButton="0" quotePrefix="0" xfId="0">
      <alignment horizontal="right" vertical="center"/>
    </xf>
    <xf numFmtId="164" fontId="4" fillId="3" borderId="3" pivotButton="0" quotePrefix="0" xfId="0"/>
    <xf numFmtId="164" fontId="4" fillId="3" borderId="4" pivotButton="0" quotePrefix="0" xfId="0"/>
    <xf numFmtId="164" fontId="4" fillId="3" borderId="5" pivotButton="0" quotePrefix="0" xfId="0"/>
    <xf numFmtId="0" fontId="3" fillId="2" borderId="2" applyAlignment="1" pivotButton="0" quotePrefix="0" xfId="0">
      <alignment horizontal="center" vertical="center"/>
    </xf>
    <xf numFmtId="164" fontId="5" fillId="3" borderId="3" pivotButton="0" quotePrefix="0" xfId="0"/>
    <xf numFmtId="164" fontId="5" fillId="3" borderId="4" pivotButton="0" quotePrefix="0" xfId="0"/>
    <xf numFmtId="164" fontId="5" fillId="3" borderId="5" pivotButton="0" quotePrefix="0" xfId="0"/>
    <xf numFmtId="165" fontId="6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0" fontId="3" fillId="4" borderId="6" applyAlignment="1" pivotButton="0" quotePrefix="0" xfId="0">
      <alignment horizontal="center" vertical="center"/>
    </xf>
    <xf numFmtId="0" fontId="3" fillId="5" borderId="7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0" fontId="3" fillId="7" borderId="8" applyAlignment="1" pivotButton="0" quotePrefix="0" xfId="0">
      <alignment horizontal="center" vertical="center"/>
    </xf>
    <xf numFmtId="0" fontId="7" fillId="4" borderId="9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7" fillId="8" borderId="10" applyAlignment="1" pivotButton="0" quotePrefix="0" xfId="0">
      <alignment horizontal="center" vertical="center"/>
    </xf>
    <xf numFmtId="0" fontId="7" fillId="5" borderId="10" applyAlignment="1" pivotButton="0" quotePrefix="0" xfId="0">
      <alignment horizontal="center" vertical="center"/>
    </xf>
    <xf numFmtId="0" fontId="7" fillId="9" borderId="10" applyAlignment="1" pivotButton="0" quotePrefix="0" xfId="0">
      <alignment horizontal="center" vertical="center"/>
    </xf>
    <xf numFmtId="0" fontId="7" fillId="6" borderId="10" applyAlignment="1" pivotButton="0" quotePrefix="0" xfId="0">
      <alignment horizontal="center" vertical="center"/>
    </xf>
    <xf numFmtId="0" fontId="7" fillId="10" borderId="10" applyAlignment="1" pivotButton="0" quotePrefix="0" xfId="0">
      <alignment horizontal="center" vertical="center"/>
    </xf>
    <xf numFmtId="0" fontId="7" fillId="11" borderId="10" applyAlignment="1" pivotButton="0" quotePrefix="0" xfId="0">
      <alignment horizontal="center" vertical="center"/>
    </xf>
    <xf numFmtId="0" fontId="7" fillId="7" borderId="10" applyAlignment="1" pivotButton="0" quotePrefix="0" xfId="0">
      <alignment horizontal="center" vertical="center"/>
    </xf>
    <xf numFmtId="0" fontId="7" fillId="7" borderId="8" applyAlignment="1" pivotButton="0" quotePrefix="0" xfId="0">
      <alignment horizontal="center" vertical="center"/>
    </xf>
    <xf numFmtId="168" fontId="2" fillId="3" borderId="1" applyAlignment="1" pivotButton="0" quotePrefix="0" xfId="0">
      <alignment horizontal="left" vertical="bottom"/>
    </xf>
    <xf numFmtId="3" fontId="3" fillId="2" borderId="11" pivotButton="0" quotePrefix="0" xfId="0"/>
    <xf numFmtId="3" fontId="8" fillId="0" borderId="12" pivotButton="0" quotePrefix="0" xfId="0"/>
    <xf numFmtId="3" fontId="8" fillId="0" borderId="13" pivotButton="0" quotePrefix="0" xfId="0"/>
    <xf numFmtId="3" fontId="8" fillId="0" borderId="14" pivotButton="0" quotePrefix="0" xfId="0"/>
    <xf numFmtId="0" fontId="9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right"/>
    </xf>
    <xf numFmtId="0" fontId="9" fillId="2" borderId="0" applyAlignment="1" pivotButton="0" quotePrefix="0" xfId="0">
      <alignment horizontal="right"/>
    </xf>
    <xf numFmtId="3" fontId="10" fillId="2" borderId="11" pivotButton="0" quotePrefix="0" xfId="0"/>
    <xf numFmtId="3" fontId="11" fillId="0" borderId="12" pivotButton="0" quotePrefix="0" xfId="0"/>
    <xf numFmtId="3" fontId="11" fillId="0" borderId="13" pivotButton="0" quotePrefix="0" xfId="0"/>
    <xf numFmtId="3" fontId="11" fillId="0" borderId="14" pivotButton="0" quotePrefix="0" xfId="0"/>
    <xf numFmtId="165" fontId="3" fillId="2" borderId="15" pivotButton="0" quotePrefix="0" xfId="0"/>
    <xf numFmtId="165" fontId="8" fillId="0" borderId="16" pivotButton="0" quotePrefix="0" xfId="0"/>
    <xf numFmtId="166" fontId="8" fillId="0" borderId="1" pivotButton="0" quotePrefix="0" xfId="0"/>
    <xf numFmtId="167" fontId="8" fillId="0" borderId="1" pivotButton="0" quotePrefix="0" xfId="0"/>
    <xf numFmtId="165" fontId="8" fillId="0" borderId="17" pivotButton="0" quotePrefix="0" xfId="0"/>
    <xf numFmtId="169" fontId="10" fillId="2" borderId="15" pivotButton="0" quotePrefix="0" xfId="0"/>
    <xf numFmtId="169" fontId="11" fillId="0" borderId="16" pivotButton="0" quotePrefix="0" xfId="0"/>
    <xf numFmtId="170" fontId="11" fillId="0" borderId="1" pivotButton="0" quotePrefix="0" xfId="0"/>
    <xf numFmtId="171" fontId="11" fillId="0" borderId="1" pivotButton="0" quotePrefix="0" xfId="0"/>
    <xf numFmtId="169" fontId="11" fillId="0" borderId="17" pivotButton="0" quotePrefix="0" xfId="0"/>
    <xf numFmtId="169" fontId="11" fillId="0" borderId="1" pivotButton="0" quotePrefix="0" xfId="0"/>
    <xf numFmtId="169" fontId="11" fillId="0" borderId="1" pivotButton="0" quotePrefix="0" xfId="0"/>
    <xf numFmtId="0" fontId="12" fillId="12" borderId="0" applyAlignment="1" pivotButton="0" quotePrefix="0" xfId="0">
      <alignment horizontal="center"/>
    </xf>
    <xf numFmtId="164" fontId="3" fillId="2" borderId="15" pivotButton="0" quotePrefix="0" xfId="0"/>
    <xf numFmtId="164" fontId="8" fillId="0" borderId="16" pivotButton="0" quotePrefix="0" xfId="0"/>
    <xf numFmtId="164" fontId="8" fillId="0" borderId="1" pivotButton="0" quotePrefix="0" xfId="0"/>
    <xf numFmtId="164" fontId="8" fillId="0" borderId="17" pivotButton="0" quotePrefix="0" xfId="0"/>
    <xf numFmtId="164" fontId="10" fillId="2" borderId="15" pivotButton="0" quotePrefix="0" xfId="0"/>
    <xf numFmtId="164" fontId="11" fillId="0" borderId="16" pivotButton="0" quotePrefix="0" xfId="0"/>
    <xf numFmtId="164" fontId="11" fillId="0" borderId="1" pivotButton="0" quotePrefix="0" xfId="0"/>
    <xf numFmtId="164" fontId="11" fillId="0" borderId="17" pivotButton="0" quotePrefix="0" xfId="0"/>
    <xf numFmtId="0" fontId="3" fillId="2" borderId="18" pivotButton="0" quotePrefix="0" xfId="0"/>
    <xf numFmtId="0" fontId="8" fillId="0" borderId="19" pivotButton="0" quotePrefix="0" xfId="0"/>
    <xf numFmtId="0" fontId="8" fillId="0" borderId="20" pivotButton="0" quotePrefix="0" xfId="0"/>
    <xf numFmtId="0" fontId="8" fillId="0" borderId="21" pivotButton="0" quotePrefix="0" xfId="0"/>
    <xf numFmtId="0" fontId="10" fillId="2" borderId="18" pivotButton="0" quotePrefix="0" xfId="0"/>
    <xf numFmtId="0" fontId="11" fillId="0" borderId="19" pivotButton="0" quotePrefix="0" xfId="0"/>
    <xf numFmtId="0" fontId="11" fillId="0" borderId="20" pivotButton="0" quotePrefix="0" xfId="0"/>
    <xf numFmtId="0" fontId="11" fillId="0" borderId="21" pivotButton="0" quotePrefix="0" xfId="0"/>
    <xf numFmtId="0" fontId="13" fillId="2" borderId="22" applyAlignment="1" pivotButton="0" quotePrefix="0" xfId="0">
      <alignment horizontal="center"/>
    </xf>
    <xf numFmtId="0" fontId="13" fillId="2" borderId="22" applyAlignment="1" pivotButton="0" quotePrefix="0" xfId="0">
      <alignment horizontal="center" wrapText="1"/>
    </xf>
    <xf numFmtId="0" fontId="13" fillId="2" borderId="23" applyAlignment="1" pivotButton="0" quotePrefix="0" xfId="0">
      <alignment horizontal="center" wrapText="1"/>
    </xf>
    <xf numFmtId="0" fontId="13" fillId="2" borderId="23" applyAlignment="1" pivotButton="0" quotePrefix="0" xfId="0">
      <alignment horizontal="center" wrapText="1"/>
    </xf>
    <xf numFmtId="0" fontId="13" fillId="2" borderId="23" applyAlignment="1" pivotButton="0" quotePrefix="0" xfId="0">
      <alignment horizontal="center" wrapText="1"/>
    </xf>
    <xf numFmtId="0" fontId="14" fillId="13" borderId="23" applyAlignment="1" pivotButton="0" quotePrefix="0" xfId="0">
      <alignment horizontal="center" vertical="bottom" wrapText="1"/>
    </xf>
    <xf numFmtId="0" fontId="15" fillId="14" borderId="23" applyAlignment="1" pivotButton="0" quotePrefix="0" xfId="0">
      <alignment horizontal="center" wrapText="1"/>
    </xf>
    <xf numFmtId="0" fontId="13" fillId="4" borderId="23" applyAlignment="1" pivotButton="0" quotePrefix="0" xfId="0">
      <alignment horizontal="center" wrapText="1"/>
    </xf>
    <xf numFmtId="0" fontId="13" fillId="5" borderId="23" applyAlignment="1" pivotButton="0" quotePrefix="0" xfId="0">
      <alignment horizontal="center" wrapText="1"/>
    </xf>
    <xf numFmtId="0" fontId="13" fillId="6" borderId="23" applyAlignment="1" pivotButton="0" quotePrefix="0" xfId="0">
      <alignment horizontal="center" wrapText="1"/>
    </xf>
    <xf numFmtId="0" fontId="13" fillId="7" borderId="23" applyAlignment="1" pivotButton="0" quotePrefix="0" xfId="0">
      <alignment horizontal="center" wrapText="1"/>
    </xf>
    <xf numFmtId="0" fontId="13" fillId="7" borderId="24" applyAlignment="1" pivotButton="0" quotePrefix="0" xfId="0">
      <alignment horizontal="center" wrapText="1"/>
    </xf>
    <xf numFmtId="0" fontId="16" fillId="4" borderId="25" applyAlignment="1" pivotButton="0" quotePrefix="0" xfId="0">
      <alignment horizontal="center" wrapText="1"/>
    </xf>
    <xf numFmtId="0" fontId="16" fillId="4" borderId="23" applyAlignment="1" pivotButton="0" quotePrefix="0" xfId="0">
      <alignment horizontal="center" wrapText="1"/>
    </xf>
    <xf numFmtId="0" fontId="16" fillId="8" borderId="23" applyAlignment="1" pivotButton="0" quotePrefix="1" xfId="0">
      <alignment horizontal="center" wrapText="1"/>
    </xf>
    <xf numFmtId="0" fontId="16" fillId="8" borderId="23" applyAlignment="1" pivotButton="0" quotePrefix="0" xfId="0">
      <alignment horizontal="center" wrapText="1"/>
    </xf>
    <xf numFmtId="0" fontId="16" fillId="8" borderId="24" applyAlignment="1" pivotButton="0" quotePrefix="0" xfId="0">
      <alignment horizontal="center" wrapText="1"/>
    </xf>
    <xf numFmtId="0" fontId="16" fillId="5" borderId="25" applyAlignment="1" pivotButton="0" quotePrefix="0" xfId="0">
      <alignment horizontal="center" wrapText="1"/>
    </xf>
    <xf numFmtId="0" fontId="16" fillId="9" borderId="23" applyAlignment="1" pivotButton="0" quotePrefix="0" xfId="0">
      <alignment horizontal="center" wrapText="1"/>
    </xf>
    <xf numFmtId="0" fontId="16" fillId="9" borderId="24" applyAlignment="1" pivotButton="0" quotePrefix="0" xfId="0">
      <alignment horizontal="center" wrapText="1"/>
    </xf>
    <xf numFmtId="0" fontId="17" fillId="6" borderId="26" applyAlignment="1" pivotButton="0" quotePrefix="0" xfId="0">
      <alignment horizontal="center" wrapText="1"/>
    </xf>
    <xf numFmtId="0" fontId="17" fillId="10" borderId="27" applyAlignment="1" pivotButton="0" quotePrefix="0" xfId="0">
      <alignment horizontal="center" wrapText="1"/>
    </xf>
    <xf numFmtId="0" fontId="17" fillId="10" borderId="28" applyAlignment="1" pivotButton="0" quotePrefix="0" xfId="0">
      <alignment horizontal="center" wrapText="1"/>
    </xf>
    <xf numFmtId="0" fontId="17" fillId="11" borderId="26" applyAlignment="1" pivotButton="0" quotePrefix="0" xfId="0">
      <alignment horizontal="center" wrapText="1"/>
    </xf>
    <xf numFmtId="0" fontId="17" fillId="7" borderId="27" applyAlignment="1" pivotButton="0" quotePrefix="0" xfId="0">
      <alignment horizontal="center" wrapText="1"/>
    </xf>
    <xf numFmtId="165" fontId="13" fillId="2" borderId="23" applyAlignment="1" pivotButton="0" quotePrefix="0" xfId="0">
      <alignment horizontal="center" wrapText="1"/>
    </xf>
    <xf numFmtId="165" fontId="13" fillId="4" borderId="23" applyAlignment="1" pivotButton="0" quotePrefix="0" xfId="0">
      <alignment horizontal="center" wrapText="1"/>
    </xf>
    <xf numFmtId="166" fontId="13" fillId="5" borderId="23" applyAlignment="1" pivotButton="0" quotePrefix="0" xfId="0">
      <alignment horizontal="center" wrapText="1"/>
    </xf>
    <xf numFmtId="167" fontId="13" fillId="6" borderId="23" applyAlignment="1" pivotButton="0" quotePrefix="0" xfId="0">
      <alignment horizontal="center" wrapText="1"/>
    </xf>
    <xf numFmtId="165" fontId="13" fillId="7" borderId="24" applyAlignment="1" pivotButton="0" quotePrefix="0" xfId="0">
      <alignment horizontal="center" wrapText="1"/>
    </xf>
    <xf numFmtId="165" fontId="16" fillId="4" borderId="25" applyAlignment="1" pivotButton="0" quotePrefix="0" xfId="0">
      <alignment horizontal="center" wrapText="1"/>
    </xf>
    <xf numFmtId="165" fontId="16" fillId="4" borderId="23" applyAlignment="1" pivotButton="0" quotePrefix="0" xfId="0">
      <alignment horizontal="center" wrapText="1"/>
    </xf>
    <xf numFmtId="165" fontId="16" fillId="8" borderId="23" applyAlignment="1" pivotButton="0" quotePrefix="1" xfId="0">
      <alignment horizontal="center" wrapText="1"/>
    </xf>
    <xf numFmtId="165" fontId="16" fillId="8" borderId="23" applyAlignment="1" pivotButton="0" quotePrefix="0" xfId="0">
      <alignment horizontal="center" wrapText="1"/>
    </xf>
    <xf numFmtId="165" fontId="16" fillId="8" borderId="24" applyAlignment="1" pivotButton="0" quotePrefix="0" xfId="0">
      <alignment horizontal="center" wrapText="1"/>
    </xf>
    <xf numFmtId="166" fontId="16" fillId="5" borderId="25" applyAlignment="1" pivotButton="0" quotePrefix="0" xfId="0">
      <alignment horizontal="center" wrapText="1"/>
    </xf>
    <xf numFmtId="166" fontId="16" fillId="9" borderId="23" applyAlignment="1" pivotButton="0" quotePrefix="0" xfId="0">
      <alignment horizontal="center" wrapText="1"/>
    </xf>
    <xf numFmtId="166" fontId="16" fillId="9" borderId="24" applyAlignment="1" pivotButton="0" quotePrefix="0" xfId="0">
      <alignment horizontal="center" wrapText="1"/>
    </xf>
    <xf numFmtId="167" fontId="17" fillId="6" borderId="26" applyAlignment="1" pivotButton="0" quotePrefix="0" xfId="0">
      <alignment horizontal="center" wrapText="1"/>
    </xf>
    <xf numFmtId="167" fontId="17" fillId="10" borderId="27" applyAlignment="1" pivotButton="0" quotePrefix="0" xfId="0">
      <alignment horizontal="center" wrapText="1"/>
    </xf>
    <xf numFmtId="167" fontId="17" fillId="10" borderId="28" applyAlignment="1" pivotButton="0" quotePrefix="0" xfId="0">
      <alignment horizontal="center" wrapText="1"/>
    </xf>
    <xf numFmtId="165" fontId="17" fillId="11" borderId="26" applyAlignment="1" pivotButton="0" quotePrefix="0" xfId="0">
      <alignment horizontal="center" wrapText="1"/>
    </xf>
    <xf numFmtId="165" fontId="17" fillId="7" borderId="27" applyAlignment="1" pivotButton="0" quotePrefix="0" xfId="0">
      <alignment horizontal="center" wrapText="1"/>
    </xf>
    <xf numFmtId="0" fontId="6" fillId="0" borderId="29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172" fontId="6" fillId="0" borderId="29" applyAlignment="1" pivotButton="0" quotePrefix="0" xfId="0">
      <alignment horizontal="center" vertical="center" wrapText="1"/>
    </xf>
    <xf numFmtId="165" fontId="6" fillId="0" borderId="29" applyAlignment="1" pivotButton="0" quotePrefix="0" xfId="0">
      <alignment horizontal="center" vertical="center" wrapText="1"/>
    </xf>
    <xf numFmtId="173" fontId="6" fillId="0" borderId="29" applyAlignment="1" pivotButton="0" quotePrefix="0" xfId="0">
      <alignment horizontal="center" vertical="center" wrapText="1"/>
    </xf>
    <xf numFmtId="166" fontId="6" fillId="0" borderId="29" applyAlignment="1" pivotButton="0" quotePrefix="0" xfId="0">
      <alignment horizontal="center" vertical="center" wrapText="1"/>
    </xf>
    <xf numFmtId="174" fontId="6" fillId="0" borderId="29" applyAlignment="1" pivotButton="0" quotePrefix="0" xfId="0">
      <alignment horizontal="center" vertical="center" wrapText="1"/>
    </xf>
    <xf numFmtId="167" fontId="6" fillId="0" borderId="29" applyAlignment="1" pivotButton="0" quotePrefix="0" xfId="0">
      <alignment horizontal="center" vertical="center" wrapText="1"/>
    </xf>
    <xf numFmtId="175" fontId="6" fillId="0" borderId="29" applyAlignment="1" pivotButton="0" quotePrefix="0" xfId="0">
      <alignment horizontal="center" vertical="center" wrapText="1"/>
    </xf>
    <xf numFmtId="3" fontId="19" fillId="0" borderId="30" applyAlignment="1" pivotButton="0" quotePrefix="0" xfId="0">
      <alignment horizontal="center" vertical="center" wrapText="1"/>
    </xf>
    <xf numFmtId="3" fontId="19" fillId="0" borderId="31" applyAlignment="1" pivotButton="0" quotePrefix="0" xfId="0">
      <alignment horizontal="center" vertical="center" wrapText="1"/>
    </xf>
    <xf numFmtId="1" fontId="6" fillId="0" borderId="32" applyAlignment="1" pivotButton="0" quotePrefix="0" xfId="0">
      <alignment horizontal="center" vertical="center" wrapText="1"/>
    </xf>
    <xf numFmtId="1" fontId="6" fillId="0" borderId="30" applyAlignment="1" pivotButton="0" quotePrefix="0" xfId="0">
      <alignment horizontal="center" vertical="center" wrapText="1"/>
    </xf>
    <xf numFmtId="1" fontId="6" fillId="0" borderId="31" applyAlignment="1" pivotButton="0" quotePrefix="0" xfId="0">
      <alignment horizontal="center" vertical="center" wrapText="1"/>
    </xf>
    <xf numFmtId="165" fontId="6" fillId="0" borderId="30" applyAlignment="1" pivotButton="0" quotePrefix="0" xfId="0">
      <alignment horizontal="center" vertical="center" wrapText="1"/>
    </xf>
    <xf numFmtId="166" fontId="6" fillId="0" borderId="30" applyAlignment="1" pivotButton="0" quotePrefix="0" xfId="0">
      <alignment horizontal="center" vertical="center" wrapText="1"/>
    </xf>
    <xf numFmtId="167" fontId="6" fillId="0" borderId="30" applyAlignment="1" pivotButton="0" quotePrefix="0" xfId="0">
      <alignment horizontal="center" vertical="center" wrapText="1"/>
    </xf>
    <xf numFmtId="1" fontId="6" fillId="0" borderId="33" applyAlignment="1" pivotButton="0" quotePrefix="0" xfId="0">
      <alignment horizontal="center" vertical="center" wrapText="1"/>
    </xf>
    <xf numFmtId="1" fontId="6" fillId="0" borderId="29" applyAlignment="1" pivotButton="0" quotePrefix="0" xfId="0">
      <alignment horizontal="center" vertical="center" wrapText="1"/>
    </xf>
    <xf numFmtId="1" fontId="6" fillId="0" borderId="34" applyAlignment="1" pivotButton="0" quotePrefix="0" xfId="0">
      <alignment horizontal="center" vertical="center" wrapText="1"/>
    </xf>
    <xf numFmtId="1" fontId="6" fillId="0" borderId="35" applyAlignment="1" pivotButton="0" quotePrefix="0" xfId="0">
      <alignment horizontal="center" vertical="center" wrapText="1"/>
    </xf>
    <xf numFmtId="1" fontId="6" fillId="0" borderId="36" applyAlignment="1" pivotButton="0" quotePrefix="0" xfId="0">
      <alignment horizontal="center" vertical="center" wrapText="1"/>
    </xf>
    <xf numFmtId="1" fontId="6" fillId="0" borderId="37" applyAlignment="1" pivotButton="0" quotePrefix="0" xfId="0">
      <alignment horizontal="center" vertical="center" wrapText="1"/>
    </xf>
    <xf numFmtId="0" fontId="20" fillId="15" borderId="0" applyAlignment="1" pivotButton="0" quotePrefix="0" xfId="0">
      <alignment horizontal="center" vertical="center" wrapText="1"/>
    </xf>
    <xf numFmtId="0" fontId="21" fillId="15" borderId="0" applyAlignment="1" pivotButton="0" quotePrefix="0" xfId="0">
      <alignment horizontal="center" vertical="center" wrapText="1"/>
    </xf>
    <xf numFmtId="0" fontId="22" fillId="13" borderId="38" applyAlignment="1" pivotButton="0" quotePrefix="0" xfId="0">
      <alignment vertical="bottom"/>
    </xf>
    <xf numFmtId="0" fontId="23" fillId="3" borderId="39" pivotButton="0" quotePrefix="0" xfId="0"/>
    <xf numFmtId="0" fontId="19" fillId="16" borderId="39" pivotButton="0" quotePrefix="0" xfId="0"/>
    <xf numFmtId="0" fontId="23" fillId="3" borderId="40" pivotButton="0" quotePrefix="0" xfId="0"/>
    <xf numFmtId="0" fontId="23" fillId="3" borderId="40" pivotButton="0" quotePrefix="0" xfId="0"/>
    <xf numFmtId="0" fontId="22" fillId="13" borderId="41" applyAlignment="1" pivotButton="0" quotePrefix="0" xfId="0">
      <alignment vertical="bottom"/>
    </xf>
    <xf numFmtId="0" fontId="23" fillId="3" borderId="42" pivotButton="0" quotePrefix="0" xfId="0"/>
    <xf numFmtId="0" fontId="19" fillId="16" borderId="42" pivotButton="0" quotePrefix="0" xfId="0"/>
    <xf numFmtId="0" fontId="23" fillId="3" borderId="42" pivotButton="0" quotePrefix="0" xfId="0"/>
    <xf numFmtId="0" fontId="23" fillId="3" borderId="42" applyAlignment="1" pivotButton="0" quotePrefix="0" xfId="0">
      <alignment horizontal="right"/>
    </xf>
    <xf numFmtId="0" fontId="19" fillId="16" borderId="42" applyAlignment="1" pivotButton="0" quotePrefix="0" xfId="0">
      <alignment horizontal="right"/>
    </xf>
    <xf numFmtId="0" fontId="6" fillId="3" borderId="42" pivotButton="0" quotePrefix="0" xfId="0"/>
    <xf numFmtId="0" fontId="24" fillId="3" borderId="42" applyAlignment="1" pivotButton="0" quotePrefix="0" xfId="0">
      <alignment horizontal="right" vertical="bottom"/>
    </xf>
    <xf numFmtId="0" fontId="22" fillId="16" borderId="42" applyAlignment="1" pivotButton="0" quotePrefix="0" xfId="0">
      <alignment horizontal="right" vertical="bottom"/>
    </xf>
    <xf numFmtId="0" fontId="22" fillId="13" borderId="43" applyAlignment="1" pivotButton="0" quotePrefix="0" xfId="0">
      <alignment vertical="bottom"/>
    </xf>
    <xf numFmtId="0" fontId="22" fillId="16" borderId="0" applyAlignment="1" pivotButton="0" quotePrefix="0" xfId="0">
      <alignment horizontal="right" vertical="bottom"/>
    </xf>
    <xf numFmtId="0" fontId="6" fillId="3" borderId="0" pivotButton="0" quotePrefix="0" xfId="0"/>
    <xf numFmtId="0" fontId="6" fillId="0" borderId="0" pivotButton="0" quotePrefix="0" xfId="0"/>
    <xf numFmtId="168" fontId="6" fillId="0" borderId="0" pivotButton="0" quotePrefix="0" xfId="0"/>
    <xf numFmtId="0" fontId="22" fillId="0" borderId="0" applyAlignment="1" pivotButton="0" quotePrefix="0" xfId="0">
      <alignment vertical="bottom"/>
    </xf>
    <xf numFmtId="0" fontId="19" fillId="0" borderId="0" pivotButton="0" quotePrefix="0" xfId="0"/>
    <xf numFmtId="0" fontId="25" fillId="0" borderId="0" applyAlignment="1" pivotButton="0" quotePrefix="0" xfId="0">
      <alignment vertical="bottom"/>
    </xf>
    <xf numFmtId="0" fontId="19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1" defaultTableStyle="TableStyleMedium9" defaultPivotStyle="PivotStyleLight16">
    <tableStyle name="TEMPLATE-style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Kith Buysheet Agent</author>
  </authors>
  <commentList>
    <comment ref="B1" authorId="0" shapeId="0">
      <text>
        <t>Source: SS27 MIZUNO SPORTSTYLE USA DECK - Tier 1 .pdf (1).pdf (p.1)
Citation: p.1 — "MIZUNO SPORTSTYLE"
Filler v0.1.0 / claude-sonnet-4-6 / prompt 28739cd0d223 / run 20260514T133825Z-2af564a4</t>
      </text>
    </comment>
    <comment ref="B2" authorId="0" shapeId="0">
      <text>
        <t>Source: SS27 MIZUNO SPORTSTYLE USA DECK - Tier 1 .pdf (1).pdf (p.1)
Citation: p.1 — "SS27"
Filler v0.1.0 / claude-sonnet-4-6 / prompt 28739cd0d223 / run 20260514T133825Z-2af564a4</t>
      </text>
    </comment>
    <comment ref="B10" authorId="0" shapeId="0">
      <text>
        <t>Source: SS27 MIZUNO SPORTSTYLE USA DECK - Tier 1 .pdf (1).pdf (p.6)
Citation: p.6 — "Release month: January 2027 UNISEX 5-13 Global item code: D1GA270B01 USA item co"
Filler v0.1.0 / claude-sonnet-4-6 / prompt 28739cd0d223 / run 20260514T133825Z-2af564a4</t>
      </text>
    </comment>
    <comment ref="D10" authorId="0" shapeId="0">
      <text>
        <t>Source: SS27 MIZUNO SPORTSTYLE USA DECK - Tier 1 .pdf (1).pdf (p.6)
Citation: p.6 — "Release month: January 2027 UNISEX 5-13 Global item code: D1GA270B01 USA item co"
Filler v0.1.0 / claude-sonnet-4-6 / prompt 28739cd0d223 / run 20260514T133825Z-2af564a4</t>
      </text>
    </comment>
    <comment ref="I10" authorId="0" shapeId="0">
      <text>
        <t>Source: SS27 MIZUNO SPORTSTYLE USA DECK - Tier 1 .pdf (1).pdf (p.6)
Citation: p.6 — "Release month: January 2027 UNISEX 5-13 Global item code: D1GA270B01 USA item co"
Filler v0.1.0 / claude-sonnet-4-6 / prompt 28739cd0d223 / run 20260514T133825Z-2af564a4</t>
      </text>
    </comment>
    <comment ref="B11" authorId="0" shapeId="0">
      <text>
        <t>Source: SS27 MIZUNO SPORTSTYLE USA DECK - Tier 1 .pdf (1).pdf (p.7)
Citation: p.7 — "Release month: January 2027 UNISEX 5-13 Global item code: D1GA270B02 USA item co"
Filler v0.1.0 / claude-sonnet-4-6 / prompt 28739cd0d223 / run 20260514T133825Z-2af564a4</t>
      </text>
    </comment>
    <comment ref="D11" authorId="0" shapeId="0">
      <text>
        <t>Source: SS27 MIZUNO SPORTSTYLE USA DECK - Tier 1 .pdf (1).pdf (p.7)
Citation: p.7 — "Release month: January 2027 UNISEX 5-13 Global item code: D1GA270B02 USA item co"
Filler v0.1.0 / claude-sonnet-4-6 / prompt 28739cd0d223 / run 20260514T133825Z-2af564a4</t>
      </text>
    </comment>
    <comment ref="I11" authorId="0" shapeId="0">
      <text>
        <t>Source: SS27 MIZUNO SPORTSTYLE USA DECK - Tier 1 .pdf (1).pdf (p.7)
Citation: p.7 — "Release month: January 2027 UNISEX 5-13 Global item code: D1GA270B02 USA item co"
Filler v0.1.0 / claude-sonnet-4-6 / prompt 28739cd0d223 / run 20260514T133825Z-2af564a4</t>
      </text>
    </comment>
    <comment ref="B12" authorId="0" shapeId="0">
      <text>
        <t>Source: SS27 MIZUNO SPORTSTYLE USA DECK - Tier 1 .pdf (1).pdf (p.11)
Citation: p.11 — "Global item code: D1GA270D01 USA item code: 590197.9I3J Colour: Quiet Shade / Go"
Filler v0.1.0 / claude-sonnet-4-6 / prompt 28739cd0d223 / run 20260514T133825Z-2af564a4</t>
      </text>
    </comment>
    <comment ref="D12" authorId="0" shapeId="0">
      <text>
        <t>Source: SS27 MIZUNO SPORTSTYLE USA DECK - Tier 1 .pdf (1).pdf (p.11)
Citation: p.11 — "Global item code: D1GA270D01 USA item code: 590197.9I3J Colour: Quiet Shade / Go"
Filler v0.1.0 / claude-sonnet-4-6 / prompt 28739cd0d223 / run 20260514T133825Z-2af564a4</t>
      </text>
    </comment>
    <comment ref="B13" authorId="0" shapeId="0">
      <text>
        <t>Source: SS27 MIZUNO SPORTSTYLE USA DECK - Tier 1 .pdf (1).pdf (p.12)
Citation: p.12 — "USA item code: 590197.539A"
Filler v0.1.0 / claude-sonnet-4-6 / prompt 28739cd0d223 / run 20260514T133825Z-2af564a4</t>
      </text>
    </comment>
    <comment ref="D13" authorId="0" shapeId="0">
      <text>
        <t>Source: SS27 MIZUNO SPORTSTYLE USA DECK - Tier 1 .pdf (1).pdf (p.12)
Citation: p.12 — "USA item code: 590197.539A"
Filler v0.1.0 / claude-sonnet-4-6 / prompt 28739cd0d223 / run 20260514T133825Z-2af564a4</t>
      </text>
    </comment>
    <comment ref="B14" authorId="0" shapeId="0">
      <text>
        <t>Source: SS27 MIZUNO SPORTSTYLE USA DECK - Tier 1 .pdf (1).pdf (p.13)
Citation: p.13 — "Release month: February 2027 UNISEX 7-13 Global item code: D1GA270D03 USA item c"
Filler v0.1.0 / claude-sonnet-4-6 / prompt 28739cd0d223 / run 20260514T133825Z-2af564a4</t>
      </text>
    </comment>
    <comment ref="D14" authorId="0" shapeId="0">
      <text>
        <t>Source: SS27 MIZUNO SPORTSTYLE USA DECK - Tier 1 .pdf (1).pdf (p.13)
Citation: p.13 — "Release month: February 2027 UNISEX 7-13 Global item code: D1GA270D03 USA item c"
Filler v0.1.0 / claude-sonnet-4-6 / prompt 28739cd0d223 / run 20260514T133825Z-2af564a4</t>
      </text>
    </comment>
    <comment ref="I14" authorId="0" shapeId="0">
      <text>
        <t>Source: SS27 MIZUNO SPORTSTYLE USA DECK - Tier 1 .pdf (1).pdf (p.13)
Citation: p.13 — "Release month: February 2027 UNISEX 7-13 Global item code: D1GA270D03 USA item c"
Filler v0.1.0 / claude-sonnet-4-6 / prompt 28739cd0d223 / run 20260514T133825Z-2af564a4</t>
      </text>
    </comment>
    <comment ref="B15" authorId="0" shapeId="0">
      <text>
        <t>Source: SS27 MIZUNO SPORTSTYLE USA DECK - Tier 1 .pdf (1).pdf (p.14)
Citation: p.14 — "Release month: February 2027 UNISEX 5-13 Global item code: D1GA271B01 USA item c"
Filler v0.1.0 / claude-sonnet-4-6 / prompt 28739cd0d223 / run 20260514T133825Z-2af564a4</t>
      </text>
    </comment>
    <comment ref="D15" authorId="0" shapeId="0">
      <text>
        <t>Source: SS27 MIZUNO SPORTSTYLE USA DECK - Tier 1 .pdf (1).pdf (p.14)
Citation: p.14 — "Release month: February 2027 UNISEX 5-13 Global item code: D1GA271B01 USA item c"
Filler v0.1.0 / claude-sonnet-4-6 / prompt 28739cd0d223 / run 20260514T133825Z-2af564a4</t>
      </text>
    </comment>
    <comment ref="I15" authorId="0" shapeId="0">
      <text>
        <t>Source: SS27 MIZUNO SPORTSTYLE USA DECK - Tier 1 .pdf (1).pdf (p.14)
Citation: p.14 — "Release month: February 2027 UNISEX 5-13 Global item code: D1GA271B01 USA item c"
Filler v0.1.0 / claude-sonnet-4-6 / prompt 28739cd0d223 / run 20260514T133825Z-2af564a4</t>
      </text>
    </comment>
    <comment ref="B16" authorId="0" shapeId="0">
      <text>
        <t>Source: SS27 MIZUNO SPORTSTYLE USA DECK - Tier 1 .pdf (1).pdf (p.15)
Citation: p.15 — "USA item code: 590197.9090"
Filler v0.1.0 / claude-sonnet-4-6 / prompt 28739cd0d223 / run 20260514T133825Z-2af564a4</t>
      </text>
    </comment>
    <comment ref="D16" authorId="0" shapeId="0">
      <text>
        <t>Source: SS27 MIZUNO SPORTSTYLE USA DECK - Tier 1 .pdf (1).pdf (p.15)
Citation: p.15 — "USA item code: 590197.9090"
Filler v0.1.0 / claude-sonnet-4-6 / prompt 28739cd0d223 / run 20260514T133825Z-2af564a4</t>
      </text>
    </comment>
    <comment ref="B17" authorId="0" shapeId="0">
      <text>
        <t>Source: SS27 MIZUNO SPORTSTYLE USA DECK - Tier 1 .pdf (1).pdf (p.18)
Citation: p.18 — "USA item code: 590223.UG73"
Filler v0.1.0 / claude-sonnet-4-6 / prompt 28739cd0d223 / run 20260514T133825Z-2af564a4</t>
      </text>
    </comment>
    <comment ref="D17" authorId="0" shapeId="0">
      <text>
        <t>Source: SS27 MIZUNO SPORTSTYLE USA DECK - Tier 1 .pdf (1).pdf (p.18)
Citation: p.18 — "USA item code: 590223.UG73"
Filler v0.1.0 / claude-sonnet-4-6 / prompt 28739cd0d223 / run 20260514T133825Z-2af564a4</t>
      </text>
    </comment>
    <comment ref="B18" authorId="0" shapeId="0">
      <text>
        <t>Source: SS27 MIZUNO SPORTSTYLE USA DECK - Tier 1 .pdf (1).pdf (p.21)
Citation: p.21 — "Release month: January 2027 UNISEX 7-13 Global item code: D1GA333718 USA item co"
Filler v0.1.0 / claude-sonnet-4-6 / prompt 28739cd0d223 / run 20260514T133825Z-2af564a4</t>
      </text>
    </comment>
    <comment ref="D18" authorId="0" shapeId="0">
      <text>
        <t>Source: SS27 MIZUNO SPORTSTYLE USA DECK - Tier 1 .pdf (1).pdf (p.21)
Citation: p.21 — "Release month: January 2027 UNISEX 7-13 Global item code: D1GA333718 USA item co"
Filler v0.1.0 / claude-sonnet-4-6 / prompt 28739cd0d223 / run 20260514T133825Z-2af564a4</t>
      </text>
    </comment>
    <comment ref="I18" authorId="0" shapeId="0">
      <text>
        <t>Source: SS27 MIZUNO SPORTSTYLE USA DECK - Tier 1 .pdf (1).pdf (p.21)
Citation: p.21 — "Release month: January 2027 UNISEX 7-13 Global item code: D1GA333718 USA item co"
Filler v0.1.0 / claude-sonnet-4-6 / prompt 28739cd0d223 / run 20260514T133825Z-2af564a4</t>
      </text>
    </comment>
    <comment ref="B19" authorId="0" shapeId="0">
      <text>
        <t>Source: SS27 MIZUNO SPORTSTYLE USA DECK - Tier 1 .pdf (1).pdf (p.22)
Citation: p.22 — "Release month: January 2027 UNISEX 7-13 Global item code: D1GA333719 USA item co"
Filler v0.1.0 / claude-sonnet-4-6 / prompt 28739cd0d223 / run 20260514T133825Z-2af564a4</t>
      </text>
    </comment>
    <comment ref="D19" authorId="0" shapeId="0">
      <text>
        <t>Source: SS27 MIZUNO SPORTSTYLE USA DECK - Tier 1 .pdf (1).pdf (p.22)
Citation: p.22 — "Release month: January 2027 UNISEX 7-13 Global item code: D1GA333719 USA item co"
Filler v0.1.0 / claude-sonnet-4-6 / prompt 28739cd0d223 / run 20260514T133825Z-2af564a4</t>
      </text>
    </comment>
    <comment ref="I19" authorId="0" shapeId="0">
      <text>
        <t>Source: SS27 MIZUNO SPORTSTYLE USA DECK - Tier 1 .pdf (1).pdf (p.22)
Citation: p.22 — "Release month: January 2027 UNISEX 7-13 Global item code: D1GA333719 USA item co"
Filler v0.1.0 / claude-sonnet-4-6 / prompt 28739cd0d223 / run 20260514T133825Z-2af564a4</t>
      </text>
    </comment>
    <comment ref="B20" authorId="0" shapeId="0">
      <text>
        <t>Source: SS27 MIZUNO SPORTSTYLE USA DECK - Tier 1 .pdf (1).pdf (p.23)
Citation: p.23 — "Release month: February 2027 Global item code: D1GA333716 USA item code: 590091."
Filler v0.1.0 / claude-sonnet-4-6 / prompt 28739cd0d223 / run 20260514T133825Z-2af564a4</t>
      </text>
    </comment>
    <comment ref="D20" authorId="0" shapeId="0">
      <text>
        <t>Source: SS27 MIZUNO SPORTSTYLE USA DECK - Tier 1 .pdf (1).pdf (p.23)
Citation: p.23 — "Release month: February 2027 Global item code: D1GA333716 USA item code: 590091."
Filler v0.1.0 / claude-sonnet-4-6 / prompt 28739cd0d223 / run 20260514T133825Z-2af564a4</t>
      </text>
    </comment>
    <comment ref="B21" authorId="0" shapeId="0">
      <text>
        <t>Source: SS27 MIZUNO SPORTSTYLE USA DECK - Tier 1 .pdf (1).pdf (p.24)
Citation: p.24 — "Release month: February 2027 UNISEX 5-12 Global item code: D1GA251109 USA item c"
Filler v0.1.0 / claude-sonnet-4-6 / prompt 28739cd0d223 / run 20260514T133825Z-2af564a4</t>
      </text>
    </comment>
    <comment ref="D21" authorId="0" shapeId="0">
      <text>
        <t>Source: SS27 MIZUNO SPORTSTYLE USA DECK - Tier 1 .pdf (1).pdf (p.24)
Citation: p.24 — "Release month: February 2027 UNISEX 5-12 Global item code: D1GA251109 USA item c"
Filler v0.1.0 / claude-sonnet-4-6 / prompt 28739cd0d223 / run 20260514T133825Z-2af564a4</t>
      </text>
    </comment>
    <comment ref="I21" authorId="0" shapeId="0">
      <text>
        <t>Source: SS27 MIZUNO SPORTSTYLE USA DECK - Tier 1 .pdf (1).pdf (p.24)
Citation: p.24 — "Release month: February 2027 UNISEX 5-12 Global item code: D1GA251109 USA item c"
Filler v0.1.0 / claude-sonnet-4-6 / prompt 28739cd0d223 / run 20260514T133825Z-2af564a4</t>
      </text>
    </comment>
    <comment ref="B22" authorId="0" shapeId="0">
      <text>
        <t>Source: SS27 MIZUNO SPORTSTYLE USA DECK - Tier 1 .pdf (1).pdf (p.25)
Citation: p.25 — "USA item code: 590091.0D00"
Filler v0.1.0 / claude-sonnet-4-6 / prompt 28739cd0d223 / run 20260514T133825Z-2af564a4</t>
      </text>
    </comment>
    <comment ref="D22" authorId="0" shapeId="0">
      <text>
        <t>Source: SS27 MIZUNO SPORTSTYLE USA DECK - Tier 1 .pdf (1).pdf (p.25)
Citation: p.25 — "USA item code: 590091.0D00"
Filler v0.1.0 / claude-sonnet-4-6 / prompt 28739cd0d223 / run 20260514T133825Z-2af564a4</t>
      </text>
    </comment>
    <comment ref="B23" authorId="0" shapeId="0">
      <text>
        <t>Source: SS27 MIZUNO SPORTSTYLE USA DECK - Tier 1 .pdf (1).pdf (p.28)
Citation: p.28 — "Release month: January 2027 Unisex 7-13 Global item code: D1GA260H05 USA item co"
Filler v0.1.0 / claude-sonnet-4-6 / prompt 28739cd0d223 / run 20260514T133825Z-2af564a4</t>
      </text>
    </comment>
    <comment ref="D23" authorId="0" shapeId="0">
      <text>
        <t>Source: SS27 MIZUNO SPORTSTYLE USA DECK - Tier 1 .pdf (1).pdf (p.28)
Citation: p.28 — "Release month: January 2027 Unisex 7-13 Global item code: D1GA260H05 USA item co"
Filler v0.1.0 / claude-sonnet-4-6 / prompt 28739cd0d223 / run 20260514T133825Z-2af564a4</t>
      </text>
    </comment>
    <comment ref="I23" authorId="0" shapeId="0">
      <text>
        <t>Source: SS27 MIZUNO SPORTSTYLE USA DECK - Tier 1 .pdf (1).pdf (p.28)
Citation: p.28 — "Release month: January 2027 Unisex 7-13 Global item code: D1GA260H05 USA item co"
Filler v0.1.0 / claude-sonnet-4-6 / prompt 28739cd0d223 / run 20260514T133825Z-2af564a4</t>
      </text>
    </comment>
    <comment ref="B24" authorId="0" shapeId="0">
      <text>
        <t>Source: SS27 MIZUNO SPORTSTYLE USA DECK - Tier 1 .pdf (1).pdf (p.29)
Citation: p.29 — "Release month: January 2027 Global item code: D1GA260H06 USA item code: 590193.2"
Filler v0.1.0 / claude-sonnet-4-6 / prompt 28739cd0d223 / run 20260514T133825Z-2af564a4</t>
      </text>
    </comment>
    <comment ref="D24" authorId="0" shapeId="0">
      <text>
        <t>Source: SS27 MIZUNO SPORTSTYLE USA DECK - Tier 1 .pdf (1).pdf (p.29)
Citation: p.29 — "Release month: January 2027 Global item code: D1GA260H06 USA item code: 590193.2"
Filler v0.1.0 / claude-sonnet-4-6 / prompt 28739cd0d223 / run 20260514T133825Z-2af564a4</t>
      </text>
    </comment>
    <comment ref="B25" authorId="0" shapeId="0">
      <text>
        <t>Source: SS27 MIZUNO SPORTSTYLE USA DECK - Tier 1 .pdf (1).pdf (p.30)
Citation: p.30 — "Release month: February 2027 UNISEX 7-13 Global item code: D1GA260509 USA item c"
Filler v0.1.0 / claude-sonnet-4-6 / prompt 28739cd0d223 / run 20260514T133825Z-2af564a4</t>
      </text>
    </comment>
    <comment ref="D25" authorId="0" shapeId="0">
      <text>
        <t>Source: SS27 MIZUNO SPORTSTYLE USA DECK - Tier 1 .pdf (1).pdf (p.30)
Citation: p.30 — "Release month: February 2027 UNISEX 7-13 Global item code: D1GA260509 USA item c"
Filler v0.1.0 / claude-sonnet-4-6 / prompt 28739cd0d223 / run 20260514T133825Z-2af564a4</t>
      </text>
    </comment>
    <comment ref="I25" authorId="0" shapeId="0">
      <text>
        <t>Source: SS27 MIZUNO SPORTSTYLE USA DECK - Tier 1 .pdf (1).pdf (p.30)
Citation: p.30 — "Release month: February 2027 UNISEX 7-13 Global item code: D1GA260509 USA item c"
Filler v0.1.0 / claude-sonnet-4-6 / prompt 28739cd0d223 / run 20260514T133825Z-2af564a4</t>
      </text>
    </comment>
    <comment ref="B26" authorId="0" shapeId="0">
      <text>
        <t>Source: SS27 MIZUNO SPORTSTYLE USA DECK - Tier 1 .pdf (1).pdf (p.31)
Citation: p.31 — "Release month: February 2027 UNISEX SIZE 7-13 Global item code: D1GA260510 USA i"
Filler v0.1.0 / claude-sonnet-4-6 / prompt 28739cd0d223 / run 20260514T133825Z-2af564a4</t>
      </text>
    </comment>
    <comment ref="D26" authorId="0" shapeId="0">
      <text>
        <t>Source: SS27 MIZUNO SPORTSTYLE USA DECK - Tier 1 .pdf (1).pdf (p.31)
Citation: p.31 — "Release month: February 2027 UNISEX SIZE 7-13 Global item code: D1GA260510 USA i"
Filler v0.1.0 / claude-sonnet-4-6 / prompt 28739cd0d223 / run 20260514T133825Z-2af564a4</t>
      </text>
    </comment>
    <comment ref="I26" authorId="0" shapeId="0">
      <text>
        <t>Source: SS27 MIZUNO SPORTSTYLE USA DECK - Tier 1 .pdf (1).pdf (p.31)
Citation: p.31 — "Release month: February 2027 UNISEX SIZE 7-13 Global item code: D1GA260510 USA i"
Filler v0.1.0 / claude-sonnet-4-6 / prompt 28739cd0d223 / run 20260514T133825Z-2af564a4</t>
      </text>
    </comment>
    <comment ref="B27" authorId="0" shapeId="0">
      <text>
        <t>Source: SS27 MIZUNO SPORTSTYLE USA DECK - Tier 1 .pdf (1).pdf (p.34)
Citation: p.34 — "USA item code: 590230.9090"
Filler v0.1.0 / claude-sonnet-4-6 / prompt 28739cd0d223 / run 20260514T133825Z-2af564a4</t>
      </text>
    </comment>
    <comment ref="D27" authorId="0" shapeId="0">
      <text>
        <t>Source: SS27 MIZUNO SPORTSTYLE USA DECK - Tier 1 .pdf (1).pdf (p.34)
Citation: p.34 — "USA item code: 590230.9090"
Filler v0.1.0 / claude-sonnet-4-6 / prompt 28739cd0d223 / run 20260514T133825Z-2af564a4</t>
      </text>
    </comment>
    <comment ref="B28" authorId="0" shapeId="0">
      <text>
        <t>Source: SS27 MIZUNO SPORTSTYLE USA DECK - Tier 1 .pdf (1).pdf (p.35)
Citation: p.35 — "Release month: March 2027 UNISEX 5-12 Global item code: D1GA272J03 USA item code"
Filler v0.1.0 / claude-sonnet-4-6 / prompt 28739cd0d223 / run 20260514T133825Z-2af564a4</t>
      </text>
    </comment>
    <comment ref="D28" authorId="0" shapeId="0">
      <text>
        <t>Source: SS27 MIZUNO SPORTSTYLE USA DECK - Tier 1 .pdf (1).pdf (p.35)
Citation: p.35 — "Release month: March 2027 UNISEX 5-12 Global item code: D1GA272J03 USA item code"
Filler v0.1.0 / claude-sonnet-4-6 / prompt 28739cd0d223 / run 20260514T133825Z-2af564a4</t>
      </text>
    </comment>
    <comment ref="I28" authorId="0" shapeId="0">
      <text>
        <t>Source: SS27 MIZUNO SPORTSTYLE USA DECK - Tier 1 .pdf (1).pdf (p.35)
Citation: p.35 — "Release month: March 2027 UNISEX 5-12 Global item code: D1GA272J03 USA item code"
Filler v0.1.0 / claude-sonnet-4-6 / prompt 28739cd0d223 / run 20260514T133825Z-2af564a4</t>
      </text>
    </comment>
    <comment ref="B29" authorId="0" shapeId="0">
      <text>
        <t>Source: SS27 MIZUNO SPORTSTYLE USA DECK - Tier 1 .pdf (1).pdf (p.40)
Citation: p.40 — "Global item code: D1GA270E01 USA item code: 590224.6X7N"
Filler v0.1.0 / claude-sonnet-4-6 / prompt 28739cd0d223 / run 20260514T133825Z-2af564a4</t>
      </text>
    </comment>
    <comment ref="D29" authorId="0" shapeId="0">
      <text>
        <t>Source: SS27 MIZUNO SPORTSTYLE USA DECK - Tier 1 .pdf (1).pdf (p.40)
Citation: p.40 — "Global item code: D1GA270E01 USA item code: 590224.6X7N"
Filler v0.1.0 / claude-sonnet-4-6 / prompt 28739cd0d223 / run 20260514T133825Z-2af564a4</t>
      </text>
    </comment>
    <comment ref="B30" authorId="0" shapeId="0">
      <text>
        <t>Source: SS27 MIZUNO SPORTSTYLE USA DECK - Tier 1 .pdf (1).pdf (p.41)
Citation: p.41 — "Release month: February 2027 UNISEX SIZE 5-12 Global item code: D1GA270E02 USA i"
Filler v0.1.0 / claude-sonnet-4-6 / prompt 28739cd0d223 / run 20260514T133825Z-2af564a4</t>
      </text>
    </comment>
    <comment ref="D30" authorId="0" shapeId="0">
      <text>
        <t>Source: SS27 MIZUNO SPORTSTYLE USA DECK - Tier 1 .pdf (1).pdf (p.41)
Citation: p.41 — "Release month: February 2027 UNISEX SIZE 5-12 Global item code: D1GA270E02 USA i"
Filler v0.1.0 / claude-sonnet-4-6 / prompt 28739cd0d223 / run 20260514T133825Z-2af564a4</t>
      </text>
    </comment>
    <comment ref="I30" authorId="0" shapeId="0">
      <text>
        <t>Source: SS27 MIZUNO SPORTSTYLE USA DECK - Tier 1 .pdf (1).pdf (p.41)
Citation: p.41 — "Release month: February 2027 UNISEX SIZE 5-12 Global item code: D1GA270E02 USA i"
Filler v0.1.0 / claude-sonnet-4-6 / prompt 28739cd0d223 / run 20260514T133825Z-2af564a4</t>
      </text>
    </comment>
    <comment ref="B31" authorId="0" shapeId="0">
      <text>
        <t>Source: SS27 MIZUNO SPORTSTYLE USA DECK - Tier 1 .pdf (1).pdf (p.42)
Citation: p.42 — "USA item code: 590136.7N0D"
Filler v0.1.0 / claude-sonnet-4-6 / prompt 28739cd0d223 / run 20260514T133825Z-2af564a4</t>
      </text>
    </comment>
    <comment ref="D31" authorId="0" shapeId="0">
      <text>
        <t>Source: SS27 MIZUNO SPORTSTYLE USA DECK - Tier 1 .pdf (1).pdf (p.42)
Citation: p.42 — "USA item code: 590136.7N0D"
Filler v0.1.0 / claude-sonnet-4-6 / prompt 28739cd0d223 / run 20260514T133825Z-2af564a4</t>
      </text>
    </comment>
    <comment ref="B32" authorId="0" shapeId="0">
      <text>
        <t>Source: SS27 MIZUNO SPORTSTYLE USA DECK - Tier 1 .pdf (1).pdf (p.43)
Citation: p.43 — "Global item code: D1GA256214 USA item code: 590136.9H0D Colour: Black Oyster / S"
Filler v0.1.0 / claude-sonnet-4-6 / prompt 28739cd0d223 / run 20260514T133825Z-2af564a4</t>
      </text>
    </comment>
    <comment ref="D32" authorId="0" shapeId="0">
      <text>
        <t>Source: SS27 MIZUNO SPORTSTYLE USA DECK - Tier 1 .pdf (1).pdf (p.43)
Citation: p.43 — "Global item code: D1GA256214 USA item code: 590136.9H0D Colour: Black Oyster / S"
Filler v0.1.0 / claude-sonnet-4-6 / prompt 28739cd0d223 / run 20260514T133825Z-2af564a4</t>
      </text>
    </comment>
    <comment ref="B33" authorId="0" shapeId="0">
      <text>
        <t>Source: SS27 MIZUNO SPORTSTYLE USA DECK - Tier 1 .pdf (1).pdf (p.44)
Citation: p.44 — "Release month: February 2027 UNISEX 5-13 Global item code: D1GA245131 USA item c"
Filler v0.1.0 / claude-sonnet-4-6 / prompt 28739cd0d223 / run 20260514T133825Z-2af564a4</t>
      </text>
    </comment>
    <comment ref="D33" authorId="0" shapeId="0">
      <text>
        <t>Source: SS27 MIZUNO SPORTSTYLE USA DECK - Tier 1 .pdf (1).pdf (p.44)
Citation: p.44 — "Release month: February 2027 UNISEX 5-13 Global item code: D1GA245131 USA item c"
Filler v0.1.0 / claude-sonnet-4-6 / prompt 28739cd0d223 / run 20260514T133825Z-2af564a4</t>
      </text>
    </comment>
    <comment ref="I33" authorId="0" shapeId="0">
      <text>
        <t>Source: SS27 MIZUNO SPORTSTYLE USA DECK - Tier 1 .pdf (1).pdf (p.44)
Citation: p.44 — "Release month: February 2027 UNISEX 5-13 Global item code: D1GA245131 USA item c"
Filler v0.1.0 / claude-sonnet-4-6 / prompt 28739cd0d223 / run 20260514T133825Z-2af564a4</t>
      </text>
    </comment>
    <comment ref="B34" authorId="0" shapeId="0">
      <text>
        <t>Source: SS27 MIZUNO SPORTSTYLE USA DECK - Tier 1 .pdf (1).pdf (p.45)
Citation: p.45 — "Release month: January 2027 UNISEX 5-13 Global item code: D1GA245133 USA item co"
Filler v0.1.0 / claude-sonnet-4-6 / prompt 28739cd0d223 / run 20260514T133825Z-2af564a4</t>
      </text>
    </comment>
    <comment ref="D34" authorId="0" shapeId="0">
      <text>
        <t>Source: SS27 MIZUNO SPORTSTYLE USA DECK - Tier 1 .pdf (1).pdf (p.45)
Citation: p.45 — "Release month: January 2027 UNISEX 5-13 Global item code: D1GA245133 USA item co"
Filler v0.1.0 / claude-sonnet-4-6 / prompt 28739cd0d223 / run 20260514T133825Z-2af564a4</t>
      </text>
    </comment>
    <comment ref="I34" authorId="0" shapeId="0">
      <text>
        <t>Source: SS27 MIZUNO SPORTSTYLE USA DECK - Tier 1 .pdf (1).pdf (p.45)
Citation: p.45 — "Release month: January 2027 UNISEX 5-13 Global item code: D1GA245133 USA item co"
Filler v0.1.0 / claude-sonnet-4-6 / prompt 28739cd0d223 / run 20260514T133825Z-2af564a4</t>
      </text>
    </comment>
    <comment ref="B35" authorId="0" shapeId="0">
      <text>
        <t>Source: SS27 MIZUNO SPORTSTYLE USA DECK - Tier 1 .pdf (1).pdf (p.46)
Citation: p.46 — "Release month: January 2027 UNISEX 5-13 Global item code: D1GA245134 USA item co"
Filler v0.1.0 / claude-sonnet-4-6 / prompt 28739cd0d223 / run 20260514T133825Z-2af564a4</t>
      </text>
    </comment>
    <comment ref="D35" authorId="0" shapeId="0">
      <text>
        <t>Source: SS27 MIZUNO SPORTSTYLE USA DECK - Tier 1 .pdf (1).pdf (p.46)
Citation: p.46 — "Release month: January 2027 UNISEX 5-13 Global item code: D1GA245134 USA item co"
Filler v0.1.0 / claude-sonnet-4-6 / prompt 28739cd0d223 / run 20260514T133825Z-2af564a4</t>
      </text>
    </comment>
    <comment ref="I35" authorId="0" shapeId="0">
      <text>
        <t>Source: SS27 MIZUNO SPORTSTYLE USA DECK - Tier 1 .pdf (1).pdf (p.46)
Citation: p.46 — "Release month: January 2027 UNISEX 5-13 Global item code: D1GA245134 USA item co"
Filler v0.1.0 / claude-sonnet-4-6 / prompt 28739cd0d223 / run 20260514T133825Z-2af564a4</t>
      </text>
    </comment>
    <comment ref="B36" authorId="0" shapeId="0">
      <text>
        <t>Source: SS27 MIZUNO SPORTSTYLE USA DECK - Tier 1 .pdf (1).pdf (p.49)
Citation: p.49 — "USA item code: 590045.00HM"
Filler v0.1.0 / claude-sonnet-4-6 / prompt 28739cd0d223 / run 20260514T133825Z-2af564a4</t>
      </text>
    </comment>
    <comment ref="D36" authorId="0" shapeId="0">
      <text>
        <t>Source: SS27 MIZUNO SPORTSTYLE USA DECK - Tier 1 .pdf (1).pdf (p.49)
Citation: p.49 — "USA item code: 590045.00HM"
Filler v0.1.0 / claude-sonnet-4-6 / prompt 28739cd0d223 / run 20260514T133825Z-2af564a4</t>
      </text>
    </comment>
    <comment ref="B37" authorId="0" shapeId="0">
      <text>
        <t>Source: SS27 MIZUNO SPORTSTYLE USA DECK - Tier 1 .pdf (1).pdf (p.50)
Citation: p.50 — "USA item code:590045.7N96"
Filler v0.1.0 / claude-sonnet-4-6 / prompt 28739cd0d223 / run 20260514T133825Z-2af564a4</t>
      </text>
    </comment>
    <comment ref="D37" authorId="0" shapeId="0">
      <text>
        <t>Source: SS27 MIZUNO SPORTSTYLE USA DECK - Tier 1 .pdf (1).pdf (p.50)
Citation: p.50 — "USA item code:590045.7N96"
Filler v0.1.0 / claude-sonnet-4-6 / prompt 28739cd0d223 / run 20260514T133825Z-2af564a4</t>
      </text>
    </comment>
    <comment ref="B38" authorId="0" shapeId="0">
      <text>
        <t>Source: SS27 MIZUNO SPORTSTYLE USA DECK - Tier 1 .pdf (1).pdf (p.51)
Citation: p.51 — "USA item code: 590045.0096"
Filler v0.1.0 / claude-sonnet-4-6 / prompt 28739cd0d223 / run 20260514T133825Z-2af564a4</t>
      </text>
    </comment>
    <comment ref="D38" authorId="0" shapeId="0">
      <text>
        <t>Source: SS27 MIZUNO SPORTSTYLE USA DECK - Tier 1 .pdf (1).pdf (p.51)
Citation: p.51 — "USA item code: 590045.0096"
Filler v0.1.0 / claude-sonnet-4-6 / prompt 28739cd0d223 / run 20260514T133825Z-2af564a4</t>
      </text>
    </comment>
    <comment ref="B39" authorId="0" shapeId="0">
      <text>
        <t>Source: SS27 MIZUNO SPORTSTYLE USA DECK - Tier 1 .pdf (1).pdf (p.52)
Citation: p.52 — "Release month: March 2027 UNISEX 5-13 Global item code: D1GA210427 USA item code"
Filler v0.1.0 / claude-sonnet-4-6 / prompt 28739cd0d223 / run 20260514T133825Z-2af564a4</t>
      </text>
    </comment>
    <comment ref="D39" authorId="0" shapeId="0">
      <text>
        <t>Source: SS27 MIZUNO SPORTSTYLE USA DECK - Tier 1 .pdf (1).pdf (p.52)
Citation: p.52 — "Release month: March 2027 UNISEX 5-13 Global item code: D1GA210427 USA item code"
Filler v0.1.0 / claude-sonnet-4-6 / prompt 28739cd0d223 / run 20260514T133825Z-2af564a4</t>
      </text>
    </comment>
    <comment ref="I39" authorId="0" shapeId="0">
      <text>
        <t>Source: SS27 MIZUNO SPORTSTYLE USA DECK - Tier 1 .pdf (1).pdf (p.52)
Citation: p.52 — "Release month: March 2027 UNISEX 5-13 Global item code: D1GA210427 USA item code"
Filler v0.1.0 / claude-sonnet-4-6 / prompt 28739cd0d223 / run 20260514T133825Z-2af564a4</t>
      </text>
    </comment>
    <comment ref="B40" authorId="0" shapeId="0">
      <text>
        <t>Source: SS27 MIZUNO SPORTSTYLE USA DECK - Tier 1 .pdf (1).pdf (p.53)
Citation: p.53 — "Release month: January 2027 UNISEX 5-13 Global item code: D1GA261107 USA item co"
Filler v0.1.0 / claude-sonnet-4-6 / prompt 28739cd0d223 / run 20260514T133825Z-2af564a4</t>
      </text>
    </comment>
    <comment ref="D40" authorId="0" shapeId="0">
      <text>
        <t>Source: SS27 MIZUNO SPORTSTYLE USA DECK - Tier 1 .pdf (1).pdf (p.53)
Citation: p.53 — "Release month: January 2027 UNISEX 5-13 Global item code: D1GA261107 USA item co"
Filler v0.1.0 / claude-sonnet-4-6 / prompt 28739cd0d223 / run 20260514T133825Z-2af564a4</t>
      </text>
    </comment>
    <comment ref="I40" authorId="0" shapeId="0">
      <text>
        <t>Source: SS27 MIZUNO SPORTSTYLE USA DECK - Tier 1 .pdf (1).pdf (p.53)
Citation: p.53 — "Release month: January 2027 UNISEX 5-13 Global item code: D1GA261107 USA item co"
Filler v0.1.0 / claude-sonnet-4-6 / prompt 28739cd0d223 / run 20260514T133825Z-2af564a4</t>
      </text>
    </comment>
    <comment ref="B41" authorId="0" shapeId="0">
      <text>
        <t>Source: SS27 MIZUNO SPORTSTYLE USA DECK - Tier 1 .pdf (1).pdf (p.54)
Citation: p.54 — "Release month: January 2027 UNISEX 5-13 Global item code: D1GA261108 USA item co"
Filler v0.1.0 / claude-sonnet-4-6 / prompt 28739cd0d223 / run 20260514T133825Z-2af564a4</t>
      </text>
    </comment>
    <comment ref="D41" authorId="0" shapeId="0">
      <text>
        <t>Source: SS27 MIZUNO SPORTSTYLE USA DECK - Tier 1 .pdf (1).pdf (p.54)
Citation: p.54 — "Release month: January 2027 UNISEX 5-13 Global item code: D1GA261108 USA item co"
Filler v0.1.0 / claude-sonnet-4-6 / prompt 28739cd0d223 / run 20260514T133825Z-2af564a4</t>
      </text>
    </comment>
    <comment ref="I41" authorId="0" shapeId="0">
      <text>
        <t>Source: SS27 MIZUNO SPORTSTYLE USA DECK - Tier 1 .pdf (1).pdf (p.54)
Citation: p.54 — "Release month: January 2027 UNISEX 5-13 Global item code: D1GA261108 USA item co"
Filler v0.1.0 / claude-sonnet-4-6 / prompt 28739cd0d223 / run 20260514T133825Z-2af564a4</t>
      </text>
    </comment>
    <comment ref="B42" authorId="0" shapeId="0">
      <text>
        <t>Source: SS27 MIZUNO SPORTSTYLE USA DECK - Tier 1 .pdf (1).pdf (p.55)
Citation: p.55 — "USA item code: 590233.KW90"
Filler v0.1.0 / claude-sonnet-4-6 / prompt 28739cd0d223 / run 20260514T133825Z-2af564a4</t>
      </text>
    </comment>
    <comment ref="D42" authorId="0" shapeId="0">
      <text>
        <t>Source: SS27 MIZUNO SPORTSTYLE USA DECK - Tier 1 .pdf (1).pdf (p.55)
Citation: p.55 — "USA item code: 590233.KW90"
Filler v0.1.0 / claude-sonnet-4-6 / prompt 28739cd0d223 / run 20260514T133825Z-2af564a4</t>
      </text>
    </comment>
    <comment ref="B43" authorId="0" shapeId="0">
      <text>
        <t>Source: SS27 MIZUNO SPORTSTYLE USA DECK - Tier 1 .pdf (1).pdf (p.56)
Citation: p.56 — "USA item code: 590233.909H"
Filler v0.1.0 / claude-sonnet-4-6 / prompt 28739cd0d223 / run 20260514T133825Z-2af564a4</t>
      </text>
    </comment>
    <comment ref="D43" authorId="0" shapeId="0">
      <text>
        <t>Source: SS27 MIZUNO SPORTSTYLE USA DECK - Tier 1 .pdf (1).pdf (p.56)
Citation: p.56 — "USA item code: 590233.909H"
Filler v0.1.0 / claude-sonnet-4-6 / prompt 28739cd0d223 / run 20260514T133825Z-2af564a4</t>
      </text>
    </comment>
    <comment ref="B44" authorId="0" shapeId="0">
      <text>
        <t>Source: SS27 MIZUNO SPORTSTYLE USA DECK - Tier 1 .pdf (1).pdf (p.58)
Citation: p.58 — "USA item code: 590210.9H9H"
Filler v0.1.0 / claude-sonnet-4-6 / prompt 28739cd0d223 / run 20260514T133825Z-2af564a4</t>
      </text>
    </comment>
    <comment ref="D44" authorId="0" shapeId="0">
      <text>
        <t>Source: SS27 MIZUNO SPORTSTYLE USA DECK - Tier 1 .pdf (1).pdf (p.58)
Citation: p.58 — "USA item code: 590210.9H9H"
Filler v0.1.0 / claude-sonnet-4-6 / prompt 28739cd0d223 / run 20260514T133825Z-2af564a4</t>
      </text>
    </comment>
    <comment ref="B45" authorId="0" shapeId="0">
      <text>
        <t>Source: SS27 MIZUNO SPORTSTYLE USA DECK - Tier 1 .pdf (1).pdf (p.59)
Citation: p.59 — "USA item code: 590210.006Z"
Filler v0.1.0 / claude-sonnet-4-6 / prompt 28739cd0d223 / run 20260514T133825Z-2af564a4</t>
      </text>
    </comment>
    <comment ref="D45" authorId="0" shapeId="0">
      <text>
        <t>Source: SS27 MIZUNO SPORTSTYLE USA DECK - Tier 1 .pdf (1).pdf (p.59)
Citation: p.59 — "USA item code: 590210.006Z"
Filler v0.1.0 / claude-sonnet-4-6 / prompt 28739cd0d223 / run 20260514T133825Z-2af564a4</t>
      </text>
    </comment>
    <comment ref="B46" authorId="0" shapeId="0">
      <text>
        <t>Source: SS27 MIZUNO SPORTSTYLE USA DECK - Tier 1 .pdf (1).pdf (p.60)
Citation: p.60 — "USA item code: 590210.005C"
Filler v0.1.0 / claude-sonnet-4-6 / prompt 28739cd0d223 / run 20260514T133825Z-2af564a4</t>
      </text>
    </comment>
    <comment ref="D46" authorId="0" shapeId="0">
      <text>
        <t>Source: SS27 MIZUNO SPORTSTYLE USA DECK - Tier 1 .pdf (1).pdf (p.60)
Citation: p.60 — "USA item code: 590210.005C"
Filler v0.1.0 / claude-sonnet-4-6 / prompt 28739cd0d223 / run 20260514T133825Z-2af564a4</t>
      </text>
    </comment>
    <comment ref="B47" authorId="0" shapeId="0">
      <text>
        <t>Source: SS27 MIZUNO SPORTSTYLE USA DECK - Tier 1 .pdf (1).pdf (p.63)
Citation: p.63 — "Release month: January 2027 UNISEX 5-13 Global item code: D1GA272B01 USA item co"
Filler v0.1.0 / claude-sonnet-4-6 / prompt 28739cd0d223 / run 20260514T133825Z-2af564a4</t>
      </text>
    </comment>
    <comment ref="D47" authorId="0" shapeId="0">
      <text>
        <t>Source: SS27 MIZUNO SPORTSTYLE USA DECK - Tier 1 .pdf (1).pdf (p.63)
Citation: p.63 — "Release month: January 2027 UNISEX 5-13 Global item code: D1GA272B01 USA item co"
Filler v0.1.0 / claude-sonnet-4-6 / prompt 28739cd0d223 / run 20260514T133825Z-2af564a4</t>
      </text>
    </comment>
    <comment ref="I47" authorId="0" shapeId="0">
      <text>
        <t>Source: SS27 MIZUNO SPORTSTYLE USA DECK - Tier 1 .pdf (1).pdf (p.63)
Citation: p.63 — "Release month: January 2027 UNISEX 5-13 Global item code: D1GA272B01 USA item co"
Filler v0.1.0 / claude-sonnet-4-6 / prompt 28739cd0d223 / run 20260514T133825Z-2af564a4</t>
      </text>
    </comment>
    <comment ref="B48" authorId="0" shapeId="0">
      <text>
        <t>Source: SS27 MIZUNO SPORTSTYLE USA DECK - Tier 1 .pdf (1).pdf (p.64)
Citation: p.64 — "Release month: February 2027 UNISEX 5-13 Global item code: D1GA272B02 USA item c"
Filler v0.1.0 / claude-sonnet-4-6 / prompt 28739cd0d223 / run 20260514T133825Z-2af564a4</t>
      </text>
    </comment>
    <comment ref="D48" authorId="0" shapeId="0">
      <text>
        <t>Source: SS27 MIZUNO SPORTSTYLE USA DECK - Tier 1 .pdf (1).pdf (p.64)
Citation: p.64 — "Release month: February 2027 UNISEX 5-13 Global item code: D1GA272B02 USA item c"
Filler v0.1.0 / claude-sonnet-4-6 / prompt 28739cd0d223 / run 20260514T133825Z-2af564a4</t>
      </text>
    </comment>
    <comment ref="I48" authorId="0" shapeId="0">
      <text>
        <t>Source: SS27 MIZUNO SPORTSTYLE USA DECK - Tier 1 .pdf (1).pdf (p.64)
Citation: p.64 — "Release month: February 2027 UNISEX 5-13 Global item code: D1GA272B02 USA item c"
Filler v0.1.0 / claude-sonnet-4-6 / prompt 28739cd0d223 / run 20260514T133825Z-2af564a4</t>
      </text>
    </comment>
    <comment ref="B49" authorId="0" shapeId="0">
      <text>
        <t>Source: SS27 MIZUNO SPORTSTYLE USA DECK - Tier 1 .pdf (1).pdf (p.65)
Citation: p.65 — "Release month: February 2027 UNISEX 7-13 Global item code: D1GA260C06 USA item c"
Filler v0.1.0 / claude-sonnet-4-6 / prompt 28739cd0d223 / run 20260514T133825Z-2af564a4</t>
      </text>
    </comment>
    <comment ref="D49" authorId="0" shapeId="0">
      <text>
        <t>Source: SS27 MIZUNO SPORTSTYLE USA DECK - Tier 1 .pdf (1).pdf (p.65)
Citation: p.65 — "Release month: February 2027 UNISEX 7-13 Global item code: D1GA260C06 USA item c"
Filler v0.1.0 / claude-sonnet-4-6 / prompt 28739cd0d223 / run 20260514T133825Z-2af564a4</t>
      </text>
    </comment>
    <comment ref="I49" authorId="0" shapeId="0">
      <text>
        <t>Source: SS27 MIZUNO SPORTSTYLE USA DECK - Tier 1 .pdf (1).pdf (p.65)
Citation: p.65 — "Release month: February 2027 UNISEX 7-13 Global item code: D1GA260C06 USA item c"
Filler v0.1.0 / claude-sonnet-4-6 / prompt 28739cd0d223 / run 20260514T133825Z-2af564a4</t>
      </text>
    </comment>
    <comment ref="B50" authorId="0" shapeId="0">
      <text>
        <t>Source: SS27 MIZUNO SPORTSTYLE USA DECK - Tier 1 .pdf (1).pdf (p.66)
Citation: p.66 — "USA item code: 590163.7N6X"
Filler v0.1.0 / claude-sonnet-4-6 / prompt 28739cd0d223 / run 20260514T133825Z-2af564a4</t>
      </text>
    </comment>
    <comment ref="D50" authorId="0" shapeId="0">
      <text>
        <t>Source: SS27 MIZUNO SPORTSTYLE USA DECK - Tier 1 .pdf (1).pdf (p.66)
Citation: p.66 — "USA item code: 590163.7N6X"
Filler v0.1.0 / claude-sonnet-4-6 / prompt 28739cd0d223 / run 20260514T133825Z-2af564a4</t>
      </text>
    </comment>
    <comment ref="B51" authorId="0" shapeId="0">
      <text>
        <t>Source: SS27 MIZUNO SPORTSTYLE USA DECK - Tier 1 .pdf (1).pdf (p.67)
Citation: p.67 — "Release month: February 2027 UNISEX 5-13 Global item code: D1GA272C02 USA item c"
Filler v0.1.0 / claude-sonnet-4-6 / prompt 28739cd0d223 / run 20260514T133825Z-2af564a4</t>
      </text>
    </comment>
    <comment ref="D51" authorId="0" shapeId="0">
      <text>
        <t>Source: SS27 MIZUNO SPORTSTYLE USA DECK - Tier 1 .pdf (1).pdf (p.67)
Citation: p.67 — "Release month: February 2027 UNISEX 5-13 Global item code: D1GA272C02 USA item c"
Filler v0.1.0 / claude-sonnet-4-6 / prompt 28739cd0d223 / run 20260514T133825Z-2af564a4</t>
      </text>
    </comment>
    <comment ref="I51" authorId="0" shapeId="0">
      <text>
        <t>Source: SS27 MIZUNO SPORTSTYLE USA DECK - Tier 1 .pdf (1).pdf (p.67)
Citation: p.67 — "Release month: February 2027 UNISEX 5-13 Global item code: D1GA272C02 USA item c"
Filler v0.1.0 / claude-sonnet-4-6 / prompt 28739cd0d223 / run 20260514T133825Z-2af564a4</t>
      </text>
    </comment>
    <comment ref="B52" authorId="0" shapeId="0">
      <text>
        <t>Source: SS27 MIZUNO SPORTSTYLE USA DECK - Tier 1 .pdf (1).pdf (p.68)
Citation: p.68 — "USA item code: 590164.5C00"
Filler v0.1.0 / claude-sonnet-4-6 / prompt 28739cd0d223 / run 20260514T133825Z-2af564a4</t>
      </text>
    </comment>
    <comment ref="D52" authorId="0" shapeId="0">
      <text>
        <t>Source: SS27 MIZUNO SPORTSTYLE USA DECK - Tier 1 .pdf (1).pdf (p.68)
Citation: p.68 — "USA item code: 590164.5C00"
Filler v0.1.0 / claude-sonnet-4-6 / prompt 28739cd0d223 / run 20260514T133825Z-2af564a4</t>
      </text>
    </comment>
    <comment ref="B53" authorId="0" shapeId="0">
      <text>
        <t>Source: SS27 MIZUNO SPORTSTYLE USA DECK - Tier 1 .pdf (1).pdf (p.69)
Citation: p.69 — "USA item code: 590164.6Z00"
Filler v0.1.0 / claude-sonnet-4-6 / prompt 28739cd0d223 / run 20260514T133825Z-2af564a4</t>
      </text>
    </comment>
    <comment ref="D53" authorId="0" shapeId="0">
      <text>
        <t>Source: SS27 MIZUNO SPORTSTYLE USA DECK - Tier 1 .pdf (1).pdf (p.69)
Citation: p.69 — "USA item code: 590164.6Z00"
Filler v0.1.0 / claude-sonnet-4-6 / prompt 28739cd0d223 / run 20260514T133825Z-2af564a4</t>
      </text>
    </comment>
    <comment ref="B54" authorId="0" shapeId="0">
      <text>
        <t>Source: SS27 MIZUNO SPORTSTYLE USA DECK - Tier 1 .pdf (1).pdf (p.70)
Citation: p.70 — "USA item code: 590164.HM9I"
Filler v0.1.0 / claude-sonnet-4-6 / prompt 28739cd0d223 / run 20260514T133825Z-2af564a4</t>
      </text>
    </comment>
    <comment ref="D54" authorId="0" shapeId="0">
      <text>
        <t>Source: SS27 MIZUNO SPORTSTYLE USA DECK - Tier 1 .pdf (1).pdf (p.70)
Citation: p.70 — "USA item code: 590164.HM9I"
Filler v0.1.0 / claude-sonnet-4-6 / prompt 28739cd0d223 / run 20260514T133825Z-2af564a4</t>
      </text>
    </comment>
    <comment ref="B55" authorId="0" shapeId="0">
      <text>
        <t>Source: SS27 MIZUNO SPORTSTYLE USA DECK - Tier 1 .pdf (1).pdf (p.71)
Citation: p.71 — "Release month: March 2027 UNISEX 5-13 Global item code: D1GA261B06 USA item code"
Filler v0.1.0 / claude-sonnet-4-6 / prompt 28739cd0d223 / run 20260514T133825Z-2af564a4</t>
      </text>
    </comment>
    <comment ref="D55" authorId="0" shapeId="0">
      <text>
        <t>Source: SS27 MIZUNO SPORTSTYLE USA DECK - Tier 1 .pdf (1).pdf (p.71)
Citation: p.71 — "Release month: March 2027 UNISEX 5-13 Global item code: D1GA261B06 USA item code"
Filler v0.1.0 / claude-sonnet-4-6 / prompt 28739cd0d223 / run 20260514T133825Z-2af564a4</t>
      </text>
    </comment>
    <comment ref="I55" authorId="0" shapeId="0">
      <text>
        <t>Source: SS27 MIZUNO SPORTSTYLE USA DECK - Tier 1 .pdf (1).pdf (p.71)
Citation: p.71 — "Release month: March 2027 UNISEX 5-13 Global item code: D1GA261B06 USA item code"
Filler v0.1.0 / claude-sonnet-4-6 / prompt 28739cd0d223 / run 20260514T133825Z-2af564a4</t>
      </text>
    </comment>
    <comment ref="B56" authorId="0" shapeId="0">
      <text>
        <t>Source: SS27 MIZUNO SPORTSTYLE USA DECK - Tier 1 .pdf (1).pdf (p.74)
Citation: p.74 — "Release month: February 2027 Global item code: D1GA261C03 USA item code: 590161."
Filler v0.1.0 / claude-sonnet-4-6 / prompt 28739cd0d223 / run 20260514T133825Z-2af564a4</t>
      </text>
    </comment>
    <comment ref="D56" authorId="0" shapeId="0">
      <text>
        <t>Source: SS27 MIZUNO SPORTSTYLE USA DECK - Tier 1 .pdf (1).pdf (p.74)
Citation: p.74 — "Release month: February 2027 Global item code: D1GA261C03 USA item code: 590161."
Filler v0.1.0 / claude-sonnet-4-6 / prompt 28739cd0d223 / run 20260514T133825Z-2af564a4</t>
      </text>
    </comment>
    <comment ref="B57" authorId="0" shapeId="0">
      <text>
        <t>Source: SS27 MIZUNO SPORTSTYLE USA DECK - Tier 1 .pdf (1).pdf (p.75)
Citation: p.75 — "Global item code: D1GA261C04 USA item code: 590161.9A90"
Filler v0.1.0 / claude-sonnet-4-6 / prompt 28739cd0d223 / run 20260514T133825Z-2af564a4</t>
      </text>
    </comment>
    <comment ref="D57" authorId="0" shapeId="0">
      <text>
        <t>Source: SS27 MIZUNO SPORTSTYLE USA DECK - Tier 1 .pdf (1).pdf (p.75)
Citation: p.75 — "Global item code: D1GA261C04 USA item code: 590161.9A90"
Filler v0.1.0 / claude-sonnet-4-6 / prompt 28739cd0d223 / run 20260514T133825Z-2af564a4</t>
      </text>
    </comment>
    <comment ref="B58" authorId="0" shapeId="0">
      <text>
        <t>Source: SS27 MIZUNO SPORTSTYLE USA DECK - Tier 1 .pdf (1).pdf (p.78)
Citation: p.78 — "USA item code: 590225.UG82"
Filler v0.1.0 / claude-sonnet-4-6 / prompt 28739cd0d223 / run 20260514T133825Z-2af564a4</t>
      </text>
    </comment>
    <comment ref="D58" authorId="0" shapeId="0">
      <text>
        <t>Source: SS27 MIZUNO SPORTSTYLE USA DECK - Tier 1 .pdf (1).pdf (p.78)
Citation: p.78 — "USA item code: 590225.UG82"
Filler v0.1.0 / claude-sonnet-4-6 / prompt 28739cd0d223 / run 20260514T133825Z-2af564a4</t>
      </text>
    </comment>
    <comment ref="B59" authorId="0" shapeId="0">
      <text>
        <t>Source: SS27 MIZUNO SPORTSTYLE USA DECK - Tier 1 .pdf (1).pdf (p.79)
Citation: p.79 — "Release month: April 2027 Global item code: D1GA271J02 USA item code: 590225.909"
Filler v0.1.0 / claude-sonnet-4-6 / prompt 28739cd0d223 / run 20260514T133825Z-2af564a4</t>
      </text>
    </comment>
    <comment ref="D59" authorId="0" shapeId="0">
      <text>
        <t>Source: SS27 MIZUNO SPORTSTYLE USA DECK - Tier 1 .pdf (1).pdf (p.79)
Citation: p.79 — "Release month: April 2027 Global item code: D1GA271J02 USA item code: 590225.909"
Filler v0.1.0 / claude-sonnet-4-6 / prompt 28739cd0d223 / run 20260514T133825Z-2af564a4</t>
      </text>
    </comment>
    <comment ref="B60" authorId="0" shapeId="0">
      <text>
        <t>Source: SS27 MIZUNO SPORTSTYLE USA DECK - Tier 1 .pdf (1).pdf (p.83)
Citation: p.83 — "Release month: January 2027 UNISEX 5-13 Global item code: D1GA265301 USA item co"
Filler v0.1.0 / claude-sonnet-4-6 / prompt 28739cd0d223 / run 20260514T133825Z-2af564a4</t>
      </text>
    </comment>
    <comment ref="D60" authorId="0" shapeId="0">
      <text>
        <t>Source: SS27 MIZUNO SPORTSTYLE USA DECK - Tier 1 .pdf (1).pdf (p.83)
Citation: p.83 — "Release month: January 2027 UNISEX 5-13 Global item code: D1GA265301 USA item co"
Filler v0.1.0 / claude-sonnet-4-6 / prompt 28739cd0d223 / run 20260514T133825Z-2af564a4</t>
      </text>
    </comment>
    <comment ref="I60" authorId="0" shapeId="0">
      <text>
        <t>Source: SS27 MIZUNO SPORTSTYLE USA DECK - Tier 1 .pdf (1).pdf (p.83)
Citation: p.83 — "Release month: January 2027 UNISEX 5-13 Global item code: D1GA265301 USA item co"
Filler v0.1.0 / claude-sonnet-4-6 / prompt 28739cd0d223 / run 20260514T133825Z-2af564a4</t>
      </text>
    </comment>
    <comment ref="B61" authorId="0" shapeId="0">
      <text>
        <t>Source: SS27 MIZUNO SPORTSTYLE USA DECK - Tier 1 .pdf (1).pdf (p.84)
Citation: p.84 — "Release month: January 2027 UNISEX 5-13 Global item code: D1GA265305 USA item co"
Filler v0.1.0 / claude-sonnet-4-6 / prompt 28739cd0d223 / run 20260514T133825Z-2af564a4</t>
      </text>
    </comment>
    <comment ref="D61" authorId="0" shapeId="0">
      <text>
        <t>Source: SS27 MIZUNO SPORTSTYLE USA DECK - Tier 1 .pdf (1).pdf (p.84)
Citation: p.84 — "Release month: January 2027 UNISEX 5-13 Global item code: D1GA265305 USA item co"
Filler v0.1.0 / claude-sonnet-4-6 / prompt 28739cd0d223 / run 20260514T133825Z-2af564a4</t>
      </text>
    </comment>
    <comment ref="I61" authorId="0" shapeId="0">
      <text>
        <t>Source: SS27 MIZUNO SPORTSTYLE USA DECK - Tier 1 .pdf (1).pdf (p.84)
Citation: p.84 — "Release month: January 2027 UNISEX 5-13 Global item code: D1GA265305 USA item co"
Filler v0.1.0 / claude-sonnet-4-6 / prompt 28739cd0d223 / run 20260514T133825Z-2af564a4</t>
      </text>
    </comment>
    <comment ref="B62" authorId="0" shapeId="0">
      <text>
        <t>Source: SS27 MIZUNO SPORTSTYLE USA DECK - Tier 1 .pdf (1).pdf (p.85)
Citation: p.85 — "USA item code: 590170.0D00"
Filler v0.1.0 / claude-sonnet-4-6 / prompt 28739cd0d223 / run 20260514T133825Z-2af564a4</t>
      </text>
    </comment>
    <comment ref="D62" authorId="0" shapeId="0">
      <text>
        <t>Source: SS27 MIZUNO SPORTSTYLE USA DECK - Tier 1 .pdf (1).pdf (p.85)
Citation: p.85 — "USA item code: 590170.0D00"
Filler v0.1.0 / claude-sonnet-4-6 / prompt 28739cd0d223 / run 20260514T133825Z-2af564a4</t>
      </text>
    </comment>
    <comment ref="B63" authorId="0" shapeId="0">
      <text>
        <t>Source: SS27 MIZUNO SPORTSTYLE USA DECK - Tier 1 .pdf (1).pdf (p.86)
Citation: p.86 — "Release month: March 2027 UNISEX 5-13 Global item code: D1GA261A06 USA item code"
Filler v0.1.0 / claude-sonnet-4-6 / prompt 28739cd0d223 / run 20260514T133825Z-2af564a4</t>
      </text>
    </comment>
    <comment ref="D63" authorId="0" shapeId="0">
      <text>
        <t>Source: SS27 MIZUNO SPORTSTYLE USA DECK - Tier 1 .pdf (1).pdf (p.86)
Citation: p.86 — "Release month: March 2027 UNISEX 5-13 Global item code: D1GA261A06 USA item code"
Filler v0.1.0 / claude-sonnet-4-6 / prompt 28739cd0d223 / run 20260514T133825Z-2af564a4</t>
      </text>
    </comment>
    <comment ref="I63" authorId="0" shapeId="0">
      <text>
        <t>Source: SS27 MIZUNO SPORTSTYLE USA DECK - Tier 1 .pdf (1).pdf (p.86)
Citation: p.86 — "Release month: March 2027 UNISEX 5-13 Global item code: D1GA261A06 USA item code"
Filler v0.1.0 / claude-sonnet-4-6 / prompt 28739cd0d223 / run 20260514T133825Z-2af564a4</t>
      </text>
    </comment>
    <comment ref="B64" authorId="0" shapeId="0">
      <text>
        <t>Source: SS27 MIZUNO SPORTSTYLE USA DECK - Tier 1 .pdf (1).pdf (p.87)
Citation: p.87 — "USA item code: 590170.9C00"
Filler v0.1.0 / claude-sonnet-4-6 / prompt 28739cd0d223 / run 20260514T133825Z-2af564a4</t>
      </text>
    </comment>
    <comment ref="D64" authorId="0" shapeId="0">
      <text>
        <t>Source: SS27 MIZUNO SPORTSTYLE USA DECK - Tier 1 .pdf (1).pdf (p.87)
Citation: p.87 — "USA item code: 590170.9C00"
Filler v0.1.0 / claude-sonnet-4-6 / prompt 28739cd0d223 / run 20260514T133825Z-2af564a4</t>
      </text>
    </comment>
    <comment ref="B65" authorId="0" shapeId="0">
      <text>
        <t>Source: SS27 MIZUNO SPORTSTYLE USA DECK - Tier 1 .pdf (1).pdf (p.88)
Citation: p.88 — "USA item code: 590170.6Z00"
Filler v0.1.0 / claude-sonnet-4-6 / prompt 28739cd0d223 / run 20260514T133825Z-2af564a4</t>
      </text>
    </comment>
    <comment ref="D65" authorId="0" shapeId="0">
      <text>
        <t>Source: SS27 MIZUNO SPORTSTYLE USA DECK - Tier 1 .pdf (1).pdf (p.88)
Citation: p.88 — "USA item code: 590170.6Z00"
Filler v0.1.0 / claude-sonnet-4-6 / prompt 28739cd0d223 / run 20260514T133825Z-2af564a4</t>
      </text>
    </comment>
    <comment ref="B66" authorId="0" shapeId="0">
      <text>
        <t>Source: SS27 MIZUNO SPORTSTYLE USA DECK - Tier 1 .pdf (1).pdf (p.89)
Citation: p.89 — "Global item code: D1GA271E01 USA item code: 590228.907N Colour: Black / Cloudsca"
Filler v0.1.0 / claude-sonnet-4-6 / prompt 28739cd0d223 / run 20260514T133825Z-2af564a4</t>
      </text>
    </comment>
    <comment ref="D66" authorId="0" shapeId="0">
      <text>
        <t>Source: SS27 MIZUNO SPORTSTYLE USA DECK - Tier 1 .pdf (1).pdf (p.89)
Citation: p.89 — "Global item code: D1GA271E01 USA item code: 590228.907N Colour: Black / Cloudsca"
Filler v0.1.0 / claude-sonnet-4-6 / prompt 28739cd0d223 / run 20260514T133825Z-2af564a4</t>
      </text>
    </comment>
    <comment ref="B67" authorId="0" shapeId="0">
      <text>
        <t>Source: SS27 MIZUNO SPORTSTYLE USA DECK - Tier 1 .pdf (1).pdf (p.90)
Citation: p.90 — "Release month: February 2027 UNISEX 5-12 Global item code: D1GA271E03 USA item c"
Filler v0.1.0 / claude-sonnet-4-6 / prompt 28739cd0d223 / run 20260514T133825Z-2af564a4</t>
      </text>
    </comment>
    <comment ref="D67" authorId="0" shapeId="0">
      <text>
        <t>Source: SS27 MIZUNO SPORTSTYLE USA DECK - Tier 1 .pdf (1).pdf (p.90)
Citation: p.90 — "Release month: February 2027 UNISEX 5-12 Global item code: D1GA271E03 USA item c"
Filler v0.1.0 / claude-sonnet-4-6 / prompt 28739cd0d223 / run 20260514T133825Z-2af564a4</t>
      </text>
    </comment>
    <comment ref="I67" authorId="0" shapeId="0">
      <text>
        <t>Source: SS27 MIZUNO SPORTSTYLE USA DECK - Tier 1 .pdf (1).pdf (p.90)
Citation: p.90 — "Release month: February 2027 UNISEX 5-12 Global item code: D1GA271E03 USA item c"
Filler v0.1.0 / claude-sonnet-4-6 / prompt 28739cd0d223 / run 20260514T133825Z-2af564a4</t>
      </text>
    </comment>
  </commentList>
</comments>
</file>

<file path=xl/tables/table1.xml><?xml version="1.0" encoding="utf-8"?>
<table xmlns="http://schemas.openxmlformats.org/spreadsheetml/2006/main" id="1" name="Table_1" displayName="Table_1" ref="A10:DU883" headerRowCount="0">
  <tableColumns count="12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U883"/>
  <sheetViews>
    <sheetView showGridLines="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 activeCell="G10" sqref="G10"/>
    </sheetView>
  </sheetViews>
  <sheetFormatPr baseColWidth="8" defaultColWidth="12.63" defaultRowHeight="15.75" customHeight="1"/>
  <cols>
    <col width="12" customWidth="1" style="162" min="1" max="1"/>
    <col width="12.38" customWidth="1" style="162" min="2" max="2"/>
    <col outlineLevel="2" width="8.380000000000001" customWidth="1" style="162" min="3" max="3"/>
    <col outlineLevel="2" width="17" customWidth="1" style="162" min="4" max="5"/>
    <col width="13.25" customWidth="1" style="162" min="6" max="6"/>
    <col outlineLevel="2" width="15.25" customWidth="1" style="162" min="7" max="8"/>
    <col outlineLevel="1" width="10.75" customWidth="1" style="162" min="9" max="9"/>
    <col outlineLevel="2" width="12.63" customWidth="1" style="162" min="10" max="15"/>
    <col outlineLevel="1" width="11.88" customWidth="1" style="162" min="16" max="16"/>
    <col outlineLevel="1" width="12" customWidth="1" style="162" min="17" max="17"/>
    <col outlineLevel="1" width="12.75" customWidth="1" style="162" min="18" max="18"/>
    <col outlineLevel="1" width="10.88" customWidth="1" style="162" min="19" max="19"/>
    <col outlineLevel="1" width="12.5" customWidth="1" style="162" min="20" max="20"/>
    <col outlineLevel="1" width="13.25" customWidth="1" style="162" min="21" max="21"/>
    <col width="9" customWidth="1" style="162" min="22" max="29"/>
    <col width="9.630000000000001" customWidth="1" style="162" min="30" max="34"/>
    <col width="7.38" customWidth="1" style="162" min="35" max="35"/>
    <col width="7" customWidth="1" style="162" min="36" max="36"/>
    <col width="6.38" customWidth="1" style="162" min="37" max="49"/>
    <col collapsed="1" width="6.38" customWidth="1" style="162" min="50" max="50"/>
    <col hidden="1" outlineLevel="1" width="6.38" customWidth="1" style="162" min="51" max="52"/>
    <col width="6.13" customWidth="1" style="162" min="53" max="53"/>
    <col collapsed="1" width="6.13" customWidth="1" style="162" min="54" max="54"/>
    <col hidden="1" outlineLevel="1" width="6.13" customWidth="1" style="162" min="55" max="55"/>
    <col width="6.13" customWidth="1" style="162" min="56" max="56"/>
    <col collapsed="1" width="6.13" customWidth="1" style="162" min="57" max="57"/>
    <col hidden="1" outlineLevel="1" width="6.13" customWidth="1" style="162" min="58" max="58"/>
    <col width="6.13" customWidth="1" style="162" min="59" max="60"/>
    <col collapsed="1" width="6.13" customWidth="1" style="162" min="61" max="61"/>
    <col hidden="1" outlineLevel="1" width="11" customWidth="1" style="162" min="62" max="71"/>
    <col hidden="1" outlineLevel="1" width="6.25" customWidth="1" style="162" min="72" max="125"/>
  </cols>
  <sheetData>
    <row r="1" ht="17.25" customHeight="1" s="162">
      <c r="A1" s="1" t="inlineStr">
        <is>
          <t>Brand</t>
        </is>
      </c>
      <c r="B1" s="2" t="n"/>
      <c r="P1" s="3" t="inlineStr">
        <is>
          <t>% to TTL</t>
        </is>
      </c>
      <c r="Q1" s="4">
        <f>iferror(Q$4/$P$4,)</f>
        <v/>
      </c>
      <c r="R1" s="5">
        <f>iferror(R$4/$P$4,)</f>
        <v/>
      </c>
      <c r="S1" s="5">
        <f>iferror(S$4/$P$4,)</f>
        <v/>
      </c>
      <c r="T1" s="6">
        <f>iferror(T$4/$P$4,)</f>
        <v/>
      </c>
      <c r="AD1" s="7" t="inlineStr">
        <is>
          <t>% to TTL</t>
        </is>
      </c>
      <c r="AE1" s="8">
        <f>iferror(AE$4/$AD$4,)</f>
        <v/>
      </c>
      <c r="AF1" s="9">
        <f>iferror(AF$4/$AD$4,)</f>
        <v/>
      </c>
      <c r="AG1" s="9">
        <f>iferror(AG$4/$AD$4,)</f>
        <v/>
      </c>
      <c r="AH1" s="10">
        <f>iferror(AH$4/$AD$4,)</f>
        <v/>
      </c>
      <c r="AI1" s="9">
        <f>iferror(AI$4/$AE$4,)</f>
        <v/>
      </c>
      <c r="AJ1" s="9">
        <f>iferror(AJ$4/$AE$4,)</f>
        <v/>
      </c>
      <c r="AK1" s="9">
        <f>iferror(AK$4/$AE$4,)</f>
        <v/>
      </c>
      <c r="AL1" s="9">
        <f>iferror(AL$4/$AE$4,)</f>
        <v/>
      </c>
      <c r="AM1" s="9">
        <f>iferror(AM$4/$AE$4,)</f>
        <v/>
      </c>
      <c r="AN1" s="9">
        <f>iferror(AN$4/$AE$4,)</f>
        <v/>
      </c>
      <c r="AO1" s="9">
        <f>iferror(AO$4/$AE$4,)</f>
        <v/>
      </c>
      <c r="AP1" s="9">
        <f>iferror(AP$4/$AE$4,)</f>
        <v/>
      </c>
      <c r="AQ1" s="9">
        <f>iferror(AQ$4/$AE$4,)</f>
        <v/>
      </c>
      <c r="AR1" s="9">
        <f>iferror(AR$4/$AE$4,)</f>
        <v/>
      </c>
      <c r="AS1" s="9">
        <f>iferror(AS$4/$AE$4,)</f>
        <v/>
      </c>
      <c r="AT1" s="9">
        <f>iferror(AT$4/$AE$4,)</f>
        <v/>
      </c>
      <c r="AU1" s="9">
        <f>iferror(AU$4/$AE$4,)</f>
        <v/>
      </c>
      <c r="AV1" s="9">
        <f>iferror(AV$4/$AE$4,)</f>
        <v/>
      </c>
      <c r="AW1" s="9">
        <f>iferror(AW$4/$AE$4,)</f>
        <v/>
      </c>
      <c r="AX1" s="9">
        <f>iferror(AX$4/$AE$4,)</f>
        <v/>
      </c>
      <c r="AY1" s="9">
        <f>iferror(AY$4/$AE$4,)</f>
        <v/>
      </c>
      <c r="AZ1" s="9">
        <f>iferror(AZ$4/$AE$4,)</f>
        <v/>
      </c>
      <c r="BA1" s="9">
        <f>iferror(BA$4/$AF$4,)</f>
        <v/>
      </c>
      <c r="BB1" s="9">
        <f>iferror(BB$4/$AF$4,)</f>
        <v/>
      </c>
      <c r="BC1" s="9">
        <f>iferror(BC$4/$AF$4,)</f>
        <v/>
      </c>
      <c r="BD1" s="9">
        <f>iferror(BD$4/$AG$4,)</f>
        <v/>
      </c>
      <c r="BE1" s="9">
        <f>iferror(BE$4/$AG$4,)</f>
        <v/>
      </c>
      <c r="BF1" s="9">
        <f>iferror(BF$4/$AG$4,)</f>
        <v/>
      </c>
      <c r="BG1" s="9">
        <f>iferror(BG$4/$AH$4,)</f>
        <v/>
      </c>
      <c r="BH1" s="9">
        <f>iferror(BH$4/$AH$4,)</f>
        <v/>
      </c>
      <c r="BI1" s="9">
        <f>iferror(BI$4/$AH$4,)</f>
        <v/>
      </c>
      <c r="BJ1" s="11" t="n"/>
      <c r="BK1" s="11" t="n"/>
      <c r="BL1" s="12" t="n"/>
      <c r="BM1" s="13" t="n"/>
      <c r="BN1" s="11" t="n"/>
      <c r="BT1" s="11" t="n"/>
      <c r="BU1" s="11" t="n"/>
      <c r="BV1" s="11" t="n"/>
      <c r="BW1" s="11" t="n"/>
      <c r="BX1" s="11" t="n"/>
      <c r="BY1" s="11" t="n"/>
      <c r="BZ1" s="11" t="n"/>
      <c r="CA1" s="11" t="n"/>
      <c r="CB1" s="11" t="n"/>
      <c r="CC1" s="11" t="n"/>
      <c r="CD1" s="11" t="n"/>
      <c r="CE1" s="11" t="n"/>
      <c r="CF1" s="11" t="n"/>
      <c r="CG1" s="11" t="n"/>
      <c r="CH1" s="11" t="n"/>
      <c r="CI1" s="11" t="n"/>
      <c r="CJ1" s="11" t="n"/>
      <c r="CK1" s="11" t="n"/>
      <c r="CL1" s="12" t="n"/>
      <c r="CM1" s="12" t="n"/>
      <c r="CN1" s="12" t="n"/>
      <c r="CO1" s="13" t="n"/>
      <c r="CP1" s="13" t="n"/>
      <c r="CQ1" s="13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1" t="n"/>
      <c r="DI1" s="11" t="n"/>
      <c r="DJ1" s="11" t="n"/>
      <c r="DK1" s="11" t="n"/>
      <c r="DL1" s="11" t="n"/>
      <c r="DM1" s="12" t="n"/>
      <c r="DN1" s="12" t="n"/>
      <c r="DO1" s="12" t="n"/>
      <c r="DP1" s="13" t="n"/>
      <c r="DQ1" s="13" t="n"/>
      <c r="DR1" s="13" t="n"/>
      <c r="DS1" s="11" t="n"/>
      <c r="DT1" s="11" t="n"/>
      <c r="DU1" s="11" t="n"/>
    </row>
    <row r="2" ht="24" customHeight="1" s="162">
      <c r="A2" s="1" t="inlineStr">
        <is>
          <t>Season</t>
        </is>
      </c>
      <c r="B2" s="2" t="n"/>
      <c r="P2" s="7" t="inlineStr">
        <is>
          <t>GTTL</t>
        </is>
      </c>
      <c r="Q2" s="14" t="inlineStr">
        <is>
          <t>US TTL</t>
        </is>
      </c>
      <c r="R2" s="15" t="inlineStr">
        <is>
          <t>EU TTL</t>
        </is>
      </c>
      <c r="S2" s="16" t="inlineStr">
        <is>
          <t>UK TTL</t>
        </is>
      </c>
      <c r="T2" s="17" t="inlineStr">
        <is>
          <t>CA TTL</t>
        </is>
      </c>
      <c r="AD2" s="7" t="inlineStr">
        <is>
          <t>GTTL</t>
        </is>
      </c>
      <c r="AE2" s="14" t="inlineStr">
        <is>
          <t>US TTL</t>
        </is>
      </c>
      <c r="AF2" s="15" t="inlineStr">
        <is>
          <t>EU TTL</t>
        </is>
      </c>
      <c r="AG2" s="16" t="inlineStr">
        <is>
          <t>UK TTL</t>
        </is>
      </c>
      <c r="AH2" s="17" t="inlineStr">
        <is>
          <t>CA TTL</t>
        </is>
      </c>
      <c r="AI2" s="18" t="inlineStr">
        <is>
          <t>US
WEB</t>
        </is>
      </c>
      <c r="AJ2" s="19" t="inlineStr">
        <is>
          <t>BACK
UP</t>
        </is>
      </c>
      <c r="AK2" s="20" t="inlineStr">
        <is>
          <t>SOHO</t>
        </is>
      </c>
      <c r="AL2" s="20" t="inlineStr">
        <is>
          <t>WMS</t>
        </is>
      </c>
      <c r="AM2" s="20" t="inlineStr">
        <is>
          <t>KIDS</t>
        </is>
      </c>
      <c r="AN2" s="20" t="inlineStr">
        <is>
          <t>WEHO</t>
        </is>
      </c>
      <c r="AO2" s="20" t="inlineStr">
        <is>
          <t>SOBE</t>
        </is>
      </c>
      <c r="AP2" s="20" t="inlineStr">
        <is>
          <t>BK</t>
        </is>
      </c>
      <c r="AQ2" s="20" t="inlineStr">
        <is>
          <t>HW</t>
        </is>
      </c>
      <c r="AR2" s="20" t="inlineStr">
        <is>
          <t>MDD</t>
        </is>
      </c>
      <c r="AS2" s="20" t="inlineStr">
        <is>
          <t>RDO</t>
        </is>
      </c>
      <c r="AT2" s="20" t="inlineStr">
        <is>
          <t>WBG</t>
        </is>
      </c>
      <c r="AU2" s="20" t="inlineStr">
        <is>
          <t>MLBU</t>
        </is>
      </c>
      <c r="AV2" s="20" t="inlineStr">
        <is>
          <t>DMBO</t>
        </is>
      </c>
      <c r="AW2" s="20" t="inlineStr">
        <is>
          <t>CHI</t>
        </is>
      </c>
      <c r="AX2" s="20" t="inlineStr">
        <is>
          <t>DAL</t>
        </is>
      </c>
      <c r="AY2" s="20" t="inlineStr">
        <is>
          <t>NUS1</t>
        </is>
      </c>
      <c r="AZ2" s="20" t="inlineStr">
        <is>
          <t>NUS2</t>
        </is>
      </c>
      <c r="BA2" s="21" t="inlineStr">
        <is>
          <t>EU
WEB</t>
        </is>
      </c>
      <c r="BB2" s="22" t="inlineStr">
        <is>
          <t>PAR</t>
        </is>
      </c>
      <c r="BC2" s="22" t="inlineStr">
        <is>
          <t>NUS3</t>
        </is>
      </c>
      <c r="BD2" s="23" t="inlineStr">
        <is>
          <t>UK
WEB</t>
        </is>
      </c>
      <c r="BE2" s="24" t="inlineStr">
        <is>
          <t>LDN</t>
        </is>
      </c>
      <c r="BF2" s="24" t="inlineStr">
        <is>
          <t>SF</t>
        </is>
      </c>
      <c r="BG2" s="25" t="inlineStr">
        <is>
          <t>CA
WEB</t>
        </is>
      </c>
      <c r="BH2" s="26" t="inlineStr">
        <is>
          <t>TOR</t>
        </is>
      </c>
      <c r="BI2" s="27" t="inlineStr">
        <is>
          <t>VAN</t>
        </is>
      </c>
      <c r="BJ2" s="11" t="n"/>
      <c r="BK2" s="11" t="n"/>
      <c r="BL2" s="12" t="n"/>
      <c r="BM2" s="13" t="n"/>
      <c r="BN2" s="11" t="n"/>
      <c r="BT2" s="11" t="n"/>
      <c r="BU2" s="11" t="n"/>
      <c r="BV2" s="11" t="n"/>
      <c r="BW2" s="11" t="n"/>
      <c r="BX2" s="11" t="n"/>
      <c r="BY2" s="11" t="n"/>
      <c r="BZ2" s="11" t="n"/>
      <c r="CA2" s="11" t="n"/>
      <c r="CB2" s="11" t="n"/>
      <c r="CC2" s="11" t="n"/>
      <c r="CD2" s="11" t="n"/>
      <c r="CE2" s="11" t="n"/>
      <c r="CF2" s="11" t="n"/>
      <c r="CG2" s="11" t="n"/>
      <c r="CH2" s="11" t="n"/>
      <c r="CI2" s="11" t="n"/>
      <c r="CJ2" s="11" t="n"/>
      <c r="CK2" s="11" t="n"/>
      <c r="CL2" s="12" t="n"/>
      <c r="CM2" s="12" t="n"/>
      <c r="CN2" s="12" t="n"/>
      <c r="CO2" s="13" t="n"/>
      <c r="CP2" s="13" t="n"/>
      <c r="CQ2" s="13" t="n"/>
      <c r="CR2" s="11" t="n"/>
      <c r="CS2" s="11" t="n"/>
      <c r="CT2" s="11" t="n"/>
      <c r="CU2" s="11" t="n"/>
      <c r="CV2" s="11" t="n"/>
      <c r="CW2" s="11" t="n"/>
      <c r="CX2" s="11" t="n"/>
      <c r="CY2" s="11" t="n"/>
      <c r="CZ2" s="11" t="n"/>
      <c r="DA2" s="11" t="n"/>
      <c r="DB2" s="11" t="n"/>
      <c r="DC2" s="11" t="n"/>
      <c r="DD2" s="11" t="n"/>
      <c r="DE2" s="11" t="n"/>
      <c r="DF2" s="11" t="n"/>
      <c r="DG2" s="11" t="n"/>
      <c r="DH2" s="11" t="n"/>
      <c r="DI2" s="11" t="n"/>
      <c r="DJ2" s="11" t="n"/>
      <c r="DK2" s="11" t="n"/>
      <c r="DL2" s="11" t="n"/>
      <c r="DM2" s="12" t="n"/>
      <c r="DN2" s="12" t="n"/>
      <c r="DO2" s="12" t="n"/>
      <c r="DP2" s="13" t="n"/>
      <c r="DQ2" s="13" t="n"/>
      <c r="DR2" s="13" t="n"/>
      <c r="DS2" s="11" t="n"/>
      <c r="DT2" s="11" t="n"/>
      <c r="DU2" s="11" t="n"/>
    </row>
    <row r="3" ht="17.25" customHeight="1" s="162">
      <c r="A3" s="1" t="inlineStr">
        <is>
          <t>Start Ship</t>
        </is>
      </c>
      <c r="B3" s="28" t="n"/>
      <c r="P3" s="29">
        <f>$AD3</f>
        <v/>
      </c>
      <c r="Q3" s="30">
        <f>$AE3</f>
        <v/>
      </c>
      <c r="R3" s="31">
        <f>$AF3</f>
        <v/>
      </c>
      <c r="S3" s="31">
        <f>$AG3</f>
        <v/>
      </c>
      <c r="T3" s="32">
        <f>$AH3</f>
        <v/>
      </c>
      <c r="U3" s="33" t="inlineStr">
        <is>
          <t>UNITS TTL</t>
        </is>
      </c>
      <c r="AB3" s="34" t="n"/>
      <c r="AC3" s="35" t="inlineStr">
        <is>
          <t>UNITS TTL</t>
        </is>
      </c>
      <c r="AD3" s="36">
        <f>SUM($AE3:$AH3)</f>
        <v/>
      </c>
      <c r="AE3" s="37">
        <f>SUM($AI3:$AZ3)</f>
        <v/>
      </c>
      <c r="AF3" s="38">
        <f>SUM($BA3:$BC3)</f>
        <v/>
      </c>
      <c r="AG3" s="38">
        <f>SUM($BD3:$BF3)</f>
        <v/>
      </c>
      <c r="AH3" s="39">
        <f>SUM($BG3:$BI3)</f>
        <v/>
      </c>
      <c r="AI3" s="37">
        <f>if(SUM(AI10:AI883)=0,"",SUM(AI10:AI883))</f>
        <v/>
      </c>
      <c r="AJ3" s="38">
        <f>if(SUM(AJ10:AJ883)=0,"",SUM(AJ10:AJ883))</f>
        <v/>
      </c>
      <c r="AK3" s="38">
        <f>if(SUM(AK10:AK883)=0,"",SUM(AK10:AK883))</f>
        <v/>
      </c>
      <c r="AL3" s="38">
        <f>if(SUM(AL10:AL883)=0,"",SUM(AL10:AL883))</f>
        <v/>
      </c>
      <c r="AM3" s="38">
        <f>if(SUM(AM10:AM883)=0,"",SUM(AM10:AM883))</f>
        <v/>
      </c>
      <c r="AN3" s="38">
        <f>if(SUM(AN10:AN883)=0,"",SUM(AN10:AN883))</f>
        <v/>
      </c>
      <c r="AO3" s="38">
        <f>if(SUM(AO10:AO883)=0,"",SUM(AO10:AO883))</f>
        <v/>
      </c>
      <c r="AP3" s="38">
        <f>if(SUM(AP10:AP883)=0,"",SUM(AP10:AP883))</f>
        <v/>
      </c>
      <c r="AQ3" s="38">
        <f>if(SUM(AQ10:AQ883)=0,"",SUM(AQ10:AQ883))</f>
        <v/>
      </c>
      <c r="AR3" s="38">
        <f>if(SUM(AR10:AR883)=0,"",SUM(AR10:AR883))</f>
        <v/>
      </c>
      <c r="AS3" s="38">
        <f>if(SUM(AS10:AS883)=0,"",SUM(AS10:AS883))</f>
        <v/>
      </c>
      <c r="AT3" s="38">
        <f>if(SUM(AT10:AT883)=0,"",SUM(AT10:AT883))</f>
        <v/>
      </c>
      <c r="AU3" s="38">
        <f>if(SUM(AU10:AU883)=0,"",SUM(AU10:AU883))</f>
        <v/>
      </c>
      <c r="AV3" s="38">
        <f>if(SUM(AV10:AV883)=0,"",SUM(AV10:AV883))</f>
        <v/>
      </c>
      <c r="AW3" s="38">
        <f>if(SUM(AW10:AW883)=0,"",SUM(AW10:AW883))</f>
        <v/>
      </c>
      <c r="AX3" s="38">
        <f>if(SUM(AX10:AX883)=0,"",SUM(AX10:AX883))</f>
        <v/>
      </c>
      <c r="AY3" s="38">
        <f>if(SUM(AY10:AY883)=0,"",SUM(AY10:AY883))</f>
        <v/>
      </c>
      <c r="AZ3" s="38">
        <f>if(SUM(AZ10:AZ883)=0,"",SUM(AZ10:AZ883))</f>
        <v/>
      </c>
      <c r="BA3" s="38">
        <f>if(SUM(BA10:BA883)=0,"",SUM(BA10:BA883))</f>
        <v/>
      </c>
      <c r="BB3" s="38">
        <f>if(SUM(BB10:BB883)=0,"",SUM(BB10:BB883))</f>
        <v/>
      </c>
      <c r="BC3" s="38">
        <f>if(SUM(BC10:BC883)=0,"",SUM(BC10:BC883))</f>
        <v/>
      </c>
      <c r="BD3" s="38">
        <f>if(SUM(BD10:BD883)=0,"",SUM(BD10:BD883))</f>
        <v/>
      </c>
      <c r="BE3" s="38">
        <f>if(SUM(BE10:BE883)=0,"",SUM(BE10:BE883))</f>
        <v/>
      </c>
      <c r="BF3" s="38">
        <f>if(SUM(BF10:BF883)=0,"",SUM(BF10:BF883))</f>
        <v/>
      </c>
      <c r="BG3" s="38">
        <f>if(SUM(BG10:BG883)=0,"",SUM(BG10:BG883))</f>
        <v/>
      </c>
      <c r="BH3" s="38">
        <f>if(SUM(BH10:BH883)=0,"",SUM(BH10:BH883))</f>
        <v/>
      </c>
      <c r="BI3" s="39">
        <f>if(SUM(BI10:BI883)=0,"",SUM(BI10:BI883))</f>
        <v/>
      </c>
      <c r="BJ3" s="11" t="n"/>
      <c r="BK3" s="11" t="n"/>
      <c r="BL3" s="12" t="n"/>
      <c r="BM3" s="13" t="n"/>
      <c r="BN3" s="11" t="n"/>
      <c r="BT3" s="11" t="n"/>
      <c r="BU3" s="11" t="n"/>
      <c r="BV3" s="11" t="n"/>
      <c r="BW3" s="11" t="n"/>
      <c r="BX3" s="11" t="n"/>
      <c r="BY3" s="11" t="n"/>
      <c r="BZ3" s="11" t="n"/>
      <c r="CA3" s="11" t="n"/>
      <c r="CB3" s="11" t="n"/>
      <c r="CC3" s="11" t="n"/>
      <c r="CD3" s="11" t="n"/>
      <c r="CE3" s="11" t="n"/>
      <c r="CF3" s="11" t="n"/>
      <c r="CG3" s="11" t="n"/>
      <c r="CH3" s="11" t="n"/>
      <c r="CI3" s="11" t="n"/>
      <c r="CJ3" s="11" t="n"/>
      <c r="CK3" s="11" t="n"/>
      <c r="CL3" s="12" t="n"/>
      <c r="CM3" s="12" t="n"/>
      <c r="CN3" s="12" t="n"/>
      <c r="CO3" s="13" t="n"/>
      <c r="CP3" s="13" t="n"/>
      <c r="CQ3" s="13" t="n"/>
      <c r="CR3" s="11" t="n"/>
      <c r="CS3" s="11" t="n"/>
      <c r="CT3" s="11" t="n"/>
      <c r="CU3" s="11" t="n"/>
      <c r="CV3" s="11" t="n"/>
      <c r="CW3" s="11" t="n"/>
      <c r="CX3" s="11" t="n"/>
      <c r="CY3" s="11" t="n"/>
      <c r="CZ3" s="11" t="n"/>
      <c r="DA3" s="11" t="n"/>
      <c r="DB3" s="11" t="n"/>
      <c r="DC3" s="11" t="n"/>
      <c r="DD3" s="11" t="n"/>
      <c r="DE3" s="11" t="n"/>
      <c r="DF3" s="11" t="n"/>
      <c r="DG3" s="11" t="n"/>
      <c r="DH3" s="11" t="n"/>
      <c r="DI3" s="11" t="n"/>
      <c r="DJ3" s="11" t="n"/>
      <c r="DK3" s="11" t="n"/>
      <c r="DL3" s="11" t="n"/>
      <c r="DM3" s="12" t="n"/>
      <c r="DN3" s="12" t="n"/>
      <c r="DO3" s="12" t="n"/>
      <c r="DP3" s="13" t="n"/>
      <c r="DQ3" s="13" t="n"/>
      <c r="DR3" s="13" t="n"/>
      <c r="DS3" s="11" t="n"/>
      <c r="DT3" s="11" t="n"/>
      <c r="DU3" s="11" t="n"/>
    </row>
    <row r="4" ht="17.25" customHeight="1" s="162">
      <c r="A4" s="1" t="inlineStr">
        <is>
          <t>Cxl Date</t>
        </is>
      </c>
      <c r="B4" s="28" t="n"/>
      <c r="P4" s="40">
        <f>$AD4</f>
        <v/>
      </c>
      <c r="Q4" s="41">
        <f>$AE4</f>
        <v/>
      </c>
      <c r="R4" s="42">
        <f>$AF4</f>
        <v/>
      </c>
      <c r="S4" s="43">
        <f>$AG4</f>
        <v/>
      </c>
      <c r="T4" s="44">
        <f>$AH4</f>
        <v/>
      </c>
      <c r="U4" s="33" t="inlineStr">
        <is>
          <t>COST TTL</t>
        </is>
      </c>
      <c r="AB4" s="34" t="n"/>
      <c r="AC4" s="35" t="inlineStr">
        <is>
          <t>COST TTL</t>
        </is>
      </c>
      <c r="AD4" s="45">
        <f>SUM($AE4,($AF4*1.2),($AG4*1.35),($AH4*0.74))</f>
        <v/>
      </c>
      <c r="AE4" s="46">
        <f>SUM($AI4:$AZ4)</f>
        <v/>
      </c>
      <c r="AF4" s="47">
        <f>SUM($BA4:$BC4)</f>
        <v/>
      </c>
      <c r="AG4" s="48">
        <f>SUM($BD4:$BF4)</f>
        <v/>
      </c>
      <c r="AH4" s="49">
        <f>SUM($BG4:$BI4)</f>
        <v/>
      </c>
      <c r="AI4" s="46">
        <f>if(SUM(CU10:CU883)=0,"",SUM(CU10:CU883))</f>
        <v/>
      </c>
      <c r="AJ4" s="51">
        <f>if(SUM(CV10:CV883)=0,"",SUM(CV10:CV883))</f>
        <v/>
      </c>
      <c r="AK4" s="51">
        <f>if(SUM(CW10:CW883)=0,"",SUM(CW10:CW883))</f>
        <v/>
      </c>
      <c r="AL4" s="51">
        <f>if(SUM(CX10:CX883)=0,"",SUM(CX10:CX883))</f>
        <v/>
      </c>
      <c r="AM4" s="51">
        <f>if(SUM(CY10:CY883)=0,"",SUM(CY10:CY883))</f>
        <v/>
      </c>
      <c r="AN4" s="51">
        <f>if(SUM(CZ10:CZ883)=0,"",SUM(CZ10:CZ883))</f>
        <v/>
      </c>
      <c r="AO4" s="51">
        <f>if(SUM(DA10:DA883)=0,"",SUM(DA10:DA883))</f>
        <v/>
      </c>
      <c r="AP4" s="51">
        <f>if(SUM(DB10:DB883)=0,"",SUM(DB10:DB883))</f>
        <v/>
      </c>
      <c r="AQ4" s="51">
        <f>if(SUM(DC10:DC883)=0,"",SUM(DC10:DC883))</f>
        <v/>
      </c>
      <c r="AR4" s="51">
        <f>if(SUM(DD10:DD883)=0,"",SUM(DD10:DD883))</f>
        <v/>
      </c>
      <c r="AS4" s="51">
        <f>if(SUM(DE10:DE883)=0,"",SUM(DE10:DE883))</f>
        <v/>
      </c>
      <c r="AT4" s="51">
        <f>if(SUM(DF10:DF883)=0,"",SUM(DF10:DF883))</f>
        <v/>
      </c>
      <c r="AU4" s="51">
        <f>if(SUM(DG10:DG883)=0,"",SUM(DG10:DG883))</f>
        <v/>
      </c>
      <c r="AV4" s="51">
        <f>if(SUM(DH10:DH883)=0,"",SUM(DH10:DH883))</f>
        <v/>
      </c>
      <c r="AW4" s="51">
        <f>if(SUM(DI10:DI883)=0,"",SUM(DI10:DI883))</f>
        <v/>
      </c>
      <c r="AX4" s="51">
        <f>if(SUM(DJ10:DJ883)=0,"",SUM(DJ10:DJ883))</f>
        <v/>
      </c>
      <c r="AY4" s="51">
        <f>if(SUM(DK10:DK883)=0,"",SUM(DK10:DK883))</f>
        <v/>
      </c>
      <c r="AZ4" s="51">
        <f>if(SUM(DL10:DL883)=0,"",SUM(DL10:DL883))</f>
        <v/>
      </c>
      <c r="BA4" s="47">
        <f>if(SUM(DM10:DM883)=0,"",SUM(DM10:DM883))</f>
        <v/>
      </c>
      <c r="BB4" s="47">
        <f>if(SUM(DN10:DN883)=0,"",SUM(DN10:DN883))</f>
        <v/>
      </c>
      <c r="BC4" s="47">
        <f>if(SUM(DO10:DO883)=0,"",SUM(DO10:DO883))</f>
        <v/>
      </c>
      <c r="BD4" s="48">
        <f>if(SUM(DP10:DP883)=0,"",SUM(DP10:DP883))</f>
        <v/>
      </c>
      <c r="BE4" s="48">
        <f>if(SUM(DQ10:DQ883)=0,"",SUM(DQ10:DQ883))</f>
        <v/>
      </c>
      <c r="BF4" s="48">
        <f>if(SUM(DR10:DR883)=0,"",SUM(DR10:DR883))</f>
        <v/>
      </c>
      <c r="BG4" s="51">
        <f>if(SUM(DS10:DS883)=0,"",SUM(DS10:DS883))</f>
        <v/>
      </c>
      <c r="BH4" s="51">
        <f>if(SUM(DT10:DT883)=0,"",SUM(DT10:DT883))</f>
        <v/>
      </c>
      <c r="BI4" s="49">
        <f>if(SUM(DU10:DU883)=0,"",SUM(DU10:DU883))</f>
        <v/>
      </c>
      <c r="BJ4" s="11" t="n"/>
      <c r="BK4" s="11" t="n"/>
      <c r="BL4" s="12" t="n"/>
      <c r="BM4" s="13" t="n"/>
      <c r="BN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2" t="n"/>
      <c r="CM4" s="12" t="n"/>
      <c r="CN4" s="12" t="n"/>
      <c r="CO4" s="13" t="n"/>
      <c r="CP4" s="13" t="n"/>
      <c r="CQ4" s="13" t="n"/>
      <c r="CR4" s="11" t="n"/>
      <c r="CS4" s="11" t="n"/>
      <c r="CT4" s="11" t="n"/>
      <c r="CU4" s="11" t="n"/>
      <c r="CV4" s="11" t="n"/>
      <c r="CW4" s="11" t="n"/>
      <c r="CX4" s="11" t="n"/>
      <c r="CY4" s="11" t="n"/>
      <c r="CZ4" s="11" t="n"/>
      <c r="DA4" s="11" t="n"/>
      <c r="DB4" s="11" t="n"/>
      <c r="DC4" s="11" t="n"/>
      <c r="DD4" s="11" t="n"/>
      <c r="DE4" s="11" t="n"/>
      <c r="DF4" s="11" t="n"/>
      <c r="DG4" s="11" t="n"/>
      <c r="DH4" s="11" t="n"/>
      <c r="DI4" s="11" t="n"/>
      <c r="DJ4" s="11" t="n"/>
      <c r="DK4" s="11" t="n"/>
      <c r="DL4" s="11" t="n"/>
      <c r="DM4" s="12" t="n"/>
      <c r="DN4" s="12" t="n"/>
      <c r="DO4" s="12" t="n"/>
      <c r="DP4" s="13" t="n"/>
      <c r="DQ4" s="13" t="n"/>
      <c r="DR4" s="13" t="n"/>
      <c r="DS4" s="11" t="n"/>
      <c r="DT4" s="11" t="n"/>
      <c r="DU4" s="11" t="n"/>
    </row>
    <row r="5" ht="17.25" customHeight="1" s="162">
      <c r="A5" s="1" t="inlineStr">
        <is>
          <t>Terms</t>
        </is>
      </c>
      <c r="B5" s="2" t="n"/>
      <c r="P5" s="40">
        <f>$AD5</f>
        <v/>
      </c>
      <c r="Q5" s="41">
        <f>$AE5</f>
        <v/>
      </c>
      <c r="R5" s="42">
        <f>$AF5</f>
        <v/>
      </c>
      <c r="S5" s="43">
        <f>$AG5</f>
        <v/>
      </c>
      <c r="T5" s="44">
        <f>$AH5</f>
        <v/>
      </c>
      <c r="U5" s="33" t="inlineStr">
        <is>
          <t>RETAIL TTL</t>
        </is>
      </c>
      <c r="AB5" s="34" t="n"/>
      <c r="AC5" s="35" t="inlineStr">
        <is>
          <t>RETAIL TTL</t>
        </is>
      </c>
      <c r="AD5" s="45">
        <f>SUM($AE5,($AF5*1.2),($AG5*1.35),($AH5*0.74))</f>
        <v/>
      </c>
      <c r="AE5" s="46">
        <f>SUM($AI5:$AZ5)</f>
        <v/>
      </c>
      <c r="AF5" s="47">
        <f>SUM($BA5:$BC5)</f>
        <v/>
      </c>
      <c r="AG5" s="48">
        <f>SUM($BD5:$BF5)</f>
        <v/>
      </c>
      <c r="AH5" s="49">
        <f>SUM($BG5:$BI5)</f>
        <v/>
      </c>
      <c r="AI5" s="46">
        <f>if(SUM(BT10:BT883)=0,"",SUM(BT10:BT883))</f>
        <v/>
      </c>
      <c r="AJ5" s="51">
        <f>if(SUM(BU10:BU883)=0,"",SUM(BU10:BU883))</f>
        <v/>
      </c>
      <c r="AK5" s="51">
        <f>if(SUM(BV10:BV883)=0,"",SUM(BV10:BV883))</f>
        <v/>
      </c>
      <c r="AL5" s="51">
        <f>if(SUM(BW10:BW883)=0,"",SUM(BW10:BW883))</f>
        <v/>
      </c>
      <c r="AM5" s="51">
        <f>if(SUM(BX10:BX883)=0,"",SUM(BX10:BX883))</f>
        <v/>
      </c>
      <c r="AN5" s="51">
        <f>if(SUM(BY10:BY883)=0,"",SUM(BY10:BY883))</f>
        <v/>
      </c>
      <c r="AO5" s="51">
        <f>if(SUM(BZ10:BZ883)=0,"",SUM(BZ10:BZ883))</f>
        <v/>
      </c>
      <c r="AP5" s="51">
        <f>if(SUM(CA10:CA883)=0,"",SUM(CA10:CA883))</f>
        <v/>
      </c>
      <c r="AQ5" s="51">
        <f>if(SUM(CB10:CB883)=0,"",SUM(CB10:CB883))</f>
        <v/>
      </c>
      <c r="AR5" s="51">
        <f>if(SUM(CC10:CC883)=0,"",SUM(CC10:CC883))</f>
        <v/>
      </c>
      <c r="AS5" s="51">
        <f>if(SUM(CD10:CD883)=0,"",SUM(CD10:CD883))</f>
        <v/>
      </c>
      <c r="AT5" s="51">
        <f>if(SUM(CE10:CE883)=0,"",SUM(CE10:CE883))</f>
        <v/>
      </c>
      <c r="AU5" s="51">
        <f>if(SUM(CF10:CF883)=0,"",SUM(CF10:CF883))</f>
        <v/>
      </c>
      <c r="AV5" s="51">
        <f>if(SUM(CG10:CG883)=0,"",SUM(CG10:CG883))</f>
        <v/>
      </c>
      <c r="AW5" s="51">
        <f>if(SUM(CH10:CH883)=0,"",SUM(CH10:CH883))</f>
        <v/>
      </c>
      <c r="AX5" s="51">
        <f>if(SUM(CI10:CI883)=0,"",SUM(CI10:CI883))</f>
        <v/>
      </c>
      <c r="AY5" s="51">
        <f>if(SUM(CJ10:CJ883)=0,"",SUM(CJ10:CJ883))</f>
        <v/>
      </c>
      <c r="AZ5" s="51">
        <f>if(SUM(CK10:CK883)=0,"",SUM(CK10:CK883))</f>
        <v/>
      </c>
      <c r="BA5" s="47">
        <f>if(SUM(CL10:CL883)=0,"",SUM(CL10:CL883))</f>
        <v/>
      </c>
      <c r="BB5" s="47">
        <f>if(SUM(CM10:CM883)=0,"",SUM(CM10:CM883))</f>
        <v/>
      </c>
      <c r="BC5" s="47">
        <f>if(SUM(CN10:CN883)=0,"",SUM(CN10:CN883))</f>
        <v/>
      </c>
      <c r="BD5" s="48">
        <f>if(SUM(CO10:CO883)=0,"",SUM(CO10:CO883))</f>
        <v/>
      </c>
      <c r="BE5" s="48">
        <f>if(SUM(CP10:CP883)=0,"",SUM(CP10:CP883))</f>
        <v/>
      </c>
      <c r="BF5" s="48">
        <f>if(SUM(CQ10:CQ883)=0,"",SUM(CQ10:CQ883))</f>
        <v/>
      </c>
      <c r="BG5" s="51">
        <f>if(SUM(CR10:CR883)=0,"",SUM(CR10:CR883))</f>
        <v/>
      </c>
      <c r="BH5" s="51">
        <f>if(SUM(CS10:CS883)=0,"",SUM(CS10:CS883))</f>
        <v/>
      </c>
      <c r="BI5" s="49">
        <f>if(SUM(CT10:CT883)=0,"",SUM(CT10:CT883))</f>
        <v/>
      </c>
      <c r="BJ5" s="11" t="n"/>
      <c r="BK5" s="11" t="n"/>
      <c r="BL5" s="12" t="n"/>
      <c r="BM5" s="13" t="n"/>
      <c r="BN5" s="11" t="n"/>
      <c r="BT5" s="11" t="n"/>
      <c r="BU5" s="11" t="n"/>
      <c r="BV5" s="11" t="n"/>
      <c r="BW5" s="11" t="n"/>
      <c r="BX5" s="11" t="n"/>
      <c r="BY5" s="11" t="n"/>
      <c r="BZ5" s="11" t="n"/>
      <c r="CA5" s="11" t="n"/>
      <c r="CB5" s="11" t="n"/>
      <c r="CC5" s="11" t="n"/>
      <c r="CD5" s="11" t="n"/>
      <c r="CE5" s="11" t="n"/>
      <c r="CF5" s="11" t="n"/>
      <c r="CG5" s="11" t="n"/>
      <c r="CH5" s="11" t="n"/>
      <c r="CI5" s="11" t="n"/>
      <c r="CJ5" s="11" t="n"/>
      <c r="CK5" s="11" t="n"/>
      <c r="CL5" s="12" t="n"/>
      <c r="CM5" s="12" t="n"/>
      <c r="CN5" s="12" t="n"/>
      <c r="CO5" s="13" t="n"/>
      <c r="CP5" s="13" t="n"/>
      <c r="CQ5" s="13" t="n"/>
      <c r="CR5" s="11" t="n"/>
      <c r="CS5" s="11" t="n"/>
      <c r="CT5" s="11" t="n"/>
      <c r="CU5" s="11" t="n"/>
      <c r="CV5" s="11" t="n"/>
      <c r="CW5" s="11" t="n"/>
      <c r="CX5" s="11" t="n"/>
      <c r="CY5" s="11" t="n"/>
      <c r="CZ5" s="11" t="n"/>
      <c r="DA5" s="11" t="n"/>
      <c r="DB5" s="11" t="n"/>
      <c r="DC5" s="11" t="n"/>
      <c r="DD5" s="11" t="n"/>
      <c r="DE5" s="11" t="n"/>
      <c r="DF5" s="11" t="n"/>
      <c r="DG5" s="11" t="n"/>
      <c r="DH5" s="11" t="n"/>
      <c r="DI5" s="11" t="n"/>
      <c r="DJ5" s="11" t="n"/>
      <c r="DK5" s="11" t="n"/>
      <c r="DL5" s="11" t="n"/>
      <c r="DM5" s="12" t="n"/>
      <c r="DN5" s="12" t="n"/>
      <c r="DO5" s="12" t="n"/>
      <c r="DP5" s="13" t="n"/>
      <c r="DQ5" s="13" t="n"/>
      <c r="DR5" s="13" t="n"/>
      <c r="DS5" s="11" t="n"/>
      <c r="DT5" s="11" t="n"/>
      <c r="DU5" s="11" t="n"/>
    </row>
    <row r="6" ht="17.25" customHeight="1" s="162">
      <c r="B6" s="52" t="n"/>
      <c r="P6" s="53">
        <f>$AD6</f>
        <v/>
      </c>
      <c r="Q6" s="54">
        <f>$AE6</f>
        <v/>
      </c>
      <c r="R6" s="55">
        <f>$AF6</f>
        <v/>
      </c>
      <c r="S6" s="55">
        <f>$AG6</f>
        <v/>
      </c>
      <c r="T6" s="56">
        <f>$AH6</f>
        <v/>
      </c>
      <c r="U6" s="33" t="inlineStr">
        <is>
          <t>MARGIN%</t>
        </is>
      </c>
      <c r="AB6" s="34" t="n"/>
      <c r="AC6" s="35" t="inlineStr">
        <is>
          <t>MARGIN%</t>
        </is>
      </c>
      <c r="AD6" s="57">
        <f>IFERROR((AD5-AD4)/AD5,)</f>
        <v/>
      </c>
      <c r="AE6" s="58">
        <f>IFERROR((AE5-AE4)/AE5,)</f>
        <v/>
      </c>
      <c r="AF6" s="59">
        <f>IFERROR((AF5-AF4)/AF5,)</f>
        <v/>
      </c>
      <c r="AG6" s="59">
        <f>IFERROR((AG5-AG4)/AG5,)</f>
        <v/>
      </c>
      <c r="AH6" s="60">
        <f>IFERROR((AH5-AH4)/AH5,)</f>
        <v/>
      </c>
      <c r="AI6" s="58">
        <f>IFERROR((AI5-AI4)/AI5,)</f>
        <v/>
      </c>
      <c r="AJ6" s="59">
        <f>IFERROR((AJ5-AJ4)/AJ5,)</f>
        <v/>
      </c>
      <c r="AK6" s="59">
        <f>IFERROR((AK5-AK4)/AK5,)</f>
        <v/>
      </c>
      <c r="AL6" s="59">
        <f>IFERROR((AL5-AL4)/AL5,)</f>
        <v/>
      </c>
      <c r="AM6" s="59">
        <f>IFERROR((AM5-AM4)/AM5,)</f>
        <v/>
      </c>
      <c r="AN6" s="59">
        <f>IFERROR((AN5-AN4)/AN5,)</f>
        <v/>
      </c>
      <c r="AO6" s="59">
        <f>IFERROR((AO5-AO4)/AO5,)</f>
        <v/>
      </c>
      <c r="AP6" s="59">
        <f>IFERROR((AP5-AP4)/AP5,)</f>
        <v/>
      </c>
      <c r="AQ6" s="59">
        <f>IFERROR((AQ5-AQ4)/AQ5,)</f>
        <v/>
      </c>
      <c r="AR6" s="59">
        <f>IFERROR((AR5-AR4)/AR5,)</f>
        <v/>
      </c>
      <c r="AS6" s="59">
        <f>IFERROR((AS5-AS4)/AS5,)</f>
        <v/>
      </c>
      <c r="AT6" s="59">
        <f>IFERROR((AT5-AT4)/AT5,)</f>
        <v/>
      </c>
      <c r="AU6" s="59">
        <f>IFERROR((AU5-AU4)/AU5,)</f>
        <v/>
      </c>
      <c r="AV6" s="59">
        <f>IFERROR((AV5-AV4)/AV5,)</f>
        <v/>
      </c>
      <c r="AW6" s="59">
        <f>IFERROR((AW5-AW4)/AW5,)</f>
        <v/>
      </c>
      <c r="AX6" s="59">
        <f>IFERROR((AX5-AX4)/AX5,)</f>
        <v/>
      </c>
      <c r="AY6" s="59">
        <f>IFERROR((AY5-AY4)/AY5,)</f>
        <v/>
      </c>
      <c r="AZ6" s="59">
        <f>IFERROR((AZ5-AZ4)/AZ5,)</f>
        <v/>
      </c>
      <c r="BA6" s="59">
        <f>IFERROR((BA5-BA4)/BA5,)</f>
        <v/>
      </c>
      <c r="BB6" s="59">
        <f>IFERROR((BB5-BB4)/BB5,)</f>
        <v/>
      </c>
      <c r="BC6" s="59">
        <f>IFERROR((BC5-BC4)/BC5,)</f>
        <v/>
      </c>
      <c r="BD6" s="59">
        <f>IFERROR((BD5-BD4)/BD5,)</f>
        <v/>
      </c>
      <c r="BE6" s="59">
        <f>IFERROR((BE5-BE4)/BE5,)</f>
        <v/>
      </c>
      <c r="BF6" s="59">
        <f>IFERROR((BF5-BF4)/BF5,)</f>
        <v/>
      </c>
      <c r="BG6" s="59">
        <f>IFERROR((BG5-BG4)/BG5,)</f>
        <v/>
      </c>
      <c r="BH6" s="59">
        <f>IFERROR((BH5-BH4)/BH5,)</f>
        <v/>
      </c>
      <c r="BI6" s="60">
        <f>IFERROR((BI5-BI4)/BI5,)</f>
        <v/>
      </c>
      <c r="BJ6" s="11" t="n"/>
      <c r="BK6" s="11" t="n"/>
      <c r="BL6" s="12" t="n"/>
      <c r="BM6" s="13" t="n"/>
      <c r="BN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1" t="n"/>
      <c r="CI6" s="11" t="n"/>
      <c r="CJ6" s="11" t="n"/>
      <c r="CK6" s="11" t="n"/>
      <c r="CL6" s="12" t="n"/>
      <c r="CM6" s="12" t="n"/>
      <c r="CN6" s="12" t="n"/>
      <c r="CO6" s="13" t="n"/>
      <c r="CP6" s="13" t="n"/>
      <c r="CQ6" s="13" t="n"/>
      <c r="CR6" s="11" t="n"/>
      <c r="CS6" s="11" t="n"/>
      <c r="CT6" s="11" t="n"/>
      <c r="CU6" s="11" t="n"/>
      <c r="CV6" s="11" t="n"/>
      <c r="CW6" s="11" t="n"/>
      <c r="CX6" s="11" t="n"/>
      <c r="CY6" s="11" t="n"/>
      <c r="CZ6" s="11" t="n"/>
      <c r="DA6" s="11" t="n"/>
      <c r="DB6" s="11" t="n"/>
      <c r="DC6" s="11" t="n"/>
      <c r="DD6" s="11" t="n"/>
      <c r="DE6" s="11" t="n"/>
      <c r="DF6" s="11" t="n"/>
      <c r="DG6" s="11" t="n"/>
      <c r="DH6" s="11" t="n"/>
      <c r="DI6" s="11" t="n"/>
      <c r="DJ6" s="11" t="n"/>
      <c r="DK6" s="11" t="n"/>
      <c r="DL6" s="11" t="n"/>
      <c r="DM6" s="12" t="n"/>
      <c r="DN6" s="12" t="n"/>
      <c r="DO6" s="12" t="n"/>
      <c r="DP6" s="13" t="n"/>
      <c r="DQ6" s="13" t="n"/>
      <c r="DR6" s="13" t="n"/>
      <c r="DS6" s="11" t="n"/>
      <c r="DT6" s="11" t="n"/>
      <c r="DU6" s="11" t="n"/>
    </row>
    <row r="7" ht="17.25" customHeight="1" s="162">
      <c r="P7" s="61">
        <f>$AD7</f>
        <v/>
      </c>
      <c r="Q7" s="62">
        <f>$AE7</f>
        <v/>
      </c>
      <c r="R7" s="63">
        <f>$AF7</f>
        <v/>
      </c>
      <c r="S7" s="63">
        <f>$AG7</f>
        <v/>
      </c>
      <c r="T7" s="64">
        <f>$AH7</f>
        <v/>
      </c>
      <c r="U7" s="33" t="inlineStr">
        <is>
          <t>SKU TTL</t>
        </is>
      </c>
      <c r="AB7" s="34" t="n"/>
      <c r="AC7" s="35" t="inlineStr">
        <is>
          <t>SKU TTL</t>
        </is>
      </c>
      <c r="AD7" s="65">
        <f>if(COUNTIFS(AD10:AD883,"&gt;0")=0,"",COUNTIFS(AD10:AD883,"&gt;0"))</f>
        <v/>
      </c>
      <c r="AE7" s="66">
        <f>if(COUNTIFS(AE10:AE883,"&gt;0")=0,"",COUNTIFS(AE10:AE883,"&gt;0"))</f>
        <v/>
      </c>
      <c r="AF7" s="67">
        <f>if(COUNTIFS(AF10:AF883,"&gt;0")=0,"",COUNTIFS(AF10:AF883,"&gt;0"))</f>
        <v/>
      </c>
      <c r="AG7" s="67">
        <f>if(COUNTIFS(AG10:AG883,"&gt;0")=0,"",COUNTIFS(AG10:AG883,"&gt;0"))</f>
        <v/>
      </c>
      <c r="AH7" s="68">
        <f>if(COUNTIFS(AH10:AH883,"&gt;0")=0,"",COUNTIFS(AH10:AH883,"&gt;0"))</f>
        <v/>
      </c>
      <c r="AI7" s="66">
        <f>if(COUNTIFS(AI10:AI883,"&gt;0")=0,"",COUNTIFS(AI10:AI883,"&gt;0"))</f>
        <v/>
      </c>
      <c r="AJ7" s="67">
        <f>if(COUNTIFS(AJ10:AJ883,"&gt;0")=0,"",COUNTIFS(AJ10:AJ883,"&gt;0"))</f>
        <v/>
      </c>
      <c r="AK7" s="67">
        <f>if(COUNTIFS(AK10:AK883,"&gt;0")=0,"",COUNTIFS(AK10:AK883,"&gt;0"))</f>
        <v/>
      </c>
      <c r="AL7" s="67">
        <f>if(COUNTIFS(AL10:AL883,"&gt;0")=0,"",COUNTIFS(AL10:AL883,"&gt;0"))</f>
        <v/>
      </c>
      <c r="AM7" s="67">
        <f>if(COUNTIFS(AM10:AM883,"&gt;0")=0,"",COUNTIFS(AM10:AM883,"&gt;0"))</f>
        <v/>
      </c>
      <c r="AN7" s="67">
        <f>if(COUNTIFS(AN10:AN883,"&gt;0")=0,"",COUNTIFS(AN10:AN883,"&gt;0"))</f>
        <v/>
      </c>
      <c r="AO7" s="67">
        <f>if(COUNTIFS(AO10:AO883,"&gt;0")=0,"",COUNTIFS(AO10:AO883,"&gt;0"))</f>
        <v/>
      </c>
      <c r="AP7" s="67">
        <f>if(COUNTIFS(AP10:AP883,"&gt;0")=0,"",COUNTIFS(AP10:AP883,"&gt;0"))</f>
        <v/>
      </c>
      <c r="AQ7" s="67">
        <f>if(COUNTIFS(AQ10:AQ883,"&gt;0")=0,"",COUNTIFS(AQ10:AQ883,"&gt;0"))</f>
        <v/>
      </c>
      <c r="AR7" s="67">
        <f>if(COUNTIFS(AR10:AR883,"&gt;0")=0,"",COUNTIFS(AR10:AR883,"&gt;0"))</f>
        <v/>
      </c>
      <c r="AS7" s="67">
        <f>if(COUNTIFS(AS10:AS883,"&gt;0")=0,"",COUNTIFS(AS10:AS883,"&gt;0"))</f>
        <v/>
      </c>
      <c r="AT7" s="67">
        <f>if(COUNTIFS(AT10:AT883,"&gt;0")=0,"",COUNTIFS(AT10:AT883,"&gt;0"))</f>
        <v/>
      </c>
      <c r="AU7" s="67">
        <f>if(COUNTIFS(AU10:AU883,"&gt;0")=0,"",COUNTIFS(AU10:AU883,"&gt;0"))</f>
        <v/>
      </c>
      <c r="AV7" s="67">
        <f>if(COUNTIFS(AV10:AV883,"&gt;0")=0,"",COUNTIFS(AV10:AV883,"&gt;0"))</f>
        <v/>
      </c>
      <c r="AW7" s="67">
        <f>if(COUNTIFS(AW10:AW883,"&gt;0")=0,"",COUNTIFS(AW10:AW883,"&gt;0"))</f>
        <v/>
      </c>
      <c r="AX7" s="67">
        <f>if(COUNTIFS(AX10:AX883,"&gt;0")=0,"",COUNTIFS(AX10:AX883,"&gt;0"))</f>
        <v/>
      </c>
      <c r="AY7" s="67">
        <f>if(COUNTIFS(AY10:AY883,"&gt;0")=0,"",COUNTIFS(AY10:AY883,"&gt;0"))</f>
        <v/>
      </c>
      <c r="AZ7" s="67">
        <f>if(COUNTIFS(AZ10:AZ883,"&gt;0")=0,"",COUNTIFS(AZ10:AZ883,"&gt;0"))</f>
        <v/>
      </c>
      <c r="BA7" s="67">
        <f>if(COUNTIFS(BA10:BA883,"&gt;0")=0,"",COUNTIFS(BA10:BA883,"&gt;0"))</f>
        <v/>
      </c>
      <c r="BB7" s="67">
        <f>if(COUNTIFS(BB10:BB883,"&gt;0")=0,"",COUNTIFS(BB10:BB883,"&gt;0"))</f>
        <v/>
      </c>
      <c r="BC7" s="67">
        <f>if(COUNTIFS(BC10:BC883,"&gt;0")=0,"",COUNTIFS(BC10:BC883,"&gt;0"))</f>
        <v/>
      </c>
      <c r="BD7" s="67">
        <f>if(COUNTIFS(BD10:BD883,"&gt;0")=0,"",COUNTIFS(BD10:BD883,"&gt;0"))</f>
        <v/>
      </c>
      <c r="BE7" s="67">
        <f>if(COUNTIFS(BE10:BE883,"&gt;0")=0,"",COUNTIFS(BE10:BE883,"&gt;0"))</f>
        <v/>
      </c>
      <c r="BF7" s="67">
        <f>if(COUNTIFS(BF10:BF883,"&gt;0")=0,"",COUNTIFS(BF10:BF883,"&gt;0"))</f>
        <v/>
      </c>
      <c r="BG7" s="67">
        <f>if(COUNTIFS(BG10:BG883,"&gt;0")=0,"",COUNTIFS(BG10:BG883,"&gt;0"))</f>
        <v/>
      </c>
      <c r="BH7" s="67">
        <f>if(COUNTIFS(BH10:BH883,"&gt;0")=0,"",COUNTIFS(BH10:BH883,"&gt;0"))</f>
        <v/>
      </c>
      <c r="BI7" s="68">
        <f>if(COUNTIFS(BI10:BI883,"&gt;0")=0,"",COUNTIFS(BI10:BI883,"&gt;0"))</f>
        <v/>
      </c>
      <c r="BJ7" s="11" t="n"/>
      <c r="BK7" s="11" t="n"/>
      <c r="BL7" s="12" t="n"/>
      <c r="BM7" s="13" t="n"/>
      <c r="BN7" s="11" t="n"/>
      <c r="BT7" s="11" t="n"/>
      <c r="BU7" s="11" t="n"/>
      <c r="BV7" s="11" t="n"/>
      <c r="BW7" s="11" t="n"/>
      <c r="BX7" s="11" t="n"/>
      <c r="BY7" s="11" t="n"/>
      <c r="BZ7" s="11" t="n"/>
      <c r="CA7" s="11" t="n"/>
      <c r="CB7" s="11" t="n"/>
      <c r="CC7" s="11" t="n"/>
      <c r="CD7" s="11" t="n"/>
      <c r="CE7" s="11" t="n"/>
      <c r="CF7" s="11" t="n"/>
      <c r="CG7" s="11" t="n"/>
      <c r="CH7" s="11" t="n"/>
      <c r="CI7" s="11" t="n"/>
      <c r="CJ7" s="11" t="n"/>
      <c r="CK7" s="11" t="n"/>
      <c r="CL7" s="12" t="n"/>
      <c r="CM7" s="12" t="n"/>
      <c r="CN7" s="12" t="n"/>
      <c r="CO7" s="13" t="n"/>
      <c r="CP7" s="13" t="n"/>
      <c r="CQ7" s="13" t="n"/>
      <c r="CR7" s="11" t="n"/>
      <c r="CS7" s="11" t="n"/>
      <c r="CT7" s="11" t="n"/>
      <c r="CU7" s="11" t="n"/>
      <c r="CV7" s="11" t="n"/>
      <c r="CW7" s="11" t="n"/>
      <c r="CX7" s="11" t="n"/>
      <c r="CY7" s="11" t="n"/>
      <c r="CZ7" s="11" t="n"/>
      <c r="DA7" s="11" t="n"/>
      <c r="DB7" s="11" t="n"/>
      <c r="DC7" s="11" t="n"/>
      <c r="DD7" s="11" t="n"/>
      <c r="DE7" s="11" t="n"/>
      <c r="DF7" s="11" t="n"/>
      <c r="DG7" s="11" t="n"/>
      <c r="DH7" s="11" t="n"/>
      <c r="DI7" s="11" t="n"/>
      <c r="DJ7" s="11" t="n"/>
      <c r="DK7" s="11" t="n"/>
      <c r="DL7" s="11" t="n"/>
      <c r="DM7" s="12" t="n"/>
      <c r="DN7" s="12" t="n"/>
      <c r="DO7" s="12" t="n"/>
      <c r="DP7" s="13" t="n"/>
      <c r="DQ7" s="13" t="n"/>
      <c r="DR7" s="13" t="n"/>
      <c r="DS7" s="11" t="n"/>
      <c r="DT7" s="11" t="n"/>
      <c r="DU7" s="11" t="n"/>
    </row>
    <row r="8" ht="15" customHeight="1" s="162">
      <c r="BJ8" s="11" t="n"/>
      <c r="BK8" s="11" t="n"/>
      <c r="BL8" s="12" t="n"/>
      <c r="BM8" s="13" t="n"/>
      <c r="BN8" s="11" t="n"/>
      <c r="BT8" s="11" t="n"/>
      <c r="BU8" s="11" t="n"/>
      <c r="BV8" s="11" t="n"/>
      <c r="BW8" s="11" t="n"/>
      <c r="BX8" s="11" t="n"/>
      <c r="BY8" s="11" t="n"/>
      <c r="BZ8" s="11" t="n"/>
      <c r="CA8" s="11" t="n"/>
      <c r="CB8" s="11" t="n"/>
      <c r="CC8" s="11" t="n"/>
      <c r="CD8" s="11" t="n"/>
      <c r="CE8" s="11" t="n"/>
      <c r="CF8" s="11" t="n"/>
      <c r="CG8" s="11" t="n"/>
      <c r="CH8" s="11" t="n"/>
      <c r="CI8" s="11" t="n"/>
      <c r="CJ8" s="11" t="n"/>
      <c r="CK8" s="11" t="n"/>
      <c r="CL8" s="12" t="n"/>
      <c r="CM8" s="12" t="n"/>
      <c r="CN8" s="12" t="n"/>
      <c r="CO8" s="13" t="n"/>
      <c r="CP8" s="13" t="n"/>
      <c r="CQ8" s="13" t="n"/>
      <c r="CR8" s="11" t="n"/>
      <c r="CS8" s="11" t="n"/>
      <c r="CT8" s="11" t="n"/>
      <c r="CU8" s="11" t="n"/>
      <c r="CV8" s="11" t="n"/>
      <c r="CW8" s="11" t="n"/>
      <c r="CX8" s="11" t="n"/>
      <c r="CY8" s="11" t="n"/>
      <c r="CZ8" s="11" t="n"/>
      <c r="DA8" s="11" t="n"/>
      <c r="DB8" s="11" t="n"/>
      <c r="DC8" s="11" t="n"/>
      <c r="DD8" s="11" t="n"/>
      <c r="DE8" s="11" t="n"/>
      <c r="DF8" s="11" t="n"/>
      <c r="DG8" s="11" t="n"/>
      <c r="DH8" s="11" t="n"/>
      <c r="DI8" s="11" t="n"/>
      <c r="DJ8" s="11" t="n"/>
      <c r="DK8" s="11" t="n"/>
      <c r="DL8" s="11" t="n"/>
      <c r="DM8" s="12" t="n"/>
      <c r="DN8" s="12" t="n"/>
      <c r="DO8" s="12" t="n"/>
      <c r="DP8" s="13" t="n"/>
      <c r="DQ8" s="13" t="n"/>
      <c r="DR8" s="13" t="n"/>
      <c r="DS8" s="11" t="n"/>
      <c r="DT8" s="11" t="n"/>
      <c r="DU8" s="11" t="n"/>
    </row>
    <row r="9">
      <c r="A9" s="69" t="inlineStr">
        <is>
          <t>PHOTO</t>
        </is>
      </c>
      <c r="B9" s="70" t="inlineStr">
        <is>
          <t>STYLE #</t>
        </is>
      </c>
      <c r="C9" s="73" t="inlineStr">
        <is>
          <t>MG</t>
        </is>
      </c>
      <c r="D9" s="73" t="inlineStr">
        <is>
          <t>SG</t>
        </is>
      </c>
      <c r="E9" s="73" t="inlineStr">
        <is>
          <t>SSG</t>
        </is>
      </c>
      <c r="F9" s="73" t="inlineStr">
        <is>
          <t>Item 
Description</t>
        </is>
      </c>
      <c r="G9" s="73" t="inlineStr">
        <is>
          <t>Color Desc</t>
        </is>
      </c>
      <c r="H9" s="73" t="inlineStr">
        <is>
          <t>Standard Color</t>
        </is>
      </c>
      <c r="I9" s="74" t="inlineStr">
        <is>
          <t>Pre-Size</t>
        </is>
      </c>
      <c r="J9" s="73" t="inlineStr">
        <is>
          <t>PU1</t>
        </is>
      </c>
      <c r="K9" s="73" t="inlineStr">
        <is>
          <t>REORDER?</t>
        </is>
      </c>
      <c r="L9" s="73" t="inlineStr">
        <is>
          <t>US PO</t>
        </is>
      </c>
      <c r="M9" s="73" t="inlineStr">
        <is>
          <t>EU PO</t>
        </is>
      </c>
      <c r="N9" s="73" t="inlineStr">
        <is>
          <t>UK PO</t>
        </is>
      </c>
      <c r="O9" s="73" t="inlineStr">
        <is>
          <t>CA PO</t>
        </is>
      </c>
      <c r="P9" s="73" t="inlineStr">
        <is>
          <t>INTRO DATE</t>
        </is>
      </c>
      <c r="Q9" s="75" t="inlineStr">
        <is>
          <t>US NOTES</t>
        </is>
      </c>
      <c r="R9" s="75" t="inlineStr">
        <is>
          <t>EU NOTES</t>
        </is>
      </c>
      <c r="S9" s="75" t="inlineStr">
        <is>
          <t>UK NOTES</t>
        </is>
      </c>
      <c r="T9" s="75" t="inlineStr">
        <is>
          <t>CA NOTES</t>
        </is>
      </c>
      <c r="U9" s="75" t="inlineStr">
        <is>
          <t>LAUNCH</t>
        </is>
      </c>
      <c r="V9" s="76" t="inlineStr">
        <is>
          <t>USD
 Cost</t>
        </is>
      </c>
      <c r="W9" s="76" t="inlineStr">
        <is>
          <t>USD 
Retail</t>
        </is>
      </c>
      <c r="X9" s="77" t="inlineStr">
        <is>
          <t>EUR 
Cost</t>
        </is>
      </c>
      <c r="Y9" s="77" t="inlineStr">
        <is>
          <t>EUR 
Retail</t>
        </is>
      </c>
      <c r="Z9" s="78" t="inlineStr">
        <is>
          <t>GBP 
Cost</t>
        </is>
      </c>
      <c r="AA9" s="78" t="inlineStr">
        <is>
          <t>GBP 
Retail</t>
        </is>
      </c>
      <c r="AB9" s="79" t="inlineStr">
        <is>
          <t>CAD 
Cost</t>
        </is>
      </c>
      <c r="AC9" s="79" t="inlineStr">
        <is>
          <t>CAD 
Retail</t>
        </is>
      </c>
      <c r="AD9" s="73" t="inlineStr">
        <is>
          <t>GTTL</t>
        </is>
      </c>
      <c r="AE9" s="76" t="inlineStr">
        <is>
          <t>US
 TTL</t>
        </is>
      </c>
      <c r="AF9" s="77" t="inlineStr">
        <is>
          <t>EU 
TTL</t>
        </is>
      </c>
      <c r="AG9" s="78" t="inlineStr">
        <is>
          <t>UK 
TTL</t>
        </is>
      </c>
      <c r="AH9" s="80" t="inlineStr">
        <is>
          <t>CA 
TTL</t>
        </is>
      </c>
      <c r="AI9" s="81" t="inlineStr">
        <is>
          <t>DC4</t>
        </is>
      </c>
      <c r="AJ9" s="82" t="inlineStr">
        <is>
          <t>BU</t>
        </is>
      </c>
      <c r="AK9" s="83" t="inlineStr">
        <is>
          <t>01WH</t>
        </is>
      </c>
      <c r="AL9" s="83" t="inlineStr">
        <is>
          <t>03</t>
        </is>
      </c>
      <c r="AM9" s="83" t="inlineStr">
        <is>
          <t>04</t>
        </is>
      </c>
      <c r="AN9" s="83" t="inlineStr">
        <is>
          <t>02</t>
        </is>
      </c>
      <c r="AO9" s="83" t="inlineStr">
        <is>
          <t>06</t>
        </is>
      </c>
      <c r="AP9" s="83" t="inlineStr">
        <is>
          <t>07</t>
        </is>
      </c>
      <c r="AQ9" s="83" t="inlineStr">
        <is>
          <t>08</t>
        </is>
      </c>
      <c r="AR9" s="84" t="n">
        <v>10</v>
      </c>
      <c r="AS9" s="84" t="n">
        <v>11</v>
      </c>
      <c r="AT9" s="84" t="n">
        <v>12</v>
      </c>
      <c r="AU9" s="84" t="n">
        <v>13</v>
      </c>
      <c r="AV9" s="84" t="n">
        <v>14</v>
      </c>
      <c r="AW9" s="84" t="n">
        <v>15</v>
      </c>
      <c r="AX9" s="84" t="n">
        <v>16</v>
      </c>
      <c r="AY9" s="84" t="n">
        <v>17</v>
      </c>
      <c r="AZ9" s="85" t="n">
        <v>18</v>
      </c>
      <c r="BA9" s="86" t="inlineStr">
        <is>
          <t>DC20</t>
        </is>
      </c>
      <c r="BB9" s="87" t="n">
        <v>21</v>
      </c>
      <c r="BC9" s="88" t="n">
        <v>22</v>
      </c>
      <c r="BD9" s="89" t="inlineStr">
        <is>
          <t>DC30</t>
        </is>
      </c>
      <c r="BE9" s="90" t="n">
        <v>31</v>
      </c>
      <c r="BF9" s="91" t="n">
        <v>32</v>
      </c>
      <c r="BG9" s="92" t="inlineStr">
        <is>
          <t>DC75</t>
        </is>
      </c>
      <c r="BH9" s="93" t="n">
        <v>71</v>
      </c>
      <c r="BI9" s="93" t="n">
        <v>72</v>
      </c>
      <c r="BJ9" s="94" t="inlineStr">
        <is>
          <t>GTTL EXTRETAIL</t>
        </is>
      </c>
      <c r="BK9" s="95" t="inlineStr">
        <is>
          <t>US
EXTRETAIL</t>
        </is>
      </c>
      <c r="BL9" s="96" t="inlineStr">
        <is>
          <t>EU
EXTRETAIL</t>
        </is>
      </c>
      <c r="BM9" s="97" t="inlineStr">
        <is>
          <t>UK
EXTRETAIL</t>
        </is>
      </c>
      <c r="BN9" s="98" t="inlineStr">
        <is>
          <t>CA
EXTRETAIL</t>
        </is>
      </c>
      <c r="BO9" s="73" t="inlineStr">
        <is>
          <t>GTTL EXTCOST</t>
        </is>
      </c>
      <c r="BP9" s="76" t="inlineStr">
        <is>
          <t>US
EXTCOST</t>
        </is>
      </c>
      <c r="BQ9" s="77" t="inlineStr">
        <is>
          <t>EU
EXTCOST</t>
        </is>
      </c>
      <c r="BR9" s="78" t="inlineStr">
        <is>
          <t>UK
EXTCOST</t>
        </is>
      </c>
      <c r="BS9" s="80" t="inlineStr">
        <is>
          <t>CA
EXTCOST</t>
        </is>
      </c>
      <c r="BT9" s="99" t="inlineStr">
        <is>
          <t>DC4 EXTR</t>
        </is>
      </c>
      <c r="BU9" s="100" t="inlineStr">
        <is>
          <t>BU EXTR</t>
        </is>
      </c>
      <c r="BV9" s="101" t="inlineStr">
        <is>
          <t>01WH EXTR</t>
        </is>
      </c>
      <c r="BW9" s="101" t="inlineStr">
        <is>
          <t>03 EXTR</t>
        </is>
      </c>
      <c r="BX9" s="101" t="inlineStr">
        <is>
          <t>04 EXTR</t>
        </is>
      </c>
      <c r="BY9" s="101" t="inlineStr">
        <is>
          <t>02 EXTR</t>
        </is>
      </c>
      <c r="BZ9" s="101" t="inlineStr">
        <is>
          <t>06 EXTR</t>
        </is>
      </c>
      <c r="CA9" s="101" t="inlineStr">
        <is>
          <t>07 EXTR</t>
        </is>
      </c>
      <c r="CB9" s="101" t="inlineStr">
        <is>
          <t>08 EXTR</t>
        </is>
      </c>
      <c r="CC9" s="102" t="inlineStr">
        <is>
          <t>10 EXTR</t>
        </is>
      </c>
      <c r="CD9" s="102" t="inlineStr">
        <is>
          <t>11 EXTR</t>
        </is>
      </c>
      <c r="CE9" s="102" t="inlineStr">
        <is>
          <t>12 EXTR</t>
        </is>
      </c>
      <c r="CF9" s="102" t="inlineStr">
        <is>
          <t>13 EXTR</t>
        </is>
      </c>
      <c r="CG9" s="102" t="inlineStr">
        <is>
          <t>14 EXTR</t>
        </is>
      </c>
      <c r="CH9" s="102" t="inlineStr">
        <is>
          <t>15 EXTR</t>
        </is>
      </c>
      <c r="CI9" s="102" t="inlineStr">
        <is>
          <t>16 EXTR</t>
        </is>
      </c>
      <c r="CJ9" s="102" t="inlineStr">
        <is>
          <t>17 EXTR</t>
        </is>
      </c>
      <c r="CK9" s="103" t="inlineStr">
        <is>
          <t>18 EXTR</t>
        </is>
      </c>
      <c r="CL9" s="104" t="inlineStr">
        <is>
          <t>DC20 EXTR</t>
        </is>
      </c>
      <c r="CM9" s="105" t="inlineStr">
        <is>
          <t>21 EXTR</t>
        </is>
      </c>
      <c r="CN9" s="106" t="inlineStr">
        <is>
          <t>22 EXTR</t>
        </is>
      </c>
      <c r="CO9" s="107" t="inlineStr">
        <is>
          <t>DC30 EXTR</t>
        </is>
      </c>
      <c r="CP9" s="108" t="inlineStr">
        <is>
          <t>31 EXTR</t>
        </is>
      </c>
      <c r="CQ9" s="109" t="inlineStr">
        <is>
          <t>32 EXTR</t>
        </is>
      </c>
      <c r="CR9" s="110" t="inlineStr">
        <is>
          <t>DC75 EXTR</t>
        </is>
      </c>
      <c r="CS9" s="111" t="inlineStr">
        <is>
          <t>71 EXTR</t>
        </is>
      </c>
      <c r="CT9" s="111" t="inlineStr">
        <is>
          <t>72 EXTR</t>
        </is>
      </c>
      <c r="CU9" s="99" t="inlineStr">
        <is>
          <t>DC4 EXTC</t>
        </is>
      </c>
      <c r="CV9" s="100" t="inlineStr">
        <is>
          <t>BU EXTC</t>
        </is>
      </c>
      <c r="CW9" s="101" t="inlineStr">
        <is>
          <t>01WH EXTC</t>
        </is>
      </c>
      <c r="CX9" s="101" t="inlineStr">
        <is>
          <t>03 EXTC</t>
        </is>
      </c>
      <c r="CY9" s="101" t="inlineStr">
        <is>
          <t>04 EXTC</t>
        </is>
      </c>
      <c r="CZ9" s="101" t="inlineStr">
        <is>
          <t>02 EXTC</t>
        </is>
      </c>
      <c r="DA9" s="101" t="inlineStr">
        <is>
          <t>06 EXTC</t>
        </is>
      </c>
      <c r="DB9" s="101" t="inlineStr">
        <is>
          <t>07 EXTC</t>
        </is>
      </c>
      <c r="DC9" s="101" t="inlineStr">
        <is>
          <t>08 EXTC</t>
        </is>
      </c>
      <c r="DD9" s="102" t="inlineStr">
        <is>
          <t>10 EXTC</t>
        </is>
      </c>
      <c r="DE9" s="102" t="inlineStr">
        <is>
          <t>11 EXTC</t>
        </is>
      </c>
      <c r="DF9" s="102" t="inlineStr">
        <is>
          <t>12 EXTC</t>
        </is>
      </c>
      <c r="DG9" s="102" t="inlineStr">
        <is>
          <t>13 EXTC</t>
        </is>
      </c>
      <c r="DH9" s="102" t="inlineStr">
        <is>
          <t>14 EXTC</t>
        </is>
      </c>
      <c r="DI9" s="102" t="inlineStr">
        <is>
          <t>15 EXTC</t>
        </is>
      </c>
      <c r="DJ9" s="102" t="inlineStr">
        <is>
          <t>16 EXTC</t>
        </is>
      </c>
      <c r="DK9" s="102" t="inlineStr">
        <is>
          <t>17 EXTC</t>
        </is>
      </c>
      <c r="DL9" s="103" t="inlineStr">
        <is>
          <t>18 EXTC</t>
        </is>
      </c>
      <c r="DM9" s="104" t="inlineStr">
        <is>
          <t>DC20 EXTC</t>
        </is>
      </c>
      <c r="DN9" s="105" t="inlineStr">
        <is>
          <t>21 EXTC</t>
        </is>
      </c>
      <c r="DO9" s="106" t="inlineStr">
        <is>
          <t>22 EXTC</t>
        </is>
      </c>
      <c r="DP9" s="107" t="inlineStr">
        <is>
          <t>DC30 EXTC</t>
        </is>
      </c>
      <c r="DQ9" s="108" t="inlineStr">
        <is>
          <t>31 EXTC</t>
        </is>
      </c>
      <c r="DR9" s="109" t="inlineStr">
        <is>
          <t>32 EXTC</t>
        </is>
      </c>
      <c r="DS9" s="110" t="inlineStr">
        <is>
          <t>DC75 EXTC</t>
        </is>
      </c>
      <c r="DT9" s="111" t="inlineStr">
        <is>
          <t>71 EXTC</t>
        </is>
      </c>
      <c r="DU9" s="111" t="inlineStr">
        <is>
          <t>72 EXTC</t>
        </is>
      </c>
    </row>
    <row r="10" ht="60" customHeight="1" s="162">
      <c r="A10" s="115" t="n"/>
      <c r="B10" s="113" t="n"/>
      <c r="C10" s="115" t="n"/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  <c r="O10" s="115" t="n"/>
      <c r="P10" s="115" t="n"/>
      <c r="Q10" s="115" t="n"/>
      <c r="R10" s="115" t="n"/>
      <c r="S10" s="115" t="n"/>
      <c r="T10" s="115" t="n"/>
      <c r="U10" s="116" t="n"/>
      <c r="V10" s="116" t="n"/>
      <c r="W10" s="117" t="n"/>
      <c r="X10" s="118" t="n"/>
      <c r="Y10" s="119" t="n"/>
      <c r="Z10" s="120" t="n"/>
      <c r="AA10" s="121" t="n"/>
      <c r="AB10" s="122" t="n"/>
      <c r="AC10" s="117" t="n"/>
      <c r="AD10" s="123">
        <f>IF(SUM($AE10:$AH10)=0,"",SUM($AE10:$AH10))</f>
        <v/>
      </c>
      <c r="AE10" s="123">
        <f>iferror(IF(SUM($AI10:$AZ10)=0,"",SUM($AI10:$AZ10)),"")</f>
        <v/>
      </c>
      <c r="AF10" s="123">
        <f>iferror(IF(SUM($BA10:$BC10)=0,"",SUM($BA10:$BC10)),"")</f>
        <v/>
      </c>
      <c r="AG10" s="123">
        <f>iferror(IF(SUM($BD10:$BF10)=0,"",SUM($BD10:$BF10)),"")</f>
        <v/>
      </c>
      <c r="AH10" s="124">
        <f>iferror(IF(SUM($BG10:$BI10)=0,"",SUM($BG10:$BI10)),"")</f>
        <v/>
      </c>
      <c r="AI10" s="125" t="n"/>
      <c r="AJ10" s="126" t="n"/>
      <c r="AK10" s="126" t="n"/>
      <c r="AL10" s="126" t="n"/>
      <c r="AM10" s="126" t="n"/>
      <c r="AN10" s="126" t="n"/>
      <c r="AO10" s="126" t="n"/>
      <c r="AP10" s="126" t="n"/>
      <c r="AQ10" s="126" t="n"/>
      <c r="AR10" s="126" t="n"/>
      <c r="AS10" s="126" t="n"/>
      <c r="AT10" s="126" t="n"/>
      <c r="AU10" s="126" t="n"/>
      <c r="AV10" s="126" t="n"/>
      <c r="AW10" s="126" t="n"/>
      <c r="AX10" s="126" t="n"/>
      <c r="AY10" s="126" t="n"/>
      <c r="AZ10" s="127" t="n"/>
      <c r="BA10" s="125" t="n"/>
      <c r="BB10" s="126" t="n"/>
      <c r="BC10" s="127" t="n"/>
      <c r="BD10" s="125" t="n"/>
      <c r="BE10" s="126" t="n"/>
      <c r="BF10" s="127" t="n"/>
      <c r="BG10" s="125" t="n"/>
      <c r="BH10" s="126" t="n"/>
      <c r="BI10" s="126" t="n"/>
      <c r="BJ10" s="128">
        <f>iferror(SUM($BK10,($BL10*1.2),($BM10*1.35),($BN10*0.74)),)</f>
        <v/>
      </c>
      <c r="BK10" s="128">
        <f>IFERROR(SUM($BT10:$CK10),)</f>
        <v/>
      </c>
      <c r="BL10" s="129">
        <f>IFERROR(SUM($CL10:$CN10),)</f>
        <v/>
      </c>
      <c r="BM10" s="130">
        <f>IFERROR(SUM($CO10:$CQ10),)</f>
        <v/>
      </c>
      <c r="BN10" s="128">
        <f>IFERROR(SUM($CR10:$CT10),)</f>
        <v/>
      </c>
      <c r="BO10" s="128">
        <f>iferror(SUM($BP10,($BQ10*1.2),($BR10*1.35),($BS10*0.74)),)</f>
        <v/>
      </c>
      <c r="BP10" s="128">
        <f>IFERROR(SUM($CU10:$DL10),)</f>
        <v/>
      </c>
      <c r="BQ10" s="128">
        <f>IFERROR(SUM($DM10:$DO10),)</f>
        <v/>
      </c>
      <c r="BR10" s="128">
        <f>IFERROR(SUM($DP10:$DR10),)</f>
        <v/>
      </c>
      <c r="BS10" s="128">
        <f>IFERROR(SUM($DS10:$DU10),)</f>
        <v/>
      </c>
      <c r="BT10" s="128">
        <f>IFERROR(AI10*$W10,)</f>
        <v/>
      </c>
      <c r="BU10" s="128">
        <f>IFERROR(AJ10*$W10,)</f>
        <v/>
      </c>
      <c r="BV10" s="128">
        <f>IFERROR(AK10*$W10,)</f>
        <v/>
      </c>
      <c r="BW10" s="128">
        <f>IFERROR(AL10*$W10,)</f>
        <v/>
      </c>
      <c r="BX10" s="128">
        <f>IFERROR(AM10*$W10,)</f>
        <v/>
      </c>
      <c r="BY10" s="128">
        <f>IFERROR(AN10*$W10,)</f>
        <v/>
      </c>
      <c r="BZ10" s="128">
        <f>IFERROR(AO10*$W10,)</f>
        <v/>
      </c>
      <c r="CA10" s="128">
        <f>IFERROR(AP10*$W10,)</f>
        <v/>
      </c>
      <c r="CB10" s="128">
        <f>IFERROR(AQ10*$W10,)</f>
        <v/>
      </c>
      <c r="CC10" s="128">
        <f>IFERROR(AR10*$W10,)</f>
        <v/>
      </c>
      <c r="CD10" s="128">
        <f>IFERROR(AS10*$W10,)</f>
        <v/>
      </c>
      <c r="CE10" s="128">
        <f>IFERROR(AT10*$W10,)</f>
        <v/>
      </c>
      <c r="CF10" s="128">
        <f>IFERROR(AU10*$W10,)</f>
        <v/>
      </c>
      <c r="CG10" s="128">
        <f>IFERROR(AV10*$W10,)</f>
        <v/>
      </c>
      <c r="CH10" s="128">
        <f>IFERROR(AW10*$W10,)</f>
        <v/>
      </c>
      <c r="CI10" s="128">
        <f>IFERROR(AX10*$W10,)</f>
        <v/>
      </c>
      <c r="CJ10" s="128">
        <f>IFERROR(AY10*$W10,)</f>
        <v/>
      </c>
      <c r="CK10" s="128">
        <f>IFERROR(AZ10*$W10,)</f>
        <v/>
      </c>
      <c r="CL10" s="129">
        <f>IFERROR(if($Y10=0,BA10*($W10/1.2),BA10*$Y10),"")</f>
        <v/>
      </c>
      <c r="CM10" s="129">
        <f>IFERROR(if($Y10=0,BB10*($W10/1.2),BB10*$Y10),"")</f>
        <v/>
      </c>
      <c r="CN10" s="129">
        <f>IFERROR(if($Y10=0,BC10*($W10/1.2),BC10*$Y10),"")</f>
        <v/>
      </c>
      <c r="CO10" s="130">
        <f>IFERROR(if($AA10=0,($W10/1.35)*BD10,BD10*$AA10),)</f>
        <v/>
      </c>
      <c r="CP10" s="130">
        <f>IFERROR(if($AA10=0,($W10/1.35)*BE10,BE10*$AA10),)</f>
        <v/>
      </c>
      <c r="CQ10" s="130">
        <f>IFERROR(if($AA10=0,($W10/1.35)*BF10,BF10*$AA10),)</f>
        <v/>
      </c>
      <c r="CR10" s="128">
        <f>IFERROR(if($AC10=0,($W10/0.74)*BG10,
BG10*$AC10),)</f>
        <v/>
      </c>
      <c r="CS10" s="128">
        <f>IFERROR(if($AC10=0,($W10/0.74)*BH10,
BH10*$AC10),)</f>
        <v/>
      </c>
      <c r="CT10" s="128">
        <f>IFERROR(if($AC10=0,($W10/0.74)*BI10,
BI10*$AC10),)</f>
        <v/>
      </c>
      <c r="CU10" s="128">
        <f>IFERROR(AI10*$V10,)</f>
        <v/>
      </c>
      <c r="CV10" s="128">
        <f>IFERROR(AJ10*$V10,)</f>
        <v/>
      </c>
      <c r="CW10" s="128">
        <f>IFERROR(AK10*$V10,)</f>
        <v/>
      </c>
      <c r="CX10" s="128">
        <f>IFERROR(AL10*$V10,)</f>
        <v/>
      </c>
      <c r="CY10" s="128">
        <f>IFERROR(AM10*$V10,)</f>
        <v/>
      </c>
      <c r="CZ10" s="128">
        <f>IFERROR(AN10*$V10,)</f>
        <v/>
      </c>
      <c r="DA10" s="128">
        <f>IFERROR(AO10*$V10,)</f>
        <v/>
      </c>
      <c r="DB10" s="128">
        <f>IFERROR(AP10*$V10,)</f>
        <v/>
      </c>
      <c r="DC10" s="128">
        <f>IFERROR(AQ10*$V10,)</f>
        <v/>
      </c>
      <c r="DD10" s="128">
        <f>IFERROR(AR10*$V10,)</f>
        <v/>
      </c>
      <c r="DE10" s="128">
        <f>IFERROR(AS10*$V10,)</f>
        <v/>
      </c>
      <c r="DF10" s="128">
        <f>IFERROR(AT10*$V10,)</f>
        <v/>
      </c>
      <c r="DG10" s="128">
        <f>IFERROR(AU10*$V10,)</f>
        <v/>
      </c>
      <c r="DH10" s="128">
        <f>IFERROR(AV10*$V10,)</f>
        <v/>
      </c>
      <c r="DI10" s="128">
        <f>IFERROR(AW10*$V10,)</f>
        <v/>
      </c>
      <c r="DJ10" s="128">
        <f>IFERROR(AX10*$V10,)</f>
        <v/>
      </c>
      <c r="DK10" s="128">
        <f>IFERROR(AY10*$V10,)</f>
        <v/>
      </c>
      <c r="DL10" s="128">
        <f>IFERROR(AZ10*$V10,)</f>
        <v/>
      </c>
      <c r="DM10" s="129">
        <f>IFERROR(if($X10=0,($V10/1.2)*BA10,
BA10*$X10),)</f>
        <v/>
      </c>
      <c r="DN10" s="129">
        <f>IFERROR(if($X10=0,($V10/1.2)*BB10,
BB10*$X10),)</f>
        <v/>
      </c>
      <c r="DO10" s="129">
        <f>IFERROR(if($X10=0,($V10/1.2)*BC10,
BC10*$X10),)</f>
        <v/>
      </c>
      <c r="DP10" s="130">
        <f>IFERROR(if($Z10=0,($V10/1.35)*BD10,
BD10*$Z10),)</f>
        <v/>
      </c>
      <c r="DQ10" s="130">
        <f>IFERROR(if($Z10=0,($V10/1.35)*BE10,
BE10*$Z10),)</f>
        <v/>
      </c>
      <c r="DR10" s="130">
        <f>IFERROR(if($Z10=0,($V10/1.35)*BF10,
BF10*$Z10),)</f>
        <v/>
      </c>
      <c r="DS10" s="128">
        <f>IFERROR(IF($AB10=0,($V10/0.74)*BG10,
BG10*$AB10),)</f>
        <v/>
      </c>
      <c r="DT10" s="128">
        <f>IFERROR(IF($AB10=0,($V10/0.74)*BH10,
BH10*$AB10),)</f>
        <v/>
      </c>
      <c r="DU10" s="128">
        <f>IFERROR(IF($AB10=0,($V10/0.74)*BI10,
BI10*$AB10),)</f>
        <v/>
      </c>
    </row>
    <row r="11" ht="60" customHeight="1" s="162">
      <c r="A11" s="115" t="n"/>
      <c r="B11" s="113" t="n"/>
      <c r="C11" s="115" t="n"/>
      <c r="D11" s="115" t="n"/>
      <c r="E11" s="115" t="n"/>
      <c r="F11" s="115" t="n"/>
      <c r="G11" s="115" t="n"/>
      <c r="H11" s="115" t="n"/>
      <c r="I11" s="115" t="n"/>
      <c r="J11" s="115" t="n"/>
      <c r="K11" s="115" t="n"/>
      <c r="L11" s="115" t="n"/>
      <c r="M11" s="115" t="n"/>
      <c r="N11" s="115" t="n"/>
      <c r="O11" s="115" t="n"/>
      <c r="P11" s="115" t="n"/>
      <c r="Q11" s="115" t="n"/>
      <c r="R11" s="115" t="n"/>
      <c r="S11" s="115" t="n"/>
      <c r="T11" s="115" t="n"/>
      <c r="U11" s="116" t="n"/>
      <c r="V11" s="116" t="n"/>
      <c r="W11" s="117" t="n"/>
      <c r="X11" s="118" t="n"/>
      <c r="Y11" s="119" t="n"/>
      <c r="Z11" s="120" t="n"/>
      <c r="AA11" s="121" t="n"/>
      <c r="AB11" s="122" t="n"/>
      <c r="AC11" s="117" t="n"/>
      <c r="AD11" s="123">
        <f>IF(SUM($AE11:$AH11)=0,"",SUM($AE11:$AH11))</f>
        <v/>
      </c>
      <c r="AE11" s="123">
        <f>iferror(IF(SUM($AI11:$AZ11)=0,"",SUM($AI11:$AZ11)),"")</f>
        <v/>
      </c>
      <c r="AF11" s="123">
        <f>iferror(IF(SUM($BA11:$BC11)=0,"",SUM($BA11:$BC11)),"")</f>
        <v/>
      </c>
      <c r="AG11" s="123">
        <f>iferror(IF(SUM($BD11:$BF11)=0,"",SUM($BD11:$BF11)),"")</f>
        <v/>
      </c>
      <c r="AH11" s="124">
        <f>iferror(IF(SUM($BG11:$BI11)=0,"",SUM($BG11:$BI11)),"")</f>
        <v/>
      </c>
      <c r="AI11" s="131" t="n"/>
      <c r="AJ11" s="132" t="n"/>
      <c r="AK11" s="132" t="n"/>
      <c r="AL11" s="132" t="n"/>
      <c r="AM11" s="132" t="n"/>
      <c r="AN11" s="132" t="n"/>
      <c r="AO11" s="132" t="n"/>
      <c r="AP11" s="132" t="n"/>
      <c r="AQ11" s="132" t="n"/>
      <c r="AR11" s="132" t="n"/>
      <c r="AS11" s="132" t="n"/>
      <c r="AT11" s="132" t="n"/>
      <c r="AU11" s="132" t="n"/>
      <c r="AV11" s="132" t="n"/>
      <c r="AW11" s="132" t="n"/>
      <c r="AX11" s="132" t="n"/>
      <c r="AY11" s="132" t="n"/>
      <c r="AZ11" s="133" t="n"/>
      <c r="BA11" s="131" t="n"/>
      <c r="BB11" s="132" t="n"/>
      <c r="BC11" s="133" t="n"/>
      <c r="BD11" s="131" t="n"/>
      <c r="BE11" s="132" t="n"/>
      <c r="BF11" s="133" t="n"/>
      <c r="BG11" s="131" t="n"/>
      <c r="BH11" s="132" t="n"/>
      <c r="BI11" s="132" t="n"/>
      <c r="BJ11" s="128">
        <f>iferror(SUM($BK11,($BL11*1.2),($BM11*1.35),($BN11*0.74)),)</f>
        <v/>
      </c>
      <c r="BK11" s="128">
        <f>IFERROR(SUM($BT11:$CK11),)</f>
        <v/>
      </c>
      <c r="BL11" s="129">
        <f>IFERROR(SUM($CL11:$CN11),)</f>
        <v/>
      </c>
      <c r="BM11" s="130">
        <f>IFERROR(SUM($CO11:$CQ11),)</f>
        <v/>
      </c>
      <c r="BN11" s="128">
        <f>IFERROR(SUM($CR11:$CT11),)</f>
        <v/>
      </c>
      <c r="BO11" s="128">
        <f>iferror(SUM($BP11,($BQ11*1.2),($BR11*1.35),($BS11*0.74)),)</f>
        <v/>
      </c>
      <c r="BP11" s="128">
        <f>IFERROR(SUM($CU11:$DL11),)</f>
        <v/>
      </c>
      <c r="BQ11" s="128">
        <f>IFERROR(SUM($DM11:$DO11),)</f>
        <v/>
      </c>
      <c r="BR11" s="128">
        <f>IFERROR(SUM($DP11:$DR11),)</f>
        <v/>
      </c>
      <c r="BS11" s="128">
        <f>IFERROR(SUM($DS11:$DU11),)</f>
        <v/>
      </c>
      <c r="BT11" s="128">
        <f>IFERROR(AI11*$W11,)</f>
        <v/>
      </c>
      <c r="BU11" s="128">
        <f>IFERROR(AJ11*$W11,)</f>
        <v/>
      </c>
      <c r="BV11" s="128">
        <f>IFERROR(AK11*$W11,)</f>
        <v/>
      </c>
      <c r="BW11" s="128">
        <f>IFERROR(AL11*$W11,)</f>
        <v/>
      </c>
      <c r="BX11" s="128">
        <f>IFERROR(AM11*$W11,)</f>
        <v/>
      </c>
      <c r="BY11" s="128">
        <f>IFERROR(AN11*$W11,)</f>
        <v/>
      </c>
      <c r="BZ11" s="128">
        <f>IFERROR(AO11*$W11,)</f>
        <v/>
      </c>
      <c r="CA11" s="128">
        <f>IFERROR(AP11*$W11,)</f>
        <v/>
      </c>
      <c r="CB11" s="128">
        <f>IFERROR(AQ11*$W11,)</f>
        <v/>
      </c>
      <c r="CC11" s="128">
        <f>IFERROR(AR11*$W11,)</f>
        <v/>
      </c>
      <c r="CD11" s="128">
        <f>IFERROR(AS11*$W11,)</f>
        <v/>
      </c>
      <c r="CE11" s="128">
        <f>IFERROR(AT11*$W11,)</f>
        <v/>
      </c>
      <c r="CF11" s="128">
        <f>IFERROR(AU11*$W11,)</f>
        <v/>
      </c>
      <c r="CG11" s="128">
        <f>IFERROR(AV11*$W11,)</f>
        <v/>
      </c>
      <c r="CH11" s="128">
        <f>IFERROR(AW11*$W11,)</f>
        <v/>
      </c>
      <c r="CI11" s="128">
        <f>IFERROR(AX11*$W11,)</f>
        <v/>
      </c>
      <c r="CJ11" s="128">
        <f>IFERROR(AY11*$W11,)</f>
        <v/>
      </c>
      <c r="CK11" s="128">
        <f>IFERROR(AZ11*$W11,)</f>
        <v/>
      </c>
      <c r="CL11" s="129">
        <f>IFERROR(if($Y11=0,BA11*($W11/1.2),BA11*$Y11),"")</f>
        <v/>
      </c>
      <c r="CM11" s="129">
        <f>IFERROR(if($Y11=0,BB11*($W11/1.2),BB11*$Y11),"")</f>
        <v/>
      </c>
      <c r="CN11" s="129">
        <f>IFERROR(if($Y11=0,BC11*($W11/1.2),BC11*$Y11),"")</f>
        <v/>
      </c>
      <c r="CO11" s="130">
        <f>IFERROR(if($AA11=0,($W11/1.35)*BD11,BD11*$AA11),)</f>
        <v/>
      </c>
      <c r="CP11" s="130">
        <f>IFERROR(if($AA11=0,($W11/1.35)*BE11,BE11*$AA11),)</f>
        <v/>
      </c>
      <c r="CQ11" s="130">
        <f>IFERROR(if($AA11=0,($W11/1.35)*BF11,BF11*$AA11),)</f>
        <v/>
      </c>
      <c r="CR11" s="128">
        <f>IFERROR(if($AC11=0,($W11/0.74)*BG11,
BG11*$AC11),)</f>
        <v/>
      </c>
      <c r="CS11" s="128">
        <f>IFERROR(if($AC11=0,($W11/0.74)*BH11,
BH11*$AC11),)</f>
        <v/>
      </c>
      <c r="CT11" s="128">
        <f>IFERROR(if($AC11=0,($W11/0.74)*BI11,
BI11*$AC11),)</f>
        <v/>
      </c>
      <c r="CU11" s="128">
        <f>IFERROR(AI11*$V11,)</f>
        <v/>
      </c>
      <c r="CV11" s="128">
        <f>IFERROR(AJ11*$V11,)</f>
        <v/>
      </c>
      <c r="CW11" s="128">
        <f>IFERROR(AK11*$V11,)</f>
        <v/>
      </c>
      <c r="CX11" s="128">
        <f>IFERROR(AL11*$V11,)</f>
        <v/>
      </c>
      <c r="CY11" s="128">
        <f>IFERROR(AM11*$V11,)</f>
        <v/>
      </c>
      <c r="CZ11" s="128">
        <f>IFERROR(AN11*$V11,)</f>
        <v/>
      </c>
      <c r="DA11" s="128">
        <f>IFERROR(AO11*$V11,)</f>
        <v/>
      </c>
      <c r="DB11" s="128">
        <f>IFERROR(AP11*$V11,)</f>
        <v/>
      </c>
      <c r="DC11" s="128">
        <f>IFERROR(AQ11*$V11,)</f>
        <v/>
      </c>
      <c r="DD11" s="128">
        <f>IFERROR(AR11*$V11,)</f>
        <v/>
      </c>
      <c r="DE11" s="128">
        <f>IFERROR(AS11*$V11,)</f>
        <v/>
      </c>
      <c r="DF11" s="128">
        <f>IFERROR(AT11*$V11,)</f>
        <v/>
      </c>
      <c r="DG11" s="128">
        <f>IFERROR(AU11*$V11,)</f>
        <v/>
      </c>
      <c r="DH11" s="128">
        <f>IFERROR(AV11*$V11,)</f>
        <v/>
      </c>
      <c r="DI11" s="128">
        <f>IFERROR(AW11*$V11,)</f>
        <v/>
      </c>
      <c r="DJ11" s="128">
        <f>IFERROR(AX11*$V11,)</f>
        <v/>
      </c>
      <c r="DK11" s="128">
        <f>IFERROR(AY11*$V11,)</f>
        <v/>
      </c>
      <c r="DL11" s="128">
        <f>IFERROR(AZ11*$V11,)</f>
        <v/>
      </c>
      <c r="DM11" s="129">
        <f>IFERROR(if($X11=0,($V11/1.2)*BA11,
BA11*$X11),)</f>
        <v/>
      </c>
      <c r="DN11" s="129">
        <f>IFERROR(if($X11=0,($V11/1.2)*BB11,
BB11*$X11),)</f>
        <v/>
      </c>
      <c r="DO11" s="129">
        <f>IFERROR(if($X11=0,($V11/1.2)*BC11,
BC11*$X11),)</f>
        <v/>
      </c>
      <c r="DP11" s="130">
        <f>IFERROR(if($Z11=0,($V11/1.35)*BD11,
BD11*$Z11),)</f>
        <v/>
      </c>
      <c r="DQ11" s="130">
        <f>IFERROR(if($Z11=0,($V11/1.35)*BE11,
BE11*$Z11),)</f>
        <v/>
      </c>
      <c r="DR11" s="130">
        <f>IFERROR(if($Z11=0,($V11/1.35)*BF11,
BF11*$Z11),)</f>
        <v/>
      </c>
      <c r="DS11" s="128">
        <f>IFERROR(IF($AB11=0,($V11/0.74)*BG11,
BG11*$AB11),)</f>
        <v/>
      </c>
      <c r="DT11" s="128">
        <f>IFERROR(IF($AB11=0,($V11/0.74)*BH11,
BH11*$AB11),)</f>
        <v/>
      </c>
      <c r="DU11" s="128">
        <f>IFERROR(IF($AB11=0,($V11/0.74)*BI11,
BI11*$AB11),)</f>
        <v/>
      </c>
    </row>
    <row r="12" ht="60" customHeight="1" s="162">
      <c r="A12" s="115" t="n"/>
      <c r="B12" s="113" t="n"/>
      <c r="C12" s="115" t="n"/>
      <c r="D12" s="115" t="n"/>
      <c r="E12" s="115" t="n"/>
      <c r="F12" s="115" t="n"/>
      <c r="G12" s="115" t="n"/>
      <c r="H12" s="115" t="n"/>
      <c r="I12" s="115" t="n"/>
      <c r="J12" s="115" t="n"/>
      <c r="K12" s="115" t="n"/>
      <c r="L12" s="115" t="n"/>
      <c r="M12" s="115" t="n"/>
      <c r="N12" s="115" t="n"/>
      <c r="O12" s="115" t="n"/>
      <c r="P12" s="115" t="n"/>
      <c r="Q12" s="115" t="n"/>
      <c r="R12" s="115" t="n"/>
      <c r="S12" s="115" t="n"/>
      <c r="T12" s="115" t="n"/>
      <c r="U12" s="116" t="n"/>
      <c r="V12" s="116" t="n"/>
      <c r="W12" s="117" t="n"/>
      <c r="X12" s="118" t="n"/>
      <c r="Y12" s="119" t="n"/>
      <c r="Z12" s="120" t="n"/>
      <c r="AA12" s="121" t="n"/>
      <c r="AB12" s="122" t="n"/>
      <c r="AC12" s="117" t="n"/>
      <c r="AD12" s="123">
        <f>IF(SUM($AE12:$AH12)=0,"",SUM($AE12:$AH12))</f>
        <v/>
      </c>
      <c r="AE12" s="123">
        <f>iferror(IF(SUM($AI12:$AZ12)=0,"",SUM($AI12:$AZ12)),"")</f>
        <v/>
      </c>
      <c r="AF12" s="123">
        <f>iferror(IF(SUM($BA12:$BC12)=0,"",SUM($BA12:$BC12)),"")</f>
        <v/>
      </c>
      <c r="AG12" s="123">
        <f>iferror(IF(SUM($BD12:$BF12)=0,"",SUM($BD12:$BF12)),"")</f>
        <v/>
      </c>
      <c r="AH12" s="124">
        <f>iferror(IF(SUM($BG12:$BI12)=0,"",SUM($BG12:$BI12)),"")</f>
        <v/>
      </c>
      <c r="AI12" s="131" t="n"/>
      <c r="AJ12" s="132" t="n"/>
      <c r="AK12" s="132" t="n"/>
      <c r="AL12" s="132" t="n"/>
      <c r="AM12" s="132" t="n"/>
      <c r="AN12" s="132" t="n"/>
      <c r="AO12" s="132" t="n"/>
      <c r="AP12" s="132" t="n"/>
      <c r="AQ12" s="132" t="n"/>
      <c r="AR12" s="132" t="n"/>
      <c r="AS12" s="132" t="n"/>
      <c r="AT12" s="132" t="n"/>
      <c r="AU12" s="132" t="n"/>
      <c r="AV12" s="132" t="n"/>
      <c r="AW12" s="132" t="n"/>
      <c r="AX12" s="132" t="n"/>
      <c r="AY12" s="132" t="n"/>
      <c r="AZ12" s="133" t="n"/>
      <c r="BA12" s="131" t="n"/>
      <c r="BB12" s="132" t="n"/>
      <c r="BC12" s="133" t="n"/>
      <c r="BD12" s="131" t="n"/>
      <c r="BE12" s="132" t="n"/>
      <c r="BF12" s="133" t="n"/>
      <c r="BG12" s="131" t="n"/>
      <c r="BH12" s="132" t="n"/>
      <c r="BI12" s="132" t="n"/>
      <c r="BJ12" s="128">
        <f>iferror(SUM($BK12,($BL12*1.2),($BM12*1.35),($BN12*0.74)),)</f>
        <v/>
      </c>
      <c r="BK12" s="128">
        <f>IFERROR(SUM($BT12:$CK12),)</f>
        <v/>
      </c>
      <c r="BL12" s="129">
        <f>IFERROR(SUM($CL12:$CN12),)</f>
        <v/>
      </c>
      <c r="BM12" s="130">
        <f>IFERROR(SUM($CO12:$CQ12),)</f>
        <v/>
      </c>
      <c r="BN12" s="128">
        <f>IFERROR(SUM($CR12:$CT12),)</f>
        <v/>
      </c>
      <c r="BO12" s="128">
        <f>iferror(SUM($BP12,($BQ12*1.2),($BR12*1.35),($BS12*0.74)),)</f>
        <v/>
      </c>
      <c r="BP12" s="128">
        <f>IFERROR(SUM($CU12:$DL12),)</f>
        <v/>
      </c>
      <c r="BQ12" s="128">
        <f>IFERROR(SUM($DM12:$DO12),)</f>
        <v/>
      </c>
      <c r="BR12" s="128">
        <f>IFERROR(SUM($DP12:$DR12),)</f>
        <v/>
      </c>
      <c r="BS12" s="128">
        <f>IFERROR(SUM($DS12:$DU12),)</f>
        <v/>
      </c>
      <c r="BT12" s="128">
        <f>IFERROR(AI12*$W12,)</f>
        <v/>
      </c>
      <c r="BU12" s="128">
        <f>IFERROR(AJ12*$W12,)</f>
        <v/>
      </c>
      <c r="BV12" s="128">
        <f>IFERROR(AK12*$W12,)</f>
        <v/>
      </c>
      <c r="BW12" s="128">
        <f>IFERROR(AL12*$W12,)</f>
        <v/>
      </c>
      <c r="BX12" s="128">
        <f>IFERROR(AM12*$W12,)</f>
        <v/>
      </c>
      <c r="BY12" s="128">
        <f>IFERROR(AN12*$W12,)</f>
        <v/>
      </c>
      <c r="BZ12" s="128">
        <f>IFERROR(AO12*$W12,)</f>
        <v/>
      </c>
      <c r="CA12" s="128">
        <f>IFERROR(AP12*$W12,)</f>
        <v/>
      </c>
      <c r="CB12" s="128">
        <f>IFERROR(AQ12*$W12,)</f>
        <v/>
      </c>
      <c r="CC12" s="128">
        <f>IFERROR(AR12*$W12,)</f>
        <v/>
      </c>
      <c r="CD12" s="128">
        <f>IFERROR(AS12*$W12,)</f>
        <v/>
      </c>
      <c r="CE12" s="128">
        <f>IFERROR(AT12*$W12,)</f>
        <v/>
      </c>
      <c r="CF12" s="128">
        <f>IFERROR(AU12*$W12,)</f>
        <v/>
      </c>
      <c r="CG12" s="128">
        <f>IFERROR(AV12*$W12,)</f>
        <v/>
      </c>
      <c r="CH12" s="128">
        <f>IFERROR(AW12*$W12,)</f>
        <v/>
      </c>
      <c r="CI12" s="128">
        <f>IFERROR(AX12*$W12,)</f>
        <v/>
      </c>
      <c r="CJ12" s="128">
        <f>IFERROR(AY12*$W12,)</f>
        <v/>
      </c>
      <c r="CK12" s="128">
        <f>IFERROR(AZ12*$W12,)</f>
        <v/>
      </c>
      <c r="CL12" s="129">
        <f>IFERROR(if($Y12=0,BA12*($W12/1.2),BA12*$Y12),"")</f>
        <v/>
      </c>
      <c r="CM12" s="129">
        <f>IFERROR(if($Y12=0,BB12*($W12/1.2),BB12*$Y12),"")</f>
        <v/>
      </c>
      <c r="CN12" s="129">
        <f>IFERROR(if($Y12=0,BC12*($W12/1.2),BC12*$Y12),"")</f>
        <v/>
      </c>
      <c r="CO12" s="130">
        <f>IFERROR(if($AA12=0,($W12/1.35)*BD12,BD12*$AA12),)</f>
        <v/>
      </c>
      <c r="CP12" s="130">
        <f>IFERROR(if($AA12=0,($W12/1.35)*BE12,BE12*$AA12),)</f>
        <v/>
      </c>
      <c r="CQ12" s="130">
        <f>IFERROR(if($AA12=0,($W12/1.35)*BF12,BF12*$AA12),)</f>
        <v/>
      </c>
      <c r="CR12" s="128">
        <f>IFERROR(if($AC12=0,($W12/0.74)*BG12,
BG12*$AC12),)</f>
        <v/>
      </c>
      <c r="CS12" s="128">
        <f>IFERROR(if($AC12=0,($W12/0.74)*BH12,
BH12*$AC12),)</f>
        <v/>
      </c>
      <c r="CT12" s="128">
        <f>IFERROR(if($AC12=0,($W12/0.74)*BI12,
BI12*$AC12),)</f>
        <v/>
      </c>
      <c r="CU12" s="128">
        <f>IFERROR(AI12*$V12,)</f>
        <v/>
      </c>
      <c r="CV12" s="128">
        <f>IFERROR(AJ12*$V12,)</f>
        <v/>
      </c>
      <c r="CW12" s="128">
        <f>IFERROR(AK12*$V12,)</f>
        <v/>
      </c>
      <c r="CX12" s="128">
        <f>IFERROR(AL12*$V12,)</f>
        <v/>
      </c>
      <c r="CY12" s="128">
        <f>IFERROR(AM12*$V12,)</f>
        <v/>
      </c>
      <c r="CZ12" s="128">
        <f>IFERROR(AN12*$V12,)</f>
        <v/>
      </c>
      <c r="DA12" s="128">
        <f>IFERROR(AO12*$V12,)</f>
        <v/>
      </c>
      <c r="DB12" s="128">
        <f>IFERROR(AP12*$V12,)</f>
        <v/>
      </c>
      <c r="DC12" s="128">
        <f>IFERROR(AQ12*$V12,)</f>
        <v/>
      </c>
      <c r="DD12" s="128">
        <f>IFERROR(AR12*$V12,)</f>
        <v/>
      </c>
      <c r="DE12" s="128">
        <f>IFERROR(AS12*$V12,)</f>
        <v/>
      </c>
      <c r="DF12" s="128">
        <f>IFERROR(AT12*$V12,)</f>
        <v/>
      </c>
      <c r="DG12" s="128">
        <f>IFERROR(AU12*$V12,)</f>
        <v/>
      </c>
      <c r="DH12" s="128">
        <f>IFERROR(AV12*$V12,)</f>
        <v/>
      </c>
      <c r="DI12" s="128">
        <f>IFERROR(AW12*$V12,)</f>
        <v/>
      </c>
      <c r="DJ12" s="128">
        <f>IFERROR(AX12*$V12,)</f>
        <v/>
      </c>
      <c r="DK12" s="128">
        <f>IFERROR(AY12*$V12,)</f>
        <v/>
      </c>
      <c r="DL12" s="128">
        <f>IFERROR(AZ12*$V12,)</f>
        <v/>
      </c>
      <c r="DM12" s="129">
        <f>IFERROR(if($X12=0,($V12/1.2)*BA12,
BA12*$X12),)</f>
        <v/>
      </c>
      <c r="DN12" s="129">
        <f>IFERROR(if($X12=0,($V12/1.2)*BB12,
BB12*$X12),)</f>
        <v/>
      </c>
      <c r="DO12" s="129">
        <f>IFERROR(if($X12=0,($V12/1.2)*BC12,
BC12*$X12),)</f>
        <v/>
      </c>
      <c r="DP12" s="130">
        <f>IFERROR(if($Z12=0,($V12/1.35)*BD12,
BD12*$Z12),)</f>
        <v/>
      </c>
      <c r="DQ12" s="130">
        <f>IFERROR(if($Z12=0,($V12/1.35)*BE12,
BE12*$Z12),)</f>
        <v/>
      </c>
      <c r="DR12" s="130">
        <f>IFERROR(if($Z12=0,($V12/1.35)*BF12,
BF12*$Z12),)</f>
        <v/>
      </c>
      <c r="DS12" s="128">
        <f>IFERROR(IF($AB12=0,($V12/0.74)*BG12,
BG12*$AB12),)</f>
        <v/>
      </c>
      <c r="DT12" s="128">
        <f>IFERROR(IF($AB12=0,($V12/0.74)*BH12,
BH12*$AB12),)</f>
        <v/>
      </c>
      <c r="DU12" s="128">
        <f>IFERROR(IF($AB12=0,($V12/0.74)*BI12,
BI12*$AB12),)</f>
        <v/>
      </c>
    </row>
    <row r="13" ht="60" customHeight="1" s="162">
      <c r="A13" s="115" t="n"/>
      <c r="B13" s="115" t="n"/>
      <c r="C13" s="115" t="n"/>
      <c r="D13" s="115" t="n"/>
      <c r="E13" s="115" t="n"/>
      <c r="F13" s="115" t="n"/>
      <c r="G13" s="115" t="n"/>
      <c r="H13" s="115" t="n"/>
      <c r="I13" s="115" t="n"/>
      <c r="J13" s="115" t="n"/>
      <c r="K13" s="115" t="n"/>
      <c r="L13" s="115" t="n"/>
      <c r="M13" s="115" t="n"/>
      <c r="N13" s="115" t="n"/>
      <c r="O13" s="115" t="n"/>
      <c r="P13" s="115" t="n"/>
      <c r="Q13" s="115" t="n"/>
      <c r="R13" s="115" t="n"/>
      <c r="S13" s="115" t="n"/>
      <c r="T13" s="115" t="n"/>
      <c r="U13" s="116" t="n"/>
      <c r="V13" s="116" t="n"/>
      <c r="W13" s="117" t="n"/>
      <c r="X13" s="118" t="n"/>
      <c r="Y13" s="119" t="n"/>
      <c r="Z13" s="120" t="n"/>
      <c r="AA13" s="121" t="n"/>
      <c r="AB13" s="122" t="n"/>
      <c r="AC13" s="117" t="n"/>
      <c r="AD13" s="123">
        <f>IF(SUM($AE13:$AH13)=0,"",SUM($AE13:$AH13))</f>
        <v/>
      </c>
      <c r="AE13" s="123">
        <f>iferror(IF(SUM($AI13:$AZ13)=0,"",SUM($AI13:$AZ13)),"")</f>
        <v/>
      </c>
      <c r="AF13" s="123">
        <f>iferror(IF(SUM($BA13:$BC13)=0,"",SUM($BA13:$BC13)),"")</f>
        <v/>
      </c>
      <c r="AG13" s="123">
        <f>iferror(IF(SUM($BD13:$BF13)=0,"",SUM($BD13:$BF13)),"")</f>
        <v/>
      </c>
      <c r="AH13" s="124">
        <f>iferror(IF(SUM($BG13:$BI13)=0,"",SUM($BG13:$BI13)),"")</f>
        <v/>
      </c>
      <c r="AI13" s="131" t="n"/>
      <c r="AJ13" s="132" t="n"/>
      <c r="AK13" s="132" t="n"/>
      <c r="AL13" s="132" t="n"/>
      <c r="AM13" s="132" t="n"/>
      <c r="AN13" s="132" t="n"/>
      <c r="AO13" s="132" t="n"/>
      <c r="AP13" s="132" t="n"/>
      <c r="AQ13" s="132" t="n"/>
      <c r="AR13" s="132" t="n"/>
      <c r="AS13" s="132" t="n"/>
      <c r="AT13" s="132" t="n"/>
      <c r="AU13" s="132" t="n"/>
      <c r="AV13" s="132" t="n"/>
      <c r="AW13" s="132" t="n"/>
      <c r="AX13" s="132" t="n"/>
      <c r="AY13" s="132" t="n"/>
      <c r="AZ13" s="133" t="n"/>
      <c r="BA13" s="131" t="n"/>
      <c r="BB13" s="132" t="n"/>
      <c r="BC13" s="133" t="n"/>
      <c r="BD13" s="131" t="n"/>
      <c r="BE13" s="132" t="n"/>
      <c r="BF13" s="133" t="n"/>
      <c r="BG13" s="131" t="n"/>
      <c r="BH13" s="132" t="n"/>
      <c r="BI13" s="132" t="n"/>
      <c r="BJ13" s="128">
        <f>iferror(SUM($BK13,($BL13*1.2),($BM13*1.35),($BN13*0.74)),)</f>
        <v/>
      </c>
      <c r="BK13" s="128">
        <f>IFERROR(SUM($BT13:$CK13),)</f>
        <v/>
      </c>
      <c r="BL13" s="129">
        <f>IFERROR(SUM($CL13:$CN13),)</f>
        <v/>
      </c>
      <c r="BM13" s="130">
        <f>IFERROR(SUM($CO13:$CQ13),)</f>
        <v/>
      </c>
      <c r="BN13" s="128">
        <f>IFERROR(SUM($CR13:$CT13),)</f>
        <v/>
      </c>
      <c r="BO13" s="128">
        <f>iferror(SUM($BP13,($BQ13*1.2),($BR13*1.35),($BS13*0.74)),)</f>
        <v/>
      </c>
      <c r="BP13" s="128">
        <f>IFERROR(SUM($CU13:$DL13),)</f>
        <v/>
      </c>
      <c r="BQ13" s="128">
        <f>IFERROR(SUM($DM13:$DO13),)</f>
        <v/>
      </c>
      <c r="BR13" s="128">
        <f>IFERROR(SUM($DP13:$DR13),)</f>
        <v/>
      </c>
      <c r="BS13" s="128">
        <f>IFERROR(SUM($DS13:$DU13),)</f>
        <v/>
      </c>
      <c r="BT13" s="128">
        <f>IFERROR(AI13*$W13,)</f>
        <v/>
      </c>
      <c r="BU13" s="128">
        <f>IFERROR(AJ13*$W13,)</f>
        <v/>
      </c>
      <c r="BV13" s="128">
        <f>IFERROR(AK13*$W13,)</f>
        <v/>
      </c>
      <c r="BW13" s="128">
        <f>IFERROR(AL13*$W13,)</f>
        <v/>
      </c>
      <c r="BX13" s="128">
        <f>IFERROR(AM13*$W13,)</f>
        <v/>
      </c>
      <c r="BY13" s="128">
        <f>IFERROR(AN13*$W13,)</f>
        <v/>
      </c>
      <c r="BZ13" s="128">
        <f>IFERROR(AO13*$W13,)</f>
        <v/>
      </c>
      <c r="CA13" s="128">
        <f>IFERROR(AP13*$W13,)</f>
        <v/>
      </c>
      <c r="CB13" s="128">
        <f>IFERROR(AQ13*$W13,)</f>
        <v/>
      </c>
      <c r="CC13" s="128">
        <f>IFERROR(AR13*$W13,)</f>
        <v/>
      </c>
      <c r="CD13" s="128">
        <f>IFERROR(AS13*$W13,)</f>
        <v/>
      </c>
      <c r="CE13" s="128">
        <f>IFERROR(AT13*$W13,)</f>
        <v/>
      </c>
      <c r="CF13" s="128">
        <f>IFERROR(AU13*$W13,)</f>
        <v/>
      </c>
      <c r="CG13" s="128">
        <f>IFERROR(AV13*$W13,)</f>
        <v/>
      </c>
      <c r="CH13" s="128">
        <f>IFERROR(AW13*$W13,)</f>
        <v/>
      </c>
      <c r="CI13" s="128">
        <f>IFERROR(AX13*$W13,)</f>
        <v/>
      </c>
      <c r="CJ13" s="128">
        <f>IFERROR(AY13*$W13,)</f>
        <v/>
      </c>
      <c r="CK13" s="128">
        <f>IFERROR(AZ13*$W13,)</f>
        <v/>
      </c>
      <c r="CL13" s="129">
        <f>IFERROR(if($Y13=0,BA13*($W13/1.2),BA13*$Y13),"")</f>
        <v/>
      </c>
      <c r="CM13" s="129">
        <f>IFERROR(if($Y13=0,BB13*($W13/1.2),BB13*$Y13),"")</f>
        <v/>
      </c>
      <c r="CN13" s="129">
        <f>IFERROR(if($Y13=0,BC13*($W13/1.2),BC13*$Y13),"")</f>
        <v/>
      </c>
      <c r="CO13" s="130">
        <f>IFERROR(if($AA13=0,($W13/1.35)*BD13,BD13*$AA13),)</f>
        <v/>
      </c>
      <c r="CP13" s="130">
        <f>IFERROR(if($AA13=0,($W13/1.35)*BE13,BE13*$AA13),)</f>
        <v/>
      </c>
      <c r="CQ13" s="130">
        <f>IFERROR(if($AA13=0,($W13/1.35)*BF13,BF13*$AA13),)</f>
        <v/>
      </c>
      <c r="CR13" s="128">
        <f>IFERROR(if($AC13=0,($W13/0.74)*BG13,
BG13*$AC13),)</f>
        <v/>
      </c>
      <c r="CS13" s="128">
        <f>IFERROR(if($AC13=0,($W13/0.74)*BH13,
BH13*$AC13),)</f>
        <v/>
      </c>
      <c r="CT13" s="128">
        <f>IFERROR(if($AC13=0,($W13/0.74)*BI13,
BI13*$AC13),)</f>
        <v/>
      </c>
      <c r="CU13" s="128">
        <f>IFERROR(AI13*$V13,)</f>
        <v/>
      </c>
      <c r="CV13" s="128">
        <f>IFERROR(AJ13*$V13,)</f>
        <v/>
      </c>
      <c r="CW13" s="128">
        <f>IFERROR(AK13*$V13,)</f>
        <v/>
      </c>
      <c r="CX13" s="128">
        <f>IFERROR(AL13*$V13,)</f>
        <v/>
      </c>
      <c r="CY13" s="128">
        <f>IFERROR(AM13*$V13,)</f>
        <v/>
      </c>
      <c r="CZ13" s="128">
        <f>IFERROR(AN13*$V13,)</f>
        <v/>
      </c>
      <c r="DA13" s="128">
        <f>IFERROR(AO13*$V13,)</f>
        <v/>
      </c>
      <c r="DB13" s="128">
        <f>IFERROR(AP13*$V13,)</f>
        <v/>
      </c>
      <c r="DC13" s="128">
        <f>IFERROR(AQ13*$V13,)</f>
        <v/>
      </c>
      <c r="DD13" s="128">
        <f>IFERROR(AR13*$V13,)</f>
        <v/>
      </c>
      <c r="DE13" s="128">
        <f>IFERROR(AS13*$V13,)</f>
        <v/>
      </c>
      <c r="DF13" s="128">
        <f>IFERROR(AT13*$V13,)</f>
        <v/>
      </c>
      <c r="DG13" s="128">
        <f>IFERROR(AU13*$V13,)</f>
        <v/>
      </c>
      <c r="DH13" s="128">
        <f>IFERROR(AV13*$V13,)</f>
        <v/>
      </c>
      <c r="DI13" s="128">
        <f>IFERROR(AW13*$V13,)</f>
        <v/>
      </c>
      <c r="DJ13" s="128">
        <f>IFERROR(AX13*$V13,)</f>
        <v/>
      </c>
      <c r="DK13" s="128">
        <f>IFERROR(AY13*$V13,)</f>
        <v/>
      </c>
      <c r="DL13" s="128">
        <f>IFERROR(AZ13*$V13,)</f>
        <v/>
      </c>
      <c r="DM13" s="129">
        <f>IFERROR(if($X13=0,($V13/1.2)*BA13,
BA13*$X13),)</f>
        <v/>
      </c>
      <c r="DN13" s="129">
        <f>IFERROR(if($X13=0,($V13/1.2)*BB13,
BB13*$X13),)</f>
        <v/>
      </c>
      <c r="DO13" s="129">
        <f>IFERROR(if($X13=0,($V13/1.2)*BC13,
BC13*$X13),)</f>
        <v/>
      </c>
      <c r="DP13" s="130">
        <f>IFERROR(if($Z13=0,($V13/1.35)*BD13,
BD13*$Z13),)</f>
        <v/>
      </c>
      <c r="DQ13" s="130">
        <f>IFERROR(if($Z13=0,($V13/1.35)*BE13,
BE13*$Z13),)</f>
        <v/>
      </c>
      <c r="DR13" s="130">
        <f>IFERROR(if($Z13=0,($V13/1.35)*BF13,
BF13*$Z13),)</f>
        <v/>
      </c>
      <c r="DS13" s="128">
        <f>IFERROR(IF($AB13=0,($V13/0.74)*BG13,
BG13*$AB13),)</f>
        <v/>
      </c>
      <c r="DT13" s="128">
        <f>IFERROR(IF($AB13=0,($V13/0.74)*BH13,
BH13*$AB13),)</f>
        <v/>
      </c>
      <c r="DU13" s="128">
        <f>IFERROR(IF($AB13=0,($V13/0.74)*BI13,
BI13*$AB13),)</f>
        <v/>
      </c>
    </row>
    <row r="14" ht="60" customHeight="1" s="162">
      <c r="A14" s="115" t="n"/>
      <c r="B14" s="115" t="n"/>
      <c r="C14" s="115" t="n"/>
      <c r="D14" s="115" t="n"/>
      <c r="E14" s="115" t="n"/>
      <c r="F14" s="115" t="n"/>
      <c r="G14" s="115" t="n"/>
      <c r="H14" s="115" t="n"/>
      <c r="I14" s="115" t="n"/>
      <c r="J14" s="115" t="n"/>
      <c r="K14" s="115" t="n"/>
      <c r="L14" s="115" t="n"/>
      <c r="M14" s="115" t="n"/>
      <c r="N14" s="115" t="n"/>
      <c r="O14" s="115" t="n"/>
      <c r="P14" s="115" t="n"/>
      <c r="Q14" s="115" t="n"/>
      <c r="R14" s="115" t="n"/>
      <c r="S14" s="115" t="n"/>
      <c r="T14" s="115" t="n"/>
      <c r="U14" s="116" t="n"/>
      <c r="V14" s="116" t="n"/>
      <c r="W14" s="117" t="n"/>
      <c r="X14" s="118" t="n"/>
      <c r="Y14" s="119" t="n"/>
      <c r="Z14" s="120" t="n"/>
      <c r="AA14" s="121" t="n"/>
      <c r="AB14" s="122" t="n"/>
      <c r="AC14" s="117" t="n"/>
      <c r="AD14" s="123">
        <f>IF(SUM($AE14:$AH14)=0,"",SUM($AE14:$AH14))</f>
        <v/>
      </c>
      <c r="AE14" s="123">
        <f>iferror(IF(SUM($AI14:$AZ14)=0,"",SUM($AI14:$AZ14)),"")</f>
        <v/>
      </c>
      <c r="AF14" s="123">
        <f>iferror(IF(SUM($BA14:$BC14)=0,"",SUM($BA14:$BC14)),"")</f>
        <v/>
      </c>
      <c r="AG14" s="123">
        <f>iferror(IF(SUM($BD14:$BF14)=0,"",SUM($BD14:$BF14)),"")</f>
        <v/>
      </c>
      <c r="AH14" s="124">
        <f>iferror(IF(SUM($BG14:$BI14)=0,"",SUM($BG14:$BI14)),"")</f>
        <v/>
      </c>
      <c r="AI14" s="131" t="n"/>
      <c r="AJ14" s="132" t="n"/>
      <c r="AK14" s="132" t="n"/>
      <c r="AL14" s="132" t="n"/>
      <c r="AM14" s="132" t="n"/>
      <c r="AN14" s="132" t="n"/>
      <c r="AO14" s="132" t="n"/>
      <c r="AP14" s="132" t="n"/>
      <c r="AQ14" s="132" t="n"/>
      <c r="AR14" s="132" t="n"/>
      <c r="AS14" s="132" t="n"/>
      <c r="AT14" s="132" t="n"/>
      <c r="AU14" s="132" t="n"/>
      <c r="AV14" s="132" t="n"/>
      <c r="AW14" s="132" t="n"/>
      <c r="AX14" s="132" t="n"/>
      <c r="AY14" s="132" t="n"/>
      <c r="AZ14" s="133" t="n"/>
      <c r="BA14" s="131" t="n"/>
      <c r="BB14" s="132" t="n"/>
      <c r="BC14" s="133" t="n"/>
      <c r="BD14" s="131" t="n"/>
      <c r="BE14" s="132" t="n"/>
      <c r="BF14" s="133" t="n"/>
      <c r="BG14" s="131" t="n"/>
      <c r="BH14" s="132" t="n"/>
      <c r="BI14" s="132" t="n"/>
      <c r="BJ14" s="128">
        <f>iferror(SUM($BK14,($BL14*1.2),($BM14*1.35),($BN14*0.74)),)</f>
        <v/>
      </c>
      <c r="BK14" s="128">
        <f>IFERROR(SUM($BT14:$CK14),)</f>
        <v/>
      </c>
      <c r="BL14" s="129">
        <f>IFERROR(SUM($CL14:$CN14),)</f>
        <v/>
      </c>
      <c r="BM14" s="130">
        <f>IFERROR(SUM($CO14:$CQ14),)</f>
        <v/>
      </c>
      <c r="BN14" s="128">
        <f>IFERROR(SUM($CR14:$CT14),)</f>
        <v/>
      </c>
      <c r="BO14" s="128">
        <f>iferror(SUM($BP14,($BQ14*1.2),($BR14*1.35),($BS14*0.74)),)</f>
        <v/>
      </c>
      <c r="BP14" s="128">
        <f>IFERROR(SUM($CU14:$DL14),)</f>
        <v/>
      </c>
      <c r="BQ14" s="128">
        <f>IFERROR(SUM($DM14:$DO14),)</f>
        <v/>
      </c>
      <c r="BR14" s="128">
        <f>IFERROR(SUM($DP14:$DR14),)</f>
        <v/>
      </c>
      <c r="BS14" s="128">
        <f>IFERROR(SUM($DS14:$DU14),)</f>
        <v/>
      </c>
      <c r="BT14" s="128">
        <f>IFERROR(AI14*$W14,)</f>
        <v/>
      </c>
      <c r="BU14" s="128">
        <f>IFERROR(AJ14*$W14,)</f>
        <v/>
      </c>
      <c r="BV14" s="128">
        <f>IFERROR(AK14*$W14,)</f>
        <v/>
      </c>
      <c r="BW14" s="128">
        <f>IFERROR(AL14*$W14,)</f>
        <v/>
      </c>
      <c r="BX14" s="128">
        <f>IFERROR(AM14*$W14,)</f>
        <v/>
      </c>
      <c r="BY14" s="128">
        <f>IFERROR(AN14*$W14,)</f>
        <v/>
      </c>
      <c r="BZ14" s="128">
        <f>IFERROR(AO14*$W14,)</f>
        <v/>
      </c>
      <c r="CA14" s="128">
        <f>IFERROR(AP14*$W14,)</f>
        <v/>
      </c>
      <c r="CB14" s="128">
        <f>IFERROR(AQ14*$W14,)</f>
        <v/>
      </c>
      <c r="CC14" s="128">
        <f>IFERROR(AR14*$W14,)</f>
        <v/>
      </c>
      <c r="CD14" s="128">
        <f>IFERROR(AS14*$W14,)</f>
        <v/>
      </c>
      <c r="CE14" s="128">
        <f>IFERROR(AT14*$W14,)</f>
        <v/>
      </c>
      <c r="CF14" s="128">
        <f>IFERROR(AU14*$W14,)</f>
        <v/>
      </c>
      <c r="CG14" s="128">
        <f>IFERROR(AV14*$W14,)</f>
        <v/>
      </c>
      <c r="CH14" s="128">
        <f>IFERROR(AW14*$W14,)</f>
        <v/>
      </c>
      <c r="CI14" s="128">
        <f>IFERROR(AX14*$W14,)</f>
        <v/>
      </c>
      <c r="CJ14" s="128">
        <f>IFERROR(AY14*$W14,)</f>
        <v/>
      </c>
      <c r="CK14" s="128">
        <f>IFERROR(AZ14*$W14,)</f>
        <v/>
      </c>
      <c r="CL14" s="129">
        <f>IFERROR(if($Y14=0,BA14*($W14/1.2),BA14*$Y14),"")</f>
        <v/>
      </c>
      <c r="CM14" s="129">
        <f>IFERROR(if($Y14=0,BB14*($W14/1.2),BB14*$Y14),"")</f>
        <v/>
      </c>
      <c r="CN14" s="129">
        <f>IFERROR(if($Y14=0,BC14*($W14/1.2),BC14*$Y14),"")</f>
        <v/>
      </c>
      <c r="CO14" s="130">
        <f>IFERROR(if($AA14=0,($W14/1.35)*BD14,BD14*$AA14),)</f>
        <v/>
      </c>
      <c r="CP14" s="130">
        <f>IFERROR(if($AA14=0,($W14/1.35)*BE14,BE14*$AA14),)</f>
        <v/>
      </c>
      <c r="CQ14" s="130">
        <f>IFERROR(if($AA14=0,($W14/1.35)*BF14,BF14*$AA14),)</f>
        <v/>
      </c>
      <c r="CR14" s="128">
        <f>IFERROR(if($AC14=0,($W14/0.74)*BG14,
BG14*$AC14),)</f>
        <v/>
      </c>
      <c r="CS14" s="128">
        <f>IFERROR(if($AC14=0,($W14/0.74)*BH14,
BH14*$AC14),)</f>
        <v/>
      </c>
      <c r="CT14" s="128">
        <f>IFERROR(if($AC14=0,($W14/0.74)*BI14,
BI14*$AC14),)</f>
        <v/>
      </c>
      <c r="CU14" s="128">
        <f>IFERROR(AI14*$V14,)</f>
        <v/>
      </c>
      <c r="CV14" s="128">
        <f>IFERROR(AJ14*$V14,)</f>
        <v/>
      </c>
      <c r="CW14" s="128">
        <f>IFERROR(AK14*$V14,)</f>
        <v/>
      </c>
      <c r="CX14" s="128">
        <f>IFERROR(AL14*$V14,)</f>
        <v/>
      </c>
      <c r="CY14" s="128">
        <f>IFERROR(AM14*$V14,)</f>
        <v/>
      </c>
      <c r="CZ14" s="128">
        <f>IFERROR(AN14*$V14,)</f>
        <v/>
      </c>
      <c r="DA14" s="128">
        <f>IFERROR(AO14*$V14,)</f>
        <v/>
      </c>
      <c r="DB14" s="128">
        <f>IFERROR(AP14*$V14,)</f>
        <v/>
      </c>
      <c r="DC14" s="128">
        <f>IFERROR(AQ14*$V14,)</f>
        <v/>
      </c>
      <c r="DD14" s="128">
        <f>IFERROR(AR14*$V14,)</f>
        <v/>
      </c>
      <c r="DE14" s="128">
        <f>IFERROR(AS14*$V14,)</f>
        <v/>
      </c>
      <c r="DF14" s="128">
        <f>IFERROR(AT14*$V14,)</f>
        <v/>
      </c>
      <c r="DG14" s="128">
        <f>IFERROR(AU14*$V14,)</f>
        <v/>
      </c>
      <c r="DH14" s="128">
        <f>IFERROR(AV14*$V14,)</f>
        <v/>
      </c>
      <c r="DI14" s="128">
        <f>IFERROR(AW14*$V14,)</f>
        <v/>
      </c>
      <c r="DJ14" s="128">
        <f>IFERROR(AX14*$V14,)</f>
        <v/>
      </c>
      <c r="DK14" s="128">
        <f>IFERROR(AY14*$V14,)</f>
        <v/>
      </c>
      <c r="DL14" s="128">
        <f>IFERROR(AZ14*$V14,)</f>
        <v/>
      </c>
      <c r="DM14" s="129">
        <f>IFERROR(if($X14=0,($V14/1.2)*BA14,
BA14*$X14),)</f>
        <v/>
      </c>
      <c r="DN14" s="129">
        <f>IFERROR(if($X14=0,($V14/1.2)*BB14,
BB14*$X14),)</f>
        <v/>
      </c>
      <c r="DO14" s="129">
        <f>IFERROR(if($X14=0,($V14/1.2)*BC14,
BC14*$X14),)</f>
        <v/>
      </c>
      <c r="DP14" s="130">
        <f>IFERROR(if($Z14=0,($V14/1.35)*BD14,
BD14*$Z14),)</f>
        <v/>
      </c>
      <c r="DQ14" s="130">
        <f>IFERROR(if($Z14=0,($V14/1.35)*BE14,
BE14*$Z14),)</f>
        <v/>
      </c>
      <c r="DR14" s="130">
        <f>IFERROR(if($Z14=0,($V14/1.35)*BF14,
BF14*$Z14),)</f>
        <v/>
      </c>
      <c r="DS14" s="128">
        <f>IFERROR(IF($AB14=0,($V14/0.74)*BG14,
BG14*$AB14),)</f>
        <v/>
      </c>
      <c r="DT14" s="128">
        <f>IFERROR(IF($AB14=0,($V14/0.74)*BH14,
BH14*$AB14),)</f>
        <v/>
      </c>
      <c r="DU14" s="128">
        <f>IFERROR(IF($AB14=0,($V14/0.74)*BI14,
BI14*$AB14),)</f>
        <v/>
      </c>
    </row>
    <row r="15" ht="60" customHeight="1" s="162">
      <c r="A15" s="115" t="n"/>
      <c r="B15" s="115" t="n"/>
      <c r="C15" s="115" t="n"/>
      <c r="D15" s="115" t="n"/>
      <c r="E15" s="115" t="n"/>
      <c r="F15" s="115" t="n"/>
      <c r="G15" s="115" t="n"/>
      <c r="H15" s="115" t="n"/>
      <c r="I15" s="115" t="n"/>
      <c r="J15" s="115" t="n"/>
      <c r="K15" s="115" t="n"/>
      <c r="L15" s="115" t="n"/>
      <c r="M15" s="115" t="n"/>
      <c r="N15" s="115" t="n"/>
      <c r="O15" s="115" t="n"/>
      <c r="P15" s="115" t="n"/>
      <c r="Q15" s="115" t="n"/>
      <c r="R15" s="115" t="n"/>
      <c r="S15" s="115" t="n"/>
      <c r="T15" s="115" t="n"/>
      <c r="U15" s="116" t="n"/>
      <c r="V15" s="116" t="n"/>
      <c r="W15" s="117" t="n"/>
      <c r="X15" s="118" t="n"/>
      <c r="Y15" s="119" t="n"/>
      <c r="Z15" s="120" t="n"/>
      <c r="AA15" s="121" t="n"/>
      <c r="AB15" s="122" t="n"/>
      <c r="AC15" s="117" t="n"/>
      <c r="AD15" s="123">
        <f>IF(SUM($AE15:$AH15)=0,"",SUM($AE15:$AH15))</f>
        <v/>
      </c>
      <c r="AE15" s="123">
        <f>iferror(IF(SUM($AI15:$AZ15)=0,"",SUM($AI15:$AZ15)),"")</f>
        <v/>
      </c>
      <c r="AF15" s="123">
        <f>iferror(IF(SUM($BA15:$BC15)=0,"",SUM($BA15:$BC15)),"")</f>
        <v/>
      </c>
      <c r="AG15" s="123">
        <f>iferror(IF(SUM($BD15:$BF15)=0,"",SUM($BD15:$BF15)),"")</f>
        <v/>
      </c>
      <c r="AH15" s="124">
        <f>iferror(IF(SUM($BG15:$BI15)=0,"",SUM($BG15:$BI15)),"")</f>
        <v/>
      </c>
      <c r="AI15" s="131" t="n"/>
      <c r="AJ15" s="132" t="n"/>
      <c r="AK15" s="132" t="n"/>
      <c r="AL15" s="132" t="n"/>
      <c r="AM15" s="132" t="n"/>
      <c r="AN15" s="132" t="n"/>
      <c r="AO15" s="132" t="n"/>
      <c r="AP15" s="132" t="n"/>
      <c r="AQ15" s="132" t="n"/>
      <c r="AR15" s="132" t="n"/>
      <c r="AS15" s="132" t="n"/>
      <c r="AT15" s="132" t="n"/>
      <c r="AU15" s="132" t="n"/>
      <c r="AV15" s="132" t="n"/>
      <c r="AW15" s="132" t="n"/>
      <c r="AX15" s="132" t="n"/>
      <c r="AY15" s="132" t="n"/>
      <c r="AZ15" s="133" t="n"/>
      <c r="BA15" s="131" t="n"/>
      <c r="BB15" s="132" t="n"/>
      <c r="BC15" s="133" t="n"/>
      <c r="BD15" s="131" t="n"/>
      <c r="BE15" s="132" t="n"/>
      <c r="BF15" s="133" t="n"/>
      <c r="BG15" s="131" t="n"/>
      <c r="BH15" s="132" t="n"/>
      <c r="BI15" s="132" t="n"/>
      <c r="BJ15" s="128">
        <f>iferror(SUM($BK15,($BL15*1.2),($BM15*1.35),($BN15*0.74)),)</f>
        <v/>
      </c>
      <c r="BK15" s="128">
        <f>IFERROR(SUM($BT15:$CK15),)</f>
        <v/>
      </c>
      <c r="BL15" s="129">
        <f>IFERROR(SUM($CL15:$CN15),)</f>
        <v/>
      </c>
      <c r="BM15" s="130">
        <f>IFERROR(SUM($CO15:$CQ15),)</f>
        <v/>
      </c>
      <c r="BN15" s="128">
        <f>IFERROR(SUM($CR15:$CT15),)</f>
        <v/>
      </c>
      <c r="BO15" s="128">
        <f>iferror(SUM($BP15,($BQ15*1.2),($BR15*1.35),($BS15*0.74)),)</f>
        <v/>
      </c>
      <c r="BP15" s="128">
        <f>IFERROR(SUM($CU15:$DL15),)</f>
        <v/>
      </c>
      <c r="BQ15" s="128">
        <f>IFERROR(SUM($DM15:$DO15),)</f>
        <v/>
      </c>
      <c r="BR15" s="128">
        <f>IFERROR(SUM($DP15:$DR15),)</f>
        <v/>
      </c>
      <c r="BS15" s="128">
        <f>IFERROR(SUM($DS15:$DU15),)</f>
        <v/>
      </c>
      <c r="BT15" s="128">
        <f>IFERROR(AI15*$W15,)</f>
        <v/>
      </c>
      <c r="BU15" s="128">
        <f>IFERROR(AJ15*$W15,)</f>
        <v/>
      </c>
      <c r="BV15" s="128">
        <f>IFERROR(AK15*$W15,)</f>
        <v/>
      </c>
      <c r="BW15" s="128">
        <f>IFERROR(AL15*$W15,)</f>
        <v/>
      </c>
      <c r="BX15" s="128">
        <f>IFERROR(AM15*$W15,)</f>
        <v/>
      </c>
      <c r="BY15" s="128">
        <f>IFERROR(AN15*$W15,)</f>
        <v/>
      </c>
      <c r="BZ15" s="128">
        <f>IFERROR(AO15*$W15,)</f>
        <v/>
      </c>
      <c r="CA15" s="128">
        <f>IFERROR(AP15*$W15,)</f>
        <v/>
      </c>
      <c r="CB15" s="128">
        <f>IFERROR(AQ15*$W15,)</f>
        <v/>
      </c>
      <c r="CC15" s="128">
        <f>IFERROR(AR15*$W15,)</f>
        <v/>
      </c>
      <c r="CD15" s="128">
        <f>IFERROR(AS15*$W15,)</f>
        <v/>
      </c>
      <c r="CE15" s="128">
        <f>IFERROR(AT15*$W15,)</f>
        <v/>
      </c>
      <c r="CF15" s="128">
        <f>IFERROR(AU15*$W15,)</f>
        <v/>
      </c>
      <c r="CG15" s="128">
        <f>IFERROR(AV15*$W15,)</f>
        <v/>
      </c>
      <c r="CH15" s="128">
        <f>IFERROR(AW15*$W15,)</f>
        <v/>
      </c>
      <c r="CI15" s="128">
        <f>IFERROR(AX15*$W15,)</f>
        <v/>
      </c>
      <c r="CJ15" s="128">
        <f>IFERROR(AY15*$W15,)</f>
        <v/>
      </c>
      <c r="CK15" s="128">
        <f>IFERROR(AZ15*$W15,)</f>
        <v/>
      </c>
      <c r="CL15" s="129">
        <f>IFERROR(if($Y15=0,BA15*($W15/1.2),BA15*$Y15),"")</f>
        <v/>
      </c>
      <c r="CM15" s="129">
        <f>IFERROR(if($Y15=0,BB15*($W15/1.2),BB15*$Y15),"")</f>
        <v/>
      </c>
      <c r="CN15" s="129">
        <f>IFERROR(if($Y15=0,BC15*($W15/1.2),BC15*$Y15),"")</f>
        <v/>
      </c>
      <c r="CO15" s="130">
        <f>IFERROR(if($AA15=0,($W15/1.35)*BD15,BD15*$AA15),)</f>
        <v/>
      </c>
      <c r="CP15" s="130">
        <f>IFERROR(if($AA15=0,($W15/1.35)*BE15,BE15*$AA15),)</f>
        <v/>
      </c>
      <c r="CQ15" s="130">
        <f>IFERROR(if($AA15=0,($W15/1.35)*BF15,BF15*$AA15),)</f>
        <v/>
      </c>
      <c r="CR15" s="128">
        <f>IFERROR(if($AC15=0,($W15/0.74)*BG15,
BG15*$AC15),)</f>
        <v/>
      </c>
      <c r="CS15" s="128">
        <f>IFERROR(if($AC15=0,($W15/0.74)*BH15,
BH15*$AC15),)</f>
        <v/>
      </c>
      <c r="CT15" s="128">
        <f>IFERROR(if($AC15=0,($W15/0.74)*BI15,
BI15*$AC15),)</f>
        <v/>
      </c>
      <c r="CU15" s="128">
        <f>IFERROR(AI15*$V15,)</f>
        <v/>
      </c>
      <c r="CV15" s="128">
        <f>IFERROR(AJ15*$V15,)</f>
        <v/>
      </c>
      <c r="CW15" s="128">
        <f>IFERROR(AK15*$V15,)</f>
        <v/>
      </c>
      <c r="CX15" s="128">
        <f>IFERROR(AL15*$V15,)</f>
        <v/>
      </c>
      <c r="CY15" s="128">
        <f>IFERROR(AM15*$V15,)</f>
        <v/>
      </c>
      <c r="CZ15" s="128">
        <f>IFERROR(AN15*$V15,)</f>
        <v/>
      </c>
      <c r="DA15" s="128">
        <f>IFERROR(AO15*$V15,)</f>
        <v/>
      </c>
      <c r="DB15" s="128">
        <f>IFERROR(AP15*$V15,)</f>
        <v/>
      </c>
      <c r="DC15" s="128">
        <f>IFERROR(AQ15*$V15,)</f>
        <v/>
      </c>
      <c r="DD15" s="128">
        <f>IFERROR(AR15*$V15,)</f>
        <v/>
      </c>
      <c r="DE15" s="128">
        <f>IFERROR(AS15*$V15,)</f>
        <v/>
      </c>
      <c r="DF15" s="128">
        <f>IFERROR(AT15*$V15,)</f>
        <v/>
      </c>
      <c r="DG15" s="128">
        <f>IFERROR(AU15*$V15,)</f>
        <v/>
      </c>
      <c r="DH15" s="128">
        <f>IFERROR(AV15*$V15,)</f>
        <v/>
      </c>
      <c r="DI15" s="128">
        <f>IFERROR(AW15*$V15,)</f>
        <v/>
      </c>
      <c r="DJ15" s="128">
        <f>IFERROR(AX15*$V15,)</f>
        <v/>
      </c>
      <c r="DK15" s="128">
        <f>IFERROR(AY15*$V15,)</f>
        <v/>
      </c>
      <c r="DL15" s="128">
        <f>IFERROR(AZ15*$V15,)</f>
        <v/>
      </c>
      <c r="DM15" s="129">
        <f>IFERROR(if($X15=0,($V15/1.2)*BA15,
BA15*$X15),)</f>
        <v/>
      </c>
      <c r="DN15" s="129">
        <f>IFERROR(if($X15=0,($V15/1.2)*BB15,
BB15*$X15),)</f>
        <v/>
      </c>
      <c r="DO15" s="129">
        <f>IFERROR(if($X15=0,($V15/1.2)*BC15,
BC15*$X15),)</f>
        <v/>
      </c>
      <c r="DP15" s="130">
        <f>IFERROR(if($Z15=0,($V15/1.35)*BD15,
BD15*$Z15),)</f>
        <v/>
      </c>
      <c r="DQ15" s="130">
        <f>IFERROR(if($Z15=0,($V15/1.35)*BE15,
BE15*$Z15),)</f>
        <v/>
      </c>
      <c r="DR15" s="130">
        <f>IFERROR(if($Z15=0,($V15/1.35)*BF15,
BF15*$Z15),)</f>
        <v/>
      </c>
      <c r="DS15" s="128">
        <f>IFERROR(IF($AB15=0,($V15/0.74)*BG15,
BG15*$AB15),)</f>
        <v/>
      </c>
      <c r="DT15" s="128">
        <f>IFERROR(IF($AB15=0,($V15/0.74)*BH15,
BH15*$AB15),)</f>
        <v/>
      </c>
      <c r="DU15" s="128">
        <f>IFERROR(IF($AB15=0,($V15/0.74)*BI15,
BI15*$AB15),)</f>
        <v/>
      </c>
    </row>
    <row r="16" ht="60" customHeight="1" s="162">
      <c r="A16" s="115" t="n"/>
      <c r="B16" s="115" t="n"/>
      <c r="C16" s="115" t="n"/>
      <c r="D16" s="115" t="n"/>
      <c r="E16" s="115" t="n"/>
      <c r="F16" s="115" t="n"/>
      <c r="G16" s="115" t="n"/>
      <c r="H16" s="115" t="n"/>
      <c r="I16" s="115" t="n"/>
      <c r="J16" s="115" t="n"/>
      <c r="K16" s="115" t="n"/>
      <c r="L16" s="115" t="n"/>
      <c r="M16" s="115" t="n"/>
      <c r="N16" s="115" t="n"/>
      <c r="O16" s="115" t="n"/>
      <c r="P16" s="115" t="n"/>
      <c r="Q16" s="115" t="n"/>
      <c r="R16" s="115" t="n"/>
      <c r="S16" s="115" t="n"/>
      <c r="T16" s="115" t="n"/>
      <c r="U16" s="116" t="n"/>
      <c r="V16" s="116" t="n"/>
      <c r="W16" s="117" t="n"/>
      <c r="X16" s="118" t="n"/>
      <c r="Y16" s="119" t="n"/>
      <c r="Z16" s="120" t="n"/>
      <c r="AA16" s="121" t="n"/>
      <c r="AB16" s="122" t="n"/>
      <c r="AC16" s="117" t="n"/>
      <c r="AD16" s="123">
        <f>IF(SUM($AE16:$AH16)=0,"",SUM($AE16:$AH16))</f>
        <v/>
      </c>
      <c r="AE16" s="123">
        <f>iferror(IF(SUM($AI16:$AZ16)=0,"",SUM($AI16:$AZ16)),"")</f>
        <v/>
      </c>
      <c r="AF16" s="123">
        <f>iferror(IF(SUM($BA16:$BC16)=0,"",SUM($BA16:$BC16)),"")</f>
        <v/>
      </c>
      <c r="AG16" s="123">
        <f>iferror(IF(SUM($BD16:$BF16)=0,"",SUM($BD16:$BF16)),"")</f>
        <v/>
      </c>
      <c r="AH16" s="124">
        <f>iferror(IF(SUM($BG16:$BI16)=0,"",SUM($BG16:$BI16)),"")</f>
        <v/>
      </c>
      <c r="AI16" s="131" t="n"/>
      <c r="AJ16" s="132" t="n"/>
      <c r="AK16" s="132" t="n"/>
      <c r="AL16" s="132" t="n"/>
      <c r="AM16" s="132" t="n"/>
      <c r="AN16" s="132" t="n"/>
      <c r="AO16" s="132" t="n"/>
      <c r="AP16" s="132" t="n"/>
      <c r="AQ16" s="132" t="n"/>
      <c r="AR16" s="132" t="n"/>
      <c r="AS16" s="132" t="n"/>
      <c r="AT16" s="132" t="n"/>
      <c r="AU16" s="132" t="n"/>
      <c r="AV16" s="132" t="n"/>
      <c r="AW16" s="132" t="n"/>
      <c r="AX16" s="132" t="n"/>
      <c r="AY16" s="132" t="n"/>
      <c r="AZ16" s="133" t="n"/>
      <c r="BA16" s="131" t="n"/>
      <c r="BB16" s="132" t="n"/>
      <c r="BC16" s="133" t="n"/>
      <c r="BD16" s="131" t="n"/>
      <c r="BE16" s="132" t="n"/>
      <c r="BF16" s="133" t="n"/>
      <c r="BG16" s="131" t="n"/>
      <c r="BH16" s="132" t="n"/>
      <c r="BI16" s="132" t="n"/>
      <c r="BJ16" s="128">
        <f>iferror(SUM($BK16,($BL16*1.2),($BM16*1.35),($BN16*0.74)),)</f>
        <v/>
      </c>
      <c r="BK16" s="128">
        <f>IFERROR(SUM($BT16:$CK16),)</f>
        <v/>
      </c>
      <c r="BL16" s="129">
        <f>IFERROR(SUM($CL16:$CN16),)</f>
        <v/>
      </c>
      <c r="BM16" s="130">
        <f>IFERROR(SUM($CO16:$CQ16),)</f>
        <v/>
      </c>
      <c r="BN16" s="128">
        <f>IFERROR(SUM($CR16:$CT16),)</f>
        <v/>
      </c>
      <c r="BO16" s="128">
        <f>iferror(SUM($BP16,($BQ16*1.2),($BR16*1.35),($BS16*0.74)),)</f>
        <v/>
      </c>
      <c r="BP16" s="128">
        <f>IFERROR(SUM($CU16:$DL16),)</f>
        <v/>
      </c>
      <c r="BQ16" s="128">
        <f>IFERROR(SUM($DM16:$DO16),)</f>
        <v/>
      </c>
      <c r="BR16" s="128">
        <f>IFERROR(SUM($DP16:$DR16),)</f>
        <v/>
      </c>
      <c r="BS16" s="128">
        <f>IFERROR(SUM($DS16:$DU16),)</f>
        <v/>
      </c>
      <c r="BT16" s="128">
        <f>IFERROR(AI16*$W16,)</f>
        <v/>
      </c>
      <c r="BU16" s="128">
        <f>IFERROR(AJ16*$W16,)</f>
        <v/>
      </c>
      <c r="BV16" s="128">
        <f>IFERROR(AK16*$W16,)</f>
        <v/>
      </c>
      <c r="BW16" s="128">
        <f>IFERROR(AL16*$W16,)</f>
        <v/>
      </c>
      <c r="BX16" s="128">
        <f>IFERROR(AM16*$W16,)</f>
        <v/>
      </c>
      <c r="BY16" s="128">
        <f>IFERROR(AN16*$W16,)</f>
        <v/>
      </c>
      <c r="BZ16" s="128">
        <f>IFERROR(AO16*$W16,)</f>
        <v/>
      </c>
      <c r="CA16" s="128">
        <f>IFERROR(AP16*$W16,)</f>
        <v/>
      </c>
      <c r="CB16" s="128">
        <f>IFERROR(AQ16*$W16,)</f>
        <v/>
      </c>
      <c r="CC16" s="128">
        <f>IFERROR(AR16*$W16,)</f>
        <v/>
      </c>
      <c r="CD16" s="128">
        <f>IFERROR(AS16*$W16,)</f>
        <v/>
      </c>
      <c r="CE16" s="128">
        <f>IFERROR(AT16*$W16,)</f>
        <v/>
      </c>
      <c r="CF16" s="128">
        <f>IFERROR(AU16*$W16,)</f>
        <v/>
      </c>
      <c r="CG16" s="128">
        <f>IFERROR(AV16*$W16,)</f>
        <v/>
      </c>
      <c r="CH16" s="128">
        <f>IFERROR(AW16*$W16,)</f>
        <v/>
      </c>
      <c r="CI16" s="128">
        <f>IFERROR(AX16*$W16,)</f>
        <v/>
      </c>
      <c r="CJ16" s="128">
        <f>IFERROR(AY16*$W16,)</f>
        <v/>
      </c>
      <c r="CK16" s="128">
        <f>IFERROR(AZ16*$W16,)</f>
        <v/>
      </c>
      <c r="CL16" s="129">
        <f>IFERROR(if($Y16=0,BA16*($W16/1.2),BA16*$Y16),"")</f>
        <v/>
      </c>
      <c r="CM16" s="129">
        <f>IFERROR(if($Y16=0,BB16*($W16/1.2),BB16*$Y16),"")</f>
        <v/>
      </c>
      <c r="CN16" s="129">
        <f>IFERROR(if($Y16=0,BC16*($W16/1.2),BC16*$Y16),"")</f>
        <v/>
      </c>
      <c r="CO16" s="130">
        <f>IFERROR(if($AA16=0,($W16/1.35)*BD16,BD16*$AA16),)</f>
        <v/>
      </c>
      <c r="CP16" s="130">
        <f>IFERROR(if($AA16=0,($W16/1.35)*BE16,BE16*$AA16),)</f>
        <v/>
      </c>
      <c r="CQ16" s="130">
        <f>IFERROR(if($AA16=0,($W16/1.35)*BF16,BF16*$AA16),)</f>
        <v/>
      </c>
      <c r="CR16" s="128">
        <f>IFERROR(if($AC16=0,($W16/0.74)*BG16,
BG16*$AC16),)</f>
        <v/>
      </c>
      <c r="CS16" s="128">
        <f>IFERROR(if($AC16=0,($W16/0.74)*BH16,
BH16*$AC16),)</f>
        <v/>
      </c>
      <c r="CT16" s="128">
        <f>IFERROR(if($AC16=0,($W16/0.74)*BI16,
BI16*$AC16),)</f>
        <v/>
      </c>
      <c r="CU16" s="128">
        <f>IFERROR(AI16*$V16,)</f>
        <v/>
      </c>
      <c r="CV16" s="128">
        <f>IFERROR(AJ16*$V16,)</f>
        <v/>
      </c>
      <c r="CW16" s="128">
        <f>IFERROR(AK16*$V16,)</f>
        <v/>
      </c>
      <c r="CX16" s="128">
        <f>IFERROR(AL16*$V16,)</f>
        <v/>
      </c>
      <c r="CY16" s="128">
        <f>IFERROR(AM16*$V16,)</f>
        <v/>
      </c>
      <c r="CZ16" s="128">
        <f>IFERROR(AN16*$V16,)</f>
        <v/>
      </c>
      <c r="DA16" s="128">
        <f>IFERROR(AO16*$V16,)</f>
        <v/>
      </c>
      <c r="DB16" s="128">
        <f>IFERROR(AP16*$V16,)</f>
        <v/>
      </c>
      <c r="DC16" s="128">
        <f>IFERROR(AQ16*$V16,)</f>
        <v/>
      </c>
      <c r="DD16" s="128">
        <f>IFERROR(AR16*$V16,)</f>
        <v/>
      </c>
      <c r="DE16" s="128">
        <f>IFERROR(AS16*$V16,)</f>
        <v/>
      </c>
      <c r="DF16" s="128">
        <f>IFERROR(AT16*$V16,)</f>
        <v/>
      </c>
      <c r="DG16" s="128">
        <f>IFERROR(AU16*$V16,)</f>
        <v/>
      </c>
      <c r="DH16" s="128">
        <f>IFERROR(AV16*$V16,)</f>
        <v/>
      </c>
      <c r="DI16" s="128">
        <f>IFERROR(AW16*$V16,)</f>
        <v/>
      </c>
      <c r="DJ16" s="128">
        <f>IFERROR(AX16*$V16,)</f>
        <v/>
      </c>
      <c r="DK16" s="128">
        <f>IFERROR(AY16*$V16,)</f>
        <v/>
      </c>
      <c r="DL16" s="128">
        <f>IFERROR(AZ16*$V16,)</f>
        <v/>
      </c>
      <c r="DM16" s="129">
        <f>IFERROR(if($X16=0,($V16/1.2)*BA16,
BA16*$X16),)</f>
        <v/>
      </c>
      <c r="DN16" s="129">
        <f>IFERROR(if($X16=0,($V16/1.2)*BB16,
BB16*$X16),)</f>
        <v/>
      </c>
      <c r="DO16" s="129">
        <f>IFERROR(if($X16=0,($V16/1.2)*BC16,
BC16*$X16),)</f>
        <v/>
      </c>
      <c r="DP16" s="130">
        <f>IFERROR(if($Z16=0,($V16/1.35)*BD16,
BD16*$Z16),)</f>
        <v/>
      </c>
      <c r="DQ16" s="130">
        <f>IFERROR(if($Z16=0,($V16/1.35)*BE16,
BE16*$Z16),)</f>
        <v/>
      </c>
      <c r="DR16" s="130">
        <f>IFERROR(if($Z16=0,($V16/1.35)*BF16,
BF16*$Z16),)</f>
        <v/>
      </c>
      <c r="DS16" s="128">
        <f>IFERROR(IF($AB16=0,($V16/0.74)*BG16,
BG16*$AB16),)</f>
        <v/>
      </c>
      <c r="DT16" s="128">
        <f>IFERROR(IF($AB16=0,($V16/0.74)*BH16,
BH16*$AB16),)</f>
        <v/>
      </c>
      <c r="DU16" s="128">
        <f>IFERROR(IF($AB16=0,($V16/0.74)*BI16,
BI16*$AB16),)</f>
        <v/>
      </c>
    </row>
    <row r="17" ht="60" customHeight="1" s="162">
      <c r="A17" s="115" t="n"/>
      <c r="B17" s="115" t="n"/>
      <c r="C17" s="115" t="n"/>
      <c r="D17" s="115" t="n"/>
      <c r="E17" s="115" t="n"/>
      <c r="F17" s="115" t="n"/>
      <c r="G17" s="115" t="n"/>
      <c r="H17" s="115" t="n"/>
      <c r="I17" s="115" t="n"/>
      <c r="J17" s="115" t="n"/>
      <c r="K17" s="115" t="n"/>
      <c r="L17" s="115" t="n"/>
      <c r="M17" s="115" t="n"/>
      <c r="N17" s="115" t="n"/>
      <c r="O17" s="115" t="n"/>
      <c r="P17" s="115" t="n"/>
      <c r="Q17" s="115" t="n"/>
      <c r="R17" s="115" t="n"/>
      <c r="S17" s="115" t="n"/>
      <c r="T17" s="115" t="n"/>
      <c r="U17" s="116" t="n"/>
      <c r="V17" s="116" t="n"/>
      <c r="W17" s="117" t="n"/>
      <c r="X17" s="118" t="n"/>
      <c r="Y17" s="119" t="n"/>
      <c r="Z17" s="120" t="n"/>
      <c r="AA17" s="121" t="n"/>
      <c r="AB17" s="122" t="n"/>
      <c r="AC17" s="117" t="n"/>
      <c r="AD17" s="123">
        <f>IF(SUM($AE17:$AH17)=0,"",SUM($AE17:$AH17))</f>
        <v/>
      </c>
      <c r="AE17" s="123">
        <f>iferror(IF(SUM($AI17:$AZ17)=0,"",SUM($AI17:$AZ17)),"")</f>
        <v/>
      </c>
      <c r="AF17" s="123">
        <f>iferror(IF(SUM($BA17:$BC17)=0,"",SUM($BA17:$BC17)),"")</f>
        <v/>
      </c>
      <c r="AG17" s="123">
        <f>iferror(IF(SUM($BD17:$BF17)=0,"",SUM($BD17:$BF17)),"")</f>
        <v/>
      </c>
      <c r="AH17" s="124">
        <f>iferror(IF(SUM($BG17:$BI17)=0,"",SUM($BG17:$BI17)),"")</f>
        <v/>
      </c>
      <c r="AI17" s="131" t="n"/>
      <c r="AJ17" s="132" t="n"/>
      <c r="AK17" s="132" t="n"/>
      <c r="AL17" s="132" t="n"/>
      <c r="AM17" s="132" t="n"/>
      <c r="AN17" s="132" t="n"/>
      <c r="AO17" s="132" t="n"/>
      <c r="AP17" s="132" t="n"/>
      <c r="AQ17" s="132" t="n"/>
      <c r="AR17" s="132" t="n"/>
      <c r="AS17" s="132" t="n"/>
      <c r="AT17" s="132" t="n"/>
      <c r="AU17" s="132" t="n"/>
      <c r="AV17" s="132" t="n"/>
      <c r="AW17" s="132" t="n"/>
      <c r="AX17" s="132" t="n"/>
      <c r="AY17" s="132" t="n"/>
      <c r="AZ17" s="133" t="n"/>
      <c r="BA17" s="131" t="n"/>
      <c r="BB17" s="132" t="n"/>
      <c r="BC17" s="133" t="n"/>
      <c r="BD17" s="131" t="n"/>
      <c r="BE17" s="132" t="n"/>
      <c r="BF17" s="133" t="n"/>
      <c r="BG17" s="131" t="n"/>
      <c r="BH17" s="132" t="n"/>
      <c r="BI17" s="132" t="n"/>
      <c r="BJ17" s="128">
        <f>iferror(SUM($BK17,($BL17*1.2),($BM17*1.35),($BN17*0.74)),)</f>
        <v/>
      </c>
      <c r="BK17" s="128">
        <f>IFERROR(SUM($BT17:$CK17),)</f>
        <v/>
      </c>
      <c r="BL17" s="129">
        <f>IFERROR(SUM($CL17:$CN17),)</f>
        <v/>
      </c>
      <c r="BM17" s="130">
        <f>IFERROR(SUM($CO17:$CQ17),)</f>
        <v/>
      </c>
      <c r="BN17" s="128">
        <f>IFERROR(SUM($CR17:$CT17),)</f>
        <v/>
      </c>
      <c r="BO17" s="128">
        <f>iferror(SUM($BP17,($BQ17*1.2),($BR17*1.35),($BS17*0.74)),)</f>
        <v/>
      </c>
      <c r="BP17" s="128">
        <f>IFERROR(SUM($CU17:$DL17),)</f>
        <v/>
      </c>
      <c r="BQ17" s="128">
        <f>IFERROR(SUM($DM17:$DO17),)</f>
        <v/>
      </c>
      <c r="BR17" s="128">
        <f>IFERROR(SUM($DP17:$DR17),)</f>
        <v/>
      </c>
      <c r="BS17" s="128">
        <f>IFERROR(SUM($DS17:$DU17),)</f>
        <v/>
      </c>
      <c r="BT17" s="128">
        <f>IFERROR(AI17*$W17,)</f>
        <v/>
      </c>
      <c r="BU17" s="128">
        <f>IFERROR(AJ17*$W17,)</f>
        <v/>
      </c>
      <c r="BV17" s="128">
        <f>IFERROR(AK17*$W17,)</f>
        <v/>
      </c>
      <c r="BW17" s="128">
        <f>IFERROR(AL17*$W17,)</f>
        <v/>
      </c>
      <c r="BX17" s="128">
        <f>IFERROR(AM17*$W17,)</f>
        <v/>
      </c>
      <c r="BY17" s="128">
        <f>IFERROR(AN17*$W17,)</f>
        <v/>
      </c>
      <c r="BZ17" s="128">
        <f>IFERROR(AO17*$W17,)</f>
        <v/>
      </c>
      <c r="CA17" s="128">
        <f>IFERROR(AP17*$W17,)</f>
        <v/>
      </c>
      <c r="CB17" s="128">
        <f>IFERROR(AQ17*$W17,)</f>
        <v/>
      </c>
      <c r="CC17" s="128">
        <f>IFERROR(AR17*$W17,)</f>
        <v/>
      </c>
      <c r="CD17" s="128">
        <f>IFERROR(AS17*$W17,)</f>
        <v/>
      </c>
      <c r="CE17" s="128">
        <f>IFERROR(AT17*$W17,)</f>
        <v/>
      </c>
      <c r="CF17" s="128">
        <f>IFERROR(AU17*$W17,)</f>
        <v/>
      </c>
      <c r="CG17" s="128">
        <f>IFERROR(AV17*$W17,)</f>
        <v/>
      </c>
      <c r="CH17" s="128">
        <f>IFERROR(AW17*$W17,)</f>
        <v/>
      </c>
      <c r="CI17" s="128">
        <f>IFERROR(AX17*$W17,)</f>
        <v/>
      </c>
      <c r="CJ17" s="128">
        <f>IFERROR(AY17*$W17,)</f>
        <v/>
      </c>
      <c r="CK17" s="128">
        <f>IFERROR(AZ17*$W17,)</f>
        <v/>
      </c>
      <c r="CL17" s="129">
        <f>IFERROR(if($Y17=0,BA17*($W17/1.2),BA17*$Y17),"")</f>
        <v/>
      </c>
      <c r="CM17" s="129">
        <f>IFERROR(if($Y17=0,BB17*($W17/1.2),BB17*$Y17),"")</f>
        <v/>
      </c>
      <c r="CN17" s="129">
        <f>IFERROR(if($Y17=0,BC17*($W17/1.2),BC17*$Y17),"")</f>
        <v/>
      </c>
      <c r="CO17" s="130">
        <f>IFERROR(if($AA17=0,($W17/1.35)*BD17,BD17*$AA17),)</f>
        <v/>
      </c>
      <c r="CP17" s="130">
        <f>IFERROR(if($AA17=0,($W17/1.35)*BE17,BE17*$AA17),)</f>
        <v/>
      </c>
      <c r="CQ17" s="130">
        <f>IFERROR(if($AA17=0,($W17/1.35)*BF17,BF17*$AA17),)</f>
        <v/>
      </c>
      <c r="CR17" s="128">
        <f>IFERROR(if($AC17=0,($W17/0.74)*BG17,
BG17*$AC17),)</f>
        <v/>
      </c>
      <c r="CS17" s="128">
        <f>IFERROR(if($AC17=0,($W17/0.74)*BH17,
BH17*$AC17),)</f>
        <v/>
      </c>
      <c r="CT17" s="128">
        <f>IFERROR(if($AC17=0,($W17/0.74)*BI17,
BI17*$AC17),)</f>
        <v/>
      </c>
      <c r="CU17" s="128">
        <f>IFERROR(AI17*$V17,)</f>
        <v/>
      </c>
      <c r="CV17" s="128">
        <f>IFERROR(AJ17*$V17,)</f>
        <v/>
      </c>
      <c r="CW17" s="128">
        <f>IFERROR(AK17*$V17,)</f>
        <v/>
      </c>
      <c r="CX17" s="128">
        <f>IFERROR(AL17*$V17,)</f>
        <v/>
      </c>
      <c r="CY17" s="128">
        <f>IFERROR(AM17*$V17,)</f>
        <v/>
      </c>
      <c r="CZ17" s="128">
        <f>IFERROR(AN17*$V17,)</f>
        <v/>
      </c>
      <c r="DA17" s="128">
        <f>IFERROR(AO17*$V17,)</f>
        <v/>
      </c>
      <c r="DB17" s="128">
        <f>IFERROR(AP17*$V17,)</f>
        <v/>
      </c>
      <c r="DC17" s="128">
        <f>IFERROR(AQ17*$V17,)</f>
        <v/>
      </c>
      <c r="DD17" s="128">
        <f>IFERROR(AR17*$V17,)</f>
        <v/>
      </c>
      <c r="DE17" s="128">
        <f>IFERROR(AS17*$V17,)</f>
        <v/>
      </c>
      <c r="DF17" s="128">
        <f>IFERROR(AT17*$V17,)</f>
        <v/>
      </c>
      <c r="DG17" s="128">
        <f>IFERROR(AU17*$V17,)</f>
        <v/>
      </c>
      <c r="DH17" s="128">
        <f>IFERROR(AV17*$V17,)</f>
        <v/>
      </c>
      <c r="DI17" s="128">
        <f>IFERROR(AW17*$V17,)</f>
        <v/>
      </c>
      <c r="DJ17" s="128">
        <f>IFERROR(AX17*$V17,)</f>
        <v/>
      </c>
      <c r="DK17" s="128">
        <f>IFERROR(AY17*$V17,)</f>
        <v/>
      </c>
      <c r="DL17" s="128">
        <f>IFERROR(AZ17*$V17,)</f>
        <v/>
      </c>
      <c r="DM17" s="129">
        <f>IFERROR(if($X17=0,($V17/1.2)*BA17,
BA17*$X17),)</f>
        <v/>
      </c>
      <c r="DN17" s="129">
        <f>IFERROR(if($X17=0,($V17/1.2)*BB17,
BB17*$X17),)</f>
        <v/>
      </c>
      <c r="DO17" s="129">
        <f>IFERROR(if($X17=0,($V17/1.2)*BC17,
BC17*$X17),)</f>
        <v/>
      </c>
      <c r="DP17" s="130">
        <f>IFERROR(if($Z17=0,($V17/1.35)*BD17,
BD17*$Z17),)</f>
        <v/>
      </c>
      <c r="DQ17" s="130">
        <f>IFERROR(if($Z17=0,($V17/1.35)*BE17,
BE17*$Z17),)</f>
        <v/>
      </c>
      <c r="DR17" s="130">
        <f>IFERROR(if($Z17=0,($V17/1.35)*BF17,
BF17*$Z17),)</f>
        <v/>
      </c>
      <c r="DS17" s="128">
        <f>IFERROR(IF($AB17=0,($V17/0.74)*BG17,
BG17*$AB17),)</f>
        <v/>
      </c>
      <c r="DT17" s="128">
        <f>IFERROR(IF($AB17=0,($V17/0.74)*BH17,
BH17*$AB17),)</f>
        <v/>
      </c>
      <c r="DU17" s="128">
        <f>IFERROR(IF($AB17=0,($V17/0.74)*BI17,
BI17*$AB17),)</f>
        <v/>
      </c>
    </row>
    <row r="18" ht="60" customHeight="1" s="162">
      <c r="A18" s="115" t="n"/>
      <c r="B18" s="115" t="n"/>
      <c r="C18" s="115" t="n"/>
      <c r="D18" s="115" t="n"/>
      <c r="E18" s="115" t="n"/>
      <c r="F18" s="115" t="n"/>
      <c r="G18" s="115" t="n"/>
      <c r="H18" s="115" t="n"/>
      <c r="I18" s="115" t="n"/>
      <c r="J18" s="115" t="n"/>
      <c r="K18" s="115" t="n"/>
      <c r="L18" s="115" t="n"/>
      <c r="M18" s="115" t="n"/>
      <c r="N18" s="115" t="n"/>
      <c r="O18" s="115" t="n"/>
      <c r="P18" s="115" t="n"/>
      <c r="Q18" s="115" t="n"/>
      <c r="R18" s="115" t="n"/>
      <c r="S18" s="115" t="n"/>
      <c r="T18" s="115" t="n"/>
      <c r="U18" s="116" t="n"/>
      <c r="V18" s="116" t="n"/>
      <c r="W18" s="117" t="n"/>
      <c r="X18" s="118" t="n"/>
      <c r="Y18" s="119" t="n"/>
      <c r="Z18" s="120" t="n"/>
      <c r="AA18" s="121" t="n"/>
      <c r="AB18" s="122" t="n"/>
      <c r="AC18" s="117" t="n"/>
      <c r="AD18" s="123">
        <f>IF(SUM($AE18:$AH18)=0,"",SUM($AE18:$AH18))</f>
        <v/>
      </c>
      <c r="AE18" s="123">
        <f>iferror(IF(SUM($AI18:$AZ18)=0,"",SUM($AI18:$AZ18)),"")</f>
        <v/>
      </c>
      <c r="AF18" s="123">
        <f>iferror(IF(SUM($BA18:$BC18)=0,"",SUM($BA18:$BC18)),"")</f>
        <v/>
      </c>
      <c r="AG18" s="123">
        <f>iferror(IF(SUM($BD18:$BF18)=0,"",SUM($BD18:$BF18)),"")</f>
        <v/>
      </c>
      <c r="AH18" s="124">
        <f>iferror(IF(SUM($BG18:$BI18)=0,"",SUM($BG18:$BI18)),"")</f>
        <v/>
      </c>
      <c r="AI18" s="131" t="n"/>
      <c r="AJ18" s="132" t="n"/>
      <c r="AK18" s="132" t="n"/>
      <c r="AL18" s="132" t="n"/>
      <c r="AM18" s="132" t="n"/>
      <c r="AN18" s="132" t="n"/>
      <c r="AO18" s="132" t="n"/>
      <c r="AP18" s="132" t="n"/>
      <c r="AQ18" s="132" t="n"/>
      <c r="AR18" s="132" t="n"/>
      <c r="AS18" s="132" t="n"/>
      <c r="AT18" s="132" t="n"/>
      <c r="AU18" s="132" t="n"/>
      <c r="AV18" s="132" t="n"/>
      <c r="AW18" s="132" t="n"/>
      <c r="AX18" s="132" t="n"/>
      <c r="AY18" s="132" t="n"/>
      <c r="AZ18" s="133" t="n"/>
      <c r="BA18" s="131" t="n"/>
      <c r="BB18" s="132" t="n"/>
      <c r="BC18" s="133" t="n"/>
      <c r="BD18" s="131" t="n"/>
      <c r="BE18" s="132" t="n"/>
      <c r="BF18" s="133" t="n"/>
      <c r="BG18" s="131" t="n"/>
      <c r="BH18" s="132" t="n"/>
      <c r="BI18" s="132" t="n"/>
      <c r="BJ18" s="128">
        <f>iferror(SUM($BK18,($BL18*1.2),($BM18*1.35),($BN18*0.74)),)</f>
        <v/>
      </c>
      <c r="BK18" s="128">
        <f>IFERROR(SUM($BT18:$CK18),)</f>
        <v/>
      </c>
      <c r="BL18" s="129">
        <f>IFERROR(SUM($CL18:$CN18),)</f>
        <v/>
      </c>
      <c r="BM18" s="130">
        <f>IFERROR(SUM($CO18:$CQ18),)</f>
        <v/>
      </c>
      <c r="BN18" s="128">
        <f>IFERROR(SUM($CR18:$CT18),)</f>
        <v/>
      </c>
      <c r="BO18" s="128">
        <f>iferror(SUM($BP18,($BQ18*1.2),($BR18*1.35),($BS18*0.74)),)</f>
        <v/>
      </c>
      <c r="BP18" s="128">
        <f>IFERROR(SUM($CU18:$DL18),)</f>
        <v/>
      </c>
      <c r="BQ18" s="128">
        <f>IFERROR(SUM($DM18:$DO18),)</f>
        <v/>
      </c>
      <c r="BR18" s="128">
        <f>IFERROR(SUM($DP18:$DR18),)</f>
        <v/>
      </c>
      <c r="BS18" s="128">
        <f>IFERROR(SUM($DS18:$DU18),)</f>
        <v/>
      </c>
      <c r="BT18" s="128">
        <f>IFERROR(AI18*$W18,)</f>
        <v/>
      </c>
      <c r="BU18" s="128">
        <f>IFERROR(AJ18*$W18,)</f>
        <v/>
      </c>
      <c r="BV18" s="128">
        <f>IFERROR(AK18*$W18,)</f>
        <v/>
      </c>
      <c r="BW18" s="128">
        <f>IFERROR(AL18*$W18,)</f>
        <v/>
      </c>
      <c r="BX18" s="128">
        <f>IFERROR(AM18*$W18,)</f>
        <v/>
      </c>
      <c r="BY18" s="128">
        <f>IFERROR(AN18*$W18,)</f>
        <v/>
      </c>
      <c r="BZ18" s="128">
        <f>IFERROR(AO18*$W18,)</f>
        <v/>
      </c>
      <c r="CA18" s="128">
        <f>IFERROR(AP18*$W18,)</f>
        <v/>
      </c>
      <c r="CB18" s="128">
        <f>IFERROR(AQ18*$W18,)</f>
        <v/>
      </c>
      <c r="CC18" s="128">
        <f>IFERROR(AR18*$W18,)</f>
        <v/>
      </c>
      <c r="CD18" s="128">
        <f>IFERROR(AS18*$W18,)</f>
        <v/>
      </c>
      <c r="CE18" s="128">
        <f>IFERROR(AT18*$W18,)</f>
        <v/>
      </c>
      <c r="CF18" s="128">
        <f>IFERROR(AU18*$W18,)</f>
        <v/>
      </c>
      <c r="CG18" s="128">
        <f>IFERROR(AV18*$W18,)</f>
        <v/>
      </c>
      <c r="CH18" s="128">
        <f>IFERROR(AW18*$W18,)</f>
        <v/>
      </c>
      <c r="CI18" s="128">
        <f>IFERROR(AX18*$W18,)</f>
        <v/>
      </c>
      <c r="CJ18" s="128">
        <f>IFERROR(AY18*$W18,)</f>
        <v/>
      </c>
      <c r="CK18" s="128">
        <f>IFERROR(AZ18*$W18,)</f>
        <v/>
      </c>
      <c r="CL18" s="129">
        <f>IFERROR(if($Y18=0,BA18*($W18/1.2),BA18*$Y18),"")</f>
        <v/>
      </c>
      <c r="CM18" s="129">
        <f>IFERROR(if($Y18=0,BB18*($W18/1.2),BB18*$Y18),"")</f>
        <v/>
      </c>
      <c r="CN18" s="129">
        <f>IFERROR(if($Y18=0,BC18*($W18/1.2),BC18*$Y18),"")</f>
        <v/>
      </c>
      <c r="CO18" s="130">
        <f>IFERROR(if($AA18=0,($W18/1.35)*BD18,BD18*$AA18),)</f>
        <v/>
      </c>
      <c r="CP18" s="130">
        <f>IFERROR(if($AA18=0,($W18/1.35)*BE18,BE18*$AA18),)</f>
        <v/>
      </c>
      <c r="CQ18" s="130">
        <f>IFERROR(if($AA18=0,($W18/1.35)*BF18,BF18*$AA18),)</f>
        <v/>
      </c>
      <c r="CR18" s="128">
        <f>IFERROR(if($AC18=0,($W18/0.74)*BG18,
BG18*$AC18),)</f>
        <v/>
      </c>
      <c r="CS18" s="128">
        <f>IFERROR(if($AC18=0,($W18/0.74)*BH18,
BH18*$AC18),)</f>
        <v/>
      </c>
      <c r="CT18" s="128">
        <f>IFERROR(if($AC18=0,($W18/0.74)*BI18,
BI18*$AC18),)</f>
        <v/>
      </c>
      <c r="CU18" s="128">
        <f>IFERROR(AI18*$V18,)</f>
        <v/>
      </c>
      <c r="CV18" s="128">
        <f>IFERROR(AJ18*$V18,)</f>
        <v/>
      </c>
      <c r="CW18" s="128">
        <f>IFERROR(AK18*$V18,)</f>
        <v/>
      </c>
      <c r="CX18" s="128">
        <f>IFERROR(AL18*$V18,)</f>
        <v/>
      </c>
      <c r="CY18" s="128">
        <f>IFERROR(AM18*$V18,)</f>
        <v/>
      </c>
      <c r="CZ18" s="128">
        <f>IFERROR(AN18*$V18,)</f>
        <v/>
      </c>
      <c r="DA18" s="128">
        <f>IFERROR(AO18*$V18,)</f>
        <v/>
      </c>
      <c r="DB18" s="128">
        <f>IFERROR(AP18*$V18,)</f>
        <v/>
      </c>
      <c r="DC18" s="128">
        <f>IFERROR(AQ18*$V18,)</f>
        <v/>
      </c>
      <c r="DD18" s="128">
        <f>IFERROR(AR18*$V18,)</f>
        <v/>
      </c>
      <c r="DE18" s="128">
        <f>IFERROR(AS18*$V18,)</f>
        <v/>
      </c>
      <c r="DF18" s="128">
        <f>IFERROR(AT18*$V18,)</f>
        <v/>
      </c>
      <c r="DG18" s="128">
        <f>IFERROR(AU18*$V18,)</f>
        <v/>
      </c>
      <c r="DH18" s="128">
        <f>IFERROR(AV18*$V18,)</f>
        <v/>
      </c>
      <c r="DI18" s="128">
        <f>IFERROR(AW18*$V18,)</f>
        <v/>
      </c>
      <c r="DJ18" s="128">
        <f>IFERROR(AX18*$V18,)</f>
        <v/>
      </c>
      <c r="DK18" s="128">
        <f>IFERROR(AY18*$V18,)</f>
        <v/>
      </c>
      <c r="DL18" s="128">
        <f>IFERROR(AZ18*$V18,)</f>
        <v/>
      </c>
      <c r="DM18" s="129">
        <f>IFERROR(if($X18=0,($V18/1.2)*BA18,
BA18*$X18),)</f>
        <v/>
      </c>
      <c r="DN18" s="129">
        <f>IFERROR(if($X18=0,($V18/1.2)*BB18,
BB18*$X18),)</f>
        <v/>
      </c>
      <c r="DO18" s="129">
        <f>IFERROR(if($X18=0,($V18/1.2)*BC18,
BC18*$X18),)</f>
        <v/>
      </c>
      <c r="DP18" s="130">
        <f>IFERROR(if($Z18=0,($V18/1.35)*BD18,
BD18*$Z18),)</f>
        <v/>
      </c>
      <c r="DQ18" s="130">
        <f>IFERROR(if($Z18=0,($V18/1.35)*BE18,
BE18*$Z18),)</f>
        <v/>
      </c>
      <c r="DR18" s="130">
        <f>IFERROR(if($Z18=0,($V18/1.35)*BF18,
BF18*$Z18),)</f>
        <v/>
      </c>
      <c r="DS18" s="128">
        <f>IFERROR(IF($AB18=0,($V18/0.74)*BG18,
BG18*$AB18),)</f>
        <v/>
      </c>
      <c r="DT18" s="128">
        <f>IFERROR(IF($AB18=0,($V18/0.74)*BH18,
BH18*$AB18),)</f>
        <v/>
      </c>
      <c r="DU18" s="128">
        <f>IFERROR(IF($AB18=0,($V18/0.74)*BI18,
BI18*$AB18),)</f>
        <v/>
      </c>
    </row>
    <row r="19" ht="60" customHeight="1" s="162">
      <c r="A19" s="115" t="n"/>
      <c r="B19" s="115" t="n"/>
      <c r="C19" s="115" t="n"/>
      <c r="D19" s="115" t="n"/>
      <c r="E19" s="115" t="n"/>
      <c r="F19" s="115" t="n"/>
      <c r="G19" s="115" t="n"/>
      <c r="H19" s="115" t="n"/>
      <c r="I19" s="115" t="n"/>
      <c r="J19" s="115" t="n"/>
      <c r="K19" s="115" t="n"/>
      <c r="L19" s="115" t="n"/>
      <c r="M19" s="115" t="n"/>
      <c r="N19" s="115" t="n"/>
      <c r="O19" s="115" t="n"/>
      <c r="P19" s="115" t="n"/>
      <c r="Q19" s="115" t="n"/>
      <c r="R19" s="115" t="n"/>
      <c r="S19" s="115" t="n"/>
      <c r="T19" s="115" t="n"/>
      <c r="U19" s="116" t="n"/>
      <c r="V19" s="116" t="n"/>
      <c r="W19" s="117" t="n"/>
      <c r="X19" s="118" t="n"/>
      <c r="Y19" s="119" t="n"/>
      <c r="Z19" s="120" t="n"/>
      <c r="AA19" s="121" t="n"/>
      <c r="AB19" s="122" t="n"/>
      <c r="AC19" s="117" t="n"/>
      <c r="AD19" s="123">
        <f>IF(SUM($AE19:$AH19)=0,"",SUM($AE19:$AH19))</f>
        <v/>
      </c>
      <c r="AE19" s="123">
        <f>iferror(IF(SUM($AI19:$AZ19)=0,"",SUM($AI19:$AZ19)),"")</f>
        <v/>
      </c>
      <c r="AF19" s="123">
        <f>iferror(IF(SUM($BA19:$BC19)=0,"",SUM($BA19:$BC19)),"")</f>
        <v/>
      </c>
      <c r="AG19" s="123">
        <f>iferror(IF(SUM($BD19:$BF19)=0,"",SUM($BD19:$BF19)),"")</f>
        <v/>
      </c>
      <c r="AH19" s="124">
        <f>iferror(IF(SUM($BG19:$BI19)=0,"",SUM($BG19:$BI19)),"")</f>
        <v/>
      </c>
      <c r="AI19" s="131" t="n"/>
      <c r="AJ19" s="132" t="n"/>
      <c r="AK19" s="132" t="n"/>
      <c r="AL19" s="132" t="n"/>
      <c r="AM19" s="132" t="n"/>
      <c r="AN19" s="132" t="n"/>
      <c r="AO19" s="132" t="n"/>
      <c r="AP19" s="132" t="n"/>
      <c r="AQ19" s="132" t="n"/>
      <c r="AR19" s="132" t="n"/>
      <c r="AS19" s="132" t="n"/>
      <c r="AT19" s="132" t="n"/>
      <c r="AU19" s="132" t="n"/>
      <c r="AV19" s="132" t="n"/>
      <c r="AW19" s="132" t="n"/>
      <c r="AX19" s="132" t="n"/>
      <c r="AY19" s="132" t="n"/>
      <c r="AZ19" s="133" t="n"/>
      <c r="BA19" s="131" t="n"/>
      <c r="BB19" s="132" t="n"/>
      <c r="BC19" s="133" t="n"/>
      <c r="BD19" s="131" t="n"/>
      <c r="BE19" s="132" t="n"/>
      <c r="BF19" s="133" t="n"/>
      <c r="BG19" s="131" t="n"/>
      <c r="BH19" s="132" t="n"/>
      <c r="BI19" s="132" t="n"/>
      <c r="BJ19" s="128">
        <f>iferror(SUM($BK19,($BL19*1.2),($BM19*1.35),($BN19*0.74)),)</f>
        <v/>
      </c>
      <c r="BK19" s="128">
        <f>IFERROR(SUM($BT19:$CK19),)</f>
        <v/>
      </c>
      <c r="BL19" s="129">
        <f>IFERROR(SUM($CL19:$CN19),)</f>
        <v/>
      </c>
      <c r="BM19" s="130">
        <f>IFERROR(SUM($CO19:$CQ19),)</f>
        <v/>
      </c>
      <c r="BN19" s="128">
        <f>IFERROR(SUM($CR19:$CT19),)</f>
        <v/>
      </c>
      <c r="BO19" s="128">
        <f>iferror(SUM($BP19,($BQ19*1.2),($BR19*1.35),($BS19*0.74)),)</f>
        <v/>
      </c>
      <c r="BP19" s="128">
        <f>IFERROR(SUM($CU19:$DL19),)</f>
        <v/>
      </c>
      <c r="BQ19" s="128">
        <f>IFERROR(SUM($DM19:$DO19),)</f>
        <v/>
      </c>
      <c r="BR19" s="128">
        <f>IFERROR(SUM($DP19:$DR19),)</f>
        <v/>
      </c>
      <c r="BS19" s="128">
        <f>IFERROR(SUM($DS19:$DU19),)</f>
        <v/>
      </c>
      <c r="BT19" s="128">
        <f>IFERROR(AI19*$W19,)</f>
        <v/>
      </c>
      <c r="BU19" s="128">
        <f>IFERROR(AJ19*$W19,)</f>
        <v/>
      </c>
      <c r="BV19" s="128">
        <f>IFERROR(AK19*$W19,)</f>
        <v/>
      </c>
      <c r="BW19" s="128">
        <f>IFERROR(AL19*$W19,)</f>
        <v/>
      </c>
      <c r="BX19" s="128">
        <f>IFERROR(AM19*$W19,)</f>
        <v/>
      </c>
      <c r="BY19" s="128">
        <f>IFERROR(AN19*$W19,)</f>
        <v/>
      </c>
      <c r="BZ19" s="128">
        <f>IFERROR(AO19*$W19,)</f>
        <v/>
      </c>
      <c r="CA19" s="128">
        <f>IFERROR(AP19*$W19,)</f>
        <v/>
      </c>
      <c r="CB19" s="128">
        <f>IFERROR(AQ19*$W19,)</f>
        <v/>
      </c>
      <c r="CC19" s="128">
        <f>IFERROR(AR19*$W19,)</f>
        <v/>
      </c>
      <c r="CD19" s="128">
        <f>IFERROR(AS19*$W19,)</f>
        <v/>
      </c>
      <c r="CE19" s="128">
        <f>IFERROR(AT19*$W19,)</f>
        <v/>
      </c>
      <c r="CF19" s="128">
        <f>IFERROR(AU19*$W19,)</f>
        <v/>
      </c>
      <c r="CG19" s="128">
        <f>IFERROR(AV19*$W19,)</f>
        <v/>
      </c>
      <c r="CH19" s="128">
        <f>IFERROR(AW19*$W19,)</f>
        <v/>
      </c>
      <c r="CI19" s="128">
        <f>IFERROR(AX19*$W19,)</f>
        <v/>
      </c>
      <c r="CJ19" s="128">
        <f>IFERROR(AY19*$W19,)</f>
        <v/>
      </c>
      <c r="CK19" s="128">
        <f>IFERROR(AZ19*$W19,)</f>
        <v/>
      </c>
      <c r="CL19" s="129">
        <f>IFERROR(if($Y19=0,BA19*($W19/1.2),BA19*$Y19),"")</f>
        <v/>
      </c>
      <c r="CM19" s="129">
        <f>IFERROR(if($Y19=0,BB19*($W19/1.2),BB19*$Y19),"")</f>
        <v/>
      </c>
      <c r="CN19" s="129">
        <f>IFERROR(if($Y19=0,BC19*($W19/1.2),BC19*$Y19),"")</f>
        <v/>
      </c>
      <c r="CO19" s="130">
        <f>IFERROR(if($AA19=0,($W19/1.35)*BD19,BD19*$AA19),)</f>
        <v/>
      </c>
      <c r="CP19" s="130">
        <f>IFERROR(if($AA19=0,($W19/1.35)*BE19,BE19*$AA19),)</f>
        <v/>
      </c>
      <c r="CQ19" s="130">
        <f>IFERROR(if($AA19=0,($W19/1.35)*BF19,BF19*$AA19),)</f>
        <v/>
      </c>
      <c r="CR19" s="128">
        <f>IFERROR(if($AC19=0,($W19/0.74)*BG19,
BG19*$AC19),)</f>
        <v/>
      </c>
      <c r="CS19" s="128">
        <f>IFERROR(if($AC19=0,($W19/0.74)*BH19,
BH19*$AC19),)</f>
        <v/>
      </c>
      <c r="CT19" s="128">
        <f>IFERROR(if($AC19=0,($W19/0.74)*BI19,
BI19*$AC19),)</f>
        <v/>
      </c>
      <c r="CU19" s="128">
        <f>IFERROR(AI19*$V19,)</f>
        <v/>
      </c>
      <c r="CV19" s="128">
        <f>IFERROR(AJ19*$V19,)</f>
        <v/>
      </c>
      <c r="CW19" s="128">
        <f>IFERROR(AK19*$V19,)</f>
        <v/>
      </c>
      <c r="CX19" s="128">
        <f>IFERROR(AL19*$V19,)</f>
        <v/>
      </c>
      <c r="CY19" s="128">
        <f>IFERROR(AM19*$V19,)</f>
        <v/>
      </c>
      <c r="CZ19" s="128">
        <f>IFERROR(AN19*$V19,)</f>
        <v/>
      </c>
      <c r="DA19" s="128">
        <f>IFERROR(AO19*$V19,)</f>
        <v/>
      </c>
      <c r="DB19" s="128">
        <f>IFERROR(AP19*$V19,)</f>
        <v/>
      </c>
      <c r="DC19" s="128">
        <f>IFERROR(AQ19*$V19,)</f>
        <v/>
      </c>
      <c r="DD19" s="128">
        <f>IFERROR(AR19*$V19,)</f>
        <v/>
      </c>
      <c r="DE19" s="128">
        <f>IFERROR(AS19*$V19,)</f>
        <v/>
      </c>
      <c r="DF19" s="128">
        <f>IFERROR(AT19*$V19,)</f>
        <v/>
      </c>
      <c r="DG19" s="128">
        <f>IFERROR(AU19*$V19,)</f>
        <v/>
      </c>
      <c r="DH19" s="128">
        <f>IFERROR(AV19*$V19,)</f>
        <v/>
      </c>
      <c r="DI19" s="128">
        <f>IFERROR(AW19*$V19,)</f>
        <v/>
      </c>
      <c r="DJ19" s="128">
        <f>IFERROR(AX19*$V19,)</f>
        <v/>
      </c>
      <c r="DK19" s="128">
        <f>IFERROR(AY19*$V19,)</f>
        <v/>
      </c>
      <c r="DL19" s="128">
        <f>IFERROR(AZ19*$V19,)</f>
        <v/>
      </c>
      <c r="DM19" s="129">
        <f>IFERROR(if($X19=0,($V19/1.2)*BA19,
BA19*$X19),)</f>
        <v/>
      </c>
      <c r="DN19" s="129">
        <f>IFERROR(if($X19=0,($V19/1.2)*BB19,
BB19*$X19),)</f>
        <v/>
      </c>
      <c r="DO19" s="129">
        <f>IFERROR(if($X19=0,($V19/1.2)*BC19,
BC19*$X19),)</f>
        <v/>
      </c>
      <c r="DP19" s="130">
        <f>IFERROR(if($Z19=0,($V19/1.35)*BD19,
BD19*$Z19),)</f>
        <v/>
      </c>
      <c r="DQ19" s="130">
        <f>IFERROR(if($Z19=0,($V19/1.35)*BE19,
BE19*$Z19),)</f>
        <v/>
      </c>
      <c r="DR19" s="130">
        <f>IFERROR(if($Z19=0,($V19/1.35)*BF19,
BF19*$Z19),)</f>
        <v/>
      </c>
      <c r="DS19" s="128">
        <f>IFERROR(IF($AB19=0,($V19/0.74)*BG19,
BG19*$AB19),)</f>
        <v/>
      </c>
      <c r="DT19" s="128">
        <f>IFERROR(IF($AB19=0,($V19/0.74)*BH19,
BH19*$AB19),)</f>
        <v/>
      </c>
      <c r="DU19" s="128">
        <f>IFERROR(IF($AB19=0,($V19/0.74)*BI19,
BI19*$AB19),)</f>
        <v/>
      </c>
    </row>
    <row r="20" ht="60" customHeight="1" s="162">
      <c r="A20" s="115" t="n"/>
      <c r="B20" s="115" t="n"/>
      <c r="C20" s="115" t="n"/>
      <c r="D20" s="115" t="n"/>
      <c r="E20" s="115" t="n"/>
      <c r="F20" s="115" t="n"/>
      <c r="G20" s="115" t="n"/>
      <c r="H20" s="115" t="n"/>
      <c r="I20" s="115" t="n"/>
      <c r="J20" s="115" t="n"/>
      <c r="K20" s="115" t="n"/>
      <c r="L20" s="115" t="n"/>
      <c r="M20" s="115" t="n"/>
      <c r="N20" s="115" t="n"/>
      <c r="O20" s="115" t="n"/>
      <c r="P20" s="115" t="n"/>
      <c r="Q20" s="115" t="n"/>
      <c r="R20" s="115" t="n"/>
      <c r="S20" s="115" t="n"/>
      <c r="T20" s="115" t="n"/>
      <c r="U20" s="116" t="n"/>
      <c r="V20" s="116" t="n"/>
      <c r="W20" s="117" t="n"/>
      <c r="X20" s="118" t="n"/>
      <c r="Y20" s="119" t="n"/>
      <c r="Z20" s="120" t="n"/>
      <c r="AA20" s="121" t="n"/>
      <c r="AB20" s="122" t="n"/>
      <c r="AC20" s="117" t="n"/>
      <c r="AD20" s="123">
        <f>IF(SUM($AE20:$AH20)=0,"",SUM($AE20:$AH20))</f>
        <v/>
      </c>
      <c r="AE20" s="123">
        <f>iferror(IF(SUM($AI20:$AZ20)=0,"",SUM($AI20:$AZ20)),"")</f>
        <v/>
      </c>
      <c r="AF20" s="123">
        <f>iferror(IF(SUM($BA20:$BC20)=0,"",SUM($BA20:$BC20)),"")</f>
        <v/>
      </c>
      <c r="AG20" s="123">
        <f>iferror(IF(SUM($BD20:$BF20)=0,"",SUM($BD20:$BF20)),"")</f>
        <v/>
      </c>
      <c r="AH20" s="124">
        <f>iferror(IF(SUM($BG20:$BI20)=0,"",SUM($BG20:$BI20)),"")</f>
        <v/>
      </c>
      <c r="AI20" s="131" t="n"/>
      <c r="AJ20" s="132" t="n"/>
      <c r="AK20" s="132" t="n"/>
      <c r="AL20" s="132" t="n"/>
      <c r="AM20" s="132" t="n"/>
      <c r="AN20" s="132" t="n"/>
      <c r="AO20" s="132" t="n"/>
      <c r="AP20" s="132" t="n"/>
      <c r="AQ20" s="132" t="n"/>
      <c r="AR20" s="132" t="n"/>
      <c r="AS20" s="132" t="n"/>
      <c r="AT20" s="132" t="n"/>
      <c r="AU20" s="132" t="n"/>
      <c r="AV20" s="132" t="n"/>
      <c r="AW20" s="132" t="n"/>
      <c r="AX20" s="132" t="n"/>
      <c r="AY20" s="132" t="n"/>
      <c r="AZ20" s="133" t="n"/>
      <c r="BA20" s="131" t="n"/>
      <c r="BB20" s="132" t="n"/>
      <c r="BC20" s="133" t="n"/>
      <c r="BD20" s="131" t="n"/>
      <c r="BE20" s="132" t="n"/>
      <c r="BF20" s="133" t="n"/>
      <c r="BG20" s="131" t="n"/>
      <c r="BH20" s="132" t="n"/>
      <c r="BI20" s="132" t="n"/>
      <c r="BJ20" s="128">
        <f>iferror(SUM($BK20,($BL20*1.2),($BM20*1.35),($BN20*0.74)),)</f>
        <v/>
      </c>
      <c r="BK20" s="128">
        <f>IFERROR(SUM($BT20:$CK20),)</f>
        <v/>
      </c>
      <c r="BL20" s="129">
        <f>IFERROR(SUM($CL20:$CN20),)</f>
        <v/>
      </c>
      <c r="BM20" s="130">
        <f>IFERROR(SUM($CO20:$CQ20),)</f>
        <v/>
      </c>
      <c r="BN20" s="128">
        <f>IFERROR(SUM($CR20:$CT20),)</f>
        <v/>
      </c>
      <c r="BO20" s="128">
        <f>iferror(SUM($BP20,($BQ20*1.2),($BR20*1.35),($BS20*0.74)),)</f>
        <v/>
      </c>
      <c r="BP20" s="128">
        <f>IFERROR(SUM($CU20:$DL20),)</f>
        <v/>
      </c>
      <c r="BQ20" s="128">
        <f>IFERROR(SUM($DM20:$DO20),)</f>
        <v/>
      </c>
      <c r="BR20" s="128">
        <f>IFERROR(SUM($DP20:$DR20),)</f>
        <v/>
      </c>
      <c r="BS20" s="128">
        <f>IFERROR(SUM($DS20:$DU20),)</f>
        <v/>
      </c>
      <c r="BT20" s="128">
        <f>IFERROR(AI20*$W20,)</f>
        <v/>
      </c>
      <c r="BU20" s="128">
        <f>IFERROR(AJ20*$W20,)</f>
        <v/>
      </c>
      <c r="BV20" s="128">
        <f>IFERROR(AK20*$W20,)</f>
        <v/>
      </c>
      <c r="BW20" s="128">
        <f>IFERROR(AL20*$W20,)</f>
        <v/>
      </c>
      <c r="BX20" s="128">
        <f>IFERROR(AM20*$W20,)</f>
        <v/>
      </c>
      <c r="BY20" s="128">
        <f>IFERROR(AN20*$W20,)</f>
        <v/>
      </c>
      <c r="BZ20" s="128">
        <f>IFERROR(AO20*$W20,)</f>
        <v/>
      </c>
      <c r="CA20" s="128">
        <f>IFERROR(AP20*$W20,)</f>
        <v/>
      </c>
      <c r="CB20" s="128">
        <f>IFERROR(AQ20*$W20,)</f>
        <v/>
      </c>
      <c r="CC20" s="128">
        <f>IFERROR(AR20*$W20,)</f>
        <v/>
      </c>
      <c r="CD20" s="128">
        <f>IFERROR(AS20*$W20,)</f>
        <v/>
      </c>
      <c r="CE20" s="128">
        <f>IFERROR(AT20*$W20,)</f>
        <v/>
      </c>
      <c r="CF20" s="128">
        <f>IFERROR(AU20*$W20,)</f>
        <v/>
      </c>
      <c r="CG20" s="128">
        <f>IFERROR(AV20*$W20,)</f>
        <v/>
      </c>
      <c r="CH20" s="128">
        <f>IFERROR(AW20*$W20,)</f>
        <v/>
      </c>
      <c r="CI20" s="128">
        <f>IFERROR(AX20*$W20,)</f>
        <v/>
      </c>
      <c r="CJ20" s="128">
        <f>IFERROR(AY20*$W20,)</f>
        <v/>
      </c>
      <c r="CK20" s="128">
        <f>IFERROR(AZ20*$W20,)</f>
        <v/>
      </c>
      <c r="CL20" s="129">
        <f>IFERROR(if($Y20=0,BA20*($W20/1.2),BA20*$Y20),"")</f>
        <v/>
      </c>
      <c r="CM20" s="129">
        <f>IFERROR(if($Y20=0,BB20*($W20/1.2),BB20*$Y20),"")</f>
        <v/>
      </c>
      <c r="CN20" s="129">
        <f>IFERROR(if($Y20=0,BC20*($W20/1.2),BC20*$Y20),"")</f>
        <v/>
      </c>
      <c r="CO20" s="130">
        <f>IFERROR(if($AA20=0,($W20/1.35)*BD20,BD20*$AA20),)</f>
        <v/>
      </c>
      <c r="CP20" s="130">
        <f>IFERROR(if($AA20=0,($W20/1.35)*BE20,BE20*$AA20),)</f>
        <v/>
      </c>
      <c r="CQ20" s="130">
        <f>IFERROR(if($AA20=0,($W20/1.35)*BF20,BF20*$AA20),)</f>
        <v/>
      </c>
      <c r="CR20" s="128">
        <f>IFERROR(if($AC20=0,($W20/0.74)*BG20,
BG20*$AC20),)</f>
        <v/>
      </c>
      <c r="CS20" s="128">
        <f>IFERROR(if($AC20=0,($W20/0.74)*BH20,
BH20*$AC20),)</f>
        <v/>
      </c>
      <c r="CT20" s="128">
        <f>IFERROR(if($AC20=0,($W20/0.74)*BI20,
BI20*$AC20),)</f>
        <v/>
      </c>
      <c r="CU20" s="128">
        <f>IFERROR(AI20*$V20,)</f>
        <v/>
      </c>
      <c r="CV20" s="128">
        <f>IFERROR(AJ20*$V20,)</f>
        <v/>
      </c>
      <c r="CW20" s="128">
        <f>IFERROR(AK20*$V20,)</f>
        <v/>
      </c>
      <c r="CX20" s="128">
        <f>IFERROR(AL20*$V20,)</f>
        <v/>
      </c>
      <c r="CY20" s="128">
        <f>IFERROR(AM20*$V20,)</f>
        <v/>
      </c>
      <c r="CZ20" s="128">
        <f>IFERROR(AN20*$V20,)</f>
        <v/>
      </c>
      <c r="DA20" s="128">
        <f>IFERROR(AO20*$V20,)</f>
        <v/>
      </c>
      <c r="DB20" s="128">
        <f>IFERROR(AP20*$V20,)</f>
        <v/>
      </c>
      <c r="DC20" s="128">
        <f>IFERROR(AQ20*$V20,)</f>
        <v/>
      </c>
      <c r="DD20" s="128">
        <f>IFERROR(AR20*$V20,)</f>
        <v/>
      </c>
      <c r="DE20" s="128">
        <f>IFERROR(AS20*$V20,)</f>
        <v/>
      </c>
      <c r="DF20" s="128">
        <f>IFERROR(AT20*$V20,)</f>
        <v/>
      </c>
      <c r="DG20" s="128">
        <f>IFERROR(AU20*$V20,)</f>
        <v/>
      </c>
      <c r="DH20" s="128">
        <f>IFERROR(AV20*$V20,)</f>
        <v/>
      </c>
      <c r="DI20" s="128">
        <f>IFERROR(AW20*$V20,)</f>
        <v/>
      </c>
      <c r="DJ20" s="128">
        <f>IFERROR(AX20*$V20,)</f>
        <v/>
      </c>
      <c r="DK20" s="128">
        <f>IFERROR(AY20*$V20,)</f>
        <v/>
      </c>
      <c r="DL20" s="128">
        <f>IFERROR(AZ20*$V20,)</f>
        <v/>
      </c>
      <c r="DM20" s="129">
        <f>IFERROR(if($X20=0,($V20/1.2)*BA20,
BA20*$X20),)</f>
        <v/>
      </c>
      <c r="DN20" s="129">
        <f>IFERROR(if($X20=0,($V20/1.2)*BB20,
BB20*$X20),)</f>
        <v/>
      </c>
      <c r="DO20" s="129">
        <f>IFERROR(if($X20=0,($V20/1.2)*BC20,
BC20*$X20),)</f>
        <v/>
      </c>
      <c r="DP20" s="130">
        <f>IFERROR(if($Z20=0,($V20/1.35)*BD20,
BD20*$Z20),)</f>
        <v/>
      </c>
      <c r="DQ20" s="130">
        <f>IFERROR(if($Z20=0,($V20/1.35)*BE20,
BE20*$Z20),)</f>
        <v/>
      </c>
      <c r="DR20" s="130">
        <f>IFERROR(if($Z20=0,($V20/1.35)*BF20,
BF20*$Z20),)</f>
        <v/>
      </c>
      <c r="DS20" s="128">
        <f>IFERROR(IF($AB20=0,($V20/0.74)*BG20,
BG20*$AB20),)</f>
        <v/>
      </c>
      <c r="DT20" s="128">
        <f>IFERROR(IF($AB20=0,($V20/0.74)*BH20,
BH20*$AB20),)</f>
        <v/>
      </c>
      <c r="DU20" s="128">
        <f>IFERROR(IF($AB20=0,($V20/0.74)*BI20,
BI20*$AB20),)</f>
        <v/>
      </c>
    </row>
    <row r="21" ht="60" customHeight="1" s="162">
      <c r="A21" s="115" t="n"/>
      <c r="B21" s="115" t="n"/>
      <c r="C21" s="115" t="n"/>
      <c r="D21" s="115" t="n"/>
      <c r="E21" s="115" t="n"/>
      <c r="F21" s="115" t="n"/>
      <c r="G21" s="115" t="n"/>
      <c r="H21" s="115" t="n"/>
      <c r="I21" s="115" t="n"/>
      <c r="J21" s="115" t="n"/>
      <c r="K21" s="115" t="n"/>
      <c r="L21" s="115" t="n"/>
      <c r="M21" s="115" t="n"/>
      <c r="N21" s="115" t="n"/>
      <c r="O21" s="115" t="n"/>
      <c r="P21" s="115" t="n"/>
      <c r="Q21" s="115" t="n"/>
      <c r="R21" s="115" t="n"/>
      <c r="S21" s="115" t="n"/>
      <c r="T21" s="115" t="n"/>
      <c r="U21" s="116" t="n"/>
      <c r="V21" s="116" t="n"/>
      <c r="W21" s="117" t="n"/>
      <c r="X21" s="118" t="n"/>
      <c r="Y21" s="119" t="n"/>
      <c r="Z21" s="120" t="n"/>
      <c r="AA21" s="121" t="n"/>
      <c r="AB21" s="122" t="n"/>
      <c r="AC21" s="117" t="n"/>
      <c r="AD21" s="123">
        <f>IF(SUM($AE21:$AH21)=0,"",SUM($AE21:$AH21))</f>
        <v/>
      </c>
      <c r="AE21" s="123">
        <f>iferror(IF(SUM($AI21:$AZ21)=0,"",SUM($AI21:$AZ21)),"")</f>
        <v/>
      </c>
      <c r="AF21" s="123">
        <f>iferror(IF(SUM($BA21:$BC21)=0,"",SUM($BA21:$BC21)),"")</f>
        <v/>
      </c>
      <c r="AG21" s="123">
        <f>iferror(IF(SUM($BD21:$BF21)=0,"",SUM($BD21:$BF21)),"")</f>
        <v/>
      </c>
      <c r="AH21" s="124">
        <f>iferror(IF(SUM($BG21:$BI21)=0,"",SUM($BG21:$BI21)),"")</f>
        <v/>
      </c>
      <c r="AI21" s="131" t="n"/>
      <c r="AJ21" s="132" t="n"/>
      <c r="AK21" s="132" t="n"/>
      <c r="AL21" s="132" t="n"/>
      <c r="AM21" s="132" t="n"/>
      <c r="AN21" s="132" t="n"/>
      <c r="AO21" s="132" t="n"/>
      <c r="AP21" s="132" t="n"/>
      <c r="AQ21" s="132" t="n"/>
      <c r="AR21" s="132" t="n"/>
      <c r="AS21" s="132" t="n"/>
      <c r="AT21" s="132" t="n"/>
      <c r="AU21" s="132" t="n"/>
      <c r="AV21" s="132" t="n"/>
      <c r="AW21" s="132" t="n"/>
      <c r="AX21" s="132" t="n"/>
      <c r="AY21" s="132" t="n"/>
      <c r="AZ21" s="133" t="n"/>
      <c r="BA21" s="131" t="n"/>
      <c r="BB21" s="132" t="n"/>
      <c r="BC21" s="133" t="n"/>
      <c r="BD21" s="131" t="n"/>
      <c r="BE21" s="132" t="n"/>
      <c r="BF21" s="133" t="n"/>
      <c r="BG21" s="131" t="n"/>
      <c r="BH21" s="132" t="n"/>
      <c r="BI21" s="132" t="n"/>
      <c r="BJ21" s="128">
        <f>iferror(SUM($BK21,($BL21*1.2),($BM21*1.35),($BN21*0.74)),)</f>
        <v/>
      </c>
      <c r="BK21" s="128">
        <f>IFERROR(SUM($BT21:$CK21),)</f>
        <v/>
      </c>
      <c r="BL21" s="129">
        <f>IFERROR(SUM($CL21:$CN21),)</f>
        <v/>
      </c>
      <c r="BM21" s="130">
        <f>IFERROR(SUM($CO21:$CQ21),)</f>
        <v/>
      </c>
      <c r="BN21" s="128">
        <f>IFERROR(SUM($CR21:$CT21),)</f>
        <v/>
      </c>
      <c r="BO21" s="128">
        <f>iferror(SUM($BP21,($BQ21*1.2),($BR21*1.35),($BS21*0.74)),)</f>
        <v/>
      </c>
      <c r="BP21" s="128">
        <f>IFERROR(SUM($CU21:$DL21),)</f>
        <v/>
      </c>
      <c r="BQ21" s="128">
        <f>IFERROR(SUM($DM21:$DO21),)</f>
        <v/>
      </c>
      <c r="BR21" s="128">
        <f>IFERROR(SUM($DP21:$DR21),)</f>
        <v/>
      </c>
      <c r="BS21" s="128">
        <f>IFERROR(SUM($DS21:$DU21),)</f>
        <v/>
      </c>
      <c r="BT21" s="128">
        <f>IFERROR(AI21*$W21,)</f>
        <v/>
      </c>
      <c r="BU21" s="128">
        <f>IFERROR(AJ21*$W21,)</f>
        <v/>
      </c>
      <c r="BV21" s="128">
        <f>IFERROR(AK21*$W21,)</f>
        <v/>
      </c>
      <c r="BW21" s="128">
        <f>IFERROR(AL21*$W21,)</f>
        <v/>
      </c>
      <c r="BX21" s="128">
        <f>IFERROR(AM21*$W21,)</f>
        <v/>
      </c>
      <c r="BY21" s="128">
        <f>IFERROR(AN21*$W21,)</f>
        <v/>
      </c>
      <c r="BZ21" s="128">
        <f>IFERROR(AO21*$W21,)</f>
        <v/>
      </c>
      <c r="CA21" s="128">
        <f>IFERROR(AP21*$W21,)</f>
        <v/>
      </c>
      <c r="CB21" s="128">
        <f>IFERROR(AQ21*$W21,)</f>
        <v/>
      </c>
      <c r="CC21" s="128">
        <f>IFERROR(AR21*$W21,)</f>
        <v/>
      </c>
      <c r="CD21" s="128">
        <f>IFERROR(AS21*$W21,)</f>
        <v/>
      </c>
      <c r="CE21" s="128">
        <f>IFERROR(AT21*$W21,)</f>
        <v/>
      </c>
      <c r="CF21" s="128">
        <f>IFERROR(AU21*$W21,)</f>
        <v/>
      </c>
      <c r="CG21" s="128">
        <f>IFERROR(AV21*$W21,)</f>
        <v/>
      </c>
      <c r="CH21" s="128">
        <f>IFERROR(AW21*$W21,)</f>
        <v/>
      </c>
      <c r="CI21" s="128">
        <f>IFERROR(AX21*$W21,)</f>
        <v/>
      </c>
      <c r="CJ21" s="128">
        <f>IFERROR(AY21*$W21,)</f>
        <v/>
      </c>
      <c r="CK21" s="128">
        <f>IFERROR(AZ21*$W21,)</f>
        <v/>
      </c>
      <c r="CL21" s="129">
        <f>IFERROR(if($Y21=0,BA21*($W21/1.2),BA21*$Y21),"")</f>
        <v/>
      </c>
      <c r="CM21" s="129">
        <f>IFERROR(if($Y21=0,BB21*($W21/1.2),BB21*$Y21),"")</f>
        <v/>
      </c>
      <c r="CN21" s="129">
        <f>IFERROR(if($Y21=0,BC21*($W21/1.2),BC21*$Y21),"")</f>
        <v/>
      </c>
      <c r="CO21" s="130">
        <f>IFERROR(if($AA21=0,($W21/1.35)*BD21,BD21*$AA21),)</f>
        <v/>
      </c>
      <c r="CP21" s="130">
        <f>IFERROR(if($AA21=0,($W21/1.35)*BE21,BE21*$AA21),)</f>
        <v/>
      </c>
      <c r="CQ21" s="130">
        <f>IFERROR(if($AA21=0,($W21/1.35)*BF21,BF21*$AA21),)</f>
        <v/>
      </c>
      <c r="CR21" s="128">
        <f>IFERROR(if($AC21=0,($W21/0.74)*BG21,
BG21*$AC21),)</f>
        <v/>
      </c>
      <c r="CS21" s="128">
        <f>IFERROR(if($AC21=0,($W21/0.74)*BH21,
BH21*$AC21),)</f>
        <v/>
      </c>
      <c r="CT21" s="128">
        <f>IFERROR(if($AC21=0,($W21/0.74)*BI21,
BI21*$AC21),)</f>
        <v/>
      </c>
      <c r="CU21" s="128">
        <f>IFERROR(AI21*$V21,)</f>
        <v/>
      </c>
      <c r="CV21" s="128">
        <f>IFERROR(AJ21*$V21,)</f>
        <v/>
      </c>
      <c r="CW21" s="128">
        <f>IFERROR(AK21*$V21,)</f>
        <v/>
      </c>
      <c r="CX21" s="128">
        <f>IFERROR(AL21*$V21,)</f>
        <v/>
      </c>
      <c r="CY21" s="128">
        <f>IFERROR(AM21*$V21,)</f>
        <v/>
      </c>
      <c r="CZ21" s="128">
        <f>IFERROR(AN21*$V21,)</f>
        <v/>
      </c>
      <c r="DA21" s="128">
        <f>IFERROR(AO21*$V21,)</f>
        <v/>
      </c>
      <c r="DB21" s="128">
        <f>IFERROR(AP21*$V21,)</f>
        <v/>
      </c>
      <c r="DC21" s="128">
        <f>IFERROR(AQ21*$V21,)</f>
        <v/>
      </c>
      <c r="DD21" s="128">
        <f>IFERROR(AR21*$V21,)</f>
        <v/>
      </c>
      <c r="DE21" s="128">
        <f>IFERROR(AS21*$V21,)</f>
        <v/>
      </c>
      <c r="DF21" s="128">
        <f>IFERROR(AT21*$V21,)</f>
        <v/>
      </c>
      <c r="DG21" s="128">
        <f>IFERROR(AU21*$V21,)</f>
        <v/>
      </c>
      <c r="DH21" s="128">
        <f>IFERROR(AV21*$V21,)</f>
        <v/>
      </c>
      <c r="DI21" s="128">
        <f>IFERROR(AW21*$V21,)</f>
        <v/>
      </c>
      <c r="DJ21" s="128">
        <f>IFERROR(AX21*$V21,)</f>
        <v/>
      </c>
      <c r="DK21" s="128">
        <f>IFERROR(AY21*$V21,)</f>
        <v/>
      </c>
      <c r="DL21" s="128">
        <f>IFERROR(AZ21*$V21,)</f>
        <v/>
      </c>
      <c r="DM21" s="129">
        <f>IFERROR(if($X21=0,($V21/1.2)*BA21,
BA21*$X21),)</f>
        <v/>
      </c>
      <c r="DN21" s="129">
        <f>IFERROR(if($X21=0,($V21/1.2)*BB21,
BB21*$X21),)</f>
        <v/>
      </c>
      <c r="DO21" s="129">
        <f>IFERROR(if($X21=0,($V21/1.2)*BC21,
BC21*$X21),)</f>
        <v/>
      </c>
      <c r="DP21" s="130">
        <f>IFERROR(if($Z21=0,($V21/1.35)*BD21,
BD21*$Z21),)</f>
        <v/>
      </c>
      <c r="DQ21" s="130">
        <f>IFERROR(if($Z21=0,($V21/1.35)*BE21,
BE21*$Z21),)</f>
        <v/>
      </c>
      <c r="DR21" s="130">
        <f>IFERROR(if($Z21=0,($V21/1.35)*BF21,
BF21*$Z21),)</f>
        <v/>
      </c>
      <c r="DS21" s="128">
        <f>IFERROR(IF($AB21=0,($V21/0.74)*BG21,
BG21*$AB21),)</f>
        <v/>
      </c>
      <c r="DT21" s="128">
        <f>IFERROR(IF($AB21=0,($V21/0.74)*BH21,
BH21*$AB21),)</f>
        <v/>
      </c>
      <c r="DU21" s="128">
        <f>IFERROR(IF($AB21=0,($V21/0.74)*BI21,
BI21*$AB21),)</f>
        <v/>
      </c>
    </row>
    <row r="22" ht="60" customHeight="1" s="162">
      <c r="A22" s="115" t="n"/>
      <c r="B22" s="115" t="n"/>
      <c r="C22" s="115" t="n"/>
      <c r="D22" s="115" t="n"/>
      <c r="E22" s="115" t="n"/>
      <c r="F22" s="115" t="n"/>
      <c r="G22" s="115" t="n"/>
      <c r="H22" s="115" t="n"/>
      <c r="I22" s="115" t="n"/>
      <c r="J22" s="115" t="n"/>
      <c r="K22" s="115" t="n"/>
      <c r="L22" s="115" t="n"/>
      <c r="M22" s="115" t="n"/>
      <c r="N22" s="115" t="n"/>
      <c r="O22" s="115" t="n"/>
      <c r="P22" s="115" t="n"/>
      <c r="Q22" s="115" t="n"/>
      <c r="R22" s="115" t="n"/>
      <c r="S22" s="115" t="n"/>
      <c r="T22" s="115" t="n"/>
      <c r="U22" s="116" t="n"/>
      <c r="V22" s="116" t="n"/>
      <c r="W22" s="117" t="n"/>
      <c r="X22" s="118" t="n"/>
      <c r="Y22" s="119" t="n"/>
      <c r="Z22" s="120" t="n"/>
      <c r="AA22" s="121" t="n"/>
      <c r="AB22" s="122" t="n"/>
      <c r="AC22" s="117" t="n"/>
      <c r="AD22" s="123">
        <f>IF(SUM($AE22:$AH22)=0,"",SUM($AE22:$AH22))</f>
        <v/>
      </c>
      <c r="AE22" s="123">
        <f>iferror(IF(SUM($AI22:$AZ22)=0,"",SUM($AI22:$AZ22)),"")</f>
        <v/>
      </c>
      <c r="AF22" s="123">
        <f>iferror(IF(SUM($BA22:$BC22)=0,"",SUM($BA22:$BC22)),"")</f>
        <v/>
      </c>
      <c r="AG22" s="123">
        <f>iferror(IF(SUM($BD22:$BF22)=0,"",SUM($BD22:$BF22)),"")</f>
        <v/>
      </c>
      <c r="AH22" s="124">
        <f>iferror(IF(SUM($BG22:$BI22)=0,"",SUM($BG22:$BI22)),"")</f>
        <v/>
      </c>
      <c r="AI22" s="131" t="n"/>
      <c r="AJ22" s="132" t="n"/>
      <c r="AK22" s="132" t="n"/>
      <c r="AL22" s="132" t="n"/>
      <c r="AM22" s="132" t="n"/>
      <c r="AN22" s="132" t="n"/>
      <c r="AO22" s="132" t="n"/>
      <c r="AP22" s="132" t="n"/>
      <c r="AQ22" s="132" t="n"/>
      <c r="AR22" s="132" t="n"/>
      <c r="AS22" s="132" t="n"/>
      <c r="AT22" s="132" t="n"/>
      <c r="AU22" s="132" t="n"/>
      <c r="AV22" s="132" t="n"/>
      <c r="AW22" s="132" t="n"/>
      <c r="AX22" s="132" t="n"/>
      <c r="AY22" s="132" t="n"/>
      <c r="AZ22" s="133" t="n"/>
      <c r="BA22" s="131" t="n"/>
      <c r="BB22" s="132" t="n"/>
      <c r="BC22" s="133" t="n"/>
      <c r="BD22" s="131" t="n"/>
      <c r="BE22" s="132" t="n"/>
      <c r="BF22" s="133" t="n"/>
      <c r="BG22" s="131" t="n"/>
      <c r="BH22" s="132" t="n"/>
      <c r="BI22" s="132" t="n"/>
      <c r="BJ22" s="128">
        <f>iferror(SUM($BK22,($BL22*1.2),($BM22*1.35),($BN22*0.74)),)</f>
        <v/>
      </c>
      <c r="BK22" s="128">
        <f>IFERROR(SUM($BT22:$CK22),)</f>
        <v/>
      </c>
      <c r="BL22" s="129">
        <f>IFERROR(SUM($CL22:$CN22),)</f>
        <v/>
      </c>
      <c r="BM22" s="130">
        <f>IFERROR(SUM($CO22:$CQ22),)</f>
        <v/>
      </c>
      <c r="BN22" s="128">
        <f>IFERROR(SUM($CR22:$CT22),)</f>
        <v/>
      </c>
      <c r="BO22" s="128">
        <f>iferror(SUM($BP22,($BQ22*1.2),($BR22*1.35),($BS22*0.74)),)</f>
        <v/>
      </c>
      <c r="BP22" s="128">
        <f>IFERROR(SUM($CU22:$DL22),)</f>
        <v/>
      </c>
      <c r="BQ22" s="128">
        <f>IFERROR(SUM($DM22:$DO22),)</f>
        <v/>
      </c>
      <c r="BR22" s="128">
        <f>IFERROR(SUM($DP22:$DR22),)</f>
        <v/>
      </c>
      <c r="BS22" s="128">
        <f>IFERROR(SUM($DS22:$DU22),)</f>
        <v/>
      </c>
      <c r="BT22" s="128">
        <f>IFERROR(AI22*$W22,)</f>
        <v/>
      </c>
      <c r="BU22" s="128">
        <f>IFERROR(AJ22*$W22,)</f>
        <v/>
      </c>
      <c r="BV22" s="128">
        <f>IFERROR(AK22*$W22,)</f>
        <v/>
      </c>
      <c r="BW22" s="128">
        <f>IFERROR(AL22*$W22,)</f>
        <v/>
      </c>
      <c r="BX22" s="128">
        <f>IFERROR(AM22*$W22,)</f>
        <v/>
      </c>
      <c r="BY22" s="128">
        <f>IFERROR(AN22*$W22,)</f>
        <v/>
      </c>
      <c r="BZ22" s="128">
        <f>IFERROR(AO22*$W22,)</f>
        <v/>
      </c>
      <c r="CA22" s="128">
        <f>IFERROR(AP22*$W22,)</f>
        <v/>
      </c>
      <c r="CB22" s="128">
        <f>IFERROR(AQ22*$W22,)</f>
        <v/>
      </c>
      <c r="CC22" s="128">
        <f>IFERROR(AR22*$W22,)</f>
        <v/>
      </c>
      <c r="CD22" s="128">
        <f>IFERROR(AS22*$W22,)</f>
        <v/>
      </c>
      <c r="CE22" s="128">
        <f>IFERROR(AT22*$W22,)</f>
        <v/>
      </c>
      <c r="CF22" s="128">
        <f>IFERROR(AU22*$W22,)</f>
        <v/>
      </c>
      <c r="CG22" s="128">
        <f>IFERROR(AV22*$W22,)</f>
        <v/>
      </c>
      <c r="CH22" s="128">
        <f>IFERROR(AW22*$W22,)</f>
        <v/>
      </c>
      <c r="CI22" s="128">
        <f>IFERROR(AX22*$W22,)</f>
        <v/>
      </c>
      <c r="CJ22" s="128">
        <f>IFERROR(AY22*$W22,)</f>
        <v/>
      </c>
      <c r="CK22" s="128">
        <f>IFERROR(AZ22*$W22,)</f>
        <v/>
      </c>
      <c r="CL22" s="129">
        <f>IFERROR(if($Y22=0,BA22*($W22/1.2),BA22*$Y22),"")</f>
        <v/>
      </c>
      <c r="CM22" s="129">
        <f>IFERROR(if($Y22=0,BB22*($W22/1.2),BB22*$Y22),"")</f>
        <v/>
      </c>
      <c r="CN22" s="129">
        <f>IFERROR(if($Y22=0,BC22*($W22/1.2),BC22*$Y22),"")</f>
        <v/>
      </c>
      <c r="CO22" s="130">
        <f>IFERROR(if($AA22=0,($W22/1.35)*BD22,BD22*$AA22),)</f>
        <v/>
      </c>
      <c r="CP22" s="130">
        <f>IFERROR(if($AA22=0,($W22/1.35)*BE22,BE22*$AA22),)</f>
        <v/>
      </c>
      <c r="CQ22" s="130">
        <f>IFERROR(if($AA22=0,($W22/1.35)*BF22,BF22*$AA22),)</f>
        <v/>
      </c>
      <c r="CR22" s="128">
        <f>IFERROR(if($AC22=0,($W22/0.74)*BG22,
BG22*$AC22),)</f>
        <v/>
      </c>
      <c r="CS22" s="128">
        <f>IFERROR(if($AC22=0,($W22/0.74)*BH22,
BH22*$AC22),)</f>
        <v/>
      </c>
      <c r="CT22" s="128">
        <f>IFERROR(if($AC22=0,($W22/0.74)*BI22,
BI22*$AC22),)</f>
        <v/>
      </c>
      <c r="CU22" s="128">
        <f>IFERROR(AI22*$V22,)</f>
        <v/>
      </c>
      <c r="CV22" s="128">
        <f>IFERROR(AJ22*$V22,)</f>
        <v/>
      </c>
      <c r="CW22" s="128">
        <f>IFERROR(AK22*$V22,)</f>
        <v/>
      </c>
      <c r="CX22" s="128">
        <f>IFERROR(AL22*$V22,)</f>
        <v/>
      </c>
      <c r="CY22" s="128">
        <f>IFERROR(AM22*$V22,)</f>
        <v/>
      </c>
      <c r="CZ22" s="128">
        <f>IFERROR(AN22*$V22,)</f>
        <v/>
      </c>
      <c r="DA22" s="128">
        <f>IFERROR(AO22*$V22,)</f>
        <v/>
      </c>
      <c r="DB22" s="128">
        <f>IFERROR(AP22*$V22,)</f>
        <v/>
      </c>
      <c r="DC22" s="128">
        <f>IFERROR(AQ22*$V22,)</f>
        <v/>
      </c>
      <c r="DD22" s="128">
        <f>IFERROR(AR22*$V22,)</f>
        <v/>
      </c>
      <c r="DE22" s="128">
        <f>IFERROR(AS22*$V22,)</f>
        <v/>
      </c>
      <c r="DF22" s="128">
        <f>IFERROR(AT22*$V22,)</f>
        <v/>
      </c>
      <c r="DG22" s="128">
        <f>IFERROR(AU22*$V22,)</f>
        <v/>
      </c>
      <c r="DH22" s="128">
        <f>IFERROR(AV22*$V22,)</f>
        <v/>
      </c>
      <c r="DI22" s="128">
        <f>IFERROR(AW22*$V22,)</f>
        <v/>
      </c>
      <c r="DJ22" s="128">
        <f>IFERROR(AX22*$V22,)</f>
        <v/>
      </c>
      <c r="DK22" s="128">
        <f>IFERROR(AY22*$V22,)</f>
        <v/>
      </c>
      <c r="DL22" s="128">
        <f>IFERROR(AZ22*$V22,)</f>
        <v/>
      </c>
      <c r="DM22" s="129">
        <f>IFERROR(if($X22=0,($V22/1.2)*BA22,
BA22*$X22),)</f>
        <v/>
      </c>
      <c r="DN22" s="129">
        <f>IFERROR(if($X22=0,($V22/1.2)*BB22,
BB22*$X22),)</f>
        <v/>
      </c>
      <c r="DO22" s="129">
        <f>IFERROR(if($X22=0,($V22/1.2)*BC22,
BC22*$X22),)</f>
        <v/>
      </c>
      <c r="DP22" s="130">
        <f>IFERROR(if($Z22=0,($V22/1.35)*BD22,
BD22*$Z22),)</f>
        <v/>
      </c>
      <c r="DQ22" s="130">
        <f>IFERROR(if($Z22=0,($V22/1.35)*BE22,
BE22*$Z22),)</f>
        <v/>
      </c>
      <c r="DR22" s="130">
        <f>IFERROR(if($Z22=0,($V22/1.35)*BF22,
BF22*$Z22),)</f>
        <v/>
      </c>
      <c r="DS22" s="128">
        <f>IFERROR(IF($AB22=0,($V22/0.74)*BG22,
BG22*$AB22),)</f>
        <v/>
      </c>
      <c r="DT22" s="128">
        <f>IFERROR(IF($AB22=0,($V22/0.74)*BH22,
BH22*$AB22),)</f>
        <v/>
      </c>
      <c r="DU22" s="128">
        <f>IFERROR(IF($AB22=0,($V22/0.74)*BI22,
BI22*$AB22),)</f>
        <v/>
      </c>
    </row>
    <row r="23" ht="60" customHeight="1" s="162">
      <c r="A23" s="115" t="n"/>
      <c r="B23" s="115" t="n"/>
      <c r="C23" s="115" t="n"/>
      <c r="D23" s="115" t="n"/>
      <c r="E23" s="115" t="n"/>
      <c r="F23" s="115" t="n"/>
      <c r="G23" s="115" t="n"/>
      <c r="H23" s="115" t="n"/>
      <c r="I23" s="115" t="n"/>
      <c r="J23" s="115" t="n"/>
      <c r="K23" s="115" t="n"/>
      <c r="L23" s="115" t="n"/>
      <c r="M23" s="115" t="n"/>
      <c r="N23" s="115" t="n"/>
      <c r="O23" s="115" t="n"/>
      <c r="P23" s="115" t="n"/>
      <c r="Q23" s="115" t="n"/>
      <c r="R23" s="115" t="n"/>
      <c r="S23" s="115" t="n"/>
      <c r="T23" s="115" t="n"/>
      <c r="U23" s="116" t="n"/>
      <c r="V23" s="116" t="n"/>
      <c r="W23" s="117" t="n"/>
      <c r="X23" s="118" t="n"/>
      <c r="Y23" s="119" t="n"/>
      <c r="Z23" s="120" t="n"/>
      <c r="AA23" s="121" t="n"/>
      <c r="AB23" s="122" t="n"/>
      <c r="AC23" s="117" t="n"/>
      <c r="AD23" s="123">
        <f>IF(SUM($AE23:$AH23)=0,"",SUM($AE23:$AH23))</f>
        <v/>
      </c>
      <c r="AE23" s="123">
        <f>iferror(IF(SUM($AI23:$AZ23)=0,"",SUM($AI23:$AZ23)),"")</f>
        <v/>
      </c>
      <c r="AF23" s="123">
        <f>iferror(IF(SUM($BA23:$BC23)=0,"",SUM($BA23:$BC23)),"")</f>
        <v/>
      </c>
      <c r="AG23" s="123">
        <f>iferror(IF(SUM($BD23:$BF23)=0,"",SUM($BD23:$BF23)),"")</f>
        <v/>
      </c>
      <c r="AH23" s="124">
        <f>iferror(IF(SUM($BG23:$BI23)=0,"",SUM($BG23:$BI23)),"")</f>
        <v/>
      </c>
      <c r="AI23" s="131" t="n"/>
      <c r="AJ23" s="132" t="n"/>
      <c r="AK23" s="132" t="n"/>
      <c r="AL23" s="132" t="n"/>
      <c r="AM23" s="132" t="n"/>
      <c r="AN23" s="132" t="n"/>
      <c r="AO23" s="132" t="n"/>
      <c r="AP23" s="132" t="n"/>
      <c r="AQ23" s="132" t="n"/>
      <c r="AR23" s="132" t="n"/>
      <c r="AS23" s="132" t="n"/>
      <c r="AT23" s="132" t="n"/>
      <c r="AU23" s="132" t="n"/>
      <c r="AV23" s="132" t="n"/>
      <c r="AW23" s="132" t="n"/>
      <c r="AX23" s="132" t="n"/>
      <c r="AY23" s="132" t="n"/>
      <c r="AZ23" s="133" t="n"/>
      <c r="BA23" s="131" t="n"/>
      <c r="BB23" s="132" t="n"/>
      <c r="BC23" s="133" t="n"/>
      <c r="BD23" s="131" t="n"/>
      <c r="BE23" s="132" t="n"/>
      <c r="BF23" s="133" t="n"/>
      <c r="BG23" s="131" t="n"/>
      <c r="BH23" s="132" t="n"/>
      <c r="BI23" s="132" t="n"/>
      <c r="BJ23" s="128">
        <f>iferror(SUM($BK23,($BL23*1.2),($BM23*1.35),($BN23*0.74)),)</f>
        <v/>
      </c>
      <c r="BK23" s="128">
        <f>IFERROR(SUM($BT23:$CK23),)</f>
        <v/>
      </c>
      <c r="BL23" s="129">
        <f>IFERROR(SUM($CL23:$CN23),)</f>
        <v/>
      </c>
      <c r="BM23" s="130">
        <f>IFERROR(SUM($CO23:$CQ23),)</f>
        <v/>
      </c>
      <c r="BN23" s="128">
        <f>IFERROR(SUM($CR23:$CT23),)</f>
        <v/>
      </c>
      <c r="BO23" s="128">
        <f>iferror(SUM($BP23,($BQ23*1.2),($BR23*1.35),($BS23*0.74)),)</f>
        <v/>
      </c>
      <c r="BP23" s="128">
        <f>IFERROR(SUM($CU23:$DL23),)</f>
        <v/>
      </c>
      <c r="BQ23" s="128">
        <f>IFERROR(SUM($DM23:$DO23),)</f>
        <v/>
      </c>
      <c r="BR23" s="128">
        <f>IFERROR(SUM($DP23:$DR23),)</f>
        <v/>
      </c>
      <c r="BS23" s="128">
        <f>IFERROR(SUM($DS23:$DU23),)</f>
        <v/>
      </c>
      <c r="BT23" s="128">
        <f>IFERROR(AI23*$W23,)</f>
        <v/>
      </c>
      <c r="BU23" s="128">
        <f>IFERROR(AJ23*$W23,)</f>
        <v/>
      </c>
      <c r="BV23" s="128">
        <f>IFERROR(AK23*$W23,)</f>
        <v/>
      </c>
      <c r="BW23" s="128">
        <f>IFERROR(AL23*$W23,)</f>
        <v/>
      </c>
      <c r="BX23" s="128">
        <f>IFERROR(AM23*$W23,)</f>
        <v/>
      </c>
      <c r="BY23" s="128">
        <f>IFERROR(AN23*$W23,)</f>
        <v/>
      </c>
      <c r="BZ23" s="128">
        <f>IFERROR(AO23*$W23,)</f>
        <v/>
      </c>
      <c r="CA23" s="128">
        <f>IFERROR(AP23*$W23,)</f>
        <v/>
      </c>
      <c r="CB23" s="128">
        <f>IFERROR(AQ23*$W23,)</f>
        <v/>
      </c>
      <c r="CC23" s="128">
        <f>IFERROR(AR23*$W23,)</f>
        <v/>
      </c>
      <c r="CD23" s="128">
        <f>IFERROR(AS23*$W23,)</f>
        <v/>
      </c>
      <c r="CE23" s="128">
        <f>IFERROR(AT23*$W23,)</f>
        <v/>
      </c>
      <c r="CF23" s="128">
        <f>IFERROR(AU23*$W23,)</f>
        <v/>
      </c>
      <c r="CG23" s="128">
        <f>IFERROR(AV23*$W23,)</f>
        <v/>
      </c>
      <c r="CH23" s="128">
        <f>IFERROR(AW23*$W23,)</f>
        <v/>
      </c>
      <c r="CI23" s="128">
        <f>IFERROR(AX23*$W23,)</f>
        <v/>
      </c>
      <c r="CJ23" s="128">
        <f>IFERROR(AY23*$W23,)</f>
        <v/>
      </c>
      <c r="CK23" s="128">
        <f>IFERROR(AZ23*$W23,)</f>
        <v/>
      </c>
      <c r="CL23" s="129">
        <f>IFERROR(if($Y23=0,BA23*($W23/1.2),BA23*$Y23),"")</f>
        <v/>
      </c>
      <c r="CM23" s="129">
        <f>IFERROR(if($Y23=0,BB23*($W23/1.2),BB23*$Y23),"")</f>
        <v/>
      </c>
      <c r="CN23" s="129">
        <f>IFERROR(if($Y23=0,BC23*($W23/1.2),BC23*$Y23),"")</f>
        <v/>
      </c>
      <c r="CO23" s="130">
        <f>IFERROR(if($AA23=0,($W23/1.35)*BD23,BD23*$AA23),)</f>
        <v/>
      </c>
      <c r="CP23" s="130">
        <f>IFERROR(if($AA23=0,($W23/1.35)*BE23,BE23*$AA23),)</f>
        <v/>
      </c>
      <c r="CQ23" s="130">
        <f>IFERROR(if($AA23=0,($W23/1.35)*BF23,BF23*$AA23),)</f>
        <v/>
      </c>
      <c r="CR23" s="128">
        <f>IFERROR(if($AC23=0,($W23/0.74)*BG23,
BG23*$AC23),)</f>
        <v/>
      </c>
      <c r="CS23" s="128">
        <f>IFERROR(if($AC23=0,($W23/0.74)*BH23,
BH23*$AC23),)</f>
        <v/>
      </c>
      <c r="CT23" s="128">
        <f>IFERROR(if($AC23=0,($W23/0.74)*BI23,
BI23*$AC23),)</f>
        <v/>
      </c>
      <c r="CU23" s="128">
        <f>IFERROR(AI23*$V23,)</f>
        <v/>
      </c>
      <c r="CV23" s="128">
        <f>IFERROR(AJ23*$V23,)</f>
        <v/>
      </c>
      <c r="CW23" s="128">
        <f>IFERROR(AK23*$V23,)</f>
        <v/>
      </c>
      <c r="CX23" s="128">
        <f>IFERROR(AL23*$V23,)</f>
        <v/>
      </c>
      <c r="CY23" s="128">
        <f>IFERROR(AM23*$V23,)</f>
        <v/>
      </c>
      <c r="CZ23" s="128">
        <f>IFERROR(AN23*$V23,)</f>
        <v/>
      </c>
      <c r="DA23" s="128">
        <f>IFERROR(AO23*$V23,)</f>
        <v/>
      </c>
      <c r="DB23" s="128">
        <f>IFERROR(AP23*$V23,)</f>
        <v/>
      </c>
      <c r="DC23" s="128">
        <f>IFERROR(AQ23*$V23,)</f>
        <v/>
      </c>
      <c r="DD23" s="128">
        <f>IFERROR(AR23*$V23,)</f>
        <v/>
      </c>
      <c r="DE23" s="128">
        <f>IFERROR(AS23*$V23,)</f>
        <v/>
      </c>
      <c r="DF23" s="128">
        <f>IFERROR(AT23*$V23,)</f>
        <v/>
      </c>
      <c r="DG23" s="128">
        <f>IFERROR(AU23*$V23,)</f>
        <v/>
      </c>
      <c r="DH23" s="128">
        <f>IFERROR(AV23*$V23,)</f>
        <v/>
      </c>
      <c r="DI23" s="128">
        <f>IFERROR(AW23*$V23,)</f>
        <v/>
      </c>
      <c r="DJ23" s="128">
        <f>IFERROR(AX23*$V23,)</f>
        <v/>
      </c>
      <c r="DK23" s="128">
        <f>IFERROR(AY23*$V23,)</f>
        <v/>
      </c>
      <c r="DL23" s="128">
        <f>IFERROR(AZ23*$V23,)</f>
        <v/>
      </c>
      <c r="DM23" s="129">
        <f>IFERROR(if($X23=0,($V23/1.2)*BA23,
BA23*$X23),)</f>
        <v/>
      </c>
      <c r="DN23" s="129">
        <f>IFERROR(if($X23=0,($V23/1.2)*BB23,
BB23*$X23),)</f>
        <v/>
      </c>
      <c r="DO23" s="129">
        <f>IFERROR(if($X23=0,($V23/1.2)*BC23,
BC23*$X23),)</f>
        <v/>
      </c>
      <c r="DP23" s="130">
        <f>IFERROR(if($Z23=0,($V23/1.35)*BD23,
BD23*$Z23),)</f>
        <v/>
      </c>
      <c r="DQ23" s="130">
        <f>IFERROR(if($Z23=0,($V23/1.35)*BE23,
BE23*$Z23),)</f>
        <v/>
      </c>
      <c r="DR23" s="130">
        <f>IFERROR(if($Z23=0,($V23/1.35)*BF23,
BF23*$Z23),)</f>
        <v/>
      </c>
      <c r="DS23" s="128">
        <f>IFERROR(IF($AB23=0,($V23/0.74)*BG23,
BG23*$AB23),)</f>
        <v/>
      </c>
      <c r="DT23" s="128">
        <f>IFERROR(IF($AB23=0,($V23/0.74)*BH23,
BH23*$AB23),)</f>
        <v/>
      </c>
      <c r="DU23" s="128">
        <f>IFERROR(IF($AB23=0,($V23/0.74)*BI23,
BI23*$AB23),)</f>
        <v/>
      </c>
    </row>
    <row r="24" ht="60" customHeight="1" s="162">
      <c r="A24" s="115" t="n"/>
      <c r="B24" s="115" t="n"/>
      <c r="C24" s="115" t="n"/>
      <c r="D24" s="115" t="n"/>
      <c r="E24" s="115" t="n"/>
      <c r="F24" s="115" t="n"/>
      <c r="G24" s="115" t="n"/>
      <c r="H24" s="115" t="n"/>
      <c r="I24" s="115" t="n"/>
      <c r="J24" s="115" t="n"/>
      <c r="K24" s="115" t="n"/>
      <c r="L24" s="115" t="n"/>
      <c r="M24" s="115" t="n"/>
      <c r="N24" s="115" t="n"/>
      <c r="O24" s="115" t="n"/>
      <c r="P24" s="115" t="n"/>
      <c r="Q24" s="115" t="n"/>
      <c r="R24" s="115" t="n"/>
      <c r="S24" s="115" t="n"/>
      <c r="T24" s="115" t="n"/>
      <c r="U24" s="116" t="n"/>
      <c r="V24" s="116" t="n"/>
      <c r="W24" s="117" t="n"/>
      <c r="X24" s="118" t="n"/>
      <c r="Y24" s="119" t="n"/>
      <c r="Z24" s="120" t="n"/>
      <c r="AA24" s="121" t="n"/>
      <c r="AB24" s="122" t="n"/>
      <c r="AC24" s="117" t="n"/>
      <c r="AD24" s="123">
        <f>IF(SUM($AE24:$AH24)=0,"",SUM($AE24:$AH24))</f>
        <v/>
      </c>
      <c r="AE24" s="123">
        <f>iferror(IF(SUM($AI24:$AZ24)=0,"",SUM($AI24:$AZ24)),"")</f>
        <v/>
      </c>
      <c r="AF24" s="123">
        <f>iferror(IF(SUM($BA24:$BC24)=0,"",SUM($BA24:$BC24)),"")</f>
        <v/>
      </c>
      <c r="AG24" s="123">
        <f>iferror(IF(SUM($BD24:$BF24)=0,"",SUM($BD24:$BF24)),"")</f>
        <v/>
      </c>
      <c r="AH24" s="124">
        <f>iferror(IF(SUM($BG24:$BI24)=0,"",SUM($BG24:$BI24)),"")</f>
        <v/>
      </c>
      <c r="AI24" s="131" t="n"/>
      <c r="AJ24" s="132" t="n"/>
      <c r="AK24" s="132" t="n"/>
      <c r="AL24" s="132" t="n"/>
      <c r="AM24" s="132" t="n"/>
      <c r="AN24" s="132" t="n"/>
      <c r="AO24" s="132" t="n"/>
      <c r="AP24" s="132" t="n"/>
      <c r="AQ24" s="132" t="n"/>
      <c r="AR24" s="132" t="n"/>
      <c r="AS24" s="132" t="n"/>
      <c r="AT24" s="132" t="n"/>
      <c r="AU24" s="132" t="n"/>
      <c r="AV24" s="132" t="n"/>
      <c r="AW24" s="132" t="n"/>
      <c r="AX24" s="132" t="n"/>
      <c r="AY24" s="132" t="n"/>
      <c r="AZ24" s="133" t="n"/>
      <c r="BA24" s="131" t="n"/>
      <c r="BB24" s="132" t="n"/>
      <c r="BC24" s="133" t="n"/>
      <c r="BD24" s="131" t="n"/>
      <c r="BE24" s="132" t="n"/>
      <c r="BF24" s="133" t="n"/>
      <c r="BG24" s="131" t="n"/>
      <c r="BH24" s="132" t="n"/>
      <c r="BI24" s="132" t="n"/>
      <c r="BJ24" s="128">
        <f>iferror(SUM($BK24,($BL24*1.2),($BM24*1.35),($BN24*0.74)),)</f>
        <v/>
      </c>
      <c r="BK24" s="128">
        <f>IFERROR(SUM($BT24:$CK24),)</f>
        <v/>
      </c>
      <c r="BL24" s="129">
        <f>IFERROR(SUM($CL24:$CN24),)</f>
        <v/>
      </c>
      <c r="BM24" s="130">
        <f>IFERROR(SUM($CO24:$CQ24),)</f>
        <v/>
      </c>
      <c r="BN24" s="128">
        <f>IFERROR(SUM($CR24:$CT24),)</f>
        <v/>
      </c>
      <c r="BO24" s="128">
        <f>iferror(SUM($BP24,($BQ24*1.2),($BR24*1.35),($BS24*0.74)),)</f>
        <v/>
      </c>
      <c r="BP24" s="128">
        <f>IFERROR(SUM($CU24:$DL24),)</f>
        <v/>
      </c>
      <c r="BQ24" s="128">
        <f>IFERROR(SUM($DM24:$DO24),)</f>
        <v/>
      </c>
      <c r="BR24" s="128">
        <f>IFERROR(SUM($DP24:$DR24),)</f>
        <v/>
      </c>
      <c r="BS24" s="128">
        <f>IFERROR(SUM($DS24:$DU24),)</f>
        <v/>
      </c>
      <c r="BT24" s="128">
        <f>IFERROR(AI24*$W24,)</f>
        <v/>
      </c>
      <c r="BU24" s="128">
        <f>IFERROR(AJ24*$W24,)</f>
        <v/>
      </c>
      <c r="BV24" s="128">
        <f>IFERROR(AK24*$W24,)</f>
        <v/>
      </c>
      <c r="BW24" s="128">
        <f>IFERROR(AL24*$W24,)</f>
        <v/>
      </c>
      <c r="BX24" s="128">
        <f>IFERROR(AM24*$W24,)</f>
        <v/>
      </c>
      <c r="BY24" s="128">
        <f>IFERROR(AN24*$W24,)</f>
        <v/>
      </c>
      <c r="BZ24" s="128">
        <f>IFERROR(AO24*$W24,)</f>
        <v/>
      </c>
      <c r="CA24" s="128">
        <f>IFERROR(AP24*$W24,)</f>
        <v/>
      </c>
      <c r="CB24" s="128">
        <f>IFERROR(AQ24*$W24,)</f>
        <v/>
      </c>
      <c r="CC24" s="128">
        <f>IFERROR(AR24*$W24,)</f>
        <v/>
      </c>
      <c r="CD24" s="128">
        <f>IFERROR(AS24*$W24,)</f>
        <v/>
      </c>
      <c r="CE24" s="128">
        <f>IFERROR(AT24*$W24,)</f>
        <v/>
      </c>
      <c r="CF24" s="128">
        <f>IFERROR(AU24*$W24,)</f>
        <v/>
      </c>
      <c r="CG24" s="128">
        <f>IFERROR(AV24*$W24,)</f>
        <v/>
      </c>
      <c r="CH24" s="128">
        <f>IFERROR(AW24*$W24,)</f>
        <v/>
      </c>
      <c r="CI24" s="128">
        <f>IFERROR(AX24*$W24,)</f>
        <v/>
      </c>
      <c r="CJ24" s="128">
        <f>IFERROR(AY24*$W24,)</f>
        <v/>
      </c>
      <c r="CK24" s="128">
        <f>IFERROR(AZ24*$W24,)</f>
        <v/>
      </c>
      <c r="CL24" s="129">
        <f>IFERROR(if($Y24=0,BA24*($W24/1.2),BA24*$Y24),"")</f>
        <v/>
      </c>
      <c r="CM24" s="129">
        <f>IFERROR(if($Y24=0,BB24*($W24/1.2),BB24*$Y24),"")</f>
        <v/>
      </c>
      <c r="CN24" s="129">
        <f>IFERROR(if($Y24=0,BC24*($W24/1.2),BC24*$Y24),"")</f>
        <v/>
      </c>
      <c r="CO24" s="130">
        <f>IFERROR(if($AA24=0,($W24/1.35)*BD24,BD24*$AA24),)</f>
        <v/>
      </c>
      <c r="CP24" s="130">
        <f>IFERROR(if($AA24=0,($W24/1.35)*BE24,BE24*$AA24),)</f>
        <v/>
      </c>
      <c r="CQ24" s="130">
        <f>IFERROR(if($AA24=0,($W24/1.35)*BF24,BF24*$AA24),)</f>
        <v/>
      </c>
      <c r="CR24" s="128">
        <f>IFERROR(if($AC24=0,($W24/0.74)*BG24,
BG24*$AC24),)</f>
        <v/>
      </c>
      <c r="CS24" s="128">
        <f>IFERROR(if($AC24=0,($W24/0.74)*BH24,
BH24*$AC24),)</f>
        <v/>
      </c>
      <c r="CT24" s="128">
        <f>IFERROR(if($AC24=0,($W24/0.74)*BI24,
BI24*$AC24),)</f>
        <v/>
      </c>
      <c r="CU24" s="128">
        <f>IFERROR(AI24*$V24,)</f>
        <v/>
      </c>
      <c r="CV24" s="128">
        <f>IFERROR(AJ24*$V24,)</f>
        <v/>
      </c>
      <c r="CW24" s="128">
        <f>IFERROR(AK24*$V24,)</f>
        <v/>
      </c>
      <c r="CX24" s="128">
        <f>IFERROR(AL24*$V24,)</f>
        <v/>
      </c>
      <c r="CY24" s="128">
        <f>IFERROR(AM24*$V24,)</f>
        <v/>
      </c>
      <c r="CZ24" s="128">
        <f>IFERROR(AN24*$V24,)</f>
        <v/>
      </c>
      <c r="DA24" s="128">
        <f>IFERROR(AO24*$V24,)</f>
        <v/>
      </c>
      <c r="DB24" s="128">
        <f>IFERROR(AP24*$V24,)</f>
        <v/>
      </c>
      <c r="DC24" s="128">
        <f>IFERROR(AQ24*$V24,)</f>
        <v/>
      </c>
      <c r="DD24" s="128">
        <f>IFERROR(AR24*$V24,)</f>
        <v/>
      </c>
      <c r="DE24" s="128">
        <f>IFERROR(AS24*$V24,)</f>
        <v/>
      </c>
      <c r="DF24" s="128">
        <f>IFERROR(AT24*$V24,)</f>
        <v/>
      </c>
      <c r="DG24" s="128">
        <f>IFERROR(AU24*$V24,)</f>
        <v/>
      </c>
      <c r="DH24" s="128">
        <f>IFERROR(AV24*$V24,)</f>
        <v/>
      </c>
      <c r="DI24" s="128">
        <f>IFERROR(AW24*$V24,)</f>
        <v/>
      </c>
      <c r="DJ24" s="128">
        <f>IFERROR(AX24*$V24,)</f>
        <v/>
      </c>
      <c r="DK24" s="128">
        <f>IFERROR(AY24*$V24,)</f>
        <v/>
      </c>
      <c r="DL24" s="128">
        <f>IFERROR(AZ24*$V24,)</f>
        <v/>
      </c>
      <c r="DM24" s="129">
        <f>IFERROR(if($X24=0,($V24/1.2)*BA24,
BA24*$X24),)</f>
        <v/>
      </c>
      <c r="DN24" s="129">
        <f>IFERROR(if($X24=0,($V24/1.2)*BB24,
BB24*$X24),)</f>
        <v/>
      </c>
      <c r="DO24" s="129">
        <f>IFERROR(if($X24=0,($V24/1.2)*BC24,
BC24*$X24),)</f>
        <v/>
      </c>
      <c r="DP24" s="130">
        <f>IFERROR(if($Z24=0,($V24/1.35)*BD24,
BD24*$Z24),)</f>
        <v/>
      </c>
      <c r="DQ24" s="130">
        <f>IFERROR(if($Z24=0,($V24/1.35)*BE24,
BE24*$Z24),)</f>
        <v/>
      </c>
      <c r="DR24" s="130">
        <f>IFERROR(if($Z24=0,($V24/1.35)*BF24,
BF24*$Z24),)</f>
        <v/>
      </c>
      <c r="DS24" s="128">
        <f>IFERROR(IF($AB24=0,($V24/0.74)*BG24,
BG24*$AB24),)</f>
        <v/>
      </c>
      <c r="DT24" s="128">
        <f>IFERROR(IF($AB24=0,($V24/0.74)*BH24,
BH24*$AB24),)</f>
        <v/>
      </c>
      <c r="DU24" s="128">
        <f>IFERROR(IF($AB24=0,($V24/0.74)*BI24,
BI24*$AB24),)</f>
        <v/>
      </c>
    </row>
    <row r="25" ht="60" customHeight="1" s="162">
      <c r="A25" s="115" t="n"/>
      <c r="B25" s="115" t="n"/>
      <c r="C25" s="115" t="n"/>
      <c r="D25" s="115" t="n"/>
      <c r="E25" s="115" t="n"/>
      <c r="F25" s="115" t="n"/>
      <c r="G25" s="115" t="n"/>
      <c r="H25" s="115" t="n"/>
      <c r="I25" s="115" t="n"/>
      <c r="J25" s="115" t="n"/>
      <c r="K25" s="115" t="n"/>
      <c r="L25" s="115" t="n"/>
      <c r="M25" s="115" t="n"/>
      <c r="N25" s="115" t="n"/>
      <c r="O25" s="115" t="n"/>
      <c r="P25" s="115" t="n"/>
      <c r="Q25" s="115" t="n"/>
      <c r="R25" s="115" t="n"/>
      <c r="S25" s="115" t="n"/>
      <c r="T25" s="115" t="n"/>
      <c r="U25" s="116" t="n"/>
      <c r="V25" s="116" t="n"/>
      <c r="W25" s="117" t="n"/>
      <c r="X25" s="118" t="n"/>
      <c r="Y25" s="119" t="n"/>
      <c r="Z25" s="120" t="n"/>
      <c r="AA25" s="121" t="n"/>
      <c r="AB25" s="122" t="n"/>
      <c r="AC25" s="117" t="n"/>
      <c r="AD25" s="123">
        <f>IF(SUM($AE25:$AH25)=0,"",SUM($AE25:$AH25))</f>
        <v/>
      </c>
      <c r="AE25" s="123">
        <f>iferror(IF(SUM($AI25:$AZ25)=0,"",SUM($AI25:$AZ25)),"")</f>
        <v/>
      </c>
      <c r="AF25" s="123">
        <f>iferror(IF(SUM($BA25:$BC25)=0,"",SUM($BA25:$BC25)),"")</f>
        <v/>
      </c>
      <c r="AG25" s="123">
        <f>iferror(IF(SUM($BD25:$BF25)=0,"",SUM($BD25:$BF25)),"")</f>
        <v/>
      </c>
      <c r="AH25" s="124">
        <f>iferror(IF(SUM($BG25:$BI25)=0,"",SUM($BG25:$BI25)),"")</f>
        <v/>
      </c>
      <c r="AI25" s="131" t="n"/>
      <c r="AJ25" s="132" t="n"/>
      <c r="AK25" s="132" t="n"/>
      <c r="AL25" s="132" t="n"/>
      <c r="AM25" s="132" t="n"/>
      <c r="AN25" s="132" t="n"/>
      <c r="AO25" s="132" t="n"/>
      <c r="AP25" s="132" t="n"/>
      <c r="AQ25" s="132" t="n"/>
      <c r="AR25" s="132" t="n"/>
      <c r="AS25" s="132" t="n"/>
      <c r="AT25" s="132" t="n"/>
      <c r="AU25" s="132" t="n"/>
      <c r="AV25" s="132" t="n"/>
      <c r="AW25" s="132" t="n"/>
      <c r="AX25" s="132" t="n"/>
      <c r="AY25" s="132" t="n"/>
      <c r="AZ25" s="133" t="n"/>
      <c r="BA25" s="131" t="n"/>
      <c r="BB25" s="132" t="n"/>
      <c r="BC25" s="133" t="n"/>
      <c r="BD25" s="131" t="n"/>
      <c r="BE25" s="132" t="n"/>
      <c r="BF25" s="133" t="n"/>
      <c r="BG25" s="131" t="n"/>
      <c r="BH25" s="132" t="n"/>
      <c r="BI25" s="132" t="n"/>
      <c r="BJ25" s="128">
        <f>iferror(SUM($BK25,($BL25*1.2),($BM25*1.35),($BN25*0.74)),)</f>
        <v/>
      </c>
      <c r="BK25" s="128">
        <f>IFERROR(SUM($BT25:$CK25),)</f>
        <v/>
      </c>
      <c r="BL25" s="129">
        <f>IFERROR(SUM($CL25:$CN25),)</f>
        <v/>
      </c>
      <c r="BM25" s="130">
        <f>IFERROR(SUM($CO25:$CQ25),)</f>
        <v/>
      </c>
      <c r="BN25" s="128">
        <f>IFERROR(SUM($CR25:$CT25),)</f>
        <v/>
      </c>
      <c r="BO25" s="128">
        <f>iferror(SUM($BP25,($BQ25*1.2),($BR25*1.35),($BS25*0.74)),)</f>
        <v/>
      </c>
      <c r="BP25" s="128">
        <f>IFERROR(SUM($CU25:$DL25),)</f>
        <v/>
      </c>
      <c r="BQ25" s="128">
        <f>IFERROR(SUM($DM25:$DO25),)</f>
        <v/>
      </c>
      <c r="BR25" s="128">
        <f>IFERROR(SUM($DP25:$DR25),)</f>
        <v/>
      </c>
      <c r="BS25" s="128">
        <f>IFERROR(SUM($DS25:$DU25),)</f>
        <v/>
      </c>
      <c r="BT25" s="128">
        <f>IFERROR(AI25*$W25,)</f>
        <v/>
      </c>
      <c r="BU25" s="128">
        <f>IFERROR(AJ25*$W25,)</f>
        <v/>
      </c>
      <c r="BV25" s="128">
        <f>IFERROR(AK25*$W25,)</f>
        <v/>
      </c>
      <c r="BW25" s="128">
        <f>IFERROR(AL25*$W25,)</f>
        <v/>
      </c>
      <c r="BX25" s="128">
        <f>IFERROR(AM25*$W25,)</f>
        <v/>
      </c>
      <c r="BY25" s="128">
        <f>IFERROR(AN25*$W25,)</f>
        <v/>
      </c>
      <c r="BZ25" s="128">
        <f>IFERROR(AO25*$W25,)</f>
        <v/>
      </c>
      <c r="CA25" s="128">
        <f>IFERROR(AP25*$W25,)</f>
        <v/>
      </c>
      <c r="CB25" s="128">
        <f>IFERROR(AQ25*$W25,)</f>
        <v/>
      </c>
      <c r="CC25" s="128">
        <f>IFERROR(AR25*$W25,)</f>
        <v/>
      </c>
      <c r="CD25" s="128">
        <f>IFERROR(AS25*$W25,)</f>
        <v/>
      </c>
      <c r="CE25" s="128">
        <f>IFERROR(AT25*$W25,)</f>
        <v/>
      </c>
      <c r="CF25" s="128">
        <f>IFERROR(AU25*$W25,)</f>
        <v/>
      </c>
      <c r="CG25" s="128">
        <f>IFERROR(AV25*$W25,)</f>
        <v/>
      </c>
      <c r="CH25" s="128">
        <f>IFERROR(AW25*$W25,)</f>
        <v/>
      </c>
      <c r="CI25" s="128">
        <f>IFERROR(AX25*$W25,)</f>
        <v/>
      </c>
      <c r="CJ25" s="128">
        <f>IFERROR(AY25*$W25,)</f>
        <v/>
      </c>
      <c r="CK25" s="128">
        <f>IFERROR(AZ25*$W25,)</f>
        <v/>
      </c>
      <c r="CL25" s="129">
        <f>IFERROR(if($Y25=0,BA25*($W25/1.2),BA25*$Y25),"")</f>
        <v/>
      </c>
      <c r="CM25" s="129">
        <f>IFERROR(if($Y25=0,BB25*($W25/1.2),BB25*$Y25),"")</f>
        <v/>
      </c>
      <c r="CN25" s="129">
        <f>IFERROR(if($Y25=0,BC25*($W25/1.2),BC25*$Y25),"")</f>
        <v/>
      </c>
      <c r="CO25" s="130">
        <f>IFERROR(if($AA25=0,($W25/1.35)*BD25,BD25*$AA25),)</f>
        <v/>
      </c>
      <c r="CP25" s="130">
        <f>IFERROR(if($AA25=0,($W25/1.35)*BE25,BE25*$AA25),)</f>
        <v/>
      </c>
      <c r="CQ25" s="130">
        <f>IFERROR(if($AA25=0,($W25/1.35)*BF25,BF25*$AA25),)</f>
        <v/>
      </c>
      <c r="CR25" s="128">
        <f>IFERROR(if($AC25=0,($W25/0.74)*BG25,
BG25*$AC25),)</f>
        <v/>
      </c>
      <c r="CS25" s="128">
        <f>IFERROR(if($AC25=0,($W25/0.74)*BH25,
BH25*$AC25),)</f>
        <v/>
      </c>
      <c r="CT25" s="128">
        <f>IFERROR(if($AC25=0,($W25/0.74)*BI25,
BI25*$AC25),)</f>
        <v/>
      </c>
      <c r="CU25" s="128">
        <f>IFERROR(AI25*$V25,)</f>
        <v/>
      </c>
      <c r="CV25" s="128">
        <f>IFERROR(AJ25*$V25,)</f>
        <v/>
      </c>
      <c r="CW25" s="128">
        <f>IFERROR(AK25*$V25,)</f>
        <v/>
      </c>
      <c r="CX25" s="128">
        <f>IFERROR(AL25*$V25,)</f>
        <v/>
      </c>
      <c r="CY25" s="128">
        <f>IFERROR(AM25*$V25,)</f>
        <v/>
      </c>
      <c r="CZ25" s="128">
        <f>IFERROR(AN25*$V25,)</f>
        <v/>
      </c>
      <c r="DA25" s="128">
        <f>IFERROR(AO25*$V25,)</f>
        <v/>
      </c>
      <c r="DB25" s="128">
        <f>IFERROR(AP25*$V25,)</f>
        <v/>
      </c>
      <c r="DC25" s="128">
        <f>IFERROR(AQ25*$V25,)</f>
        <v/>
      </c>
      <c r="DD25" s="128">
        <f>IFERROR(AR25*$V25,)</f>
        <v/>
      </c>
      <c r="DE25" s="128">
        <f>IFERROR(AS25*$V25,)</f>
        <v/>
      </c>
      <c r="DF25" s="128">
        <f>IFERROR(AT25*$V25,)</f>
        <v/>
      </c>
      <c r="DG25" s="128">
        <f>IFERROR(AU25*$V25,)</f>
        <v/>
      </c>
      <c r="DH25" s="128">
        <f>IFERROR(AV25*$V25,)</f>
        <v/>
      </c>
      <c r="DI25" s="128">
        <f>IFERROR(AW25*$V25,)</f>
        <v/>
      </c>
      <c r="DJ25" s="128">
        <f>IFERROR(AX25*$V25,)</f>
        <v/>
      </c>
      <c r="DK25" s="128">
        <f>IFERROR(AY25*$V25,)</f>
        <v/>
      </c>
      <c r="DL25" s="128">
        <f>IFERROR(AZ25*$V25,)</f>
        <v/>
      </c>
      <c r="DM25" s="129">
        <f>IFERROR(if($X25=0,($V25/1.2)*BA25,
BA25*$X25),)</f>
        <v/>
      </c>
      <c r="DN25" s="129">
        <f>IFERROR(if($X25=0,($V25/1.2)*BB25,
BB25*$X25),)</f>
        <v/>
      </c>
      <c r="DO25" s="129">
        <f>IFERROR(if($X25=0,($V25/1.2)*BC25,
BC25*$X25),)</f>
        <v/>
      </c>
      <c r="DP25" s="130">
        <f>IFERROR(if($Z25=0,($V25/1.35)*BD25,
BD25*$Z25),)</f>
        <v/>
      </c>
      <c r="DQ25" s="130">
        <f>IFERROR(if($Z25=0,($V25/1.35)*BE25,
BE25*$Z25),)</f>
        <v/>
      </c>
      <c r="DR25" s="130">
        <f>IFERROR(if($Z25=0,($V25/1.35)*BF25,
BF25*$Z25),)</f>
        <v/>
      </c>
      <c r="DS25" s="128">
        <f>IFERROR(IF($AB25=0,($V25/0.74)*BG25,
BG25*$AB25),)</f>
        <v/>
      </c>
      <c r="DT25" s="128">
        <f>IFERROR(IF($AB25=0,($V25/0.74)*BH25,
BH25*$AB25),)</f>
        <v/>
      </c>
      <c r="DU25" s="128">
        <f>IFERROR(IF($AB25=0,($V25/0.74)*BI25,
BI25*$AB25),)</f>
        <v/>
      </c>
    </row>
    <row r="26" ht="60" customHeight="1" s="162">
      <c r="A26" s="115" t="n"/>
      <c r="B26" s="115" t="n"/>
      <c r="C26" s="115" t="n"/>
      <c r="D26" s="115" t="n"/>
      <c r="E26" s="115" t="n"/>
      <c r="F26" s="115" t="n"/>
      <c r="G26" s="115" t="n"/>
      <c r="H26" s="115" t="n"/>
      <c r="I26" s="115" t="n"/>
      <c r="J26" s="115" t="n"/>
      <c r="K26" s="115" t="n"/>
      <c r="L26" s="115" t="n"/>
      <c r="M26" s="115" t="n"/>
      <c r="N26" s="115" t="n"/>
      <c r="O26" s="115" t="n"/>
      <c r="P26" s="115" t="n"/>
      <c r="Q26" s="115" t="n"/>
      <c r="R26" s="115" t="n"/>
      <c r="S26" s="115" t="n"/>
      <c r="T26" s="115" t="n"/>
      <c r="U26" s="116" t="n"/>
      <c r="V26" s="116" t="n"/>
      <c r="W26" s="117" t="n"/>
      <c r="X26" s="118" t="n"/>
      <c r="Y26" s="119" t="n"/>
      <c r="Z26" s="120" t="n"/>
      <c r="AA26" s="121" t="n"/>
      <c r="AB26" s="122" t="n"/>
      <c r="AC26" s="117" t="n"/>
      <c r="AD26" s="123">
        <f>IF(SUM($AE26:$AH26)=0,"",SUM($AE26:$AH26))</f>
        <v/>
      </c>
      <c r="AE26" s="123">
        <f>iferror(IF(SUM($AI26:$AZ26)=0,"",SUM($AI26:$AZ26)),"")</f>
        <v/>
      </c>
      <c r="AF26" s="123">
        <f>iferror(IF(SUM($BA26:$BC26)=0,"",SUM($BA26:$BC26)),"")</f>
        <v/>
      </c>
      <c r="AG26" s="123">
        <f>iferror(IF(SUM($BD26:$BF26)=0,"",SUM($BD26:$BF26)),"")</f>
        <v/>
      </c>
      <c r="AH26" s="124">
        <f>iferror(IF(SUM($BG26:$BI26)=0,"",SUM($BG26:$BI26)),"")</f>
        <v/>
      </c>
      <c r="AI26" s="131" t="n"/>
      <c r="AJ26" s="132" t="n"/>
      <c r="AK26" s="132" t="n"/>
      <c r="AL26" s="132" t="n"/>
      <c r="AM26" s="132" t="n"/>
      <c r="AN26" s="132" t="n"/>
      <c r="AO26" s="132" t="n"/>
      <c r="AP26" s="132" t="n"/>
      <c r="AQ26" s="132" t="n"/>
      <c r="AR26" s="132" t="n"/>
      <c r="AS26" s="132" t="n"/>
      <c r="AT26" s="132" t="n"/>
      <c r="AU26" s="132" t="n"/>
      <c r="AV26" s="132" t="n"/>
      <c r="AW26" s="132" t="n"/>
      <c r="AX26" s="132" t="n"/>
      <c r="AY26" s="132" t="n"/>
      <c r="AZ26" s="133" t="n"/>
      <c r="BA26" s="131" t="n"/>
      <c r="BB26" s="132" t="n"/>
      <c r="BC26" s="133" t="n"/>
      <c r="BD26" s="131" t="n"/>
      <c r="BE26" s="132" t="n"/>
      <c r="BF26" s="133" t="n"/>
      <c r="BG26" s="131" t="n"/>
      <c r="BH26" s="132" t="n"/>
      <c r="BI26" s="132" t="n"/>
      <c r="BJ26" s="128">
        <f>iferror(SUM($BK26,($BL26*1.2),($BM26*1.35),($BN26*0.74)),)</f>
        <v/>
      </c>
      <c r="BK26" s="128">
        <f>IFERROR(SUM($BT26:$CK26),)</f>
        <v/>
      </c>
      <c r="BL26" s="129">
        <f>IFERROR(SUM($CL26:$CN26),)</f>
        <v/>
      </c>
      <c r="BM26" s="130">
        <f>IFERROR(SUM($CO26:$CQ26),)</f>
        <v/>
      </c>
      <c r="BN26" s="128">
        <f>IFERROR(SUM($CR26:$CT26),)</f>
        <v/>
      </c>
      <c r="BO26" s="128">
        <f>iferror(SUM($BP26,($BQ26*1.2),($BR26*1.35),($BS26*0.74)),)</f>
        <v/>
      </c>
      <c r="BP26" s="128">
        <f>IFERROR(SUM($CU26:$DL26),)</f>
        <v/>
      </c>
      <c r="BQ26" s="128">
        <f>IFERROR(SUM($DM26:$DO26),)</f>
        <v/>
      </c>
      <c r="BR26" s="128">
        <f>IFERROR(SUM($DP26:$DR26),)</f>
        <v/>
      </c>
      <c r="BS26" s="128">
        <f>IFERROR(SUM($DS26:$DU26),)</f>
        <v/>
      </c>
      <c r="BT26" s="128">
        <f>IFERROR(AI26*$W26,)</f>
        <v/>
      </c>
      <c r="BU26" s="128">
        <f>IFERROR(AJ26*$W26,)</f>
        <v/>
      </c>
      <c r="BV26" s="128">
        <f>IFERROR(AK26*$W26,)</f>
        <v/>
      </c>
      <c r="BW26" s="128">
        <f>IFERROR(AL26*$W26,)</f>
        <v/>
      </c>
      <c r="BX26" s="128">
        <f>IFERROR(AM26*$W26,)</f>
        <v/>
      </c>
      <c r="BY26" s="128">
        <f>IFERROR(AN26*$W26,)</f>
        <v/>
      </c>
      <c r="BZ26" s="128">
        <f>IFERROR(AO26*$W26,)</f>
        <v/>
      </c>
      <c r="CA26" s="128">
        <f>IFERROR(AP26*$W26,)</f>
        <v/>
      </c>
      <c r="CB26" s="128">
        <f>IFERROR(AQ26*$W26,)</f>
        <v/>
      </c>
      <c r="CC26" s="128">
        <f>IFERROR(AR26*$W26,)</f>
        <v/>
      </c>
      <c r="CD26" s="128">
        <f>IFERROR(AS26*$W26,)</f>
        <v/>
      </c>
      <c r="CE26" s="128">
        <f>IFERROR(AT26*$W26,)</f>
        <v/>
      </c>
      <c r="CF26" s="128">
        <f>IFERROR(AU26*$W26,)</f>
        <v/>
      </c>
      <c r="CG26" s="128">
        <f>IFERROR(AV26*$W26,)</f>
        <v/>
      </c>
      <c r="CH26" s="128">
        <f>IFERROR(AW26*$W26,)</f>
        <v/>
      </c>
      <c r="CI26" s="128">
        <f>IFERROR(AX26*$W26,)</f>
        <v/>
      </c>
      <c r="CJ26" s="128">
        <f>IFERROR(AY26*$W26,)</f>
        <v/>
      </c>
      <c r="CK26" s="128">
        <f>IFERROR(AZ26*$W26,)</f>
        <v/>
      </c>
      <c r="CL26" s="129">
        <f>IFERROR(if($Y26=0,BA26*($W26/1.2),BA26*$Y26),"")</f>
        <v/>
      </c>
      <c r="CM26" s="129">
        <f>IFERROR(if($Y26=0,BB26*($W26/1.2),BB26*$Y26),"")</f>
        <v/>
      </c>
      <c r="CN26" s="129">
        <f>IFERROR(if($Y26=0,BC26*($W26/1.2),BC26*$Y26),"")</f>
        <v/>
      </c>
      <c r="CO26" s="130">
        <f>IFERROR(if($AA26=0,($W26/1.35)*BD26,BD26*$AA26),)</f>
        <v/>
      </c>
      <c r="CP26" s="130">
        <f>IFERROR(if($AA26=0,($W26/1.35)*BE26,BE26*$AA26),)</f>
        <v/>
      </c>
      <c r="CQ26" s="130">
        <f>IFERROR(if($AA26=0,($W26/1.35)*BF26,BF26*$AA26),)</f>
        <v/>
      </c>
      <c r="CR26" s="128">
        <f>IFERROR(if($AC26=0,($W26/0.74)*BG26,
BG26*$AC26),)</f>
        <v/>
      </c>
      <c r="CS26" s="128">
        <f>IFERROR(if($AC26=0,($W26/0.74)*BH26,
BH26*$AC26),)</f>
        <v/>
      </c>
      <c r="CT26" s="128">
        <f>IFERROR(if($AC26=0,($W26/0.74)*BI26,
BI26*$AC26),)</f>
        <v/>
      </c>
      <c r="CU26" s="128">
        <f>IFERROR(AI26*$V26,)</f>
        <v/>
      </c>
      <c r="CV26" s="128">
        <f>IFERROR(AJ26*$V26,)</f>
        <v/>
      </c>
      <c r="CW26" s="128">
        <f>IFERROR(AK26*$V26,)</f>
        <v/>
      </c>
      <c r="CX26" s="128">
        <f>IFERROR(AL26*$V26,)</f>
        <v/>
      </c>
      <c r="CY26" s="128">
        <f>IFERROR(AM26*$V26,)</f>
        <v/>
      </c>
      <c r="CZ26" s="128">
        <f>IFERROR(AN26*$V26,)</f>
        <v/>
      </c>
      <c r="DA26" s="128">
        <f>IFERROR(AO26*$V26,)</f>
        <v/>
      </c>
      <c r="DB26" s="128">
        <f>IFERROR(AP26*$V26,)</f>
        <v/>
      </c>
      <c r="DC26" s="128">
        <f>IFERROR(AQ26*$V26,)</f>
        <v/>
      </c>
      <c r="DD26" s="128">
        <f>IFERROR(AR26*$V26,)</f>
        <v/>
      </c>
      <c r="DE26" s="128">
        <f>IFERROR(AS26*$V26,)</f>
        <v/>
      </c>
      <c r="DF26" s="128">
        <f>IFERROR(AT26*$V26,)</f>
        <v/>
      </c>
      <c r="DG26" s="128">
        <f>IFERROR(AU26*$V26,)</f>
        <v/>
      </c>
      <c r="DH26" s="128">
        <f>IFERROR(AV26*$V26,)</f>
        <v/>
      </c>
      <c r="DI26" s="128">
        <f>IFERROR(AW26*$V26,)</f>
        <v/>
      </c>
      <c r="DJ26" s="128">
        <f>IFERROR(AX26*$V26,)</f>
        <v/>
      </c>
      <c r="DK26" s="128">
        <f>IFERROR(AY26*$V26,)</f>
        <v/>
      </c>
      <c r="DL26" s="128">
        <f>IFERROR(AZ26*$V26,)</f>
        <v/>
      </c>
      <c r="DM26" s="129">
        <f>IFERROR(if($X26=0,($V26/1.2)*BA26,
BA26*$X26),)</f>
        <v/>
      </c>
      <c r="DN26" s="129">
        <f>IFERROR(if($X26=0,($V26/1.2)*BB26,
BB26*$X26),)</f>
        <v/>
      </c>
      <c r="DO26" s="129">
        <f>IFERROR(if($X26=0,($V26/1.2)*BC26,
BC26*$X26),)</f>
        <v/>
      </c>
      <c r="DP26" s="130">
        <f>IFERROR(if($Z26=0,($V26/1.35)*BD26,
BD26*$Z26),)</f>
        <v/>
      </c>
      <c r="DQ26" s="130">
        <f>IFERROR(if($Z26=0,($V26/1.35)*BE26,
BE26*$Z26),)</f>
        <v/>
      </c>
      <c r="DR26" s="130">
        <f>IFERROR(if($Z26=0,($V26/1.35)*BF26,
BF26*$Z26),)</f>
        <v/>
      </c>
      <c r="DS26" s="128">
        <f>IFERROR(IF($AB26=0,($V26/0.74)*BG26,
BG26*$AB26),)</f>
        <v/>
      </c>
      <c r="DT26" s="128">
        <f>IFERROR(IF($AB26=0,($V26/0.74)*BH26,
BH26*$AB26),)</f>
        <v/>
      </c>
      <c r="DU26" s="128">
        <f>IFERROR(IF($AB26=0,($V26/0.74)*BI26,
BI26*$AB26),)</f>
        <v/>
      </c>
    </row>
    <row r="27" ht="60" customHeight="1" s="162">
      <c r="A27" s="115" t="n"/>
      <c r="B27" s="115" t="n"/>
      <c r="C27" s="115" t="n"/>
      <c r="D27" s="115" t="n"/>
      <c r="E27" s="115" t="n"/>
      <c r="F27" s="115" t="n"/>
      <c r="G27" s="115" t="n"/>
      <c r="H27" s="115" t="n"/>
      <c r="I27" s="115" t="n"/>
      <c r="J27" s="115" t="n"/>
      <c r="K27" s="115" t="n"/>
      <c r="L27" s="115" t="n"/>
      <c r="M27" s="115" t="n"/>
      <c r="N27" s="115" t="n"/>
      <c r="O27" s="115" t="n"/>
      <c r="P27" s="115" t="n"/>
      <c r="Q27" s="115" t="n"/>
      <c r="R27" s="115" t="n"/>
      <c r="S27" s="115" t="n"/>
      <c r="T27" s="115" t="n"/>
      <c r="U27" s="116" t="n"/>
      <c r="V27" s="116" t="n"/>
      <c r="W27" s="117" t="n"/>
      <c r="X27" s="118" t="n"/>
      <c r="Y27" s="119" t="n"/>
      <c r="Z27" s="120" t="n"/>
      <c r="AA27" s="121" t="n"/>
      <c r="AB27" s="122" t="n"/>
      <c r="AC27" s="117" t="n"/>
      <c r="AD27" s="123">
        <f>IF(SUM($AE27:$AH27)=0,"",SUM($AE27:$AH27))</f>
        <v/>
      </c>
      <c r="AE27" s="123">
        <f>iferror(IF(SUM($AI27:$AZ27)=0,"",SUM($AI27:$AZ27)),"")</f>
        <v/>
      </c>
      <c r="AF27" s="123">
        <f>iferror(IF(SUM($BA27:$BC27)=0,"",SUM($BA27:$BC27)),"")</f>
        <v/>
      </c>
      <c r="AG27" s="123">
        <f>iferror(IF(SUM($BD27:$BF27)=0,"",SUM($BD27:$BF27)),"")</f>
        <v/>
      </c>
      <c r="AH27" s="124">
        <f>iferror(IF(SUM($BG27:$BI27)=0,"",SUM($BG27:$BI27)),"")</f>
        <v/>
      </c>
      <c r="AI27" s="131" t="n"/>
      <c r="AJ27" s="132" t="n"/>
      <c r="AK27" s="132" t="n"/>
      <c r="AL27" s="132" t="n"/>
      <c r="AM27" s="132" t="n"/>
      <c r="AN27" s="132" t="n"/>
      <c r="AO27" s="132" t="n"/>
      <c r="AP27" s="132" t="n"/>
      <c r="AQ27" s="132" t="n"/>
      <c r="AR27" s="132" t="n"/>
      <c r="AS27" s="132" t="n"/>
      <c r="AT27" s="132" t="n"/>
      <c r="AU27" s="132" t="n"/>
      <c r="AV27" s="132" t="n"/>
      <c r="AW27" s="132" t="n"/>
      <c r="AX27" s="132" t="n"/>
      <c r="AY27" s="132" t="n"/>
      <c r="AZ27" s="133" t="n"/>
      <c r="BA27" s="131" t="n"/>
      <c r="BB27" s="132" t="n"/>
      <c r="BC27" s="133" t="n"/>
      <c r="BD27" s="131" t="n"/>
      <c r="BE27" s="132" t="n"/>
      <c r="BF27" s="133" t="n"/>
      <c r="BG27" s="131" t="n"/>
      <c r="BH27" s="132" t="n"/>
      <c r="BI27" s="132" t="n"/>
      <c r="BJ27" s="128">
        <f>iferror(SUM($BK27,($BL27*1.2),($BM27*1.35),($BN27*0.74)),)</f>
        <v/>
      </c>
      <c r="BK27" s="128">
        <f>IFERROR(SUM($BT27:$CK27),)</f>
        <v/>
      </c>
      <c r="BL27" s="129">
        <f>IFERROR(SUM($CL27:$CN27),)</f>
        <v/>
      </c>
      <c r="BM27" s="130">
        <f>IFERROR(SUM($CO27:$CQ27),)</f>
        <v/>
      </c>
      <c r="BN27" s="128">
        <f>IFERROR(SUM($CR27:$CT27),)</f>
        <v/>
      </c>
      <c r="BO27" s="128">
        <f>iferror(SUM($BP27,($BQ27*1.2),($BR27*1.35),($BS27*0.74)),)</f>
        <v/>
      </c>
      <c r="BP27" s="128">
        <f>IFERROR(SUM($CU27:$DL27),)</f>
        <v/>
      </c>
      <c r="BQ27" s="128">
        <f>IFERROR(SUM($DM27:$DO27),)</f>
        <v/>
      </c>
      <c r="BR27" s="128">
        <f>IFERROR(SUM($DP27:$DR27),)</f>
        <v/>
      </c>
      <c r="BS27" s="128">
        <f>IFERROR(SUM($DS27:$DU27),)</f>
        <v/>
      </c>
      <c r="BT27" s="128">
        <f>IFERROR(AI27*$W27,)</f>
        <v/>
      </c>
      <c r="BU27" s="128">
        <f>IFERROR(AJ27*$W27,)</f>
        <v/>
      </c>
      <c r="BV27" s="128">
        <f>IFERROR(AK27*$W27,)</f>
        <v/>
      </c>
      <c r="BW27" s="128">
        <f>IFERROR(AL27*$W27,)</f>
        <v/>
      </c>
      <c r="BX27" s="128">
        <f>IFERROR(AM27*$W27,)</f>
        <v/>
      </c>
      <c r="BY27" s="128">
        <f>IFERROR(AN27*$W27,)</f>
        <v/>
      </c>
      <c r="BZ27" s="128">
        <f>IFERROR(AO27*$W27,)</f>
        <v/>
      </c>
      <c r="CA27" s="128">
        <f>IFERROR(AP27*$W27,)</f>
        <v/>
      </c>
      <c r="CB27" s="128">
        <f>IFERROR(AQ27*$W27,)</f>
        <v/>
      </c>
      <c r="CC27" s="128">
        <f>IFERROR(AR27*$W27,)</f>
        <v/>
      </c>
      <c r="CD27" s="128">
        <f>IFERROR(AS27*$W27,)</f>
        <v/>
      </c>
      <c r="CE27" s="128">
        <f>IFERROR(AT27*$W27,)</f>
        <v/>
      </c>
      <c r="CF27" s="128">
        <f>IFERROR(AU27*$W27,)</f>
        <v/>
      </c>
      <c r="CG27" s="128">
        <f>IFERROR(AV27*$W27,)</f>
        <v/>
      </c>
      <c r="CH27" s="128">
        <f>IFERROR(AW27*$W27,)</f>
        <v/>
      </c>
      <c r="CI27" s="128">
        <f>IFERROR(AX27*$W27,)</f>
        <v/>
      </c>
      <c r="CJ27" s="128">
        <f>IFERROR(AY27*$W27,)</f>
        <v/>
      </c>
      <c r="CK27" s="128">
        <f>IFERROR(AZ27*$W27,)</f>
        <v/>
      </c>
      <c r="CL27" s="129">
        <f>IFERROR(if($Y27=0,BA27*($W27/1.2),BA27*$Y27),"")</f>
        <v/>
      </c>
      <c r="CM27" s="129">
        <f>IFERROR(if($Y27=0,BB27*($W27/1.2),BB27*$Y27),"")</f>
        <v/>
      </c>
      <c r="CN27" s="129">
        <f>IFERROR(if($Y27=0,BC27*($W27/1.2),BC27*$Y27),"")</f>
        <v/>
      </c>
      <c r="CO27" s="130">
        <f>IFERROR(if($AA27=0,($W27/1.35)*BD27,BD27*$AA27),)</f>
        <v/>
      </c>
      <c r="CP27" s="130">
        <f>IFERROR(if($AA27=0,($W27/1.35)*BE27,BE27*$AA27),)</f>
        <v/>
      </c>
      <c r="CQ27" s="130">
        <f>IFERROR(if($AA27=0,($W27/1.35)*BF27,BF27*$AA27),)</f>
        <v/>
      </c>
      <c r="CR27" s="128">
        <f>IFERROR(if($AC27=0,($W27/0.74)*BG27,
BG27*$AC27),)</f>
        <v/>
      </c>
      <c r="CS27" s="128">
        <f>IFERROR(if($AC27=0,($W27/0.74)*BH27,
BH27*$AC27),)</f>
        <v/>
      </c>
      <c r="CT27" s="128">
        <f>IFERROR(if($AC27=0,($W27/0.74)*BI27,
BI27*$AC27),)</f>
        <v/>
      </c>
      <c r="CU27" s="128">
        <f>IFERROR(AI27*$V27,)</f>
        <v/>
      </c>
      <c r="CV27" s="128">
        <f>IFERROR(AJ27*$V27,)</f>
        <v/>
      </c>
      <c r="CW27" s="128">
        <f>IFERROR(AK27*$V27,)</f>
        <v/>
      </c>
      <c r="CX27" s="128">
        <f>IFERROR(AL27*$V27,)</f>
        <v/>
      </c>
      <c r="CY27" s="128">
        <f>IFERROR(AM27*$V27,)</f>
        <v/>
      </c>
      <c r="CZ27" s="128">
        <f>IFERROR(AN27*$V27,)</f>
        <v/>
      </c>
      <c r="DA27" s="128">
        <f>IFERROR(AO27*$V27,)</f>
        <v/>
      </c>
      <c r="DB27" s="128">
        <f>IFERROR(AP27*$V27,)</f>
        <v/>
      </c>
      <c r="DC27" s="128">
        <f>IFERROR(AQ27*$V27,)</f>
        <v/>
      </c>
      <c r="DD27" s="128">
        <f>IFERROR(AR27*$V27,)</f>
        <v/>
      </c>
      <c r="DE27" s="128">
        <f>IFERROR(AS27*$V27,)</f>
        <v/>
      </c>
      <c r="DF27" s="128">
        <f>IFERROR(AT27*$V27,)</f>
        <v/>
      </c>
      <c r="DG27" s="128">
        <f>IFERROR(AU27*$V27,)</f>
        <v/>
      </c>
      <c r="DH27" s="128">
        <f>IFERROR(AV27*$V27,)</f>
        <v/>
      </c>
      <c r="DI27" s="128">
        <f>IFERROR(AW27*$V27,)</f>
        <v/>
      </c>
      <c r="DJ27" s="128">
        <f>IFERROR(AX27*$V27,)</f>
        <v/>
      </c>
      <c r="DK27" s="128">
        <f>IFERROR(AY27*$V27,)</f>
        <v/>
      </c>
      <c r="DL27" s="128">
        <f>IFERROR(AZ27*$V27,)</f>
        <v/>
      </c>
      <c r="DM27" s="129">
        <f>IFERROR(if($X27=0,($V27/1.2)*BA27,
BA27*$X27),)</f>
        <v/>
      </c>
      <c r="DN27" s="129">
        <f>IFERROR(if($X27=0,($V27/1.2)*BB27,
BB27*$X27),)</f>
        <v/>
      </c>
      <c r="DO27" s="129">
        <f>IFERROR(if($X27=0,($V27/1.2)*BC27,
BC27*$X27),)</f>
        <v/>
      </c>
      <c r="DP27" s="130">
        <f>IFERROR(if($Z27=0,($V27/1.35)*BD27,
BD27*$Z27),)</f>
        <v/>
      </c>
      <c r="DQ27" s="130">
        <f>IFERROR(if($Z27=0,($V27/1.35)*BE27,
BE27*$Z27),)</f>
        <v/>
      </c>
      <c r="DR27" s="130">
        <f>IFERROR(if($Z27=0,($V27/1.35)*BF27,
BF27*$Z27),)</f>
        <v/>
      </c>
      <c r="DS27" s="128">
        <f>IFERROR(IF($AB27=0,($V27/0.74)*BG27,
BG27*$AB27),)</f>
        <v/>
      </c>
      <c r="DT27" s="128">
        <f>IFERROR(IF($AB27=0,($V27/0.74)*BH27,
BH27*$AB27),)</f>
        <v/>
      </c>
      <c r="DU27" s="128">
        <f>IFERROR(IF($AB27=0,($V27/0.74)*BI27,
BI27*$AB27),)</f>
        <v/>
      </c>
    </row>
    <row r="28" ht="60" customHeight="1" s="162">
      <c r="A28" s="115" t="n"/>
      <c r="B28" s="115" t="n"/>
      <c r="C28" s="115" t="n"/>
      <c r="D28" s="115" t="n"/>
      <c r="E28" s="115" t="n"/>
      <c r="F28" s="115" t="n"/>
      <c r="G28" s="115" t="n"/>
      <c r="H28" s="115" t="n"/>
      <c r="I28" s="115" t="n"/>
      <c r="J28" s="115" t="n"/>
      <c r="K28" s="115" t="n"/>
      <c r="L28" s="115" t="n"/>
      <c r="M28" s="115" t="n"/>
      <c r="N28" s="115" t="n"/>
      <c r="O28" s="115" t="n"/>
      <c r="P28" s="115" t="n"/>
      <c r="Q28" s="115" t="n"/>
      <c r="R28" s="115" t="n"/>
      <c r="S28" s="115" t="n"/>
      <c r="T28" s="115" t="n"/>
      <c r="U28" s="116" t="n"/>
      <c r="V28" s="116" t="n"/>
      <c r="W28" s="117" t="n"/>
      <c r="X28" s="118" t="n"/>
      <c r="Y28" s="119" t="n"/>
      <c r="Z28" s="120" t="n"/>
      <c r="AA28" s="121" t="n"/>
      <c r="AB28" s="122" t="n"/>
      <c r="AC28" s="117" t="n"/>
      <c r="AD28" s="123">
        <f>IF(SUM($AE28:$AH28)=0,"",SUM($AE28:$AH28))</f>
        <v/>
      </c>
      <c r="AE28" s="123">
        <f>iferror(IF(SUM($AI28:$AZ28)=0,"",SUM($AI28:$AZ28)),"")</f>
        <v/>
      </c>
      <c r="AF28" s="123">
        <f>iferror(IF(SUM($BA28:$BC28)=0,"",SUM($BA28:$BC28)),"")</f>
        <v/>
      </c>
      <c r="AG28" s="123">
        <f>iferror(IF(SUM($BD28:$BF28)=0,"",SUM($BD28:$BF28)),"")</f>
        <v/>
      </c>
      <c r="AH28" s="124">
        <f>iferror(IF(SUM($BG28:$BI28)=0,"",SUM($BG28:$BI28)),"")</f>
        <v/>
      </c>
      <c r="AI28" s="131" t="n"/>
      <c r="AJ28" s="132" t="n"/>
      <c r="AK28" s="132" t="n"/>
      <c r="AL28" s="132" t="n"/>
      <c r="AM28" s="132" t="n"/>
      <c r="AN28" s="132" t="n"/>
      <c r="AO28" s="132" t="n"/>
      <c r="AP28" s="132" t="n"/>
      <c r="AQ28" s="132" t="n"/>
      <c r="AR28" s="132" t="n"/>
      <c r="AS28" s="132" t="n"/>
      <c r="AT28" s="132" t="n"/>
      <c r="AU28" s="132" t="n"/>
      <c r="AV28" s="132" t="n"/>
      <c r="AW28" s="132" t="n"/>
      <c r="AX28" s="132" t="n"/>
      <c r="AY28" s="132" t="n"/>
      <c r="AZ28" s="133" t="n"/>
      <c r="BA28" s="131" t="n"/>
      <c r="BB28" s="132" t="n"/>
      <c r="BC28" s="133" t="n"/>
      <c r="BD28" s="131" t="n"/>
      <c r="BE28" s="132" t="n"/>
      <c r="BF28" s="133" t="n"/>
      <c r="BG28" s="131" t="n"/>
      <c r="BH28" s="132" t="n"/>
      <c r="BI28" s="132" t="n"/>
      <c r="BJ28" s="128">
        <f>iferror(SUM($BK28,($BL28*1.2),($BM28*1.35),($BN28*0.74)),)</f>
        <v/>
      </c>
      <c r="BK28" s="128">
        <f>IFERROR(SUM($BT28:$CK28),)</f>
        <v/>
      </c>
      <c r="BL28" s="129">
        <f>IFERROR(SUM($CL28:$CN28),)</f>
        <v/>
      </c>
      <c r="BM28" s="130">
        <f>IFERROR(SUM($CO28:$CQ28),)</f>
        <v/>
      </c>
      <c r="BN28" s="128">
        <f>IFERROR(SUM($CR28:$CT28),)</f>
        <v/>
      </c>
      <c r="BO28" s="128">
        <f>iferror(SUM($BP28,($BQ28*1.2),($BR28*1.35),($BS28*0.74)),)</f>
        <v/>
      </c>
      <c r="BP28" s="128">
        <f>IFERROR(SUM($CU28:$DL28),)</f>
        <v/>
      </c>
      <c r="BQ28" s="128">
        <f>IFERROR(SUM($DM28:$DO28),)</f>
        <v/>
      </c>
      <c r="BR28" s="128">
        <f>IFERROR(SUM($DP28:$DR28),)</f>
        <v/>
      </c>
      <c r="BS28" s="128">
        <f>IFERROR(SUM($DS28:$DU28),)</f>
        <v/>
      </c>
      <c r="BT28" s="128">
        <f>IFERROR(AI28*$W28,)</f>
        <v/>
      </c>
      <c r="BU28" s="128">
        <f>IFERROR(AJ28*$W28,)</f>
        <v/>
      </c>
      <c r="BV28" s="128">
        <f>IFERROR(AK28*$W28,)</f>
        <v/>
      </c>
      <c r="BW28" s="128">
        <f>IFERROR(AL28*$W28,)</f>
        <v/>
      </c>
      <c r="BX28" s="128">
        <f>IFERROR(AM28*$W28,)</f>
        <v/>
      </c>
      <c r="BY28" s="128">
        <f>IFERROR(AN28*$W28,)</f>
        <v/>
      </c>
      <c r="BZ28" s="128">
        <f>IFERROR(AO28*$W28,)</f>
        <v/>
      </c>
      <c r="CA28" s="128">
        <f>IFERROR(AP28*$W28,)</f>
        <v/>
      </c>
      <c r="CB28" s="128">
        <f>IFERROR(AQ28*$W28,)</f>
        <v/>
      </c>
      <c r="CC28" s="128">
        <f>IFERROR(AR28*$W28,)</f>
        <v/>
      </c>
      <c r="CD28" s="128">
        <f>IFERROR(AS28*$W28,)</f>
        <v/>
      </c>
      <c r="CE28" s="128">
        <f>IFERROR(AT28*$W28,)</f>
        <v/>
      </c>
      <c r="CF28" s="128">
        <f>IFERROR(AU28*$W28,)</f>
        <v/>
      </c>
      <c r="CG28" s="128">
        <f>IFERROR(AV28*$W28,)</f>
        <v/>
      </c>
      <c r="CH28" s="128">
        <f>IFERROR(AW28*$W28,)</f>
        <v/>
      </c>
      <c r="CI28" s="128">
        <f>IFERROR(AX28*$W28,)</f>
        <v/>
      </c>
      <c r="CJ28" s="128">
        <f>IFERROR(AY28*$W28,)</f>
        <v/>
      </c>
      <c r="CK28" s="128">
        <f>IFERROR(AZ28*$W28,)</f>
        <v/>
      </c>
      <c r="CL28" s="129">
        <f>IFERROR(if($Y28=0,BA28*($W28/1.2),BA28*$Y28),"")</f>
        <v/>
      </c>
      <c r="CM28" s="129">
        <f>IFERROR(if($Y28=0,BB28*($W28/1.2),BB28*$Y28),"")</f>
        <v/>
      </c>
      <c r="CN28" s="129">
        <f>IFERROR(if($Y28=0,BC28*($W28/1.2),BC28*$Y28),"")</f>
        <v/>
      </c>
      <c r="CO28" s="130">
        <f>IFERROR(if($AA28=0,($W28/1.35)*BD28,BD28*$AA28),)</f>
        <v/>
      </c>
      <c r="CP28" s="130">
        <f>IFERROR(if($AA28=0,($W28/1.35)*BE28,BE28*$AA28),)</f>
        <v/>
      </c>
      <c r="CQ28" s="130">
        <f>IFERROR(if($AA28=0,($W28/1.35)*BF28,BF28*$AA28),)</f>
        <v/>
      </c>
      <c r="CR28" s="128">
        <f>IFERROR(if($AC28=0,($W28/0.74)*BG28,
BG28*$AC28),)</f>
        <v/>
      </c>
      <c r="CS28" s="128">
        <f>IFERROR(if($AC28=0,($W28/0.74)*BH28,
BH28*$AC28),)</f>
        <v/>
      </c>
      <c r="CT28" s="128">
        <f>IFERROR(if($AC28=0,($W28/0.74)*BI28,
BI28*$AC28),)</f>
        <v/>
      </c>
      <c r="CU28" s="128">
        <f>IFERROR(AI28*$V28,)</f>
        <v/>
      </c>
      <c r="CV28" s="128">
        <f>IFERROR(AJ28*$V28,)</f>
        <v/>
      </c>
      <c r="CW28" s="128">
        <f>IFERROR(AK28*$V28,)</f>
        <v/>
      </c>
      <c r="CX28" s="128">
        <f>IFERROR(AL28*$V28,)</f>
        <v/>
      </c>
      <c r="CY28" s="128">
        <f>IFERROR(AM28*$V28,)</f>
        <v/>
      </c>
      <c r="CZ28" s="128">
        <f>IFERROR(AN28*$V28,)</f>
        <v/>
      </c>
      <c r="DA28" s="128">
        <f>IFERROR(AO28*$V28,)</f>
        <v/>
      </c>
      <c r="DB28" s="128">
        <f>IFERROR(AP28*$V28,)</f>
        <v/>
      </c>
      <c r="DC28" s="128">
        <f>IFERROR(AQ28*$V28,)</f>
        <v/>
      </c>
      <c r="DD28" s="128">
        <f>IFERROR(AR28*$V28,)</f>
        <v/>
      </c>
      <c r="DE28" s="128">
        <f>IFERROR(AS28*$V28,)</f>
        <v/>
      </c>
      <c r="DF28" s="128">
        <f>IFERROR(AT28*$V28,)</f>
        <v/>
      </c>
      <c r="DG28" s="128">
        <f>IFERROR(AU28*$V28,)</f>
        <v/>
      </c>
      <c r="DH28" s="128">
        <f>IFERROR(AV28*$V28,)</f>
        <v/>
      </c>
      <c r="DI28" s="128">
        <f>IFERROR(AW28*$V28,)</f>
        <v/>
      </c>
      <c r="DJ28" s="128">
        <f>IFERROR(AX28*$V28,)</f>
        <v/>
      </c>
      <c r="DK28" s="128">
        <f>IFERROR(AY28*$V28,)</f>
        <v/>
      </c>
      <c r="DL28" s="128">
        <f>IFERROR(AZ28*$V28,)</f>
        <v/>
      </c>
      <c r="DM28" s="129">
        <f>IFERROR(if($X28=0,($V28/1.2)*BA28,
BA28*$X28),)</f>
        <v/>
      </c>
      <c r="DN28" s="129">
        <f>IFERROR(if($X28=0,($V28/1.2)*BB28,
BB28*$X28),)</f>
        <v/>
      </c>
      <c r="DO28" s="129">
        <f>IFERROR(if($X28=0,($V28/1.2)*BC28,
BC28*$X28),)</f>
        <v/>
      </c>
      <c r="DP28" s="130">
        <f>IFERROR(if($Z28=0,($V28/1.35)*BD28,
BD28*$Z28),)</f>
        <v/>
      </c>
      <c r="DQ28" s="130">
        <f>IFERROR(if($Z28=0,($V28/1.35)*BE28,
BE28*$Z28),)</f>
        <v/>
      </c>
      <c r="DR28" s="130">
        <f>IFERROR(if($Z28=0,($V28/1.35)*BF28,
BF28*$Z28),)</f>
        <v/>
      </c>
      <c r="DS28" s="128">
        <f>IFERROR(IF($AB28=0,($V28/0.74)*BG28,
BG28*$AB28),)</f>
        <v/>
      </c>
      <c r="DT28" s="128">
        <f>IFERROR(IF($AB28=0,($V28/0.74)*BH28,
BH28*$AB28),)</f>
        <v/>
      </c>
      <c r="DU28" s="128">
        <f>IFERROR(IF($AB28=0,($V28/0.74)*BI28,
BI28*$AB28),)</f>
        <v/>
      </c>
    </row>
    <row r="29" ht="60" customHeight="1" s="162">
      <c r="A29" s="115" t="n"/>
      <c r="B29" s="115" t="n"/>
      <c r="C29" s="115" t="n"/>
      <c r="D29" s="115" t="n"/>
      <c r="E29" s="115" t="n"/>
      <c r="F29" s="115" t="n"/>
      <c r="G29" s="115" t="n"/>
      <c r="H29" s="115" t="n"/>
      <c r="I29" s="115" t="n"/>
      <c r="J29" s="115" t="n"/>
      <c r="K29" s="115" t="n"/>
      <c r="L29" s="115" t="n"/>
      <c r="M29" s="115" t="n"/>
      <c r="N29" s="115" t="n"/>
      <c r="O29" s="115" t="n"/>
      <c r="P29" s="115" t="n"/>
      <c r="Q29" s="115" t="n"/>
      <c r="R29" s="115" t="n"/>
      <c r="S29" s="115" t="n"/>
      <c r="T29" s="115" t="n"/>
      <c r="U29" s="116" t="n"/>
      <c r="V29" s="116" t="n"/>
      <c r="W29" s="117" t="n"/>
      <c r="X29" s="118" t="n"/>
      <c r="Y29" s="119" t="n"/>
      <c r="Z29" s="120" t="n"/>
      <c r="AA29" s="121" t="n"/>
      <c r="AB29" s="122" t="n"/>
      <c r="AC29" s="117" t="n"/>
      <c r="AD29" s="123">
        <f>IF(SUM($AE29:$AH29)=0,"",SUM($AE29:$AH29))</f>
        <v/>
      </c>
      <c r="AE29" s="123">
        <f>iferror(IF(SUM($AI29:$AZ29)=0,"",SUM($AI29:$AZ29)),"")</f>
        <v/>
      </c>
      <c r="AF29" s="123">
        <f>iferror(IF(SUM($BA29:$BC29)=0,"",SUM($BA29:$BC29)),"")</f>
        <v/>
      </c>
      <c r="AG29" s="123">
        <f>iferror(IF(SUM($BD29:$BF29)=0,"",SUM($BD29:$BF29)),"")</f>
        <v/>
      </c>
      <c r="AH29" s="124">
        <f>iferror(IF(SUM($BG29:$BI29)=0,"",SUM($BG29:$BI29)),"")</f>
        <v/>
      </c>
      <c r="AI29" s="131" t="n"/>
      <c r="AJ29" s="132" t="n"/>
      <c r="AK29" s="132" t="n"/>
      <c r="AL29" s="132" t="n"/>
      <c r="AM29" s="132" t="n"/>
      <c r="AN29" s="132" t="n"/>
      <c r="AO29" s="132" t="n"/>
      <c r="AP29" s="132" t="n"/>
      <c r="AQ29" s="132" t="n"/>
      <c r="AR29" s="132" t="n"/>
      <c r="AS29" s="132" t="n"/>
      <c r="AT29" s="132" t="n"/>
      <c r="AU29" s="132" t="n"/>
      <c r="AV29" s="132" t="n"/>
      <c r="AW29" s="132" t="n"/>
      <c r="AX29" s="132" t="n"/>
      <c r="AY29" s="132" t="n"/>
      <c r="AZ29" s="133" t="n"/>
      <c r="BA29" s="131" t="n"/>
      <c r="BB29" s="132" t="n"/>
      <c r="BC29" s="133" t="n"/>
      <c r="BD29" s="131" t="n"/>
      <c r="BE29" s="132" t="n"/>
      <c r="BF29" s="133" t="n"/>
      <c r="BG29" s="131" t="n"/>
      <c r="BH29" s="132" t="n"/>
      <c r="BI29" s="132" t="n"/>
      <c r="BJ29" s="128">
        <f>iferror(SUM($BK29,($BL29*1.2),($BM29*1.35),($BN29*0.74)),)</f>
        <v/>
      </c>
      <c r="BK29" s="128">
        <f>IFERROR(SUM($BT29:$CK29),)</f>
        <v/>
      </c>
      <c r="BL29" s="129">
        <f>IFERROR(SUM($CL29:$CN29),)</f>
        <v/>
      </c>
      <c r="BM29" s="130">
        <f>IFERROR(SUM($CO29:$CQ29),)</f>
        <v/>
      </c>
      <c r="BN29" s="128">
        <f>IFERROR(SUM($CR29:$CT29),)</f>
        <v/>
      </c>
      <c r="BO29" s="128">
        <f>iferror(SUM($BP29,($BQ29*1.2),($BR29*1.35),($BS29*0.74)),)</f>
        <v/>
      </c>
      <c r="BP29" s="128">
        <f>IFERROR(SUM($CU29:$DL29),)</f>
        <v/>
      </c>
      <c r="BQ29" s="128">
        <f>IFERROR(SUM($DM29:$DO29),)</f>
        <v/>
      </c>
      <c r="BR29" s="128">
        <f>IFERROR(SUM($DP29:$DR29),)</f>
        <v/>
      </c>
      <c r="BS29" s="128">
        <f>IFERROR(SUM($DS29:$DU29),)</f>
        <v/>
      </c>
      <c r="BT29" s="128">
        <f>IFERROR(AI29*$W29,)</f>
        <v/>
      </c>
      <c r="BU29" s="128">
        <f>IFERROR(AJ29*$W29,)</f>
        <v/>
      </c>
      <c r="BV29" s="128">
        <f>IFERROR(AK29*$W29,)</f>
        <v/>
      </c>
      <c r="BW29" s="128">
        <f>IFERROR(AL29*$W29,)</f>
        <v/>
      </c>
      <c r="BX29" s="128">
        <f>IFERROR(AM29*$W29,)</f>
        <v/>
      </c>
      <c r="BY29" s="128">
        <f>IFERROR(AN29*$W29,)</f>
        <v/>
      </c>
      <c r="BZ29" s="128">
        <f>IFERROR(AO29*$W29,)</f>
        <v/>
      </c>
      <c r="CA29" s="128">
        <f>IFERROR(AP29*$W29,)</f>
        <v/>
      </c>
      <c r="CB29" s="128">
        <f>IFERROR(AQ29*$W29,)</f>
        <v/>
      </c>
      <c r="CC29" s="128">
        <f>IFERROR(AR29*$W29,)</f>
        <v/>
      </c>
      <c r="CD29" s="128">
        <f>IFERROR(AS29*$W29,)</f>
        <v/>
      </c>
      <c r="CE29" s="128">
        <f>IFERROR(AT29*$W29,)</f>
        <v/>
      </c>
      <c r="CF29" s="128">
        <f>IFERROR(AU29*$W29,)</f>
        <v/>
      </c>
      <c r="CG29" s="128">
        <f>IFERROR(AV29*$W29,)</f>
        <v/>
      </c>
      <c r="CH29" s="128">
        <f>IFERROR(AW29*$W29,)</f>
        <v/>
      </c>
      <c r="CI29" s="128">
        <f>IFERROR(AX29*$W29,)</f>
        <v/>
      </c>
      <c r="CJ29" s="128">
        <f>IFERROR(AY29*$W29,)</f>
        <v/>
      </c>
      <c r="CK29" s="128">
        <f>IFERROR(AZ29*$W29,)</f>
        <v/>
      </c>
      <c r="CL29" s="129">
        <f>IFERROR(if($Y29=0,BA29*($W29/1.2),BA29*$Y29),"")</f>
        <v/>
      </c>
      <c r="CM29" s="129">
        <f>IFERROR(if($Y29=0,BB29*($W29/1.2),BB29*$Y29),"")</f>
        <v/>
      </c>
      <c r="CN29" s="129">
        <f>IFERROR(if($Y29=0,BC29*($W29/1.2),BC29*$Y29),"")</f>
        <v/>
      </c>
      <c r="CO29" s="130">
        <f>IFERROR(if($AA29=0,($W29/1.35)*BD29,BD29*$AA29),)</f>
        <v/>
      </c>
      <c r="CP29" s="130">
        <f>IFERROR(if($AA29=0,($W29/1.35)*BE29,BE29*$AA29),)</f>
        <v/>
      </c>
      <c r="CQ29" s="130">
        <f>IFERROR(if($AA29=0,($W29/1.35)*BF29,BF29*$AA29),)</f>
        <v/>
      </c>
      <c r="CR29" s="128">
        <f>IFERROR(if($AC29=0,($W29/0.74)*BG29,
BG29*$AC29),)</f>
        <v/>
      </c>
      <c r="CS29" s="128">
        <f>IFERROR(if($AC29=0,($W29/0.74)*BH29,
BH29*$AC29),)</f>
        <v/>
      </c>
      <c r="CT29" s="128">
        <f>IFERROR(if($AC29=0,($W29/0.74)*BI29,
BI29*$AC29),)</f>
        <v/>
      </c>
      <c r="CU29" s="128">
        <f>IFERROR(AI29*$V29,)</f>
        <v/>
      </c>
      <c r="CV29" s="128">
        <f>IFERROR(AJ29*$V29,)</f>
        <v/>
      </c>
      <c r="CW29" s="128">
        <f>IFERROR(AK29*$V29,)</f>
        <v/>
      </c>
      <c r="CX29" s="128">
        <f>IFERROR(AL29*$V29,)</f>
        <v/>
      </c>
      <c r="CY29" s="128">
        <f>IFERROR(AM29*$V29,)</f>
        <v/>
      </c>
      <c r="CZ29" s="128">
        <f>IFERROR(AN29*$V29,)</f>
        <v/>
      </c>
      <c r="DA29" s="128">
        <f>IFERROR(AO29*$V29,)</f>
        <v/>
      </c>
      <c r="DB29" s="128">
        <f>IFERROR(AP29*$V29,)</f>
        <v/>
      </c>
      <c r="DC29" s="128">
        <f>IFERROR(AQ29*$V29,)</f>
        <v/>
      </c>
      <c r="DD29" s="128">
        <f>IFERROR(AR29*$V29,)</f>
        <v/>
      </c>
      <c r="DE29" s="128">
        <f>IFERROR(AS29*$V29,)</f>
        <v/>
      </c>
      <c r="DF29" s="128">
        <f>IFERROR(AT29*$V29,)</f>
        <v/>
      </c>
      <c r="DG29" s="128">
        <f>IFERROR(AU29*$V29,)</f>
        <v/>
      </c>
      <c r="DH29" s="128">
        <f>IFERROR(AV29*$V29,)</f>
        <v/>
      </c>
      <c r="DI29" s="128">
        <f>IFERROR(AW29*$V29,)</f>
        <v/>
      </c>
      <c r="DJ29" s="128">
        <f>IFERROR(AX29*$V29,)</f>
        <v/>
      </c>
      <c r="DK29" s="128">
        <f>IFERROR(AY29*$V29,)</f>
        <v/>
      </c>
      <c r="DL29" s="128">
        <f>IFERROR(AZ29*$V29,)</f>
        <v/>
      </c>
      <c r="DM29" s="129">
        <f>IFERROR(if($X29=0,($V29/1.2)*BA29,
BA29*$X29),)</f>
        <v/>
      </c>
      <c r="DN29" s="129">
        <f>IFERROR(if($X29=0,($V29/1.2)*BB29,
BB29*$X29),)</f>
        <v/>
      </c>
      <c r="DO29" s="129">
        <f>IFERROR(if($X29=0,($V29/1.2)*BC29,
BC29*$X29),)</f>
        <v/>
      </c>
      <c r="DP29" s="130">
        <f>IFERROR(if($Z29=0,($V29/1.35)*BD29,
BD29*$Z29),)</f>
        <v/>
      </c>
      <c r="DQ29" s="130">
        <f>IFERROR(if($Z29=0,($V29/1.35)*BE29,
BE29*$Z29),)</f>
        <v/>
      </c>
      <c r="DR29" s="130">
        <f>IFERROR(if($Z29=0,($V29/1.35)*BF29,
BF29*$Z29),)</f>
        <v/>
      </c>
      <c r="DS29" s="128">
        <f>IFERROR(IF($AB29=0,($V29/0.74)*BG29,
BG29*$AB29),)</f>
        <v/>
      </c>
      <c r="DT29" s="128">
        <f>IFERROR(IF($AB29=0,($V29/0.74)*BH29,
BH29*$AB29),)</f>
        <v/>
      </c>
      <c r="DU29" s="128">
        <f>IFERROR(IF($AB29=0,($V29/0.74)*BI29,
BI29*$AB29),)</f>
        <v/>
      </c>
    </row>
    <row r="30" ht="60" customHeight="1" s="162">
      <c r="A30" s="115" t="n"/>
      <c r="B30" s="115" t="n"/>
      <c r="C30" s="115" t="n"/>
      <c r="D30" s="115" t="n"/>
      <c r="E30" s="115" t="n"/>
      <c r="F30" s="115" t="n"/>
      <c r="G30" s="115" t="n"/>
      <c r="H30" s="115" t="n"/>
      <c r="I30" s="115" t="n"/>
      <c r="J30" s="115" t="n"/>
      <c r="K30" s="115" t="n"/>
      <c r="L30" s="115" t="n"/>
      <c r="M30" s="115" t="n"/>
      <c r="N30" s="115" t="n"/>
      <c r="O30" s="115" t="n"/>
      <c r="P30" s="115" t="n"/>
      <c r="Q30" s="115" t="n"/>
      <c r="R30" s="115" t="n"/>
      <c r="S30" s="115" t="n"/>
      <c r="T30" s="115" t="n"/>
      <c r="U30" s="116" t="n"/>
      <c r="V30" s="116" t="n"/>
      <c r="W30" s="117" t="n"/>
      <c r="X30" s="118" t="n"/>
      <c r="Y30" s="119" t="n"/>
      <c r="Z30" s="120" t="n"/>
      <c r="AA30" s="121" t="n"/>
      <c r="AB30" s="122" t="n"/>
      <c r="AC30" s="117" t="n"/>
      <c r="AD30" s="123">
        <f>IF(SUM($AE30:$AH30)=0,"",SUM($AE30:$AH30))</f>
        <v/>
      </c>
      <c r="AE30" s="123">
        <f>iferror(IF(SUM($AI30:$AZ30)=0,"",SUM($AI30:$AZ30)),"")</f>
        <v/>
      </c>
      <c r="AF30" s="123">
        <f>iferror(IF(SUM($BA30:$BC30)=0,"",SUM($BA30:$BC30)),"")</f>
        <v/>
      </c>
      <c r="AG30" s="123">
        <f>iferror(IF(SUM($BD30:$BF30)=0,"",SUM($BD30:$BF30)),"")</f>
        <v/>
      </c>
      <c r="AH30" s="124">
        <f>iferror(IF(SUM($BG30:$BI30)=0,"",SUM($BG30:$BI30)),"")</f>
        <v/>
      </c>
      <c r="AI30" s="131" t="n"/>
      <c r="AJ30" s="132" t="n"/>
      <c r="AK30" s="132" t="n"/>
      <c r="AL30" s="132" t="n"/>
      <c r="AM30" s="132" t="n"/>
      <c r="AN30" s="132" t="n"/>
      <c r="AO30" s="132" t="n"/>
      <c r="AP30" s="132" t="n"/>
      <c r="AQ30" s="132" t="n"/>
      <c r="AR30" s="132" t="n"/>
      <c r="AS30" s="132" t="n"/>
      <c r="AT30" s="132" t="n"/>
      <c r="AU30" s="132" t="n"/>
      <c r="AV30" s="132" t="n"/>
      <c r="AW30" s="132" t="n"/>
      <c r="AX30" s="132" t="n"/>
      <c r="AY30" s="132" t="n"/>
      <c r="AZ30" s="133" t="n"/>
      <c r="BA30" s="131" t="n"/>
      <c r="BB30" s="132" t="n"/>
      <c r="BC30" s="133" t="n"/>
      <c r="BD30" s="131" t="n"/>
      <c r="BE30" s="132" t="n"/>
      <c r="BF30" s="133" t="n"/>
      <c r="BG30" s="131" t="n"/>
      <c r="BH30" s="132" t="n"/>
      <c r="BI30" s="132" t="n"/>
      <c r="BJ30" s="128">
        <f>iferror(SUM($BK30,($BL30*1.2),($BM30*1.35),($BN30*0.74)),)</f>
        <v/>
      </c>
      <c r="BK30" s="128">
        <f>IFERROR(SUM($BT30:$CK30),)</f>
        <v/>
      </c>
      <c r="BL30" s="129">
        <f>IFERROR(SUM($CL30:$CN30),)</f>
        <v/>
      </c>
      <c r="BM30" s="130">
        <f>IFERROR(SUM($CO30:$CQ30),)</f>
        <v/>
      </c>
      <c r="BN30" s="128">
        <f>IFERROR(SUM($CR30:$CT30),)</f>
        <v/>
      </c>
      <c r="BO30" s="128">
        <f>iferror(SUM($BP30,($BQ30*1.2),($BR30*1.35),($BS30*0.74)),)</f>
        <v/>
      </c>
      <c r="BP30" s="128">
        <f>IFERROR(SUM($CU30:$DL30),)</f>
        <v/>
      </c>
      <c r="BQ30" s="128">
        <f>IFERROR(SUM($DM30:$DO30),)</f>
        <v/>
      </c>
      <c r="BR30" s="128">
        <f>IFERROR(SUM($DP30:$DR30),)</f>
        <v/>
      </c>
      <c r="BS30" s="128">
        <f>IFERROR(SUM($DS30:$DU30),)</f>
        <v/>
      </c>
      <c r="BT30" s="128">
        <f>IFERROR(AI30*$W30,)</f>
        <v/>
      </c>
      <c r="BU30" s="128">
        <f>IFERROR(AJ30*$W30,)</f>
        <v/>
      </c>
      <c r="BV30" s="128">
        <f>IFERROR(AK30*$W30,)</f>
        <v/>
      </c>
      <c r="BW30" s="128">
        <f>IFERROR(AL30*$W30,)</f>
        <v/>
      </c>
      <c r="BX30" s="128">
        <f>IFERROR(AM30*$W30,)</f>
        <v/>
      </c>
      <c r="BY30" s="128">
        <f>IFERROR(AN30*$W30,)</f>
        <v/>
      </c>
      <c r="BZ30" s="128">
        <f>IFERROR(AO30*$W30,)</f>
        <v/>
      </c>
      <c r="CA30" s="128">
        <f>IFERROR(AP30*$W30,)</f>
        <v/>
      </c>
      <c r="CB30" s="128">
        <f>IFERROR(AQ30*$W30,)</f>
        <v/>
      </c>
      <c r="CC30" s="128">
        <f>IFERROR(AR30*$W30,)</f>
        <v/>
      </c>
      <c r="CD30" s="128">
        <f>IFERROR(AS30*$W30,)</f>
        <v/>
      </c>
      <c r="CE30" s="128">
        <f>IFERROR(AT30*$W30,)</f>
        <v/>
      </c>
      <c r="CF30" s="128">
        <f>IFERROR(AU30*$W30,)</f>
        <v/>
      </c>
      <c r="CG30" s="128">
        <f>IFERROR(AV30*$W30,)</f>
        <v/>
      </c>
      <c r="CH30" s="128">
        <f>IFERROR(AW30*$W30,)</f>
        <v/>
      </c>
      <c r="CI30" s="128">
        <f>IFERROR(AX30*$W30,)</f>
        <v/>
      </c>
      <c r="CJ30" s="128">
        <f>IFERROR(AY30*$W30,)</f>
        <v/>
      </c>
      <c r="CK30" s="128">
        <f>IFERROR(AZ30*$W30,)</f>
        <v/>
      </c>
      <c r="CL30" s="129">
        <f>IFERROR(if($Y30=0,BA30*($W30/1.2),BA30*$Y30),"")</f>
        <v/>
      </c>
      <c r="CM30" s="129">
        <f>IFERROR(if($Y30=0,BB30*($W30/1.2),BB30*$Y30),"")</f>
        <v/>
      </c>
      <c r="CN30" s="129">
        <f>IFERROR(if($Y30=0,BC30*($W30/1.2),BC30*$Y30),"")</f>
        <v/>
      </c>
      <c r="CO30" s="130">
        <f>IFERROR(if($AA30=0,($W30/1.35)*BD30,BD30*$AA30),)</f>
        <v/>
      </c>
      <c r="CP30" s="130">
        <f>IFERROR(if($AA30=0,($W30/1.35)*BE30,BE30*$AA30),)</f>
        <v/>
      </c>
      <c r="CQ30" s="130">
        <f>IFERROR(if($AA30=0,($W30/1.35)*BF30,BF30*$AA30),)</f>
        <v/>
      </c>
      <c r="CR30" s="128">
        <f>IFERROR(if($AC30=0,($W30/0.74)*BG30,
BG30*$AC30),)</f>
        <v/>
      </c>
      <c r="CS30" s="128">
        <f>IFERROR(if($AC30=0,($W30/0.74)*BH30,
BH30*$AC30),)</f>
        <v/>
      </c>
      <c r="CT30" s="128">
        <f>IFERROR(if($AC30=0,($W30/0.74)*BI30,
BI30*$AC30),)</f>
        <v/>
      </c>
      <c r="CU30" s="128">
        <f>IFERROR(AI30*$V30,)</f>
        <v/>
      </c>
      <c r="CV30" s="128">
        <f>IFERROR(AJ30*$V30,)</f>
        <v/>
      </c>
      <c r="CW30" s="128">
        <f>IFERROR(AK30*$V30,)</f>
        <v/>
      </c>
      <c r="CX30" s="128">
        <f>IFERROR(AL30*$V30,)</f>
        <v/>
      </c>
      <c r="CY30" s="128">
        <f>IFERROR(AM30*$V30,)</f>
        <v/>
      </c>
      <c r="CZ30" s="128">
        <f>IFERROR(AN30*$V30,)</f>
        <v/>
      </c>
      <c r="DA30" s="128">
        <f>IFERROR(AO30*$V30,)</f>
        <v/>
      </c>
      <c r="DB30" s="128">
        <f>IFERROR(AP30*$V30,)</f>
        <v/>
      </c>
      <c r="DC30" s="128">
        <f>IFERROR(AQ30*$V30,)</f>
        <v/>
      </c>
      <c r="DD30" s="128">
        <f>IFERROR(AR30*$V30,)</f>
        <v/>
      </c>
      <c r="DE30" s="128">
        <f>IFERROR(AS30*$V30,)</f>
        <v/>
      </c>
      <c r="DF30" s="128">
        <f>IFERROR(AT30*$V30,)</f>
        <v/>
      </c>
      <c r="DG30" s="128">
        <f>IFERROR(AU30*$V30,)</f>
        <v/>
      </c>
      <c r="DH30" s="128">
        <f>IFERROR(AV30*$V30,)</f>
        <v/>
      </c>
      <c r="DI30" s="128">
        <f>IFERROR(AW30*$V30,)</f>
        <v/>
      </c>
      <c r="DJ30" s="128">
        <f>IFERROR(AX30*$V30,)</f>
        <v/>
      </c>
      <c r="DK30" s="128">
        <f>IFERROR(AY30*$V30,)</f>
        <v/>
      </c>
      <c r="DL30" s="128">
        <f>IFERROR(AZ30*$V30,)</f>
        <v/>
      </c>
      <c r="DM30" s="129">
        <f>IFERROR(if($X30=0,($V30/1.2)*BA30,
BA30*$X30),)</f>
        <v/>
      </c>
      <c r="DN30" s="129">
        <f>IFERROR(if($X30=0,($V30/1.2)*BB30,
BB30*$X30),)</f>
        <v/>
      </c>
      <c r="DO30" s="129">
        <f>IFERROR(if($X30=0,($V30/1.2)*BC30,
BC30*$X30),)</f>
        <v/>
      </c>
      <c r="DP30" s="130">
        <f>IFERROR(if($Z30=0,($V30/1.35)*BD30,
BD30*$Z30),)</f>
        <v/>
      </c>
      <c r="DQ30" s="130">
        <f>IFERROR(if($Z30=0,($V30/1.35)*BE30,
BE30*$Z30),)</f>
        <v/>
      </c>
      <c r="DR30" s="130">
        <f>IFERROR(if($Z30=0,($V30/1.35)*BF30,
BF30*$Z30),)</f>
        <v/>
      </c>
      <c r="DS30" s="128">
        <f>IFERROR(IF($AB30=0,($V30/0.74)*BG30,
BG30*$AB30),)</f>
        <v/>
      </c>
      <c r="DT30" s="128">
        <f>IFERROR(IF($AB30=0,($V30/0.74)*BH30,
BH30*$AB30),)</f>
        <v/>
      </c>
      <c r="DU30" s="128">
        <f>IFERROR(IF($AB30=0,($V30/0.74)*BI30,
BI30*$AB30),)</f>
        <v/>
      </c>
    </row>
    <row r="31" ht="60" customHeight="1" s="162">
      <c r="A31" s="115" t="n"/>
      <c r="B31" s="115" t="n"/>
      <c r="C31" s="115" t="n"/>
      <c r="D31" s="115" t="n"/>
      <c r="E31" s="115" t="n"/>
      <c r="F31" s="115" t="n"/>
      <c r="G31" s="115" t="n"/>
      <c r="H31" s="115" t="n"/>
      <c r="I31" s="115" t="n"/>
      <c r="J31" s="115" t="n"/>
      <c r="K31" s="115" t="n"/>
      <c r="L31" s="115" t="n"/>
      <c r="M31" s="115" t="n"/>
      <c r="N31" s="115" t="n"/>
      <c r="O31" s="115" t="n"/>
      <c r="P31" s="115" t="n"/>
      <c r="Q31" s="115" t="n"/>
      <c r="R31" s="115" t="n"/>
      <c r="S31" s="115" t="n"/>
      <c r="T31" s="115" t="n"/>
      <c r="U31" s="116" t="n"/>
      <c r="V31" s="116" t="n"/>
      <c r="W31" s="117" t="n"/>
      <c r="X31" s="118" t="n"/>
      <c r="Y31" s="119" t="n"/>
      <c r="Z31" s="120" t="n"/>
      <c r="AA31" s="121" t="n"/>
      <c r="AB31" s="122" t="n"/>
      <c r="AC31" s="117" t="n"/>
      <c r="AD31" s="123">
        <f>IF(SUM($AE31:$AH31)=0,"",SUM($AE31:$AH31))</f>
        <v/>
      </c>
      <c r="AE31" s="123">
        <f>iferror(IF(SUM($AI31:$AZ31)=0,"",SUM($AI31:$AZ31)),"")</f>
        <v/>
      </c>
      <c r="AF31" s="123">
        <f>iferror(IF(SUM($BA31:$BC31)=0,"",SUM($BA31:$BC31)),"")</f>
        <v/>
      </c>
      <c r="AG31" s="123">
        <f>iferror(IF(SUM($BD31:$BF31)=0,"",SUM($BD31:$BF31)),"")</f>
        <v/>
      </c>
      <c r="AH31" s="124">
        <f>iferror(IF(SUM($BG31:$BI31)=0,"",SUM($BG31:$BI31)),"")</f>
        <v/>
      </c>
      <c r="AI31" s="131" t="n"/>
      <c r="AJ31" s="132" t="n"/>
      <c r="AK31" s="132" t="n"/>
      <c r="AL31" s="132" t="n"/>
      <c r="AM31" s="132" t="n"/>
      <c r="AN31" s="132" t="n"/>
      <c r="AO31" s="132" t="n"/>
      <c r="AP31" s="132" t="n"/>
      <c r="AQ31" s="132" t="n"/>
      <c r="AR31" s="132" t="n"/>
      <c r="AS31" s="132" t="n"/>
      <c r="AT31" s="132" t="n"/>
      <c r="AU31" s="132" t="n"/>
      <c r="AV31" s="132" t="n"/>
      <c r="AW31" s="132" t="n"/>
      <c r="AX31" s="132" t="n"/>
      <c r="AY31" s="132" t="n"/>
      <c r="AZ31" s="133" t="n"/>
      <c r="BA31" s="131" t="n"/>
      <c r="BB31" s="132" t="n"/>
      <c r="BC31" s="133" t="n"/>
      <c r="BD31" s="131" t="n"/>
      <c r="BE31" s="132" t="n"/>
      <c r="BF31" s="133" t="n"/>
      <c r="BG31" s="131" t="n"/>
      <c r="BH31" s="132" t="n"/>
      <c r="BI31" s="132" t="n"/>
      <c r="BJ31" s="128">
        <f>iferror(SUM($BK31,($BL31*1.2),($BM31*1.35),($BN31*0.74)),)</f>
        <v/>
      </c>
      <c r="BK31" s="128">
        <f>IFERROR(SUM($BT31:$CK31),)</f>
        <v/>
      </c>
      <c r="BL31" s="129">
        <f>IFERROR(SUM($CL31:$CN31),)</f>
        <v/>
      </c>
      <c r="BM31" s="130">
        <f>IFERROR(SUM($CO31:$CQ31),)</f>
        <v/>
      </c>
      <c r="BN31" s="128">
        <f>IFERROR(SUM($CR31:$CT31),)</f>
        <v/>
      </c>
      <c r="BO31" s="128">
        <f>iferror(SUM($BP31,($BQ31*1.2),($BR31*1.35),($BS31*0.74)),)</f>
        <v/>
      </c>
      <c r="BP31" s="128">
        <f>IFERROR(SUM($CU31:$DL31),)</f>
        <v/>
      </c>
      <c r="BQ31" s="128">
        <f>IFERROR(SUM($DM31:$DO31),)</f>
        <v/>
      </c>
      <c r="BR31" s="128">
        <f>IFERROR(SUM($DP31:$DR31),)</f>
        <v/>
      </c>
      <c r="BS31" s="128">
        <f>IFERROR(SUM($DS31:$DU31),)</f>
        <v/>
      </c>
      <c r="BT31" s="128">
        <f>IFERROR(AI31*$W31,)</f>
        <v/>
      </c>
      <c r="BU31" s="128">
        <f>IFERROR(AJ31*$W31,)</f>
        <v/>
      </c>
      <c r="BV31" s="128">
        <f>IFERROR(AK31*$W31,)</f>
        <v/>
      </c>
      <c r="BW31" s="128">
        <f>IFERROR(AL31*$W31,)</f>
        <v/>
      </c>
      <c r="BX31" s="128">
        <f>IFERROR(AM31*$W31,)</f>
        <v/>
      </c>
      <c r="BY31" s="128">
        <f>IFERROR(AN31*$W31,)</f>
        <v/>
      </c>
      <c r="BZ31" s="128">
        <f>IFERROR(AO31*$W31,)</f>
        <v/>
      </c>
      <c r="CA31" s="128">
        <f>IFERROR(AP31*$W31,)</f>
        <v/>
      </c>
      <c r="CB31" s="128">
        <f>IFERROR(AQ31*$W31,)</f>
        <v/>
      </c>
      <c r="CC31" s="128">
        <f>IFERROR(AR31*$W31,)</f>
        <v/>
      </c>
      <c r="CD31" s="128">
        <f>IFERROR(AS31*$W31,)</f>
        <v/>
      </c>
      <c r="CE31" s="128">
        <f>IFERROR(AT31*$W31,)</f>
        <v/>
      </c>
      <c r="CF31" s="128">
        <f>IFERROR(AU31*$W31,)</f>
        <v/>
      </c>
      <c r="CG31" s="128">
        <f>IFERROR(AV31*$W31,)</f>
        <v/>
      </c>
      <c r="CH31" s="128">
        <f>IFERROR(AW31*$W31,)</f>
        <v/>
      </c>
      <c r="CI31" s="128">
        <f>IFERROR(AX31*$W31,)</f>
        <v/>
      </c>
      <c r="CJ31" s="128">
        <f>IFERROR(AY31*$W31,)</f>
        <v/>
      </c>
      <c r="CK31" s="128">
        <f>IFERROR(AZ31*$W31,)</f>
        <v/>
      </c>
      <c r="CL31" s="129">
        <f>IFERROR(if($Y31=0,BA31*($W31/1.2),BA31*$Y31),"")</f>
        <v/>
      </c>
      <c r="CM31" s="129">
        <f>IFERROR(if($Y31=0,BB31*($W31/1.2),BB31*$Y31),"")</f>
        <v/>
      </c>
      <c r="CN31" s="129">
        <f>IFERROR(if($Y31=0,BC31*($W31/1.2),BC31*$Y31),"")</f>
        <v/>
      </c>
      <c r="CO31" s="130">
        <f>IFERROR(if($AA31=0,($W31/1.35)*BD31,BD31*$AA31),)</f>
        <v/>
      </c>
      <c r="CP31" s="130">
        <f>IFERROR(if($AA31=0,($W31/1.35)*BE31,BE31*$AA31),)</f>
        <v/>
      </c>
      <c r="CQ31" s="130">
        <f>IFERROR(if($AA31=0,($W31/1.35)*BF31,BF31*$AA31),)</f>
        <v/>
      </c>
      <c r="CR31" s="128">
        <f>IFERROR(if($AC31=0,($W31/0.74)*BG31,
BG31*$AC31),)</f>
        <v/>
      </c>
      <c r="CS31" s="128">
        <f>IFERROR(if($AC31=0,($W31/0.74)*BH31,
BH31*$AC31),)</f>
        <v/>
      </c>
      <c r="CT31" s="128">
        <f>IFERROR(if($AC31=0,($W31/0.74)*BI31,
BI31*$AC31),)</f>
        <v/>
      </c>
      <c r="CU31" s="128">
        <f>IFERROR(AI31*$V31,)</f>
        <v/>
      </c>
      <c r="CV31" s="128">
        <f>IFERROR(AJ31*$V31,)</f>
        <v/>
      </c>
      <c r="CW31" s="128">
        <f>IFERROR(AK31*$V31,)</f>
        <v/>
      </c>
      <c r="CX31" s="128">
        <f>IFERROR(AL31*$V31,)</f>
        <v/>
      </c>
      <c r="CY31" s="128">
        <f>IFERROR(AM31*$V31,)</f>
        <v/>
      </c>
      <c r="CZ31" s="128">
        <f>IFERROR(AN31*$V31,)</f>
        <v/>
      </c>
      <c r="DA31" s="128">
        <f>IFERROR(AO31*$V31,)</f>
        <v/>
      </c>
      <c r="DB31" s="128">
        <f>IFERROR(AP31*$V31,)</f>
        <v/>
      </c>
      <c r="DC31" s="128">
        <f>IFERROR(AQ31*$V31,)</f>
        <v/>
      </c>
      <c r="DD31" s="128">
        <f>IFERROR(AR31*$V31,)</f>
        <v/>
      </c>
      <c r="DE31" s="128">
        <f>IFERROR(AS31*$V31,)</f>
        <v/>
      </c>
      <c r="DF31" s="128">
        <f>IFERROR(AT31*$V31,)</f>
        <v/>
      </c>
      <c r="DG31" s="128">
        <f>IFERROR(AU31*$V31,)</f>
        <v/>
      </c>
      <c r="DH31" s="128">
        <f>IFERROR(AV31*$V31,)</f>
        <v/>
      </c>
      <c r="DI31" s="128">
        <f>IFERROR(AW31*$V31,)</f>
        <v/>
      </c>
      <c r="DJ31" s="128">
        <f>IFERROR(AX31*$V31,)</f>
        <v/>
      </c>
      <c r="DK31" s="128">
        <f>IFERROR(AY31*$V31,)</f>
        <v/>
      </c>
      <c r="DL31" s="128">
        <f>IFERROR(AZ31*$V31,)</f>
        <v/>
      </c>
      <c r="DM31" s="129">
        <f>IFERROR(if($X31=0,($V31/1.2)*BA31,
BA31*$X31),)</f>
        <v/>
      </c>
      <c r="DN31" s="129">
        <f>IFERROR(if($X31=0,($V31/1.2)*BB31,
BB31*$X31),)</f>
        <v/>
      </c>
      <c r="DO31" s="129">
        <f>IFERROR(if($X31=0,($V31/1.2)*BC31,
BC31*$X31),)</f>
        <v/>
      </c>
      <c r="DP31" s="130">
        <f>IFERROR(if($Z31=0,($V31/1.35)*BD31,
BD31*$Z31),)</f>
        <v/>
      </c>
      <c r="DQ31" s="130">
        <f>IFERROR(if($Z31=0,($V31/1.35)*BE31,
BE31*$Z31),)</f>
        <v/>
      </c>
      <c r="DR31" s="130">
        <f>IFERROR(if($Z31=0,($V31/1.35)*BF31,
BF31*$Z31),)</f>
        <v/>
      </c>
      <c r="DS31" s="128">
        <f>IFERROR(IF($AB31=0,($V31/0.74)*BG31,
BG31*$AB31),)</f>
        <v/>
      </c>
      <c r="DT31" s="128">
        <f>IFERROR(IF($AB31=0,($V31/0.74)*BH31,
BH31*$AB31),)</f>
        <v/>
      </c>
      <c r="DU31" s="128">
        <f>IFERROR(IF($AB31=0,($V31/0.74)*BI31,
BI31*$AB31),)</f>
        <v/>
      </c>
    </row>
    <row r="32" ht="60" customHeight="1" s="162">
      <c r="A32" s="115" t="n"/>
      <c r="B32" s="115" t="n"/>
      <c r="C32" s="115" t="n"/>
      <c r="D32" s="115" t="n"/>
      <c r="E32" s="115" t="n"/>
      <c r="F32" s="115" t="n"/>
      <c r="G32" s="115" t="n"/>
      <c r="H32" s="115" t="n"/>
      <c r="I32" s="115" t="n"/>
      <c r="J32" s="115" t="n"/>
      <c r="K32" s="115" t="n"/>
      <c r="L32" s="115" t="n"/>
      <c r="M32" s="115" t="n"/>
      <c r="N32" s="115" t="n"/>
      <c r="O32" s="115" t="n"/>
      <c r="P32" s="115" t="n"/>
      <c r="Q32" s="115" t="n"/>
      <c r="R32" s="115" t="n"/>
      <c r="S32" s="115" t="n"/>
      <c r="T32" s="115" t="n"/>
      <c r="U32" s="116" t="n"/>
      <c r="V32" s="116" t="n"/>
      <c r="W32" s="117" t="n"/>
      <c r="X32" s="118" t="n"/>
      <c r="Y32" s="119" t="n"/>
      <c r="Z32" s="120" t="n"/>
      <c r="AA32" s="121" t="n"/>
      <c r="AB32" s="122" t="n"/>
      <c r="AC32" s="117" t="n"/>
      <c r="AD32" s="123">
        <f>IF(SUM($AE32:$AH32)=0,"",SUM($AE32:$AH32))</f>
        <v/>
      </c>
      <c r="AE32" s="123">
        <f>iferror(IF(SUM($AI32:$AZ32)=0,"",SUM($AI32:$AZ32)),"")</f>
        <v/>
      </c>
      <c r="AF32" s="123">
        <f>iferror(IF(SUM($BA32:$BC32)=0,"",SUM($BA32:$BC32)),"")</f>
        <v/>
      </c>
      <c r="AG32" s="123">
        <f>iferror(IF(SUM($BD32:$BF32)=0,"",SUM($BD32:$BF32)),"")</f>
        <v/>
      </c>
      <c r="AH32" s="124">
        <f>iferror(IF(SUM($BG32:$BI32)=0,"",SUM($BG32:$BI32)),"")</f>
        <v/>
      </c>
      <c r="AI32" s="131" t="n"/>
      <c r="AJ32" s="132" t="n"/>
      <c r="AK32" s="132" t="n"/>
      <c r="AL32" s="132" t="n"/>
      <c r="AM32" s="132" t="n"/>
      <c r="AN32" s="132" t="n"/>
      <c r="AO32" s="132" t="n"/>
      <c r="AP32" s="132" t="n"/>
      <c r="AQ32" s="132" t="n"/>
      <c r="AR32" s="132" t="n"/>
      <c r="AS32" s="132" t="n"/>
      <c r="AT32" s="132" t="n"/>
      <c r="AU32" s="132" t="n"/>
      <c r="AV32" s="132" t="n"/>
      <c r="AW32" s="132" t="n"/>
      <c r="AX32" s="132" t="n"/>
      <c r="AY32" s="132" t="n"/>
      <c r="AZ32" s="133" t="n"/>
      <c r="BA32" s="131" t="n"/>
      <c r="BB32" s="132" t="n"/>
      <c r="BC32" s="133" t="n"/>
      <c r="BD32" s="131" t="n"/>
      <c r="BE32" s="132" t="n"/>
      <c r="BF32" s="133" t="n"/>
      <c r="BG32" s="131" t="n"/>
      <c r="BH32" s="132" t="n"/>
      <c r="BI32" s="132" t="n"/>
      <c r="BJ32" s="128">
        <f>iferror(SUM($BK32,($BL32*1.2),($BM32*1.35),($BN32*0.74)),)</f>
        <v/>
      </c>
      <c r="BK32" s="128">
        <f>IFERROR(SUM($BT32:$CK32),)</f>
        <v/>
      </c>
      <c r="BL32" s="129">
        <f>IFERROR(SUM($CL32:$CN32),)</f>
        <v/>
      </c>
      <c r="BM32" s="130">
        <f>IFERROR(SUM($CO32:$CQ32),)</f>
        <v/>
      </c>
      <c r="BN32" s="128">
        <f>IFERROR(SUM($CR32:$CT32),)</f>
        <v/>
      </c>
      <c r="BO32" s="128">
        <f>iferror(SUM($BP32,($BQ32*1.2),($BR32*1.35),($BS32*0.74)),)</f>
        <v/>
      </c>
      <c r="BP32" s="128">
        <f>IFERROR(SUM($CU32:$DL32),)</f>
        <v/>
      </c>
      <c r="BQ32" s="128">
        <f>IFERROR(SUM($DM32:$DO32),)</f>
        <v/>
      </c>
      <c r="BR32" s="128">
        <f>IFERROR(SUM($DP32:$DR32),)</f>
        <v/>
      </c>
      <c r="BS32" s="128">
        <f>IFERROR(SUM($DS32:$DU32),)</f>
        <v/>
      </c>
      <c r="BT32" s="128">
        <f>IFERROR(AI32*$W32,)</f>
        <v/>
      </c>
      <c r="BU32" s="128">
        <f>IFERROR(AJ32*$W32,)</f>
        <v/>
      </c>
      <c r="BV32" s="128">
        <f>IFERROR(AK32*$W32,)</f>
        <v/>
      </c>
      <c r="BW32" s="128">
        <f>IFERROR(AL32*$W32,)</f>
        <v/>
      </c>
      <c r="BX32" s="128">
        <f>IFERROR(AM32*$W32,)</f>
        <v/>
      </c>
      <c r="BY32" s="128">
        <f>IFERROR(AN32*$W32,)</f>
        <v/>
      </c>
      <c r="BZ32" s="128">
        <f>IFERROR(AO32*$W32,)</f>
        <v/>
      </c>
      <c r="CA32" s="128">
        <f>IFERROR(AP32*$W32,)</f>
        <v/>
      </c>
      <c r="CB32" s="128">
        <f>IFERROR(AQ32*$W32,)</f>
        <v/>
      </c>
      <c r="CC32" s="128">
        <f>IFERROR(AR32*$W32,)</f>
        <v/>
      </c>
      <c r="CD32" s="128">
        <f>IFERROR(AS32*$W32,)</f>
        <v/>
      </c>
      <c r="CE32" s="128">
        <f>IFERROR(AT32*$W32,)</f>
        <v/>
      </c>
      <c r="CF32" s="128">
        <f>IFERROR(AU32*$W32,)</f>
        <v/>
      </c>
      <c r="CG32" s="128">
        <f>IFERROR(AV32*$W32,)</f>
        <v/>
      </c>
      <c r="CH32" s="128">
        <f>IFERROR(AW32*$W32,)</f>
        <v/>
      </c>
      <c r="CI32" s="128">
        <f>IFERROR(AX32*$W32,)</f>
        <v/>
      </c>
      <c r="CJ32" s="128">
        <f>IFERROR(AY32*$W32,)</f>
        <v/>
      </c>
      <c r="CK32" s="128">
        <f>IFERROR(AZ32*$W32,)</f>
        <v/>
      </c>
      <c r="CL32" s="129">
        <f>IFERROR(if($Y32=0,BA32*($W32/1.2),BA32*$Y32),"")</f>
        <v/>
      </c>
      <c r="CM32" s="129">
        <f>IFERROR(if($Y32=0,BB32*($W32/1.2),BB32*$Y32),"")</f>
        <v/>
      </c>
      <c r="CN32" s="129">
        <f>IFERROR(if($Y32=0,BC32*($W32/1.2),BC32*$Y32),"")</f>
        <v/>
      </c>
      <c r="CO32" s="130">
        <f>IFERROR(if($AA32=0,($W32/1.35)*BD32,BD32*$AA32),)</f>
        <v/>
      </c>
      <c r="CP32" s="130">
        <f>IFERROR(if($AA32=0,($W32/1.35)*BE32,BE32*$AA32),)</f>
        <v/>
      </c>
      <c r="CQ32" s="130">
        <f>IFERROR(if($AA32=0,($W32/1.35)*BF32,BF32*$AA32),)</f>
        <v/>
      </c>
      <c r="CR32" s="128">
        <f>IFERROR(if($AC32=0,($W32/0.74)*BG32,
BG32*$AC32),)</f>
        <v/>
      </c>
      <c r="CS32" s="128">
        <f>IFERROR(if($AC32=0,($W32/0.74)*BH32,
BH32*$AC32),)</f>
        <v/>
      </c>
      <c r="CT32" s="128">
        <f>IFERROR(if($AC32=0,($W32/0.74)*BI32,
BI32*$AC32),)</f>
        <v/>
      </c>
      <c r="CU32" s="128">
        <f>IFERROR(AI32*$V32,)</f>
        <v/>
      </c>
      <c r="CV32" s="128">
        <f>IFERROR(AJ32*$V32,)</f>
        <v/>
      </c>
      <c r="CW32" s="128">
        <f>IFERROR(AK32*$V32,)</f>
        <v/>
      </c>
      <c r="CX32" s="128">
        <f>IFERROR(AL32*$V32,)</f>
        <v/>
      </c>
      <c r="CY32" s="128">
        <f>IFERROR(AM32*$V32,)</f>
        <v/>
      </c>
      <c r="CZ32" s="128">
        <f>IFERROR(AN32*$V32,)</f>
        <v/>
      </c>
      <c r="DA32" s="128">
        <f>IFERROR(AO32*$V32,)</f>
        <v/>
      </c>
      <c r="DB32" s="128">
        <f>IFERROR(AP32*$V32,)</f>
        <v/>
      </c>
      <c r="DC32" s="128">
        <f>IFERROR(AQ32*$V32,)</f>
        <v/>
      </c>
      <c r="DD32" s="128">
        <f>IFERROR(AR32*$V32,)</f>
        <v/>
      </c>
      <c r="DE32" s="128">
        <f>IFERROR(AS32*$V32,)</f>
        <v/>
      </c>
      <c r="DF32" s="128">
        <f>IFERROR(AT32*$V32,)</f>
        <v/>
      </c>
      <c r="DG32" s="128">
        <f>IFERROR(AU32*$V32,)</f>
        <v/>
      </c>
      <c r="DH32" s="128">
        <f>IFERROR(AV32*$V32,)</f>
        <v/>
      </c>
      <c r="DI32" s="128">
        <f>IFERROR(AW32*$V32,)</f>
        <v/>
      </c>
      <c r="DJ32" s="128">
        <f>IFERROR(AX32*$V32,)</f>
        <v/>
      </c>
      <c r="DK32" s="128">
        <f>IFERROR(AY32*$V32,)</f>
        <v/>
      </c>
      <c r="DL32" s="128">
        <f>IFERROR(AZ32*$V32,)</f>
        <v/>
      </c>
      <c r="DM32" s="129">
        <f>IFERROR(if($X32=0,($V32/1.2)*BA32,
BA32*$X32),)</f>
        <v/>
      </c>
      <c r="DN32" s="129">
        <f>IFERROR(if($X32=0,($V32/1.2)*BB32,
BB32*$X32),)</f>
        <v/>
      </c>
      <c r="DO32" s="129">
        <f>IFERROR(if($X32=0,($V32/1.2)*BC32,
BC32*$X32),)</f>
        <v/>
      </c>
      <c r="DP32" s="130">
        <f>IFERROR(if($Z32=0,($V32/1.35)*BD32,
BD32*$Z32),)</f>
        <v/>
      </c>
      <c r="DQ32" s="130">
        <f>IFERROR(if($Z32=0,($V32/1.35)*BE32,
BE32*$Z32),)</f>
        <v/>
      </c>
      <c r="DR32" s="130">
        <f>IFERROR(if($Z32=0,($V32/1.35)*BF32,
BF32*$Z32),)</f>
        <v/>
      </c>
      <c r="DS32" s="128">
        <f>IFERROR(IF($AB32=0,($V32/0.74)*BG32,
BG32*$AB32),)</f>
        <v/>
      </c>
      <c r="DT32" s="128">
        <f>IFERROR(IF($AB32=0,($V32/0.74)*BH32,
BH32*$AB32),)</f>
        <v/>
      </c>
      <c r="DU32" s="128">
        <f>IFERROR(IF($AB32=0,($V32/0.74)*BI32,
BI32*$AB32),)</f>
        <v/>
      </c>
    </row>
    <row r="33" ht="60" customHeight="1" s="162">
      <c r="A33" s="115" t="n"/>
      <c r="B33" s="115" t="n"/>
      <c r="C33" s="115" t="n"/>
      <c r="D33" s="115" t="n"/>
      <c r="E33" s="115" t="n"/>
      <c r="F33" s="115" t="n"/>
      <c r="G33" s="115" t="n"/>
      <c r="H33" s="115" t="n"/>
      <c r="I33" s="115" t="n"/>
      <c r="J33" s="115" t="n"/>
      <c r="K33" s="115" t="n"/>
      <c r="L33" s="115" t="n"/>
      <c r="M33" s="115" t="n"/>
      <c r="N33" s="115" t="n"/>
      <c r="O33" s="115" t="n"/>
      <c r="P33" s="115" t="n"/>
      <c r="Q33" s="115" t="n"/>
      <c r="R33" s="115" t="n"/>
      <c r="S33" s="115" t="n"/>
      <c r="T33" s="115" t="n"/>
      <c r="U33" s="116" t="n"/>
      <c r="V33" s="116" t="n"/>
      <c r="W33" s="117" t="n"/>
      <c r="X33" s="118" t="n"/>
      <c r="Y33" s="119" t="n"/>
      <c r="Z33" s="120" t="n"/>
      <c r="AA33" s="121" t="n"/>
      <c r="AB33" s="122" t="n"/>
      <c r="AC33" s="117" t="n"/>
      <c r="AD33" s="123">
        <f>IF(SUM($AE33:$AH33)=0,"",SUM($AE33:$AH33))</f>
        <v/>
      </c>
      <c r="AE33" s="123">
        <f>iferror(IF(SUM($AI33:$AZ33)=0,"",SUM($AI33:$AZ33)),"")</f>
        <v/>
      </c>
      <c r="AF33" s="123">
        <f>iferror(IF(SUM($BA33:$BC33)=0,"",SUM($BA33:$BC33)),"")</f>
        <v/>
      </c>
      <c r="AG33" s="123">
        <f>iferror(IF(SUM($BD33:$BF33)=0,"",SUM($BD33:$BF33)),"")</f>
        <v/>
      </c>
      <c r="AH33" s="124">
        <f>iferror(IF(SUM($BG33:$BI33)=0,"",SUM($BG33:$BI33)),"")</f>
        <v/>
      </c>
      <c r="AI33" s="131" t="n"/>
      <c r="AJ33" s="132" t="n"/>
      <c r="AK33" s="132" t="n"/>
      <c r="AL33" s="132" t="n"/>
      <c r="AM33" s="132" t="n"/>
      <c r="AN33" s="132" t="n"/>
      <c r="AO33" s="132" t="n"/>
      <c r="AP33" s="132" t="n"/>
      <c r="AQ33" s="132" t="n"/>
      <c r="AR33" s="132" t="n"/>
      <c r="AS33" s="132" t="n"/>
      <c r="AT33" s="132" t="n"/>
      <c r="AU33" s="132" t="n"/>
      <c r="AV33" s="132" t="n"/>
      <c r="AW33" s="132" t="n"/>
      <c r="AX33" s="132" t="n"/>
      <c r="AY33" s="132" t="n"/>
      <c r="AZ33" s="133" t="n"/>
      <c r="BA33" s="131" t="n"/>
      <c r="BB33" s="132" t="n"/>
      <c r="BC33" s="133" t="n"/>
      <c r="BD33" s="131" t="n"/>
      <c r="BE33" s="132" t="n"/>
      <c r="BF33" s="133" t="n"/>
      <c r="BG33" s="131" t="n"/>
      <c r="BH33" s="132" t="n"/>
      <c r="BI33" s="132" t="n"/>
      <c r="BJ33" s="128">
        <f>iferror(SUM($BK33,($BL33*1.2),($BM33*1.35),($BN33*0.74)),)</f>
        <v/>
      </c>
      <c r="BK33" s="128">
        <f>IFERROR(SUM($BT33:$CK33),)</f>
        <v/>
      </c>
      <c r="BL33" s="129">
        <f>IFERROR(SUM($CL33:$CN33),)</f>
        <v/>
      </c>
      <c r="BM33" s="130">
        <f>IFERROR(SUM($CO33:$CQ33),)</f>
        <v/>
      </c>
      <c r="BN33" s="128">
        <f>IFERROR(SUM($CR33:$CT33),)</f>
        <v/>
      </c>
      <c r="BO33" s="128">
        <f>iferror(SUM($BP33,($BQ33*1.2),($BR33*1.35),($BS33*0.74)),)</f>
        <v/>
      </c>
      <c r="BP33" s="128">
        <f>IFERROR(SUM($CU33:$DL33),)</f>
        <v/>
      </c>
      <c r="BQ33" s="128">
        <f>IFERROR(SUM($DM33:$DO33),)</f>
        <v/>
      </c>
      <c r="BR33" s="128">
        <f>IFERROR(SUM($DP33:$DR33),)</f>
        <v/>
      </c>
      <c r="BS33" s="128">
        <f>IFERROR(SUM($DS33:$DU33),)</f>
        <v/>
      </c>
      <c r="BT33" s="128">
        <f>IFERROR(AI33*$W33,)</f>
        <v/>
      </c>
      <c r="BU33" s="128">
        <f>IFERROR(AJ33*$W33,)</f>
        <v/>
      </c>
      <c r="BV33" s="128">
        <f>IFERROR(AK33*$W33,)</f>
        <v/>
      </c>
      <c r="BW33" s="128">
        <f>IFERROR(AL33*$W33,)</f>
        <v/>
      </c>
      <c r="BX33" s="128">
        <f>IFERROR(AM33*$W33,)</f>
        <v/>
      </c>
      <c r="BY33" s="128">
        <f>IFERROR(AN33*$W33,)</f>
        <v/>
      </c>
      <c r="BZ33" s="128">
        <f>IFERROR(AO33*$W33,)</f>
        <v/>
      </c>
      <c r="CA33" s="128">
        <f>IFERROR(AP33*$W33,)</f>
        <v/>
      </c>
      <c r="CB33" s="128">
        <f>IFERROR(AQ33*$W33,)</f>
        <v/>
      </c>
      <c r="CC33" s="128">
        <f>IFERROR(AR33*$W33,)</f>
        <v/>
      </c>
      <c r="CD33" s="128">
        <f>IFERROR(AS33*$W33,)</f>
        <v/>
      </c>
      <c r="CE33" s="128">
        <f>IFERROR(AT33*$W33,)</f>
        <v/>
      </c>
      <c r="CF33" s="128">
        <f>IFERROR(AU33*$W33,)</f>
        <v/>
      </c>
      <c r="CG33" s="128">
        <f>IFERROR(AV33*$W33,)</f>
        <v/>
      </c>
      <c r="CH33" s="128">
        <f>IFERROR(AW33*$W33,)</f>
        <v/>
      </c>
      <c r="CI33" s="128">
        <f>IFERROR(AX33*$W33,)</f>
        <v/>
      </c>
      <c r="CJ33" s="128">
        <f>IFERROR(AY33*$W33,)</f>
        <v/>
      </c>
      <c r="CK33" s="128">
        <f>IFERROR(AZ33*$W33,)</f>
        <v/>
      </c>
      <c r="CL33" s="129">
        <f>IFERROR(if($Y33=0,BA33*($W33/1.2),BA33*$Y33),"")</f>
        <v/>
      </c>
      <c r="CM33" s="129">
        <f>IFERROR(if($Y33=0,BB33*($W33/1.2),BB33*$Y33),"")</f>
        <v/>
      </c>
      <c r="CN33" s="129">
        <f>IFERROR(if($Y33=0,BC33*($W33/1.2),BC33*$Y33),"")</f>
        <v/>
      </c>
      <c r="CO33" s="130">
        <f>IFERROR(if($AA33=0,($W33/1.35)*BD33,BD33*$AA33),)</f>
        <v/>
      </c>
      <c r="CP33" s="130">
        <f>IFERROR(if($AA33=0,($W33/1.35)*BE33,BE33*$AA33),)</f>
        <v/>
      </c>
      <c r="CQ33" s="130">
        <f>IFERROR(if($AA33=0,($W33/1.35)*BF33,BF33*$AA33),)</f>
        <v/>
      </c>
      <c r="CR33" s="128">
        <f>IFERROR(if($AC33=0,($W33/0.74)*BG33,
BG33*$AC33),)</f>
        <v/>
      </c>
      <c r="CS33" s="128">
        <f>IFERROR(if($AC33=0,($W33/0.74)*BH33,
BH33*$AC33),)</f>
        <v/>
      </c>
      <c r="CT33" s="128">
        <f>IFERROR(if($AC33=0,($W33/0.74)*BI33,
BI33*$AC33),)</f>
        <v/>
      </c>
      <c r="CU33" s="128">
        <f>IFERROR(AI33*$V33,)</f>
        <v/>
      </c>
      <c r="CV33" s="128">
        <f>IFERROR(AJ33*$V33,)</f>
        <v/>
      </c>
      <c r="CW33" s="128">
        <f>IFERROR(AK33*$V33,)</f>
        <v/>
      </c>
      <c r="CX33" s="128">
        <f>IFERROR(AL33*$V33,)</f>
        <v/>
      </c>
      <c r="CY33" s="128">
        <f>IFERROR(AM33*$V33,)</f>
        <v/>
      </c>
      <c r="CZ33" s="128">
        <f>IFERROR(AN33*$V33,)</f>
        <v/>
      </c>
      <c r="DA33" s="128">
        <f>IFERROR(AO33*$V33,)</f>
        <v/>
      </c>
      <c r="DB33" s="128">
        <f>IFERROR(AP33*$V33,)</f>
        <v/>
      </c>
      <c r="DC33" s="128">
        <f>IFERROR(AQ33*$V33,)</f>
        <v/>
      </c>
      <c r="DD33" s="128">
        <f>IFERROR(AR33*$V33,)</f>
        <v/>
      </c>
      <c r="DE33" s="128">
        <f>IFERROR(AS33*$V33,)</f>
        <v/>
      </c>
      <c r="DF33" s="128">
        <f>IFERROR(AT33*$V33,)</f>
        <v/>
      </c>
      <c r="DG33" s="128">
        <f>IFERROR(AU33*$V33,)</f>
        <v/>
      </c>
      <c r="DH33" s="128">
        <f>IFERROR(AV33*$V33,)</f>
        <v/>
      </c>
      <c r="DI33" s="128">
        <f>IFERROR(AW33*$V33,)</f>
        <v/>
      </c>
      <c r="DJ33" s="128">
        <f>IFERROR(AX33*$V33,)</f>
        <v/>
      </c>
      <c r="DK33" s="128">
        <f>IFERROR(AY33*$V33,)</f>
        <v/>
      </c>
      <c r="DL33" s="128">
        <f>IFERROR(AZ33*$V33,)</f>
        <v/>
      </c>
      <c r="DM33" s="129">
        <f>IFERROR(if($X33=0,($V33/1.2)*BA33,
BA33*$X33),)</f>
        <v/>
      </c>
      <c r="DN33" s="129">
        <f>IFERROR(if($X33=0,($V33/1.2)*BB33,
BB33*$X33),)</f>
        <v/>
      </c>
      <c r="DO33" s="129">
        <f>IFERROR(if($X33=0,($V33/1.2)*BC33,
BC33*$X33),)</f>
        <v/>
      </c>
      <c r="DP33" s="130">
        <f>IFERROR(if($Z33=0,($V33/1.35)*BD33,
BD33*$Z33),)</f>
        <v/>
      </c>
      <c r="DQ33" s="130">
        <f>IFERROR(if($Z33=0,($V33/1.35)*BE33,
BE33*$Z33),)</f>
        <v/>
      </c>
      <c r="DR33" s="130">
        <f>IFERROR(if($Z33=0,($V33/1.35)*BF33,
BF33*$Z33),)</f>
        <v/>
      </c>
      <c r="DS33" s="128">
        <f>IFERROR(IF($AB33=0,($V33/0.74)*BG33,
BG33*$AB33),)</f>
        <v/>
      </c>
      <c r="DT33" s="128">
        <f>IFERROR(IF($AB33=0,($V33/0.74)*BH33,
BH33*$AB33),)</f>
        <v/>
      </c>
      <c r="DU33" s="128">
        <f>IFERROR(IF($AB33=0,($V33/0.74)*BI33,
BI33*$AB33),)</f>
        <v/>
      </c>
    </row>
    <row r="34" ht="60" customHeight="1" s="162">
      <c r="A34" s="115" t="n"/>
      <c r="B34" s="115" t="n"/>
      <c r="C34" s="115" t="n"/>
      <c r="D34" s="115" t="n"/>
      <c r="E34" s="115" t="n"/>
      <c r="F34" s="115" t="n"/>
      <c r="G34" s="115" t="n"/>
      <c r="H34" s="115" t="n"/>
      <c r="I34" s="115" t="n"/>
      <c r="J34" s="115" t="n"/>
      <c r="K34" s="115" t="n"/>
      <c r="L34" s="115" t="n"/>
      <c r="M34" s="115" t="n"/>
      <c r="N34" s="115" t="n"/>
      <c r="O34" s="115" t="n"/>
      <c r="P34" s="115" t="n"/>
      <c r="Q34" s="115" t="n"/>
      <c r="R34" s="115" t="n"/>
      <c r="S34" s="115" t="n"/>
      <c r="T34" s="115" t="n"/>
      <c r="U34" s="116" t="n"/>
      <c r="V34" s="116" t="n"/>
      <c r="W34" s="117" t="n"/>
      <c r="X34" s="118" t="n"/>
      <c r="Y34" s="119" t="n"/>
      <c r="Z34" s="120" t="n"/>
      <c r="AA34" s="121" t="n"/>
      <c r="AB34" s="122" t="n"/>
      <c r="AC34" s="117" t="n"/>
      <c r="AD34" s="123">
        <f>IF(SUM($AE34:$AH34)=0,"",SUM($AE34:$AH34))</f>
        <v/>
      </c>
      <c r="AE34" s="123">
        <f>iferror(IF(SUM($AI34:$AZ34)=0,"",SUM($AI34:$AZ34)),"")</f>
        <v/>
      </c>
      <c r="AF34" s="123">
        <f>iferror(IF(SUM($BA34:$BC34)=0,"",SUM($BA34:$BC34)),"")</f>
        <v/>
      </c>
      <c r="AG34" s="123">
        <f>iferror(IF(SUM($BD34:$BF34)=0,"",SUM($BD34:$BF34)),"")</f>
        <v/>
      </c>
      <c r="AH34" s="124">
        <f>iferror(IF(SUM($BG34:$BI34)=0,"",SUM($BG34:$BI34)),"")</f>
        <v/>
      </c>
      <c r="AI34" s="131" t="n"/>
      <c r="AJ34" s="132" t="n"/>
      <c r="AK34" s="132" t="n"/>
      <c r="AL34" s="132" t="n"/>
      <c r="AM34" s="132" t="n"/>
      <c r="AN34" s="132" t="n"/>
      <c r="AO34" s="132" t="n"/>
      <c r="AP34" s="132" t="n"/>
      <c r="AQ34" s="132" t="n"/>
      <c r="AR34" s="132" t="n"/>
      <c r="AS34" s="132" t="n"/>
      <c r="AT34" s="132" t="n"/>
      <c r="AU34" s="132" t="n"/>
      <c r="AV34" s="132" t="n"/>
      <c r="AW34" s="132" t="n"/>
      <c r="AX34" s="132" t="n"/>
      <c r="AY34" s="132" t="n"/>
      <c r="AZ34" s="133" t="n"/>
      <c r="BA34" s="131" t="n"/>
      <c r="BB34" s="132" t="n"/>
      <c r="BC34" s="133" t="n"/>
      <c r="BD34" s="131" t="n"/>
      <c r="BE34" s="132" t="n"/>
      <c r="BF34" s="133" t="n"/>
      <c r="BG34" s="131" t="n"/>
      <c r="BH34" s="132" t="n"/>
      <c r="BI34" s="132" t="n"/>
      <c r="BJ34" s="128">
        <f>iferror(SUM($BK34,($BL34*1.2),($BM34*1.35),($BN34*0.74)),)</f>
        <v/>
      </c>
      <c r="BK34" s="128">
        <f>IFERROR(SUM($BT34:$CK34),)</f>
        <v/>
      </c>
      <c r="BL34" s="129">
        <f>IFERROR(SUM($CL34:$CN34),)</f>
        <v/>
      </c>
      <c r="BM34" s="130">
        <f>IFERROR(SUM($CO34:$CQ34),)</f>
        <v/>
      </c>
      <c r="BN34" s="128">
        <f>IFERROR(SUM($CR34:$CT34),)</f>
        <v/>
      </c>
      <c r="BO34" s="128">
        <f>iferror(SUM($BP34,($BQ34*1.2),($BR34*1.35),($BS34*0.74)),)</f>
        <v/>
      </c>
      <c r="BP34" s="128">
        <f>IFERROR(SUM($CU34:$DL34),)</f>
        <v/>
      </c>
      <c r="BQ34" s="128">
        <f>IFERROR(SUM($DM34:$DO34),)</f>
        <v/>
      </c>
      <c r="BR34" s="128">
        <f>IFERROR(SUM($DP34:$DR34),)</f>
        <v/>
      </c>
      <c r="BS34" s="128">
        <f>IFERROR(SUM($DS34:$DU34),)</f>
        <v/>
      </c>
      <c r="BT34" s="128">
        <f>IFERROR(AI34*$W34,)</f>
        <v/>
      </c>
      <c r="BU34" s="128">
        <f>IFERROR(AJ34*$W34,)</f>
        <v/>
      </c>
      <c r="BV34" s="128">
        <f>IFERROR(AK34*$W34,)</f>
        <v/>
      </c>
      <c r="BW34" s="128">
        <f>IFERROR(AL34*$W34,)</f>
        <v/>
      </c>
      <c r="BX34" s="128">
        <f>IFERROR(AM34*$W34,)</f>
        <v/>
      </c>
      <c r="BY34" s="128">
        <f>IFERROR(AN34*$W34,)</f>
        <v/>
      </c>
      <c r="BZ34" s="128">
        <f>IFERROR(AO34*$W34,)</f>
        <v/>
      </c>
      <c r="CA34" s="128">
        <f>IFERROR(AP34*$W34,)</f>
        <v/>
      </c>
      <c r="CB34" s="128">
        <f>IFERROR(AQ34*$W34,)</f>
        <v/>
      </c>
      <c r="CC34" s="128">
        <f>IFERROR(AR34*$W34,)</f>
        <v/>
      </c>
      <c r="CD34" s="128">
        <f>IFERROR(AS34*$W34,)</f>
        <v/>
      </c>
      <c r="CE34" s="128">
        <f>IFERROR(AT34*$W34,)</f>
        <v/>
      </c>
      <c r="CF34" s="128">
        <f>IFERROR(AU34*$W34,)</f>
        <v/>
      </c>
      <c r="CG34" s="128">
        <f>IFERROR(AV34*$W34,)</f>
        <v/>
      </c>
      <c r="CH34" s="128">
        <f>IFERROR(AW34*$W34,)</f>
        <v/>
      </c>
      <c r="CI34" s="128">
        <f>IFERROR(AX34*$W34,)</f>
        <v/>
      </c>
      <c r="CJ34" s="128">
        <f>IFERROR(AY34*$W34,)</f>
        <v/>
      </c>
      <c r="CK34" s="128">
        <f>IFERROR(AZ34*$W34,)</f>
        <v/>
      </c>
      <c r="CL34" s="129">
        <f>IFERROR(if($Y34=0,BA34*($W34/1.2),BA34*$Y34),"")</f>
        <v/>
      </c>
      <c r="CM34" s="129">
        <f>IFERROR(if($Y34=0,BB34*($W34/1.2),BB34*$Y34),"")</f>
        <v/>
      </c>
      <c r="CN34" s="129">
        <f>IFERROR(if($Y34=0,BC34*($W34/1.2),BC34*$Y34),"")</f>
        <v/>
      </c>
      <c r="CO34" s="130">
        <f>IFERROR(if($AA34=0,($W34/1.35)*BD34,BD34*$AA34),)</f>
        <v/>
      </c>
      <c r="CP34" s="130">
        <f>IFERROR(if($AA34=0,($W34/1.35)*BE34,BE34*$AA34),)</f>
        <v/>
      </c>
      <c r="CQ34" s="130">
        <f>IFERROR(if($AA34=0,($W34/1.35)*BF34,BF34*$AA34),)</f>
        <v/>
      </c>
      <c r="CR34" s="128">
        <f>IFERROR(if($AC34=0,($W34/0.74)*BG34,
BG34*$AC34),)</f>
        <v/>
      </c>
      <c r="CS34" s="128">
        <f>IFERROR(if($AC34=0,($W34/0.74)*BH34,
BH34*$AC34),)</f>
        <v/>
      </c>
      <c r="CT34" s="128">
        <f>IFERROR(if($AC34=0,($W34/0.74)*BI34,
BI34*$AC34),)</f>
        <v/>
      </c>
      <c r="CU34" s="128">
        <f>IFERROR(AI34*$V34,)</f>
        <v/>
      </c>
      <c r="CV34" s="128">
        <f>IFERROR(AJ34*$V34,)</f>
        <v/>
      </c>
      <c r="CW34" s="128">
        <f>IFERROR(AK34*$V34,)</f>
        <v/>
      </c>
      <c r="CX34" s="128">
        <f>IFERROR(AL34*$V34,)</f>
        <v/>
      </c>
      <c r="CY34" s="128">
        <f>IFERROR(AM34*$V34,)</f>
        <v/>
      </c>
      <c r="CZ34" s="128">
        <f>IFERROR(AN34*$V34,)</f>
        <v/>
      </c>
      <c r="DA34" s="128">
        <f>IFERROR(AO34*$V34,)</f>
        <v/>
      </c>
      <c r="DB34" s="128">
        <f>IFERROR(AP34*$V34,)</f>
        <v/>
      </c>
      <c r="DC34" s="128">
        <f>IFERROR(AQ34*$V34,)</f>
        <v/>
      </c>
      <c r="DD34" s="128">
        <f>IFERROR(AR34*$V34,)</f>
        <v/>
      </c>
      <c r="DE34" s="128">
        <f>IFERROR(AS34*$V34,)</f>
        <v/>
      </c>
      <c r="DF34" s="128">
        <f>IFERROR(AT34*$V34,)</f>
        <v/>
      </c>
      <c r="DG34" s="128">
        <f>IFERROR(AU34*$V34,)</f>
        <v/>
      </c>
      <c r="DH34" s="128">
        <f>IFERROR(AV34*$V34,)</f>
        <v/>
      </c>
      <c r="DI34" s="128">
        <f>IFERROR(AW34*$V34,)</f>
        <v/>
      </c>
      <c r="DJ34" s="128">
        <f>IFERROR(AX34*$V34,)</f>
        <v/>
      </c>
      <c r="DK34" s="128">
        <f>IFERROR(AY34*$V34,)</f>
        <v/>
      </c>
      <c r="DL34" s="128">
        <f>IFERROR(AZ34*$V34,)</f>
        <v/>
      </c>
      <c r="DM34" s="129">
        <f>IFERROR(if($X34=0,($V34/1.2)*BA34,
BA34*$X34),)</f>
        <v/>
      </c>
      <c r="DN34" s="129">
        <f>IFERROR(if($X34=0,($V34/1.2)*BB34,
BB34*$X34),)</f>
        <v/>
      </c>
      <c r="DO34" s="129">
        <f>IFERROR(if($X34=0,($V34/1.2)*BC34,
BC34*$X34),)</f>
        <v/>
      </c>
      <c r="DP34" s="130">
        <f>IFERROR(if($Z34=0,($V34/1.35)*BD34,
BD34*$Z34),)</f>
        <v/>
      </c>
      <c r="DQ34" s="130">
        <f>IFERROR(if($Z34=0,($V34/1.35)*BE34,
BE34*$Z34),)</f>
        <v/>
      </c>
      <c r="DR34" s="130">
        <f>IFERROR(if($Z34=0,($V34/1.35)*BF34,
BF34*$Z34),)</f>
        <v/>
      </c>
      <c r="DS34" s="128">
        <f>IFERROR(IF($AB34=0,($V34/0.74)*BG34,
BG34*$AB34),)</f>
        <v/>
      </c>
      <c r="DT34" s="128">
        <f>IFERROR(IF($AB34=0,($V34/0.74)*BH34,
BH34*$AB34),)</f>
        <v/>
      </c>
      <c r="DU34" s="128">
        <f>IFERROR(IF($AB34=0,($V34/0.74)*BI34,
BI34*$AB34),)</f>
        <v/>
      </c>
    </row>
    <row r="35" ht="60" customHeight="1" s="162">
      <c r="A35" s="115" t="n"/>
      <c r="B35" s="115" t="n"/>
      <c r="C35" s="115" t="n"/>
      <c r="D35" s="115" t="n"/>
      <c r="E35" s="115" t="n"/>
      <c r="F35" s="115" t="n"/>
      <c r="G35" s="115" t="n"/>
      <c r="H35" s="115" t="n"/>
      <c r="I35" s="115" t="n"/>
      <c r="J35" s="115" t="n"/>
      <c r="K35" s="115" t="n"/>
      <c r="L35" s="115" t="n"/>
      <c r="M35" s="115" t="n"/>
      <c r="N35" s="115" t="n"/>
      <c r="O35" s="115" t="n"/>
      <c r="P35" s="115" t="n"/>
      <c r="Q35" s="115" t="n"/>
      <c r="R35" s="115" t="n"/>
      <c r="S35" s="115" t="n"/>
      <c r="T35" s="115" t="n"/>
      <c r="U35" s="116" t="n"/>
      <c r="V35" s="116" t="n"/>
      <c r="W35" s="117" t="n"/>
      <c r="X35" s="118" t="n"/>
      <c r="Y35" s="119" t="n"/>
      <c r="Z35" s="120" t="n"/>
      <c r="AA35" s="121" t="n"/>
      <c r="AB35" s="122" t="n"/>
      <c r="AC35" s="117" t="n"/>
      <c r="AD35" s="123">
        <f>IF(SUM($AE35:$AH35)=0,"",SUM($AE35:$AH35))</f>
        <v/>
      </c>
      <c r="AE35" s="123">
        <f>iferror(IF(SUM($AI35:$AZ35)=0,"",SUM($AI35:$AZ35)),"")</f>
        <v/>
      </c>
      <c r="AF35" s="123">
        <f>iferror(IF(SUM($BA35:$BC35)=0,"",SUM($BA35:$BC35)),"")</f>
        <v/>
      </c>
      <c r="AG35" s="123">
        <f>iferror(IF(SUM($BD35:$BF35)=0,"",SUM($BD35:$BF35)),"")</f>
        <v/>
      </c>
      <c r="AH35" s="124">
        <f>iferror(IF(SUM($BG35:$BI35)=0,"",SUM($BG35:$BI35)),"")</f>
        <v/>
      </c>
      <c r="AI35" s="131" t="n"/>
      <c r="AJ35" s="132" t="n"/>
      <c r="AK35" s="132" t="n"/>
      <c r="AL35" s="132" t="n"/>
      <c r="AM35" s="132" t="n"/>
      <c r="AN35" s="132" t="n"/>
      <c r="AO35" s="132" t="n"/>
      <c r="AP35" s="132" t="n"/>
      <c r="AQ35" s="132" t="n"/>
      <c r="AR35" s="132" t="n"/>
      <c r="AS35" s="132" t="n"/>
      <c r="AT35" s="132" t="n"/>
      <c r="AU35" s="132" t="n"/>
      <c r="AV35" s="132" t="n"/>
      <c r="AW35" s="132" t="n"/>
      <c r="AX35" s="132" t="n"/>
      <c r="AY35" s="132" t="n"/>
      <c r="AZ35" s="133" t="n"/>
      <c r="BA35" s="131" t="n"/>
      <c r="BB35" s="132" t="n"/>
      <c r="BC35" s="133" t="n"/>
      <c r="BD35" s="131" t="n"/>
      <c r="BE35" s="132" t="n"/>
      <c r="BF35" s="133" t="n"/>
      <c r="BG35" s="131" t="n"/>
      <c r="BH35" s="132" t="n"/>
      <c r="BI35" s="132" t="n"/>
      <c r="BJ35" s="128">
        <f>iferror(SUM($BK35,($BL35*1.2),($BM35*1.35),($BN35*0.74)),)</f>
        <v/>
      </c>
      <c r="BK35" s="128">
        <f>IFERROR(SUM($BT35:$CK35),)</f>
        <v/>
      </c>
      <c r="BL35" s="129">
        <f>IFERROR(SUM($CL35:$CN35),)</f>
        <v/>
      </c>
      <c r="BM35" s="130">
        <f>IFERROR(SUM($CO35:$CQ35),)</f>
        <v/>
      </c>
      <c r="BN35" s="128">
        <f>IFERROR(SUM($CR35:$CT35),)</f>
        <v/>
      </c>
      <c r="BO35" s="128">
        <f>iferror(SUM($BP35,($BQ35*1.2),($BR35*1.35),($BS35*0.74)),)</f>
        <v/>
      </c>
      <c r="BP35" s="128">
        <f>IFERROR(SUM($CU35:$DL35),)</f>
        <v/>
      </c>
      <c r="BQ35" s="128">
        <f>IFERROR(SUM($DM35:$DO35),)</f>
        <v/>
      </c>
      <c r="BR35" s="128">
        <f>IFERROR(SUM($DP35:$DR35),)</f>
        <v/>
      </c>
      <c r="BS35" s="128">
        <f>IFERROR(SUM($DS35:$DU35),)</f>
        <v/>
      </c>
      <c r="BT35" s="128">
        <f>IFERROR(AI35*$W35,)</f>
        <v/>
      </c>
      <c r="BU35" s="128">
        <f>IFERROR(AJ35*$W35,)</f>
        <v/>
      </c>
      <c r="BV35" s="128">
        <f>IFERROR(AK35*$W35,)</f>
        <v/>
      </c>
      <c r="BW35" s="128">
        <f>IFERROR(AL35*$W35,)</f>
        <v/>
      </c>
      <c r="BX35" s="128">
        <f>IFERROR(AM35*$W35,)</f>
        <v/>
      </c>
      <c r="BY35" s="128">
        <f>IFERROR(AN35*$W35,)</f>
        <v/>
      </c>
      <c r="BZ35" s="128">
        <f>IFERROR(AO35*$W35,)</f>
        <v/>
      </c>
      <c r="CA35" s="128">
        <f>IFERROR(AP35*$W35,)</f>
        <v/>
      </c>
      <c r="CB35" s="128">
        <f>IFERROR(AQ35*$W35,)</f>
        <v/>
      </c>
      <c r="CC35" s="128">
        <f>IFERROR(AR35*$W35,)</f>
        <v/>
      </c>
      <c r="CD35" s="128">
        <f>IFERROR(AS35*$W35,)</f>
        <v/>
      </c>
      <c r="CE35" s="128">
        <f>IFERROR(AT35*$W35,)</f>
        <v/>
      </c>
      <c r="CF35" s="128">
        <f>IFERROR(AU35*$W35,)</f>
        <v/>
      </c>
      <c r="CG35" s="128">
        <f>IFERROR(AV35*$W35,)</f>
        <v/>
      </c>
      <c r="CH35" s="128">
        <f>IFERROR(AW35*$W35,)</f>
        <v/>
      </c>
      <c r="CI35" s="128">
        <f>IFERROR(AX35*$W35,)</f>
        <v/>
      </c>
      <c r="CJ35" s="128">
        <f>IFERROR(AY35*$W35,)</f>
        <v/>
      </c>
      <c r="CK35" s="128">
        <f>IFERROR(AZ35*$W35,)</f>
        <v/>
      </c>
      <c r="CL35" s="129">
        <f>IFERROR(if($Y35=0,BA35*($W35/1.2),BA35*$Y35),"")</f>
        <v/>
      </c>
      <c r="CM35" s="129">
        <f>IFERROR(if($Y35=0,BB35*($W35/1.2),BB35*$Y35),"")</f>
        <v/>
      </c>
      <c r="CN35" s="129">
        <f>IFERROR(if($Y35=0,BC35*($W35/1.2),BC35*$Y35),"")</f>
        <v/>
      </c>
      <c r="CO35" s="130">
        <f>IFERROR(if($AA35=0,($W35/1.35)*BD35,BD35*$AA35),)</f>
        <v/>
      </c>
      <c r="CP35" s="130">
        <f>IFERROR(if($AA35=0,($W35/1.35)*BE35,BE35*$AA35),)</f>
        <v/>
      </c>
      <c r="CQ35" s="130">
        <f>IFERROR(if($AA35=0,($W35/1.35)*BF35,BF35*$AA35),)</f>
        <v/>
      </c>
      <c r="CR35" s="128">
        <f>IFERROR(if($AC35=0,($W35/0.74)*BG35,
BG35*$AC35),)</f>
        <v/>
      </c>
      <c r="CS35" s="128">
        <f>IFERROR(if($AC35=0,($W35/0.74)*BH35,
BH35*$AC35),)</f>
        <v/>
      </c>
      <c r="CT35" s="128">
        <f>IFERROR(if($AC35=0,($W35/0.74)*BI35,
BI35*$AC35),)</f>
        <v/>
      </c>
      <c r="CU35" s="128">
        <f>IFERROR(AI35*$V35,)</f>
        <v/>
      </c>
      <c r="CV35" s="128">
        <f>IFERROR(AJ35*$V35,)</f>
        <v/>
      </c>
      <c r="CW35" s="128">
        <f>IFERROR(AK35*$V35,)</f>
        <v/>
      </c>
      <c r="CX35" s="128">
        <f>IFERROR(AL35*$V35,)</f>
        <v/>
      </c>
      <c r="CY35" s="128">
        <f>IFERROR(AM35*$V35,)</f>
        <v/>
      </c>
      <c r="CZ35" s="128">
        <f>IFERROR(AN35*$V35,)</f>
        <v/>
      </c>
      <c r="DA35" s="128">
        <f>IFERROR(AO35*$V35,)</f>
        <v/>
      </c>
      <c r="DB35" s="128">
        <f>IFERROR(AP35*$V35,)</f>
        <v/>
      </c>
      <c r="DC35" s="128">
        <f>IFERROR(AQ35*$V35,)</f>
        <v/>
      </c>
      <c r="DD35" s="128">
        <f>IFERROR(AR35*$V35,)</f>
        <v/>
      </c>
      <c r="DE35" s="128">
        <f>IFERROR(AS35*$V35,)</f>
        <v/>
      </c>
      <c r="DF35" s="128">
        <f>IFERROR(AT35*$V35,)</f>
        <v/>
      </c>
      <c r="DG35" s="128">
        <f>IFERROR(AU35*$V35,)</f>
        <v/>
      </c>
      <c r="DH35" s="128">
        <f>IFERROR(AV35*$V35,)</f>
        <v/>
      </c>
      <c r="DI35" s="128">
        <f>IFERROR(AW35*$V35,)</f>
        <v/>
      </c>
      <c r="DJ35" s="128">
        <f>IFERROR(AX35*$V35,)</f>
        <v/>
      </c>
      <c r="DK35" s="128">
        <f>IFERROR(AY35*$V35,)</f>
        <v/>
      </c>
      <c r="DL35" s="128">
        <f>IFERROR(AZ35*$V35,)</f>
        <v/>
      </c>
      <c r="DM35" s="129">
        <f>IFERROR(if($X35=0,($V35/1.2)*BA35,
BA35*$X35),)</f>
        <v/>
      </c>
      <c r="DN35" s="129">
        <f>IFERROR(if($X35=0,($V35/1.2)*BB35,
BB35*$X35),)</f>
        <v/>
      </c>
      <c r="DO35" s="129">
        <f>IFERROR(if($X35=0,($V35/1.2)*BC35,
BC35*$X35),)</f>
        <v/>
      </c>
      <c r="DP35" s="130">
        <f>IFERROR(if($Z35=0,($V35/1.35)*BD35,
BD35*$Z35),)</f>
        <v/>
      </c>
      <c r="DQ35" s="130">
        <f>IFERROR(if($Z35=0,($V35/1.35)*BE35,
BE35*$Z35),)</f>
        <v/>
      </c>
      <c r="DR35" s="130">
        <f>IFERROR(if($Z35=0,($V35/1.35)*BF35,
BF35*$Z35),)</f>
        <v/>
      </c>
      <c r="DS35" s="128">
        <f>IFERROR(IF($AB35=0,($V35/0.74)*BG35,
BG35*$AB35),)</f>
        <v/>
      </c>
      <c r="DT35" s="128">
        <f>IFERROR(IF($AB35=0,($V35/0.74)*BH35,
BH35*$AB35),)</f>
        <v/>
      </c>
      <c r="DU35" s="128">
        <f>IFERROR(IF($AB35=0,($V35/0.74)*BI35,
BI35*$AB35),)</f>
        <v/>
      </c>
    </row>
    <row r="36" ht="60" customHeight="1" s="162">
      <c r="A36" s="115" t="n"/>
      <c r="B36" s="115" t="n"/>
      <c r="C36" s="115" t="n"/>
      <c r="D36" s="115" t="n"/>
      <c r="E36" s="115" t="n"/>
      <c r="F36" s="115" t="n"/>
      <c r="G36" s="115" t="n"/>
      <c r="H36" s="115" t="n"/>
      <c r="I36" s="115" t="n"/>
      <c r="J36" s="115" t="n"/>
      <c r="K36" s="115" t="n"/>
      <c r="L36" s="115" t="n"/>
      <c r="M36" s="115" t="n"/>
      <c r="N36" s="115" t="n"/>
      <c r="O36" s="115" t="n"/>
      <c r="P36" s="115" t="n"/>
      <c r="Q36" s="115" t="n"/>
      <c r="R36" s="115" t="n"/>
      <c r="S36" s="115" t="n"/>
      <c r="T36" s="115" t="n"/>
      <c r="U36" s="116" t="n"/>
      <c r="V36" s="116" t="n"/>
      <c r="W36" s="117" t="n"/>
      <c r="X36" s="118" t="n"/>
      <c r="Y36" s="119" t="n"/>
      <c r="Z36" s="120" t="n"/>
      <c r="AA36" s="121" t="n"/>
      <c r="AB36" s="122" t="n"/>
      <c r="AC36" s="117" t="n"/>
      <c r="AD36" s="123">
        <f>IF(SUM($AE36:$AH36)=0,"",SUM($AE36:$AH36))</f>
        <v/>
      </c>
      <c r="AE36" s="123">
        <f>iferror(IF(SUM($AI36:$AZ36)=0,"",SUM($AI36:$AZ36)),"")</f>
        <v/>
      </c>
      <c r="AF36" s="123">
        <f>iferror(IF(SUM($BA36:$BC36)=0,"",SUM($BA36:$BC36)),"")</f>
        <v/>
      </c>
      <c r="AG36" s="123">
        <f>iferror(IF(SUM($BD36:$BF36)=0,"",SUM($BD36:$BF36)),"")</f>
        <v/>
      </c>
      <c r="AH36" s="124">
        <f>iferror(IF(SUM($BG36:$BI36)=0,"",SUM($BG36:$BI36)),"")</f>
        <v/>
      </c>
      <c r="AI36" s="131" t="n"/>
      <c r="AJ36" s="132" t="n"/>
      <c r="AK36" s="132" t="n"/>
      <c r="AL36" s="132" t="n"/>
      <c r="AM36" s="132" t="n"/>
      <c r="AN36" s="132" t="n"/>
      <c r="AO36" s="132" t="n"/>
      <c r="AP36" s="132" t="n"/>
      <c r="AQ36" s="132" t="n"/>
      <c r="AR36" s="132" t="n"/>
      <c r="AS36" s="132" t="n"/>
      <c r="AT36" s="132" t="n"/>
      <c r="AU36" s="132" t="n"/>
      <c r="AV36" s="132" t="n"/>
      <c r="AW36" s="132" t="n"/>
      <c r="AX36" s="132" t="n"/>
      <c r="AY36" s="132" t="n"/>
      <c r="AZ36" s="133" t="n"/>
      <c r="BA36" s="131" t="n"/>
      <c r="BB36" s="132" t="n"/>
      <c r="BC36" s="133" t="n"/>
      <c r="BD36" s="131" t="n"/>
      <c r="BE36" s="132" t="n"/>
      <c r="BF36" s="133" t="n"/>
      <c r="BG36" s="131" t="n"/>
      <c r="BH36" s="132" t="n"/>
      <c r="BI36" s="132" t="n"/>
      <c r="BJ36" s="128">
        <f>iferror(SUM($BK36,($BL36*1.2),($BM36*1.35),($BN36*0.74)),)</f>
        <v/>
      </c>
      <c r="BK36" s="128">
        <f>IFERROR(SUM($BT36:$CK36),)</f>
        <v/>
      </c>
      <c r="BL36" s="129">
        <f>IFERROR(SUM($CL36:$CN36),)</f>
        <v/>
      </c>
      <c r="BM36" s="130">
        <f>IFERROR(SUM($CO36:$CQ36),)</f>
        <v/>
      </c>
      <c r="BN36" s="128">
        <f>IFERROR(SUM($CR36:$CT36),)</f>
        <v/>
      </c>
      <c r="BO36" s="128">
        <f>iferror(SUM($BP36,($BQ36*1.2),($BR36*1.35),($BS36*0.74)),)</f>
        <v/>
      </c>
      <c r="BP36" s="128">
        <f>IFERROR(SUM($CU36:$DL36),)</f>
        <v/>
      </c>
      <c r="BQ36" s="128">
        <f>IFERROR(SUM($DM36:$DO36),)</f>
        <v/>
      </c>
      <c r="BR36" s="128">
        <f>IFERROR(SUM($DP36:$DR36),)</f>
        <v/>
      </c>
      <c r="BS36" s="128">
        <f>IFERROR(SUM($DS36:$DU36),)</f>
        <v/>
      </c>
      <c r="BT36" s="128">
        <f>IFERROR(AI36*$W36,)</f>
        <v/>
      </c>
      <c r="BU36" s="128">
        <f>IFERROR(AJ36*$W36,)</f>
        <v/>
      </c>
      <c r="BV36" s="128">
        <f>IFERROR(AK36*$W36,)</f>
        <v/>
      </c>
      <c r="BW36" s="128">
        <f>IFERROR(AL36*$W36,)</f>
        <v/>
      </c>
      <c r="BX36" s="128">
        <f>IFERROR(AM36*$W36,)</f>
        <v/>
      </c>
      <c r="BY36" s="128">
        <f>IFERROR(AN36*$W36,)</f>
        <v/>
      </c>
      <c r="BZ36" s="128">
        <f>IFERROR(AO36*$W36,)</f>
        <v/>
      </c>
      <c r="CA36" s="128">
        <f>IFERROR(AP36*$W36,)</f>
        <v/>
      </c>
      <c r="CB36" s="128">
        <f>IFERROR(AQ36*$W36,)</f>
        <v/>
      </c>
      <c r="CC36" s="128">
        <f>IFERROR(AR36*$W36,)</f>
        <v/>
      </c>
      <c r="CD36" s="128">
        <f>IFERROR(AS36*$W36,)</f>
        <v/>
      </c>
      <c r="CE36" s="128">
        <f>IFERROR(AT36*$W36,)</f>
        <v/>
      </c>
      <c r="CF36" s="128">
        <f>IFERROR(AU36*$W36,)</f>
        <v/>
      </c>
      <c r="CG36" s="128">
        <f>IFERROR(AV36*$W36,)</f>
        <v/>
      </c>
      <c r="CH36" s="128">
        <f>IFERROR(AW36*$W36,)</f>
        <v/>
      </c>
      <c r="CI36" s="128">
        <f>IFERROR(AX36*$W36,)</f>
        <v/>
      </c>
      <c r="CJ36" s="128">
        <f>IFERROR(AY36*$W36,)</f>
        <v/>
      </c>
      <c r="CK36" s="128">
        <f>IFERROR(AZ36*$W36,)</f>
        <v/>
      </c>
      <c r="CL36" s="129">
        <f>IFERROR(if($Y36=0,BA36*($W36/1.2),BA36*$Y36),"")</f>
        <v/>
      </c>
      <c r="CM36" s="129">
        <f>IFERROR(if($Y36=0,BB36*($W36/1.2),BB36*$Y36),"")</f>
        <v/>
      </c>
      <c r="CN36" s="129">
        <f>IFERROR(if($Y36=0,BC36*($W36/1.2),BC36*$Y36),"")</f>
        <v/>
      </c>
      <c r="CO36" s="130">
        <f>IFERROR(if($AA36=0,($W36/1.35)*BD36,BD36*$AA36),)</f>
        <v/>
      </c>
      <c r="CP36" s="130">
        <f>IFERROR(if($AA36=0,($W36/1.35)*BE36,BE36*$AA36),)</f>
        <v/>
      </c>
      <c r="CQ36" s="130">
        <f>IFERROR(if($AA36=0,($W36/1.35)*BF36,BF36*$AA36),)</f>
        <v/>
      </c>
      <c r="CR36" s="128">
        <f>IFERROR(if($AC36=0,($W36/0.74)*BG36,
BG36*$AC36),)</f>
        <v/>
      </c>
      <c r="CS36" s="128">
        <f>IFERROR(if($AC36=0,($W36/0.74)*BH36,
BH36*$AC36),)</f>
        <v/>
      </c>
      <c r="CT36" s="128">
        <f>IFERROR(if($AC36=0,($W36/0.74)*BI36,
BI36*$AC36),)</f>
        <v/>
      </c>
      <c r="CU36" s="128">
        <f>IFERROR(AI36*$V36,)</f>
        <v/>
      </c>
      <c r="CV36" s="128">
        <f>IFERROR(AJ36*$V36,)</f>
        <v/>
      </c>
      <c r="CW36" s="128">
        <f>IFERROR(AK36*$V36,)</f>
        <v/>
      </c>
      <c r="CX36" s="128">
        <f>IFERROR(AL36*$V36,)</f>
        <v/>
      </c>
      <c r="CY36" s="128">
        <f>IFERROR(AM36*$V36,)</f>
        <v/>
      </c>
      <c r="CZ36" s="128">
        <f>IFERROR(AN36*$V36,)</f>
        <v/>
      </c>
      <c r="DA36" s="128">
        <f>IFERROR(AO36*$V36,)</f>
        <v/>
      </c>
      <c r="DB36" s="128">
        <f>IFERROR(AP36*$V36,)</f>
        <v/>
      </c>
      <c r="DC36" s="128">
        <f>IFERROR(AQ36*$V36,)</f>
        <v/>
      </c>
      <c r="DD36" s="128">
        <f>IFERROR(AR36*$V36,)</f>
        <v/>
      </c>
      <c r="DE36" s="128">
        <f>IFERROR(AS36*$V36,)</f>
        <v/>
      </c>
      <c r="DF36" s="128">
        <f>IFERROR(AT36*$V36,)</f>
        <v/>
      </c>
      <c r="DG36" s="128">
        <f>IFERROR(AU36*$V36,)</f>
        <v/>
      </c>
      <c r="DH36" s="128">
        <f>IFERROR(AV36*$V36,)</f>
        <v/>
      </c>
      <c r="DI36" s="128">
        <f>IFERROR(AW36*$V36,)</f>
        <v/>
      </c>
      <c r="DJ36" s="128">
        <f>IFERROR(AX36*$V36,)</f>
        <v/>
      </c>
      <c r="DK36" s="128">
        <f>IFERROR(AY36*$V36,)</f>
        <v/>
      </c>
      <c r="DL36" s="128">
        <f>IFERROR(AZ36*$V36,)</f>
        <v/>
      </c>
      <c r="DM36" s="129">
        <f>IFERROR(if($X36=0,($V36/1.2)*BA36,
BA36*$X36),)</f>
        <v/>
      </c>
      <c r="DN36" s="129">
        <f>IFERROR(if($X36=0,($V36/1.2)*BB36,
BB36*$X36),)</f>
        <v/>
      </c>
      <c r="DO36" s="129">
        <f>IFERROR(if($X36=0,($V36/1.2)*BC36,
BC36*$X36),)</f>
        <v/>
      </c>
      <c r="DP36" s="130">
        <f>IFERROR(if($Z36=0,($V36/1.35)*BD36,
BD36*$Z36),)</f>
        <v/>
      </c>
      <c r="DQ36" s="130">
        <f>IFERROR(if($Z36=0,($V36/1.35)*BE36,
BE36*$Z36),)</f>
        <v/>
      </c>
      <c r="DR36" s="130">
        <f>IFERROR(if($Z36=0,($V36/1.35)*BF36,
BF36*$Z36),)</f>
        <v/>
      </c>
      <c r="DS36" s="128">
        <f>IFERROR(IF($AB36=0,($V36/0.74)*BG36,
BG36*$AB36),)</f>
        <v/>
      </c>
      <c r="DT36" s="128">
        <f>IFERROR(IF($AB36=0,($V36/0.74)*BH36,
BH36*$AB36),)</f>
        <v/>
      </c>
      <c r="DU36" s="128">
        <f>IFERROR(IF($AB36=0,($V36/0.74)*BI36,
BI36*$AB36),)</f>
        <v/>
      </c>
    </row>
    <row r="37" ht="60" customHeight="1" s="162">
      <c r="A37" s="115" t="n"/>
      <c r="B37" s="115" t="n"/>
      <c r="C37" s="115" t="n"/>
      <c r="D37" s="115" t="n"/>
      <c r="E37" s="115" t="n"/>
      <c r="F37" s="115" t="n"/>
      <c r="G37" s="115" t="n"/>
      <c r="H37" s="115" t="n"/>
      <c r="I37" s="115" t="n"/>
      <c r="J37" s="115" t="n"/>
      <c r="K37" s="115" t="n"/>
      <c r="L37" s="115" t="n"/>
      <c r="M37" s="115" t="n"/>
      <c r="N37" s="115" t="n"/>
      <c r="O37" s="115" t="n"/>
      <c r="P37" s="115" t="n"/>
      <c r="Q37" s="115" t="n"/>
      <c r="R37" s="115" t="n"/>
      <c r="S37" s="115" t="n"/>
      <c r="T37" s="115" t="n"/>
      <c r="U37" s="116" t="n"/>
      <c r="V37" s="116" t="n"/>
      <c r="W37" s="117" t="n"/>
      <c r="X37" s="118" t="n"/>
      <c r="Y37" s="119" t="n"/>
      <c r="Z37" s="120" t="n"/>
      <c r="AA37" s="121" t="n"/>
      <c r="AB37" s="122" t="n"/>
      <c r="AC37" s="117" t="n"/>
      <c r="AD37" s="123">
        <f>IF(SUM($AE37:$AH37)=0,"",SUM($AE37:$AH37))</f>
        <v/>
      </c>
      <c r="AE37" s="123">
        <f>iferror(IF(SUM($AI37:$AZ37)=0,"",SUM($AI37:$AZ37)),"")</f>
        <v/>
      </c>
      <c r="AF37" s="123">
        <f>iferror(IF(SUM($BA37:$BC37)=0,"",SUM($BA37:$BC37)),"")</f>
        <v/>
      </c>
      <c r="AG37" s="123">
        <f>iferror(IF(SUM($BD37:$BF37)=0,"",SUM($BD37:$BF37)),"")</f>
        <v/>
      </c>
      <c r="AH37" s="124">
        <f>iferror(IF(SUM($BG37:$BI37)=0,"",SUM($BG37:$BI37)),"")</f>
        <v/>
      </c>
      <c r="AI37" s="131" t="n"/>
      <c r="AJ37" s="132" t="n"/>
      <c r="AK37" s="132" t="n"/>
      <c r="AL37" s="132" t="n"/>
      <c r="AM37" s="132" t="n"/>
      <c r="AN37" s="132" t="n"/>
      <c r="AO37" s="132" t="n"/>
      <c r="AP37" s="132" t="n"/>
      <c r="AQ37" s="132" t="n"/>
      <c r="AR37" s="132" t="n"/>
      <c r="AS37" s="132" t="n"/>
      <c r="AT37" s="132" t="n"/>
      <c r="AU37" s="132" t="n"/>
      <c r="AV37" s="132" t="n"/>
      <c r="AW37" s="132" t="n"/>
      <c r="AX37" s="132" t="n"/>
      <c r="AY37" s="132" t="n"/>
      <c r="AZ37" s="133" t="n"/>
      <c r="BA37" s="131" t="n"/>
      <c r="BB37" s="132" t="n"/>
      <c r="BC37" s="133" t="n"/>
      <c r="BD37" s="131" t="n"/>
      <c r="BE37" s="132" t="n"/>
      <c r="BF37" s="133" t="n"/>
      <c r="BG37" s="131" t="n"/>
      <c r="BH37" s="132" t="n"/>
      <c r="BI37" s="132" t="n"/>
      <c r="BJ37" s="128">
        <f>iferror(SUM($BK37,($BL37*1.2),($BM37*1.35),($BN37*0.74)),)</f>
        <v/>
      </c>
      <c r="BK37" s="128">
        <f>IFERROR(SUM($BT37:$CK37),)</f>
        <v/>
      </c>
      <c r="BL37" s="129">
        <f>IFERROR(SUM($CL37:$CN37),)</f>
        <v/>
      </c>
      <c r="BM37" s="130">
        <f>IFERROR(SUM($CO37:$CQ37),)</f>
        <v/>
      </c>
      <c r="BN37" s="128">
        <f>IFERROR(SUM($CR37:$CT37),)</f>
        <v/>
      </c>
      <c r="BO37" s="128">
        <f>iferror(SUM($BP37,($BQ37*1.2),($BR37*1.35),($BS37*0.74)),)</f>
        <v/>
      </c>
      <c r="BP37" s="128">
        <f>IFERROR(SUM($CU37:$DL37),)</f>
        <v/>
      </c>
      <c r="BQ37" s="128">
        <f>IFERROR(SUM($DM37:$DO37),)</f>
        <v/>
      </c>
      <c r="BR37" s="128">
        <f>IFERROR(SUM($DP37:$DR37),)</f>
        <v/>
      </c>
      <c r="BS37" s="128">
        <f>IFERROR(SUM($DS37:$DU37),)</f>
        <v/>
      </c>
      <c r="BT37" s="128">
        <f>IFERROR(AI37*$W37,)</f>
        <v/>
      </c>
      <c r="BU37" s="128">
        <f>IFERROR(AJ37*$W37,)</f>
        <v/>
      </c>
      <c r="BV37" s="128">
        <f>IFERROR(AK37*$W37,)</f>
        <v/>
      </c>
      <c r="BW37" s="128">
        <f>IFERROR(AL37*$W37,)</f>
        <v/>
      </c>
      <c r="BX37" s="128">
        <f>IFERROR(AM37*$W37,)</f>
        <v/>
      </c>
      <c r="BY37" s="128">
        <f>IFERROR(AN37*$W37,)</f>
        <v/>
      </c>
      <c r="BZ37" s="128">
        <f>IFERROR(AO37*$W37,)</f>
        <v/>
      </c>
      <c r="CA37" s="128">
        <f>IFERROR(AP37*$W37,)</f>
        <v/>
      </c>
      <c r="CB37" s="128">
        <f>IFERROR(AQ37*$W37,)</f>
        <v/>
      </c>
      <c r="CC37" s="128">
        <f>IFERROR(AR37*$W37,)</f>
        <v/>
      </c>
      <c r="CD37" s="128">
        <f>IFERROR(AS37*$W37,)</f>
        <v/>
      </c>
      <c r="CE37" s="128">
        <f>IFERROR(AT37*$W37,)</f>
        <v/>
      </c>
      <c r="CF37" s="128">
        <f>IFERROR(AU37*$W37,)</f>
        <v/>
      </c>
      <c r="CG37" s="128">
        <f>IFERROR(AV37*$W37,)</f>
        <v/>
      </c>
      <c r="CH37" s="128">
        <f>IFERROR(AW37*$W37,)</f>
        <v/>
      </c>
      <c r="CI37" s="128">
        <f>IFERROR(AX37*$W37,)</f>
        <v/>
      </c>
      <c r="CJ37" s="128">
        <f>IFERROR(AY37*$W37,)</f>
        <v/>
      </c>
      <c r="CK37" s="128">
        <f>IFERROR(AZ37*$W37,)</f>
        <v/>
      </c>
      <c r="CL37" s="129">
        <f>IFERROR(if($Y37=0,BA37*($W37/1.2),BA37*$Y37),"")</f>
        <v/>
      </c>
      <c r="CM37" s="129">
        <f>IFERROR(if($Y37=0,BB37*($W37/1.2),BB37*$Y37),"")</f>
        <v/>
      </c>
      <c r="CN37" s="129">
        <f>IFERROR(if($Y37=0,BC37*($W37/1.2),BC37*$Y37),"")</f>
        <v/>
      </c>
      <c r="CO37" s="130">
        <f>IFERROR(if($AA37=0,($W37/1.35)*BD37,BD37*$AA37),)</f>
        <v/>
      </c>
      <c r="CP37" s="130">
        <f>IFERROR(if($AA37=0,($W37/1.35)*BE37,BE37*$AA37),)</f>
        <v/>
      </c>
      <c r="CQ37" s="130">
        <f>IFERROR(if($AA37=0,($W37/1.35)*BF37,BF37*$AA37),)</f>
        <v/>
      </c>
      <c r="CR37" s="128">
        <f>IFERROR(if($AC37=0,($W37/0.74)*BG37,
BG37*$AC37),)</f>
        <v/>
      </c>
      <c r="CS37" s="128">
        <f>IFERROR(if($AC37=0,($W37/0.74)*BH37,
BH37*$AC37),)</f>
        <v/>
      </c>
      <c r="CT37" s="128">
        <f>IFERROR(if($AC37=0,($W37/0.74)*BI37,
BI37*$AC37),)</f>
        <v/>
      </c>
      <c r="CU37" s="128">
        <f>IFERROR(AI37*$V37,)</f>
        <v/>
      </c>
      <c r="CV37" s="128">
        <f>IFERROR(AJ37*$V37,)</f>
        <v/>
      </c>
      <c r="CW37" s="128">
        <f>IFERROR(AK37*$V37,)</f>
        <v/>
      </c>
      <c r="CX37" s="128">
        <f>IFERROR(AL37*$V37,)</f>
        <v/>
      </c>
      <c r="CY37" s="128">
        <f>IFERROR(AM37*$V37,)</f>
        <v/>
      </c>
      <c r="CZ37" s="128">
        <f>IFERROR(AN37*$V37,)</f>
        <v/>
      </c>
      <c r="DA37" s="128">
        <f>IFERROR(AO37*$V37,)</f>
        <v/>
      </c>
      <c r="DB37" s="128">
        <f>IFERROR(AP37*$V37,)</f>
        <v/>
      </c>
      <c r="DC37" s="128">
        <f>IFERROR(AQ37*$V37,)</f>
        <v/>
      </c>
      <c r="DD37" s="128">
        <f>IFERROR(AR37*$V37,)</f>
        <v/>
      </c>
      <c r="DE37" s="128">
        <f>IFERROR(AS37*$V37,)</f>
        <v/>
      </c>
      <c r="DF37" s="128">
        <f>IFERROR(AT37*$V37,)</f>
        <v/>
      </c>
      <c r="DG37" s="128">
        <f>IFERROR(AU37*$V37,)</f>
        <v/>
      </c>
      <c r="DH37" s="128">
        <f>IFERROR(AV37*$V37,)</f>
        <v/>
      </c>
      <c r="DI37" s="128">
        <f>IFERROR(AW37*$V37,)</f>
        <v/>
      </c>
      <c r="DJ37" s="128">
        <f>IFERROR(AX37*$V37,)</f>
        <v/>
      </c>
      <c r="DK37" s="128">
        <f>IFERROR(AY37*$V37,)</f>
        <v/>
      </c>
      <c r="DL37" s="128">
        <f>IFERROR(AZ37*$V37,)</f>
        <v/>
      </c>
      <c r="DM37" s="129">
        <f>IFERROR(if($X37=0,($V37/1.2)*BA37,
BA37*$X37),)</f>
        <v/>
      </c>
      <c r="DN37" s="129">
        <f>IFERROR(if($X37=0,($V37/1.2)*BB37,
BB37*$X37),)</f>
        <v/>
      </c>
      <c r="DO37" s="129">
        <f>IFERROR(if($X37=0,($V37/1.2)*BC37,
BC37*$X37),)</f>
        <v/>
      </c>
      <c r="DP37" s="130">
        <f>IFERROR(if($Z37=0,($V37/1.35)*BD37,
BD37*$Z37),)</f>
        <v/>
      </c>
      <c r="DQ37" s="130">
        <f>IFERROR(if($Z37=0,($V37/1.35)*BE37,
BE37*$Z37),)</f>
        <v/>
      </c>
      <c r="DR37" s="130">
        <f>IFERROR(if($Z37=0,($V37/1.35)*BF37,
BF37*$Z37),)</f>
        <v/>
      </c>
      <c r="DS37" s="128">
        <f>IFERROR(IF($AB37=0,($V37/0.74)*BG37,
BG37*$AB37),)</f>
        <v/>
      </c>
      <c r="DT37" s="128">
        <f>IFERROR(IF($AB37=0,($V37/0.74)*BH37,
BH37*$AB37),)</f>
        <v/>
      </c>
      <c r="DU37" s="128">
        <f>IFERROR(IF($AB37=0,($V37/0.74)*BI37,
BI37*$AB37),)</f>
        <v/>
      </c>
    </row>
    <row r="38" ht="60" customHeight="1" s="162">
      <c r="A38" s="115" t="n"/>
      <c r="B38" s="115" t="n"/>
      <c r="C38" s="115" t="n"/>
      <c r="D38" s="115" t="n"/>
      <c r="E38" s="115" t="n"/>
      <c r="F38" s="115" t="n"/>
      <c r="G38" s="115" t="n"/>
      <c r="H38" s="115" t="n"/>
      <c r="I38" s="115" t="n"/>
      <c r="J38" s="115" t="n"/>
      <c r="K38" s="115" t="n"/>
      <c r="L38" s="115" t="n"/>
      <c r="M38" s="115" t="n"/>
      <c r="N38" s="115" t="n"/>
      <c r="O38" s="115" t="n"/>
      <c r="P38" s="115" t="n"/>
      <c r="Q38" s="115" t="n"/>
      <c r="R38" s="115" t="n"/>
      <c r="S38" s="115" t="n"/>
      <c r="T38" s="115" t="n"/>
      <c r="U38" s="116" t="n"/>
      <c r="V38" s="116" t="n"/>
      <c r="W38" s="117" t="n"/>
      <c r="X38" s="118" t="n"/>
      <c r="Y38" s="119" t="n"/>
      <c r="Z38" s="120" t="n"/>
      <c r="AA38" s="121" t="n"/>
      <c r="AB38" s="122" t="n"/>
      <c r="AC38" s="117" t="n"/>
      <c r="AD38" s="123">
        <f>IF(SUM($AE38:$AH38)=0,"",SUM($AE38:$AH38))</f>
        <v/>
      </c>
      <c r="AE38" s="123">
        <f>iferror(IF(SUM($AI38:$AZ38)=0,"",SUM($AI38:$AZ38)),"")</f>
        <v/>
      </c>
      <c r="AF38" s="123">
        <f>iferror(IF(SUM($BA38:$BC38)=0,"",SUM($BA38:$BC38)),"")</f>
        <v/>
      </c>
      <c r="AG38" s="123">
        <f>iferror(IF(SUM($BD38:$BF38)=0,"",SUM($BD38:$BF38)),"")</f>
        <v/>
      </c>
      <c r="AH38" s="124">
        <f>iferror(IF(SUM($BG38:$BI38)=0,"",SUM($BG38:$BI38)),"")</f>
        <v/>
      </c>
      <c r="AI38" s="131" t="n"/>
      <c r="AJ38" s="132" t="n"/>
      <c r="AK38" s="132" t="n"/>
      <c r="AL38" s="132" t="n"/>
      <c r="AM38" s="132" t="n"/>
      <c r="AN38" s="132" t="n"/>
      <c r="AO38" s="132" t="n"/>
      <c r="AP38" s="132" t="n"/>
      <c r="AQ38" s="132" t="n"/>
      <c r="AR38" s="132" t="n"/>
      <c r="AS38" s="132" t="n"/>
      <c r="AT38" s="132" t="n"/>
      <c r="AU38" s="132" t="n"/>
      <c r="AV38" s="132" t="n"/>
      <c r="AW38" s="132" t="n"/>
      <c r="AX38" s="132" t="n"/>
      <c r="AY38" s="132" t="n"/>
      <c r="AZ38" s="133" t="n"/>
      <c r="BA38" s="131" t="n"/>
      <c r="BB38" s="132" t="n"/>
      <c r="BC38" s="133" t="n"/>
      <c r="BD38" s="131" t="n"/>
      <c r="BE38" s="132" t="n"/>
      <c r="BF38" s="133" t="n"/>
      <c r="BG38" s="131" t="n"/>
      <c r="BH38" s="132" t="n"/>
      <c r="BI38" s="132" t="n"/>
      <c r="BJ38" s="128">
        <f>iferror(SUM($BK38,($BL38*1.2),($BM38*1.35),($BN38*0.74)),)</f>
        <v/>
      </c>
      <c r="BK38" s="128">
        <f>IFERROR(SUM($BT38:$CK38),)</f>
        <v/>
      </c>
      <c r="BL38" s="129">
        <f>IFERROR(SUM($CL38:$CN38),)</f>
        <v/>
      </c>
      <c r="BM38" s="130">
        <f>IFERROR(SUM($CO38:$CQ38),)</f>
        <v/>
      </c>
      <c r="BN38" s="128">
        <f>IFERROR(SUM($CR38:$CT38),)</f>
        <v/>
      </c>
      <c r="BO38" s="128">
        <f>iferror(SUM($BP38,($BQ38*1.2),($BR38*1.35),($BS38*0.74)),)</f>
        <v/>
      </c>
      <c r="BP38" s="128">
        <f>IFERROR(SUM($CU38:$DL38),)</f>
        <v/>
      </c>
      <c r="BQ38" s="128">
        <f>IFERROR(SUM($DM38:$DO38),)</f>
        <v/>
      </c>
      <c r="BR38" s="128">
        <f>IFERROR(SUM($DP38:$DR38),)</f>
        <v/>
      </c>
      <c r="BS38" s="128">
        <f>IFERROR(SUM($DS38:$DU38),)</f>
        <v/>
      </c>
      <c r="BT38" s="128">
        <f>IFERROR(AI38*$W38,)</f>
        <v/>
      </c>
      <c r="BU38" s="128">
        <f>IFERROR(AJ38*$W38,)</f>
        <v/>
      </c>
      <c r="BV38" s="128">
        <f>IFERROR(AK38*$W38,)</f>
        <v/>
      </c>
      <c r="BW38" s="128">
        <f>IFERROR(AL38*$W38,)</f>
        <v/>
      </c>
      <c r="BX38" s="128">
        <f>IFERROR(AM38*$W38,)</f>
        <v/>
      </c>
      <c r="BY38" s="128">
        <f>IFERROR(AN38*$W38,)</f>
        <v/>
      </c>
      <c r="BZ38" s="128">
        <f>IFERROR(AO38*$W38,)</f>
        <v/>
      </c>
      <c r="CA38" s="128">
        <f>IFERROR(AP38*$W38,)</f>
        <v/>
      </c>
      <c r="CB38" s="128">
        <f>IFERROR(AQ38*$W38,)</f>
        <v/>
      </c>
      <c r="CC38" s="128">
        <f>IFERROR(AR38*$W38,)</f>
        <v/>
      </c>
      <c r="CD38" s="128">
        <f>IFERROR(AS38*$W38,)</f>
        <v/>
      </c>
      <c r="CE38" s="128">
        <f>IFERROR(AT38*$W38,)</f>
        <v/>
      </c>
      <c r="CF38" s="128">
        <f>IFERROR(AU38*$W38,)</f>
        <v/>
      </c>
      <c r="CG38" s="128">
        <f>IFERROR(AV38*$W38,)</f>
        <v/>
      </c>
      <c r="CH38" s="128">
        <f>IFERROR(AW38*$W38,)</f>
        <v/>
      </c>
      <c r="CI38" s="128">
        <f>IFERROR(AX38*$W38,)</f>
        <v/>
      </c>
      <c r="CJ38" s="128">
        <f>IFERROR(AY38*$W38,)</f>
        <v/>
      </c>
      <c r="CK38" s="128">
        <f>IFERROR(AZ38*$W38,)</f>
        <v/>
      </c>
      <c r="CL38" s="129">
        <f>IFERROR(if($Y38=0,BA38*($W38/1.2),BA38*$Y38),"")</f>
        <v/>
      </c>
      <c r="CM38" s="129">
        <f>IFERROR(if($Y38=0,BB38*($W38/1.2),BB38*$Y38),"")</f>
        <v/>
      </c>
      <c r="CN38" s="129">
        <f>IFERROR(if($Y38=0,BC38*($W38/1.2),BC38*$Y38),"")</f>
        <v/>
      </c>
      <c r="CO38" s="130">
        <f>IFERROR(if($AA38=0,($W38/1.35)*BD38,BD38*$AA38),)</f>
        <v/>
      </c>
      <c r="CP38" s="130">
        <f>IFERROR(if($AA38=0,($W38/1.35)*BE38,BE38*$AA38),)</f>
        <v/>
      </c>
      <c r="CQ38" s="130">
        <f>IFERROR(if($AA38=0,($W38/1.35)*BF38,BF38*$AA38),)</f>
        <v/>
      </c>
      <c r="CR38" s="128">
        <f>IFERROR(if($AC38=0,($W38/0.74)*BG38,
BG38*$AC38),)</f>
        <v/>
      </c>
      <c r="CS38" s="128">
        <f>IFERROR(if($AC38=0,($W38/0.74)*BH38,
BH38*$AC38),)</f>
        <v/>
      </c>
      <c r="CT38" s="128">
        <f>IFERROR(if($AC38=0,($W38/0.74)*BI38,
BI38*$AC38),)</f>
        <v/>
      </c>
      <c r="CU38" s="128">
        <f>IFERROR(AI38*$V38,)</f>
        <v/>
      </c>
      <c r="CV38" s="128">
        <f>IFERROR(AJ38*$V38,)</f>
        <v/>
      </c>
      <c r="CW38" s="128">
        <f>IFERROR(AK38*$V38,)</f>
        <v/>
      </c>
      <c r="CX38" s="128">
        <f>IFERROR(AL38*$V38,)</f>
        <v/>
      </c>
      <c r="CY38" s="128">
        <f>IFERROR(AM38*$V38,)</f>
        <v/>
      </c>
      <c r="CZ38" s="128">
        <f>IFERROR(AN38*$V38,)</f>
        <v/>
      </c>
      <c r="DA38" s="128">
        <f>IFERROR(AO38*$V38,)</f>
        <v/>
      </c>
      <c r="DB38" s="128">
        <f>IFERROR(AP38*$V38,)</f>
        <v/>
      </c>
      <c r="DC38" s="128">
        <f>IFERROR(AQ38*$V38,)</f>
        <v/>
      </c>
      <c r="DD38" s="128">
        <f>IFERROR(AR38*$V38,)</f>
        <v/>
      </c>
      <c r="DE38" s="128">
        <f>IFERROR(AS38*$V38,)</f>
        <v/>
      </c>
      <c r="DF38" s="128">
        <f>IFERROR(AT38*$V38,)</f>
        <v/>
      </c>
      <c r="DG38" s="128">
        <f>IFERROR(AU38*$V38,)</f>
        <v/>
      </c>
      <c r="DH38" s="128">
        <f>IFERROR(AV38*$V38,)</f>
        <v/>
      </c>
      <c r="DI38" s="128">
        <f>IFERROR(AW38*$V38,)</f>
        <v/>
      </c>
      <c r="DJ38" s="128">
        <f>IFERROR(AX38*$V38,)</f>
        <v/>
      </c>
      <c r="DK38" s="128">
        <f>IFERROR(AY38*$V38,)</f>
        <v/>
      </c>
      <c r="DL38" s="128">
        <f>IFERROR(AZ38*$V38,)</f>
        <v/>
      </c>
      <c r="DM38" s="129">
        <f>IFERROR(if($X38=0,($V38/1.2)*BA38,
BA38*$X38),)</f>
        <v/>
      </c>
      <c r="DN38" s="129">
        <f>IFERROR(if($X38=0,($V38/1.2)*BB38,
BB38*$X38),)</f>
        <v/>
      </c>
      <c r="DO38" s="129">
        <f>IFERROR(if($X38=0,($V38/1.2)*BC38,
BC38*$X38),)</f>
        <v/>
      </c>
      <c r="DP38" s="130">
        <f>IFERROR(if($Z38=0,($V38/1.35)*BD38,
BD38*$Z38),)</f>
        <v/>
      </c>
      <c r="DQ38" s="130">
        <f>IFERROR(if($Z38=0,($V38/1.35)*BE38,
BE38*$Z38),)</f>
        <v/>
      </c>
      <c r="DR38" s="130">
        <f>IFERROR(if($Z38=0,($V38/1.35)*BF38,
BF38*$Z38),)</f>
        <v/>
      </c>
      <c r="DS38" s="128">
        <f>IFERROR(IF($AB38=0,($V38/0.74)*BG38,
BG38*$AB38),)</f>
        <v/>
      </c>
      <c r="DT38" s="128">
        <f>IFERROR(IF($AB38=0,($V38/0.74)*BH38,
BH38*$AB38),)</f>
        <v/>
      </c>
      <c r="DU38" s="128">
        <f>IFERROR(IF($AB38=0,($V38/0.74)*BI38,
BI38*$AB38),)</f>
        <v/>
      </c>
    </row>
    <row r="39" ht="60" customHeight="1" s="162">
      <c r="A39" s="115" t="n"/>
      <c r="B39" s="115" t="n"/>
      <c r="C39" s="115" t="n"/>
      <c r="D39" s="115" t="n"/>
      <c r="E39" s="115" t="n"/>
      <c r="F39" s="115" t="n"/>
      <c r="G39" s="115" t="n"/>
      <c r="H39" s="115" t="n"/>
      <c r="I39" s="115" t="n"/>
      <c r="J39" s="115" t="n"/>
      <c r="K39" s="115" t="n"/>
      <c r="L39" s="115" t="n"/>
      <c r="M39" s="115" t="n"/>
      <c r="N39" s="115" t="n"/>
      <c r="O39" s="115" t="n"/>
      <c r="P39" s="115" t="n"/>
      <c r="Q39" s="115" t="n"/>
      <c r="R39" s="115" t="n"/>
      <c r="S39" s="115" t="n"/>
      <c r="T39" s="115" t="n"/>
      <c r="U39" s="116" t="n"/>
      <c r="V39" s="116" t="n"/>
      <c r="W39" s="117" t="n"/>
      <c r="X39" s="118" t="n"/>
      <c r="Y39" s="119" t="n"/>
      <c r="Z39" s="120" t="n"/>
      <c r="AA39" s="121" t="n"/>
      <c r="AB39" s="122" t="n"/>
      <c r="AC39" s="117" t="n"/>
      <c r="AD39" s="123">
        <f>IF(SUM($AE39:$AH39)=0,"",SUM($AE39:$AH39))</f>
        <v/>
      </c>
      <c r="AE39" s="123">
        <f>iferror(IF(SUM($AI39:$AZ39)=0,"",SUM($AI39:$AZ39)),"")</f>
        <v/>
      </c>
      <c r="AF39" s="123">
        <f>iferror(IF(SUM($BA39:$BC39)=0,"",SUM($BA39:$BC39)),"")</f>
        <v/>
      </c>
      <c r="AG39" s="123">
        <f>iferror(IF(SUM($BD39:$BF39)=0,"",SUM($BD39:$BF39)),"")</f>
        <v/>
      </c>
      <c r="AH39" s="124">
        <f>iferror(IF(SUM($BG39:$BI39)=0,"",SUM($BG39:$BI39)),"")</f>
        <v/>
      </c>
      <c r="AI39" s="131" t="n"/>
      <c r="AJ39" s="132" t="n"/>
      <c r="AK39" s="132" t="n"/>
      <c r="AL39" s="132" t="n"/>
      <c r="AM39" s="132" t="n"/>
      <c r="AN39" s="132" t="n"/>
      <c r="AO39" s="132" t="n"/>
      <c r="AP39" s="132" t="n"/>
      <c r="AQ39" s="132" t="n"/>
      <c r="AR39" s="132" t="n"/>
      <c r="AS39" s="132" t="n"/>
      <c r="AT39" s="132" t="n"/>
      <c r="AU39" s="132" t="n"/>
      <c r="AV39" s="132" t="n"/>
      <c r="AW39" s="132" t="n"/>
      <c r="AX39" s="132" t="n"/>
      <c r="AY39" s="132" t="n"/>
      <c r="AZ39" s="133" t="n"/>
      <c r="BA39" s="131" t="n"/>
      <c r="BB39" s="132" t="n"/>
      <c r="BC39" s="133" t="n"/>
      <c r="BD39" s="131" t="n"/>
      <c r="BE39" s="132" t="n"/>
      <c r="BF39" s="133" t="n"/>
      <c r="BG39" s="131" t="n"/>
      <c r="BH39" s="132" t="n"/>
      <c r="BI39" s="132" t="n"/>
      <c r="BJ39" s="128">
        <f>iferror(SUM($BK39,($BL39*1.2),($BM39*1.35),($BN39*0.74)),)</f>
        <v/>
      </c>
      <c r="BK39" s="128">
        <f>IFERROR(SUM($BT39:$CK39),)</f>
        <v/>
      </c>
      <c r="BL39" s="129">
        <f>IFERROR(SUM($CL39:$CN39),)</f>
        <v/>
      </c>
      <c r="BM39" s="130">
        <f>IFERROR(SUM($CO39:$CQ39),)</f>
        <v/>
      </c>
      <c r="BN39" s="128">
        <f>IFERROR(SUM($CR39:$CT39),)</f>
        <v/>
      </c>
      <c r="BO39" s="128">
        <f>iferror(SUM($BP39,($BQ39*1.2),($BR39*1.35),($BS39*0.74)),)</f>
        <v/>
      </c>
      <c r="BP39" s="128">
        <f>IFERROR(SUM($CU39:$DL39),)</f>
        <v/>
      </c>
      <c r="BQ39" s="128">
        <f>IFERROR(SUM($DM39:$DO39),)</f>
        <v/>
      </c>
      <c r="BR39" s="128">
        <f>IFERROR(SUM($DP39:$DR39),)</f>
        <v/>
      </c>
      <c r="BS39" s="128">
        <f>IFERROR(SUM($DS39:$DU39),)</f>
        <v/>
      </c>
      <c r="BT39" s="128">
        <f>IFERROR(AI39*$W39,)</f>
        <v/>
      </c>
      <c r="BU39" s="128">
        <f>IFERROR(AJ39*$W39,)</f>
        <v/>
      </c>
      <c r="BV39" s="128">
        <f>IFERROR(AK39*$W39,)</f>
        <v/>
      </c>
      <c r="BW39" s="128">
        <f>IFERROR(AL39*$W39,)</f>
        <v/>
      </c>
      <c r="BX39" s="128">
        <f>IFERROR(AM39*$W39,)</f>
        <v/>
      </c>
      <c r="BY39" s="128">
        <f>IFERROR(AN39*$W39,)</f>
        <v/>
      </c>
      <c r="BZ39" s="128">
        <f>IFERROR(AO39*$W39,)</f>
        <v/>
      </c>
      <c r="CA39" s="128">
        <f>IFERROR(AP39*$W39,)</f>
        <v/>
      </c>
      <c r="CB39" s="128">
        <f>IFERROR(AQ39*$W39,)</f>
        <v/>
      </c>
      <c r="CC39" s="128">
        <f>IFERROR(AR39*$W39,)</f>
        <v/>
      </c>
      <c r="CD39" s="128">
        <f>IFERROR(AS39*$W39,)</f>
        <v/>
      </c>
      <c r="CE39" s="128">
        <f>IFERROR(AT39*$W39,)</f>
        <v/>
      </c>
      <c r="CF39" s="128">
        <f>IFERROR(AU39*$W39,)</f>
        <v/>
      </c>
      <c r="CG39" s="128">
        <f>IFERROR(AV39*$W39,)</f>
        <v/>
      </c>
      <c r="CH39" s="128">
        <f>IFERROR(AW39*$W39,)</f>
        <v/>
      </c>
      <c r="CI39" s="128">
        <f>IFERROR(AX39*$W39,)</f>
        <v/>
      </c>
      <c r="CJ39" s="128">
        <f>IFERROR(AY39*$W39,)</f>
        <v/>
      </c>
      <c r="CK39" s="128">
        <f>IFERROR(AZ39*$W39,)</f>
        <v/>
      </c>
      <c r="CL39" s="129">
        <f>IFERROR(if($Y39=0,BA39*($W39/1.2),BA39*$Y39),"")</f>
        <v/>
      </c>
      <c r="CM39" s="129">
        <f>IFERROR(if($Y39=0,BB39*($W39/1.2),BB39*$Y39),"")</f>
        <v/>
      </c>
      <c r="CN39" s="129">
        <f>IFERROR(if($Y39=0,BC39*($W39/1.2),BC39*$Y39),"")</f>
        <v/>
      </c>
      <c r="CO39" s="130">
        <f>IFERROR(if($AA39=0,($W39/1.35)*BD39,BD39*$AA39),)</f>
        <v/>
      </c>
      <c r="CP39" s="130">
        <f>IFERROR(if($AA39=0,($W39/1.35)*BE39,BE39*$AA39),)</f>
        <v/>
      </c>
      <c r="CQ39" s="130">
        <f>IFERROR(if($AA39=0,($W39/1.35)*BF39,BF39*$AA39),)</f>
        <v/>
      </c>
      <c r="CR39" s="128">
        <f>IFERROR(if($AC39=0,($W39/0.74)*BG39,
BG39*$AC39),)</f>
        <v/>
      </c>
      <c r="CS39" s="128">
        <f>IFERROR(if($AC39=0,($W39/0.74)*BH39,
BH39*$AC39),)</f>
        <v/>
      </c>
      <c r="CT39" s="128">
        <f>IFERROR(if($AC39=0,($W39/0.74)*BI39,
BI39*$AC39),)</f>
        <v/>
      </c>
      <c r="CU39" s="128">
        <f>IFERROR(AI39*$V39,)</f>
        <v/>
      </c>
      <c r="CV39" s="128">
        <f>IFERROR(AJ39*$V39,)</f>
        <v/>
      </c>
      <c r="CW39" s="128">
        <f>IFERROR(AK39*$V39,)</f>
        <v/>
      </c>
      <c r="CX39" s="128">
        <f>IFERROR(AL39*$V39,)</f>
        <v/>
      </c>
      <c r="CY39" s="128">
        <f>IFERROR(AM39*$V39,)</f>
        <v/>
      </c>
      <c r="CZ39" s="128">
        <f>IFERROR(AN39*$V39,)</f>
        <v/>
      </c>
      <c r="DA39" s="128">
        <f>IFERROR(AO39*$V39,)</f>
        <v/>
      </c>
      <c r="DB39" s="128">
        <f>IFERROR(AP39*$V39,)</f>
        <v/>
      </c>
      <c r="DC39" s="128">
        <f>IFERROR(AQ39*$V39,)</f>
        <v/>
      </c>
      <c r="DD39" s="128">
        <f>IFERROR(AR39*$V39,)</f>
        <v/>
      </c>
      <c r="DE39" s="128">
        <f>IFERROR(AS39*$V39,)</f>
        <v/>
      </c>
      <c r="DF39" s="128">
        <f>IFERROR(AT39*$V39,)</f>
        <v/>
      </c>
      <c r="DG39" s="128">
        <f>IFERROR(AU39*$V39,)</f>
        <v/>
      </c>
      <c r="DH39" s="128">
        <f>IFERROR(AV39*$V39,)</f>
        <v/>
      </c>
      <c r="DI39" s="128">
        <f>IFERROR(AW39*$V39,)</f>
        <v/>
      </c>
      <c r="DJ39" s="128">
        <f>IFERROR(AX39*$V39,)</f>
        <v/>
      </c>
      <c r="DK39" s="128">
        <f>IFERROR(AY39*$V39,)</f>
        <v/>
      </c>
      <c r="DL39" s="128">
        <f>IFERROR(AZ39*$V39,)</f>
        <v/>
      </c>
      <c r="DM39" s="129">
        <f>IFERROR(if($X39=0,($V39/1.2)*BA39,
BA39*$X39),)</f>
        <v/>
      </c>
      <c r="DN39" s="129">
        <f>IFERROR(if($X39=0,($V39/1.2)*BB39,
BB39*$X39),)</f>
        <v/>
      </c>
      <c r="DO39" s="129">
        <f>IFERROR(if($X39=0,($V39/1.2)*BC39,
BC39*$X39),)</f>
        <v/>
      </c>
      <c r="DP39" s="130">
        <f>IFERROR(if($Z39=0,($V39/1.35)*BD39,
BD39*$Z39),)</f>
        <v/>
      </c>
      <c r="DQ39" s="130">
        <f>IFERROR(if($Z39=0,($V39/1.35)*BE39,
BE39*$Z39),)</f>
        <v/>
      </c>
      <c r="DR39" s="130">
        <f>IFERROR(if($Z39=0,($V39/1.35)*BF39,
BF39*$Z39),)</f>
        <v/>
      </c>
      <c r="DS39" s="128">
        <f>IFERROR(IF($AB39=0,($V39/0.74)*BG39,
BG39*$AB39),)</f>
        <v/>
      </c>
      <c r="DT39" s="128">
        <f>IFERROR(IF($AB39=0,($V39/0.74)*BH39,
BH39*$AB39),)</f>
        <v/>
      </c>
      <c r="DU39" s="128">
        <f>IFERROR(IF($AB39=0,($V39/0.74)*BI39,
BI39*$AB39),)</f>
        <v/>
      </c>
    </row>
    <row r="40" ht="60" customHeight="1" s="162">
      <c r="A40" s="115" t="n"/>
      <c r="B40" s="115" t="n"/>
      <c r="C40" s="115" t="n"/>
      <c r="D40" s="115" t="n"/>
      <c r="E40" s="115" t="n"/>
      <c r="F40" s="115" t="n"/>
      <c r="G40" s="115" t="n"/>
      <c r="H40" s="115" t="n"/>
      <c r="I40" s="115" t="n"/>
      <c r="J40" s="115" t="n"/>
      <c r="K40" s="115" t="n"/>
      <c r="L40" s="115" t="n"/>
      <c r="M40" s="115" t="n"/>
      <c r="N40" s="115" t="n"/>
      <c r="O40" s="115" t="n"/>
      <c r="P40" s="115" t="n"/>
      <c r="Q40" s="115" t="n"/>
      <c r="R40" s="115" t="n"/>
      <c r="S40" s="115" t="n"/>
      <c r="T40" s="115" t="n"/>
      <c r="U40" s="116" t="n"/>
      <c r="V40" s="116" t="n"/>
      <c r="W40" s="117" t="n"/>
      <c r="X40" s="118" t="n"/>
      <c r="Y40" s="119" t="n"/>
      <c r="Z40" s="120" t="n"/>
      <c r="AA40" s="121" t="n"/>
      <c r="AB40" s="122" t="n"/>
      <c r="AC40" s="117" t="n"/>
      <c r="AD40" s="123">
        <f>IF(SUM($AE40:$AH40)=0,"",SUM($AE40:$AH40))</f>
        <v/>
      </c>
      <c r="AE40" s="123">
        <f>iferror(IF(SUM($AI40:$AZ40)=0,"",SUM($AI40:$AZ40)),"")</f>
        <v/>
      </c>
      <c r="AF40" s="123">
        <f>iferror(IF(SUM($BA40:$BC40)=0,"",SUM($BA40:$BC40)),"")</f>
        <v/>
      </c>
      <c r="AG40" s="123">
        <f>iferror(IF(SUM($BD40:$BF40)=0,"",SUM($BD40:$BF40)),"")</f>
        <v/>
      </c>
      <c r="AH40" s="124">
        <f>iferror(IF(SUM($BG40:$BI40)=0,"",SUM($BG40:$BI40)),"")</f>
        <v/>
      </c>
      <c r="AI40" s="131" t="n"/>
      <c r="AJ40" s="132" t="n"/>
      <c r="AK40" s="132" t="n"/>
      <c r="AL40" s="132" t="n"/>
      <c r="AM40" s="132" t="n"/>
      <c r="AN40" s="132" t="n"/>
      <c r="AO40" s="132" t="n"/>
      <c r="AP40" s="132" t="n"/>
      <c r="AQ40" s="132" t="n"/>
      <c r="AR40" s="132" t="n"/>
      <c r="AS40" s="132" t="n"/>
      <c r="AT40" s="132" t="n"/>
      <c r="AU40" s="132" t="n"/>
      <c r="AV40" s="132" t="n"/>
      <c r="AW40" s="132" t="n"/>
      <c r="AX40" s="132" t="n"/>
      <c r="AY40" s="132" t="n"/>
      <c r="AZ40" s="133" t="n"/>
      <c r="BA40" s="131" t="n"/>
      <c r="BB40" s="132" t="n"/>
      <c r="BC40" s="133" t="n"/>
      <c r="BD40" s="131" t="n"/>
      <c r="BE40" s="132" t="n"/>
      <c r="BF40" s="133" t="n"/>
      <c r="BG40" s="131" t="n"/>
      <c r="BH40" s="132" t="n"/>
      <c r="BI40" s="132" t="n"/>
      <c r="BJ40" s="128">
        <f>iferror(SUM($BK40,($BL40*1.2),($BM40*1.35),($BN40*0.74)),)</f>
        <v/>
      </c>
      <c r="BK40" s="128">
        <f>IFERROR(SUM($BT40:$CK40),)</f>
        <v/>
      </c>
      <c r="BL40" s="129">
        <f>IFERROR(SUM($CL40:$CN40),)</f>
        <v/>
      </c>
      <c r="BM40" s="130">
        <f>IFERROR(SUM($CO40:$CQ40),)</f>
        <v/>
      </c>
      <c r="BN40" s="128">
        <f>IFERROR(SUM($CR40:$CT40),)</f>
        <v/>
      </c>
      <c r="BO40" s="128">
        <f>iferror(SUM($BP40,($BQ40*1.2),($BR40*1.35),($BS40*0.74)),)</f>
        <v/>
      </c>
      <c r="BP40" s="128">
        <f>IFERROR(SUM($CU40:$DL40),)</f>
        <v/>
      </c>
      <c r="BQ40" s="128">
        <f>IFERROR(SUM($DM40:$DO40),)</f>
        <v/>
      </c>
      <c r="BR40" s="128">
        <f>IFERROR(SUM($DP40:$DR40),)</f>
        <v/>
      </c>
      <c r="BS40" s="128">
        <f>IFERROR(SUM($DS40:$DU40),)</f>
        <v/>
      </c>
      <c r="BT40" s="128">
        <f>IFERROR(AI40*$W40,)</f>
        <v/>
      </c>
      <c r="BU40" s="128">
        <f>IFERROR(AJ40*$W40,)</f>
        <v/>
      </c>
      <c r="BV40" s="128">
        <f>IFERROR(AK40*$W40,)</f>
        <v/>
      </c>
      <c r="BW40" s="128">
        <f>IFERROR(AL40*$W40,)</f>
        <v/>
      </c>
      <c r="BX40" s="128">
        <f>IFERROR(AM40*$W40,)</f>
        <v/>
      </c>
      <c r="BY40" s="128">
        <f>IFERROR(AN40*$W40,)</f>
        <v/>
      </c>
      <c r="BZ40" s="128">
        <f>IFERROR(AO40*$W40,)</f>
        <v/>
      </c>
      <c r="CA40" s="128">
        <f>IFERROR(AP40*$W40,)</f>
        <v/>
      </c>
      <c r="CB40" s="128">
        <f>IFERROR(AQ40*$W40,)</f>
        <v/>
      </c>
      <c r="CC40" s="128">
        <f>IFERROR(AR40*$W40,)</f>
        <v/>
      </c>
      <c r="CD40" s="128">
        <f>IFERROR(AS40*$W40,)</f>
        <v/>
      </c>
      <c r="CE40" s="128">
        <f>IFERROR(AT40*$W40,)</f>
        <v/>
      </c>
      <c r="CF40" s="128">
        <f>IFERROR(AU40*$W40,)</f>
        <v/>
      </c>
      <c r="CG40" s="128">
        <f>IFERROR(AV40*$W40,)</f>
        <v/>
      </c>
      <c r="CH40" s="128">
        <f>IFERROR(AW40*$W40,)</f>
        <v/>
      </c>
      <c r="CI40" s="128">
        <f>IFERROR(AX40*$W40,)</f>
        <v/>
      </c>
      <c r="CJ40" s="128">
        <f>IFERROR(AY40*$W40,)</f>
        <v/>
      </c>
      <c r="CK40" s="128">
        <f>IFERROR(AZ40*$W40,)</f>
        <v/>
      </c>
      <c r="CL40" s="129">
        <f>IFERROR(if($Y40=0,BA40*($W40/1.2),BA40*$Y40),"")</f>
        <v/>
      </c>
      <c r="CM40" s="129">
        <f>IFERROR(if($Y40=0,BB40*($W40/1.2),BB40*$Y40),"")</f>
        <v/>
      </c>
      <c r="CN40" s="129">
        <f>IFERROR(if($Y40=0,BC40*($W40/1.2),BC40*$Y40),"")</f>
        <v/>
      </c>
      <c r="CO40" s="130">
        <f>IFERROR(if($AA40=0,($W40/1.35)*BD40,BD40*$AA40),)</f>
        <v/>
      </c>
      <c r="CP40" s="130">
        <f>IFERROR(if($AA40=0,($W40/1.35)*BE40,BE40*$AA40),)</f>
        <v/>
      </c>
      <c r="CQ40" s="130">
        <f>IFERROR(if($AA40=0,($W40/1.35)*BF40,BF40*$AA40),)</f>
        <v/>
      </c>
      <c r="CR40" s="128">
        <f>IFERROR(if($AC40=0,($W40/0.74)*BG40,
BG40*$AC40),)</f>
        <v/>
      </c>
      <c r="CS40" s="128">
        <f>IFERROR(if($AC40=0,($W40/0.74)*BH40,
BH40*$AC40),)</f>
        <v/>
      </c>
      <c r="CT40" s="128">
        <f>IFERROR(if($AC40=0,($W40/0.74)*BI40,
BI40*$AC40),)</f>
        <v/>
      </c>
      <c r="CU40" s="128">
        <f>IFERROR(AI40*$V40,)</f>
        <v/>
      </c>
      <c r="CV40" s="128">
        <f>IFERROR(AJ40*$V40,)</f>
        <v/>
      </c>
      <c r="CW40" s="128">
        <f>IFERROR(AK40*$V40,)</f>
        <v/>
      </c>
      <c r="CX40" s="128">
        <f>IFERROR(AL40*$V40,)</f>
        <v/>
      </c>
      <c r="CY40" s="128">
        <f>IFERROR(AM40*$V40,)</f>
        <v/>
      </c>
      <c r="CZ40" s="128">
        <f>IFERROR(AN40*$V40,)</f>
        <v/>
      </c>
      <c r="DA40" s="128">
        <f>IFERROR(AO40*$V40,)</f>
        <v/>
      </c>
      <c r="DB40" s="128">
        <f>IFERROR(AP40*$V40,)</f>
        <v/>
      </c>
      <c r="DC40" s="128">
        <f>IFERROR(AQ40*$V40,)</f>
        <v/>
      </c>
      <c r="DD40" s="128">
        <f>IFERROR(AR40*$V40,)</f>
        <v/>
      </c>
      <c r="DE40" s="128">
        <f>IFERROR(AS40*$V40,)</f>
        <v/>
      </c>
      <c r="DF40" s="128">
        <f>IFERROR(AT40*$V40,)</f>
        <v/>
      </c>
      <c r="DG40" s="128">
        <f>IFERROR(AU40*$V40,)</f>
        <v/>
      </c>
      <c r="DH40" s="128">
        <f>IFERROR(AV40*$V40,)</f>
        <v/>
      </c>
      <c r="DI40" s="128">
        <f>IFERROR(AW40*$V40,)</f>
        <v/>
      </c>
      <c r="DJ40" s="128">
        <f>IFERROR(AX40*$V40,)</f>
        <v/>
      </c>
      <c r="DK40" s="128">
        <f>IFERROR(AY40*$V40,)</f>
        <v/>
      </c>
      <c r="DL40" s="128">
        <f>IFERROR(AZ40*$V40,)</f>
        <v/>
      </c>
      <c r="DM40" s="129">
        <f>IFERROR(if($X40=0,($V40/1.2)*BA40,
BA40*$X40),)</f>
        <v/>
      </c>
      <c r="DN40" s="129">
        <f>IFERROR(if($X40=0,($V40/1.2)*BB40,
BB40*$X40),)</f>
        <v/>
      </c>
      <c r="DO40" s="129">
        <f>IFERROR(if($X40=0,($V40/1.2)*BC40,
BC40*$X40),)</f>
        <v/>
      </c>
      <c r="DP40" s="130">
        <f>IFERROR(if($Z40=0,($V40/1.35)*BD40,
BD40*$Z40),)</f>
        <v/>
      </c>
      <c r="DQ40" s="130">
        <f>IFERROR(if($Z40=0,($V40/1.35)*BE40,
BE40*$Z40),)</f>
        <v/>
      </c>
      <c r="DR40" s="130">
        <f>IFERROR(if($Z40=0,($V40/1.35)*BF40,
BF40*$Z40),)</f>
        <v/>
      </c>
      <c r="DS40" s="128">
        <f>IFERROR(IF($AB40=0,($V40/0.74)*BG40,
BG40*$AB40),)</f>
        <v/>
      </c>
      <c r="DT40" s="128">
        <f>IFERROR(IF($AB40=0,($V40/0.74)*BH40,
BH40*$AB40),)</f>
        <v/>
      </c>
      <c r="DU40" s="128">
        <f>IFERROR(IF($AB40=0,($V40/0.74)*BI40,
BI40*$AB40),)</f>
        <v/>
      </c>
    </row>
    <row r="41" ht="60" customHeight="1" s="162">
      <c r="A41" s="115" t="n"/>
      <c r="B41" s="115" t="n"/>
      <c r="C41" s="115" t="n"/>
      <c r="D41" s="115" t="n"/>
      <c r="E41" s="115" t="n"/>
      <c r="F41" s="115" t="n"/>
      <c r="G41" s="115" t="n"/>
      <c r="H41" s="115" t="n"/>
      <c r="I41" s="115" t="n"/>
      <c r="J41" s="115" t="n"/>
      <c r="K41" s="115" t="n"/>
      <c r="L41" s="115" t="n"/>
      <c r="M41" s="115" t="n"/>
      <c r="N41" s="115" t="n"/>
      <c r="O41" s="115" t="n"/>
      <c r="P41" s="115" t="n"/>
      <c r="Q41" s="115" t="n"/>
      <c r="R41" s="115" t="n"/>
      <c r="S41" s="115" t="n"/>
      <c r="T41" s="115" t="n"/>
      <c r="U41" s="116" t="n"/>
      <c r="V41" s="116" t="n"/>
      <c r="W41" s="117" t="n"/>
      <c r="X41" s="118" t="n"/>
      <c r="Y41" s="119" t="n"/>
      <c r="Z41" s="120" t="n"/>
      <c r="AA41" s="121" t="n"/>
      <c r="AB41" s="122" t="n"/>
      <c r="AC41" s="117" t="n"/>
      <c r="AD41" s="123">
        <f>IF(SUM($AE41:$AH41)=0,"",SUM($AE41:$AH41))</f>
        <v/>
      </c>
      <c r="AE41" s="123">
        <f>iferror(IF(SUM($AI41:$AZ41)=0,"",SUM($AI41:$AZ41)),"")</f>
        <v/>
      </c>
      <c r="AF41" s="123">
        <f>iferror(IF(SUM($BA41:$BC41)=0,"",SUM($BA41:$BC41)),"")</f>
        <v/>
      </c>
      <c r="AG41" s="123">
        <f>iferror(IF(SUM($BD41:$BF41)=0,"",SUM($BD41:$BF41)),"")</f>
        <v/>
      </c>
      <c r="AH41" s="124">
        <f>iferror(IF(SUM($BG41:$BI41)=0,"",SUM($BG41:$BI41)),"")</f>
        <v/>
      </c>
      <c r="AI41" s="131" t="n"/>
      <c r="AJ41" s="132" t="n"/>
      <c r="AK41" s="132" t="n"/>
      <c r="AL41" s="132" t="n"/>
      <c r="AM41" s="132" t="n"/>
      <c r="AN41" s="132" t="n"/>
      <c r="AO41" s="132" t="n"/>
      <c r="AP41" s="132" t="n"/>
      <c r="AQ41" s="132" t="n"/>
      <c r="AR41" s="132" t="n"/>
      <c r="AS41" s="132" t="n"/>
      <c r="AT41" s="132" t="n"/>
      <c r="AU41" s="132" t="n"/>
      <c r="AV41" s="132" t="n"/>
      <c r="AW41" s="132" t="n"/>
      <c r="AX41" s="132" t="n"/>
      <c r="AY41" s="132" t="n"/>
      <c r="AZ41" s="133" t="n"/>
      <c r="BA41" s="131" t="n"/>
      <c r="BB41" s="132" t="n"/>
      <c r="BC41" s="133" t="n"/>
      <c r="BD41" s="131" t="n"/>
      <c r="BE41" s="132" t="n"/>
      <c r="BF41" s="133" t="n"/>
      <c r="BG41" s="131" t="n"/>
      <c r="BH41" s="132" t="n"/>
      <c r="BI41" s="132" t="n"/>
      <c r="BJ41" s="128">
        <f>iferror(SUM($BK41,($BL41*1.2),($BM41*1.35),($BN41*0.74)),)</f>
        <v/>
      </c>
      <c r="BK41" s="128">
        <f>IFERROR(SUM($BT41:$CK41),)</f>
        <v/>
      </c>
      <c r="BL41" s="129">
        <f>IFERROR(SUM($CL41:$CN41),)</f>
        <v/>
      </c>
      <c r="BM41" s="130">
        <f>IFERROR(SUM($CO41:$CQ41),)</f>
        <v/>
      </c>
      <c r="BN41" s="128">
        <f>IFERROR(SUM($CR41:$CT41),)</f>
        <v/>
      </c>
      <c r="BO41" s="128">
        <f>iferror(SUM($BP41,($BQ41*1.2),($BR41*1.35),($BS41*0.74)),)</f>
        <v/>
      </c>
      <c r="BP41" s="128">
        <f>IFERROR(SUM($CU41:$DL41),)</f>
        <v/>
      </c>
      <c r="BQ41" s="128">
        <f>IFERROR(SUM($DM41:$DO41),)</f>
        <v/>
      </c>
      <c r="BR41" s="128">
        <f>IFERROR(SUM($DP41:$DR41),)</f>
        <v/>
      </c>
      <c r="BS41" s="128">
        <f>IFERROR(SUM($DS41:$DU41),)</f>
        <v/>
      </c>
      <c r="BT41" s="128">
        <f>IFERROR(AI41*$W41,)</f>
        <v/>
      </c>
      <c r="BU41" s="128">
        <f>IFERROR(AJ41*$W41,)</f>
        <v/>
      </c>
      <c r="BV41" s="128">
        <f>IFERROR(AK41*$W41,)</f>
        <v/>
      </c>
      <c r="BW41" s="128">
        <f>IFERROR(AL41*$W41,)</f>
        <v/>
      </c>
      <c r="BX41" s="128">
        <f>IFERROR(AM41*$W41,)</f>
        <v/>
      </c>
      <c r="BY41" s="128">
        <f>IFERROR(AN41*$W41,)</f>
        <v/>
      </c>
      <c r="BZ41" s="128">
        <f>IFERROR(AO41*$W41,)</f>
        <v/>
      </c>
      <c r="CA41" s="128">
        <f>IFERROR(AP41*$W41,)</f>
        <v/>
      </c>
      <c r="CB41" s="128">
        <f>IFERROR(AQ41*$W41,)</f>
        <v/>
      </c>
      <c r="CC41" s="128">
        <f>IFERROR(AR41*$W41,)</f>
        <v/>
      </c>
      <c r="CD41" s="128">
        <f>IFERROR(AS41*$W41,)</f>
        <v/>
      </c>
      <c r="CE41" s="128">
        <f>IFERROR(AT41*$W41,)</f>
        <v/>
      </c>
      <c r="CF41" s="128">
        <f>IFERROR(AU41*$W41,)</f>
        <v/>
      </c>
      <c r="CG41" s="128">
        <f>IFERROR(AV41*$W41,)</f>
        <v/>
      </c>
      <c r="CH41" s="128">
        <f>IFERROR(AW41*$W41,)</f>
        <v/>
      </c>
      <c r="CI41" s="128">
        <f>IFERROR(AX41*$W41,)</f>
        <v/>
      </c>
      <c r="CJ41" s="128">
        <f>IFERROR(AY41*$W41,)</f>
        <v/>
      </c>
      <c r="CK41" s="128">
        <f>IFERROR(AZ41*$W41,)</f>
        <v/>
      </c>
      <c r="CL41" s="129">
        <f>IFERROR(if($Y41=0,BA41*($W41/1.2),BA41*$Y41),"")</f>
        <v/>
      </c>
      <c r="CM41" s="129">
        <f>IFERROR(if($Y41=0,BB41*($W41/1.2),BB41*$Y41),"")</f>
        <v/>
      </c>
      <c r="CN41" s="129">
        <f>IFERROR(if($Y41=0,BC41*($W41/1.2),BC41*$Y41),"")</f>
        <v/>
      </c>
      <c r="CO41" s="130">
        <f>IFERROR(if($AA41=0,($W41/1.35)*BD41,BD41*$AA41),)</f>
        <v/>
      </c>
      <c r="CP41" s="130">
        <f>IFERROR(if($AA41=0,($W41/1.35)*BE41,BE41*$AA41),)</f>
        <v/>
      </c>
      <c r="CQ41" s="130">
        <f>IFERROR(if($AA41=0,($W41/1.35)*BF41,BF41*$AA41),)</f>
        <v/>
      </c>
      <c r="CR41" s="128">
        <f>IFERROR(if($AC41=0,($W41/0.74)*BG41,
BG41*$AC41),)</f>
        <v/>
      </c>
      <c r="CS41" s="128">
        <f>IFERROR(if($AC41=0,($W41/0.74)*BH41,
BH41*$AC41),)</f>
        <v/>
      </c>
      <c r="CT41" s="128">
        <f>IFERROR(if($AC41=0,($W41/0.74)*BI41,
BI41*$AC41),)</f>
        <v/>
      </c>
      <c r="CU41" s="128">
        <f>IFERROR(AI41*$V41,)</f>
        <v/>
      </c>
      <c r="CV41" s="128">
        <f>IFERROR(AJ41*$V41,)</f>
        <v/>
      </c>
      <c r="CW41" s="128">
        <f>IFERROR(AK41*$V41,)</f>
        <v/>
      </c>
      <c r="CX41" s="128">
        <f>IFERROR(AL41*$V41,)</f>
        <v/>
      </c>
      <c r="CY41" s="128">
        <f>IFERROR(AM41*$V41,)</f>
        <v/>
      </c>
      <c r="CZ41" s="128">
        <f>IFERROR(AN41*$V41,)</f>
        <v/>
      </c>
      <c r="DA41" s="128">
        <f>IFERROR(AO41*$V41,)</f>
        <v/>
      </c>
      <c r="DB41" s="128">
        <f>IFERROR(AP41*$V41,)</f>
        <v/>
      </c>
      <c r="DC41" s="128">
        <f>IFERROR(AQ41*$V41,)</f>
        <v/>
      </c>
      <c r="DD41" s="128">
        <f>IFERROR(AR41*$V41,)</f>
        <v/>
      </c>
      <c r="DE41" s="128">
        <f>IFERROR(AS41*$V41,)</f>
        <v/>
      </c>
      <c r="DF41" s="128">
        <f>IFERROR(AT41*$V41,)</f>
        <v/>
      </c>
      <c r="DG41" s="128">
        <f>IFERROR(AU41*$V41,)</f>
        <v/>
      </c>
      <c r="DH41" s="128">
        <f>IFERROR(AV41*$V41,)</f>
        <v/>
      </c>
      <c r="DI41" s="128">
        <f>IFERROR(AW41*$V41,)</f>
        <v/>
      </c>
      <c r="DJ41" s="128">
        <f>IFERROR(AX41*$V41,)</f>
        <v/>
      </c>
      <c r="DK41" s="128">
        <f>IFERROR(AY41*$V41,)</f>
        <v/>
      </c>
      <c r="DL41" s="128">
        <f>IFERROR(AZ41*$V41,)</f>
        <v/>
      </c>
      <c r="DM41" s="129">
        <f>IFERROR(if($X41=0,($V41/1.2)*BA41,
BA41*$X41),)</f>
        <v/>
      </c>
      <c r="DN41" s="129">
        <f>IFERROR(if($X41=0,($V41/1.2)*BB41,
BB41*$X41),)</f>
        <v/>
      </c>
      <c r="DO41" s="129">
        <f>IFERROR(if($X41=0,($V41/1.2)*BC41,
BC41*$X41),)</f>
        <v/>
      </c>
      <c r="DP41" s="130">
        <f>IFERROR(if($Z41=0,($V41/1.35)*BD41,
BD41*$Z41),)</f>
        <v/>
      </c>
      <c r="DQ41" s="130">
        <f>IFERROR(if($Z41=0,($V41/1.35)*BE41,
BE41*$Z41),)</f>
        <v/>
      </c>
      <c r="DR41" s="130">
        <f>IFERROR(if($Z41=0,($V41/1.35)*BF41,
BF41*$Z41),)</f>
        <v/>
      </c>
      <c r="DS41" s="128">
        <f>IFERROR(IF($AB41=0,($V41/0.74)*BG41,
BG41*$AB41),)</f>
        <v/>
      </c>
      <c r="DT41" s="128">
        <f>IFERROR(IF($AB41=0,($V41/0.74)*BH41,
BH41*$AB41),)</f>
        <v/>
      </c>
      <c r="DU41" s="128">
        <f>IFERROR(IF($AB41=0,($V41/0.74)*BI41,
BI41*$AB41),)</f>
        <v/>
      </c>
    </row>
    <row r="42" ht="60" customHeight="1" s="162">
      <c r="A42" s="115" t="n"/>
      <c r="B42" s="115" t="n"/>
      <c r="C42" s="115" t="n"/>
      <c r="D42" s="115" t="n"/>
      <c r="E42" s="115" t="n"/>
      <c r="F42" s="115" t="n"/>
      <c r="G42" s="115" t="n"/>
      <c r="H42" s="115" t="n"/>
      <c r="I42" s="115" t="n"/>
      <c r="J42" s="115" t="n"/>
      <c r="K42" s="115" t="n"/>
      <c r="L42" s="115" t="n"/>
      <c r="M42" s="115" t="n"/>
      <c r="N42" s="115" t="n"/>
      <c r="O42" s="115" t="n"/>
      <c r="P42" s="115" t="n"/>
      <c r="Q42" s="115" t="n"/>
      <c r="R42" s="115" t="n"/>
      <c r="S42" s="115" t="n"/>
      <c r="T42" s="115" t="n"/>
      <c r="U42" s="116" t="n"/>
      <c r="V42" s="116" t="n"/>
      <c r="W42" s="117" t="n"/>
      <c r="X42" s="118" t="n"/>
      <c r="Y42" s="119" t="n"/>
      <c r="Z42" s="120" t="n"/>
      <c r="AA42" s="121" t="n"/>
      <c r="AB42" s="122" t="n"/>
      <c r="AC42" s="117" t="n"/>
      <c r="AD42" s="123">
        <f>IF(SUM($AE42:$AH42)=0,"",SUM($AE42:$AH42))</f>
        <v/>
      </c>
      <c r="AE42" s="123">
        <f>iferror(IF(SUM($AI42:$AZ42)=0,"",SUM($AI42:$AZ42)),"")</f>
        <v/>
      </c>
      <c r="AF42" s="123">
        <f>iferror(IF(SUM($BA42:$BC42)=0,"",SUM($BA42:$BC42)),"")</f>
        <v/>
      </c>
      <c r="AG42" s="123">
        <f>iferror(IF(SUM($BD42:$BF42)=0,"",SUM($BD42:$BF42)),"")</f>
        <v/>
      </c>
      <c r="AH42" s="124">
        <f>iferror(IF(SUM($BG42:$BI42)=0,"",SUM($BG42:$BI42)),"")</f>
        <v/>
      </c>
      <c r="AI42" s="131" t="n"/>
      <c r="AJ42" s="132" t="n"/>
      <c r="AK42" s="132" t="n"/>
      <c r="AL42" s="132" t="n"/>
      <c r="AM42" s="132" t="n"/>
      <c r="AN42" s="132" t="n"/>
      <c r="AO42" s="132" t="n"/>
      <c r="AP42" s="132" t="n"/>
      <c r="AQ42" s="132" t="n"/>
      <c r="AR42" s="132" t="n"/>
      <c r="AS42" s="132" t="n"/>
      <c r="AT42" s="132" t="n"/>
      <c r="AU42" s="132" t="n"/>
      <c r="AV42" s="132" t="n"/>
      <c r="AW42" s="132" t="n"/>
      <c r="AX42" s="132" t="n"/>
      <c r="AY42" s="132" t="n"/>
      <c r="AZ42" s="133" t="n"/>
      <c r="BA42" s="131" t="n"/>
      <c r="BB42" s="132" t="n"/>
      <c r="BC42" s="133" t="n"/>
      <c r="BD42" s="131" t="n"/>
      <c r="BE42" s="132" t="n"/>
      <c r="BF42" s="133" t="n"/>
      <c r="BG42" s="131" t="n"/>
      <c r="BH42" s="132" t="n"/>
      <c r="BI42" s="132" t="n"/>
      <c r="BJ42" s="128">
        <f>iferror(SUM($BK42,($BL42*1.2),($BM42*1.35),($BN42*0.74)),)</f>
        <v/>
      </c>
      <c r="BK42" s="128">
        <f>IFERROR(SUM($BT42:$CK42),)</f>
        <v/>
      </c>
      <c r="BL42" s="129">
        <f>IFERROR(SUM($CL42:$CN42),)</f>
        <v/>
      </c>
      <c r="BM42" s="130">
        <f>IFERROR(SUM($CO42:$CQ42),)</f>
        <v/>
      </c>
      <c r="BN42" s="128">
        <f>IFERROR(SUM($CR42:$CT42),)</f>
        <v/>
      </c>
      <c r="BO42" s="128">
        <f>iferror(SUM($BP42,($BQ42*1.2),($BR42*1.35),($BS42*0.74)),)</f>
        <v/>
      </c>
      <c r="BP42" s="128">
        <f>IFERROR(SUM($CU42:$DL42),)</f>
        <v/>
      </c>
      <c r="BQ42" s="128">
        <f>IFERROR(SUM($DM42:$DO42),)</f>
        <v/>
      </c>
      <c r="BR42" s="128">
        <f>IFERROR(SUM($DP42:$DR42),)</f>
        <v/>
      </c>
      <c r="BS42" s="128">
        <f>IFERROR(SUM($DS42:$DU42),)</f>
        <v/>
      </c>
      <c r="BT42" s="128">
        <f>IFERROR(AI42*$W42,)</f>
        <v/>
      </c>
      <c r="BU42" s="128">
        <f>IFERROR(AJ42*$W42,)</f>
        <v/>
      </c>
      <c r="BV42" s="128">
        <f>IFERROR(AK42*$W42,)</f>
        <v/>
      </c>
      <c r="BW42" s="128">
        <f>IFERROR(AL42*$W42,)</f>
        <v/>
      </c>
      <c r="BX42" s="128">
        <f>IFERROR(AM42*$W42,)</f>
        <v/>
      </c>
      <c r="BY42" s="128">
        <f>IFERROR(AN42*$W42,)</f>
        <v/>
      </c>
      <c r="BZ42" s="128">
        <f>IFERROR(AO42*$W42,)</f>
        <v/>
      </c>
      <c r="CA42" s="128">
        <f>IFERROR(AP42*$W42,)</f>
        <v/>
      </c>
      <c r="CB42" s="128">
        <f>IFERROR(AQ42*$W42,)</f>
        <v/>
      </c>
      <c r="CC42" s="128">
        <f>IFERROR(AR42*$W42,)</f>
        <v/>
      </c>
      <c r="CD42" s="128">
        <f>IFERROR(AS42*$W42,)</f>
        <v/>
      </c>
      <c r="CE42" s="128">
        <f>IFERROR(AT42*$W42,)</f>
        <v/>
      </c>
      <c r="CF42" s="128">
        <f>IFERROR(AU42*$W42,)</f>
        <v/>
      </c>
      <c r="CG42" s="128">
        <f>IFERROR(AV42*$W42,)</f>
        <v/>
      </c>
      <c r="CH42" s="128">
        <f>IFERROR(AW42*$W42,)</f>
        <v/>
      </c>
      <c r="CI42" s="128">
        <f>IFERROR(AX42*$W42,)</f>
        <v/>
      </c>
      <c r="CJ42" s="128">
        <f>IFERROR(AY42*$W42,)</f>
        <v/>
      </c>
      <c r="CK42" s="128">
        <f>IFERROR(AZ42*$W42,)</f>
        <v/>
      </c>
      <c r="CL42" s="129">
        <f>IFERROR(if($Y42=0,BA42*($W42/1.2),BA42*$Y42),"")</f>
        <v/>
      </c>
      <c r="CM42" s="129">
        <f>IFERROR(if($Y42=0,BB42*($W42/1.2),BB42*$Y42),"")</f>
        <v/>
      </c>
      <c r="CN42" s="129">
        <f>IFERROR(if($Y42=0,BC42*($W42/1.2),BC42*$Y42),"")</f>
        <v/>
      </c>
      <c r="CO42" s="130">
        <f>IFERROR(if($AA42=0,($W42/1.35)*BD42,BD42*$AA42),)</f>
        <v/>
      </c>
      <c r="CP42" s="130">
        <f>IFERROR(if($AA42=0,($W42/1.35)*BE42,BE42*$AA42),)</f>
        <v/>
      </c>
      <c r="CQ42" s="130">
        <f>IFERROR(if($AA42=0,($W42/1.35)*BF42,BF42*$AA42),)</f>
        <v/>
      </c>
      <c r="CR42" s="128">
        <f>IFERROR(if($AC42=0,($W42/0.74)*BG42,
BG42*$AC42),)</f>
        <v/>
      </c>
      <c r="CS42" s="128">
        <f>IFERROR(if($AC42=0,($W42/0.74)*BH42,
BH42*$AC42),)</f>
        <v/>
      </c>
      <c r="CT42" s="128">
        <f>IFERROR(if($AC42=0,($W42/0.74)*BI42,
BI42*$AC42),)</f>
        <v/>
      </c>
      <c r="CU42" s="128">
        <f>IFERROR(AI42*$V42,)</f>
        <v/>
      </c>
      <c r="CV42" s="128">
        <f>IFERROR(AJ42*$V42,)</f>
        <v/>
      </c>
      <c r="CW42" s="128">
        <f>IFERROR(AK42*$V42,)</f>
        <v/>
      </c>
      <c r="CX42" s="128">
        <f>IFERROR(AL42*$V42,)</f>
        <v/>
      </c>
      <c r="CY42" s="128">
        <f>IFERROR(AM42*$V42,)</f>
        <v/>
      </c>
      <c r="CZ42" s="128">
        <f>IFERROR(AN42*$V42,)</f>
        <v/>
      </c>
      <c r="DA42" s="128">
        <f>IFERROR(AO42*$V42,)</f>
        <v/>
      </c>
      <c r="DB42" s="128">
        <f>IFERROR(AP42*$V42,)</f>
        <v/>
      </c>
      <c r="DC42" s="128">
        <f>IFERROR(AQ42*$V42,)</f>
        <v/>
      </c>
      <c r="DD42" s="128">
        <f>IFERROR(AR42*$V42,)</f>
        <v/>
      </c>
      <c r="DE42" s="128">
        <f>IFERROR(AS42*$V42,)</f>
        <v/>
      </c>
      <c r="DF42" s="128">
        <f>IFERROR(AT42*$V42,)</f>
        <v/>
      </c>
      <c r="DG42" s="128">
        <f>IFERROR(AU42*$V42,)</f>
        <v/>
      </c>
      <c r="DH42" s="128">
        <f>IFERROR(AV42*$V42,)</f>
        <v/>
      </c>
      <c r="DI42" s="128">
        <f>IFERROR(AW42*$V42,)</f>
        <v/>
      </c>
      <c r="DJ42" s="128">
        <f>IFERROR(AX42*$V42,)</f>
        <v/>
      </c>
      <c r="DK42" s="128">
        <f>IFERROR(AY42*$V42,)</f>
        <v/>
      </c>
      <c r="DL42" s="128">
        <f>IFERROR(AZ42*$V42,)</f>
        <v/>
      </c>
      <c r="DM42" s="129">
        <f>IFERROR(if($X42=0,($V42/1.2)*BA42,
BA42*$X42),)</f>
        <v/>
      </c>
      <c r="DN42" s="129">
        <f>IFERROR(if($X42=0,($V42/1.2)*BB42,
BB42*$X42),)</f>
        <v/>
      </c>
      <c r="DO42" s="129">
        <f>IFERROR(if($X42=0,($V42/1.2)*BC42,
BC42*$X42),)</f>
        <v/>
      </c>
      <c r="DP42" s="130">
        <f>IFERROR(if($Z42=0,($V42/1.35)*BD42,
BD42*$Z42),)</f>
        <v/>
      </c>
      <c r="DQ42" s="130">
        <f>IFERROR(if($Z42=0,($V42/1.35)*BE42,
BE42*$Z42),)</f>
        <v/>
      </c>
      <c r="DR42" s="130">
        <f>IFERROR(if($Z42=0,($V42/1.35)*BF42,
BF42*$Z42),)</f>
        <v/>
      </c>
      <c r="DS42" s="128">
        <f>IFERROR(IF($AB42=0,($V42/0.74)*BG42,
BG42*$AB42),)</f>
        <v/>
      </c>
      <c r="DT42" s="128">
        <f>IFERROR(IF($AB42=0,($V42/0.74)*BH42,
BH42*$AB42),)</f>
        <v/>
      </c>
      <c r="DU42" s="128">
        <f>IFERROR(IF($AB42=0,($V42/0.74)*BI42,
BI42*$AB42),)</f>
        <v/>
      </c>
    </row>
    <row r="43" ht="60" customHeight="1" s="162">
      <c r="A43" s="115" t="n"/>
      <c r="B43" s="115" t="n"/>
      <c r="C43" s="115" t="n"/>
      <c r="D43" s="115" t="n"/>
      <c r="E43" s="115" t="n"/>
      <c r="F43" s="115" t="n"/>
      <c r="G43" s="115" t="n"/>
      <c r="H43" s="115" t="n"/>
      <c r="I43" s="115" t="n"/>
      <c r="J43" s="115" t="n"/>
      <c r="K43" s="115" t="n"/>
      <c r="L43" s="115" t="n"/>
      <c r="M43" s="115" t="n"/>
      <c r="N43" s="115" t="n"/>
      <c r="O43" s="115" t="n"/>
      <c r="P43" s="115" t="n"/>
      <c r="Q43" s="115" t="n"/>
      <c r="R43" s="115" t="n"/>
      <c r="S43" s="115" t="n"/>
      <c r="T43" s="115" t="n"/>
      <c r="U43" s="116" t="n"/>
      <c r="V43" s="116" t="n"/>
      <c r="W43" s="117" t="n"/>
      <c r="X43" s="118" t="n"/>
      <c r="Y43" s="119" t="n"/>
      <c r="Z43" s="120" t="n"/>
      <c r="AA43" s="121" t="n"/>
      <c r="AB43" s="122" t="n"/>
      <c r="AC43" s="117" t="n"/>
      <c r="AD43" s="123">
        <f>IF(SUM($AE43:$AH43)=0,"",SUM($AE43:$AH43))</f>
        <v/>
      </c>
      <c r="AE43" s="123">
        <f>iferror(IF(SUM($AI43:$AZ43)=0,"",SUM($AI43:$AZ43)),"")</f>
        <v/>
      </c>
      <c r="AF43" s="123">
        <f>iferror(IF(SUM($BA43:$BC43)=0,"",SUM($BA43:$BC43)),"")</f>
        <v/>
      </c>
      <c r="AG43" s="123">
        <f>iferror(IF(SUM($BD43:$BF43)=0,"",SUM($BD43:$BF43)),"")</f>
        <v/>
      </c>
      <c r="AH43" s="124">
        <f>iferror(IF(SUM($BG43:$BI43)=0,"",SUM($BG43:$BI43)),"")</f>
        <v/>
      </c>
      <c r="AI43" s="131" t="n"/>
      <c r="AJ43" s="132" t="n"/>
      <c r="AK43" s="132" t="n"/>
      <c r="AL43" s="132" t="n"/>
      <c r="AM43" s="132" t="n"/>
      <c r="AN43" s="132" t="n"/>
      <c r="AO43" s="132" t="n"/>
      <c r="AP43" s="132" t="n"/>
      <c r="AQ43" s="132" t="n"/>
      <c r="AR43" s="132" t="n"/>
      <c r="AS43" s="132" t="n"/>
      <c r="AT43" s="132" t="n"/>
      <c r="AU43" s="132" t="n"/>
      <c r="AV43" s="132" t="n"/>
      <c r="AW43" s="132" t="n"/>
      <c r="AX43" s="132" t="n"/>
      <c r="AY43" s="132" t="n"/>
      <c r="AZ43" s="133" t="n"/>
      <c r="BA43" s="131" t="n"/>
      <c r="BB43" s="132" t="n"/>
      <c r="BC43" s="133" t="n"/>
      <c r="BD43" s="131" t="n"/>
      <c r="BE43" s="132" t="n"/>
      <c r="BF43" s="133" t="n"/>
      <c r="BG43" s="131" t="n"/>
      <c r="BH43" s="132" t="n"/>
      <c r="BI43" s="132" t="n"/>
      <c r="BJ43" s="128">
        <f>iferror(SUM($BK43,($BL43*1.2),($BM43*1.35),($BN43*0.74)),)</f>
        <v/>
      </c>
      <c r="BK43" s="128">
        <f>IFERROR(SUM($BT43:$CK43),)</f>
        <v/>
      </c>
      <c r="BL43" s="129">
        <f>IFERROR(SUM($CL43:$CN43),)</f>
        <v/>
      </c>
      <c r="BM43" s="130">
        <f>IFERROR(SUM($CO43:$CQ43),)</f>
        <v/>
      </c>
      <c r="BN43" s="128">
        <f>IFERROR(SUM($CR43:$CT43),)</f>
        <v/>
      </c>
      <c r="BO43" s="128">
        <f>iferror(SUM($BP43,($BQ43*1.2),($BR43*1.35),($BS43*0.74)),)</f>
        <v/>
      </c>
      <c r="BP43" s="128">
        <f>IFERROR(SUM($CU43:$DL43),)</f>
        <v/>
      </c>
      <c r="BQ43" s="128">
        <f>IFERROR(SUM($DM43:$DO43),)</f>
        <v/>
      </c>
      <c r="BR43" s="128">
        <f>IFERROR(SUM($DP43:$DR43),)</f>
        <v/>
      </c>
      <c r="BS43" s="128">
        <f>IFERROR(SUM($DS43:$DU43),)</f>
        <v/>
      </c>
      <c r="BT43" s="128">
        <f>IFERROR(AI43*$W43,)</f>
        <v/>
      </c>
      <c r="BU43" s="128">
        <f>IFERROR(AJ43*$W43,)</f>
        <v/>
      </c>
      <c r="BV43" s="128">
        <f>IFERROR(AK43*$W43,)</f>
        <v/>
      </c>
      <c r="BW43" s="128">
        <f>IFERROR(AL43*$W43,)</f>
        <v/>
      </c>
      <c r="BX43" s="128">
        <f>IFERROR(AM43*$W43,)</f>
        <v/>
      </c>
      <c r="BY43" s="128">
        <f>IFERROR(AN43*$W43,)</f>
        <v/>
      </c>
      <c r="BZ43" s="128">
        <f>IFERROR(AO43*$W43,)</f>
        <v/>
      </c>
      <c r="CA43" s="128">
        <f>IFERROR(AP43*$W43,)</f>
        <v/>
      </c>
      <c r="CB43" s="128">
        <f>IFERROR(AQ43*$W43,)</f>
        <v/>
      </c>
      <c r="CC43" s="128">
        <f>IFERROR(AR43*$W43,)</f>
        <v/>
      </c>
      <c r="CD43" s="128">
        <f>IFERROR(AS43*$W43,)</f>
        <v/>
      </c>
      <c r="CE43" s="128">
        <f>IFERROR(AT43*$W43,)</f>
        <v/>
      </c>
      <c r="CF43" s="128">
        <f>IFERROR(AU43*$W43,)</f>
        <v/>
      </c>
      <c r="CG43" s="128">
        <f>IFERROR(AV43*$W43,)</f>
        <v/>
      </c>
      <c r="CH43" s="128">
        <f>IFERROR(AW43*$W43,)</f>
        <v/>
      </c>
      <c r="CI43" s="128">
        <f>IFERROR(AX43*$W43,)</f>
        <v/>
      </c>
      <c r="CJ43" s="128">
        <f>IFERROR(AY43*$W43,)</f>
        <v/>
      </c>
      <c r="CK43" s="128">
        <f>IFERROR(AZ43*$W43,)</f>
        <v/>
      </c>
      <c r="CL43" s="129">
        <f>IFERROR(if($Y43=0,BA43*($W43/1.2),BA43*$Y43),"")</f>
        <v/>
      </c>
      <c r="CM43" s="129">
        <f>IFERROR(if($Y43=0,BB43*($W43/1.2),BB43*$Y43),"")</f>
        <v/>
      </c>
      <c r="CN43" s="129">
        <f>IFERROR(if($Y43=0,BC43*($W43/1.2),BC43*$Y43),"")</f>
        <v/>
      </c>
      <c r="CO43" s="130">
        <f>IFERROR(if($AA43=0,($W43/1.35)*BD43,BD43*$AA43),)</f>
        <v/>
      </c>
      <c r="CP43" s="130">
        <f>IFERROR(if($AA43=0,($W43/1.35)*BE43,BE43*$AA43),)</f>
        <v/>
      </c>
      <c r="CQ43" s="130">
        <f>IFERROR(if($AA43=0,($W43/1.35)*BF43,BF43*$AA43),)</f>
        <v/>
      </c>
      <c r="CR43" s="128">
        <f>IFERROR(if($AC43=0,($W43/0.74)*BG43,
BG43*$AC43),)</f>
        <v/>
      </c>
      <c r="CS43" s="128">
        <f>IFERROR(if($AC43=0,($W43/0.74)*BH43,
BH43*$AC43),)</f>
        <v/>
      </c>
      <c r="CT43" s="128">
        <f>IFERROR(if($AC43=0,($W43/0.74)*BI43,
BI43*$AC43),)</f>
        <v/>
      </c>
      <c r="CU43" s="128">
        <f>IFERROR(AI43*$V43,)</f>
        <v/>
      </c>
      <c r="CV43" s="128">
        <f>IFERROR(AJ43*$V43,)</f>
        <v/>
      </c>
      <c r="CW43" s="128">
        <f>IFERROR(AK43*$V43,)</f>
        <v/>
      </c>
      <c r="CX43" s="128">
        <f>IFERROR(AL43*$V43,)</f>
        <v/>
      </c>
      <c r="CY43" s="128">
        <f>IFERROR(AM43*$V43,)</f>
        <v/>
      </c>
      <c r="CZ43" s="128">
        <f>IFERROR(AN43*$V43,)</f>
        <v/>
      </c>
      <c r="DA43" s="128">
        <f>IFERROR(AO43*$V43,)</f>
        <v/>
      </c>
      <c r="DB43" s="128">
        <f>IFERROR(AP43*$V43,)</f>
        <v/>
      </c>
      <c r="DC43" s="128">
        <f>IFERROR(AQ43*$V43,)</f>
        <v/>
      </c>
      <c r="DD43" s="128">
        <f>IFERROR(AR43*$V43,)</f>
        <v/>
      </c>
      <c r="DE43" s="128">
        <f>IFERROR(AS43*$V43,)</f>
        <v/>
      </c>
      <c r="DF43" s="128">
        <f>IFERROR(AT43*$V43,)</f>
        <v/>
      </c>
      <c r="DG43" s="128">
        <f>IFERROR(AU43*$V43,)</f>
        <v/>
      </c>
      <c r="DH43" s="128">
        <f>IFERROR(AV43*$V43,)</f>
        <v/>
      </c>
      <c r="DI43" s="128">
        <f>IFERROR(AW43*$V43,)</f>
        <v/>
      </c>
      <c r="DJ43" s="128">
        <f>IFERROR(AX43*$V43,)</f>
        <v/>
      </c>
      <c r="DK43" s="128">
        <f>IFERROR(AY43*$V43,)</f>
        <v/>
      </c>
      <c r="DL43" s="128">
        <f>IFERROR(AZ43*$V43,)</f>
        <v/>
      </c>
      <c r="DM43" s="129">
        <f>IFERROR(if($X43=0,($V43/1.2)*BA43,
BA43*$X43),)</f>
        <v/>
      </c>
      <c r="DN43" s="129">
        <f>IFERROR(if($X43=0,($V43/1.2)*BB43,
BB43*$X43),)</f>
        <v/>
      </c>
      <c r="DO43" s="129">
        <f>IFERROR(if($X43=0,($V43/1.2)*BC43,
BC43*$X43),)</f>
        <v/>
      </c>
      <c r="DP43" s="130">
        <f>IFERROR(if($Z43=0,($V43/1.35)*BD43,
BD43*$Z43),)</f>
        <v/>
      </c>
      <c r="DQ43" s="130">
        <f>IFERROR(if($Z43=0,($V43/1.35)*BE43,
BE43*$Z43),)</f>
        <v/>
      </c>
      <c r="DR43" s="130">
        <f>IFERROR(if($Z43=0,($V43/1.35)*BF43,
BF43*$Z43),)</f>
        <v/>
      </c>
      <c r="DS43" s="128">
        <f>IFERROR(IF($AB43=0,($V43/0.74)*BG43,
BG43*$AB43),)</f>
        <v/>
      </c>
      <c r="DT43" s="128">
        <f>IFERROR(IF($AB43=0,($V43/0.74)*BH43,
BH43*$AB43),)</f>
        <v/>
      </c>
      <c r="DU43" s="128">
        <f>IFERROR(IF($AB43=0,($V43/0.74)*BI43,
BI43*$AB43),)</f>
        <v/>
      </c>
    </row>
    <row r="44" ht="60" customHeight="1" s="162">
      <c r="A44" s="115" t="n"/>
      <c r="B44" s="115" t="n"/>
      <c r="C44" s="115" t="n"/>
      <c r="D44" s="115" t="n"/>
      <c r="E44" s="115" t="n"/>
      <c r="F44" s="115" t="n"/>
      <c r="G44" s="115" t="n"/>
      <c r="H44" s="115" t="n"/>
      <c r="I44" s="115" t="n"/>
      <c r="J44" s="115" t="n"/>
      <c r="K44" s="115" t="n"/>
      <c r="L44" s="115" t="n"/>
      <c r="M44" s="115" t="n"/>
      <c r="N44" s="115" t="n"/>
      <c r="O44" s="115" t="n"/>
      <c r="P44" s="115" t="n"/>
      <c r="Q44" s="115" t="n"/>
      <c r="R44" s="115" t="n"/>
      <c r="S44" s="115" t="n"/>
      <c r="T44" s="115" t="n"/>
      <c r="U44" s="116" t="n"/>
      <c r="V44" s="116" t="n"/>
      <c r="W44" s="117" t="n"/>
      <c r="X44" s="118" t="n"/>
      <c r="Y44" s="119" t="n"/>
      <c r="Z44" s="120" t="n"/>
      <c r="AA44" s="121" t="n"/>
      <c r="AB44" s="122" t="n"/>
      <c r="AC44" s="117" t="n"/>
      <c r="AD44" s="123">
        <f>IF(SUM($AE44:$AH44)=0,"",SUM($AE44:$AH44))</f>
        <v/>
      </c>
      <c r="AE44" s="123">
        <f>iferror(IF(SUM($AI44:$AZ44)=0,"",SUM($AI44:$AZ44)),"")</f>
        <v/>
      </c>
      <c r="AF44" s="123">
        <f>iferror(IF(SUM($BA44:$BC44)=0,"",SUM($BA44:$BC44)),"")</f>
        <v/>
      </c>
      <c r="AG44" s="123">
        <f>iferror(IF(SUM($BD44:$BF44)=0,"",SUM($BD44:$BF44)),"")</f>
        <v/>
      </c>
      <c r="AH44" s="124">
        <f>iferror(IF(SUM($BG44:$BI44)=0,"",SUM($BG44:$BI44)),"")</f>
        <v/>
      </c>
      <c r="AI44" s="131" t="n"/>
      <c r="AJ44" s="132" t="n"/>
      <c r="AK44" s="132" t="n"/>
      <c r="AL44" s="132" t="n"/>
      <c r="AM44" s="132" t="n"/>
      <c r="AN44" s="132" t="n"/>
      <c r="AO44" s="132" t="n"/>
      <c r="AP44" s="132" t="n"/>
      <c r="AQ44" s="132" t="n"/>
      <c r="AR44" s="132" t="n"/>
      <c r="AS44" s="132" t="n"/>
      <c r="AT44" s="132" t="n"/>
      <c r="AU44" s="132" t="n"/>
      <c r="AV44" s="132" t="n"/>
      <c r="AW44" s="132" t="n"/>
      <c r="AX44" s="132" t="n"/>
      <c r="AY44" s="132" t="n"/>
      <c r="AZ44" s="133" t="n"/>
      <c r="BA44" s="131" t="n"/>
      <c r="BB44" s="132" t="n"/>
      <c r="BC44" s="133" t="n"/>
      <c r="BD44" s="131" t="n"/>
      <c r="BE44" s="132" t="n"/>
      <c r="BF44" s="133" t="n"/>
      <c r="BG44" s="131" t="n"/>
      <c r="BH44" s="132" t="n"/>
      <c r="BI44" s="132" t="n"/>
      <c r="BJ44" s="128">
        <f>iferror(SUM($BK44,($BL44*1.2),($BM44*1.35),($BN44*0.74)),)</f>
        <v/>
      </c>
      <c r="BK44" s="128">
        <f>IFERROR(SUM($BT44:$CK44),)</f>
        <v/>
      </c>
      <c r="BL44" s="129">
        <f>IFERROR(SUM($CL44:$CN44),)</f>
        <v/>
      </c>
      <c r="BM44" s="130">
        <f>IFERROR(SUM($CO44:$CQ44),)</f>
        <v/>
      </c>
      <c r="BN44" s="128">
        <f>IFERROR(SUM($CR44:$CT44),)</f>
        <v/>
      </c>
      <c r="BO44" s="128">
        <f>iferror(SUM($BP44,($BQ44*1.2),($BR44*1.35),($BS44*0.74)),)</f>
        <v/>
      </c>
      <c r="BP44" s="128">
        <f>IFERROR(SUM($CU44:$DL44),)</f>
        <v/>
      </c>
      <c r="BQ44" s="128">
        <f>IFERROR(SUM($DM44:$DO44),)</f>
        <v/>
      </c>
      <c r="BR44" s="128">
        <f>IFERROR(SUM($DP44:$DR44),)</f>
        <v/>
      </c>
      <c r="BS44" s="128">
        <f>IFERROR(SUM($DS44:$DU44),)</f>
        <v/>
      </c>
      <c r="BT44" s="128">
        <f>IFERROR(AI44*$W44,)</f>
        <v/>
      </c>
      <c r="BU44" s="128">
        <f>IFERROR(AJ44*$W44,)</f>
        <v/>
      </c>
      <c r="BV44" s="128">
        <f>IFERROR(AK44*$W44,)</f>
        <v/>
      </c>
      <c r="BW44" s="128">
        <f>IFERROR(AL44*$W44,)</f>
        <v/>
      </c>
      <c r="BX44" s="128">
        <f>IFERROR(AM44*$W44,)</f>
        <v/>
      </c>
      <c r="BY44" s="128">
        <f>IFERROR(AN44*$W44,)</f>
        <v/>
      </c>
      <c r="BZ44" s="128">
        <f>IFERROR(AO44*$W44,)</f>
        <v/>
      </c>
      <c r="CA44" s="128">
        <f>IFERROR(AP44*$W44,)</f>
        <v/>
      </c>
      <c r="CB44" s="128">
        <f>IFERROR(AQ44*$W44,)</f>
        <v/>
      </c>
      <c r="CC44" s="128">
        <f>IFERROR(AR44*$W44,)</f>
        <v/>
      </c>
      <c r="CD44" s="128">
        <f>IFERROR(AS44*$W44,)</f>
        <v/>
      </c>
      <c r="CE44" s="128">
        <f>IFERROR(AT44*$W44,)</f>
        <v/>
      </c>
      <c r="CF44" s="128">
        <f>IFERROR(AU44*$W44,)</f>
        <v/>
      </c>
      <c r="CG44" s="128">
        <f>IFERROR(AV44*$W44,)</f>
        <v/>
      </c>
      <c r="CH44" s="128">
        <f>IFERROR(AW44*$W44,)</f>
        <v/>
      </c>
      <c r="CI44" s="128">
        <f>IFERROR(AX44*$W44,)</f>
        <v/>
      </c>
      <c r="CJ44" s="128">
        <f>IFERROR(AY44*$W44,)</f>
        <v/>
      </c>
      <c r="CK44" s="128">
        <f>IFERROR(AZ44*$W44,)</f>
        <v/>
      </c>
      <c r="CL44" s="129">
        <f>IFERROR(if($Y44=0,BA44*($W44/1.2),BA44*$Y44),"")</f>
        <v/>
      </c>
      <c r="CM44" s="129">
        <f>IFERROR(if($Y44=0,BB44*($W44/1.2),BB44*$Y44),"")</f>
        <v/>
      </c>
      <c r="CN44" s="129">
        <f>IFERROR(if($Y44=0,BC44*($W44/1.2),BC44*$Y44),"")</f>
        <v/>
      </c>
      <c r="CO44" s="130">
        <f>IFERROR(if($AA44=0,($W44/1.35)*BD44,BD44*$AA44),)</f>
        <v/>
      </c>
      <c r="CP44" s="130">
        <f>IFERROR(if($AA44=0,($W44/1.35)*BE44,BE44*$AA44),)</f>
        <v/>
      </c>
      <c r="CQ44" s="130">
        <f>IFERROR(if($AA44=0,($W44/1.35)*BF44,BF44*$AA44),)</f>
        <v/>
      </c>
      <c r="CR44" s="128">
        <f>IFERROR(if($AC44=0,($W44/0.74)*BG44,
BG44*$AC44),)</f>
        <v/>
      </c>
      <c r="CS44" s="128">
        <f>IFERROR(if($AC44=0,($W44/0.74)*BH44,
BH44*$AC44),)</f>
        <v/>
      </c>
      <c r="CT44" s="128">
        <f>IFERROR(if($AC44=0,($W44/0.74)*BI44,
BI44*$AC44),)</f>
        <v/>
      </c>
      <c r="CU44" s="128">
        <f>IFERROR(AI44*$V44,)</f>
        <v/>
      </c>
      <c r="CV44" s="128">
        <f>IFERROR(AJ44*$V44,)</f>
        <v/>
      </c>
      <c r="CW44" s="128">
        <f>IFERROR(AK44*$V44,)</f>
        <v/>
      </c>
      <c r="CX44" s="128">
        <f>IFERROR(AL44*$V44,)</f>
        <v/>
      </c>
      <c r="CY44" s="128">
        <f>IFERROR(AM44*$V44,)</f>
        <v/>
      </c>
      <c r="CZ44" s="128">
        <f>IFERROR(AN44*$V44,)</f>
        <v/>
      </c>
      <c r="DA44" s="128">
        <f>IFERROR(AO44*$V44,)</f>
        <v/>
      </c>
      <c r="DB44" s="128">
        <f>IFERROR(AP44*$V44,)</f>
        <v/>
      </c>
      <c r="DC44" s="128">
        <f>IFERROR(AQ44*$V44,)</f>
        <v/>
      </c>
      <c r="DD44" s="128">
        <f>IFERROR(AR44*$V44,)</f>
        <v/>
      </c>
      <c r="DE44" s="128">
        <f>IFERROR(AS44*$V44,)</f>
        <v/>
      </c>
      <c r="DF44" s="128">
        <f>IFERROR(AT44*$V44,)</f>
        <v/>
      </c>
      <c r="DG44" s="128">
        <f>IFERROR(AU44*$V44,)</f>
        <v/>
      </c>
      <c r="DH44" s="128">
        <f>IFERROR(AV44*$V44,)</f>
        <v/>
      </c>
      <c r="DI44" s="128">
        <f>IFERROR(AW44*$V44,)</f>
        <v/>
      </c>
      <c r="DJ44" s="128">
        <f>IFERROR(AX44*$V44,)</f>
        <v/>
      </c>
      <c r="DK44" s="128">
        <f>IFERROR(AY44*$V44,)</f>
        <v/>
      </c>
      <c r="DL44" s="128">
        <f>IFERROR(AZ44*$V44,)</f>
        <v/>
      </c>
      <c r="DM44" s="129">
        <f>IFERROR(if($X44=0,($V44/1.2)*BA44,
BA44*$X44),)</f>
        <v/>
      </c>
      <c r="DN44" s="129">
        <f>IFERROR(if($X44=0,($V44/1.2)*BB44,
BB44*$X44),)</f>
        <v/>
      </c>
      <c r="DO44" s="129">
        <f>IFERROR(if($X44=0,($V44/1.2)*BC44,
BC44*$X44),)</f>
        <v/>
      </c>
      <c r="DP44" s="130">
        <f>IFERROR(if($Z44=0,($V44/1.35)*BD44,
BD44*$Z44),)</f>
        <v/>
      </c>
      <c r="DQ44" s="130">
        <f>IFERROR(if($Z44=0,($V44/1.35)*BE44,
BE44*$Z44),)</f>
        <v/>
      </c>
      <c r="DR44" s="130">
        <f>IFERROR(if($Z44=0,($V44/1.35)*BF44,
BF44*$Z44),)</f>
        <v/>
      </c>
      <c r="DS44" s="128">
        <f>IFERROR(IF($AB44=0,($V44/0.74)*BG44,
BG44*$AB44),)</f>
        <v/>
      </c>
      <c r="DT44" s="128">
        <f>IFERROR(IF($AB44=0,($V44/0.74)*BH44,
BH44*$AB44),)</f>
        <v/>
      </c>
      <c r="DU44" s="128">
        <f>IFERROR(IF($AB44=0,($V44/0.74)*BI44,
BI44*$AB44),)</f>
        <v/>
      </c>
    </row>
    <row r="45" ht="60" customHeight="1" s="162">
      <c r="A45" s="115" t="n"/>
      <c r="B45" s="115" t="n"/>
      <c r="C45" s="115" t="n"/>
      <c r="D45" s="115" t="n"/>
      <c r="E45" s="115" t="n"/>
      <c r="F45" s="115" t="n"/>
      <c r="G45" s="115" t="n"/>
      <c r="H45" s="115" t="n"/>
      <c r="I45" s="115" t="n"/>
      <c r="J45" s="115" t="n"/>
      <c r="K45" s="115" t="n"/>
      <c r="L45" s="115" t="n"/>
      <c r="M45" s="115" t="n"/>
      <c r="N45" s="115" t="n"/>
      <c r="O45" s="115" t="n"/>
      <c r="P45" s="115" t="n"/>
      <c r="Q45" s="115" t="n"/>
      <c r="R45" s="115" t="n"/>
      <c r="S45" s="115" t="n"/>
      <c r="T45" s="115" t="n"/>
      <c r="U45" s="116" t="n"/>
      <c r="V45" s="116" t="n"/>
      <c r="W45" s="117" t="n"/>
      <c r="X45" s="118" t="n"/>
      <c r="Y45" s="119" t="n"/>
      <c r="Z45" s="120" t="n"/>
      <c r="AA45" s="121" t="n"/>
      <c r="AB45" s="122" t="n"/>
      <c r="AC45" s="117" t="n"/>
      <c r="AD45" s="123">
        <f>IF(SUM($AE45:$AH45)=0,"",SUM($AE45:$AH45))</f>
        <v/>
      </c>
      <c r="AE45" s="123">
        <f>iferror(IF(SUM($AI45:$AZ45)=0,"",SUM($AI45:$AZ45)),"")</f>
        <v/>
      </c>
      <c r="AF45" s="123">
        <f>iferror(IF(SUM($BA45:$BC45)=0,"",SUM($BA45:$BC45)),"")</f>
        <v/>
      </c>
      <c r="AG45" s="123">
        <f>iferror(IF(SUM($BD45:$BF45)=0,"",SUM($BD45:$BF45)),"")</f>
        <v/>
      </c>
      <c r="AH45" s="124">
        <f>iferror(IF(SUM($BG45:$BI45)=0,"",SUM($BG45:$BI45)),"")</f>
        <v/>
      </c>
      <c r="AI45" s="131" t="n"/>
      <c r="AJ45" s="132" t="n"/>
      <c r="AK45" s="132" t="n"/>
      <c r="AL45" s="132" t="n"/>
      <c r="AM45" s="132" t="n"/>
      <c r="AN45" s="132" t="n"/>
      <c r="AO45" s="132" t="n"/>
      <c r="AP45" s="132" t="n"/>
      <c r="AQ45" s="132" t="n"/>
      <c r="AR45" s="132" t="n"/>
      <c r="AS45" s="132" t="n"/>
      <c r="AT45" s="132" t="n"/>
      <c r="AU45" s="132" t="n"/>
      <c r="AV45" s="132" t="n"/>
      <c r="AW45" s="132" t="n"/>
      <c r="AX45" s="132" t="n"/>
      <c r="AY45" s="132" t="n"/>
      <c r="AZ45" s="133" t="n"/>
      <c r="BA45" s="131" t="n"/>
      <c r="BB45" s="132" t="n"/>
      <c r="BC45" s="133" t="n"/>
      <c r="BD45" s="131" t="n"/>
      <c r="BE45" s="132" t="n"/>
      <c r="BF45" s="133" t="n"/>
      <c r="BG45" s="131" t="n"/>
      <c r="BH45" s="132" t="n"/>
      <c r="BI45" s="132" t="n"/>
      <c r="BJ45" s="128">
        <f>iferror(SUM($BK45,($BL45*1.2),($BM45*1.35),($BN45*0.74)),)</f>
        <v/>
      </c>
      <c r="BK45" s="128">
        <f>IFERROR(SUM($BT45:$CK45),)</f>
        <v/>
      </c>
      <c r="BL45" s="129">
        <f>IFERROR(SUM($CL45:$CN45),)</f>
        <v/>
      </c>
      <c r="BM45" s="130">
        <f>IFERROR(SUM($CO45:$CQ45),)</f>
        <v/>
      </c>
      <c r="BN45" s="128">
        <f>IFERROR(SUM($CR45:$CT45),)</f>
        <v/>
      </c>
      <c r="BO45" s="128">
        <f>iferror(SUM($BP45,($BQ45*1.2),($BR45*1.35),($BS45*0.74)),)</f>
        <v/>
      </c>
      <c r="BP45" s="128">
        <f>IFERROR(SUM($CU45:$DL45),)</f>
        <v/>
      </c>
      <c r="BQ45" s="128">
        <f>IFERROR(SUM($DM45:$DO45),)</f>
        <v/>
      </c>
      <c r="BR45" s="128">
        <f>IFERROR(SUM($DP45:$DR45),)</f>
        <v/>
      </c>
      <c r="BS45" s="128">
        <f>IFERROR(SUM($DS45:$DU45),)</f>
        <v/>
      </c>
      <c r="BT45" s="128">
        <f>IFERROR(AI45*$W45,)</f>
        <v/>
      </c>
      <c r="BU45" s="128">
        <f>IFERROR(AJ45*$W45,)</f>
        <v/>
      </c>
      <c r="BV45" s="128">
        <f>IFERROR(AK45*$W45,)</f>
        <v/>
      </c>
      <c r="BW45" s="128">
        <f>IFERROR(AL45*$W45,)</f>
        <v/>
      </c>
      <c r="BX45" s="128">
        <f>IFERROR(AM45*$W45,)</f>
        <v/>
      </c>
      <c r="BY45" s="128">
        <f>IFERROR(AN45*$W45,)</f>
        <v/>
      </c>
      <c r="BZ45" s="128">
        <f>IFERROR(AO45*$W45,)</f>
        <v/>
      </c>
      <c r="CA45" s="128">
        <f>IFERROR(AP45*$W45,)</f>
        <v/>
      </c>
      <c r="CB45" s="128">
        <f>IFERROR(AQ45*$W45,)</f>
        <v/>
      </c>
      <c r="CC45" s="128">
        <f>IFERROR(AR45*$W45,)</f>
        <v/>
      </c>
      <c r="CD45" s="128">
        <f>IFERROR(AS45*$W45,)</f>
        <v/>
      </c>
      <c r="CE45" s="128">
        <f>IFERROR(AT45*$W45,)</f>
        <v/>
      </c>
      <c r="CF45" s="128">
        <f>IFERROR(AU45*$W45,)</f>
        <v/>
      </c>
      <c r="CG45" s="128">
        <f>IFERROR(AV45*$W45,)</f>
        <v/>
      </c>
      <c r="CH45" s="128">
        <f>IFERROR(AW45*$W45,)</f>
        <v/>
      </c>
      <c r="CI45" s="128">
        <f>IFERROR(AX45*$W45,)</f>
        <v/>
      </c>
      <c r="CJ45" s="128">
        <f>IFERROR(AY45*$W45,)</f>
        <v/>
      </c>
      <c r="CK45" s="128">
        <f>IFERROR(AZ45*$W45,)</f>
        <v/>
      </c>
      <c r="CL45" s="129">
        <f>IFERROR(if($Y45=0,BA45*($W45/1.2),BA45*$Y45),"")</f>
        <v/>
      </c>
      <c r="CM45" s="129">
        <f>IFERROR(if($Y45=0,BB45*($W45/1.2),BB45*$Y45),"")</f>
        <v/>
      </c>
      <c r="CN45" s="129">
        <f>IFERROR(if($Y45=0,BC45*($W45/1.2),BC45*$Y45),"")</f>
        <v/>
      </c>
      <c r="CO45" s="130">
        <f>IFERROR(if($AA45=0,($W45/1.35)*BD45,BD45*$AA45),)</f>
        <v/>
      </c>
      <c r="CP45" s="130">
        <f>IFERROR(if($AA45=0,($W45/1.35)*BE45,BE45*$AA45),)</f>
        <v/>
      </c>
      <c r="CQ45" s="130">
        <f>IFERROR(if($AA45=0,($W45/1.35)*BF45,BF45*$AA45),)</f>
        <v/>
      </c>
      <c r="CR45" s="128">
        <f>IFERROR(if($AC45=0,($W45/0.74)*BG45,
BG45*$AC45),)</f>
        <v/>
      </c>
      <c r="CS45" s="128">
        <f>IFERROR(if($AC45=0,($W45/0.74)*BH45,
BH45*$AC45),)</f>
        <v/>
      </c>
      <c r="CT45" s="128">
        <f>IFERROR(if($AC45=0,($W45/0.74)*BI45,
BI45*$AC45),)</f>
        <v/>
      </c>
      <c r="CU45" s="128">
        <f>IFERROR(AI45*$V45,)</f>
        <v/>
      </c>
      <c r="CV45" s="128">
        <f>IFERROR(AJ45*$V45,)</f>
        <v/>
      </c>
      <c r="CW45" s="128">
        <f>IFERROR(AK45*$V45,)</f>
        <v/>
      </c>
      <c r="CX45" s="128">
        <f>IFERROR(AL45*$V45,)</f>
        <v/>
      </c>
      <c r="CY45" s="128">
        <f>IFERROR(AM45*$V45,)</f>
        <v/>
      </c>
      <c r="CZ45" s="128">
        <f>IFERROR(AN45*$V45,)</f>
        <v/>
      </c>
      <c r="DA45" s="128">
        <f>IFERROR(AO45*$V45,)</f>
        <v/>
      </c>
      <c r="DB45" s="128">
        <f>IFERROR(AP45*$V45,)</f>
        <v/>
      </c>
      <c r="DC45" s="128">
        <f>IFERROR(AQ45*$V45,)</f>
        <v/>
      </c>
      <c r="DD45" s="128">
        <f>IFERROR(AR45*$V45,)</f>
        <v/>
      </c>
      <c r="DE45" s="128">
        <f>IFERROR(AS45*$V45,)</f>
        <v/>
      </c>
      <c r="DF45" s="128">
        <f>IFERROR(AT45*$V45,)</f>
        <v/>
      </c>
      <c r="DG45" s="128">
        <f>IFERROR(AU45*$V45,)</f>
        <v/>
      </c>
      <c r="DH45" s="128">
        <f>IFERROR(AV45*$V45,)</f>
        <v/>
      </c>
      <c r="DI45" s="128">
        <f>IFERROR(AW45*$V45,)</f>
        <v/>
      </c>
      <c r="DJ45" s="128">
        <f>IFERROR(AX45*$V45,)</f>
        <v/>
      </c>
      <c r="DK45" s="128">
        <f>IFERROR(AY45*$V45,)</f>
        <v/>
      </c>
      <c r="DL45" s="128">
        <f>IFERROR(AZ45*$V45,)</f>
        <v/>
      </c>
      <c r="DM45" s="129">
        <f>IFERROR(if($X45=0,($V45/1.2)*BA45,
BA45*$X45),)</f>
        <v/>
      </c>
      <c r="DN45" s="129">
        <f>IFERROR(if($X45=0,($V45/1.2)*BB45,
BB45*$X45),)</f>
        <v/>
      </c>
      <c r="DO45" s="129">
        <f>IFERROR(if($X45=0,($V45/1.2)*BC45,
BC45*$X45),)</f>
        <v/>
      </c>
      <c r="DP45" s="130">
        <f>IFERROR(if($Z45=0,($V45/1.35)*BD45,
BD45*$Z45),)</f>
        <v/>
      </c>
      <c r="DQ45" s="130">
        <f>IFERROR(if($Z45=0,($V45/1.35)*BE45,
BE45*$Z45),)</f>
        <v/>
      </c>
      <c r="DR45" s="130">
        <f>IFERROR(if($Z45=0,($V45/1.35)*BF45,
BF45*$Z45),)</f>
        <v/>
      </c>
      <c r="DS45" s="128">
        <f>IFERROR(IF($AB45=0,($V45/0.74)*BG45,
BG45*$AB45),)</f>
        <v/>
      </c>
      <c r="DT45" s="128">
        <f>IFERROR(IF($AB45=0,($V45/0.74)*BH45,
BH45*$AB45),)</f>
        <v/>
      </c>
      <c r="DU45" s="128">
        <f>IFERROR(IF($AB45=0,($V45/0.74)*BI45,
BI45*$AB45),)</f>
        <v/>
      </c>
    </row>
    <row r="46" ht="60" customHeight="1" s="162">
      <c r="A46" s="115" t="n"/>
      <c r="B46" s="115" t="n"/>
      <c r="C46" s="115" t="n"/>
      <c r="D46" s="115" t="n"/>
      <c r="E46" s="115" t="n"/>
      <c r="F46" s="115" t="n"/>
      <c r="G46" s="115" t="n"/>
      <c r="H46" s="115" t="n"/>
      <c r="I46" s="115" t="n"/>
      <c r="J46" s="115" t="n"/>
      <c r="K46" s="115" t="n"/>
      <c r="L46" s="115" t="n"/>
      <c r="M46" s="115" t="n"/>
      <c r="N46" s="115" t="n"/>
      <c r="O46" s="115" t="n"/>
      <c r="P46" s="115" t="n"/>
      <c r="Q46" s="115" t="n"/>
      <c r="R46" s="115" t="n"/>
      <c r="S46" s="115" t="n"/>
      <c r="T46" s="115" t="n"/>
      <c r="U46" s="116" t="n"/>
      <c r="V46" s="116" t="n"/>
      <c r="W46" s="117" t="n"/>
      <c r="X46" s="118" t="n"/>
      <c r="Y46" s="119" t="n"/>
      <c r="Z46" s="120" t="n"/>
      <c r="AA46" s="121" t="n"/>
      <c r="AB46" s="122" t="n"/>
      <c r="AC46" s="117" t="n"/>
      <c r="AD46" s="123">
        <f>IF(SUM($AE46:$AH46)=0,"",SUM($AE46:$AH46))</f>
        <v/>
      </c>
      <c r="AE46" s="123">
        <f>iferror(IF(SUM($AI46:$AZ46)=0,"",SUM($AI46:$AZ46)),"")</f>
        <v/>
      </c>
      <c r="AF46" s="123">
        <f>iferror(IF(SUM($BA46:$BC46)=0,"",SUM($BA46:$BC46)),"")</f>
        <v/>
      </c>
      <c r="AG46" s="123">
        <f>iferror(IF(SUM($BD46:$BF46)=0,"",SUM($BD46:$BF46)),"")</f>
        <v/>
      </c>
      <c r="AH46" s="124">
        <f>iferror(IF(SUM($BG46:$BI46)=0,"",SUM($BG46:$BI46)),"")</f>
        <v/>
      </c>
      <c r="AI46" s="131" t="n"/>
      <c r="AJ46" s="132" t="n"/>
      <c r="AK46" s="132" t="n"/>
      <c r="AL46" s="132" t="n"/>
      <c r="AM46" s="132" t="n"/>
      <c r="AN46" s="132" t="n"/>
      <c r="AO46" s="132" t="n"/>
      <c r="AP46" s="132" t="n"/>
      <c r="AQ46" s="132" t="n"/>
      <c r="AR46" s="132" t="n"/>
      <c r="AS46" s="132" t="n"/>
      <c r="AT46" s="132" t="n"/>
      <c r="AU46" s="132" t="n"/>
      <c r="AV46" s="132" t="n"/>
      <c r="AW46" s="132" t="n"/>
      <c r="AX46" s="132" t="n"/>
      <c r="AY46" s="132" t="n"/>
      <c r="AZ46" s="133" t="n"/>
      <c r="BA46" s="131" t="n"/>
      <c r="BB46" s="132" t="n"/>
      <c r="BC46" s="133" t="n"/>
      <c r="BD46" s="131" t="n"/>
      <c r="BE46" s="132" t="n"/>
      <c r="BF46" s="133" t="n"/>
      <c r="BG46" s="131" t="n"/>
      <c r="BH46" s="132" t="n"/>
      <c r="BI46" s="132" t="n"/>
      <c r="BJ46" s="128">
        <f>iferror(SUM($BK46,($BL46*1.2),($BM46*1.35),($BN46*0.74)),)</f>
        <v/>
      </c>
      <c r="BK46" s="128">
        <f>IFERROR(SUM($BT46:$CK46),)</f>
        <v/>
      </c>
      <c r="BL46" s="129">
        <f>IFERROR(SUM($CL46:$CN46),)</f>
        <v/>
      </c>
      <c r="BM46" s="130">
        <f>IFERROR(SUM($CO46:$CQ46),)</f>
        <v/>
      </c>
      <c r="BN46" s="128">
        <f>IFERROR(SUM($CR46:$CT46),)</f>
        <v/>
      </c>
      <c r="BO46" s="128">
        <f>iferror(SUM($BP46,($BQ46*1.2),($BR46*1.35),($BS46*0.74)),)</f>
        <v/>
      </c>
      <c r="BP46" s="128">
        <f>IFERROR(SUM($CU46:$DL46),)</f>
        <v/>
      </c>
      <c r="BQ46" s="128">
        <f>IFERROR(SUM($DM46:$DO46),)</f>
        <v/>
      </c>
      <c r="BR46" s="128">
        <f>IFERROR(SUM($DP46:$DR46),)</f>
        <v/>
      </c>
      <c r="BS46" s="128">
        <f>IFERROR(SUM($DS46:$DU46),)</f>
        <v/>
      </c>
      <c r="BT46" s="128">
        <f>IFERROR(AI46*$W46,)</f>
        <v/>
      </c>
      <c r="BU46" s="128">
        <f>IFERROR(AJ46*$W46,)</f>
        <v/>
      </c>
      <c r="BV46" s="128">
        <f>IFERROR(AK46*$W46,)</f>
        <v/>
      </c>
      <c r="BW46" s="128">
        <f>IFERROR(AL46*$W46,)</f>
        <v/>
      </c>
      <c r="BX46" s="128">
        <f>IFERROR(AM46*$W46,)</f>
        <v/>
      </c>
      <c r="BY46" s="128">
        <f>IFERROR(AN46*$W46,)</f>
        <v/>
      </c>
      <c r="BZ46" s="128">
        <f>IFERROR(AO46*$W46,)</f>
        <v/>
      </c>
      <c r="CA46" s="128">
        <f>IFERROR(AP46*$W46,)</f>
        <v/>
      </c>
      <c r="CB46" s="128">
        <f>IFERROR(AQ46*$W46,)</f>
        <v/>
      </c>
      <c r="CC46" s="128">
        <f>IFERROR(AR46*$W46,)</f>
        <v/>
      </c>
      <c r="CD46" s="128">
        <f>IFERROR(AS46*$W46,)</f>
        <v/>
      </c>
      <c r="CE46" s="128">
        <f>IFERROR(AT46*$W46,)</f>
        <v/>
      </c>
      <c r="CF46" s="128">
        <f>IFERROR(AU46*$W46,)</f>
        <v/>
      </c>
      <c r="CG46" s="128">
        <f>IFERROR(AV46*$W46,)</f>
        <v/>
      </c>
      <c r="CH46" s="128">
        <f>IFERROR(AW46*$W46,)</f>
        <v/>
      </c>
      <c r="CI46" s="128">
        <f>IFERROR(AX46*$W46,)</f>
        <v/>
      </c>
      <c r="CJ46" s="128">
        <f>IFERROR(AY46*$W46,)</f>
        <v/>
      </c>
      <c r="CK46" s="128">
        <f>IFERROR(AZ46*$W46,)</f>
        <v/>
      </c>
      <c r="CL46" s="129">
        <f>IFERROR(if($Y46=0,BA46*($W46/1.2),BA46*$Y46),"")</f>
        <v/>
      </c>
      <c r="CM46" s="129">
        <f>IFERROR(if($Y46=0,BB46*($W46/1.2),BB46*$Y46),"")</f>
        <v/>
      </c>
      <c r="CN46" s="129">
        <f>IFERROR(if($Y46=0,BC46*($W46/1.2),BC46*$Y46),"")</f>
        <v/>
      </c>
      <c r="CO46" s="130">
        <f>IFERROR(if($AA46=0,($W46/1.35)*BD46,BD46*$AA46),)</f>
        <v/>
      </c>
      <c r="CP46" s="130">
        <f>IFERROR(if($AA46=0,($W46/1.35)*BE46,BE46*$AA46),)</f>
        <v/>
      </c>
      <c r="CQ46" s="130">
        <f>IFERROR(if($AA46=0,($W46/1.35)*BF46,BF46*$AA46),)</f>
        <v/>
      </c>
      <c r="CR46" s="128">
        <f>IFERROR(if($AC46=0,($W46/0.74)*BG46,
BG46*$AC46),)</f>
        <v/>
      </c>
      <c r="CS46" s="128">
        <f>IFERROR(if($AC46=0,($W46/0.74)*BH46,
BH46*$AC46),)</f>
        <v/>
      </c>
      <c r="CT46" s="128">
        <f>IFERROR(if($AC46=0,($W46/0.74)*BI46,
BI46*$AC46),)</f>
        <v/>
      </c>
      <c r="CU46" s="128">
        <f>IFERROR(AI46*$V46,)</f>
        <v/>
      </c>
      <c r="CV46" s="128">
        <f>IFERROR(AJ46*$V46,)</f>
        <v/>
      </c>
      <c r="CW46" s="128">
        <f>IFERROR(AK46*$V46,)</f>
        <v/>
      </c>
      <c r="CX46" s="128">
        <f>IFERROR(AL46*$V46,)</f>
        <v/>
      </c>
      <c r="CY46" s="128">
        <f>IFERROR(AM46*$V46,)</f>
        <v/>
      </c>
      <c r="CZ46" s="128">
        <f>IFERROR(AN46*$V46,)</f>
        <v/>
      </c>
      <c r="DA46" s="128">
        <f>IFERROR(AO46*$V46,)</f>
        <v/>
      </c>
      <c r="DB46" s="128">
        <f>IFERROR(AP46*$V46,)</f>
        <v/>
      </c>
      <c r="DC46" s="128">
        <f>IFERROR(AQ46*$V46,)</f>
        <v/>
      </c>
      <c r="DD46" s="128">
        <f>IFERROR(AR46*$V46,)</f>
        <v/>
      </c>
      <c r="DE46" s="128">
        <f>IFERROR(AS46*$V46,)</f>
        <v/>
      </c>
      <c r="DF46" s="128">
        <f>IFERROR(AT46*$V46,)</f>
        <v/>
      </c>
      <c r="DG46" s="128">
        <f>IFERROR(AU46*$V46,)</f>
        <v/>
      </c>
      <c r="DH46" s="128">
        <f>IFERROR(AV46*$V46,)</f>
        <v/>
      </c>
      <c r="DI46" s="128">
        <f>IFERROR(AW46*$V46,)</f>
        <v/>
      </c>
      <c r="DJ46" s="128">
        <f>IFERROR(AX46*$V46,)</f>
        <v/>
      </c>
      <c r="DK46" s="128">
        <f>IFERROR(AY46*$V46,)</f>
        <v/>
      </c>
      <c r="DL46" s="128">
        <f>IFERROR(AZ46*$V46,)</f>
        <v/>
      </c>
      <c r="DM46" s="129">
        <f>IFERROR(if($X46=0,($V46/1.2)*BA46,
BA46*$X46),)</f>
        <v/>
      </c>
      <c r="DN46" s="129">
        <f>IFERROR(if($X46=0,($V46/1.2)*BB46,
BB46*$X46),)</f>
        <v/>
      </c>
      <c r="DO46" s="129">
        <f>IFERROR(if($X46=0,($V46/1.2)*BC46,
BC46*$X46),)</f>
        <v/>
      </c>
      <c r="DP46" s="130">
        <f>IFERROR(if($Z46=0,($V46/1.35)*BD46,
BD46*$Z46),)</f>
        <v/>
      </c>
      <c r="DQ46" s="130">
        <f>IFERROR(if($Z46=0,($V46/1.35)*BE46,
BE46*$Z46),)</f>
        <v/>
      </c>
      <c r="DR46" s="130">
        <f>IFERROR(if($Z46=0,($V46/1.35)*BF46,
BF46*$Z46),)</f>
        <v/>
      </c>
      <c r="DS46" s="128">
        <f>IFERROR(IF($AB46=0,($V46/0.74)*BG46,
BG46*$AB46),)</f>
        <v/>
      </c>
      <c r="DT46" s="128">
        <f>IFERROR(IF($AB46=0,($V46/0.74)*BH46,
BH46*$AB46),)</f>
        <v/>
      </c>
      <c r="DU46" s="128">
        <f>IFERROR(IF($AB46=0,($V46/0.74)*BI46,
BI46*$AB46),)</f>
        <v/>
      </c>
    </row>
    <row r="47" ht="60" customHeight="1" s="162">
      <c r="A47" s="115" t="n"/>
      <c r="B47" s="115" t="n"/>
      <c r="C47" s="115" t="n"/>
      <c r="D47" s="115" t="n"/>
      <c r="E47" s="115" t="n"/>
      <c r="F47" s="115" t="n"/>
      <c r="G47" s="115" t="n"/>
      <c r="H47" s="115" t="n"/>
      <c r="I47" s="115" t="n"/>
      <c r="J47" s="115" t="n"/>
      <c r="K47" s="115" t="n"/>
      <c r="L47" s="115" t="n"/>
      <c r="M47" s="115" t="n"/>
      <c r="N47" s="115" t="n"/>
      <c r="O47" s="115" t="n"/>
      <c r="P47" s="115" t="n"/>
      <c r="Q47" s="115" t="n"/>
      <c r="R47" s="115" t="n"/>
      <c r="S47" s="115" t="n"/>
      <c r="T47" s="115" t="n"/>
      <c r="U47" s="116" t="n"/>
      <c r="V47" s="116" t="n"/>
      <c r="W47" s="117" t="n"/>
      <c r="X47" s="118" t="n"/>
      <c r="Y47" s="119" t="n"/>
      <c r="Z47" s="120" t="n"/>
      <c r="AA47" s="121" t="n"/>
      <c r="AB47" s="122" t="n"/>
      <c r="AC47" s="117" t="n"/>
      <c r="AD47" s="123">
        <f>IF(SUM($AE47:$AH47)=0,"",SUM($AE47:$AH47))</f>
        <v/>
      </c>
      <c r="AE47" s="123">
        <f>iferror(IF(SUM($AI47:$AZ47)=0,"",SUM($AI47:$AZ47)),"")</f>
        <v/>
      </c>
      <c r="AF47" s="123">
        <f>iferror(IF(SUM($BA47:$BC47)=0,"",SUM($BA47:$BC47)),"")</f>
        <v/>
      </c>
      <c r="AG47" s="123">
        <f>iferror(IF(SUM($BD47:$BF47)=0,"",SUM($BD47:$BF47)),"")</f>
        <v/>
      </c>
      <c r="AH47" s="124">
        <f>iferror(IF(SUM($BG47:$BI47)=0,"",SUM($BG47:$BI47)),"")</f>
        <v/>
      </c>
      <c r="AI47" s="131" t="n"/>
      <c r="AJ47" s="132" t="n"/>
      <c r="AK47" s="132" t="n"/>
      <c r="AL47" s="132" t="n"/>
      <c r="AM47" s="132" t="n"/>
      <c r="AN47" s="132" t="n"/>
      <c r="AO47" s="132" t="n"/>
      <c r="AP47" s="132" t="n"/>
      <c r="AQ47" s="132" t="n"/>
      <c r="AR47" s="132" t="n"/>
      <c r="AS47" s="132" t="n"/>
      <c r="AT47" s="132" t="n"/>
      <c r="AU47" s="132" t="n"/>
      <c r="AV47" s="132" t="n"/>
      <c r="AW47" s="132" t="n"/>
      <c r="AX47" s="132" t="n"/>
      <c r="AY47" s="132" t="n"/>
      <c r="AZ47" s="133" t="n"/>
      <c r="BA47" s="131" t="n"/>
      <c r="BB47" s="132" t="n"/>
      <c r="BC47" s="133" t="n"/>
      <c r="BD47" s="131" t="n"/>
      <c r="BE47" s="132" t="n"/>
      <c r="BF47" s="133" t="n"/>
      <c r="BG47" s="131" t="n"/>
      <c r="BH47" s="132" t="n"/>
      <c r="BI47" s="132" t="n"/>
      <c r="BJ47" s="128">
        <f>iferror(SUM($BK47,($BL47*1.2),($BM47*1.35),($BN47*0.74)),)</f>
        <v/>
      </c>
      <c r="BK47" s="128">
        <f>IFERROR(SUM($BT47:$CK47),)</f>
        <v/>
      </c>
      <c r="BL47" s="129">
        <f>IFERROR(SUM($CL47:$CN47),)</f>
        <v/>
      </c>
      <c r="BM47" s="130">
        <f>IFERROR(SUM($CO47:$CQ47),)</f>
        <v/>
      </c>
      <c r="BN47" s="128">
        <f>IFERROR(SUM($CR47:$CT47),)</f>
        <v/>
      </c>
      <c r="BO47" s="128">
        <f>iferror(SUM($BP47,($BQ47*1.2),($BR47*1.35),($BS47*0.74)),)</f>
        <v/>
      </c>
      <c r="BP47" s="128">
        <f>IFERROR(SUM($CU47:$DL47),)</f>
        <v/>
      </c>
      <c r="BQ47" s="128">
        <f>IFERROR(SUM($DM47:$DO47),)</f>
        <v/>
      </c>
      <c r="BR47" s="128">
        <f>IFERROR(SUM($DP47:$DR47),)</f>
        <v/>
      </c>
      <c r="BS47" s="128">
        <f>IFERROR(SUM($DS47:$DU47),)</f>
        <v/>
      </c>
      <c r="BT47" s="128">
        <f>IFERROR(AI47*$W47,)</f>
        <v/>
      </c>
      <c r="BU47" s="128">
        <f>IFERROR(AJ47*$W47,)</f>
        <v/>
      </c>
      <c r="BV47" s="128">
        <f>IFERROR(AK47*$W47,)</f>
        <v/>
      </c>
      <c r="BW47" s="128">
        <f>IFERROR(AL47*$W47,)</f>
        <v/>
      </c>
      <c r="BX47" s="128">
        <f>IFERROR(AM47*$W47,)</f>
        <v/>
      </c>
      <c r="BY47" s="128">
        <f>IFERROR(AN47*$W47,)</f>
        <v/>
      </c>
      <c r="BZ47" s="128">
        <f>IFERROR(AO47*$W47,)</f>
        <v/>
      </c>
      <c r="CA47" s="128">
        <f>IFERROR(AP47*$W47,)</f>
        <v/>
      </c>
      <c r="CB47" s="128">
        <f>IFERROR(AQ47*$W47,)</f>
        <v/>
      </c>
      <c r="CC47" s="128">
        <f>IFERROR(AR47*$W47,)</f>
        <v/>
      </c>
      <c r="CD47" s="128">
        <f>IFERROR(AS47*$W47,)</f>
        <v/>
      </c>
      <c r="CE47" s="128">
        <f>IFERROR(AT47*$W47,)</f>
        <v/>
      </c>
      <c r="CF47" s="128">
        <f>IFERROR(AU47*$W47,)</f>
        <v/>
      </c>
      <c r="CG47" s="128">
        <f>IFERROR(AV47*$W47,)</f>
        <v/>
      </c>
      <c r="CH47" s="128">
        <f>IFERROR(AW47*$W47,)</f>
        <v/>
      </c>
      <c r="CI47" s="128">
        <f>IFERROR(AX47*$W47,)</f>
        <v/>
      </c>
      <c r="CJ47" s="128">
        <f>IFERROR(AY47*$W47,)</f>
        <v/>
      </c>
      <c r="CK47" s="128">
        <f>IFERROR(AZ47*$W47,)</f>
        <v/>
      </c>
      <c r="CL47" s="129">
        <f>IFERROR(if($Y47=0,BA47*($W47/1.2),BA47*$Y47),"")</f>
        <v/>
      </c>
      <c r="CM47" s="129">
        <f>IFERROR(if($Y47=0,BB47*($W47/1.2),BB47*$Y47),"")</f>
        <v/>
      </c>
      <c r="CN47" s="129">
        <f>IFERROR(if($Y47=0,BC47*($W47/1.2),BC47*$Y47),"")</f>
        <v/>
      </c>
      <c r="CO47" s="130">
        <f>IFERROR(if($AA47=0,($W47/1.35)*BD47,BD47*$AA47),)</f>
        <v/>
      </c>
      <c r="CP47" s="130">
        <f>IFERROR(if($AA47=0,($W47/1.35)*BE47,BE47*$AA47),)</f>
        <v/>
      </c>
      <c r="CQ47" s="130">
        <f>IFERROR(if($AA47=0,($W47/1.35)*BF47,BF47*$AA47),)</f>
        <v/>
      </c>
      <c r="CR47" s="128">
        <f>IFERROR(if($AC47=0,($W47/0.74)*BG47,
BG47*$AC47),)</f>
        <v/>
      </c>
      <c r="CS47" s="128">
        <f>IFERROR(if($AC47=0,($W47/0.74)*BH47,
BH47*$AC47),)</f>
        <v/>
      </c>
      <c r="CT47" s="128">
        <f>IFERROR(if($AC47=0,($W47/0.74)*BI47,
BI47*$AC47),)</f>
        <v/>
      </c>
      <c r="CU47" s="128">
        <f>IFERROR(AI47*$V47,)</f>
        <v/>
      </c>
      <c r="CV47" s="128">
        <f>IFERROR(AJ47*$V47,)</f>
        <v/>
      </c>
      <c r="CW47" s="128">
        <f>IFERROR(AK47*$V47,)</f>
        <v/>
      </c>
      <c r="CX47" s="128">
        <f>IFERROR(AL47*$V47,)</f>
        <v/>
      </c>
      <c r="CY47" s="128">
        <f>IFERROR(AM47*$V47,)</f>
        <v/>
      </c>
      <c r="CZ47" s="128">
        <f>IFERROR(AN47*$V47,)</f>
        <v/>
      </c>
      <c r="DA47" s="128">
        <f>IFERROR(AO47*$V47,)</f>
        <v/>
      </c>
      <c r="DB47" s="128">
        <f>IFERROR(AP47*$V47,)</f>
        <v/>
      </c>
      <c r="DC47" s="128">
        <f>IFERROR(AQ47*$V47,)</f>
        <v/>
      </c>
      <c r="DD47" s="128">
        <f>IFERROR(AR47*$V47,)</f>
        <v/>
      </c>
      <c r="DE47" s="128">
        <f>IFERROR(AS47*$V47,)</f>
        <v/>
      </c>
      <c r="DF47" s="128">
        <f>IFERROR(AT47*$V47,)</f>
        <v/>
      </c>
      <c r="DG47" s="128">
        <f>IFERROR(AU47*$V47,)</f>
        <v/>
      </c>
      <c r="DH47" s="128">
        <f>IFERROR(AV47*$V47,)</f>
        <v/>
      </c>
      <c r="DI47" s="128">
        <f>IFERROR(AW47*$V47,)</f>
        <v/>
      </c>
      <c r="DJ47" s="128">
        <f>IFERROR(AX47*$V47,)</f>
        <v/>
      </c>
      <c r="DK47" s="128">
        <f>IFERROR(AY47*$V47,)</f>
        <v/>
      </c>
      <c r="DL47" s="128">
        <f>IFERROR(AZ47*$V47,)</f>
        <v/>
      </c>
      <c r="DM47" s="129">
        <f>IFERROR(if($X47=0,($V47/1.2)*BA47,
BA47*$X47),)</f>
        <v/>
      </c>
      <c r="DN47" s="129">
        <f>IFERROR(if($X47=0,($V47/1.2)*BB47,
BB47*$X47),)</f>
        <v/>
      </c>
      <c r="DO47" s="129">
        <f>IFERROR(if($X47=0,($V47/1.2)*BC47,
BC47*$X47),)</f>
        <v/>
      </c>
      <c r="DP47" s="130">
        <f>IFERROR(if($Z47=0,($V47/1.35)*BD47,
BD47*$Z47),)</f>
        <v/>
      </c>
      <c r="DQ47" s="130">
        <f>IFERROR(if($Z47=0,($V47/1.35)*BE47,
BE47*$Z47),)</f>
        <v/>
      </c>
      <c r="DR47" s="130">
        <f>IFERROR(if($Z47=0,($V47/1.35)*BF47,
BF47*$Z47),)</f>
        <v/>
      </c>
      <c r="DS47" s="128">
        <f>IFERROR(IF($AB47=0,($V47/0.74)*BG47,
BG47*$AB47),)</f>
        <v/>
      </c>
      <c r="DT47" s="128">
        <f>IFERROR(IF($AB47=0,($V47/0.74)*BH47,
BH47*$AB47),)</f>
        <v/>
      </c>
      <c r="DU47" s="128">
        <f>IFERROR(IF($AB47=0,($V47/0.74)*BI47,
BI47*$AB47),)</f>
        <v/>
      </c>
    </row>
    <row r="48" ht="60" customHeight="1" s="162">
      <c r="A48" s="115" t="n"/>
      <c r="B48" s="115" t="n"/>
      <c r="C48" s="115" t="n"/>
      <c r="D48" s="115" t="n"/>
      <c r="E48" s="115" t="n"/>
      <c r="F48" s="115" t="n"/>
      <c r="G48" s="115" t="n"/>
      <c r="H48" s="115" t="n"/>
      <c r="I48" s="115" t="n"/>
      <c r="J48" s="115" t="n"/>
      <c r="K48" s="115" t="n"/>
      <c r="L48" s="115" t="n"/>
      <c r="M48" s="115" t="n"/>
      <c r="N48" s="115" t="n"/>
      <c r="O48" s="115" t="n"/>
      <c r="P48" s="115" t="n"/>
      <c r="Q48" s="115" t="n"/>
      <c r="R48" s="115" t="n"/>
      <c r="S48" s="115" t="n"/>
      <c r="T48" s="115" t="n"/>
      <c r="U48" s="116" t="n"/>
      <c r="V48" s="116" t="n"/>
      <c r="W48" s="117" t="n"/>
      <c r="X48" s="118" t="n"/>
      <c r="Y48" s="119" t="n"/>
      <c r="Z48" s="120" t="n"/>
      <c r="AA48" s="121" t="n"/>
      <c r="AB48" s="122" t="n"/>
      <c r="AC48" s="117" t="n"/>
      <c r="AD48" s="123">
        <f>IF(SUM($AE48:$AH48)=0,"",SUM($AE48:$AH48))</f>
        <v/>
      </c>
      <c r="AE48" s="123">
        <f>iferror(IF(SUM($AI48:$AZ48)=0,"",SUM($AI48:$AZ48)),"")</f>
        <v/>
      </c>
      <c r="AF48" s="123">
        <f>iferror(IF(SUM($BA48:$BC48)=0,"",SUM($BA48:$BC48)),"")</f>
        <v/>
      </c>
      <c r="AG48" s="123">
        <f>iferror(IF(SUM($BD48:$BF48)=0,"",SUM($BD48:$BF48)),"")</f>
        <v/>
      </c>
      <c r="AH48" s="124">
        <f>iferror(IF(SUM($BG48:$BI48)=0,"",SUM($BG48:$BI48)),"")</f>
        <v/>
      </c>
      <c r="AI48" s="131" t="n"/>
      <c r="AJ48" s="132" t="n"/>
      <c r="AK48" s="132" t="n"/>
      <c r="AL48" s="132" t="n"/>
      <c r="AM48" s="132" t="n"/>
      <c r="AN48" s="132" t="n"/>
      <c r="AO48" s="132" t="n"/>
      <c r="AP48" s="132" t="n"/>
      <c r="AQ48" s="132" t="n"/>
      <c r="AR48" s="132" t="n"/>
      <c r="AS48" s="132" t="n"/>
      <c r="AT48" s="132" t="n"/>
      <c r="AU48" s="132" t="n"/>
      <c r="AV48" s="132" t="n"/>
      <c r="AW48" s="132" t="n"/>
      <c r="AX48" s="132" t="n"/>
      <c r="AY48" s="132" t="n"/>
      <c r="AZ48" s="133" t="n"/>
      <c r="BA48" s="131" t="n"/>
      <c r="BB48" s="132" t="n"/>
      <c r="BC48" s="133" t="n"/>
      <c r="BD48" s="131" t="n"/>
      <c r="BE48" s="132" t="n"/>
      <c r="BF48" s="133" t="n"/>
      <c r="BG48" s="131" t="n"/>
      <c r="BH48" s="132" t="n"/>
      <c r="BI48" s="132" t="n"/>
      <c r="BJ48" s="128">
        <f>iferror(SUM($BK48,($BL48*1.2),($BM48*1.35),($BN48*0.74)),)</f>
        <v/>
      </c>
      <c r="BK48" s="128">
        <f>IFERROR(SUM($BT48:$CK48),)</f>
        <v/>
      </c>
      <c r="BL48" s="129">
        <f>IFERROR(SUM($CL48:$CN48),)</f>
        <v/>
      </c>
      <c r="BM48" s="130">
        <f>IFERROR(SUM($CO48:$CQ48),)</f>
        <v/>
      </c>
      <c r="BN48" s="128">
        <f>IFERROR(SUM($CR48:$CT48),)</f>
        <v/>
      </c>
      <c r="BO48" s="128">
        <f>iferror(SUM($BP48,($BQ48*1.2),($BR48*1.35),($BS48*0.74)),)</f>
        <v/>
      </c>
      <c r="BP48" s="128">
        <f>IFERROR(SUM($CU48:$DL48),)</f>
        <v/>
      </c>
      <c r="BQ48" s="128">
        <f>IFERROR(SUM($DM48:$DO48),)</f>
        <v/>
      </c>
      <c r="BR48" s="128">
        <f>IFERROR(SUM($DP48:$DR48),)</f>
        <v/>
      </c>
      <c r="BS48" s="128">
        <f>IFERROR(SUM($DS48:$DU48),)</f>
        <v/>
      </c>
      <c r="BT48" s="128">
        <f>IFERROR(AI48*$W48,)</f>
        <v/>
      </c>
      <c r="BU48" s="128">
        <f>IFERROR(AJ48*$W48,)</f>
        <v/>
      </c>
      <c r="BV48" s="128">
        <f>IFERROR(AK48*$W48,)</f>
        <v/>
      </c>
      <c r="BW48" s="128">
        <f>IFERROR(AL48*$W48,)</f>
        <v/>
      </c>
      <c r="BX48" s="128">
        <f>IFERROR(AM48*$W48,)</f>
        <v/>
      </c>
      <c r="BY48" s="128">
        <f>IFERROR(AN48*$W48,)</f>
        <v/>
      </c>
      <c r="BZ48" s="128">
        <f>IFERROR(AO48*$W48,)</f>
        <v/>
      </c>
      <c r="CA48" s="128">
        <f>IFERROR(AP48*$W48,)</f>
        <v/>
      </c>
      <c r="CB48" s="128">
        <f>IFERROR(AQ48*$W48,)</f>
        <v/>
      </c>
      <c r="CC48" s="128">
        <f>IFERROR(AR48*$W48,)</f>
        <v/>
      </c>
      <c r="CD48" s="128">
        <f>IFERROR(AS48*$W48,)</f>
        <v/>
      </c>
      <c r="CE48" s="128">
        <f>IFERROR(AT48*$W48,)</f>
        <v/>
      </c>
      <c r="CF48" s="128">
        <f>IFERROR(AU48*$W48,)</f>
        <v/>
      </c>
      <c r="CG48" s="128">
        <f>IFERROR(AV48*$W48,)</f>
        <v/>
      </c>
      <c r="CH48" s="128">
        <f>IFERROR(AW48*$W48,)</f>
        <v/>
      </c>
      <c r="CI48" s="128">
        <f>IFERROR(AX48*$W48,)</f>
        <v/>
      </c>
      <c r="CJ48" s="128">
        <f>IFERROR(AY48*$W48,)</f>
        <v/>
      </c>
      <c r="CK48" s="128">
        <f>IFERROR(AZ48*$W48,)</f>
        <v/>
      </c>
      <c r="CL48" s="129">
        <f>IFERROR(if($Y48=0,BA48*($W48/1.2),BA48*$Y48),"")</f>
        <v/>
      </c>
      <c r="CM48" s="129">
        <f>IFERROR(if($Y48=0,BB48*($W48/1.2),BB48*$Y48),"")</f>
        <v/>
      </c>
      <c r="CN48" s="129">
        <f>IFERROR(if($Y48=0,BC48*($W48/1.2),BC48*$Y48),"")</f>
        <v/>
      </c>
      <c r="CO48" s="130">
        <f>IFERROR(if($AA48=0,($W48/1.35)*BD48,BD48*$AA48),)</f>
        <v/>
      </c>
      <c r="CP48" s="130">
        <f>IFERROR(if($AA48=0,($W48/1.35)*BE48,BE48*$AA48),)</f>
        <v/>
      </c>
      <c r="CQ48" s="130">
        <f>IFERROR(if($AA48=0,($W48/1.35)*BF48,BF48*$AA48),)</f>
        <v/>
      </c>
      <c r="CR48" s="128">
        <f>IFERROR(if($AC48=0,($W48/0.74)*BG48,
BG48*$AC48),)</f>
        <v/>
      </c>
      <c r="CS48" s="128">
        <f>IFERROR(if($AC48=0,($W48/0.74)*BH48,
BH48*$AC48),)</f>
        <v/>
      </c>
      <c r="CT48" s="128">
        <f>IFERROR(if($AC48=0,($W48/0.74)*BI48,
BI48*$AC48),)</f>
        <v/>
      </c>
      <c r="CU48" s="128">
        <f>IFERROR(AI48*$V48,)</f>
        <v/>
      </c>
      <c r="CV48" s="128">
        <f>IFERROR(AJ48*$V48,)</f>
        <v/>
      </c>
      <c r="CW48" s="128">
        <f>IFERROR(AK48*$V48,)</f>
        <v/>
      </c>
      <c r="CX48" s="128">
        <f>IFERROR(AL48*$V48,)</f>
        <v/>
      </c>
      <c r="CY48" s="128">
        <f>IFERROR(AM48*$V48,)</f>
        <v/>
      </c>
      <c r="CZ48" s="128">
        <f>IFERROR(AN48*$V48,)</f>
        <v/>
      </c>
      <c r="DA48" s="128">
        <f>IFERROR(AO48*$V48,)</f>
        <v/>
      </c>
      <c r="DB48" s="128">
        <f>IFERROR(AP48*$V48,)</f>
        <v/>
      </c>
      <c r="DC48" s="128">
        <f>IFERROR(AQ48*$V48,)</f>
        <v/>
      </c>
      <c r="DD48" s="128">
        <f>IFERROR(AR48*$V48,)</f>
        <v/>
      </c>
      <c r="DE48" s="128">
        <f>IFERROR(AS48*$V48,)</f>
        <v/>
      </c>
      <c r="DF48" s="128">
        <f>IFERROR(AT48*$V48,)</f>
        <v/>
      </c>
      <c r="DG48" s="128">
        <f>IFERROR(AU48*$V48,)</f>
        <v/>
      </c>
      <c r="DH48" s="128">
        <f>IFERROR(AV48*$V48,)</f>
        <v/>
      </c>
      <c r="DI48" s="128">
        <f>IFERROR(AW48*$V48,)</f>
        <v/>
      </c>
      <c r="DJ48" s="128">
        <f>IFERROR(AX48*$V48,)</f>
        <v/>
      </c>
      <c r="DK48" s="128">
        <f>IFERROR(AY48*$V48,)</f>
        <v/>
      </c>
      <c r="DL48" s="128">
        <f>IFERROR(AZ48*$V48,)</f>
        <v/>
      </c>
      <c r="DM48" s="129">
        <f>IFERROR(if($X48=0,($V48/1.2)*BA48,
BA48*$X48),)</f>
        <v/>
      </c>
      <c r="DN48" s="129">
        <f>IFERROR(if($X48=0,($V48/1.2)*BB48,
BB48*$X48),)</f>
        <v/>
      </c>
      <c r="DO48" s="129">
        <f>IFERROR(if($X48=0,($V48/1.2)*BC48,
BC48*$X48),)</f>
        <v/>
      </c>
      <c r="DP48" s="130">
        <f>IFERROR(if($Z48=0,($V48/1.35)*BD48,
BD48*$Z48),)</f>
        <v/>
      </c>
      <c r="DQ48" s="130">
        <f>IFERROR(if($Z48=0,($V48/1.35)*BE48,
BE48*$Z48),)</f>
        <v/>
      </c>
      <c r="DR48" s="130">
        <f>IFERROR(if($Z48=0,($V48/1.35)*BF48,
BF48*$Z48),)</f>
        <v/>
      </c>
      <c r="DS48" s="128">
        <f>IFERROR(IF($AB48=0,($V48/0.74)*BG48,
BG48*$AB48),)</f>
        <v/>
      </c>
      <c r="DT48" s="128">
        <f>IFERROR(IF($AB48=0,($V48/0.74)*BH48,
BH48*$AB48),)</f>
        <v/>
      </c>
      <c r="DU48" s="128">
        <f>IFERROR(IF($AB48=0,($V48/0.74)*BI48,
BI48*$AB48),)</f>
        <v/>
      </c>
    </row>
    <row r="49" ht="60" customHeight="1" s="162">
      <c r="A49" s="115" t="n"/>
      <c r="B49" s="115" t="n"/>
      <c r="C49" s="115" t="n"/>
      <c r="D49" s="115" t="n"/>
      <c r="E49" s="115" t="n"/>
      <c r="F49" s="115" t="n"/>
      <c r="G49" s="115" t="n"/>
      <c r="H49" s="115" t="n"/>
      <c r="I49" s="115" t="n"/>
      <c r="J49" s="115" t="n"/>
      <c r="K49" s="115" t="n"/>
      <c r="L49" s="115" t="n"/>
      <c r="M49" s="115" t="n"/>
      <c r="N49" s="115" t="n"/>
      <c r="O49" s="115" t="n"/>
      <c r="P49" s="115" t="n"/>
      <c r="Q49" s="115" t="n"/>
      <c r="R49" s="115" t="n"/>
      <c r="S49" s="115" t="n"/>
      <c r="T49" s="115" t="n"/>
      <c r="U49" s="116" t="n"/>
      <c r="V49" s="116" t="n"/>
      <c r="W49" s="117" t="n"/>
      <c r="X49" s="118" t="n"/>
      <c r="Y49" s="119" t="n"/>
      <c r="Z49" s="120" t="n"/>
      <c r="AA49" s="121" t="n"/>
      <c r="AB49" s="122" t="n"/>
      <c r="AC49" s="117" t="n"/>
      <c r="AD49" s="123">
        <f>IF(SUM($AE49:$AH49)=0,"",SUM($AE49:$AH49))</f>
        <v/>
      </c>
      <c r="AE49" s="123">
        <f>iferror(IF(SUM($AI49:$AZ49)=0,"",SUM($AI49:$AZ49)),"")</f>
        <v/>
      </c>
      <c r="AF49" s="123">
        <f>iferror(IF(SUM($BA49:$BC49)=0,"",SUM($BA49:$BC49)),"")</f>
        <v/>
      </c>
      <c r="AG49" s="123">
        <f>iferror(IF(SUM($BD49:$BF49)=0,"",SUM($BD49:$BF49)),"")</f>
        <v/>
      </c>
      <c r="AH49" s="124">
        <f>iferror(IF(SUM($BG49:$BI49)=0,"",SUM($BG49:$BI49)),"")</f>
        <v/>
      </c>
      <c r="AI49" s="131" t="n"/>
      <c r="AJ49" s="132" t="n"/>
      <c r="AK49" s="132" t="n"/>
      <c r="AL49" s="132" t="n"/>
      <c r="AM49" s="132" t="n"/>
      <c r="AN49" s="132" t="n"/>
      <c r="AO49" s="132" t="n"/>
      <c r="AP49" s="132" t="n"/>
      <c r="AQ49" s="132" t="n"/>
      <c r="AR49" s="132" t="n"/>
      <c r="AS49" s="132" t="n"/>
      <c r="AT49" s="132" t="n"/>
      <c r="AU49" s="132" t="n"/>
      <c r="AV49" s="132" t="n"/>
      <c r="AW49" s="132" t="n"/>
      <c r="AX49" s="132" t="n"/>
      <c r="AY49" s="132" t="n"/>
      <c r="AZ49" s="133" t="n"/>
      <c r="BA49" s="131" t="n"/>
      <c r="BB49" s="132" t="n"/>
      <c r="BC49" s="133" t="n"/>
      <c r="BD49" s="131" t="n"/>
      <c r="BE49" s="132" t="n"/>
      <c r="BF49" s="133" t="n"/>
      <c r="BG49" s="131" t="n"/>
      <c r="BH49" s="132" t="n"/>
      <c r="BI49" s="132" t="n"/>
      <c r="BJ49" s="128">
        <f>iferror(SUM($BK49,($BL49*1.2),($BM49*1.35),($BN49*0.74)),)</f>
        <v/>
      </c>
      <c r="BK49" s="128">
        <f>IFERROR(SUM($BT49:$CK49),)</f>
        <v/>
      </c>
      <c r="BL49" s="129">
        <f>IFERROR(SUM($CL49:$CN49),)</f>
        <v/>
      </c>
      <c r="BM49" s="130">
        <f>IFERROR(SUM($CO49:$CQ49),)</f>
        <v/>
      </c>
      <c r="BN49" s="128">
        <f>IFERROR(SUM($CR49:$CT49),)</f>
        <v/>
      </c>
      <c r="BO49" s="128">
        <f>iferror(SUM($BP49,($BQ49*1.2),($BR49*1.35),($BS49*0.74)),)</f>
        <v/>
      </c>
      <c r="BP49" s="128">
        <f>IFERROR(SUM($CU49:$DL49),)</f>
        <v/>
      </c>
      <c r="BQ49" s="128">
        <f>IFERROR(SUM($DM49:$DO49),)</f>
        <v/>
      </c>
      <c r="BR49" s="128">
        <f>IFERROR(SUM($DP49:$DR49),)</f>
        <v/>
      </c>
      <c r="BS49" s="128">
        <f>IFERROR(SUM($DS49:$DU49),)</f>
        <v/>
      </c>
      <c r="BT49" s="128">
        <f>IFERROR(AI49*$W49,)</f>
        <v/>
      </c>
      <c r="BU49" s="128">
        <f>IFERROR(AJ49*$W49,)</f>
        <v/>
      </c>
      <c r="BV49" s="128">
        <f>IFERROR(AK49*$W49,)</f>
        <v/>
      </c>
      <c r="BW49" s="128">
        <f>IFERROR(AL49*$W49,)</f>
        <v/>
      </c>
      <c r="BX49" s="128">
        <f>IFERROR(AM49*$W49,)</f>
        <v/>
      </c>
      <c r="BY49" s="128">
        <f>IFERROR(AN49*$W49,)</f>
        <v/>
      </c>
      <c r="BZ49" s="128">
        <f>IFERROR(AO49*$W49,)</f>
        <v/>
      </c>
      <c r="CA49" s="128">
        <f>IFERROR(AP49*$W49,)</f>
        <v/>
      </c>
      <c r="CB49" s="128">
        <f>IFERROR(AQ49*$W49,)</f>
        <v/>
      </c>
      <c r="CC49" s="128">
        <f>IFERROR(AR49*$W49,)</f>
        <v/>
      </c>
      <c r="CD49" s="128">
        <f>IFERROR(AS49*$W49,)</f>
        <v/>
      </c>
      <c r="CE49" s="128">
        <f>IFERROR(AT49*$W49,)</f>
        <v/>
      </c>
      <c r="CF49" s="128">
        <f>IFERROR(AU49*$W49,)</f>
        <v/>
      </c>
      <c r="CG49" s="128">
        <f>IFERROR(AV49*$W49,)</f>
        <v/>
      </c>
      <c r="CH49" s="128">
        <f>IFERROR(AW49*$W49,)</f>
        <v/>
      </c>
      <c r="CI49" s="128">
        <f>IFERROR(AX49*$W49,)</f>
        <v/>
      </c>
      <c r="CJ49" s="128">
        <f>IFERROR(AY49*$W49,)</f>
        <v/>
      </c>
      <c r="CK49" s="128">
        <f>IFERROR(AZ49*$W49,)</f>
        <v/>
      </c>
      <c r="CL49" s="129">
        <f>IFERROR(if($Y49=0,BA49*($W49/1.2),BA49*$Y49),"")</f>
        <v/>
      </c>
      <c r="CM49" s="129">
        <f>IFERROR(if($Y49=0,BB49*($W49/1.2),BB49*$Y49),"")</f>
        <v/>
      </c>
      <c r="CN49" s="129">
        <f>IFERROR(if($Y49=0,BC49*($W49/1.2),BC49*$Y49),"")</f>
        <v/>
      </c>
      <c r="CO49" s="130">
        <f>IFERROR(if($AA49=0,($W49/1.35)*BD49,BD49*$AA49),)</f>
        <v/>
      </c>
      <c r="CP49" s="130">
        <f>IFERROR(if($AA49=0,($W49/1.35)*BE49,BE49*$AA49),)</f>
        <v/>
      </c>
      <c r="CQ49" s="130">
        <f>IFERROR(if($AA49=0,($W49/1.35)*BF49,BF49*$AA49),)</f>
        <v/>
      </c>
      <c r="CR49" s="128">
        <f>IFERROR(if($AC49=0,($W49/0.74)*BG49,
BG49*$AC49),)</f>
        <v/>
      </c>
      <c r="CS49" s="128">
        <f>IFERROR(if($AC49=0,($W49/0.74)*BH49,
BH49*$AC49),)</f>
        <v/>
      </c>
      <c r="CT49" s="128">
        <f>IFERROR(if($AC49=0,($W49/0.74)*BI49,
BI49*$AC49),)</f>
        <v/>
      </c>
      <c r="CU49" s="128">
        <f>IFERROR(AI49*$V49,)</f>
        <v/>
      </c>
      <c r="CV49" s="128">
        <f>IFERROR(AJ49*$V49,)</f>
        <v/>
      </c>
      <c r="CW49" s="128">
        <f>IFERROR(AK49*$V49,)</f>
        <v/>
      </c>
      <c r="CX49" s="128">
        <f>IFERROR(AL49*$V49,)</f>
        <v/>
      </c>
      <c r="CY49" s="128">
        <f>IFERROR(AM49*$V49,)</f>
        <v/>
      </c>
      <c r="CZ49" s="128">
        <f>IFERROR(AN49*$V49,)</f>
        <v/>
      </c>
      <c r="DA49" s="128">
        <f>IFERROR(AO49*$V49,)</f>
        <v/>
      </c>
      <c r="DB49" s="128">
        <f>IFERROR(AP49*$V49,)</f>
        <v/>
      </c>
      <c r="DC49" s="128">
        <f>IFERROR(AQ49*$V49,)</f>
        <v/>
      </c>
      <c r="DD49" s="128">
        <f>IFERROR(AR49*$V49,)</f>
        <v/>
      </c>
      <c r="DE49" s="128">
        <f>IFERROR(AS49*$V49,)</f>
        <v/>
      </c>
      <c r="DF49" s="128">
        <f>IFERROR(AT49*$V49,)</f>
        <v/>
      </c>
      <c r="DG49" s="128">
        <f>IFERROR(AU49*$V49,)</f>
        <v/>
      </c>
      <c r="DH49" s="128">
        <f>IFERROR(AV49*$V49,)</f>
        <v/>
      </c>
      <c r="DI49" s="128">
        <f>IFERROR(AW49*$V49,)</f>
        <v/>
      </c>
      <c r="DJ49" s="128">
        <f>IFERROR(AX49*$V49,)</f>
        <v/>
      </c>
      <c r="DK49" s="128">
        <f>IFERROR(AY49*$V49,)</f>
        <v/>
      </c>
      <c r="DL49" s="128">
        <f>IFERROR(AZ49*$V49,)</f>
        <v/>
      </c>
      <c r="DM49" s="129">
        <f>IFERROR(if($X49=0,($V49/1.2)*BA49,
BA49*$X49),)</f>
        <v/>
      </c>
      <c r="DN49" s="129">
        <f>IFERROR(if($X49=0,($V49/1.2)*BB49,
BB49*$X49),)</f>
        <v/>
      </c>
      <c r="DO49" s="129">
        <f>IFERROR(if($X49=0,($V49/1.2)*BC49,
BC49*$X49),)</f>
        <v/>
      </c>
      <c r="DP49" s="130">
        <f>IFERROR(if($Z49=0,($V49/1.35)*BD49,
BD49*$Z49),)</f>
        <v/>
      </c>
      <c r="DQ49" s="130">
        <f>IFERROR(if($Z49=0,($V49/1.35)*BE49,
BE49*$Z49),)</f>
        <v/>
      </c>
      <c r="DR49" s="130">
        <f>IFERROR(if($Z49=0,($V49/1.35)*BF49,
BF49*$Z49),)</f>
        <v/>
      </c>
      <c r="DS49" s="128">
        <f>IFERROR(IF($AB49=0,($V49/0.74)*BG49,
BG49*$AB49),)</f>
        <v/>
      </c>
      <c r="DT49" s="128">
        <f>IFERROR(IF($AB49=0,($V49/0.74)*BH49,
BH49*$AB49),)</f>
        <v/>
      </c>
      <c r="DU49" s="128">
        <f>IFERROR(IF($AB49=0,($V49/0.74)*BI49,
BI49*$AB49),)</f>
        <v/>
      </c>
    </row>
    <row r="50" ht="60" customHeight="1" s="162">
      <c r="A50" s="115" t="n"/>
      <c r="B50" s="115" t="n"/>
      <c r="C50" s="115" t="n"/>
      <c r="D50" s="115" t="n"/>
      <c r="E50" s="115" t="n"/>
      <c r="F50" s="115" t="n"/>
      <c r="G50" s="115" t="n"/>
      <c r="H50" s="115" t="n"/>
      <c r="I50" s="115" t="n"/>
      <c r="J50" s="115" t="n"/>
      <c r="K50" s="115" t="n"/>
      <c r="L50" s="115" t="n"/>
      <c r="M50" s="115" t="n"/>
      <c r="N50" s="115" t="n"/>
      <c r="O50" s="115" t="n"/>
      <c r="P50" s="115" t="n"/>
      <c r="Q50" s="115" t="n"/>
      <c r="R50" s="115" t="n"/>
      <c r="S50" s="115" t="n"/>
      <c r="T50" s="115" t="n"/>
      <c r="U50" s="116" t="n"/>
      <c r="V50" s="116" t="n"/>
      <c r="W50" s="117" t="n"/>
      <c r="X50" s="118" t="n"/>
      <c r="Y50" s="119" t="n"/>
      <c r="Z50" s="120" t="n"/>
      <c r="AA50" s="121" t="n"/>
      <c r="AB50" s="122" t="n"/>
      <c r="AC50" s="117" t="n"/>
      <c r="AD50" s="123">
        <f>IF(SUM($AE50:$AH50)=0,"",SUM($AE50:$AH50))</f>
        <v/>
      </c>
      <c r="AE50" s="123">
        <f>iferror(IF(SUM($AI50:$AZ50)=0,"",SUM($AI50:$AZ50)),"")</f>
        <v/>
      </c>
      <c r="AF50" s="123">
        <f>iferror(IF(SUM($BA50:$BC50)=0,"",SUM($BA50:$BC50)),"")</f>
        <v/>
      </c>
      <c r="AG50" s="123">
        <f>iferror(IF(SUM($BD50:$BF50)=0,"",SUM($BD50:$BF50)),"")</f>
        <v/>
      </c>
      <c r="AH50" s="124">
        <f>iferror(IF(SUM($BG50:$BI50)=0,"",SUM($BG50:$BI50)),"")</f>
        <v/>
      </c>
      <c r="AI50" s="131" t="n"/>
      <c r="AJ50" s="132" t="n"/>
      <c r="AK50" s="132" t="n"/>
      <c r="AL50" s="132" t="n"/>
      <c r="AM50" s="132" t="n"/>
      <c r="AN50" s="132" t="n"/>
      <c r="AO50" s="132" t="n"/>
      <c r="AP50" s="132" t="n"/>
      <c r="AQ50" s="132" t="n"/>
      <c r="AR50" s="132" t="n"/>
      <c r="AS50" s="132" t="n"/>
      <c r="AT50" s="132" t="n"/>
      <c r="AU50" s="132" t="n"/>
      <c r="AV50" s="132" t="n"/>
      <c r="AW50" s="132" t="n"/>
      <c r="AX50" s="132" t="n"/>
      <c r="AY50" s="132" t="n"/>
      <c r="AZ50" s="133" t="n"/>
      <c r="BA50" s="131" t="n"/>
      <c r="BB50" s="132" t="n"/>
      <c r="BC50" s="133" t="n"/>
      <c r="BD50" s="131" t="n"/>
      <c r="BE50" s="132" t="n"/>
      <c r="BF50" s="133" t="n"/>
      <c r="BG50" s="131" t="n"/>
      <c r="BH50" s="132" t="n"/>
      <c r="BI50" s="132" t="n"/>
      <c r="BJ50" s="128">
        <f>iferror(SUM($BK50,($BL50*1.2),($BM50*1.35),($BN50*0.74)),)</f>
        <v/>
      </c>
      <c r="BK50" s="128">
        <f>IFERROR(SUM($BT50:$CK50),)</f>
        <v/>
      </c>
      <c r="BL50" s="129">
        <f>IFERROR(SUM($CL50:$CN50),)</f>
        <v/>
      </c>
      <c r="BM50" s="130">
        <f>IFERROR(SUM($CO50:$CQ50),)</f>
        <v/>
      </c>
      <c r="BN50" s="128">
        <f>IFERROR(SUM($CR50:$CT50),)</f>
        <v/>
      </c>
      <c r="BO50" s="128">
        <f>iferror(SUM($BP50,($BQ50*1.2),($BR50*1.35),($BS50*0.74)),)</f>
        <v/>
      </c>
      <c r="BP50" s="128">
        <f>IFERROR(SUM($CU50:$DL50),)</f>
        <v/>
      </c>
      <c r="BQ50" s="128">
        <f>IFERROR(SUM($DM50:$DO50),)</f>
        <v/>
      </c>
      <c r="BR50" s="128">
        <f>IFERROR(SUM($DP50:$DR50),)</f>
        <v/>
      </c>
      <c r="BS50" s="128">
        <f>IFERROR(SUM($DS50:$DU50),)</f>
        <v/>
      </c>
      <c r="BT50" s="128">
        <f>IFERROR(AI50*$W50,)</f>
        <v/>
      </c>
      <c r="BU50" s="128">
        <f>IFERROR(AJ50*$W50,)</f>
        <v/>
      </c>
      <c r="BV50" s="128">
        <f>IFERROR(AK50*$W50,)</f>
        <v/>
      </c>
      <c r="BW50" s="128">
        <f>IFERROR(AL50*$W50,)</f>
        <v/>
      </c>
      <c r="BX50" s="128">
        <f>IFERROR(AM50*$W50,)</f>
        <v/>
      </c>
      <c r="BY50" s="128">
        <f>IFERROR(AN50*$W50,)</f>
        <v/>
      </c>
      <c r="BZ50" s="128">
        <f>IFERROR(AO50*$W50,)</f>
        <v/>
      </c>
      <c r="CA50" s="128">
        <f>IFERROR(AP50*$W50,)</f>
        <v/>
      </c>
      <c r="CB50" s="128">
        <f>IFERROR(AQ50*$W50,)</f>
        <v/>
      </c>
      <c r="CC50" s="128">
        <f>IFERROR(AR50*$W50,)</f>
        <v/>
      </c>
      <c r="CD50" s="128">
        <f>IFERROR(AS50*$W50,)</f>
        <v/>
      </c>
      <c r="CE50" s="128">
        <f>IFERROR(AT50*$W50,)</f>
        <v/>
      </c>
      <c r="CF50" s="128">
        <f>IFERROR(AU50*$W50,)</f>
        <v/>
      </c>
      <c r="CG50" s="128">
        <f>IFERROR(AV50*$W50,)</f>
        <v/>
      </c>
      <c r="CH50" s="128">
        <f>IFERROR(AW50*$W50,)</f>
        <v/>
      </c>
      <c r="CI50" s="128">
        <f>IFERROR(AX50*$W50,)</f>
        <v/>
      </c>
      <c r="CJ50" s="128">
        <f>IFERROR(AY50*$W50,)</f>
        <v/>
      </c>
      <c r="CK50" s="128">
        <f>IFERROR(AZ50*$W50,)</f>
        <v/>
      </c>
      <c r="CL50" s="129">
        <f>IFERROR(if($Y50=0,BA50*($W50/1.2),BA50*$Y50),"")</f>
        <v/>
      </c>
      <c r="CM50" s="129">
        <f>IFERROR(if($Y50=0,BB50*($W50/1.2),BB50*$Y50),"")</f>
        <v/>
      </c>
      <c r="CN50" s="129">
        <f>IFERROR(if($Y50=0,BC50*($W50/1.2),BC50*$Y50),"")</f>
        <v/>
      </c>
      <c r="CO50" s="130">
        <f>IFERROR(if($AA50=0,($W50/1.35)*BD50,BD50*$AA50),)</f>
        <v/>
      </c>
      <c r="CP50" s="130">
        <f>IFERROR(if($AA50=0,($W50/1.35)*BE50,BE50*$AA50),)</f>
        <v/>
      </c>
      <c r="CQ50" s="130">
        <f>IFERROR(if($AA50=0,($W50/1.35)*BF50,BF50*$AA50),)</f>
        <v/>
      </c>
      <c r="CR50" s="128">
        <f>IFERROR(if($AC50=0,($W50/0.74)*BG50,
BG50*$AC50),)</f>
        <v/>
      </c>
      <c r="CS50" s="128">
        <f>IFERROR(if($AC50=0,($W50/0.74)*BH50,
BH50*$AC50),)</f>
        <v/>
      </c>
      <c r="CT50" s="128">
        <f>IFERROR(if($AC50=0,($W50/0.74)*BI50,
BI50*$AC50),)</f>
        <v/>
      </c>
      <c r="CU50" s="128">
        <f>IFERROR(AI50*$V50,)</f>
        <v/>
      </c>
      <c r="CV50" s="128">
        <f>IFERROR(AJ50*$V50,)</f>
        <v/>
      </c>
      <c r="CW50" s="128">
        <f>IFERROR(AK50*$V50,)</f>
        <v/>
      </c>
      <c r="CX50" s="128">
        <f>IFERROR(AL50*$V50,)</f>
        <v/>
      </c>
      <c r="CY50" s="128">
        <f>IFERROR(AM50*$V50,)</f>
        <v/>
      </c>
      <c r="CZ50" s="128">
        <f>IFERROR(AN50*$V50,)</f>
        <v/>
      </c>
      <c r="DA50" s="128">
        <f>IFERROR(AO50*$V50,)</f>
        <v/>
      </c>
      <c r="DB50" s="128">
        <f>IFERROR(AP50*$V50,)</f>
        <v/>
      </c>
      <c r="DC50" s="128">
        <f>IFERROR(AQ50*$V50,)</f>
        <v/>
      </c>
      <c r="DD50" s="128">
        <f>IFERROR(AR50*$V50,)</f>
        <v/>
      </c>
      <c r="DE50" s="128">
        <f>IFERROR(AS50*$V50,)</f>
        <v/>
      </c>
      <c r="DF50" s="128">
        <f>IFERROR(AT50*$V50,)</f>
        <v/>
      </c>
      <c r="DG50" s="128">
        <f>IFERROR(AU50*$V50,)</f>
        <v/>
      </c>
      <c r="DH50" s="128">
        <f>IFERROR(AV50*$V50,)</f>
        <v/>
      </c>
      <c r="DI50" s="128">
        <f>IFERROR(AW50*$V50,)</f>
        <v/>
      </c>
      <c r="DJ50" s="128">
        <f>IFERROR(AX50*$V50,)</f>
        <v/>
      </c>
      <c r="DK50" s="128">
        <f>IFERROR(AY50*$V50,)</f>
        <v/>
      </c>
      <c r="DL50" s="128">
        <f>IFERROR(AZ50*$V50,)</f>
        <v/>
      </c>
      <c r="DM50" s="129">
        <f>IFERROR(if($X50=0,($V50/1.2)*BA50,
BA50*$X50),)</f>
        <v/>
      </c>
      <c r="DN50" s="129">
        <f>IFERROR(if($X50=0,($V50/1.2)*BB50,
BB50*$X50),)</f>
        <v/>
      </c>
      <c r="DO50" s="129">
        <f>IFERROR(if($X50=0,($V50/1.2)*BC50,
BC50*$X50),)</f>
        <v/>
      </c>
      <c r="DP50" s="130">
        <f>IFERROR(if($Z50=0,($V50/1.35)*BD50,
BD50*$Z50),)</f>
        <v/>
      </c>
      <c r="DQ50" s="130">
        <f>IFERROR(if($Z50=0,($V50/1.35)*BE50,
BE50*$Z50),)</f>
        <v/>
      </c>
      <c r="DR50" s="130">
        <f>IFERROR(if($Z50=0,($V50/1.35)*BF50,
BF50*$Z50),)</f>
        <v/>
      </c>
      <c r="DS50" s="128">
        <f>IFERROR(IF($AB50=0,($V50/0.74)*BG50,
BG50*$AB50),)</f>
        <v/>
      </c>
      <c r="DT50" s="128">
        <f>IFERROR(IF($AB50=0,($V50/0.74)*BH50,
BH50*$AB50),)</f>
        <v/>
      </c>
      <c r="DU50" s="128">
        <f>IFERROR(IF($AB50=0,($V50/0.74)*BI50,
BI50*$AB50),)</f>
        <v/>
      </c>
    </row>
    <row r="51" ht="60" customHeight="1" s="162">
      <c r="A51" s="115" t="n"/>
      <c r="B51" s="115" t="n"/>
      <c r="C51" s="115" t="n"/>
      <c r="D51" s="115" t="n"/>
      <c r="E51" s="115" t="n"/>
      <c r="F51" s="115" t="n"/>
      <c r="G51" s="115" t="n"/>
      <c r="H51" s="115" t="n"/>
      <c r="I51" s="115" t="n"/>
      <c r="J51" s="115" t="n"/>
      <c r="K51" s="115" t="n"/>
      <c r="L51" s="115" t="n"/>
      <c r="M51" s="115" t="n"/>
      <c r="N51" s="115" t="n"/>
      <c r="O51" s="115" t="n"/>
      <c r="P51" s="115" t="n"/>
      <c r="Q51" s="115" t="n"/>
      <c r="R51" s="115" t="n"/>
      <c r="S51" s="115" t="n"/>
      <c r="T51" s="115" t="n"/>
      <c r="U51" s="116" t="n"/>
      <c r="V51" s="116" t="n"/>
      <c r="W51" s="117" t="n"/>
      <c r="X51" s="118" t="n"/>
      <c r="Y51" s="119" t="n"/>
      <c r="Z51" s="120" t="n"/>
      <c r="AA51" s="121" t="n"/>
      <c r="AB51" s="122" t="n"/>
      <c r="AC51" s="117" t="n"/>
      <c r="AD51" s="123">
        <f>IF(SUM($AE51:$AH51)=0,"",SUM($AE51:$AH51))</f>
        <v/>
      </c>
      <c r="AE51" s="123">
        <f>iferror(IF(SUM($AI51:$AZ51)=0,"",SUM($AI51:$AZ51)),"")</f>
        <v/>
      </c>
      <c r="AF51" s="123">
        <f>iferror(IF(SUM($BA51:$BC51)=0,"",SUM($BA51:$BC51)),"")</f>
        <v/>
      </c>
      <c r="AG51" s="123">
        <f>iferror(IF(SUM($BD51:$BF51)=0,"",SUM($BD51:$BF51)),"")</f>
        <v/>
      </c>
      <c r="AH51" s="124">
        <f>iferror(IF(SUM($BG51:$BI51)=0,"",SUM($BG51:$BI51)),"")</f>
        <v/>
      </c>
      <c r="AI51" s="131" t="n"/>
      <c r="AJ51" s="132" t="n"/>
      <c r="AK51" s="132" t="n"/>
      <c r="AL51" s="132" t="n"/>
      <c r="AM51" s="132" t="n"/>
      <c r="AN51" s="132" t="n"/>
      <c r="AO51" s="132" t="n"/>
      <c r="AP51" s="132" t="n"/>
      <c r="AQ51" s="132" t="n"/>
      <c r="AR51" s="132" t="n"/>
      <c r="AS51" s="132" t="n"/>
      <c r="AT51" s="132" t="n"/>
      <c r="AU51" s="132" t="n"/>
      <c r="AV51" s="132" t="n"/>
      <c r="AW51" s="132" t="n"/>
      <c r="AX51" s="132" t="n"/>
      <c r="AY51" s="132" t="n"/>
      <c r="AZ51" s="133" t="n"/>
      <c r="BA51" s="131" t="n"/>
      <c r="BB51" s="132" t="n"/>
      <c r="BC51" s="133" t="n"/>
      <c r="BD51" s="131" t="n"/>
      <c r="BE51" s="132" t="n"/>
      <c r="BF51" s="133" t="n"/>
      <c r="BG51" s="131" t="n"/>
      <c r="BH51" s="132" t="n"/>
      <c r="BI51" s="132" t="n"/>
      <c r="BJ51" s="128">
        <f>iferror(SUM($BK51,($BL51*1.2),($BM51*1.35),($BN51*0.74)),)</f>
        <v/>
      </c>
      <c r="BK51" s="128">
        <f>IFERROR(SUM($BT51:$CK51),)</f>
        <v/>
      </c>
      <c r="BL51" s="129">
        <f>IFERROR(SUM($CL51:$CN51),)</f>
        <v/>
      </c>
      <c r="BM51" s="130">
        <f>IFERROR(SUM($CO51:$CQ51),)</f>
        <v/>
      </c>
      <c r="BN51" s="128">
        <f>IFERROR(SUM($CR51:$CT51),)</f>
        <v/>
      </c>
      <c r="BO51" s="128">
        <f>iferror(SUM($BP51,($BQ51*1.2),($BR51*1.35),($BS51*0.74)),)</f>
        <v/>
      </c>
      <c r="BP51" s="128">
        <f>IFERROR(SUM($CU51:$DL51),)</f>
        <v/>
      </c>
      <c r="BQ51" s="128">
        <f>IFERROR(SUM($DM51:$DO51),)</f>
        <v/>
      </c>
      <c r="BR51" s="128">
        <f>IFERROR(SUM($DP51:$DR51),)</f>
        <v/>
      </c>
      <c r="BS51" s="128">
        <f>IFERROR(SUM($DS51:$DU51),)</f>
        <v/>
      </c>
      <c r="BT51" s="128">
        <f>IFERROR(AI51*$W51,)</f>
        <v/>
      </c>
      <c r="BU51" s="128">
        <f>IFERROR(AJ51*$W51,)</f>
        <v/>
      </c>
      <c r="BV51" s="128">
        <f>IFERROR(AK51*$W51,)</f>
        <v/>
      </c>
      <c r="BW51" s="128">
        <f>IFERROR(AL51*$W51,)</f>
        <v/>
      </c>
      <c r="BX51" s="128">
        <f>IFERROR(AM51*$W51,)</f>
        <v/>
      </c>
      <c r="BY51" s="128">
        <f>IFERROR(AN51*$W51,)</f>
        <v/>
      </c>
      <c r="BZ51" s="128">
        <f>IFERROR(AO51*$W51,)</f>
        <v/>
      </c>
      <c r="CA51" s="128">
        <f>IFERROR(AP51*$W51,)</f>
        <v/>
      </c>
      <c r="CB51" s="128">
        <f>IFERROR(AQ51*$W51,)</f>
        <v/>
      </c>
      <c r="CC51" s="128">
        <f>IFERROR(AR51*$W51,)</f>
        <v/>
      </c>
      <c r="CD51" s="128">
        <f>IFERROR(AS51*$W51,)</f>
        <v/>
      </c>
      <c r="CE51" s="128">
        <f>IFERROR(AT51*$W51,)</f>
        <v/>
      </c>
      <c r="CF51" s="128">
        <f>IFERROR(AU51*$W51,)</f>
        <v/>
      </c>
      <c r="CG51" s="128">
        <f>IFERROR(AV51*$W51,)</f>
        <v/>
      </c>
      <c r="CH51" s="128">
        <f>IFERROR(AW51*$W51,)</f>
        <v/>
      </c>
      <c r="CI51" s="128">
        <f>IFERROR(AX51*$W51,)</f>
        <v/>
      </c>
      <c r="CJ51" s="128">
        <f>IFERROR(AY51*$W51,)</f>
        <v/>
      </c>
      <c r="CK51" s="128">
        <f>IFERROR(AZ51*$W51,)</f>
        <v/>
      </c>
      <c r="CL51" s="129">
        <f>IFERROR(if($Y51=0,BA51*($W51/1.2),BA51*$Y51),"")</f>
        <v/>
      </c>
      <c r="CM51" s="129">
        <f>IFERROR(if($Y51=0,BB51*($W51/1.2),BB51*$Y51),"")</f>
        <v/>
      </c>
      <c r="CN51" s="129">
        <f>IFERROR(if($Y51=0,BC51*($W51/1.2),BC51*$Y51),"")</f>
        <v/>
      </c>
      <c r="CO51" s="130">
        <f>IFERROR(if($AA51=0,($W51/1.35)*BD51,BD51*$AA51),)</f>
        <v/>
      </c>
      <c r="CP51" s="130">
        <f>IFERROR(if($AA51=0,($W51/1.35)*BE51,BE51*$AA51),)</f>
        <v/>
      </c>
      <c r="CQ51" s="130">
        <f>IFERROR(if($AA51=0,($W51/1.35)*BF51,BF51*$AA51),)</f>
        <v/>
      </c>
      <c r="CR51" s="128">
        <f>IFERROR(if($AC51=0,($W51/0.74)*BG51,
BG51*$AC51),)</f>
        <v/>
      </c>
      <c r="CS51" s="128">
        <f>IFERROR(if($AC51=0,($W51/0.74)*BH51,
BH51*$AC51),)</f>
        <v/>
      </c>
      <c r="CT51" s="128">
        <f>IFERROR(if($AC51=0,($W51/0.74)*BI51,
BI51*$AC51),)</f>
        <v/>
      </c>
      <c r="CU51" s="128">
        <f>IFERROR(AI51*$V51,)</f>
        <v/>
      </c>
      <c r="CV51" s="128">
        <f>IFERROR(AJ51*$V51,)</f>
        <v/>
      </c>
      <c r="CW51" s="128">
        <f>IFERROR(AK51*$V51,)</f>
        <v/>
      </c>
      <c r="CX51" s="128">
        <f>IFERROR(AL51*$V51,)</f>
        <v/>
      </c>
      <c r="CY51" s="128">
        <f>IFERROR(AM51*$V51,)</f>
        <v/>
      </c>
      <c r="CZ51" s="128">
        <f>IFERROR(AN51*$V51,)</f>
        <v/>
      </c>
      <c r="DA51" s="128">
        <f>IFERROR(AO51*$V51,)</f>
        <v/>
      </c>
      <c r="DB51" s="128">
        <f>IFERROR(AP51*$V51,)</f>
        <v/>
      </c>
      <c r="DC51" s="128">
        <f>IFERROR(AQ51*$V51,)</f>
        <v/>
      </c>
      <c r="DD51" s="128">
        <f>IFERROR(AR51*$V51,)</f>
        <v/>
      </c>
      <c r="DE51" s="128">
        <f>IFERROR(AS51*$V51,)</f>
        <v/>
      </c>
      <c r="DF51" s="128">
        <f>IFERROR(AT51*$V51,)</f>
        <v/>
      </c>
      <c r="DG51" s="128">
        <f>IFERROR(AU51*$V51,)</f>
        <v/>
      </c>
      <c r="DH51" s="128">
        <f>IFERROR(AV51*$V51,)</f>
        <v/>
      </c>
      <c r="DI51" s="128">
        <f>IFERROR(AW51*$V51,)</f>
        <v/>
      </c>
      <c r="DJ51" s="128">
        <f>IFERROR(AX51*$V51,)</f>
        <v/>
      </c>
      <c r="DK51" s="128">
        <f>IFERROR(AY51*$V51,)</f>
        <v/>
      </c>
      <c r="DL51" s="128">
        <f>IFERROR(AZ51*$V51,)</f>
        <v/>
      </c>
      <c r="DM51" s="129">
        <f>IFERROR(if($X51=0,($V51/1.2)*BA51,
BA51*$X51),)</f>
        <v/>
      </c>
      <c r="DN51" s="129">
        <f>IFERROR(if($X51=0,($V51/1.2)*BB51,
BB51*$X51),)</f>
        <v/>
      </c>
      <c r="DO51" s="129">
        <f>IFERROR(if($X51=0,($V51/1.2)*BC51,
BC51*$X51),)</f>
        <v/>
      </c>
      <c r="DP51" s="130">
        <f>IFERROR(if($Z51=0,($V51/1.35)*BD51,
BD51*$Z51),)</f>
        <v/>
      </c>
      <c r="DQ51" s="130">
        <f>IFERROR(if($Z51=0,($V51/1.35)*BE51,
BE51*$Z51),)</f>
        <v/>
      </c>
      <c r="DR51" s="130">
        <f>IFERROR(if($Z51=0,($V51/1.35)*BF51,
BF51*$Z51),)</f>
        <v/>
      </c>
      <c r="DS51" s="128">
        <f>IFERROR(IF($AB51=0,($V51/0.74)*BG51,
BG51*$AB51),)</f>
        <v/>
      </c>
      <c r="DT51" s="128">
        <f>IFERROR(IF($AB51=0,($V51/0.74)*BH51,
BH51*$AB51),)</f>
        <v/>
      </c>
      <c r="DU51" s="128">
        <f>IFERROR(IF($AB51=0,($V51/0.74)*BI51,
BI51*$AB51),)</f>
        <v/>
      </c>
    </row>
    <row r="52" ht="60" customHeight="1" s="162">
      <c r="A52" s="115" t="n"/>
      <c r="B52" s="115" t="n"/>
      <c r="C52" s="115" t="n"/>
      <c r="D52" s="115" t="n"/>
      <c r="E52" s="115" t="n"/>
      <c r="F52" s="115" t="n"/>
      <c r="G52" s="115" t="n"/>
      <c r="H52" s="115" t="n"/>
      <c r="I52" s="115" t="n"/>
      <c r="J52" s="115" t="n"/>
      <c r="K52" s="115" t="n"/>
      <c r="L52" s="115" t="n"/>
      <c r="M52" s="115" t="n"/>
      <c r="N52" s="115" t="n"/>
      <c r="O52" s="115" t="n"/>
      <c r="P52" s="115" t="n"/>
      <c r="Q52" s="115" t="n"/>
      <c r="R52" s="115" t="n"/>
      <c r="S52" s="115" t="n"/>
      <c r="T52" s="115" t="n"/>
      <c r="U52" s="116" t="n"/>
      <c r="V52" s="116" t="n"/>
      <c r="W52" s="117" t="n"/>
      <c r="X52" s="118" t="n"/>
      <c r="Y52" s="119" t="n"/>
      <c r="Z52" s="120" t="n"/>
      <c r="AA52" s="121" t="n"/>
      <c r="AB52" s="122" t="n"/>
      <c r="AC52" s="117" t="n"/>
      <c r="AD52" s="123">
        <f>IF(SUM($AE52:$AH52)=0,"",SUM($AE52:$AH52))</f>
        <v/>
      </c>
      <c r="AE52" s="123">
        <f>iferror(IF(SUM($AI52:$AZ52)=0,"",SUM($AI52:$AZ52)),"")</f>
        <v/>
      </c>
      <c r="AF52" s="123">
        <f>iferror(IF(SUM($BA52:$BC52)=0,"",SUM($BA52:$BC52)),"")</f>
        <v/>
      </c>
      <c r="AG52" s="123">
        <f>iferror(IF(SUM($BD52:$BF52)=0,"",SUM($BD52:$BF52)),"")</f>
        <v/>
      </c>
      <c r="AH52" s="124">
        <f>iferror(IF(SUM($BG52:$BI52)=0,"",SUM($BG52:$BI52)),"")</f>
        <v/>
      </c>
      <c r="AI52" s="131" t="n"/>
      <c r="AJ52" s="132" t="n"/>
      <c r="AK52" s="132" t="n"/>
      <c r="AL52" s="132" t="n"/>
      <c r="AM52" s="132" t="n"/>
      <c r="AN52" s="132" t="n"/>
      <c r="AO52" s="132" t="n"/>
      <c r="AP52" s="132" t="n"/>
      <c r="AQ52" s="132" t="n"/>
      <c r="AR52" s="132" t="n"/>
      <c r="AS52" s="132" t="n"/>
      <c r="AT52" s="132" t="n"/>
      <c r="AU52" s="132" t="n"/>
      <c r="AV52" s="132" t="n"/>
      <c r="AW52" s="132" t="n"/>
      <c r="AX52" s="132" t="n"/>
      <c r="AY52" s="132" t="n"/>
      <c r="AZ52" s="133" t="n"/>
      <c r="BA52" s="131" t="n"/>
      <c r="BB52" s="132" t="n"/>
      <c r="BC52" s="133" t="n"/>
      <c r="BD52" s="131" t="n"/>
      <c r="BE52" s="132" t="n"/>
      <c r="BF52" s="133" t="n"/>
      <c r="BG52" s="131" t="n"/>
      <c r="BH52" s="132" t="n"/>
      <c r="BI52" s="132" t="n"/>
      <c r="BJ52" s="128">
        <f>iferror(SUM($BK52,($BL52*1.2),($BM52*1.35),($BN52*0.74)),)</f>
        <v/>
      </c>
      <c r="BK52" s="128">
        <f>IFERROR(SUM($BT52:$CK52),)</f>
        <v/>
      </c>
      <c r="BL52" s="129">
        <f>IFERROR(SUM($CL52:$CN52),)</f>
        <v/>
      </c>
      <c r="BM52" s="130">
        <f>IFERROR(SUM($CO52:$CQ52),)</f>
        <v/>
      </c>
      <c r="BN52" s="128">
        <f>IFERROR(SUM($CR52:$CT52),)</f>
        <v/>
      </c>
      <c r="BO52" s="128">
        <f>iferror(SUM($BP52,($BQ52*1.2),($BR52*1.35),($BS52*0.74)),)</f>
        <v/>
      </c>
      <c r="BP52" s="128">
        <f>IFERROR(SUM($CU52:$DL52),)</f>
        <v/>
      </c>
      <c r="BQ52" s="128">
        <f>IFERROR(SUM($DM52:$DO52),)</f>
        <v/>
      </c>
      <c r="BR52" s="128">
        <f>IFERROR(SUM($DP52:$DR52),)</f>
        <v/>
      </c>
      <c r="BS52" s="128">
        <f>IFERROR(SUM($DS52:$DU52),)</f>
        <v/>
      </c>
      <c r="BT52" s="128">
        <f>IFERROR(AI52*$W52,)</f>
        <v/>
      </c>
      <c r="BU52" s="128">
        <f>IFERROR(AJ52*$W52,)</f>
        <v/>
      </c>
      <c r="BV52" s="128">
        <f>IFERROR(AK52*$W52,)</f>
        <v/>
      </c>
      <c r="BW52" s="128">
        <f>IFERROR(AL52*$W52,)</f>
        <v/>
      </c>
      <c r="BX52" s="128">
        <f>IFERROR(AM52*$W52,)</f>
        <v/>
      </c>
      <c r="BY52" s="128">
        <f>IFERROR(AN52*$W52,)</f>
        <v/>
      </c>
      <c r="BZ52" s="128">
        <f>IFERROR(AO52*$W52,)</f>
        <v/>
      </c>
      <c r="CA52" s="128">
        <f>IFERROR(AP52*$W52,)</f>
        <v/>
      </c>
      <c r="CB52" s="128">
        <f>IFERROR(AQ52*$W52,)</f>
        <v/>
      </c>
      <c r="CC52" s="128">
        <f>IFERROR(AR52*$W52,)</f>
        <v/>
      </c>
      <c r="CD52" s="128">
        <f>IFERROR(AS52*$W52,)</f>
        <v/>
      </c>
      <c r="CE52" s="128">
        <f>IFERROR(AT52*$W52,)</f>
        <v/>
      </c>
      <c r="CF52" s="128">
        <f>IFERROR(AU52*$W52,)</f>
        <v/>
      </c>
      <c r="CG52" s="128">
        <f>IFERROR(AV52*$W52,)</f>
        <v/>
      </c>
      <c r="CH52" s="128">
        <f>IFERROR(AW52*$W52,)</f>
        <v/>
      </c>
      <c r="CI52" s="128">
        <f>IFERROR(AX52*$W52,)</f>
        <v/>
      </c>
      <c r="CJ52" s="128">
        <f>IFERROR(AY52*$W52,)</f>
        <v/>
      </c>
      <c r="CK52" s="128">
        <f>IFERROR(AZ52*$W52,)</f>
        <v/>
      </c>
      <c r="CL52" s="129">
        <f>IFERROR(if($Y52=0,BA52*($W52/1.2),BA52*$Y52),"")</f>
        <v/>
      </c>
      <c r="CM52" s="129">
        <f>IFERROR(if($Y52=0,BB52*($W52/1.2),BB52*$Y52),"")</f>
        <v/>
      </c>
      <c r="CN52" s="129">
        <f>IFERROR(if($Y52=0,BC52*($W52/1.2),BC52*$Y52),"")</f>
        <v/>
      </c>
      <c r="CO52" s="130">
        <f>IFERROR(if($AA52=0,($W52/1.35)*BD52,BD52*$AA52),)</f>
        <v/>
      </c>
      <c r="CP52" s="130">
        <f>IFERROR(if($AA52=0,($W52/1.35)*BE52,BE52*$AA52),)</f>
        <v/>
      </c>
      <c r="CQ52" s="130">
        <f>IFERROR(if($AA52=0,($W52/1.35)*BF52,BF52*$AA52),)</f>
        <v/>
      </c>
      <c r="CR52" s="128">
        <f>IFERROR(if($AC52=0,($W52/0.74)*BG52,
BG52*$AC52),)</f>
        <v/>
      </c>
      <c r="CS52" s="128">
        <f>IFERROR(if($AC52=0,($W52/0.74)*BH52,
BH52*$AC52),)</f>
        <v/>
      </c>
      <c r="CT52" s="128">
        <f>IFERROR(if($AC52=0,($W52/0.74)*BI52,
BI52*$AC52),)</f>
        <v/>
      </c>
      <c r="CU52" s="128">
        <f>IFERROR(AI52*$V52,)</f>
        <v/>
      </c>
      <c r="CV52" s="128">
        <f>IFERROR(AJ52*$V52,)</f>
        <v/>
      </c>
      <c r="CW52" s="128">
        <f>IFERROR(AK52*$V52,)</f>
        <v/>
      </c>
      <c r="CX52" s="128">
        <f>IFERROR(AL52*$V52,)</f>
        <v/>
      </c>
      <c r="CY52" s="128">
        <f>IFERROR(AM52*$V52,)</f>
        <v/>
      </c>
      <c r="CZ52" s="128">
        <f>IFERROR(AN52*$V52,)</f>
        <v/>
      </c>
      <c r="DA52" s="128">
        <f>IFERROR(AO52*$V52,)</f>
        <v/>
      </c>
      <c r="DB52" s="128">
        <f>IFERROR(AP52*$V52,)</f>
        <v/>
      </c>
      <c r="DC52" s="128">
        <f>IFERROR(AQ52*$V52,)</f>
        <v/>
      </c>
      <c r="DD52" s="128">
        <f>IFERROR(AR52*$V52,)</f>
        <v/>
      </c>
      <c r="DE52" s="128">
        <f>IFERROR(AS52*$V52,)</f>
        <v/>
      </c>
      <c r="DF52" s="128">
        <f>IFERROR(AT52*$V52,)</f>
        <v/>
      </c>
      <c r="DG52" s="128">
        <f>IFERROR(AU52*$V52,)</f>
        <v/>
      </c>
      <c r="DH52" s="128">
        <f>IFERROR(AV52*$V52,)</f>
        <v/>
      </c>
      <c r="DI52" s="128">
        <f>IFERROR(AW52*$V52,)</f>
        <v/>
      </c>
      <c r="DJ52" s="128">
        <f>IFERROR(AX52*$V52,)</f>
        <v/>
      </c>
      <c r="DK52" s="128">
        <f>IFERROR(AY52*$V52,)</f>
        <v/>
      </c>
      <c r="DL52" s="128">
        <f>IFERROR(AZ52*$V52,)</f>
        <v/>
      </c>
      <c r="DM52" s="129">
        <f>IFERROR(if($X52=0,($V52/1.2)*BA52,
BA52*$X52),)</f>
        <v/>
      </c>
      <c r="DN52" s="129">
        <f>IFERROR(if($X52=0,($V52/1.2)*BB52,
BB52*$X52),)</f>
        <v/>
      </c>
      <c r="DO52" s="129">
        <f>IFERROR(if($X52=0,($V52/1.2)*BC52,
BC52*$X52),)</f>
        <v/>
      </c>
      <c r="DP52" s="130">
        <f>IFERROR(if($Z52=0,($V52/1.35)*BD52,
BD52*$Z52),)</f>
        <v/>
      </c>
      <c r="DQ52" s="130">
        <f>IFERROR(if($Z52=0,($V52/1.35)*BE52,
BE52*$Z52),)</f>
        <v/>
      </c>
      <c r="DR52" s="130">
        <f>IFERROR(if($Z52=0,($V52/1.35)*BF52,
BF52*$Z52),)</f>
        <v/>
      </c>
      <c r="DS52" s="128">
        <f>IFERROR(IF($AB52=0,($V52/0.74)*BG52,
BG52*$AB52),)</f>
        <v/>
      </c>
      <c r="DT52" s="128">
        <f>IFERROR(IF($AB52=0,($V52/0.74)*BH52,
BH52*$AB52),)</f>
        <v/>
      </c>
      <c r="DU52" s="128">
        <f>IFERROR(IF($AB52=0,($V52/0.74)*BI52,
BI52*$AB52),)</f>
        <v/>
      </c>
    </row>
    <row r="53" ht="60" customHeight="1" s="162">
      <c r="A53" s="115" t="n"/>
      <c r="B53" s="115" t="n"/>
      <c r="C53" s="115" t="n"/>
      <c r="D53" s="115" t="n"/>
      <c r="E53" s="115" t="n"/>
      <c r="F53" s="115" t="n"/>
      <c r="G53" s="115" t="n"/>
      <c r="H53" s="115" t="n"/>
      <c r="I53" s="115" t="n"/>
      <c r="J53" s="115" t="n"/>
      <c r="K53" s="115" t="n"/>
      <c r="L53" s="115" t="n"/>
      <c r="M53" s="115" t="n"/>
      <c r="N53" s="115" t="n"/>
      <c r="O53" s="115" t="n"/>
      <c r="P53" s="115" t="n"/>
      <c r="Q53" s="115" t="n"/>
      <c r="R53" s="115" t="n"/>
      <c r="S53" s="115" t="n"/>
      <c r="T53" s="115" t="n"/>
      <c r="U53" s="116" t="n"/>
      <c r="V53" s="116" t="n"/>
      <c r="W53" s="117" t="n"/>
      <c r="X53" s="118" t="n"/>
      <c r="Y53" s="119" t="n"/>
      <c r="Z53" s="120" t="n"/>
      <c r="AA53" s="121" t="n"/>
      <c r="AB53" s="122" t="n"/>
      <c r="AC53" s="117" t="n"/>
      <c r="AD53" s="123">
        <f>IF(SUM($AE53:$AH53)=0,"",SUM($AE53:$AH53))</f>
        <v/>
      </c>
      <c r="AE53" s="123">
        <f>iferror(IF(SUM($AI53:$AZ53)=0,"",SUM($AI53:$AZ53)),"")</f>
        <v/>
      </c>
      <c r="AF53" s="123">
        <f>iferror(IF(SUM($BA53:$BC53)=0,"",SUM($BA53:$BC53)),"")</f>
        <v/>
      </c>
      <c r="AG53" s="123">
        <f>iferror(IF(SUM($BD53:$BF53)=0,"",SUM($BD53:$BF53)),"")</f>
        <v/>
      </c>
      <c r="AH53" s="124">
        <f>iferror(IF(SUM($BG53:$BI53)=0,"",SUM($BG53:$BI53)),"")</f>
        <v/>
      </c>
      <c r="AI53" s="131" t="n"/>
      <c r="AJ53" s="132" t="n"/>
      <c r="AK53" s="132" t="n"/>
      <c r="AL53" s="132" t="n"/>
      <c r="AM53" s="132" t="n"/>
      <c r="AN53" s="132" t="n"/>
      <c r="AO53" s="132" t="n"/>
      <c r="AP53" s="132" t="n"/>
      <c r="AQ53" s="132" t="n"/>
      <c r="AR53" s="132" t="n"/>
      <c r="AS53" s="132" t="n"/>
      <c r="AT53" s="132" t="n"/>
      <c r="AU53" s="132" t="n"/>
      <c r="AV53" s="132" t="n"/>
      <c r="AW53" s="132" t="n"/>
      <c r="AX53" s="132" t="n"/>
      <c r="AY53" s="132" t="n"/>
      <c r="AZ53" s="133" t="n"/>
      <c r="BA53" s="131" t="n"/>
      <c r="BB53" s="132" t="n"/>
      <c r="BC53" s="133" t="n"/>
      <c r="BD53" s="131" t="n"/>
      <c r="BE53" s="132" t="n"/>
      <c r="BF53" s="133" t="n"/>
      <c r="BG53" s="131" t="n"/>
      <c r="BH53" s="132" t="n"/>
      <c r="BI53" s="132" t="n"/>
      <c r="BJ53" s="128">
        <f>iferror(SUM($BK53,($BL53*1.2),($BM53*1.35),($BN53*0.74)),)</f>
        <v/>
      </c>
      <c r="BK53" s="128">
        <f>IFERROR(SUM($BT53:$CK53),)</f>
        <v/>
      </c>
      <c r="BL53" s="129">
        <f>IFERROR(SUM($CL53:$CN53),)</f>
        <v/>
      </c>
      <c r="BM53" s="130">
        <f>IFERROR(SUM($CO53:$CQ53),)</f>
        <v/>
      </c>
      <c r="BN53" s="128">
        <f>IFERROR(SUM($CR53:$CT53),)</f>
        <v/>
      </c>
      <c r="BO53" s="128">
        <f>iferror(SUM($BP53,($BQ53*1.2),($BR53*1.35),($BS53*0.74)),)</f>
        <v/>
      </c>
      <c r="BP53" s="128">
        <f>IFERROR(SUM($CU53:$DL53),)</f>
        <v/>
      </c>
      <c r="BQ53" s="128">
        <f>IFERROR(SUM($DM53:$DO53),)</f>
        <v/>
      </c>
      <c r="BR53" s="128">
        <f>IFERROR(SUM($DP53:$DR53),)</f>
        <v/>
      </c>
      <c r="BS53" s="128">
        <f>IFERROR(SUM($DS53:$DU53),)</f>
        <v/>
      </c>
      <c r="BT53" s="128">
        <f>IFERROR(AI53*$W53,)</f>
        <v/>
      </c>
      <c r="BU53" s="128">
        <f>IFERROR(AJ53*$W53,)</f>
        <v/>
      </c>
      <c r="BV53" s="128">
        <f>IFERROR(AK53*$W53,)</f>
        <v/>
      </c>
      <c r="BW53" s="128">
        <f>IFERROR(AL53*$W53,)</f>
        <v/>
      </c>
      <c r="BX53" s="128">
        <f>IFERROR(AM53*$W53,)</f>
        <v/>
      </c>
      <c r="BY53" s="128">
        <f>IFERROR(AN53*$W53,)</f>
        <v/>
      </c>
      <c r="BZ53" s="128">
        <f>IFERROR(AO53*$W53,)</f>
        <v/>
      </c>
      <c r="CA53" s="128">
        <f>IFERROR(AP53*$W53,)</f>
        <v/>
      </c>
      <c r="CB53" s="128">
        <f>IFERROR(AQ53*$W53,)</f>
        <v/>
      </c>
      <c r="CC53" s="128">
        <f>IFERROR(AR53*$W53,)</f>
        <v/>
      </c>
      <c r="CD53" s="128">
        <f>IFERROR(AS53*$W53,)</f>
        <v/>
      </c>
      <c r="CE53" s="128">
        <f>IFERROR(AT53*$W53,)</f>
        <v/>
      </c>
      <c r="CF53" s="128">
        <f>IFERROR(AU53*$W53,)</f>
        <v/>
      </c>
      <c r="CG53" s="128">
        <f>IFERROR(AV53*$W53,)</f>
        <v/>
      </c>
      <c r="CH53" s="128">
        <f>IFERROR(AW53*$W53,)</f>
        <v/>
      </c>
      <c r="CI53" s="128">
        <f>IFERROR(AX53*$W53,)</f>
        <v/>
      </c>
      <c r="CJ53" s="128">
        <f>IFERROR(AY53*$W53,)</f>
        <v/>
      </c>
      <c r="CK53" s="128">
        <f>IFERROR(AZ53*$W53,)</f>
        <v/>
      </c>
      <c r="CL53" s="129">
        <f>IFERROR(if($Y53=0,BA53*($W53/1.2),BA53*$Y53),"")</f>
        <v/>
      </c>
      <c r="CM53" s="129">
        <f>IFERROR(if($Y53=0,BB53*($W53/1.2),BB53*$Y53),"")</f>
        <v/>
      </c>
      <c r="CN53" s="129">
        <f>IFERROR(if($Y53=0,BC53*($W53/1.2),BC53*$Y53),"")</f>
        <v/>
      </c>
      <c r="CO53" s="130">
        <f>IFERROR(if($AA53=0,($W53/1.35)*BD53,BD53*$AA53),)</f>
        <v/>
      </c>
      <c r="CP53" s="130">
        <f>IFERROR(if($AA53=0,($W53/1.35)*BE53,BE53*$AA53),)</f>
        <v/>
      </c>
      <c r="CQ53" s="130">
        <f>IFERROR(if($AA53=0,($W53/1.35)*BF53,BF53*$AA53),)</f>
        <v/>
      </c>
      <c r="CR53" s="128">
        <f>IFERROR(if($AC53=0,($W53/0.74)*BG53,
BG53*$AC53),)</f>
        <v/>
      </c>
      <c r="CS53" s="128">
        <f>IFERROR(if($AC53=0,($W53/0.74)*BH53,
BH53*$AC53),)</f>
        <v/>
      </c>
      <c r="CT53" s="128">
        <f>IFERROR(if($AC53=0,($W53/0.74)*BI53,
BI53*$AC53),)</f>
        <v/>
      </c>
      <c r="CU53" s="128">
        <f>IFERROR(AI53*$V53,)</f>
        <v/>
      </c>
      <c r="CV53" s="128">
        <f>IFERROR(AJ53*$V53,)</f>
        <v/>
      </c>
      <c r="CW53" s="128">
        <f>IFERROR(AK53*$V53,)</f>
        <v/>
      </c>
      <c r="CX53" s="128">
        <f>IFERROR(AL53*$V53,)</f>
        <v/>
      </c>
      <c r="CY53" s="128">
        <f>IFERROR(AM53*$V53,)</f>
        <v/>
      </c>
      <c r="CZ53" s="128">
        <f>IFERROR(AN53*$V53,)</f>
        <v/>
      </c>
      <c r="DA53" s="128">
        <f>IFERROR(AO53*$V53,)</f>
        <v/>
      </c>
      <c r="DB53" s="128">
        <f>IFERROR(AP53*$V53,)</f>
        <v/>
      </c>
      <c r="DC53" s="128">
        <f>IFERROR(AQ53*$V53,)</f>
        <v/>
      </c>
      <c r="DD53" s="128">
        <f>IFERROR(AR53*$V53,)</f>
        <v/>
      </c>
      <c r="DE53" s="128">
        <f>IFERROR(AS53*$V53,)</f>
        <v/>
      </c>
      <c r="DF53" s="128">
        <f>IFERROR(AT53*$V53,)</f>
        <v/>
      </c>
      <c r="DG53" s="128">
        <f>IFERROR(AU53*$V53,)</f>
        <v/>
      </c>
      <c r="DH53" s="128">
        <f>IFERROR(AV53*$V53,)</f>
        <v/>
      </c>
      <c r="DI53" s="128">
        <f>IFERROR(AW53*$V53,)</f>
        <v/>
      </c>
      <c r="DJ53" s="128">
        <f>IFERROR(AX53*$V53,)</f>
        <v/>
      </c>
      <c r="DK53" s="128">
        <f>IFERROR(AY53*$V53,)</f>
        <v/>
      </c>
      <c r="DL53" s="128">
        <f>IFERROR(AZ53*$V53,)</f>
        <v/>
      </c>
      <c r="DM53" s="129">
        <f>IFERROR(if($X53=0,($V53/1.2)*BA53,
BA53*$X53),)</f>
        <v/>
      </c>
      <c r="DN53" s="129">
        <f>IFERROR(if($X53=0,($V53/1.2)*BB53,
BB53*$X53),)</f>
        <v/>
      </c>
      <c r="DO53" s="129">
        <f>IFERROR(if($X53=0,($V53/1.2)*BC53,
BC53*$X53),)</f>
        <v/>
      </c>
      <c r="DP53" s="130">
        <f>IFERROR(if($Z53=0,($V53/1.35)*BD53,
BD53*$Z53),)</f>
        <v/>
      </c>
      <c r="DQ53" s="130">
        <f>IFERROR(if($Z53=0,($V53/1.35)*BE53,
BE53*$Z53),)</f>
        <v/>
      </c>
      <c r="DR53" s="130">
        <f>IFERROR(if($Z53=0,($V53/1.35)*BF53,
BF53*$Z53),)</f>
        <v/>
      </c>
      <c r="DS53" s="128">
        <f>IFERROR(IF($AB53=0,($V53/0.74)*BG53,
BG53*$AB53),)</f>
        <v/>
      </c>
      <c r="DT53" s="128">
        <f>IFERROR(IF($AB53=0,($V53/0.74)*BH53,
BH53*$AB53),)</f>
        <v/>
      </c>
      <c r="DU53" s="128">
        <f>IFERROR(IF($AB53=0,($V53/0.74)*BI53,
BI53*$AB53),)</f>
        <v/>
      </c>
    </row>
    <row r="54" ht="60" customHeight="1" s="162">
      <c r="A54" s="115" t="n"/>
      <c r="B54" s="115" t="n"/>
      <c r="C54" s="115" t="n"/>
      <c r="D54" s="115" t="n"/>
      <c r="E54" s="115" t="n"/>
      <c r="F54" s="115" t="n"/>
      <c r="G54" s="115" t="n"/>
      <c r="H54" s="115" t="n"/>
      <c r="I54" s="115" t="n"/>
      <c r="J54" s="115" t="n"/>
      <c r="K54" s="115" t="n"/>
      <c r="L54" s="115" t="n"/>
      <c r="M54" s="115" t="n"/>
      <c r="N54" s="115" t="n"/>
      <c r="O54" s="115" t="n"/>
      <c r="P54" s="115" t="n"/>
      <c r="Q54" s="115" t="n"/>
      <c r="R54" s="115" t="n"/>
      <c r="S54" s="115" t="n"/>
      <c r="T54" s="115" t="n"/>
      <c r="U54" s="116" t="n"/>
      <c r="V54" s="116" t="n"/>
      <c r="W54" s="117" t="n"/>
      <c r="X54" s="118" t="n"/>
      <c r="Y54" s="119" t="n"/>
      <c r="Z54" s="120" t="n"/>
      <c r="AA54" s="121" t="n"/>
      <c r="AB54" s="122" t="n"/>
      <c r="AC54" s="117" t="n"/>
      <c r="AD54" s="123">
        <f>IF(SUM($AE54:$AH54)=0,"",SUM($AE54:$AH54))</f>
        <v/>
      </c>
      <c r="AE54" s="123">
        <f>iferror(IF(SUM($AI54:$AZ54)=0,"",SUM($AI54:$AZ54)),"")</f>
        <v/>
      </c>
      <c r="AF54" s="123">
        <f>iferror(IF(SUM($BA54:$BC54)=0,"",SUM($BA54:$BC54)),"")</f>
        <v/>
      </c>
      <c r="AG54" s="123">
        <f>iferror(IF(SUM($BD54:$BF54)=0,"",SUM($BD54:$BF54)),"")</f>
        <v/>
      </c>
      <c r="AH54" s="124">
        <f>iferror(IF(SUM($BG54:$BI54)=0,"",SUM($BG54:$BI54)),"")</f>
        <v/>
      </c>
      <c r="AI54" s="131" t="n"/>
      <c r="AJ54" s="132" t="n"/>
      <c r="AK54" s="132" t="n"/>
      <c r="AL54" s="132" t="n"/>
      <c r="AM54" s="132" t="n"/>
      <c r="AN54" s="132" t="n"/>
      <c r="AO54" s="132" t="n"/>
      <c r="AP54" s="132" t="n"/>
      <c r="AQ54" s="132" t="n"/>
      <c r="AR54" s="132" t="n"/>
      <c r="AS54" s="132" t="n"/>
      <c r="AT54" s="132" t="n"/>
      <c r="AU54" s="132" t="n"/>
      <c r="AV54" s="132" t="n"/>
      <c r="AW54" s="132" t="n"/>
      <c r="AX54" s="132" t="n"/>
      <c r="AY54" s="132" t="n"/>
      <c r="AZ54" s="133" t="n"/>
      <c r="BA54" s="131" t="n"/>
      <c r="BB54" s="132" t="n"/>
      <c r="BC54" s="133" t="n"/>
      <c r="BD54" s="131" t="n"/>
      <c r="BE54" s="132" t="n"/>
      <c r="BF54" s="133" t="n"/>
      <c r="BG54" s="131" t="n"/>
      <c r="BH54" s="132" t="n"/>
      <c r="BI54" s="132" t="n"/>
      <c r="BJ54" s="128">
        <f>iferror(SUM($BK54,($BL54*1.2),($BM54*1.35),($BN54*0.74)),)</f>
        <v/>
      </c>
      <c r="BK54" s="128">
        <f>IFERROR(SUM($BT54:$CK54),)</f>
        <v/>
      </c>
      <c r="BL54" s="129">
        <f>IFERROR(SUM($CL54:$CN54),)</f>
        <v/>
      </c>
      <c r="BM54" s="130">
        <f>IFERROR(SUM($CO54:$CQ54),)</f>
        <v/>
      </c>
      <c r="BN54" s="128">
        <f>IFERROR(SUM($CR54:$CT54),)</f>
        <v/>
      </c>
      <c r="BO54" s="128">
        <f>iferror(SUM($BP54,($BQ54*1.2),($BR54*1.35),($BS54*0.74)),)</f>
        <v/>
      </c>
      <c r="BP54" s="128">
        <f>IFERROR(SUM($CU54:$DL54),)</f>
        <v/>
      </c>
      <c r="BQ54" s="128">
        <f>IFERROR(SUM($DM54:$DO54),)</f>
        <v/>
      </c>
      <c r="BR54" s="128">
        <f>IFERROR(SUM($DP54:$DR54),)</f>
        <v/>
      </c>
      <c r="BS54" s="128">
        <f>IFERROR(SUM($DS54:$DU54),)</f>
        <v/>
      </c>
      <c r="BT54" s="128">
        <f>IFERROR(AI54*$W54,)</f>
        <v/>
      </c>
      <c r="BU54" s="128">
        <f>IFERROR(AJ54*$W54,)</f>
        <v/>
      </c>
      <c r="BV54" s="128">
        <f>IFERROR(AK54*$W54,)</f>
        <v/>
      </c>
      <c r="BW54" s="128">
        <f>IFERROR(AL54*$W54,)</f>
        <v/>
      </c>
      <c r="BX54" s="128">
        <f>IFERROR(AM54*$W54,)</f>
        <v/>
      </c>
      <c r="BY54" s="128">
        <f>IFERROR(AN54*$W54,)</f>
        <v/>
      </c>
      <c r="BZ54" s="128">
        <f>IFERROR(AO54*$W54,)</f>
        <v/>
      </c>
      <c r="CA54" s="128">
        <f>IFERROR(AP54*$W54,)</f>
        <v/>
      </c>
      <c r="CB54" s="128">
        <f>IFERROR(AQ54*$W54,)</f>
        <v/>
      </c>
      <c r="CC54" s="128">
        <f>IFERROR(AR54*$W54,)</f>
        <v/>
      </c>
      <c r="CD54" s="128">
        <f>IFERROR(AS54*$W54,)</f>
        <v/>
      </c>
      <c r="CE54" s="128">
        <f>IFERROR(AT54*$W54,)</f>
        <v/>
      </c>
      <c r="CF54" s="128">
        <f>IFERROR(AU54*$W54,)</f>
        <v/>
      </c>
      <c r="CG54" s="128">
        <f>IFERROR(AV54*$W54,)</f>
        <v/>
      </c>
      <c r="CH54" s="128">
        <f>IFERROR(AW54*$W54,)</f>
        <v/>
      </c>
      <c r="CI54" s="128">
        <f>IFERROR(AX54*$W54,)</f>
        <v/>
      </c>
      <c r="CJ54" s="128">
        <f>IFERROR(AY54*$W54,)</f>
        <v/>
      </c>
      <c r="CK54" s="128">
        <f>IFERROR(AZ54*$W54,)</f>
        <v/>
      </c>
      <c r="CL54" s="129">
        <f>IFERROR(if($Y54=0,BA54*($W54/1.2),BA54*$Y54),"")</f>
        <v/>
      </c>
      <c r="CM54" s="129">
        <f>IFERROR(if($Y54=0,BB54*($W54/1.2),BB54*$Y54),"")</f>
        <v/>
      </c>
      <c r="CN54" s="129">
        <f>IFERROR(if($Y54=0,BC54*($W54/1.2),BC54*$Y54),"")</f>
        <v/>
      </c>
      <c r="CO54" s="130">
        <f>IFERROR(if($AA54=0,($W54/1.35)*BD54,BD54*$AA54),)</f>
        <v/>
      </c>
      <c r="CP54" s="130">
        <f>IFERROR(if($AA54=0,($W54/1.35)*BE54,BE54*$AA54),)</f>
        <v/>
      </c>
      <c r="CQ54" s="130">
        <f>IFERROR(if($AA54=0,($W54/1.35)*BF54,BF54*$AA54),)</f>
        <v/>
      </c>
      <c r="CR54" s="128">
        <f>IFERROR(if($AC54=0,($W54/0.74)*BG54,
BG54*$AC54),)</f>
        <v/>
      </c>
      <c r="CS54" s="128">
        <f>IFERROR(if($AC54=0,($W54/0.74)*BH54,
BH54*$AC54),)</f>
        <v/>
      </c>
      <c r="CT54" s="128">
        <f>IFERROR(if($AC54=0,($W54/0.74)*BI54,
BI54*$AC54),)</f>
        <v/>
      </c>
      <c r="CU54" s="128">
        <f>IFERROR(AI54*$V54,)</f>
        <v/>
      </c>
      <c r="CV54" s="128">
        <f>IFERROR(AJ54*$V54,)</f>
        <v/>
      </c>
      <c r="CW54" s="128">
        <f>IFERROR(AK54*$V54,)</f>
        <v/>
      </c>
      <c r="CX54" s="128">
        <f>IFERROR(AL54*$V54,)</f>
        <v/>
      </c>
      <c r="CY54" s="128">
        <f>IFERROR(AM54*$V54,)</f>
        <v/>
      </c>
      <c r="CZ54" s="128">
        <f>IFERROR(AN54*$V54,)</f>
        <v/>
      </c>
      <c r="DA54" s="128">
        <f>IFERROR(AO54*$V54,)</f>
        <v/>
      </c>
      <c r="DB54" s="128">
        <f>IFERROR(AP54*$V54,)</f>
        <v/>
      </c>
      <c r="DC54" s="128">
        <f>IFERROR(AQ54*$V54,)</f>
        <v/>
      </c>
      <c r="DD54" s="128">
        <f>IFERROR(AR54*$V54,)</f>
        <v/>
      </c>
      <c r="DE54" s="128">
        <f>IFERROR(AS54*$V54,)</f>
        <v/>
      </c>
      <c r="DF54" s="128">
        <f>IFERROR(AT54*$V54,)</f>
        <v/>
      </c>
      <c r="DG54" s="128">
        <f>IFERROR(AU54*$V54,)</f>
        <v/>
      </c>
      <c r="DH54" s="128">
        <f>IFERROR(AV54*$V54,)</f>
        <v/>
      </c>
      <c r="DI54" s="128">
        <f>IFERROR(AW54*$V54,)</f>
        <v/>
      </c>
      <c r="DJ54" s="128">
        <f>IFERROR(AX54*$V54,)</f>
        <v/>
      </c>
      <c r="DK54" s="128">
        <f>IFERROR(AY54*$V54,)</f>
        <v/>
      </c>
      <c r="DL54" s="128">
        <f>IFERROR(AZ54*$V54,)</f>
        <v/>
      </c>
      <c r="DM54" s="129">
        <f>IFERROR(if($X54=0,($V54/1.2)*BA54,
BA54*$X54),)</f>
        <v/>
      </c>
      <c r="DN54" s="129">
        <f>IFERROR(if($X54=0,($V54/1.2)*BB54,
BB54*$X54),)</f>
        <v/>
      </c>
      <c r="DO54" s="129">
        <f>IFERROR(if($X54=0,($V54/1.2)*BC54,
BC54*$X54),)</f>
        <v/>
      </c>
      <c r="DP54" s="130">
        <f>IFERROR(if($Z54=0,($V54/1.35)*BD54,
BD54*$Z54),)</f>
        <v/>
      </c>
      <c r="DQ54" s="130">
        <f>IFERROR(if($Z54=0,($V54/1.35)*BE54,
BE54*$Z54),)</f>
        <v/>
      </c>
      <c r="DR54" s="130">
        <f>IFERROR(if($Z54=0,($V54/1.35)*BF54,
BF54*$Z54),)</f>
        <v/>
      </c>
      <c r="DS54" s="128">
        <f>IFERROR(IF($AB54=0,($V54/0.74)*BG54,
BG54*$AB54),)</f>
        <v/>
      </c>
      <c r="DT54" s="128">
        <f>IFERROR(IF($AB54=0,($V54/0.74)*BH54,
BH54*$AB54),)</f>
        <v/>
      </c>
      <c r="DU54" s="128">
        <f>IFERROR(IF($AB54=0,($V54/0.74)*BI54,
BI54*$AB54),)</f>
        <v/>
      </c>
    </row>
    <row r="55" ht="60" customHeight="1" s="162">
      <c r="A55" s="115" t="n"/>
      <c r="B55" s="115" t="n"/>
      <c r="C55" s="115" t="n"/>
      <c r="D55" s="115" t="n"/>
      <c r="E55" s="115" t="n"/>
      <c r="F55" s="115" t="n"/>
      <c r="G55" s="115" t="n"/>
      <c r="H55" s="115" t="n"/>
      <c r="I55" s="115" t="n"/>
      <c r="J55" s="115" t="n"/>
      <c r="K55" s="115" t="n"/>
      <c r="L55" s="115" t="n"/>
      <c r="M55" s="115" t="n"/>
      <c r="N55" s="115" t="n"/>
      <c r="O55" s="115" t="n"/>
      <c r="P55" s="115" t="n"/>
      <c r="Q55" s="115" t="n"/>
      <c r="R55" s="115" t="n"/>
      <c r="S55" s="115" t="n"/>
      <c r="T55" s="115" t="n"/>
      <c r="U55" s="116" t="n"/>
      <c r="V55" s="116" t="n"/>
      <c r="W55" s="117" t="n"/>
      <c r="X55" s="118" t="n"/>
      <c r="Y55" s="119" t="n"/>
      <c r="Z55" s="120" t="n"/>
      <c r="AA55" s="121" t="n"/>
      <c r="AB55" s="122" t="n"/>
      <c r="AC55" s="117" t="n"/>
      <c r="AD55" s="123">
        <f>IF(SUM($AE55:$AH55)=0,"",SUM($AE55:$AH55))</f>
        <v/>
      </c>
      <c r="AE55" s="123">
        <f>iferror(IF(SUM($AI55:$AZ55)=0,"",SUM($AI55:$AZ55)),"")</f>
        <v/>
      </c>
      <c r="AF55" s="123">
        <f>iferror(IF(SUM($BA55:$BC55)=0,"",SUM($BA55:$BC55)),"")</f>
        <v/>
      </c>
      <c r="AG55" s="123">
        <f>iferror(IF(SUM($BD55:$BF55)=0,"",SUM($BD55:$BF55)),"")</f>
        <v/>
      </c>
      <c r="AH55" s="124">
        <f>iferror(IF(SUM($BG55:$BI55)=0,"",SUM($BG55:$BI55)),"")</f>
        <v/>
      </c>
      <c r="AI55" s="131" t="n"/>
      <c r="AJ55" s="132" t="n"/>
      <c r="AK55" s="132" t="n"/>
      <c r="AL55" s="132" t="n"/>
      <c r="AM55" s="132" t="n"/>
      <c r="AN55" s="132" t="n"/>
      <c r="AO55" s="132" t="n"/>
      <c r="AP55" s="132" t="n"/>
      <c r="AQ55" s="132" t="n"/>
      <c r="AR55" s="132" t="n"/>
      <c r="AS55" s="132" t="n"/>
      <c r="AT55" s="132" t="n"/>
      <c r="AU55" s="132" t="n"/>
      <c r="AV55" s="132" t="n"/>
      <c r="AW55" s="132" t="n"/>
      <c r="AX55" s="132" t="n"/>
      <c r="AY55" s="132" t="n"/>
      <c r="AZ55" s="133" t="n"/>
      <c r="BA55" s="131" t="n"/>
      <c r="BB55" s="132" t="n"/>
      <c r="BC55" s="133" t="n"/>
      <c r="BD55" s="131" t="n"/>
      <c r="BE55" s="132" t="n"/>
      <c r="BF55" s="133" t="n"/>
      <c r="BG55" s="131" t="n"/>
      <c r="BH55" s="132" t="n"/>
      <c r="BI55" s="132" t="n"/>
      <c r="BJ55" s="128">
        <f>iferror(SUM($BK55,($BL55*1.2),($BM55*1.35),($BN55*0.74)),)</f>
        <v/>
      </c>
      <c r="BK55" s="128">
        <f>IFERROR(SUM($BT55:$CK55),)</f>
        <v/>
      </c>
      <c r="BL55" s="129">
        <f>IFERROR(SUM($CL55:$CN55),)</f>
        <v/>
      </c>
      <c r="BM55" s="130">
        <f>IFERROR(SUM($CO55:$CQ55),)</f>
        <v/>
      </c>
      <c r="BN55" s="128">
        <f>IFERROR(SUM($CR55:$CT55),)</f>
        <v/>
      </c>
      <c r="BO55" s="128">
        <f>iferror(SUM($BP55,($BQ55*1.2),($BR55*1.35),($BS55*0.74)),)</f>
        <v/>
      </c>
      <c r="BP55" s="128">
        <f>IFERROR(SUM($CU55:$DL55),)</f>
        <v/>
      </c>
      <c r="BQ55" s="128">
        <f>IFERROR(SUM($DM55:$DO55),)</f>
        <v/>
      </c>
      <c r="BR55" s="128">
        <f>IFERROR(SUM($DP55:$DR55),)</f>
        <v/>
      </c>
      <c r="BS55" s="128">
        <f>IFERROR(SUM($DS55:$DU55),)</f>
        <v/>
      </c>
      <c r="BT55" s="128">
        <f>IFERROR(AI55*$W55,)</f>
        <v/>
      </c>
      <c r="BU55" s="128">
        <f>IFERROR(AJ55*$W55,)</f>
        <v/>
      </c>
      <c r="BV55" s="128">
        <f>IFERROR(AK55*$W55,)</f>
        <v/>
      </c>
      <c r="BW55" s="128">
        <f>IFERROR(AL55*$W55,)</f>
        <v/>
      </c>
      <c r="BX55" s="128">
        <f>IFERROR(AM55*$W55,)</f>
        <v/>
      </c>
      <c r="BY55" s="128">
        <f>IFERROR(AN55*$W55,)</f>
        <v/>
      </c>
      <c r="BZ55" s="128">
        <f>IFERROR(AO55*$W55,)</f>
        <v/>
      </c>
      <c r="CA55" s="128">
        <f>IFERROR(AP55*$W55,)</f>
        <v/>
      </c>
      <c r="CB55" s="128">
        <f>IFERROR(AQ55*$W55,)</f>
        <v/>
      </c>
      <c r="CC55" s="128">
        <f>IFERROR(AR55*$W55,)</f>
        <v/>
      </c>
      <c r="CD55" s="128">
        <f>IFERROR(AS55*$W55,)</f>
        <v/>
      </c>
      <c r="CE55" s="128">
        <f>IFERROR(AT55*$W55,)</f>
        <v/>
      </c>
      <c r="CF55" s="128">
        <f>IFERROR(AU55*$W55,)</f>
        <v/>
      </c>
      <c r="CG55" s="128">
        <f>IFERROR(AV55*$W55,)</f>
        <v/>
      </c>
      <c r="CH55" s="128">
        <f>IFERROR(AW55*$W55,)</f>
        <v/>
      </c>
      <c r="CI55" s="128">
        <f>IFERROR(AX55*$W55,)</f>
        <v/>
      </c>
      <c r="CJ55" s="128">
        <f>IFERROR(AY55*$W55,)</f>
        <v/>
      </c>
      <c r="CK55" s="128">
        <f>IFERROR(AZ55*$W55,)</f>
        <v/>
      </c>
      <c r="CL55" s="129">
        <f>IFERROR(if($Y55=0,BA55*($W55/1.2),BA55*$Y55),"")</f>
        <v/>
      </c>
      <c r="CM55" s="129">
        <f>IFERROR(if($Y55=0,BB55*($W55/1.2),BB55*$Y55),"")</f>
        <v/>
      </c>
      <c r="CN55" s="129">
        <f>IFERROR(if($Y55=0,BC55*($W55/1.2),BC55*$Y55),"")</f>
        <v/>
      </c>
      <c r="CO55" s="130">
        <f>IFERROR(if($AA55=0,($W55/1.35)*BD55,BD55*$AA55),)</f>
        <v/>
      </c>
      <c r="CP55" s="130">
        <f>IFERROR(if($AA55=0,($W55/1.35)*BE55,BE55*$AA55),)</f>
        <v/>
      </c>
      <c r="CQ55" s="130">
        <f>IFERROR(if($AA55=0,($W55/1.35)*BF55,BF55*$AA55),)</f>
        <v/>
      </c>
      <c r="CR55" s="128">
        <f>IFERROR(if($AC55=0,($W55/0.74)*BG55,
BG55*$AC55),)</f>
        <v/>
      </c>
      <c r="CS55" s="128">
        <f>IFERROR(if($AC55=0,($W55/0.74)*BH55,
BH55*$AC55),)</f>
        <v/>
      </c>
      <c r="CT55" s="128">
        <f>IFERROR(if($AC55=0,($W55/0.74)*BI55,
BI55*$AC55),)</f>
        <v/>
      </c>
      <c r="CU55" s="128">
        <f>IFERROR(AI55*$V55,)</f>
        <v/>
      </c>
      <c r="CV55" s="128">
        <f>IFERROR(AJ55*$V55,)</f>
        <v/>
      </c>
      <c r="CW55" s="128">
        <f>IFERROR(AK55*$V55,)</f>
        <v/>
      </c>
      <c r="CX55" s="128">
        <f>IFERROR(AL55*$V55,)</f>
        <v/>
      </c>
      <c r="CY55" s="128">
        <f>IFERROR(AM55*$V55,)</f>
        <v/>
      </c>
      <c r="CZ55" s="128">
        <f>IFERROR(AN55*$V55,)</f>
        <v/>
      </c>
      <c r="DA55" s="128">
        <f>IFERROR(AO55*$V55,)</f>
        <v/>
      </c>
      <c r="DB55" s="128">
        <f>IFERROR(AP55*$V55,)</f>
        <v/>
      </c>
      <c r="DC55" s="128">
        <f>IFERROR(AQ55*$V55,)</f>
        <v/>
      </c>
      <c r="DD55" s="128">
        <f>IFERROR(AR55*$V55,)</f>
        <v/>
      </c>
      <c r="DE55" s="128">
        <f>IFERROR(AS55*$V55,)</f>
        <v/>
      </c>
      <c r="DF55" s="128">
        <f>IFERROR(AT55*$V55,)</f>
        <v/>
      </c>
      <c r="DG55" s="128">
        <f>IFERROR(AU55*$V55,)</f>
        <v/>
      </c>
      <c r="DH55" s="128">
        <f>IFERROR(AV55*$V55,)</f>
        <v/>
      </c>
      <c r="DI55" s="128">
        <f>IFERROR(AW55*$V55,)</f>
        <v/>
      </c>
      <c r="DJ55" s="128">
        <f>IFERROR(AX55*$V55,)</f>
        <v/>
      </c>
      <c r="DK55" s="128">
        <f>IFERROR(AY55*$V55,)</f>
        <v/>
      </c>
      <c r="DL55" s="128">
        <f>IFERROR(AZ55*$V55,)</f>
        <v/>
      </c>
      <c r="DM55" s="129">
        <f>IFERROR(if($X55=0,($V55/1.2)*BA55,
BA55*$X55),)</f>
        <v/>
      </c>
      <c r="DN55" s="129">
        <f>IFERROR(if($X55=0,($V55/1.2)*BB55,
BB55*$X55),)</f>
        <v/>
      </c>
      <c r="DO55" s="129">
        <f>IFERROR(if($X55=0,($V55/1.2)*BC55,
BC55*$X55),)</f>
        <v/>
      </c>
      <c r="DP55" s="130">
        <f>IFERROR(if($Z55=0,($V55/1.35)*BD55,
BD55*$Z55),)</f>
        <v/>
      </c>
      <c r="DQ55" s="130">
        <f>IFERROR(if($Z55=0,($V55/1.35)*BE55,
BE55*$Z55),)</f>
        <v/>
      </c>
      <c r="DR55" s="130">
        <f>IFERROR(if($Z55=0,($V55/1.35)*BF55,
BF55*$Z55),)</f>
        <v/>
      </c>
      <c r="DS55" s="128">
        <f>IFERROR(IF($AB55=0,($V55/0.74)*BG55,
BG55*$AB55),)</f>
        <v/>
      </c>
      <c r="DT55" s="128">
        <f>IFERROR(IF($AB55=0,($V55/0.74)*BH55,
BH55*$AB55),)</f>
        <v/>
      </c>
      <c r="DU55" s="128">
        <f>IFERROR(IF($AB55=0,($V55/0.74)*BI55,
BI55*$AB55),)</f>
        <v/>
      </c>
    </row>
    <row r="56" ht="60" customHeight="1" s="162">
      <c r="A56" s="115" t="n"/>
      <c r="B56" s="115" t="n"/>
      <c r="C56" s="115" t="n"/>
      <c r="D56" s="115" t="n"/>
      <c r="E56" s="115" t="n"/>
      <c r="F56" s="115" t="n"/>
      <c r="G56" s="115" t="n"/>
      <c r="H56" s="115" t="n"/>
      <c r="I56" s="115" t="n"/>
      <c r="J56" s="115" t="n"/>
      <c r="K56" s="115" t="n"/>
      <c r="L56" s="115" t="n"/>
      <c r="M56" s="115" t="n"/>
      <c r="N56" s="115" t="n"/>
      <c r="O56" s="115" t="n"/>
      <c r="P56" s="115" t="n"/>
      <c r="Q56" s="115" t="n"/>
      <c r="R56" s="115" t="n"/>
      <c r="S56" s="115" t="n"/>
      <c r="T56" s="115" t="n"/>
      <c r="U56" s="116" t="n"/>
      <c r="V56" s="116" t="n"/>
      <c r="W56" s="117" t="n"/>
      <c r="X56" s="118" t="n"/>
      <c r="Y56" s="119" t="n"/>
      <c r="Z56" s="120" t="n"/>
      <c r="AA56" s="121" t="n"/>
      <c r="AB56" s="122" t="n"/>
      <c r="AC56" s="117" t="n"/>
      <c r="AD56" s="123">
        <f>IF(SUM($AE56:$AH56)=0,"",SUM($AE56:$AH56))</f>
        <v/>
      </c>
      <c r="AE56" s="123">
        <f>iferror(IF(SUM($AI56:$AZ56)=0,"",SUM($AI56:$AZ56)),"")</f>
        <v/>
      </c>
      <c r="AF56" s="123">
        <f>iferror(IF(SUM($BA56:$BC56)=0,"",SUM($BA56:$BC56)),"")</f>
        <v/>
      </c>
      <c r="AG56" s="123">
        <f>iferror(IF(SUM($BD56:$BF56)=0,"",SUM($BD56:$BF56)),"")</f>
        <v/>
      </c>
      <c r="AH56" s="124">
        <f>iferror(IF(SUM($BG56:$BI56)=0,"",SUM($BG56:$BI56)),"")</f>
        <v/>
      </c>
      <c r="AI56" s="131" t="n"/>
      <c r="AJ56" s="132" t="n"/>
      <c r="AK56" s="132" t="n"/>
      <c r="AL56" s="132" t="n"/>
      <c r="AM56" s="132" t="n"/>
      <c r="AN56" s="132" t="n"/>
      <c r="AO56" s="132" t="n"/>
      <c r="AP56" s="132" t="n"/>
      <c r="AQ56" s="132" t="n"/>
      <c r="AR56" s="132" t="n"/>
      <c r="AS56" s="132" t="n"/>
      <c r="AT56" s="132" t="n"/>
      <c r="AU56" s="132" t="n"/>
      <c r="AV56" s="132" t="n"/>
      <c r="AW56" s="132" t="n"/>
      <c r="AX56" s="132" t="n"/>
      <c r="AY56" s="132" t="n"/>
      <c r="AZ56" s="133" t="n"/>
      <c r="BA56" s="131" t="n"/>
      <c r="BB56" s="132" t="n"/>
      <c r="BC56" s="133" t="n"/>
      <c r="BD56" s="131" t="n"/>
      <c r="BE56" s="132" t="n"/>
      <c r="BF56" s="133" t="n"/>
      <c r="BG56" s="131" t="n"/>
      <c r="BH56" s="132" t="n"/>
      <c r="BI56" s="132" t="n"/>
      <c r="BJ56" s="128">
        <f>iferror(SUM($BK56,($BL56*1.2),($BM56*1.35),($BN56*0.74)),)</f>
        <v/>
      </c>
      <c r="BK56" s="128">
        <f>IFERROR(SUM($BT56:$CK56),)</f>
        <v/>
      </c>
      <c r="BL56" s="129">
        <f>IFERROR(SUM($CL56:$CN56),)</f>
        <v/>
      </c>
      <c r="BM56" s="130">
        <f>IFERROR(SUM($CO56:$CQ56),)</f>
        <v/>
      </c>
      <c r="BN56" s="128">
        <f>IFERROR(SUM($CR56:$CT56),)</f>
        <v/>
      </c>
      <c r="BO56" s="128">
        <f>iferror(SUM($BP56,($BQ56*1.2),($BR56*1.35),($BS56*0.74)),)</f>
        <v/>
      </c>
      <c r="BP56" s="128">
        <f>IFERROR(SUM($CU56:$DL56),)</f>
        <v/>
      </c>
      <c r="BQ56" s="128">
        <f>IFERROR(SUM($DM56:$DO56),)</f>
        <v/>
      </c>
      <c r="BR56" s="128">
        <f>IFERROR(SUM($DP56:$DR56),)</f>
        <v/>
      </c>
      <c r="BS56" s="128">
        <f>IFERROR(SUM($DS56:$DU56),)</f>
        <v/>
      </c>
      <c r="BT56" s="128">
        <f>IFERROR(AI56*$W56,)</f>
        <v/>
      </c>
      <c r="BU56" s="128">
        <f>IFERROR(AJ56*$W56,)</f>
        <v/>
      </c>
      <c r="BV56" s="128">
        <f>IFERROR(AK56*$W56,)</f>
        <v/>
      </c>
      <c r="BW56" s="128">
        <f>IFERROR(AL56*$W56,)</f>
        <v/>
      </c>
      <c r="BX56" s="128">
        <f>IFERROR(AM56*$W56,)</f>
        <v/>
      </c>
      <c r="BY56" s="128">
        <f>IFERROR(AN56*$W56,)</f>
        <v/>
      </c>
      <c r="BZ56" s="128">
        <f>IFERROR(AO56*$W56,)</f>
        <v/>
      </c>
      <c r="CA56" s="128">
        <f>IFERROR(AP56*$W56,)</f>
        <v/>
      </c>
      <c r="CB56" s="128">
        <f>IFERROR(AQ56*$W56,)</f>
        <v/>
      </c>
      <c r="CC56" s="128">
        <f>IFERROR(AR56*$W56,)</f>
        <v/>
      </c>
      <c r="CD56" s="128">
        <f>IFERROR(AS56*$W56,)</f>
        <v/>
      </c>
      <c r="CE56" s="128">
        <f>IFERROR(AT56*$W56,)</f>
        <v/>
      </c>
      <c r="CF56" s="128">
        <f>IFERROR(AU56*$W56,)</f>
        <v/>
      </c>
      <c r="CG56" s="128">
        <f>IFERROR(AV56*$W56,)</f>
        <v/>
      </c>
      <c r="CH56" s="128">
        <f>IFERROR(AW56*$W56,)</f>
        <v/>
      </c>
      <c r="CI56" s="128">
        <f>IFERROR(AX56*$W56,)</f>
        <v/>
      </c>
      <c r="CJ56" s="128">
        <f>IFERROR(AY56*$W56,)</f>
        <v/>
      </c>
      <c r="CK56" s="128">
        <f>IFERROR(AZ56*$W56,)</f>
        <v/>
      </c>
      <c r="CL56" s="129">
        <f>IFERROR(if($Y56=0,BA56*($W56/1.2),BA56*$Y56),"")</f>
        <v/>
      </c>
      <c r="CM56" s="129">
        <f>IFERROR(if($Y56=0,BB56*($W56/1.2),BB56*$Y56),"")</f>
        <v/>
      </c>
      <c r="CN56" s="129">
        <f>IFERROR(if($Y56=0,BC56*($W56/1.2),BC56*$Y56),"")</f>
        <v/>
      </c>
      <c r="CO56" s="130">
        <f>IFERROR(if($AA56=0,($W56/1.35)*BD56,BD56*$AA56),)</f>
        <v/>
      </c>
      <c r="CP56" s="130">
        <f>IFERROR(if($AA56=0,($W56/1.35)*BE56,BE56*$AA56),)</f>
        <v/>
      </c>
      <c r="CQ56" s="130">
        <f>IFERROR(if($AA56=0,($W56/1.35)*BF56,BF56*$AA56),)</f>
        <v/>
      </c>
      <c r="CR56" s="128">
        <f>IFERROR(if($AC56=0,($W56/0.74)*BG56,
BG56*$AC56),)</f>
        <v/>
      </c>
      <c r="CS56" s="128">
        <f>IFERROR(if($AC56=0,($W56/0.74)*BH56,
BH56*$AC56),)</f>
        <v/>
      </c>
      <c r="CT56" s="128">
        <f>IFERROR(if($AC56=0,($W56/0.74)*BI56,
BI56*$AC56),)</f>
        <v/>
      </c>
      <c r="CU56" s="128">
        <f>IFERROR(AI56*$V56,)</f>
        <v/>
      </c>
      <c r="CV56" s="128">
        <f>IFERROR(AJ56*$V56,)</f>
        <v/>
      </c>
      <c r="CW56" s="128">
        <f>IFERROR(AK56*$V56,)</f>
        <v/>
      </c>
      <c r="CX56" s="128">
        <f>IFERROR(AL56*$V56,)</f>
        <v/>
      </c>
      <c r="CY56" s="128">
        <f>IFERROR(AM56*$V56,)</f>
        <v/>
      </c>
      <c r="CZ56" s="128">
        <f>IFERROR(AN56*$V56,)</f>
        <v/>
      </c>
      <c r="DA56" s="128">
        <f>IFERROR(AO56*$V56,)</f>
        <v/>
      </c>
      <c r="DB56" s="128">
        <f>IFERROR(AP56*$V56,)</f>
        <v/>
      </c>
      <c r="DC56" s="128">
        <f>IFERROR(AQ56*$V56,)</f>
        <v/>
      </c>
      <c r="DD56" s="128">
        <f>IFERROR(AR56*$V56,)</f>
        <v/>
      </c>
      <c r="DE56" s="128">
        <f>IFERROR(AS56*$V56,)</f>
        <v/>
      </c>
      <c r="DF56" s="128">
        <f>IFERROR(AT56*$V56,)</f>
        <v/>
      </c>
      <c r="DG56" s="128">
        <f>IFERROR(AU56*$V56,)</f>
        <v/>
      </c>
      <c r="DH56" s="128">
        <f>IFERROR(AV56*$V56,)</f>
        <v/>
      </c>
      <c r="DI56" s="128">
        <f>IFERROR(AW56*$V56,)</f>
        <v/>
      </c>
      <c r="DJ56" s="128">
        <f>IFERROR(AX56*$V56,)</f>
        <v/>
      </c>
      <c r="DK56" s="128">
        <f>IFERROR(AY56*$V56,)</f>
        <v/>
      </c>
      <c r="DL56" s="128">
        <f>IFERROR(AZ56*$V56,)</f>
        <v/>
      </c>
      <c r="DM56" s="129">
        <f>IFERROR(if($X56=0,($V56/1.2)*BA56,
BA56*$X56),)</f>
        <v/>
      </c>
      <c r="DN56" s="129">
        <f>IFERROR(if($X56=0,($V56/1.2)*BB56,
BB56*$X56),)</f>
        <v/>
      </c>
      <c r="DO56" s="129">
        <f>IFERROR(if($X56=0,($V56/1.2)*BC56,
BC56*$X56),)</f>
        <v/>
      </c>
      <c r="DP56" s="130">
        <f>IFERROR(if($Z56=0,($V56/1.35)*BD56,
BD56*$Z56),)</f>
        <v/>
      </c>
      <c r="DQ56" s="130">
        <f>IFERROR(if($Z56=0,($V56/1.35)*BE56,
BE56*$Z56),)</f>
        <v/>
      </c>
      <c r="DR56" s="130">
        <f>IFERROR(if($Z56=0,($V56/1.35)*BF56,
BF56*$Z56),)</f>
        <v/>
      </c>
      <c r="DS56" s="128">
        <f>IFERROR(IF($AB56=0,($V56/0.74)*BG56,
BG56*$AB56),)</f>
        <v/>
      </c>
      <c r="DT56" s="128">
        <f>IFERROR(IF($AB56=0,($V56/0.74)*BH56,
BH56*$AB56),)</f>
        <v/>
      </c>
      <c r="DU56" s="128">
        <f>IFERROR(IF($AB56=0,($V56/0.74)*BI56,
BI56*$AB56),)</f>
        <v/>
      </c>
    </row>
    <row r="57" ht="60" customHeight="1" s="162">
      <c r="A57" s="115" t="n"/>
      <c r="B57" s="115" t="n"/>
      <c r="C57" s="115" t="n"/>
      <c r="D57" s="115" t="n"/>
      <c r="E57" s="115" t="n"/>
      <c r="F57" s="115" t="n"/>
      <c r="G57" s="115" t="n"/>
      <c r="H57" s="115" t="n"/>
      <c r="I57" s="115" t="n"/>
      <c r="J57" s="115" t="n"/>
      <c r="K57" s="115" t="n"/>
      <c r="L57" s="115" t="n"/>
      <c r="M57" s="115" t="n"/>
      <c r="N57" s="115" t="n"/>
      <c r="O57" s="115" t="n"/>
      <c r="P57" s="115" t="n"/>
      <c r="Q57" s="115" t="n"/>
      <c r="R57" s="115" t="n"/>
      <c r="S57" s="115" t="n"/>
      <c r="T57" s="115" t="n"/>
      <c r="U57" s="116" t="n"/>
      <c r="V57" s="116" t="n"/>
      <c r="W57" s="117" t="n"/>
      <c r="X57" s="118" t="n"/>
      <c r="Y57" s="119" t="n"/>
      <c r="Z57" s="120" t="n"/>
      <c r="AA57" s="121" t="n"/>
      <c r="AB57" s="122" t="n"/>
      <c r="AC57" s="117" t="n"/>
      <c r="AD57" s="123">
        <f>IF(SUM($AE57:$AH57)=0,"",SUM($AE57:$AH57))</f>
        <v/>
      </c>
      <c r="AE57" s="123">
        <f>iferror(IF(SUM($AI57:$AZ57)=0,"",SUM($AI57:$AZ57)),"")</f>
        <v/>
      </c>
      <c r="AF57" s="123">
        <f>iferror(IF(SUM($BA57:$BC57)=0,"",SUM($BA57:$BC57)),"")</f>
        <v/>
      </c>
      <c r="AG57" s="123">
        <f>iferror(IF(SUM($BD57:$BF57)=0,"",SUM($BD57:$BF57)),"")</f>
        <v/>
      </c>
      <c r="AH57" s="124">
        <f>iferror(IF(SUM($BG57:$BI57)=0,"",SUM($BG57:$BI57)),"")</f>
        <v/>
      </c>
      <c r="AI57" s="131" t="n"/>
      <c r="AJ57" s="132" t="n"/>
      <c r="AK57" s="132" t="n"/>
      <c r="AL57" s="132" t="n"/>
      <c r="AM57" s="132" t="n"/>
      <c r="AN57" s="132" t="n"/>
      <c r="AO57" s="132" t="n"/>
      <c r="AP57" s="132" t="n"/>
      <c r="AQ57" s="132" t="n"/>
      <c r="AR57" s="132" t="n"/>
      <c r="AS57" s="132" t="n"/>
      <c r="AT57" s="132" t="n"/>
      <c r="AU57" s="132" t="n"/>
      <c r="AV57" s="132" t="n"/>
      <c r="AW57" s="132" t="n"/>
      <c r="AX57" s="132" t="n"/>
      <c r="AY57" s="132" t="n"/>
      <c r="AZ57" s="133" t="n"/>
      <c r="BA57" s="131" t="n"/>
      <c r="BB57" s="132" t="n"/>
      <c r="BC57" s="133" t="n"/>
      <c r="BD57" s="131" t="n"/>
      <c r="BE57" s="132" t="n"/>
      <c r="BF57" s="133" t="n"/>
      <c r="BG57" s="131" t="n"/>
      <c r="BH57" s="132" t="n"/>
      <c r="BI57" s="132" t="n"/>
      <c r="BJ57" s="128">
        <f>iferror(SUM($BK57,($BL57*1.2),($BM57*1.35),($BN57*0.74)),)</f>
        <v/>
      </c>
      <c r="BK57" s="128">
        <f>IFERROR(SUM($BT57:$CK57),)</f>
        <v/>
      </c>
      <c r="BL57" s="129">
        <f>IFERROR(SUM($CL57:$CN57),)</f>
        <v/>
      </c>
      <c r="BM57" s="130">
        <f>IFERROR(SUM($CO57:$CQ57),)</f>
        <v/>
      </c>
      <c r="BN57" s="128">
        <f>IFERROR(SUM($CR57:$CT57),)</f>
        <v/>
      </c>
      <c r="BO57" s="128">
        <f>iferror(SUM($BP57,($BQ57*1.2),($BR57*1.35),($BS57*0.74)),)</f>
        <v/>
      </c>
      <c r="BP57" s="128">
        <f>IFERROR(SUM($CU57:$DL57),)</f>
        <v/>
      </c>
      <c r="BQ57" s="128">
        <f>IFERROR(SUM($DM57:$DO57),)</f>
        <v/>
      </c>
      <c r="BR57" s="128">
        <f>IFERROR(SUM($DP57:$DR57),)</f>
        <v/>
      </c>
      <c r="BS57" s="128">
        <f>IFERROR(SUM($DS57:$DU57),)</f>
        <v/>
      </c>
      <c r="BT57" s="128">
        <f>IFERROR(AI57*$W57,)</f>
        <v/>
      </c>
      <c r="BU57" s="128">
        <f>IFERROR(AJ57*$W57,)</f>
        <v/>
      </c>
      <c r="BV57" s="128">
        <f>IFERROR(AK57*$W57,)</f>
        <v/>
      </c>
      <c r="BW57" s="128">
        <f>IFERROR(AL57*$W57,)</f>
        <v/>
      </c>
      <c r="BX57" s="128">
        <f>IFERROR(AM57*$W57,)</f>
        <v/>
      </c>
      <c r="BY57" s="128">
        <f>IFERROR(AN57*$W57,)</f>
        <v/>
      </c>
      <c r="BZ57" s="128">
        <f>IFERROR(AO57*$W57,)</f>
        <v/>
      </c>
      <c r="CA57" s="128">
        <f>IFERROR(AP57*$W57,)</f>
        <v/>
      </c>
      <c r="CB57" s="128">
        <f>IFERROR(AQ57*$W57,)</f>
        <v/>
      </c>
      <c r="CC57" s="128">
        <f>IFERROR(AR57*$W57,)</f>
        <v/>
      </c>
      <c r="CD57" s="128">
        <f>IFERROR(AS57*$W57,)</f>
        <v/>
      </c>
      <c r="CE57" s="128">
        <f>IFERROR(AT57*$W57,)</f>
        <v/>
      </c>
      <c r="CF57" s="128">
        <f>IFERROR(AU57*$W57,)</f>
        <v/>
      </c>
      <c r="CG57" s="128">
        <f>IFERROR(AV57*$W57,)</f>
        <v/>
      </c>
      <c r="CH57" s="128">
        <f>IFERROR(AW57*$W57,)</f>
        <v/>
      </c>
      <c r="CI57" s="128">
        <f>IFERROR(AX57*$W57,)</f>
        <v/>
      </c>
      <c r="CJ57" s="128">
        <f>IFERROR(AY57*$W57,)</f>
        <v/>
      </c>
      <c r="CK57" s="128">
        <f>IFERROR(AZ57*$W57,)</f>
        <v/>
      </c>
      <c r="CL57" s="129">
        <f>IFERROR(if($Y57=0,BA57*($W57/1.2),BA57*$Y57),"")</f>
        <v/>
      </c>
      <c r="CM57" s="129">
        <f>IFERROR(if($Y57=0,BB57*($W57/1.2),BB57*$Y57),"")</f>
        <v/>
      </c>
      <c r="CN57" s="129">
        <f>IFERROR(if($Y57=0,BC57*($W57/1.2),BC57*$Y57),"")</f>
        <v/>
      </c>
      <c r="CO57" s="130">
        <f>IFERROR(if($AA57=0,($W57/1.35)*BD57,BD57*$AA57),)</f>
        <v/>
      </c>
      <c r="CP57" s="130">
        <f>IFERROR(if($AA57=0,($W57/1.35)*BE57,BE57*$AA57),)</f>
        <v/>
      </c>
      <c r="CQ57" s="130">
        <f>IFERROR(if($AA57=0,($W57/1.35)*BF57,BF57*$AA57),)</f>
        <v/>
      </c>
      <c r="CR57" s="128">
        <f>IFERROR(if($AC57=0,($W57/0.74)*BG57,
BG57*$AC57),)</f>
        <v/>
      </c>
      <c r="CS57" s="128">
        <f>IFERROR(if($AC57=0,($W57/0.74)*BH57,
BH57*$AC57),)</f>
        <v/>
      </c>
      <c r="CT57" s="128">
        <f>IFERROR(if($AC57=0,($W57/0.74)*BI57,
BI57*$AC57),)</f>
        <v/>
      </c>
      <c r="CU57" s="128">
        <f>IFERROR(AI57*$V57,)</f>
        <v/>
      </c>
      <c r="CV57" s="128">
        <f>IFERROR(AJ57*$V57,)</f>
        <v/>
      </c>
      <c r="CW57" s="128">
        <f>IFERROR(AK57*$V57,)</f>
        <v/>
      </c>
      <c r="CX57" s="128">
        <f>IFERROR(AL57*$V57,)</f>
        <v/>
      </c>
      <c r="CY57" s="128">
        <f>IFERROR(AM57*$V57,)</f>
        <v/>
      </c>
      <c r="CZ57" s="128">
        <f>IFERROR(AN57*$V57,)</f>
        <v/>
      </c>
      <c r="DA57" s="128">
        <f>IFERROR(AO57*$V57,)</f>
        <v/>
      </c>
      <c r="DB57" s="128">
        <f>IFERROR(AP57*$V57,)</f>
        <v/>
      </c>
      <c r="DC57" s="128">
        <f>IFERROR(AQ57*$V57,)</f>
        <v/>
      </c>
      <c r="DD57" s="128">
        <f>IFERROR(AR57*$V57,)</f>
        <v/>
      </c>
      <c r="DE57" s="128">
        <f>IFERROR(AS57*$V57,)</f>
        <v/>
      </c>
      <c r="DF57" s="128">
        <f>IFERROR(AT57*$V57,)</f>
        <v/>
      </c>
      <c r="DG57" s="128">
        <f>IFERROR(AU57*$V57,)</f>
        <v/>
      </c>
      <c r="DH57" s="128">
        <f>IFERROR(AV57*$V57,)</f>
        <v/>
      </c>
      <c r="DI57" s="128">
        <f>IFERROR(AW57*$V57,)</f>
        <v/>
      </c>
      <c r="DJ57" s="128">
        <f>IFERROR(AX57*$V57,)</f>
        <v/>
      </c>
      <c r="DK57" s="128">
        <f>IFERROR(AY57*$V57,)</f>
        <v/>
      </c>
      <c r="DL57" s="128">
        <f>IFERROR(AZ57*$V57,)</f>
        <v/>
      </c>
      <c r="DM57" s="129">
        <f>IFERROR(if($X57=0,($V57/1.2)*BA57,
BA57*$X57),)</f>
        <v/>
      </c>
      <c r="DN57" s="129">
        <f>IFERROR(if($X57=0,($V57/1.2)*BB57,
BB57*$X57),)</f>
        <v/>
      </c>
      <c r="DO57" s="129">
        <f>IFERROR(if($X57=0,($V57/1.2)*BC57,
BC57*$X57),)</f>
        <v/>
      </c>
      <c r="DP57" s="130">
        <f>IFERROR(if($Z57=0,($V57/1.35)*BD57,
BD57*$Z57),)</f>
        <v/>
      </c>
      <c r="DQ57" s="130">
        <f>IFERROR(if($Z57=0,($V57/1.35)*BE57,
BE57*$Z57),)</f>
        <v/>
      </c>
      <c r="DR57" s="130">
        <f>IFERROR(if($Z57=0,($V57/1.35)*BF57,
BF57*$Z57),)</f>
        <v/>
      </c>
      <c r="DS57" s="128">
        <f>IFERROR(IF($AB57=0,($V57/0.74)*BG57,
BG57*$AB57),)</f>
        <v/>
      </c>
      <c r="DT57" s="128">
        <f>IFERROR(IF($AB57=0,($V57/0.74)*BH57,
BH57*$AB57),)</f>
        <v/>
      </c>
      <c r="DU57" s="128">
        <f>IFERROR(IF($AB57=0,($V57/0.74)*BI57,
BI57*$AB57),)</f>
        <v/>
      </c>
    </row>
    <row r="58" ht="60" customHeight="1" s="162">
      <c r="A58" s="115" t="n"/>
      <c r="B58" s="115" t="n"/>
      <c r="C58" s="115" t="n"/>
      <c r="D58" s="115" t="n"/>
      <c r="E58" s="115" t="n"/>
      <c r="F58" s="115" t="n"/>
      <c r="G58" s="115" t="n"/>
      <c r="H58" s="115" t="n"/>
      <c r="I58" s="115" t="n"/>
      <c r="J58" s="115" t="n"/>
      <c r="K58" s="115" t="n"/>
      <c r="L58" s="115" t="n"/>
      <c r="M58" s="115" t="n"/>
      <c r="N58" s="115" t="n"/>
      <c r="O58" s="115" t="n"/>
      <c r="P58" s="115" t="n"/>
      <c r="Q58" s="115" t="n"/>
      <c r="R58" s="115" t="n"/>
      <c r="S58" s="115" t="n"/>
      <c r="T58" s="115" t="n"/>
      <c r="U58" s="116" t="n"/>
      <c r="V58" s="116" t="n"/>
      <c r="W58" s="117" t="n"/>
      <c r="X58" s="118" t="n"/>
      <c r="Y58" s="119" t="n"/>
      <c r="Z58" s="120" t="n"/>
      <c r="AA58" s="121" t="n"/>
      <c r="AB58" s="122" t="n"/>
      <c r="AC58" s="117" t="n"/>
      <c r="AD58" s="123">
        <f>IF(SUM($AE58:$AH58)=0,"",SUM($AE58:$AH58))</f>
        <v/>
      </c>
      <c r="AE58" s="123">
        <f>iferror(IF(SUM($AI58:$AZ58)=0,"",SUM($AI58:$AZ58)),"")</f>
        <v/>
      </c>
      <c r="AF58" s="123">
        <f>iferror(IF(SUM($BA58:$BC58)=0,"",SUM($BA58:$BC58)),"")</f>
        <v/>
      </c>
      <c r="AG58" s="123">
        <f>iferror(IF(SUM($BD58:$BF58)=0,"",SUM($BD58:$BF58)),"")</f>
        <v/>
      </c>
      <c r="AH58" s="124">
        <f>iferror(IF(SUM($BG58:$BI58)=0,"",SUM($BG58:$BI58)),"")</f>
        <v/>
      </c>
      <c r="AI58" s="131" t="n"/>
      <c r="AJ58" s="132" t="n"/>
      <c r="AK58" s="132" t="n"/>
      <c r="AL58" s="132" t="n"/>
      <c r="AM58" s="132" t="n"/>
      <c r="AN58" s="132" t="n"/>
      <c r="AO58" s="132" t="n"/>
      <c r="AP58" s="132" t="n"/>
      <c r="AQ58" s="132" t="n"/>
      <c r="AR58" s="132" t="n"/>
      <c r="AS58" s="132" t="n"/>
      <c r="AT58" s="132" t="n"/>
      <c r="AU58" s="132" t="n"/>
      <c r="AV58" s="132" t="n"/>
      <c r="AW58" s="132" t="n"/>
      <c r="AX58" s="132" t="n"/>
      <c r="AY58" s="132" t="n"/>
      <c r="AZ58" s="133" t="n"/>
      <c r="BA58" s="131" t="n"/>
      <c r="BB58" s="132" t="n"/>
      <c r="BC58" s="133" t="n"/>
      <c r="BD58" s="131" t="n"/>
      <c r="BE58" s="132" t="n"/>
      <c r="BF58" s="133" t="n"/>
      <c r="BG58" s="131" t="n"/>
      <c r="BH58" s="132" t="n"/>
      <c r="BI58" s="132" t="n"/>
      <c r="BJ58" s="128">
        <f>iferror(SUM($BK58,($BL58*1.2),($BM58*1.35),($BN58*0.74)),)</f>
        <v/>
      </c>
      <c r="BK58" s="128">
        <f>IFERROR(SUM($BT58:$CK58),)</f>
        <v/>
      </c>
      <c r="BL58" s="129">
        <f>IFERROR(SUM($CL58:$CN58),)</f>
        <v/>
      </c>
      <c r="BM58" s="130">
        <f>IFERROR(SUM($CO58:$CQ58),)</f>
        <v/>
      </c>
      <c r="BN58" s="128">
        <f>IFERROR(SUM($CR58:$CT58),)</f>
        <v/>
      </c>
      <c r="BO58" s="128">
        <f>iferror(SUM($BP58,($BQ58*1.2),($BR58*1.35),($BS58*0.74)),)</f>
        <v/>
      </c>
      <c r="BP58" s="128">
        <f>IFERROR(SUM($CU58:$DL58),)</f>
        <v/>
      </c>
      <c r="BQ58" s="128">
        <f>IFERROR(SUM($DM58:$DO58),)</f>
        <v/>
      </c>
      <c r="BR58" s="128">
        <f>IFERROR(SUM($DP58:$DR58),)</f>
        <v/>
      </c>
      <c r="BS58" s="128">
        <f>IFERROR(SUM($DS58:$DU58),)</f>
        <v/>
      </c>
      <c r="BT58" s="128">
        <f>IFERROR(AI58*$W58,)</f>
        <v/>
      </c>
      <c r="BU58" s="128">
        <f>IFERROR(AJ58*$W58,)</f>
        <v/>
      </c>
      <c r="BV58" s="128">
        <f>IFERROR(AK58*$W58,)</f>
        <v/>
      </c>
      <c r="BW58" s="128">
        <f>IFERROR(AL58*$W58,)</f>
        <v/>
      </c>
      <c r="BX58" s="128">
        <f>IFERROR(AM58*$W58,)</f>
        <v/>
      </c>
      <c r="BY58" s="128">
        <f>IFERROR(AN58*$W58,)</f>
        <v/>
      </c>
      <c r="BZ58" s="128">
        <f>IFERROR(AO58*$W58,)</f>
        <v/>
      </c>
      <c r="CA58" s="128">
        <f>IFERROR(AP58*$W58,)</f>
        <v/>
      </c>
      <c r="CB58" s="128">
        <f>IFERROR(AQ58*$W58,)</f>
        <v/>
      </c>
      <c r="CC58" s="128">
        <f>IFERROR(AR58*$W58,)</f>
        <v/>
      </c>
      <c r="CD58" s="128">
        <f>IFERROR(AS58*$W58,)</f>
        <v/>
      </c>
      <c r="CE58" s="128">
        <f>IFERROR(AT58*$W58,)</f>
        <v/>
      </c>
      <c r="CF58" s="128">
        <f>IFERROR(AU58*$W58,)</f>
        <v/>
      </c>
      <c r="CG58" s="128">
        <f>IFERROR(AV58*$W58,)</f>
        <v/>
      </c>
      <c r="CH58" s="128">
        <f>IFERROR(AW58*$W58,)</f>
        <v/>
      </c>
      <c r="CI58" s="128">
        <f>IFERROR(AX58*$W58,)</f>
        <v/>
      </c>
      <c r="CJ58" s="128">
        <f>IFERROR(AY58*$W58,)</f>
        <v/>
      </c>
      <c r="CK58" s="128">
        <f>IFERROR(AZ58*$W58,)</f>
        <v/>
      </c>
      <c r="CL58" s="129">
        <f>IFERROR(if($Y58=0,BA58*($W58/1.2),BA58*$Y58),"")</f>
        <v/>
      </c>
      <c r="CM58" s="129">
        <f>IFERROR(if($Y58=0,BB58*($W58/1.2),BB58*$Y58),"")</f>
        <v/>
      </c>
      <c r="CN58" s="129">
        <f>IFERROR(if($Y58=0,BC58*($W58/1.2),BC58*$Y58),"")</f>
        <v/>
      </c>
      <c r="CO58" s="130">
        <f>IFERROR(if($AA58=0,($W58/1.35)*BD58,BD58*$AA58),)</f>
        <v/>
      </c>
      <c r="CP58" s="130">
        <f>IFERROR(if($AA58=0,($W58/1.35)*BE58,BE58*$AA58),)</f>
        <v/>
      </c>
      <c r="CQ58" s="130">
        <f>IFERROR(if($AA58=0,($W58/1.35)*BF58,BF58*$AA58),)</f>
        <v/>
      </c>
      <c r="CR58" s="128">
        <f>IFERROR(if($AC58=0,($W58/0.74)*BG58,
BG58*$AC58),)</f>
        <v/>
      </c>
      <c r="CS58" s="128">
        <f>IFERROR(if($AC58=0,($W58/0.74)*BH58,
BH58*$AC58),)</f>
        <v/>
      </c>
      <c r="CT58" s="128">
        <f>IFERROR(if($AC58=0,($W58/0.74)*BI58,
BI58*$AC58),)</f>
        <v/>
      </c>
      <c r="CU58" s="128">
        <f>IFERROR(AI58*$V58,)</f>
        <v/>
      </c>
      <c r="CV58" s="128">
        <f>IFERROR(AJ58*$V58,)</f>
        <v/>
      </c>
      <c r="CW58" s="128">
        <f>IFERROR(AK58*$V58,)</f>
        <v/>
      </c>
      <c r="CX58" s="128">
        <f>IFERROR(AL58*$V58,)</f>
        <v/>
      </c>
      <c r="CY58" s="128">
        <f>IFERROR(AM58*$V58,)</f>
        <v/>
      </c>
      <c r="CZ58" s="128">
        <f>IFERROR(AN58*$V58,)</f>
        <v/>
      </c>
      <c r="DA58" s="128">
        <f>IFERROR(AO58*$V58,)</f>
        <v/>
      </c>
      <c r="DB58" s="128">
        <f>IFERROR(AP58*$V58,)</f>
        <v/>
      </c>
      <c r="DC58" s="128">
        <f>IFERROR(AQ58*$V58,)</f>
        <v/>
      </c>
      <c r="DD58" s="128">
        <f>IFERROR(AR58*$V58,)</f>
        <v/>
      </c>
      <c r="DE58" s="128">
        <f>IFERROR(AS58*$V58,)</f>
        <v/>
      </c>
      <c r="DF58" s="128">
        <f>IFERROR(AT58*$V58,)</f>
        <v/>
      </c>
      <c r="DG58" s="128">
        <f>IFERROR(AU58*$V58,)</f>
        <v/>
      </c>
      <c r="DH58" s="128">
        <f>IFERROR(AV58*$V58,)</f>
        <v/>
      </c>
      <c r="DI58" s="128">
        <f>IFERROR(AW58*$V58,)</f>
        <v/>
      </c>
      <c r="DJ58" s="128">
        <f>IFERROR(AX58*$V58,)</f>
        <v/>
      </c>
      <c r="DK58" s="128">
        <f>IFERROR(AY58*$V58,)</f>
        <v/>
      </c>
      <c r="DL58" s="128">
        <f>IFERROR(AZ58*$V58,)</f>
        <v/>
      </c>
      <c r="DM58" s="129">
        <f>IFERROR(if($X58=0,($V58/1.2)*BA58,
BA58*$X58),)</f>
        <v/>
      </c>
      <c r="DN58" s="129">
        <f>IFERROR(if($X58=0,($V58/1.2)*BB58,
BB58*$X58),)</f>
        <v/>
      </c>
      <c r="DO58" s="129">
        <f>IFERROR(if($X58=0,($V58/1.2)*BC58,
BC58*$X58),)</f>
        <v/>
      </c>
      <c r="DP58" s="130">
        <f>IFERROR(if($Z58=0,($V58/1.35)*BD58,
BD58*$Z58),)</f>
        <v/>
      </c>
      <c r="DQ58" s="130">
        <f>IFERROR(if($Z58=0,($V58/1.35)*BE58,
BE58*$Z58),)</f>
        <v/>
      </c>
      <c r="DR58" s="130">
        <f>IFERROR(if($Z58=0,($V58/1.35)*BF58,
BF58*$Z58),)</f>
        <v/>
      </c>
      <c r="DS58" s="128">
        <f>IFERROR(IF($AB58=0,($V58/0.74)*BG58,
BG58*$AB58),)</f>
        <v/>
      </c>
      <c r="DT58" s="128">
        <f>IFERROR(IF($AB58=0,($V58/0.74)*BH58,
BH58*$AB58),)</f>
        <v/>
      </c>
      <c r="DU58" s="128">
        <f>IFERROR(IF($AB58=0,($V58/0.74)*BI58,
BI58*$AB58),)</f>
        <v/>
      </c>
    </row>
    <row r="59" ht="60" customHeight="1" s="162">
      <c r="A59" s="115" t="n"/>
      <c r="B59" s="115" t="n"/>
      <c r="C59" s="115" t="n"/>
      <c r="D59" s="115" t="n"/>
      <c r="E59" s="115" t="n"/>
      <c r="F59" s="115" t="n"/>
      <c r="G59" s="115" t="n"/>
      <c r="H59" s="115" t="n"/>
      <c r="I59" s="115" t="n"/>
      <c r="J59" s="115" t="n"/>
      <c r="K59" s="115" t="n"/>
      <c r="L59" s="115" t="n"/>
      <c r="M59" s="115" t="n"/>
      <c r="N59" s="115" t="n"/>
      <c r="O59" s="115" t="n"/>
      <c r="P59" s="115" t="n"/>
      <c r="Q59" s="115" t="n"/>
      <c r="R59" s="115" t="n"/>
      <c r="S59" s="115" t="n"/>
      <c r="T59" s="115" t="n"/>
      <c r="U59" s="116" t="n"/>
      <c r="V59" s="116" t="n"/>
      <c r="W59" s="117" t="n"/>
      <c r="X59" s="118" t="n"/>
      <c r="Y59" s="119" t="n"/>
      <c r="Z59" s="120" t="n"/>
      <c r="AA59" s="121" t="n"/>
      <c r="AB59" s="122" t="n"/>
      <c r="AC59" s="117" t="n"/>
      <c r="AD59" s="123">
        <f>IF(SUM($AE59:$AH59)=0,"",SUM($AE59:$AH59))</f>
        <v/>
      </c>
      <c r="AE59" s="123">
        <f>iferror(IF(SUM($AI59:$AZ59)=0,"",SUM($AI59:$AZ59)),"")</f>
        <v/>
      </c>
      <c r="AF59" s="123">
        <f>iferror(IF(SUM($BA59:$BC59)=0,"",SUM($BA59:$BC59)),"")</f>
        <v/>
      </c>
      <c r="AG59" s="123">
        <f>iferror(IF(SUM($BD59:$BF59)=0,"",SUM($BD59:$BF59)),"")</f>
        <v/>
      </c>
      <c r="AH59" s="124">
        <f>iferror(IF(SUM($BG59:$BI59)=0,"",SUM($BG59:$BI59)),"")</f>
        <v/>
      </c>
      <c r="AI59" s="131" t="n"/>
      <c r="AJ59" s="132" t="n"/>
      <c r="AK59" s="132" t="n"/>
      <c r="AL59" s="132" t="n"/>
      <c r="AM59" s="132" t="n"/>
      <c r="AN59" s="132" t="n"/>
      <c r="AO59" s="132" t="n"/>
      <c r="AP59" s="132" t="n"/>
      <c r="AQ59" s="132" t="n"/>
      <c r="AR59" s="132" t="n"/>
      <c r="AS59" s="132" t="n"/>
      <c r="AT59" s="132" t="n"/>
      <c r="AU59" s="132" t="n"/>
      <c r="AV59" s="132" t="n"/>
      <c r="AW59" s="132" t="n"/>
      <c r="AX59" s="132" t="n"/>
      <c r="AY59" s="132" t="n"/>
      <c r="AZ59" s="133" t="n"/>
      <c r="BA59" s="131" t="n"/>
      <c r="BB59" s="132" t="n"/>
      <c r="BC59" s="133" t="n"/>
      <c r="BD59" s="131" t="n"/>
      <c r="BE59" s="132" t="n"/>
      <c r="BF59" s="133" t="n"/>
      <c r="BG59" s="131" t="n"/>
      <c r="BH59" s="132" t="n"/>
      <c r="BI59" s="132" t="n"/>
      <c r="BJ59" s="128">
        <f>iferror(SUM($BK59,($BL59*1.2),($BM59*1.35),($BN59*0.74)),)</f>
        <v/>
      </c>
      <c r="BK59" s="128">
        <f>IFERROR(SUM($BT59:$CK59),)</f>
        <v/>
      </c>
      <c r="BL59" s="129">
        <f>IFERROR(SUM($CL59:$CN59),)</f>
        <v/>
      </c>
      <c r="BM59" s="130">
        <f>IFERROR(SUM($CO59:$CQ59),)</f>
        <v/>
      </c>
      <c r="BN59" s="128">
        <f>IFERROR(SUM($CR59:$CT59),)</f>
        <v/>
      </c>
      <c r="BO59" s="128">
        <f>iferror(SUM($BP59,($BQ59*1.2),($BR59*1.35),($BS59*0.74)),)</f>
        <v/>
      </c>
      <c r="BP59" s="128">
        <f>IFERROR(SUM($CU59:$DL59),)</f>
        <v/>
      </c>
      <c r="BQ59" s="128">
        <f>IFERROR(SUM($DM59:$DO59),)</f>
        <v/>
      </c>
      <c r="BR59" s="128">
        <f>IFERROR(SUM($DP59:$DR59),)</f>
        <v/>
      </c>
      <c r="BS59" s="128">
        <f>IFERROR(SUM($DS59:$DU59),)</f>
        <v/>
      </c>
      <c r="BT59" s="128">
        <f>IFERROR(AI59*$W59,)</f>
        <v/>
      </c>
      <c r="BU59" s="128">
        <f>IFERROR(AJ59*$W59,)</f>
        <v/>
      </c>
      <c r="BV59" s="128">
        <f>IFERROR(AK59*$W59,)</f>
        <v/>
      </c>
      <c r="BW59" s="128">
        <f>IFERROR(AL59*$W59,)</f>
        <v/>
      </c>
      <c r="BX59" s="128">
        <f>IFERROR(AM59*$W59,)</f>
        <v/>
      </c>
      <c r="BY59" s="128">
        <f>IFERROR(AN59*$W59,)</f>
        <v/>
      </c>
      <c r="BZ59" s="128">
        <f>IFERROR(AO59*$W59,)</f>
        <v/>
      </c>
      <c r="CA59" s="128">
        <f>IFERROR(AP59*$W59,)</f>
        <v/>
      </c>
      <c r="CB59" s="128">
        <f>IFERROR(AQ59*$W59,)</f>
        <v/>
      </c>
      <c r="CC59" s="128">
        <f>IFERROR(AR59*$W59,)</f>
        <v/>
      </c>
      <c r="CD59" s="128">
        <f>IFERROR(AS59*$W59,)</f>
        <v/>
      </c>
      <c r="CE59" s="128">
        <f>IFERROR(AT59*$W59,)</f>
        <v/>
      </c>
      <c r="CF59" s="128">
        <f>IFERROR(AU59*$W59,)</f>
        <v/>
      </c>
      <c r="CG59" s="128">
        <f>IFERROR(AV59*$W59,)</f>
        <v/>
      </c>
      <c r="CH59" s="128">
        <f>IFERROR(AW59*$W59,)</f>
        <v/>
      </c>
      <c r="CI59" s="128">
        <f>IFERROR(AX59*$W59,)</f>
        <v/>
      </c>
      <c r="CJ59" s="128">
        <f>IFERROR(AY59*$W59,)</f>
        <v/>
      </c>
      <c r="CK59" s="128">
        <f>IFERROR(AZ59*$W59,)</f>
        <v/>
      </c>
      <c r="CL59" s="129">
        <f>IFERROR(if($Y59=0,BA59*($W59/1.2),BA59*$Y59),"")</f>
        <v/>
      </c>
      <c r="CM59" s="129">
        <f>IFERROR(if($Y59=0,BB59*($W59/1.2),BB59*$Y59),"")</f>
        <v/>
      </c>
      <c r="CN59" s="129">
        <f>IFERROR(if($Y59=0,BC59*($W59/1.2),BC59*$Y59),"")</f>
        <v/>
      </c>
      <c r="CO59" s="130">
        <f>IFERROR(if($AA59=0,($W59/1.35)*BD59,BD59*$AA59),)</f>
        <v/>
      </c>
      <c r="CP59" s="130">
        <f>IFERROR(if($AA59=0,($W59/1.35)*BE59,BE59*$AA59),)</f>
        <v/>
      </c>
      <c r="CQ59" s="130">
        <f>IFERROR(if($AA59=0,($W59/1.35)*BF59,BF59*$AA59),)</f>
        <v/>
      </c>
      <c r="CR59" s="128">
        <f>IFERROR(if($AC59=0,($W59/0.74)*BG59,
BG59*$AC59),)</f>
        <v/>
      </c>
      <c r="CS59" s="128">
        <f>IFERROR(if($AC59=0,($W59/0.74)*BH59,
BH59*$AC59),)</f>
        <v/>
      </c>
      <c r="CT59" s="128">
        <f>IFERROR(if($AC59=0,($W59/0.74)*BI59,
BI59*$AC59),)</f>
        <v/>
      </c>
      <c r="CU59" s="128">
        <f>IFERROR(AI59*$V59,)</f>
        <v/>
      </c>
      <c r="CV59" s="128">
        <f>IFERROR(AJ59*$V59,)</f>
        <v/>
      </c>
      <c r="CW59" s="128">
        <f>IFERROR(AK59*$V59,)</f>
        <v/>
      </c>
      <c r="CX59" s="128">
        <f>IFERROR(AL59*$V59,)</f>
        <v/>
      </c>
      <c r="CY59" s="128">
        <f>IFERROR(AM59*$V59,)</f>
        <v/>
      </c>
      <c r="CZ59" s="128">
        <f>IFERROR(AN59*$V59,)</f>
        <v/>
      </c>
      <c r="DA59" s="128">
        <f>IFERROR(AO59*$V59,)</f>
        <v/>
      </c>
      <c r="DB59" s="128">
        <f>IFERROR(AP59*$V59,)</f>
        <v/>
      </c>
      <c r="DC59" s="128">
        <f>IFERROR(AQ59*$V59,)</f>
        <v/>
      </c>
      <c r="DD59" s="128">
        <f>IFERROR(AR59*$V59,)</f>
        <v/>
      </c>
      <c r="DE59" s="128">
        <f>IFERROR(AS59*$V59,)</f>
        <v/>
      </c>
      <c r="DF59" s="128">
        <f>IFERROR(AT59*$V59,)</f>
        <v/>
      </c>
      <c r="DG59" s="128">
        <f>IFERROR(AU59*$V59,)</f>
        <v/>
      </c>
      <c r="DH59" s="128">
        <f>IFERROR(AV59*$V59,)</f>
        <v/>
      </c>
      <c r="DI59" s="128">
        <f>IFERROR(AW59*$V59,)</f>
        <v/>
      </c>
      <c r="DJ59" s="128">
        <f>IFERROR(AX59*$V59,)</f>
        <v/>
      </c>
      <c r="DK59" s="128">
        <f>IFERROR(AY59*$V59,)</f>
        <v/>
      </c>
      <c r="DL59" s="128">
        <f>IFERROR(AZ59*$V59,)</f>
        <v/>
      </c>
      <c r="DM59" s="129">
        <f>IFERROR(if($X59=0,($V59/1.2)*BA59,
BA59*$X59),)</f>
        <v/>
      </c>
      <c r="DN59" s="129">
        <f>IFERROR(if($X59=0,($V59/1.2)*BB59,
BB59*$X59),)</f>
        <v/>
      </c>
      <c r="DO59" s="129">
        <f>IFERROR(if($X59=0,($V59/1.2)*BC59,
BC59*$X59),)</f>
        <v/>
      </c>
      <c r="DP59" s="130">
        <f>IFERROR(if($Z59=0,($V59/1.35)*BD59,
BD59*$Z59),)</f>
        <v/>
      </c>
      <c r="DQ59" s="130">
        <f>IFERROR(if($Z59=0,($V59/1.35)*BE59,
BE59*$Z59),)</f>
        <v/>
      </c>
      <c r="DR59" s="130">
        <f>IFERROR(if($Z59=0,($V59/1.35)*BF59,
BF59*$Z59),)</f>
        <v/>
      </c>
      <c r="DS59" s="128">
        <f>IFERROR(IF($AB59=0,($V59/0.74)*BG59,
BG59*$AB59),)</f>
        <v/>
      </c>
      <c r="DT59" s="128">
        <f>IFERROR(IF($AB59=0,($V59/0.74)*BH59,
BH59*$AB59),)</f>
        <v/>
      </c>
      <c r="DU59" s="128">
        <f>IFERROR(IF($AB59=0,($V59/0.74)*BI59,
BI59*$AB59),)</f>
        <v/>
      </c>
    </row>
    <row r="60" ht="60" customHeight="1" s="162">
      <c r="A60" s="115" t="n"/>
      <c r="B60" s="115" t="n"/>
      <c r="C60" s="115" t="n"/>
      <c r="D60" s="115" t="n"/>
      <c r="E60" s="115" t="n"/>
      <c r="F60" s="115" t="n"/>
      <c r="G60" s="115" t="n"/>
      <c r="H60" s="115" t="n"/>
      <c r="I60" s="115" t="n"/>
      <c r="J60" s="115" t="n"/>
      <c r="K60" s="115" t="n"/>
      <c r="L60" s="115" t="n"/>
      <c r="M60" s="115" t="n"/>
      <c r="N60" s="115" t="n"/>
      <c r="O60" s="115" t="n"/>
      <c r="P60" s="115" t="n"/>
      <c r="Q60" s="115" t="n"/>
      <c r="R60" s="115" t="n"/>
      <c r="S60" s="115" t="n"/>
      <c r="T60" s="115" t="n"/>
      <c r="U60" s="116" t="n"/>
      <c r="V60" s="116" t="n"/>
      <c r="W60" s="117" t="n"/>
      <c r="X60" s="118" t="n"/>
      <c r="Y60" s="119" t="n"/>
      <c r="Z60" s="120" t="n"/>
      <c r="AA60" s="121" t="n"/>
      <c r="AB60" s="122" t="n"/>
      <c r="AC60" s="117" t="n"/>
      <c r="AD60" s="123">
        <f>IF(SUM($AE60:$AH60)=0,"",SUM($AE60:$AH60))</f>
        <v/>
      </c>
      <c r="AE60" s="123">
        <f>iferror(IF(SUM($AI60:$AZ60)=0,"",SUM($AI60:$AZ60)),"")</f>
        <v/>
      </c>
      <c r="AF60" s="123">
        <f>iferror(IF(SUM($BA60:$BC60)=0,"",SUM($BA60:$BC60)),"")</f>
        <v/>
      </c>
      <c r="AG60" s="123">
        <f>iferror(IF(SUM($BD60:$BF60)=0,"",SUM($BD60:$BF60)),"")</f>
        <v/>
      </c>
      <c r="AH60" s="124">
        <f>iferror(IF(SUM($BG60:$BI60)=0,"",SUM($BG60:$BI60)),"")</f>
        <v/>
      </c>
      <c r="AI60" s="131" t="n"/>
      <c r="AJ60" s="132" t="n"/>
      <c r="AK60" s="132" t="n"/>
      <c r="AL60" s="132" t="n"/>
      <c r="AM60" s="132" t="n"/>
      <c r="AN60" s="132" t="n"/>
      <c r="AO60" s="132" t="n"/>
      <c r="AP60" s="132" t="n"/>
      <c r="AQ60" s="132" t="n"/>
      <c r="AR60" s="132" t="n"/>
      <c r="AS60" s="132" t="n"/>
      <c r="AT60" s="132" t="n"/>
      <c r="AU60" s="132" t="n"/>
      <c r="AV60" s="132" t="n"/>
      <c r="AW60" s="132" t="n"/>
      <c r="AX60" s="132" t="n"/>
      <c r="AY60" s="132" t="n"/>
      <c r="AZ60" s="133" t="n"/>
      <c r="BA60" s="131" t="n"/>
      <c r="BB60" s="132" t="n"/>
      <c r="BC60" s="133" t="n"/>
      <c r="BD60" s="131" t="n"/>
      <c r="BE60" s="132" t="n"/>
      <c r="BF60" s="133" t="n"/>
      <c r="BG60" s="131" t="n"/>
      <c r="BH60" s="132" t="n"/>
      <c r="BI60" s="132" t="n"/>
      <c r="BJ60" s="128">
        <f>iferror(SUM($BK60,($BL60*1.2),($BM60*1.35),($BN60*0.74)),)</f>
        <v/>
      </c>
      <c r="BK60" s="128">
        <f>IFERROR(SUM($BT60:$CK60),)</f>
        <v/>
      </c>
      <c r="BL60" s="129">
        <f>IFERROR(SUM($CL60:$CN60),)</f>
        <v/>
      </c>
      <c r="BM60" s="130">
        <f>IFERROR(SUM($CO60:$CQ60),)</f>
        <v/>
      </c>
      <c r="BN60" s="128">
        <f>IFERROR(SUM($CR60:$CT60),)</f>
        <v/>
      </c>
      <c r="BO60" s="128">
        <f>iferror(SUM($BP60,($BQ60*1.2),($BR60*1.35),($BS60*0.74)),)</f>
        <v/>
      </c>
      <c r="BP60" s="128">
        <f>IFERROR(SUM($CU60:$DL60),)</f>
        <v/>
      </c>
      <c r="BQ60" s="128">
        <f>IFERROR(SUM($DM60:$DO60),)</f>
        <v/>
      </c>
      <c r="BR60" s="128">
        <f>IFERROR(SUM($DP60:$DR60),)</f>
        <v/>
      </c>
      <c r="BS60" s="128">
        <f>IFERROR(SUM($DS60:$DU60),)</f>
        <v/>
      </c>
      <c r="BT60" s="128">
        <f>IFERROR(AI60*$W60,)</f>
        <v/>
      </c>
      <c r="BU60" s="128">
        <f>IFERROR(AJ60*$W60,)</f>
        <v/>
      </c>
      <c r="BV60" s="128">
        <f>IFERROR(AK60*$W60,)</f>
        <v/>
      </c>
      <c r="BW60" s="128">
        <f>IFERROR(AL60*$W60,)</f>
        <v/>
      </c>
      <c r="BX60" s="128">
        <f>IFERROR(AM60*$W60,)</f>
        <v/>
      </c>
      <c r="BY60" s="128">
        <f>IFERROR(AN60*$W60,)</f>
        <v/>
      </c>
      <c r="BZ60" s="128">
        <f>IFERROR(AO60*$W60,)</f>
        <v/>
      </c>
      <c r="CA60" s="128">
        <f>IFERROR(AP60*$W60,)</f>
        <v/>
      </c>
      <c r="CB60" s="128">
        <f>IFERROR(AQ60*$W60,)</f>
        <v/>
      </c>
      <c r="CC60" s="128">
        <f>IFERROR(AR60*$W60,)</f>
        <v/>
      </c>
      <c r="CD60" s="128">
        <f>IFERROR(AS60*$W60,)</f>
        <v/>
      </c>
      <c r="CE60" s="128">
        <f>IFERROR(AT60*$W60,)</f>
        <v/>
      </c>
      <c r="CF60" s="128">
        <f>IFERROR(AU60*$W60,)</f>
        <v/>
      </c>
      <c r="CG60" s="128">
        <f>IFERROR(AV60*$W60,)</f>
        <v/>
      </c>
      <c r="CH60" s="128">
        <f>IFERROR(AW60*$W60,)</f>
        <v/>
      </c>
      <c r="CI60" s="128">
        <f>IFERROR(AX60*$W60,)</f>
        <v/>
      </c>
      <c r="CJ60" s="128">
        <f>IFERROR(AY60*$W60,)</f>
        <v/>
      </c>
      <c r="CK60" s="128">
        <f>IFERROR(AZ60*$W60,)</f>
        <v/>
      </c>
      <c r="CL60" s="129">
        <f>IFERROR(if($Y60=0,BA60*($W60/1.2),BA60*$Y60),"")</f>
        <v/>
      </c>
      <c r="CM60" s="129">
        <f>IFERROR(if($Y60=0,BB60*($W60/1.2),BB60*$Y60),"")</f>
        <v/>
      </c>
      <c r="CN60" s="129">
        <f>IFERROR(if($Y60=0,BC60*($W60/1.2),BC60*$Y60),"")</f>
        <v/>
      </c>
      <c r="CO60" s="130">
        <f>IFERROR(if($AA60=0,($W60/1.35)*BD60,BD60*$AA60),)</f>
        <v/>
      </c>
      <c r="CP60" s="130">
        <f>IFERROR(if($AA60=0,($W60/1.35)*BE60,BE60*$AA60),)</f>
        <v/>
      </c>
      <c r="CQ60" s="130">
        <f>IFERROR(if($AA60=0,($W60/1.35)*BF60,BF60*$AA60),)</f>
        <v/>
      </c>
      <c r="CR60" s="128">
        <f>IFERROR(if($AC60=0,($W60/0.74)*BG60,
BG60*$AC60),)</f>
        <v/>
      </c>
      <c r="CS60" s="128">
        <f>IFERROR(if($AC60=0,($W60/0.74)*BH60,
BH60*$AC60),)</f>
        <v/>
      </c>
      <c r="CT60" s="128">
        <f>IFERROR(if($AC60=0,($W60/0.74)*BI60,
BI60*$AC60),)</f>
        <v/>
      </c>
      <c r="CU60" s="128">
        <f>IFERROR(AI60*$V60,)</f>
        <v/>
      </c>
      <c r="CV60" s="128">
        <f>IFERROR(AJ60*$V60,)</f>
        <v/>
      </c>
      <c r="CW60" s="128">
        <f>IFERROR(AK60*$V60,)</f>
        <v/>
      </c>
      <c r="CX60" s="128">
        <f>IFERROR(AL60*$V60,)</f>
        <v/>
      </c>
      <c r="CY60" s="128">
        <f>IFERROR(AM60*$V60,)</f>
        <v/>
      </c>
      <c r="CZ60" s="128">
        <f>IFERROR(AN60*$V60,)</f>
        <v/>
      </c>
      <c r="DA60" s="128">
        <f>IFERROR(AO60*$V60,)</f>
        <v/>
      </c>
      <c r="DB60" s="128">
        <f>IFERROR(AP60*$V60,)</f>
        <v/>
      </c>
      <c r="DC60" s="128">
        <f>IFERROR(AQ60*$V60,)</f>
        <v/>
      </c>
      <c r="DD60" s="128">
        <f>IFERROR(AR60*$V60,)</f>
        <v/>
      </c>
      <c r="DE60" s="128">
        <f>IFERROR(AS60*$V60,)</f>
        <v/>
      </c>
      <c r="DF60" s="128">
        <f>IFERROR(AT60*$V60,)</f>
        <v/>
      </c>
      <c r="DG60" s="128">
        <f>IFERROR(AU60*$V60,)</f>
        <v/>
      </c>
      <c r="DH60" s="128">
        <f>IFERROR(AV60*$V60,)</f>
        <v/>
      </c>
      <c r="DI60" s="128">
        <f>IFERROR(AW60*$V60,)</f>
        <v/>
      </c>
      <c r="DJ60" s="128">
        <f>IFERROR(AX60*$V60,)</f>
        <v/>
      </c>
      <c r="DK60" s="128">
        <f>IFERROR(AY60*$V60,)</f>
        <v/>
      </c>
      <c r="DL60" s="128">
        <f>IFERROR(AZ60*$V60,)</f>
        <v/>
      </c>
      <c r="DM60" s="129">
        <f>IFERROR(if($X60=0,($V60/1.2)*BA60,
BA60*$X60),)</f>
        <v/>
      </c>
      <c r="DN60" s="129">
        <f>IFERROR(if($X60=0,($V60/1.2)*BB60,
BB60*$X60),)</f>
        <v/>
      </c>
      <c r="DO60" s="129">
        <f>IFERROR(if($X60=0,($V60/1.2)*BC60,
BC60*$X60),)</f>
        <v/>
      </c>
      <c r="DP60" s="130">
        <f>IFERROR(if($Z60=0,($V60/1.35)*BD60,
BD60*$Z60),)</f>
        <v/>
      </c>
      <c r="DQ60" s="130">
        <f>IFERROR(if($Z60=0,($V60/1.35)*BE60,
BE60*$Z60),)</f>
        <v/>
      </c>
      <c r="DR60" s="130">
        <f>IFERROR(if($Z60=0,($V60/1.35)*BF60,
BF60*$Z60),)</f>
        <v/>
      </c>
      <c r="DS60" s="128">
        <f>IFERROR(IF($AB60=0,($V60/0.74)*BG60,
BG60*$AB60),)</f>
        <v/>
      </c>
      <c r="DT60" s="128">
        <f>IFERROR(IF($AB60=0,($V60/0.74)*BH60,
BH60*$AB60),)</f>
        <v/>
      </c>
      <c r="DU60" s="128">
        <f>IFERROR(IF($AB60=0,($V60/0.74)*BI60,
BI60*$AB60),)</f>
        <v/>
      </c>
    </row>
    <row r="61" ht="60" customHeight="1" s="162">
      <c r="A61" s="115" t="n"/>
      <c r="B61" s="115" t="n"/>
      <c r="C61" s="115" t="n"/>
      <c r="D61" s="115" t="n"/>
      <c r="E61" s="115" t="n"/>
      <c r="F61" s="115" t="n"/>
      <c r="G61" s="115" t="n"/>
      <c r="H61" s="115" t="n"/>
      <c r="I61" s="115" t="n"/>
      <c r="J61" s="115" t="n"/>
      <c r="K61" s="115" t="n"/>
      <c r="L61" s="115" t="n"/>
      <c r="M61" s="115" t="n"/>
      <c r="N61" s="115" t="n"/>
      <c r="O61" s="115" t="n"/>
      <c r="P61" s="115" t="n"/>
      <c r="Q61" s="115" t="n"/>
      <c r="R61" s="115" t="n"/>
      <c r="S61" s="115" t="n"/>
      <c r="T61" s="115" t="n"/>
      <c r="U61" s="116" t="n"/>
      <c r="V61" s="116" t="n"/>
      <c r="W61" s="117" t="n"/>
      <c r="X61" s="118" t="n"/>
      <c r="Y61" s="119" t="n"/>
      <c r="Z61" s="120" t="n"/>
      <c r="AA61" s="121" t="n"/>
      <c r="AB61" s="122" t="n"/>
      <c r="AC61" s="117" t="n"/>
      <c r="AD61" s="123">
        <f>IF(SUM($AE61:$AH61)=0,"",SUM($AE61:$AH61))</f>
        <v/>
      </c>
      <c r="AE61" s="123">
        <f>iferror(IF(SUM($AI61:$AZ61)=0,"",SUM($AI61:$AZ61)),"")</f>
        <v/>
      </c>
      <c r="AF61" s="123">
        <f>iferror(IF(SUM($BA61:$BC61)=0,"",SUM($BA61:$BC61)),"")</f>
        <v/>
      </c>
      <c r="AG61" s="123">
        <f>iferror(IF(SUM($BD61:$BF61)=0,"",SUM($BD61:$BF61)),"")</f>
        <v/>
      </c>
      <c r="AH61" s="124">
        <f>iferror(IF(SUM($BG61:$BI61)=0,"",SUM($BG61:$BI61)),"")</f>
        <v/>
      </c>
      <c r="AI61" s="131" t="n"/>
      <c r="AJ61" s="132" t="n"/>
      <c r="AK61" s="132" t="n"/>
      <c r="AL61" s="132" t="n"/>
      <c r="AM61" s="132" t="n"/>
      <c r="AN61" s="132" t="n"/>
      <c r="AO61" s="132" t="n"/>
      <c r="AP61" s="132" t="n"/>
      <c r="AQ61" s="132" t="n"/>
      <c r="AR61" s="132" t="n"/>
      <c r="AS61" s="132" t="n"/>
      <c r="AT61" s="132" t="n"/>
      <c r="AU61" s="132" t="n"/>
      <c r="AV61" s="132" t="n"/>
      <c r="AW61" s="132" t="n"/>
      <c r="AX61" s="132" t="n"/>
      <c r="AY61" s="132" t="n"/>
      <c r="AZ61" s="133" t="n"/>
      <c r="BA61" s="131" t="n"/>
      <c r="BB61" s="132" t="n"/>
      <c r="BC61" s="133" t="n"/>
      <c r="BD61" s="131" t="n"/>
      <c r="BE61" s="132" t="n"/>
      <c r="BF61" s="133" t="n"/>
      <c r="BG61" s="131" t="n"/>
      <c r="BH61" s="132" t="n"/>
      <c r="BI61" s="132" t="n"/>
      <c r="BJ61" s="128">
        <f>iferror(SUM($BK61,($BL61*1.2),($BM61*1.35),($BN61*0.74)),)</f>
        <v/>
      </c>
      <c r="BK61" s="128">
        <f>IFERROR(SUM($BT61:$CK61),)</f>
        <v/>
      </c>
      <c r="BL61" s="129">
        <f>IFERROR(SUM($CL61:$CN61),)</f>
        <v/>
      </c>
      <c r="BM61" s="130">
        <f>IFERROR(SUM($CO61:$CQ61),)</f>
        <v/>
      </c>
      <c r="BN61" s="128">
        <f>IFERROR(SUM($CR61:$CT61),)</f>
        <v/>
      </c>
      <c r="BO61" s="128">
        <f>iferror(SUM($BP61,($BQ61*1.2),($BR61*1.35),($BS61*0.74)),)</f>
        <v/>
      </c>
      <c r="BP61" s="128">
        <f>IFERROR(SUM($CU61:$DL61),)</f>
        <v/>
      </c>
      <c r="BQ61" s="128">
        <f>IFERROR(SUM($DM61:$DO61),)</f>
        <v/>
      </c>
      <c r="BR61" s="128">
        <f>IFERROR(SUM($DP61:$DR61),)</f>
        <v/>
      </c>
      <c r="BS61" s="128">
        <f>IFERROR(SUM($DS61:$DU61),)</f>
        <v/>
      </c>
      <c r="BT61" s="128">
        <f>IFERROR(AI61*$W61,)</f>
        <v/>
      </c>
      <c r="BU61" s="128">
        <f>IFERROR(AJ61*$W61,)</f>
        <v/>
      </c>
      <c r="BV61" s="128">
        <f>IFERROR(AK61*$W61,)</f>
        <v/>
      </c>
      <c r="BW61" s="128">
        <f>IFERROR(AL61*$W61,)</f>
        <v/>
      </c>
      <c r="BX61" s="128">
        <f>IFERROR(AM61*$W61,)</f>
        <v/>
      </c>
      <c r="BY61" s="128">
        <f>IFERROR(AN61*$W61,)</f>
        <v/>
      </c>
      <c r="BZ61" s="128">
        <f>IFERROR(AO61*$W61,)</f>
        <v/>
      </c>
      <c r="CA61" s="128">
        <f>IFERROR(AP61*$W61,)</f>
        <v/>
      </c>
      <c r="CB61" s="128">
        <f>IFERROR(AQ61*$W61,)</f>
        <v/>
      </c>
      <c r="CC61" s="128">
        <f>IFERROR(AR61*$W61,)</f>
        <v/>
      </c>
      <c r="CD61" s="128">
        <f>IFERROR(AS61*$W61,)</f>
        <v/>
      </c>
      <c r="CE61" s="128">
        <f>IFERROR(AT61*$W61,)</f>
        <v/>
      </c>
      <c r="CF61" s="128">
        <f>IFERROR(AU61*$W61,)</f>
        <v/>
      </c>
      <c r="CG61" s="128">
        <f>IFERROR(AV61*$W61,)</f>
        <v/>
      </c>
      <c r="CH61" s="128">
        <f>IFERROR(AW61*$W61,)</f>
        <v/>
      </c>
      <c r="CI61" s="128">
        <f>IFERROR(AX61*$W61,)</f>
        <v/>
      </c>
      <c r="CJ61" s="128">
        <f>IFERROR(AY61*$W61,)</f>
        <v/>
      </c>
      <c r="CK61" s="128">
        <f>IFERROR(AZ61*$W61,)</f>
        <v/>
      </c>
      <c r="CL61" s="129">
        <f>IFERROR(if($Y61=0,BA61*($W61/1.2),BA61*$Y61),"")</f>
        <v/>
      </c>
      <c r="CM61" s="129">
        <f>IFERROR(if($Y61=0,BB61*($W61/1.2),BB61*$Y61),"")</f>
        <v/>
      </c>
      <c r="CN61" s="129">
        <f>IFERROR(if($Y61=0,BC61*($W61/1.2),BC61*$Y61),"")</f>
        <v/>
      </c>
      <c r="CO61" s="130">
        <f>IFERROR(if($AA61=0,($W61/1.35)*BD61,BD61*$AA61),)</f>
        <v/>
      </c>
      <c r="CP61" s="130">
        <f>IFERROR(if($AA61=0,($W61/1.35)*BE61,BE61*$AA61),)</f>
        <v/>
      </c>
      <c r="CQ61" s="130">
        <f>IFERROR(if($AA61=0,($W61/1.35)*BF61,BF61*$AA61),)</f>
        <v/>
      </c>
      <c r="CR61" s="128">
        <f>IFERROR(if($AC61=0,($W61/0.74)*BG61,
BG61*$AC61),)</f>
        <v/>
      </c>
      <c r="CS61" s="128">
        <f>IFERROR(if($AC61=0,($W61/0.74)*BH61,
BH61*$AC61),)</f>
        <v/>
      </c>
      <c r="CT61" s="128">
        <f>IFERROR(if($AC61=0,($W61/0.74)*BI61,
BI61*$AC61),)</f>
        <v/>
      </c>
      <c r="CU61" s="128">
        <f>IFERROR(AI61*$V61,)</f>
        <v/>
      </c>
      <c r="CV61" s="128">
        <f>IFERROR(AJ61*$V61,)</f>
        <v/>
      </c>
      <c r="CW61" s="128">
        <f>IFERROR(AK61*$V61,)</f>
        <v/>
      </c>
      <c r="CX61" s="128">
        <f>IFERROR(AL61*$V61,)</f>
        <v/>
      </c>
      <c r="CY61" s="128">
        <f>IFERROR(AM61*$V61,)</f>
        <v/>
      </c>
      <c r="CZ61" s="128">
        <f>IFERROR(AN61*$V61,)</f>
        <v/>
      </c>
      <c r="DA61" s="128">
        <f>IFERROR(AO61*$V61,)</f>
        <v/>
      </c>
      <c r="DB61" s="128">
        <f>IFERROR(AP61*$V61,)</f>
        <v/>
      </c>
      <c r="DC61" s="128">
        <f>IFERROR(AQ61*$V61,)</f>
        <v/>
      </c>
      <c r="DD61" s="128">
        <f>IFERROR(AR61*$V61,)</f>
        <v/>
      </c>
      <c r="DE61" s="128">
        <f>IFERROR(AS61*$V61,)</f>
        <v/>
      </c>
      <c r="DF61" s="128">
        <f>IFERROR(AT61*$V61,)</f>
        <v/>
      </c>
      <c r="DG61" s="128">
        <f>IFERROR(AU61*$V61,)</f>
        <v/>
      </c>
      <c r="DH61" s="128">
        <f>IFERROR(AV61*$V61,)</f>
        <v/>
      </c>
      <c r="DI61" s="128">
        <f>IFERROR(AW61*$V61,)</f>
        <v/>
      </c>
      <c r="DJ61" s="128">
        <f>IFERROR(AX61*$V61,)</f>
        <v/>
      </c>
      <c r="DK61" s="128">
        <f>IFERROR(AY61*$V61,)</f>
        <v/>
      </c>
      <c r="DL61" s="128">
        <f>IFERROR(AZ61*$V61,)</f>
        <v/>
      </c>
      <c r="DM61" s="129">
        <f>IFERROR(if($X61=0,($V61/1.2)*BA61,
BA61*$X61),)</f>
        <v/>
      </c>
      <c r="DN61" s="129">
        <f>IFERROR(if($X61=0,($V61/1.2)*BB61,
BB61*$X61),)</f>
        <v/>
      </c>
      <c r="DO61" s="129">
        <f>IFERROR(if($X61=0,($V61/1.2)*BC61,
BC61*$X61),)</f>
        <v/>
      </c>
      <c r="DP61" s="130">
        <f>IFERROR(if($Z61=0,($V61/1.35)*BD61,
BD61*$Z61),)</f>
        <v/>
      </c>
      <c r="DQ61" s="130">
        <f>IFERROR(if($Z61=0,($V61/1.35)*BE61,
BE61*$Z61),)</f>
        <v/>
      </c>
      <c r="DR61" s="130">
        <f>IFERROR(if($Z61=0,($V61/1.35)*BF61,
BF61*$Z61),)</f>
        <v/>
      </c>
      <c r="DS61" s="128">
        <f>IFERROR(IF($AB61=0,($V61/0.74)*BG61,
BG61*$AB61),)</f>
        <v/>
      </c>
      <c r="DT61" s="128">
        <f>IFERROR(IF($AB61=0,($V61/0.74)*BH61,
BH61*$AB61),)</f>
        <v/>
      </c>
      <c r="DU61" s="128">
        <f>IFERROR(IF($AB61=0,($V61/0.74)*BI61,
BI61*$AB61),)</f>
        <v/>
      </c>
    </row>
    <row r="62" ht="60" customHeight="1" s="162">
      <c r="A62" s="115" t="n"/>
      <c r="B62" s="115" t="n"/>
      <c r="C62" s="115" t="n"/>
      <c r="D62" s="115" t="n"/>
      <c r="E62" s="115" t="n"/>
      <c r="F62" s="115" t="n"/>
      <c r="G62" s="115" t="n"/>
      <c r="H62" s="115" t="n"/>
      <c r="I62" s="115" t="n"/>
      <c r="J62" s="115" t="n"/>
      <c r="K62" s="115" t="n"/>
      <c r="L62" s="115" t="n"/>
      <c r="M62" s="115" t="n"/>
      <c r="N62" s="115" t="n"/>
      <c r="O62" s="115" t="n"/>
      <c r="P62" s="115" t="n"/>
      <c r="Q62" s="115" t="n"/>
      <c r="R62" s="115" t="n"/>
      <c r="S62" s="115" t="n"/>
      <c r="T62" s="115" t="n"/>
      <c r="U62" s="116" t="n"/>
      <c r="V62" s="116" t="n"/>
      <c r="W62" s="117" t="n"/>
      <c r="X62" s="118" t="n"/>
      <c r="Y62" s="119" t="n"/>
      <c r="Z62" s="120" t="n"/>
      <c r="AA62" s="121" t="n"/>
      <c r="AB62" s="122" t="n"/>
      <c r="AC62" s="117" t="n"/>
      <c r="AD62" s="123">
        <f>IF(SUM($AE62:$AH62)=0,"",SUM($AE62:$AH62))</f>
        <v/>
      </c>
      <c r="AE62" s="123">
        <f>iferror(IF(SUM($AI62:$AZ62)=0,"",SUM($AI62:$AZ62)),"")</f>
        <v/>
      </c>
      <c r="AF62" s="123">
        <f>iferror(IF(SUM($BA62:$BC62)=0,"",SUM($BA62:$BC62)),"")</f>
        <v/>
      </c>
      <c r="AG62" s="123">
        <f>iferror(IF(SUM($BD62:$BF62)=0,"",SUM($BD62:$BF62)),"")</f>
        <v/>
      </c>
      <c r="AH62" s="124">
        <f>iferror(IF(SUM($BG62:$BI62)=0,"",SUM($BG62:$BI62)),"")</f>
        <v/>
      </c>
      <c r="AI62" s="131" t="n"/>
      <c r="AJ62" s="132" t="n"/>
      <c r="AK62" s="132" t="n"/>
      <c r="AL62" s="132" t="n"/>
      <c r="AM62" s="132" t="n"/>
      <c r="AN62" s="132" t="n"/>
      <c r="AO62" s="132" t="n"/>
      <c r="AP62" s="132" t="n"/>
      <c r="AQ62" s="132" t="n"/>
      <c r="AR62" s="132" t="n"/>
      <c r="AS62" s="132" t="n"/>
      <c r="AT62" s="132" t="n"/>
      <c r="AU62" s="132" t="n"/>
      <c r="AV62" s="132" t="n"/>
      <c r="AW62" s="132" t="n"/>
      <c r="AX62" s="132" t="n"/>
      <c r="AY62" s="132" t="n"/>
      <c r="AZ62" s="133" t="n"/>
      <c r="BA62" s="131" t="n"/>
      <c r="BB62" s="132" t="n"/>
      <c r="BC62" s="133" t="n"/>
      <c r="BD62" s="131" t="n"/>
      <c r="BE62" s="132" t="n"/>
      <c r="BF62" s="133" t="n"/>
      <c r="BG62" s="131" t="n"/>
      <c r="BH62" s="132" t="n"/>
      <c r="BI62" s="132" t="n"/>
      <c r="BJ62" s="128">
        <f>iferror(SUM($BK62,($BL62*1.2),($BM62*1.35),($BN62*0.74)),)</f>
        <v/>
      </c>
      <c r="BK62" s="128">
        <f>IFERROR(SUM($BT62:$CK62),)</f>
        <v/>
      </c>
      <c r="BL62" s="129">
        <f>IFERROR(SUM($CL62:$CN62),)</f>
        <v/>
      </c>
      <c r="BM62" s="130">
        <f>IFERROR(SUM($CO62:$CQ62),)</f>
        <v/>
      </c>
      <c r="BN62" s="128">
        <f>IFERROR(SUM($CR62:$CT62),)</f>
        <v/>
      </c>
      <c r="BO62" s="128">
        <f>iferror(SUM($BP62,($BQ62*1.2),($BR62*1.35),($BS62*0.74)),)</f>
        <v/>
      </c>
      <c r="BP62" s="128">
        <f>IFERROR(SUM($CU62:$DL62),)</f>
        <v/>
      </c>
      <c r="BQ62" s="128">
        <f>IFERROR(SUM($DM62:$DO62),)</f>
        <v/>
      </c>
      <c r="BR62" s="128">
        <f>IFERROR(SUM($DP62:$DR62),)</f>
        <v/>
      </c>
      <c r="BS62" s="128">
        <f>IFERROR(SUM($DS62:$DU62),)</f>
        <v/>
      </c>
      <c r="BT62" s="128">
        <f>IFERROR(AI62*$W62,)</f>
        <v/>
      </c>
      <c r="BU62" s="128">
        <f>IFERROR(AJ62*$W62,)</f>
        <v/>
      </c>
      <c r="BV62" s="128">
        <f>IFERROR(AK62*$W62,)</f>
        <v/>
      </c>
      <c r="BW62" s="128">
        <f>IFERROR(AL62*$W62,)</f>
        <v/>
      </c>
      <c r="BX62" s="128">
        <f>IFERROR(AM62*$W62,)</f>
        <v/>
      </c>
      <c r="BY62" s="128">
        <f>IFERROR(AN62*$W62,)</f>
        <v/>
      </c>
      <c r="BZ62" s="128">
        <f>IFERROR(AO62*$W62,)</f>
        <v/>
      </c>
      <c r="CA62" s="128">
        <f>IFERROR(AP62*$W62,)</f>
        <v/>
      </c>
      <c r="CB62" s="128">
        <f>IFERROR(AQ62*$W62,)</f>
        <v/>
      </c>
      <c r="CC62" s="128">
        <f>IFERROR(AR62*$W62,)</f>
        <v/>
      </c>
      <c r="CD62" s="128">
        <f>IFERROR(AS62*$W62,)</f>
        <v/>
      </c>
      <c r="CE62" s="128">
        <f>IFERROR(AT62*$W62,)</f>
        <v/>
      </c>
      <c r="CF62" s="128">
        <f>IFERROR(AU62*$W62,)</f>
        <v/>
      </c>
      <c r="CG62" s="128">
        <f>IFERROR(AV62*$W62,)</f>
        <v/>
      </c>
      <c r="CH62" s="128">
        <f>IFERROR(AW62*$W62,)</f>
        <v/>
      </c>
      <c r="CI62" s="128">
        <f>IFERROR(AX62*$W62,)</f>
        <v/>
      </c>
      <c r="CJ62" s="128">
        <f>IFERROR(AY62*$W62,)</f>
        <v/>
      </c>
      <c r="CK62" s="128">
        <f>IFERROR(AZ62*$W62,)</f>
        <v/>
      </c>
      <c r="CL62" s="129">
        <f>IFERROR(if($Y62=0,BA62*($W62/1.2),BA62*$Y62),"")</f>
        <v/>
      </c>
      <c r="CM62" s="129">
        <f>IFERROR(if($Y62=0,BB62*($W62/1.2),BB62*$Y62),"")</f>
        <v/>
      </c>
      <c r="CN62" s="129">
        <f>IFERROR(if($Y62=0,BC62*($W62/1.2),BC62*$Y62),"")</f>
        <v/>
      </c>
      <c r="CO62" s="130">
        <f>IFERROR(if($AA62=0,($W62/1.35)*BD62,BD62*$AA62),)</f>
        <v/>
      </c>
      <c r="CP62" s="130">
        <f>IFERROR(if($AA62=0,($W62/1.35)*BE62,BE62*$AA62),)</f>
        <v/>
      </c>
      <c r="CQ62" s="130">
        <f>IFERROR(if($AA62=0,($W62/1.35)*BF62,BF62*$AA62),)</f>
        <v/>
      </c>
      <c r="CR62" s="128">
        <f>IFERROR(if($AC62=0,($W62/0.74)*BG62,
BG62*$AC62),)</f>
        <v/>
      </c>
      <c r="CS62" s="128">
        <f>IFERROR(if($AC62=0,($W62/0.74)*BH62,
BH62*$AC62),)</f>
        <v/>
      </c>
      <c r="CT62" s="128">
        <f>IFERROR(if($AC62=0,($W62/0.74)*BI62,
BI62*$AC62),)</f>
        <v/>
      </c>
      <c r="CU62" s="128">
        <f>IFERROR(AI62*$V62,)</f>
        <v/>
      </c>
      <c r="CV62" s="128">
        <f>IFERROR(AJ62*$V62,)</f>
        <v/>
      </c>
      <c r="CW62" s="128">
        <f>IFERROR(AK62*$V62,)</f>
        <v/>
      </c>
      <c r="CX62" s="128">
        <f>IFERROR(AL62*$V62,)</f>
        <v/>
      </c>
      <c r="CY62" s="128">
        <f>IFERROR(AM62*$V62,)</f>
        <v/>
      </c>
      <c r="CZ62" s="128">
        <f>IFERROR(AN62*$V62,)</f>
        <v/>
      </c>
      <c r="DA62" s="128">
        <f>IFERROR(AO62*$V62,)</f>
        <v/>
      </c>
      <c r="DB62" s="128">
        <f>IFERROR(AP62*$V62,)</f>
        <v/>
      </c>
      <c r="DC62" s="128">
        <f>IFERROR(AQ62*$V62,)</f>
        <v/>
      </c>
      <c r="DD62" s="128">
        <f>IFERROR(AR62*$V62,)</f>
        <v/>
      </c>
      <c r="DE62" s="128">
        <f>IFERROR(AS62*$V62,)</f>
        <v/>
      </c>
      <c r="DF62" s="128">
        <f>IFERROR(AT62*$V62,)</f>
        <v/>
      </c>
      <c r="DG62" s="128">
        <f>IFERROR(AU62*$V62,)</f>
        <v/>
      </c>
      <c r="DH62" s="128">
        <f>IFERROR(AV62*$V62,)</f>
        <v/>
      </c>
      <c r="DI62" s="128">
        <f>IFERROR(AW62*$V62,)</f>
        <v/>
      </c>
      <c r="DJ62" s="128">
        <f>IFERROR(AX62*$V62,)</f>
        <v/>
      </c>
      <c r="DK62" s="128">
        <f>IFERROR(AY62*$V62,)</f>
        <v/>
      </c>
      <c r="DL62" s="128">
        <f>IFERROR(AZ62*$V62,)</f>
        <v/>
      </c>
      <c r="DM62" s="129">
        <f>IFERROR(if($X62=0,($V62/1.2)*BA62,
BA62*$X62),)</f>
        <v/>
      </c>
      <c r="DN62" s="129">
        <f>IFERROR(if($X62=0,($V62/1.2)*BB62,
BB62*$X62),)</f>
        <v/>
      </c>
      <c r="DO62" s="129">
        <f>IFERROR(if($X62=0,($V62/1.2)*BC62,
BC62*$X62),)</f>
        <v/>
      </c>
      <c r="DP62" s="130">
        <f>IFERROR(if($Z62=0,($V62/1.35)*BD62,
BD62*$Z62),)</f>
        <v/>
      </c>
      <c r="DQ62" s="130">
        <f>IFERROR(if($Z62=0,($V62/1.35)*BE62,
BE62*$Z62),)</f>
        <v/>
      </c>
      <c r="DR62" s="130">
        <f>IFERROR(if($Z62=0,($V62/1.35)*BF62,
BF62*$Z62),)</f>
        <v/>
      </c>
      <c r="DS62" s="128">
        <f>IFERROR(IF($AB62=0,($V62/0.74)*BG62,
BG62*$AB62),)</f>
        <v/>
      </c>
      <c r="DT62" s="128">
        <f>IFERROR(IF($AB62=0,($V62/0.74)*BH62,
BH62*$AB62),)</f>
        <v/>
      </c>
      <c r="DU62" s="128">
        <f>IFERROR(IF($AB62=0,($V62/0.74)*BI62,
BI62*$AB62),)</f>
        <v/>
      </c>
    </row>
    <row r="63" ht="60" customHeight="1" s="162">
      <c r="A63" s="115" t="n"/>
      <c r="B63" s="115" t="n"/>
      <c r="C63" s="115" t="n"/>
      <c r="D63" s="115" t="n"/>
      <c r="E63" s="115" t="n"/>
      <c r="F63" s="115" t="n"/>
      <c r="G63" s="115" t="n"/>
      <c r="H63" s="115" t="n"/>
      <c r="I63" s="115" t="n"/>
      <c r="J63" s="115" t="n"/>
      <c r="K63" s="115" t="n"/>
      <c r="L63" s="115" t="n"/>
      <c r="M63" s="115" t="n"/>
      <c r="N63" s="115" t="n"/>
      <c r="O63" s="115" t="n"/>
      <c r="P63" s="115" t="n"/>
      <c r="Q63" s="115" t="n"/>
      <c r="R63" s="115" t="n"/>
      <c r="S63" s="115" t="n"/>
      <c r="T63" s="115" t="n"/>
      <c r="U63" s="116" t="n"/>
      <c r="V63" s="116" t="n"/>
      <c r="W63" s="117" t="n"/>
      <c r="X63" s="118" t="n"/>
      <c r="Y63" s="119" t="n"/>
      <c r="Z63" s="120" t="n"/>
      <c r="AA63" s="121" t="n"/>
      <c r="AB63" s="122" t="n"/>
      <c r="AC63" s="117" t="n"/>
      <c r="AD63" s="123">
        <f>IF(SUM($AE63:$AH63)=0,"",SUM($AE63:$AH63))</f>
        <v/>
      </c>
      <c r="AE63" s="123">
        <f>iferror(IF(SUM($AI63:$AZ63)=0,"",SUM($AI63:$AZ63)),"")</f>
        <v/>
      </c>
      <c r="AF63" s="123">
        <f>iferror(IF(SUM($BA63:$BC63)=0,"",SUM($BA63:$BC63)),"")</f>
        <v/>
      </c>
      <c r="AG63" s="123">
        <f>iferror(IF(SUM($BD63:$BF63)=0,"",SUM($BD63:$BF63)),"")</f>
        <v/>
      </c>
      <c r="AH63" s="124">
        <f>iferror(IF(SUM($BG63:$BI63)=0,"",SUM($BG63:$BI63)),"")</f>
        <v/>
      </c>
      <c r="AI63" s="131" t="n"/>
      <c r="AJ63" s="132" t="n"/>
      <c r="AK63" s="132" t="n"/>
      <c r="AL63" s="132" t="n"/>
      <c r="AM63" s="132" t="n"/>
      <c r="AN63" s="132" t="n"/>
      <c r="AO63" s="132" t="n"/>
      <c r="AP63" s="132" t="n"/>
      <c r="AQ63" s="132" t="n"/>
      <c r="AR63" s="132" t="n"/>
      <c r="AS63" s="132" t="n"/>
      <c r="AT63" s="132" t="n"/>
      <c r="AU63" s="132" t="n"/>
      <c r="AV63" s="132" t="n"/>
      <c r="AW63" s="132" t="n"/>
      <c r="AX63" s="132" t="n"/>
      <c r="AY63" s="132" t="n"/>
      <c r="AZ63" s="133" t="n"/>
      <c r="BA63" s="131" t="n"/>
      <c r="BB63" s="132" t="n"/>
      <c r="BC63" s="133" t="n"/>
      <c r="BD63" s="131" t="n"/>
      <c r="BE63" s="132" t="n"/>
      <c r="BF63" s="133" t="n"/>
      <c r="BG63" s="131" t="n"/>
      <c r="BH63" s="132" t="n"/>
      <c r="BI63" s="132" t="n"/>
      <c r="BJ63" s="128">
        <f>iferror(SUM($BK63,($BL63*1.2),($BM63*1.35),($BN63*0.74)),)</f>
        <v/>
      </c>
      <c r="BK63" s="128">
        <f>IFERROR(SUM($BT63:$CK63),)</f>
        <v/>
      </c>
      <c r="BL63" s="129">
        <f>IFERROR(SUM($CL63:$CN63),)</f>
        <v/>
      </c>
      <c r="BM63" s="130">
        <f>IFERROR(SUM($CO63:$CQ63),)</f>
        <v/>
      </c>
      <c r="BN63" s="128">
        <f>IFERROR(SUM($CR63:$CT63),)</f>
        <v/>
      </c>
      <c r="BO63" s="128">
        <f>iferror(SUM($BP63,($BQ63*1.2),($BR63*1.35),($BS63*0.74)),)</f>
        <v/>
      </c>
      <c r="BP63" s="128">
        <f>IFERROR(SUM($CU63:$DL63),)</f>
        <v/>
      </c>
      <c r="BQ63" s="128">
        <f>IFERROR(SUM($DM63:$DO63),)</f>
        <v/>
      </c>
      <c r="BR63" s="128">
        <f>IFERROR(SUM($DP63:$DR63),)</f>
        <v/>
      </c>
      <c r="BS63" s="128">
        <f>IFERROR(SUM($DS63:$DU63),)</f>
        <v/>
      </c>
      <c r="BT63" s="128">
        <f>IFERROR(AI63*$W63,)</f>
        <v/>
      </c>
      <c r="BU63" s="128">
        <f>IFERROR(AJ63*$W63,)</f>
        <v/>
      </c>
      <c r="BV63" s="128">
        <f>IFERROR(AK63*$W63,)</f>
        <v/>
      </c>
      <c r="BW63" s="128">
        <f>IFERROR(AL63*$W63,)</f>
        <v/>
      </c>
      <c r="BX63" s="128">
        <f>IFERROR(AM63*$W63,)</f>
        <v/>
      </c>
      <c r="BY63" s="128">
        <f>IFERROR(AN63*$W63,)</f>
        <v/>
      </c>
      <c r="BZ63" s="128">
        <f>IFERROR(AO63*$W63,)</f>
        <v/>
      </c>
      <c r="CA63" s="128">
        <f>IFERROR(AP63*$W63,)</f>
        <v/>
      </c>
      <c r="CB63" s="128">
        <f>IFERROR(AQ63*$W63,)</f>
        <v/>
      </c>
      <c r="CC63" s="128">
        <f>IFERROR(AR63*$W63,)</f>
        <v/>
      </c>
      <c r="CD63" s="128">
        <f>IFERROR(AS63*$W63,)</f>
        <v/>
      </c>
      <c r="CE63" s="128">
        <f>IFERROR(AT63*$W63,)</f>
        <v/>
      </c>
      <c r="CF63" s="128">
        <f>IFERROR(AU63*$W63,)</f>
        <v/>
      </c>
      <c r="CG63" s="128">
        <f>IFERROR(AV63*$W63,)</f>
        <v/>
      </c>
      <c r="CH63" s="128">
        <f>IFERROR(AW63*$W63,)</f>
        <v/>
      </c>
      <c r="CI63" s="128">
        <f>IFERROR(AX63*$W63,)</f>
        <v/>
      </c>
      <c r="CJ63" s="128">
        <f>IFERROR(AY63*$W63,)</f>
        <v/>
      </c>
      <c r="CK63" s="128">
        <f>IFERROR(AZ63*$W63,)</f>
        <v/>
      </c>
      <c r="CL63" s="129">
        <f>IFERROR(if($Y63=0,BA63*($W63/1.2),BA63*$Y63),"")</f>
        <v/>
      </c>
      <c r="CM63" s="129">
        <f>IFERROR(if($Y63=0,BB63*($W63/1.2),BB63*$Y63),"")</f>
        <v/>
      </c>
      <c r="CN63" s="129">
        <f>IFERROR(if($Y63=0,BC63*($W63/1.2),BC63*$Y63),"")</f>
        <v/>
      </c>
      <c r="CO63" s="130">
        <f>IFERROR(if($AA63=0,($W63/1.35)*BD63,BD63*$AA63),)</f>
        <v/>
      </c>
      <c r="CP63" s="130">
        <f>IFERROR(if($AA63=0,($W63/1.35)*BE63,BE63*$AA63),)</f>
        <v/>
      </c>
      <c r="CQ63" s="130">
        <f>IFERROR(if($AA63=0,($W63/1.35)*BF63,BF63*$AA63),)</f>
        <v/>
      </c>
      <c r="CR63" s="128">
        <f>IFERROR(if($AC63=0,($W63/0.74)*BG63,
BG63*$AC63),)</f>
        <v/>
      </c>
      <c r="CS63" s="128">
        <f>IFERROR(if($AC63=0,($W63/0.74)*BH63,
BH63*$AC63),)</f>
        <v/>
      </c>
      <c r="CT63" s="128">
        <f>IFERROR(if($AC63=0,($W63/0.74)*BI63,
BI63*$AC63),)</f>
        <v/>
      </c>
      <c r="CU63" s="128">
        <f>IFERROR(AI63*$V63,)</f>
        <v/>
      </c>
      <c r="CV63" s="128">
        <f>IFERROR(AJ63*$V63,)</f>
        <v/>
      </c>
      <c r="CW63" s="128">
        <f>IFERROR(AK63*$V63,)</f>
        <v/>
      </c>
      <c r="CX63" s="128">
        <f>IFERROR(AL63*$V63,)</f>
        <v/>
      </c>
      <c r="CY63" s="128">
        <f>IFERROR(AM63*$V63,)</f>
        <v/>
      </c>
      <c r="CZ63" s="128">
        <f>IFERROR(AN63*$V63,)</f>
        <v/>
      </c>
      <c r="DA63" s="128">
        <f>IFERROR(AO63*$V63,)</f>
        <v/>
      </c>
      <c r="DB63" s="128">
        <f>IFERROR(AP63*$V63,)</f>
        <v/>
      </c>
      <c r="DC63" s="128">
        <f>IFERROR(AQ63*$V63,)</f>
        <v/>
      </c>
      <c r="DD63" s="128">
        <f>IFERROR(AR63*$V63,)</f>
        <v/>
      </c>
      <c r="DE63" s="128">
        <f>IFERROR(AS63*$V63,)</f>
        <v/>
      </c>
      <c r="DF63" s="128">
        <f>IFERROR(AT63*$V63,)</f>
        <v/>
      </c>
      <c r="DG63" s="128">
        <f>IFERROR(AU63*$V63,)</f>
        <v/>
      </c>
      <c r="DH63" s="128">
        <f>IFERROR(AV63*$V63,)</f>
        <v/>
      </c>
      <c r="DI63" s="128">
        <f>IFERROR(AW63*$V63,)</f>
        <v/>
      </c>
      <c r="DJ63" s="128">
        <f>IFERROR(AX63*$V63,)</f>
        <v/>
      </c>
      <c r="DK63" s="128">
        <f>IFERROR(AY63*$V63,)</f>
        <v/>
      </c>
      <c r="DL63" s="128">
        <f>IFERROR(AZ63*$V63,)</f>
        <v/>
      </c>
      <c r="DM63" s="129">
        <f>IFERROR(if($X63=0,($V63/1.2)*BA63,
BA63*$X63),)</f>
        <v/>
      </c>
      <c r="DN63" s="129">
        <f>IFERROR(if($X63=0,($V63/1.2)*BB63,
BB63*$X63),)</f>
        <v/>
      </c>
      <c r="DO63" s="129">
        <f>IFERROR(if($X63=0,($V63/1.2)*BC63,
BC63*$X63),)</f>
        <v/>
      </c>
      <c r="DP63" s="130">
        <f>IFERROR(if($Z63=0,($V63/1.35)*BD63,
BD63*$Z63),)</f>
        <v/>
      </c>
      <c r="DQ63" s="130">
        <f>IFERROR(if($Z63=0,($V63/1.35)*BE63,
BE63*$Z63),)</f>
        <v/>
      </c>
      <c r="DR63" s="130">
        <f>IFERROR(if($Z63=0,($V63/1.35)*BF63,
BF63*$Z63),)</f>
        <v/>
      </c>
      <c r="DS63" s="128">
        <f>IFERROR(IF($AB63=0,($V63/0.74)*BG63,
BG63*$AB63),)</f>
        <v/>
      </c>
      <c r="DT63" s="128">
        <f>IFERROR(IF($AB63=0,($V63/0.74)*BH63,
BH63*$AB63),)</f>
        <v/>
      </c>
      <c r="DU63" s="128">
        <f>IFERROR(IF($AB63=0,($V63/0.74)*BI63,
BI63*$AB63),)</f>
        <v/>
      </c>
    </row>
    <row r="64" ht="60" customHeight="1" s="162">
      <c r="A64" s="115" t="n"/>
      <c r="B64" s="115" t="n"/>
      <c r="C64" s="115" t="n"/>
      <c r="D64" s="115" t="n"/>
      <c r="E64" s="115" t="n"/>
      <c r="F64" s="115" t="n"/>
      <c r="G64" s="115" t="n"/>
      <c r="H64" s="115" t="n"/>
      <c r="I64" s="115" t="n"/>
      <c r="J64" s="115" t="n"/>
      <c r="K64" s="115" t="n"/>
      <c r="L64" s="115" t="n"/>
      <c r="M64" s="115" t="n"/>
      <c r="N64" s="115" t="n"/>
      <c r="O64" s="115" t="n"/>
      <c r="P64" s="115" t="n"/>
      <c r="Q64" s="115" t="n"/>
      <c r="R64" s="115" t="n"/>
      <c r="S64" s="115" t="n"/>
      <c r="T64" s="115" t="n"/>
      <c r="U64" s="116" t="n"/>
      <c r="V64" s="116" t="n"/>
      <c r="W64" s="117" t="n"/>
      <c r="X64" s="118" t="n"/>
      <c r="Y64" s="119" t="n"/>
      <c r="Z64" s="120" t="n"/>
      <c r="AA64" s="121" t="n"/>
      <c r="AB64" s="122" t="n"/>
      <c r="AC64" s="117" t="n"/>
      <c r="AD64" s="123">
        <f>IF(SUM($AE64:$AH64)=0,"",SUM($AE64:$AH64))</f>
        <v/>
      </c>
      <c r="AE64" s="123">
        <f>iferror(IF(SUM($AI64:$AZ64)=0,"",SUM($AI64:$AZ64)),"")</f>
        <v/>
      </c>
      <c r="AF64" s="123">
        <f>iferror(IF(SUM($BA64:$BC64)=0,"",SUM($BA64:$BC64)),"")</f>
        <v/>
      </c>
      <c r="AG64" s="123">
        <f>iferror(IF(SUM($BD64:$BF64)=0,"",SUM($BD64:$BF64)),"")</f>
        <v/>
      </c>
      <c r="AH64" s="124">
        <f>iferror(IF(SUM($BG64:$BI64)=0,"",SUM($BG64:$BI64)),"")</f>
        <v/>
      </c>
      <c r="AI64" s="131" t="n"/>
      <c r="AJ64" s="132" t="n"/>
      <c r="AK64" s="132" t="n"/>
      <c r="AL64" s="132" t="n"/>
      <c r="AM64" s="132" t="n"/>
      <c r="AN64" s="132" t="n"/>
      <c r="AO64" s="132" t="n"/>
      <c r="AP64" s="132" t="n"/>
      <c r="AQ64" s="132" t="n"/>
      <c r="AR64" s="132" t="n"/>
      <c r="AS64" s="132" t="n"/>
      <c r="AT64" s="132" t="n"/>
      <c r="AU64" s="132" t="n"/>
      <c r="AV64" s="132" t="n"/>
      <c r="AW64" s="132" t="n"/>
      <c r="AX64" s="132" t="n"/>
      <c r="AY64" s="132" t="n"/>
      <c r="AZ64" s="133" t="n"/>
      <c r="BA64" s="131" t="n"/>
      <c r="BB64" s="132" t="n"/>
      <c r="BC64" s="133" t="n"/>
      <c r="BD64" s="131" t="n"/>
      <c r="BE64" s="132" t="n"/>
      <c r="BF64" s="133" t="n"/>
      <c r="BG64" s="131" t="n"/>
      <c r="BH64" s="132" t="n"/>
      <c r="BI64" s="132" t="n"/>
      <c r="BJ64" s="128">
        <f>iferror(SUM($BK64,($BL64*1.2),($BM64*1.35),($BN64*0.74)),)</f>
        <v/>
      </c>
      <c r="BK64" s="128">
        <f>IFERROR(SUM($BT64:$CK64),)</f>
        <v/>
      </c>
      <c r="BL64" s="129">
        <f>IFERROR(SUM($CL64:$CN64),)</f>
        <v/>
      </c>
      <c r="BM64" s="130">
        <f>IFERROR(SUM($CO64:$CQ64),)</f>
        <v/>
      </c>
      <c r="BN64" s="128">
        <f>IFERROR(SUM($CR64:$CT64),)</f>
        <v/>
      </c>
      <c r="BO64" s="128">
        <f>iferror(SUM($BP64,($BQ64*1.2),($BR64*1.35),($BS64*0.74)),)</f>
        <v/>
      </c>
      <c r="BP64" s="128">
        <f>IFERROR(SUM($CU64:$DL64),)</f>
        <v/>
      </c>
      <c r="BQ64" s="128">
        <f>IFERROR(SUM($DM64:$DO64),)</f>
        <v/>
      </c>
      <c r="BR64" s="128">
        <f>IFERROR(SUM($DP64:$DR64),)</f>
        <v/>
      </c>
      <c r="BS64" s="128">
        <f>IFERROR(SUM($DS64:$DU64),)</f>
        <v/>
      </c>
      <c r="BT64" s="128">
        <f>IFERROR(AI64*$W64,)</f>
        <v/>
      </c>
      <c r="BU64" s="128">
        <f>IFERROR(AJ64*$W64,)</f>
        <v/>
      </c>
      <c r="BV64" s="128">
        <f>IFERROR(AK64*$W64,)</f>
        <v/>
      </c>
      <c r="BW64" s="128">
        <f>IFERROR(AL64*$W64,)</f>
        <v/>
      </c>
      <c r="BX64" s="128">
        <f>IFERROR(AM64*$W64,)</f>
        <v/>
      </c>
      <c r="BY64" s="128">
        <f>IFERROR(AN64*$W64,)</f>
        <v/>
      </c>
      <c r="BZ64" s="128">
        <f>IFERROR(AO64*$W64,)</f>
        <v/>
      </c>
      <c r="CA64" s="128">
        <f>IFERROR(AP64*$W64,)</f>
        <v/>
      </c>
      <c r="CB64" s="128">
        <f>IFERROR(AQ64*$W64,)</f>
        <v/>
      </c>
      <c r="CC64" s="128">
        <f>IFERROR(AR64*$W64,)</f>
        <v/>
      </c>
      <c r="CD64" s="128">
        <f>IFERROR(AS64*$W64,)</f>
        <v/>
      </c>
      <c r="CE64" s="128">
        <f>IFERROR(AT64*$W64,)</f>
        <v/>
      </c>
      <c r="CF64" s="128">
        <f>IFERROR(AU64*$W64,)</f>
        <v/>
      </c>
      <c r="CG64" s="128">
        <f>IFERROR(AV64*$W64,)</f>
        <v/>
      </c>
      <c r="CH64" s="128">
        <f>IFERROR(AW64*$W64,)</f>
        <v/>
      </c>
      <c r="CI64" s="128">
        <f>IFERROR(AX64*$W64,)</f>
        <v/>
      </c>
      <c r="CJ64" s="128">
        <f>IFERROR(AY64*$W64,)</f>
        <v/>
      </c>
      <c r="CK64" s="128">
        <f>IFERROR(AZ64*$W64,)</f>
        <v/>
      </c>
      <c r="CL64" s="129">
        <f>IFERROR(if($Y64=0,BA64*($W64/1.2),BA64*$Y64),"")</f>
        <v/>
      </c>
      <c r="CM64" s="129">
        <f>IFERROR(if($Y64=0,BB64*($W64/1.2),BB64*$Y64),"")</f>
        <v/>
      </c>
      <c r="CN64" s="129">
        <f>IFERROR(if($Y64=0,BC64*($W64/1.2),BC64*$Y64),"")</f>
        <v/>
      </c>
      <c r="CO64" s="130">
        <f>IFERROR(if($AA64=0,($W64/1.35)*BD64,BD64*$AA64),)</f>
        <v/>
      </c>
      <c r="CP64" s="130">
        <f>IFERROR(if($AA64=0,($W64/1.35)*BE64,BE64*$AA64),)</f>
        <v/>
      </c>
      <c r="CQ64" s="130">
        <f>IFERROR(if($AA64=0,($W64/1.35)*BF64,BF64*$AA64),)</f>
        <v/>
      </c>
      <c r="CR64" s="128">
        <f>IFERROR(if($AC64=0,($W64/0.74)*BG64,
BG64*$AC64),)</f>
        <v/>
      </c>
      <c r="CS64" s="128">
        <f>IFERROR(if($AC64=0,($W64/0.74)*BH64,
BH64*$AC64),)</f>
        <v/>
      </c>
      <c r="CT64" s="128">
        <f>IFERROR(if($AC64=0,($W64/0.74)*BI64,
BI64*$AC64),)</f>
        <v/>
      </c>
      <c r="CU64" s="128">
        <f>IFERROR(AI64*$V64,)</f>
        <v/>
      </c>
      <c r="CV64" s="128">
        <f>IFERROR(AJ64*$V64,)</f>
        <v/>
      </c>
      <c r="CW64" s="128">
        <f>IFERROR(AK64*$V64,)</f>
        <v/>
      </c>
      <c r="CX64" s="128">
        <f>IFERROR(AL64*$V64,)</f>
        <v/>
      </c>
      <c r="CY64" s="128">
        <f>IFERROR(AM64*$V64,)</f>
        <v/>
      </c>
      <c r="CZ64" s="128">
        <f>IFERROR(AN64*$V64,)</f>
        <v/>
      </c>
      <c r="DA64" s="128">
        <f>IFERROR(AO64*$V64,)</f>
        <v/>
      </c>
      <c r="DB64" s="128">
        <f>IFERROR(AP64*$V64,)</f>
        <v/>
      </c>
      <c r="DC64" s="128">
        <f>IFERROR(AQ64*$V64,)</f>
        <v/>
      </c>
      <c r="DD64" s="128">
        <f>IFERROR(AR64*$V64,)</f>
        <v/>
      </c>
      <c r="DE64" s="128">
        <f>IFERROR(AS64*$V64,)</f>
        <v/>
      </c>
      <c r="DF64" s="128">
        <f>IFERROR(AT64*$V64,)</f>
        <v/>
      </c>
      <c r="DG64" s="128">
        <f>IFERROR(AU64*$V64,)</f>
        <v/>
      </c>
      <c r="DH64" s="128">
        <f>IFERROR(AV64*$V64,)</f>
        <v/>
      </c>
      <c r="DI64" s="128">
        <f>IFERROR(AW64*$V64,)</f>
        <v/>
      </c>
      <c r="DJ64" s="128">
        <f>IFERROR(AX64*$V64,)</f>
        <v/>
      </c>
      <c r="DK64" s="128">
        <f>IFERROR(AY64*$V64,)</f>
        <v/>
      </c>
      <c r="DL64" s="128">
        <f>IFERROR(AZ64*$V64,)</f>
        <v/>
      </c>
      <c r="DM64" s="129">
        <f>IFERROR(if($X64=0,($V64/1.2)*BA64,
BA64*$X64),)</f>
        <v/>
      </c>
      <c r="DN64" s="129">
        <f>IFERROR(if($X64=0,($V64/1.2)*BB64,
BB64*$X64),)</f>
        <v/>
      </c>
      <c r="DO64" s="129">
        <f>IFERROR(if($X64=0,($V64/1.2)*BC64,
BC64*$X64),)</f>
        <v/>
      </c>
      <c r="DP64" s="130">
        <f>IFERROR(if($Z64=0,($V64/1.35)*BD64,
BD64*$Z64),)</f>
        <v/>
      </c>
      <c r="DQ64" s="130">
        <f>IFERROR(if($Z64=0,($V64/1.35)*BE64,
BE64*$Z64),)</f>
        <v/>
      </c>
      <c r="DR64" s="130">
        <f>IFERROR(if($Z64=0,($V64/1.35)*BF64,
BF64*$Z64),)</f>
        <v/>
      </c>
      <c r="DS64" s="128">
        <f>IFERROR(IF($AB64=0,($V64/0.74)*BG64,
BG64*$AB64),)</f>
        <v/>
      </c>
      <c r="DT64" s="128">
        <f>IFERROR(IF($AB64=0,($V64/0.74)*BH64,
BH64*$AB64),)</f>
        <v/>
      </c>
      <c r="DU64" s="128">
        <f>IFERROR(IF($AB64=0,($V64/0.74)*BI64,
BI64*$AB64),)</f>
        <v/>
      </c>
    </row>
    <row r="65" ht="60" customHeight="1" s="162">
      <c r="A65" s="115" t="n"/>
      <c r="B65" s="115" t="n"/>
      <c r="C65" s="115" t="n"/>
      <c r="D65" s="115" t="n"/>
      <c r="E65" s="115" t="n"/>
      <c r="F65" s="115" t="n"/>
      <c r="G65" s="115" t="n"/>
      <c r="H65" s="115" t="n"/>
      <c r="I65" s="115" t="n"/>
      <c r="J65" s="115" t="n"/>
      <c r="K65" s="115" t="n"/>
      <c r="L65" s="115" t="n"/>
      <c r="M65" s="115" t="n"/>
      <c r="N65" s="115" t="n"/>
      <c r="O65" s="115" t="n"/>
      <c r="P65" s="115" t="n"/>
      <c r="Q65" s="115" t="n"/>
      <c r="R65" s="115" t="n"/>
      <c r="S65" s="115" t="n"/>
      <c r="T65" s="115" t="n"/>
      <c r="U65" s="116" t="n"/>
      <c r="V65" s="116" t="n"/>
      <c r="W65" s="117" t="n"/>
      <c r="X65" s="118" t="n"/>
      <c r="Y65" s="119" t="n"/>
      <c r="Z65" s="120" t="n"/>
      <c r="AA65" s="121" t="n"/>
      <c r="AB65" s="122" t="n"/>
      <c r="AC65" s="117" t="n"/>
      <c r="AD65" s="123">
        <f>IF(SUM($AE65:$AH65)=0,"",SUM($AE65:$AH65))</f>
        <v/>
      </c>
      <c r="AE65" s="123">
        <f>iferror(IF(SUM($AI65:$AZ65)=0,"",SUM($AI65:$AZ65)),"")</f>
        <v/>
      </c>
      <c r="AF65" s="123">
        <f>iferror(IF(SUM($BA65:$BC65)=0,"",SUM($BA65:$BC65)),"")</f>
        <v/>
      </c>
      <c r="AG65" s="123">
        <f>iferror(IF(SUM($BD65:$BF65)=0,"",SUM($BD65:$BF65)),"")</f>
        <v/>
      </c>
      <c r="AH65" s="124">
        <f>iferror(IF(SUM($BG65:$BI65)=0,"",SUM($BG65:$BI65)),"")</f>
        <v/>
      </c>
      <c r="AI65" s="131" t="n"/>
      <c r="AJ65" s="132" t="n"/>
      <c r="AK65" s="132" t="n"/>
      <c r="AL65" s="132" t="n"/>
      <c r="AM65" s="132" t="n"/>
      <c r="AN65" s="132" t="n"/>
      <c r="AO65" s="132" t="n"/>
      <c r="AP65" s="132" t="n"/>
      <c r="AQ65" s="132" t="n"/>
      <c r="AR65" s="132" t="n"/>
      <c r="AS65" s="132" t="n"/>
      <c r="AT65" s="132" t="n"/>
      <c r="AU65" s="132" t="n"/>
      <c r="AV65" s="132" t="n"/>
      <c r="AW65" s="132" t="n"/>
      <c r="AX65" s="132" t="n"/>
      <c r="AY65" s="132" t="n"/>
      <c r="AZ65" s="133" t="n"/>
      <c r="BA65" s="131" t="n"/>
      <c r="BB65" s="132" t="n"/>
      <c r="BC65" s="133" t="n"/>
      <c r="BD65" s="131" t="n"/>
      <c r="BE65" s="132" t="n"/>
      <c r="BF65" s="133" t="n"/>
      <c r="BG65" s="131" t="n"/>
      <c r="BH65" s="132" t="n"/>
      <c r="BI65" s="132" t="n"/>
      <c r="BJ65" s="128">
        <f>iferror(SUM($BK65,($BL65*1.2),($BM65*1.35),($BN65*0.74)),)</f>
        <v/>
      </c>
      <c r="BK65" s="128">
        <f>IFERROR(SUM($BT65:$CK65),)</f>
        <v/>
      </c>
      <c r="BL65" s="129">
        <f>IFERROR(SUM($CL65:$CN65),)</f>
        <v/>
      </c>
      <c r="BM65" s="130">
        <f>IFERROR(SUM($CO65:$CQ65),)</f>
        <v/>
      </c>
      <c r="BN65" s="128">
        <f>IFERROR(SUM($CR65:$CT65),)</f>
        <v/>
      </c>
      <c r="BO65" s="128">
        <f>iferror(SUM($BP65,($BQ65*1.2),($BR65*1.35),($BS65*0.74)),)</f>
        <v/>
      </c>
      <c r="BP65" s="128">
        <f>IFERROR(SUM($CU65:$DL65),)</f>
        <v/>
      </c>
      <c r="BQ65" s="128">
        <f>IFERROR(SUM($DM65:$DO65),)</f>
        <v/>
      </c>
      <c r="BR65" s="128">
        <f>IFERROR(SUM($DP65:$DR65),)</f>
        <v/>
      </c>
      <c r="BS65" s="128">
        <f>IFERROR(SUM($DS65:$DU65),)</f>
        <v/>
      </c>
      <c r="BT65" s="128">
        <f>IFERROR(AI65*$W65,)</f>
        <v/>
      </c>
      <c r="BU65" s="128">
        <f>IFERROR(AJ65*$W65,)</f>
        <v/>
      </c>
      <c r="BV65" s="128">
        <f>IFERROR(AK65*$W65,)</f>
        <v/>
      </c>
      <c r="BW65" s="128">
        <f>IFERROR(AL65*$W65,)</f>
        <v/>
      </c>
      <c r="BX65" s="128">
        <f>IFERROR(AM65*$W65,)</f>
        <v/>
      </c>
      <c r="BY65" s="128">
        <f>IFERROR(AN65*$W65,)</f>
        <v/>
      </c>
      <c r="BZ65" s="128">
        <f>IFERROR(AO65*$W65,)</f>
        <v/>
      </c>
      <c r="CA65" s="128">
        <f>IFERROR(AP65*$W65,)</f>
        <v/>
      </c>
      <c r="CB65" s="128">
        <f>IFERROR(AQ65*$W65,)</f>
        <v/>
      </c>
      <c r="CC65" s="128">
        <f>IFERROR(AR65*$W65,)</f>
        <v/>
      </c>
      <c r="CD65" s="128">
        <f>IFERROR(AS65*$W65,)</f>
        <v/>
      </c>
      <c r="CE65" s="128">
        <f>IFERROR(AT65*$W65,)</f>
        <v/>
      </c>
      <c r="CF65" s="128">
        <f>IFERROR(AU65*$W65,)</f>
        <v/>
      </c>
      <c r="CG65" s="128">
        <f>IFERROR(AV65*$W65,)</f>
        <v/>
      </c>
      <c r="CH65" s="128">
        <f>IFERROR(AW65*$W65,)</f>
        <v/>
      </c>
      <c r="CI65" s="128">
        <f>IFERROR(AX65*$W65,)</f>
        <v/>
      </c>
      <c r="CJ65" s="128">
        <f>IFERROR(AY65*$W65,)</f>
        <v/>
      </c>
      <c r="CK65" s="128">
        <f>IFERROR(AZ65*$W65,)</f>
        <v/>
      </c>
      <c r="CL65" s="129">
        <f>IFERROR(if($Y65=0,BA65*($W65/1.2),BA65*$Y65),"")</f>
        <v/>
      </c>
      <c r="CM65" s="129">
        <f>IFERROR(if($Y65=0,BB65*($W65/1.2),BB65*$Y65),"")</f>
        <v/>
      </c>
      <c r="CN65" s="129">
        <f>IFERROR(if($Y65=0,BC65*($W65/1.2),BC65*$Y65),"")</f>
        <v/>
      </c>
      <c r="CO65" s="130">
        <f>IFERROR(if($AA65=0,($W65/1.35)*BD65,BD65*$AA65),)</f>
        <v/>
      </c>
      <c r="CP65" s="130">
        <f>IFERROR(if($AA65=0,($W65/1.35)*BE65,BE65*$AA65),)</f>
        <v/>
      </c>
      <c r="CQ65" s="130">
        <f>IFERROR(if($AA65=0,($W65/1.35)*BF65,BF65*$AA65),)</f>
        <v/>
      </c>
      <c r="CR65" s="128">
        <f>IFERROR(if($AC65=0,($W65/0.74)*BG65,
BG65*$AC65),)</f>
        <v/>
      </c>
      <c r="CS65" s="128">
        <f>IFERROR(if($AC65=0,($W65/0.74)*BH65,
BH65*$AC65),)</f>
        <v/>
      </c>
      <c r="CT65" s="128">
        <f>IFERROR(if($AC65=0,($W65/0.74)*BI65,
BI65*$AC65),)</f>
        <v/>
      </c>
      <c r="CU65" s="128">
        <f>IFERROR(AI65*$V65,)</f>
        <v/>
      </c>
      <c r="CV65" s="128">
        <f>IFERROR(AJ65*$V65,)</f>
        <v/>
      </c>
      <c r="CW65" s="128">
        <f>IFERROR(AK65*$V65,)</f>
        <v/>
      </c>
      <c r="CX65" s="128">
        <f>IFERROR(AL65*$V65,)</f>
        <v/>
      </c>
      <c r="CY65" s="128">
        <f>IFERROR(AM65*$V65,)</f>
        <v/>
      </c>
      <c r="CZ65" s="128">
        <f>IFERROR(AN65*$V65,)</f>
        <v/>
      </c>
      <c r="DA65" s="128">
        <f>IFERROR(AO65*$V65,)</f>
        <v/>
      </c>
      <c r="DB65" s="128">
        <f>IFERROR(AP65*$V65,)</f>
        <v/>
      </c>
      <c r="DC65" s="128">
        <f>IFERROR(AQ65*$V65,)</f>
        <v/>
      </c>
      <c r="DD65" s="128">
        <f>IFERROR(AR65*$V65,)</f>
        <v/>
      </c>
      <c r="DE65" s="128">
        <f>IFERROR(AS65*$V65,)</f>
        <v/>
      </c>
      <c r="DF65" s="128">
        <f>IFERROR(AT65*$V65,)</f>
        <v/>
      </c>
      <c r="DG65" s="128">
        <f>IFERROR(AU65*$V65,)</f>
        <v/>
      </c>
      <c r="DH65" s="128">
        <f>IFERROR(AV65*$V65,)</f>
        <v/>
      </c>
      <c r="DI65" s="128">
        <f>IFERROR(AW65*$V65,)</f>
        <v/>
      </c>
      <c r="DJ65" s="128">
        <f>IFERROR(AX65*$V65,)</f>
        <v/>
      </c>
      <c r="DK65" s="128">
        <f>IFERROR(AY65*$V65,)</f>
        <v/>
      </c>
      <c r="DL65" s="128">
        <f>IFERROR(AZ65*$V65,)</f>
        <v/>
      </c>
      <c r="DM65" s="129">
        <f>IFERROR(if($X65=0,($V65/1.2)*BA65,
BA65*$X65),)</f>
        <v/>
      </c>
      <c r="DN65" s="129">
        <f>IFERROR(if($X65=0,($V65/1.2)*BB65,
BB65*$X65),)</f>
        <v/>
      </c>
      <c r="DO65" s="129">
        <f>IFERROR(if($X65=0,($V65/1.2)*BC65,
BC65*$X65),)</f>
        <v/>
      </c>
      <c r="DP65" s="130">
        <f>IFERROR(if($Z65=0,($V65/1.35)*BD65,
BD65*$Z65),)</f>
        <v/>
      </c>
      <c r="DQ65" s="130">
        <f>IFERROR(if($Z65=0,($V65/1.35)*BE65,
BE65*$Z65),)</f>
        <v/>
      </c>
      <c r="DR65" s="130">
        <f>IFERROR(if($Z65=0,($V65/1.35)*BF65,
BF65*$Z65),)</f>
        <v/>
      </c>
      <c r="DS65" s="128">
        <f>IFERROR(IF($AB65=0,($V65/0.74)*BG65,
BG65*$AB65),)</f>
        <v/>
      </c>
      <c r="DT65" s="128">
        <f>IFERROR(IF($AB65=0,($V65/0.74)*BH65,
BH65*$AB65),)</f>
        <v/>
      </c>
      <c r="DU65" s="128">
        <f>IFERROR(IF($AB65=0,($V65/0.74)*BI65,
BI65*$AB65),)</f>
        <v/>
      </c>
    </row>
    <row r="66" ht="60" customHeight="1" s="162">
      <c r="A66" s="115" t="n"/>
      <c r="B66" s="115" t="n"/>
      <c r="C66" s="115" t="n"/>
      <c r="D66" s="115" t="n"/>
      <c r="E66" s="115" t="n"/>
      <c r="F66" s="115" t="n"/>
      <c r="G66" s="115" t="n"/>
      <c r="H66" s="115" t="n"/>
      <c r="I66" s="115" t="n"/>
      <c r="J66" s="115" t="n"/>
      <c r="K66" s="115" t="n"/>
      <c r="L66" s="115" t="n"/>
      <c r="M66" s="115" t="n"/>
      <c r="N66" s="115" t="n"/>
      <c r="O66" s="115" t="n"/>
      <c r="P66" s="115" t="n"/>
      <c r="Q66" s="115" t="n"/>
      <c r="R66" s="115" t="n"/>
      <c r="S66" s="115" t="n"/>
      <c r="T66" s="115" t="n"/>
      <c r="U66" s="116" t="n"/>
      <c r="V66" s="116" t="n"/>
      <c r="W66" s="117" t="n"/>
      <c r="X66" s="118" t="n"/>
      <c r="Y66" s="119" t="n"/>
      <c r="Z66" s="120" t="n"/>
      <c r="AA66" s="121" t="n"/>
      <c r="AB66" s="122" t="n"/>
      <c r="AC66" s="117" t="n"/>
      <c r="AD66" s="123">
        <f>IF(SUM($AE66:$AH66)=0,"",SUM($AE66:$AH66))</f>
        <v/>
      </c>
      <c r="AE66" s="123">
        <f>iferror(IF(SUM($AI66:$AZ66)=0,"",SUM($AI66:$AZ66)),"")</f>
        <v/>
      </c>
      <c r="AF66" s="123">
        <f>iferror(IF(SUM($BA66:$BC66)=0,"",SUM($BA66:$BC66)),"")</f>
        <v/>
      </c>
      <c r="AG66" s="123">
        <f>iferror(IF(SUM($BD66:$BF66)=0,"",SUM($BD66:$BF66)),"")</f>
        <v/>
      </c>
      <c r="AH66" s="124">
        <f>iferror(IF(SUM($BG66:$BI66)=0,"",SUM($BG66:$BI66)),"")</f>
        <v/>
      </c>
      <c r="AI66" s="131" t="n"/>
      <c r="AJ66" s="132" t="n"/>
      <c r="AK66" s="132" t="n"/>
      <c r="AL66" s="132" t="n"/>
      <c r="AM66" s="132" t="n"/>
      <c r="AN66" s="132" t="n"/>
      <c r="AO66" s="132" t="n"/>
      <c r="AP66" s="132" t="n"/>
      <c r="AQ66" s="132" t="n"/>
      <c r="AR66" s="132" t="n"/>
      <c r="AS66" s="132" t="n"/>
      <c r="AT66" s="132" t="n"/>
      <c r="AU66" s="132" t="n"/>
      <c r="AV66" s="132" t="n"/>
      <c r="AW66" s="132" t="n"/>
      <c r="AX66" s="132" t="n"/>
      <c r="AY66" s="132" t="n"/>
      <c r="AZ66" s="133" t="n"/>
      <c r="BA66" s="131" t="n"/>
      <c r="BB66" s="132" t="n"/>
      <c r="BC66" s="133" t="n"/>
      <c r="BD66" s="131" t="n"/>
      <c r="BE66" s="132" t="n"/>
      <c r="BF66" s="133" t="n"/>
      <c r="BG66" s="131" t="n"/>
      <c r="BH66" s="132" t="n"/>
      <c r="BI66" s="132" t="n"/>
      <c r="BJ66" s="128">
        <f>iferror(SUM($BK66,($BL66*1.2),($BM66*1.35),($BN66*0.74)),)</f>
        <v/>
      </c>
      <c r="BK66" s="128">
        <f>IFERROR(SUM($BT66:$CK66),)</f>
        <v/>
      </c>
      <c r="BL66" s="129">
        <f>IFERROR(SUM($CL66:$CN66),)</f>
        <v/>
      </c>
      <c r="BM66" s="130">
        <f>IFERROR(SUM($CO66:$CQ66),)</f>
        <v/>
      </c>
      <c r="BN66" s="128">
        <f>IFERROR(SUM($CR66:$CT66),)</f>
        <v/>
      </c>
      <c r="BO66" s="128">
        <f>iferror(SUM($BP66,($BQ66*1.2),($BR66*1.35),($BS66*0.74)),)</f>
        <v/>
      </c>
      <c r="BP66" s="128">
        <f>IFERROR(SUM($CU66:$DL66),)</f>
        <v/>
      </c>
      <c r="BQ66" s="128">
        <f>IFERROR(SUM($DM66:$DO66),)</f>
        <v/>
      </c>
      <c r="BR66" s="128">
        <f>IFERROR(SUM($DP66:$DR66),)</f>
        <v/>
      </c>
      <c r="BS66" s="128">
        <f>IFERROR(SUM($DS66:$DU66),)</f>
        <v/>
      </c>
      <c r="BT66" s="128">
        <f>IFERROR(AI66*$W66,)</f>
        <v/>
      </c>
      <c r="BU66" s="128">
        <f>IFERROR(AJ66*$W66,)</f>
        <v/>
      </c>
      <c r="BV66" s="128">
        <f>IFERROR(AK66*$W66,)</f>
        <v/>
      </c>
      <c r="BW66" s="128">
        <f>IFERROR(AL66*$W66,)</f>
        <v/>
      </c>
      <c r="BX66" s="128">
        <f>IFERROR(AM66*$W66,)</f>
        <v/>
      </c>
      <c r="BY66" s="128">
        <f>IFERROR(AN66*$W66,)</f>
        <v/>
      </c>
      <c r="BZ66" s="128">
        <f>IFERROR(AO66*$W66,)</f>
        <v/>
      </c>
      <c r="CA66" s="128">
        <f>IFERROR(AP66*$W66,)</f>
        <v/>
      </c>
      <c r="CB66" s="128">
        <f>IFERROR(AQ66*$W66,)</f>
        <v/>
      </c>
      <c r="CC66" s="128">
        <f>IFERROR(AR66*$W66,)</f>
        <v/>
      </c>
      <c r="CD66" s="128">
        <f>IFERROR(AS66*$W66,)</f>
        <v/>
      </c>
      <c r="CE66" s="128">
        <f>IFERROR(AT66*$W66,)</f>
        <v/>
      </c>
      <c r="CF66" s="128">
        <f>IFERROR(AU66*$W66,)</f>
        <v/>
      </c>
      <c r="CG66" s="128">
        <f>IFERROR(AV66*$W66,)</f>
        <v/>
      </c>
      <c r="CH66" s="128">
        <f>IFERROR(AW66*$W66,)</f>
        <v/>
      </c>
      <c r="CI66" s="128">
        <f>IFERROR(AX66*$W66,)</f>
        <v/>
      </c>
      <c r="CJ66" s="128">
        <f>IFERROR(AY66*$W66,)</f>
        <v/>
      </c>
      <c r="CK66" s="128">
        <f>IFERROR(AZ66*$W66,)</f>
        <v/>
      </c>
      <c r="CL66" s="129">
        <f>IFERROR(if($Y66=0,BA66*($W66/1.2),BA66*$Y66),"")</f>
        <v/>
      </c>
      <c r="CM66" s="129">
        <f>IFERROR(if($Y66=0,BB66*($W66/1.2),BB66*$Y66),"")</f>
        <v/>
      </c>
      <c r="CN66" s="129">
        <f>IFERROR(if($Y66=0,BC66*($W66/1.2),BC66*$Y66),"")</f>
        <v/>
      </c>
      <c r="CO66" s="130">
        <f>IFERROR(if($AA66=0,($W66/1.35)*BD66,BD66*$AA66),)</f>
        <v/>
      </c>
      <c r="CP66" s="130">
        <f>IFERROR(if($AA66=0,($W66/1.35)*BE66,BE66*$AA66),)</f>
        <v/>
      </c>
      <c r="CQ66" s="130">
        <f>IFERROR(if($AA66=0,($W66/1.35)*BF66,BF66*$AA66),)</f>
        <v/>
      </c>
      <c r="CR66" s="128">
        <f>IFERROR(if($AC66=0,($W66/0.74)*BG66,
BG66*$AC66),)</f>
        <v/>
      </c>
      <c r="CS66" s="128">
        <f>IFERROR(if($AC66=0,($W66/0.74)*BH66,
BH66*$AC66),)</f>
        <v/>
      </c>
      <c r="CT66" s="128">
        <f>IFERROR(if($AC66=0,($W66/0.74)*BI66,
BI66*$AC66),)</f>
        <v/>
      </c>
      <c r="CU66" s="128">
        <f>IFERROR(AI66*$V66,)</f>
        <v/>
      </c>
      <c r="CV66" s="128">
        <f>IFERROR(AJ66*$V66,)</f>
        <v/>
      </c>
      <c r="CW66" s="128">
        <f>IFERROR(AK66*$V66,)</f>
        <v/>
      </c>
      <c r="CX66" s="128">
        <f>IFERROR(AL66*$V66,)</f>
        <v/>
      </c>
      <c r="CY66" s="128">
        <f>IFERROR(AM66*$V66,)</f>
        <v/>
      </c>
      <c r="CZ66" s="128">
        <f>IFERROR(AN66*$V66,)</f>
        <v/>
      </c>
      <c r="DA66" s="128">
        <f>IFERROR(AO66*$V66,)</f>
        <v/>
      </c>
      <c r="DB66" s="128">
        <f>IFERROR(AP66*$V66,)</f>
        <v/>
      </c>
      <c r="DC66" s="128">
        <f>IFERROR(AQ66*$V66,)</f>
        <v/>
      </c>
      <c r="DD66" s="128">
        <f>IFERROR(AR66*$V66,)</f>
        <v/>
      </c>
      <c r="DE66" s="128">
        <f>IFERROR(AS66*$V66,)</f>
        <v/>
      </c>
      <c r="DF66" s="128">
        <f>IFERROR(AT66*$V66,)</f>
        <v/>
      </c>
      <c r="DG66" s="128">
        <f>IFERROR(AU66*$V66,)</f>
        <v/>
      </c>
      <c r="DH66" s="128">
        <f>IFERROR(AV66*$V66,)</f>
        <v/>
      </c>
      <c r="DI66" s="128">
        <f>IFERROR(AW66*$V66,)</f>
        <v/>
      </c>
      <c r="DJ66" s="128">
        <f>IFERROR(AX66*$V66,)</f>
        <v/>
      </c>
      <c r="DK66" s="128">
        <f>IFERROR(AY66*$V66,)</f>
        <v/>
      </c>
      <c r="DL66" s="128">
        <f>IFERROR(AZ66*$V66,)</f>
        <v/>
      </c>
      <c r="DM66" s="129">
        <f>IFERROR(if($X66=0,($V66/1.2)*BA66,
BA66*$X66),)</f>
        <v/>
      </c>
      <c r="DN66" s="129">
        <f>IFERROR(if($X66=0,($V66/1.2)*BB66,
BB66*$X66),)</f>
        <v/>
      </c>
      <c r="DO66" s="129">
        <f>IFERROR(if($X66=0,($V66/1.2)*BC66,
BC66*$X66),)</f>
        <v/>
      </c>
      <c r="DP66" s="130">
        <f>IFERROR(if($Z66=0,($V66/1.35)*BD66,
BD66*$Z66),)</f>
        <v/>
      </c>
      <c r="DQ66" s="130">
        <f>IFERROR(if($Z66=0,($V66/1.35)*BE66,
BE66*$Z66),)</f>
        <v/>
      </c>
      <c r="DR66" s="130">
        <f>IFERROR(if($Z66=0,($V66/1.35)*BF66,
BF66*$Z66),)</f>
        <v/>
      </c>
      <c r="DS66" s="128">
        <f>IFERROR(IF($AB66=0,($V66/0.74)*BG66,
BG66*$AB66),)</f>
        <v/>
      </c>
      <c r="DT66" s="128">
        <f>IFERROR(IF($AB66=0,($V66/0.74)*BH66,
BH66*$AB66),)</f>
        <v/>
      </c>
      <c r="DU66" s="128">
        <f>IFERROR(IF($AB66=0,($V66/0.74)*BI66,
BI66*$AB66),)</f>
        <v/>
      </c>
    </row>
    <row r="67" ht="60" customHeight="1" s="162">
      <c r="A67" s="115" t="n"/>
      <c r="B67" s="115" t="n"/>
      <c r="C67" s="115" t="n"/>
      <c r="D67" s="115" t="n"/>
      <c r="E67" s="115" t="n"/>
      <c r="F67" s="115" t="n"/>
      <c r="G67" s="115" t="n"/>
      <c r="H67" s="115" t="n"/>
      <c r="I67" s="115" t="n"/>
      <c r="J67" s="115" t="n"/>
      <c r="K67" s="115" t="n"/>
      <c r="L67" s="115" t="n"/>
      <c r="M67" s="115" t="n"/>
      <c r="N67" s="115" t="n"/>
      <c r="O67" s="115" t="n"/>
      <c r="P67" s="115" t="n"/>
      <c r="Q67" s="115" t="n"/>
      <c r="R67" s="115" t="n"/>
      <c r="S67" s="115" t="n"/>
      <c r="T67" s="115" t="n"/>
      <c r="U67" s="116" t="n"/>
      <c r="V67" s="116" t="n"/>
      <c r="W67" s="117" t="n"/>
      <c r="X67" s="118" t="n"/>
      <c r="Y67" s="119" t="n"/>
      <c r="Z67" s="120" t="n"/>
      <c r="AA67" s="121" t="n"/>
      <c r="AB67" s="122" t="n"/>
      <c r="AC67" s="117" t="n"/>
      <c r="AD67" s="123">
        <f>IF(SUM($AE67:$AH67)=0,"",SUM($AE67:$AH67))</f>
        <v/>
      </c>
      <c r="AE67" s="123">
        <f>iferror(IF(SUM($AI67:$AZ67)=0,"",SUM($AI67:$AZ67)),"")</f>
        <v/>
      </c>
      <c r="AF67" s="123">
        <f>iferror(IF(SUM($BA67:$BC67)=0,"",SUM($BA67:$BC67)),"")</f>
        <v/>
      </c>
      <c r="AG67" s="123">
        <f>iferror(IF(SUM($BD67:$BF67)=0,"",SUM($BD67:$BF67)),"")</f>
        <v/>
      </c>
      <c r="AH67" s="124">
        <f>iferror(IF(SUM($BG67:$BI67)=0,"",SUM($BG67:$BI67)),"")</f>
        <v/>
      </c>
      <c r="AI67" s="131" t="n"/>
      <c r="AJ67" s="132" t="n"/>
      <c r="AK67" s="132" t="n"/>
      <c r="AL67" s="132" t="n"/>
      <c r="AM67" s="132" t="n"/>
      <c r="AN67" s="132" t="n"/>
      <c r="AO67" s="132" t="n"/>
      <c r="AP67" s="132" t="n"/>
      <c r="AQ67" s="132" t="n"/>
      <c r="AR67" s="132" t="n"/>
      <c r="AS67" s="132" t="n"/>
      <c r="AT67" s="132" t="n"/>
      <c r="AU67" s="132" t="n"/>
      <c r="AV67" s="132" t="n"/>
      <c r="AW67" s="132" t="n"/>
      <c r="AX67" s="132" t="n"/>
      <c r="AY67" s="132" t="n"/>
      <c r="AZ67" s="133" t="n"/>
      <c r="BA67" s="131" t="n"/>
      <c r="BB67" s="132" t="n"/>
      <c r="BC67" s="133" t="n"/>
      <c r="BD67" s="131" t="n"/>
      <c r="BE67" s="132" t="n"/>
      <c r="BF67" s="133" t="n"/>
      <c r="BG67" s="131" t="n"/>
      <c r="BH67" s="132" t="n"/>
      <c r="BI67" s="132" t="n"/>
      <c r="BJ67" s="128">
        <f>iferror(SUM($BK67,($BL67*1.2),($BM67*1.35),($BN67*0.74)),)</f>
        <v/>
      </c>
      <c r="BK67" s="128">
        <f>IFERROR(SUM($BT67:$CK67),)</f>
        <v/>
      </c>
      <c r="BL67" s="129">
        <f>IFERROR(SUM($CL67:$CN67),)</f>
        <v/>
      </c>
      <c r="BM67" s="130">
        <f>IFERROR(SUM($CO67:$CQ67),)</f>
        <v/>
      </c>
      <c r="BN67" s="128">
        <f>IFERROR(SUM($CR67:$CT67),)</f>
        <v/>
      </c>
      <c r="BO67" s="128">
        <f>iferror(SUM($BP67,($BQ67*1.2),($BR67*1.35),($BS67*0.74)),)</f>
        <v/>
      </c>
      <c r="BP67" s="128">
        <f>IFERROR(SUM($CU67:$DL67),)</f>
        <v/>
      </c>
      <c r="BQ67" s="128">
        <f>IFERROR(SUM($DM67:$DO67),)</f>
        <v/>
      </c>
      <c r="BR67" s="128">
        <f>IFERROR(SUM($DP67:$DR67),)</f>
        <v/>
      </c>
      <c r="BS67" s="128">
        <f>IFERROR(SUM($DS67:$DU67),)</f>
        <v/>
      </c>
      <c r="BT67" s="128">
        <f>IFERROR(AI67*$W67,)</f>
        <v/>
      </c>
      <c r="BU67" s="128">
        <f>IFERROR(AJ67*$W67,)</f>
        <v/>
      </c>
      <c r="BV67" s="128">
        <f>IFERROR(AK67*$W67,)</f>
        <v/>
      </c>
      <c r="BW67" s="128">
        <f>IFERROR(AL67*$W67,)</f>
        <v/>
      </c>
      <c r="BX67" s="128">
        <f>IFERROR(AM67*$W67,)</f>
        <v/>
      </c>
      <c r="BY67" s="128">
        <f>IFERROR(AN67*$W67,)</f>
        <v/>
      </c>
      <c r="BZ67" s="128">
        <f>IFERROR(AO67*$W67,)</f>
        <v/>
      </c>
      <c r="CA67" s="128">
        <f>IFERROR(AP67*$W67,)</f>
        <v/>
      </c>
      <c r="CB67" s="128">
        <f>IFERROR(AQ67*$W67,)</f>
        <v/>
      </c>
      <c r="CC67" s="128">
        <f>IFERROR(AR67*$W67,)</f>
        <v/>
      </c>
      <c r="CD67" s="128">
        <f>IFERROR(AS67*$W67,)</f>
        <v/>
      </c>
      <c r="CE67" s="128">
        <f>IFERROR(AT67*$W67,)</f>
        <v/>
      </c>
      <c r="CF67" s="128">
        <f>IFERROR(AU67*$W67,)</f>
        <v/>
      </c>
      <c r="CG67" s="128">
        <f>IFERROR(AV67*$W67,)</f>
        <v/>
      </c>
      <c r="CH67" s="128">
        <f>IFERROR(AW67*$W67,)</f>
        <v/>
      </c>
      <c r="CI67" s="128">
        <f>IFERROR(AX67*$W67,)</f>
        <v/>
      </c>
      <c r="CJ67" s="128">
        <f>IFERROR(AY67*$W67,)</f>
        <v/>
      </c>
      <c r="CK67" s="128">
        <f>IFERROR(AZ67*$W67,)</f>
        <v/>
      </c>
      <c r="CL67" s="129">
        <f>IFERROR(if($Y67=0,BA67*($W67/1.2),BA67*$Y67),"")</f>
        <v/>
      </c>
      <c r="CM67" s="129">
        <f>IFERROR(if($Y67=0,BB67*($W67/1.2),BB67*$Y67),"")</f>
        <v/>
      </c>
      <c r="CN67" s="129">
        <f>IFERROR(if($Y67=0,BC67*($W67/1.2),BC67*$Y67),"")</f>
        <v/>
      </c>
      <c r="CO67" s="130">
        <f>IFERROR(if($AA67=0,($W67/1.35)*BD67,BD67*$AA67),)</f>
        <v/>
      </c>
      <c r="CP67" s="130">
        <f>IFERROR(if($AA67=0,($W67/1.35)*BE67,BE67*$AA67),)</f>
        <v/>
      </c>
      <c r="CQ67" s="130">
        <f>IFERROR(if($AA67=0,($W67/1.35)*BF67,BF67*$AA67),)</f>
        <v/>
      </c>
      <c r="CR67" s="128">
        <f>IFERROR(if($AC67=0,($W67/0.74)*BG67,
BG67*$AC67),)</f>
        <v/>
      </c>
      <c r="CS67" s="128">
        <f>IFERROR(if($AC67=0,($W67/0.74)*BH67,
BH67*$AC67),)</f>
        <v/>
      </c>
      <c r="CT67" s="128">
        <f>IFERROR(if($AC67=0,($W67/0.74)*BI67,
BI67*$AC67),)</f>
        <v/>
      </c>
      <c r="CU67" s="128">
        <f>IFERROR(AI67*$V67,)</f>
        <v/>
      </c>
      <c r="CV67" s="128">
        <f>IFERROR(AJ67*$V67,)</f>
        <v/>
      </c>
      <c r="CW67" s="128">
        <f>IFERROR(AK67*$V67,)</f>
        <v/>
      </c>
      <c r="CX67" s="128">
        <f>IFERROR(AL67*$V67,)</f>
        <v/>
      </c>
      <c r="CY67" s="128">
        <f>IFERROR(AM67*$V67,)</f>
        <v/>
      </c>
      <c r="CZ67" s="128">
        <f>IFERROR(AN67*$V67,)</f>
        <v/>
      </c>
      <c r="DA67" s="128">
        <f>IFERROR(AO67*$V67,)</f>
        <v/>
      </c>
      <c r="DB67" s="128">
        <f>IFERROR(AP67*$V67,)</f>
        <v/>
      </c>
      <c r="DC67" s="128">
        <f>IFERROR(AQ67*$V67,)</f>
        <v/>
      </c>
      <c r="DD67" s="128">
        <f>IFERROR(AR67*$V67,)</f>
        <v/>
      </c>
      <c r="DE67" s="128">
        <f>IFERROR(AS67*$V67,)</f>
        <v/>
      </c>
      <c r="DF67" s="128">
        <f>IFERROR(AT67*$V67,)</f>
        <v/>
      </c>
      <c r="DG67" s="128">
        <f>IFERROR(AU67*$V67,)</f>
        <v/>
      </c>
      <c r="DH67" s="128">
        <f>IFERROR(AV67*$V67,)</f>
        <v/>
      </c>
      <c r="DI67" s="128">
        <f>IFERROR(AW67*$V67,)</f>
        <v/>
      </c>
      <c r="DJ67" s="128">
        <f>IFERROR(AX67*$V67,)</f>
        <v/>
      </c>
      <c r="DK67" s="128">
        <f>IFERROR(AY67*$V67,)</f>
        <v/>
      </c>
      <c r="DL67" s="128">
        <f>IFERROR(AZ67*$V67,)</f>
        <v/>
      </c>
      <c r="DM67" s="129">
        <f>IFERROR(if($X67=0,($V67/1.2)*BA67,
BA67*$X67),)</f>
        <v/>
      </c>
      <c r="DN67" s="129">
        <f>IFERROR(if($X67=0,($V67/1.2)*BB67,
BB67*$X67),)</f>
        <v/>
      </c>
      <c r="DO67" s="129">
        <f>IFERROR(if($X67=0,($V67/1.2)*BC67,
BC67*$X67),)</f>
        <v/>
      </c>
      <c r="DP67" s="130">
        <f>IFERROR(if($Z67=0,($V67/1.35)*BD67,
BD67*$Z67),)</f>
        <v/>
      </c>
      <c r="DQ67" s="130">
        <f>IFERROR(if($Z67=0,($V67/1.35)*BE67,
BE67*$Z67),)</f>
        <v/>
      </c>
      <c r="DR67" s="130">
        <f>IFERROR(if($Z67=0,($V67/1.35)*BF67,
BF67*$Z67),)</f>
        <v/>
      </c>
      <c r="DS67" s="128">
        <f>IFERROR(IF($AB67=0,($V67/0.74)*BG67,
BG67*$AB67),)</f>
        <v/>
      </c>
      <c r="DT67" s="128">
        <f>IFERROR(IF($AB67=0,($V67/0.74)*BH67,
BH67*$AB67),)</f>
        <v/>
      </c>
      <c r="DU67" s="128">
        <f>IFERROR(IF($AB67=0,($V67/0.74)*BI67,
BI67*$AB67),)</f>
        <v/>
      </c>
    </row>
    <row r="68" ht="131.25" customHeight="1" s="162">
      <c r="A68" s="115" t="n"/>
      <c r="B68" s="115" t="n"/>
      <c r="C68" s="115" t="n"/>
      <c r="D68" s="115" t="n"/>
      <c r="E68" s="115" t="n"/>
      <c r="F68" s="115" t="n"/>
      <c r="G68" s="115" t="n"/>
      <c r="H68" s="115" t="n"/>
      <c r="I68" s="115" t="n"/>
      <c r="J68" s="115" t="n"/>
      <c r="K68" s="115" t="n"/>
      <c r="L68" s="115" t="n"/>
      <c r="M68" s="115" t="n"/>
      <c r="N68" s="115" t="n"/>
      <c r="O68" s="115" t="n"/>
      <c r="P68" s="115" t="n"/>
      <c r="Q68" s="115" t="n"/>
      <c r="R68" s="115" t="n"/>
      <c r="S68" s="115" t="n"/>
      <c r="T68" s="115" t="n"/>
      <c r="U68" s="116" t="n"/>
      <c r="V68" s="116" t="n"/>
      <c r="W68" s="117" t="n"/>
      <c r="X68" s="118" t="n"/>
      <c r="Y68" s="119" t="n"/>
      <c r="Z68" s="120" t="n"/>
      <c r="AA68" s="121" t="n"/>
      <c r="AB68" s="122" t="n"/>
      <c r="AC68" s="117" t="n"/>
      <c r="AD68" s="123">
        <f>IF(SUM($AE68:$AH68)=0,"",SUM($AE68:$AH68))</f>
        <v/>
      </c>
      <c r="AE68" s="123">
        <f>iferror(IF(SUM($AI68:$AZ68)=0,"",SUM($AI68:$AZ68)),"")</f>
        <v/>
      </c>
      <c r="AF68" s="123">
        <f>iferror(IF(SUM($BA68:$BC68)=0,"",SUM($BA68:$BC68)),"")</f>
        <v/>
      </c>
      <c r="AG68" s="123">
        <f>iferror(IF(SUM($BD68:$BF68)=0,"",SUM($BD68:$BF68)),"")</f>
        <v/>
      </c>
      <c r="AH68" s="124">
        <f>iferror(IF(SUM($BG68:$BI68)=0,"",SUM($BG68:$BI68)),"")</f>
        <v/>
      </c>
      <c r="AI68" s="131" t="n"/>
      <c r="AJ68" s="132" t="n"/>
      <c r="AK68" s="132" t="n"/>
      <c r="AL68" s="132" t="n"/>
      <c r="AM68" s="132" t="n"/>
      <c r="AN68" s="132" t="n"/>
      <c r="AO68" s="132" t="n"/>
      <c r="AP68" s="132" t="n"/>
      <c r="AQ68" s="132" t="n"/>
      <c r="AR68" s="132" t="n"/>
      <c r="AS68" s="132" t="n"/>
      <c r="AT68" s="132" t="n"/>
      <c r="AU68" s="132" t="n"/>
      <c r="AV68" s="132" t="n"/>
      <c r="AW68" s="132" t="n"/>
      <c r="AX68" s="132" t="n"/>
      <c r="AY68" s="132" t="n"/>
      <c r="AZ68" s="133" t="n"/>
      <c r="BA68" s="131" t="n"/>
      <c r="BB68" s="132" t="n"/>
      <c r="BC68" s="133" t="n"/>
      <c r="BD68" s="131" t="n"/>
      <c r="BE68" s="132" t="n"/>
      <c r="BF68" s="133" t="n"/>
      <c r="BG68" s="131" t="n"/>
      <c r="BH68" s="132" t="n"/>
      <c r="BI68" s="132" t="n"/>
      <c r="BJ68" s="128">
        <f>iferror(SUM($BK68,($BL68*1.2),($BM68*1.35),($BN68*0.74)),)</f>
        <v/>
      </c>
      <c r="BK68" s="128">
        <f>IFERROR(SUM($BT68:$CK68),)</f>
        <v/>
      </c>
      <c r="BL68" s="129">
        <f>IFERROR(SUM($CL68:$CN68),)</f>
        <v/>
      </c>
      <c r="BM68" s="130">
        <f>IFERROR(SUM($CO68:$CQ68),)</f>
        <v/>
      </c>
      <c r="BN68" s="128">
        <f>IFERROR(SUM($CR68:$CT68),)</f>
        <v/>
      </c>
      <c r="BO68" s="128">
        <f>iferror(SUM($BP68,($BQ68*1.2),($BR68*1.35),($BS68*0.74)),)</f>
        <v/>
      </c>
      <c r="BP68" s="128">
        <f>IFERROR(SUM($CU68:$DL68),)</f>
        <v/>
      </c>
      <c r="BQ68" s="128">
        <f>IFERROR(SUM($DM68:$DO68),)</f>
        <v/>
      </c>
      <c r="BR68" s="128">
        <f>IFERROR(SUM($DP68:$DR68),)</f>
        <v/>
      </c>
      <c r="BS68" s="128">
        <f>IFERROR(SUM($DS68:$DU68),)</f>
        <v/>
      </c>
      <c r="BT68" s="128">
        <f>IFERROR(AI68*$W68,)</f>
        <v/>
      </c>
      <c r="BU68" s="128">
        <f>IFERROR(AJ68*$W68,)</f>
        <v/>
      </c>
      <c r="BV68" s="128">
        <f>IFERROR(AK68*$W68,)</f>
        <v/>
      </c>
      <c r="BW68" s="128">
        <f>IFERROR(AL68*$W68,)</f>
        <v/>
      </c>
      <c r="BX68" s="128">
        <f>IFERROR(AM68*$W68,)</f>
        <v/>
      </c>
      <c r="BY68" s="128">
        <f>IFERROR(AN68*$W68,)</f>
        <v/>
      </c>
      <c r="BZ68" s="128">
        <f>IFERROR(AO68*$W68,)</f>
        <v/>
      </c>
      <c r="CA68" s="128">
        <f>IFERROR(AP68*$W68,)</f>
        <v/>
      </c>
      <c r="CB68" s="128">
        <f>IFERROR(AQ68*$W68,)</f>
        <v/>
      </c>
      <c r="CC68" s="128">
        <f>IFERROR(AR68*$W68,)</f>
        <v/>
      </c>
      <c r="CD68" s="128">
        <f>IFERROR(AS68*$W68,)</f>
        <v/>
      </c>
      <c r="CE68" s="128">
        <f>IFERROR(AT68*$W68,)</f>
        <v/>
      </c>
      <c r="CF68" s="128">
        <f>IFERROR(AU68*$W68,)</f>
        <v/>
      </c>
      <c r="CG68" s="128">
        <f>IFERROR(AV68*$W68,)</f>
        <v/>
      </c>
      <c r="CH68" s="128">
        <f>IFERROR(AW68*$W68,)</f>
        <v/>
      </c>
      <c r="CI68" s="128">
        <f>IFERROR(AX68*$W68,)</f>
        <v/>
      </c>
      <c r="CJ68" s="128">
        <f>IFERROR(AY68*$W68,)</f>
        <v/>
      </c>
      <c r="CK68" s="128">
        <f>IFERROR(AZ68*$W68,)</f>
        <v/>
      </c>
      <c r="CL68" s="129">
        <f>IFERROR(if($Y68=0,BA68*($W68/1.2),BA68*$Y68),"")</f>
        <v/>
      </c>
      <c r="CM68" s="129">
        <f>IFERROR(if($Y68=0,BB68*($W68/1.2),BB68*$Y68),"")</f>
        <v/>
      </c>
      <c r="CN68" s="129">
        <f>IFERROR(if($Y68=0,BC68*($W68/1.2),BC68*$Y68),"")</f>
        <v/>
      </c>
      <c r="CO68" s="130">
        <f>IFERROR(if($AA68=0,($W68/1.35)*BD68,BD68*$AA68),)</f>
        <v/>
      </c>
      <c r="CP68" s="130">
        <f>IFERROR(if($AA68=0,($W68/1.35)*BE68,BE68*$AA68),)</f>
        <v/>
      </c>
      <c r="CQ68" s="130">
        <f>IFERROR(if($AA68=0,($W68/1.35)*BF68,BF68*$AA68),)</f>
        <v/>
      </c>
      <c r="CR68" s="128">
        <f>IFERROR(if($AC68=0,($W68/0.74)*BG68,
BG68*$AC68),)</f>
        <v/>
      </c>
      <c r="CS68" s="128">
        <f>IFERROR(if($AC68=0,($W68/0.74)*BH68,
BH68*$AC68),)</f>
        <v/>
      </c>
      <c r="CT68" s="128">
        <f>IFERROR(if($AC68=0,($W68/0.74)*BI68,
BI68*$AC68),)</f>
        <v/>
      </c>
      <c r="CU68" s="128">
        <f>IFERROR(AI68*$V68,)</f>
        <v/>
      </c>
      <c r="CV68" s="128">
        <f>IFERROR(AJ68*$V68,)</f>
        <v/>
      </c>
      <c r="CW68" s="128">
        <f>IFERROR(AK68*$V68,)</f>
        <v/>
      </c>
      <c r="CX68" s="128">
        <f>IFERROR(AL68*$V68,)</f>
        <v/>
      </c>
      <c r="CY68" s="128">
        <f>IFERROR(AM68*$V68,)</f>
        <v/>
      </c>
      <c r="CZ68" s="128">
        <f>IFERROR(AN68*$V68,)</f>
        <v/>
      </c>
      <c r="DA68" s="128">
        <f>IFERROR(AO68*$V68,)</f>
        <v/>
      </c>
      <c r="DB68" s="128">
        <f>IFERROR(AP68*$V68,)</f>
        <v/>
      </c>
      <c r="DC68" s="128">
        <f>IFERROR(AQ68*$V68,)</f>
        <v/>
      </c>
      <c r="DD68" s="128">
        <f>IFERROR(AR68*$V68,)</f>
        <v/>
      </c>
      <c r="DE68" s="128">
        <f>IFERROR(AS68*$V68,)</f>
        <v/>
      </c>
      <c r="DF68" s="128">
        <f>IFERROR(AT68*$V68,)</f>
        <v/>
      </c>
      <c r="DG68" s="128">
        <f>IFERROR(AU68*$V68,)</f>
        <v/>
      </c>
      <c r="DH68" s="128">
        <f>IFERROR(AV68*$V68,)</f>
        <v/>
      </c>
      <c r="DI68" s="128">
        <f>IFERROR(AW68*$V68,)</f>
        <v/>
      </c>
      <c r="DJ68" s="128">
        <f>IFERROR(AX68*$V68,)</f>
        <v/>
      </c>
      <c r="DK68" s="128">
        <f>IFERROR(AY68*$V68,)</f>
        <v/>
      </c>
      <c r="DL68" s="128">
        <f>IFERROR(AZ68*$V68,)</f>
        <v/>
      </c>
      <c r="DM68" s="129">
        <f>IFERROR(if($X68=0,($V68/1.2)*BA68,
BA68*$X68),)</f>
        <v/>
      </c>
      <c r="DN68" s="129">
        <f>IFERROR(if($X68=0,($V68/1.2)*BB68,
BB68*$X68),)</f>
        <v/>
      </c>
      <c r="DO68" s="129">
        <f>IFERROR(if($X68=0,($V68/1.2)*BC68,
BC68*$X68),)</f>
        <v/>
      </c>
      <c r="DP68" s="130">
        <f>IFERROR(if($Z68=0,($V68/1.35)*BD68,
BD68*$Z68),)</f>
        <v/>
      </c>
      <c r="DQ68" s="130">
        <f>IFERROR(if($Z68=0,($V68/1.35)*BE68,
BE68*$Z68),)</f>
        <v/>
      </c>
      <c r="DR68" s="130">
        <f>IFERROR(if($Z68=0,($V68/1.35)*BF68,
BF68*$Z68),)</f>
        <v/>
      </c>
      <c r="DS68" s="128">
        <f>IFERROR(IF($AB68=0,($V68/0.74)*BG68,
BG68*$AB68),)</f>
        <v/>
      </c>
      <c r="DT68" s="128">
        <f>IFERROR(IF($AB68=0,($V68/0.74)*BH68,
BH68*$AB68),)</f>
        <v/>
      </c>
      <c r="DU68" s="128">
        <f>IFERROR(IF($AB68=0,($V68/0.74)*BI68,
BI68*$AB68),)</f>
        <v/>
      </c>
    </row>
    <row r="69" ht="131.25" customHeight="1" s="162">
      <c r="A69" s="115" t="n"/>
      <c r="B69" s="115" t="n"/>
      <c r="C69" s="115" t="n"/>
      <c r="D69" s="115" t="n"/>
      <c r="E69" s="115" t="n"/>
      <c r="F69" s="115" t="n"/>
      <c r="G69" s="115" t="n"/>
      <c r="H69" s="115" t="n"/>
      <c r="I69" s="115" t="n"/>
      <c r="J69" s="115" t="n"/>
      <c r="K69" s="115" t="n"/>
      <c r="L69" s="115" t="n"/>
      <c r="M69" s="115" t="n"/>
      <c r="N69" s="115" t="n"/>
      <c r="O69" s="115" t="n"/>
      <c r="P69" s="115" t="n"/>
      <c r="Q69" s="115" t="n"/>
      <c r="R69" s="115" t="n"/>
      <c r="S69" s="115" t="n"/>
      <c r="T69" s="115" t="n"/>
      <c r="U69" s="116" t="n"/>
      <c r="V69" s="116" t="n"/>
      <c r="W69" s="117" t="n"/>
      <c r="X69" s="118" t="n"/>
      <c r="Y69" s="119" t="n"/>
      <c r="Z69" s="120" t="n"/>
      <c r="AA69" s="121" t="n"/>
      <c r="AB69" s="122" t="n"/>
      <c r="AC69" s="117" t="n"/>
      <c r="AD69" s="123">
        <f>IF(SUM($AE69:$AH69)=0,"",SUM($AE69:$AH69))</f>
        <v/>
      </c>
      <c r="AE69" s="123">
        <f>iferror(IF(SUM($AI69:$AZ69)=0,"",SUM($AI69:$AZ69)),"")</f>
        <v/>
      </c>
      <c r="AF69" s="123">
        <f>iferror(IF(SUM($BA69:$BC69)=0,"",SUM($BA69:$BC69)),"")</f>
        <v/>
      </c>
      <c r="AG69" s="123">
        <f>iferror(IF(SUM($BD69:$BF69)=0,"",SUM($BD69:$BF69)),"")</f>
        <v/>
      </c>
      <c r="AH69" s="124">
        <f>iferror(IF(SUM($BG69:$BI69)=0,"",SUM($BG69:$BI69)),"")</f>
        <v/>
      </c>
      <c r="AI69" s="131" t="n"/>
      <c r="AJ69" s="132" t="n"/>
      <c r="AK69" s="132" t="n"/>
      <c r="AL69" s="132" t="n"/>
      <c r="AM69" s="132" t="n"/>
      <c r="AN69" s="132" t="n"/>
      <c r="AO69" s="132" t="n"/>
      <c r="AP69" s="132" t="n"/>
      <c r="AQ69" s="132" t="n"/>
      <c r="AR69" s="132" t="n"/>
      <c r="AS69" s="132" t="n"/>
      <c r="AT69" s="132" t="n"/>
      <c r="AU69" s="132" t="n"/>
      <c r="AV69" s="132" t="n"/>
      <c r="AW69" s="132" t="n"/>
      <c r="AX69" s="132" t="n"/>
      <c r="AY69" s="132" t="n"/>
      <c r="AZ69" s="133" t="n"/>
      <c r="BA69" s="131" t="n"/>
      <c r="BB69" s="132" t="n"/>
      <c r="BC69" s="133" t="n"/>
      <c r="BD69" s="131" t="n"/>
      <c r="BE69" s="132" t="n"/>
      <c r="BF69" s="133" t="n"/>
      <c r="BG69" s="131" t="n"/>
      <c r="BH69" s="132" t="n"/>
      <c r="BI69" s="132" t="n"/>
      <c r="BJ69" s="128">
        <f>iferror(SUM($BK69,($BL69*1.2),($BM69*1.35),($BN69*0.74)),)</f>
        <v/>
      </c>
      <c r="BK69" s="128">
        <f>IFERROR(SUM($BT69:$CK69),)</f>
        <v/>
      </c>
      <c r="BL69" s="129">
        <f>IFERROR(SUM($CL69:$CN69),)</f>
        <v/>
      </c>
      <c r="BM69" s="130">
        <f>IFERROR(SUM($CO69:$CQ69),)</f>
        <v/>
      </c>
      <c r="BN69" s="128">
        <f>IFERROR(SUM($CR69:$CT69),)</f>
        <v/>
      </c>
      <c r="BO69" s="128">
        <f>iferror(SUM($BP69,($BQ69*1.2),($BR69*1.35),($BS69*0.74)),)</f>
        <v/>
      </c>
      <c r="BP69" s="128">
        <f>IFERROR(SUM($CU69:$DL69),)</f>
        <v/>
      </c>
      <c r="BQ69" s="128">
        <f>IFERROR(SUM($DM69:$DO69),)</f>
        <v/>
      </c>
      <c r="BR69" s="128">
        <f>IFERROR(SUM($DP69:$DR69),)</f>
        <v/>
      </c>
      <c r="BS69" s="128">
        <f>IFERROR(SUM($DS69:$DU69),)</f>
        <v/>
      </c>
      <c r="BT69" s="128">
        <f>IFERROR(AI69*$W69,)</f>
        <v/>
      </c>
      <c r="BU69" s="128">
        <f>IFERROR(AJ69*$W69,)</f>
        <v/>
      </c>
      <c r="BV69" s="128">
        <f>IFERROR(AK69*$W69,)</f>
        <v/>
      </c>
      <c r="BW69" s="128">
        <f>IFERROR(AL69*$W69,)</f>
        <v/>
      </c>
      <c r="BX69" s="128">
        <f>IFERROR(AM69*$W69,)</f>
        <v/>
      </c>
      <c r="BY69" s="128">
        <f>IFERROR(AN69*$W69,)</f>
        <v/>
      </c>
      <c r="BZ69" s="128">
        <f>IFERROR(AO69*$W69,)</f>
        <v/>
      </c>
      <c r="CA69" s="128">
        <f>IFERROR(AP69*$W69,)</f>
        <v/>
      </c>
      <c r="CB69" s="128">
        <f>IFERROR(AQ69*$W69,)</f>
        <v/>
      </c>
      <c r="CC69" s="128">
        <f>IFERROR(AR69*$W69,)</f>
        <v/>
      </c>
      <c r="CD69" s="128">
        <f>IFERROR(AS69*$W69,)</f>
        <v/>
      </c>
      <c r="CE69" s="128">
        <f>IFERROR(AT69*$W69,)</f>
        <v/>
      </c>
      <c r="CF69" s="128">
        <f>IFERROR(AU69*$W69,)</f>
        <v/>
      </c>
      <c r="CG69" s="128">
        <f>IFERROR(AV69*$W69,)</f>
        <v/>
      </c>
      <c r="CH69" s="128">
        <f>IFERROR(AW69*$W69,)</f>
        <v/>
      </c>
      <c r="CI69" s="128">
        <f>IFERROR(AX69*$W69,)</f>
        <v/>
      </c>
      <c r="CJ69" s="128">
        <f>IFERROR(AY69*$W69,)</f>
        <v/>
      </c>
      <c r="CK69" s="128">
        <f>IFERROR(AZ69*$W69,)</f>
        <v/>
      </c>
      <c r="CL69" s="129">
        <f>IFERROR(if($Y69=0,BA69*($W69/1.2),BA69*$Y69),"")</f>
        <v/>
      </c>
      <c r="CM69" s="129">
        <f>IFERROR(if($Y69=0,BB69*($W69/1.2),BB69*$Y69),"")</f>
        <v/>
      </c>
      <c r="CN69" s="129">
        <f>IFERROR(if($Y69=0,BC69*($W69/1.2),BC69*$Y69),"")</f>
        <v/>
      </c>
      <c r="CO69" s="130">
        <f>IFERROR(if($AA69=0,($W69/1.35)*BD69,BD69*$AA69),)</f>
        <v/>
      </c>
      <c r="CP69" s="130">
        <f>IFERROR(if($AA69=0,($W69/1.35)*BE69,BE69*$AA69),)</f>
        <v/>
      </c>
      <c r="CQ69" s="130">
        <f>IFERROR(if($AA69=0,($W69/1.35)*BF69,BF69*$AA69),)</f>
        <v/>
      </c>
      <c r="CR69" s="128">
        <f>IFERROR(if($AC69=0,($W69/0.74)*BG69,
BG69*$AC69),)</f>
        <v/>
      </c>
      <c r="CS69" s="128">
        <f>IFERROR(if($AC69=0,($W69/0.74)*BH69,
BH69*$AC69),)</f>
        <v/>
      </c>
      <c r="CT69" s="128">
        <f>IFERROR(if($AC69=0,($W69/0.74)*BI69,
BI69*$AC69),)</f>
        <v/>
      </c>
      <c r="CU69" s="128">
        <f>IFERROR(AI69*$V69,)</f>
        <v/>
      </c>
      <c r="CV69" s="128">
        <f>IFERROR(AJ69*$V69,)</f>
        <v/>
      </c>
      <c r="CW69" s="128">
        <f>IFERROR(AK69*$V69,)</f>
        <v/>
      </c>
      <c r="CX69" s="128">
        <f>IFERROR(AL69*$V69,)</f>
        <v/>
      </c>
      <c r="CY69" s="128">
        <f>IFERROR(AM69*$V69,)</f>
        <v/>
      </c>
      <c r="CZ69" s="128">
        <f>IFERROR(AN69*$V69,)</f>
        <v/>
      </c>
      <c r="DA69" s="128">
        <f>IFERROR(AO69*$V69,)</f>
        <v/>
      </c>
      <c r="DB69" s="128">
        <f>IFERROR(AP69*$V69,)</f>
        <v/>
      </c>
      <c r="DC69" s="128">
        <f>IFERROR(AQ69*$V69,)</f>
        <v/>
      </c>
      <c r="DD69" s="128">
        <f>IFERROR(AR69*$V69,)</f>
        <v/>
      </c>
      <c r="DE69" s="128">
        <f>IFERROR(AS69*$V69,)</f>
        <v/>
      </c>
      <c r="DF69" s="128">
        <f>IFERROR(AT69*$V69,)</f>
        <v/>
      </c>
      <c r="DG69" s="128">
        <f>IFERROR(AU69*$V69,)</f>
        <v/>
      </c>
      <c r="DH69" s="128">
        <f>IFERROR(AV69*$V69,)</f>
        <v/>
      </c>
      <c r="DI69" s="128">
        <f>IFERROR(AW69*$V69,)</f>
        <v/>
      </c>
      <c r="DJ69" s="128">
        <f>IFERROR(AX69*$V69,)</f>
        <v/>
      </c>
      <c r="DK69" s="128">
        <f>IFERROR(AY69*$V69,)</f>
        <v/>
      </c>
      <c r="DL69" s="128">
        <f>IFERROR(AZ69*$V69,)</f>
        <v/>
      </c>
      <c r="DM69" s="129">
        <f>IFERROR(if($X69=0,($V69/1.2)*BA69,
BA69*$X69),)</f>
        <v/>
      </c>
      <c r="DN69" s="129">
        <f>IFERROR(if($X69=0,($V69/1.2)*BB69,
BB69*$X69),)</f>
        <v/>
      </c>
      <c r="DO69" s="129">
        <f>IFERROR(if($X69=0,($V69/1.2)*BC69,
BC69*$X69),)</f>
        <v/>
      </c>
      <c r="DP69" s="130">
        <f>IFERROR(if($Z69=0,($V69/1.35)*BD69,
BD69*$Z69),)</f>
        <v/>
      </c>
      <c r="DQ69" s="130">
        <f>IFERROR(if($Z69=0,($V69/1.35)*BE69,
BE69*$Z69),)</f>
        <v/>
      </c>
      <c r="DR69" s="130">
        <f>IFERROR(if($Z69=0,($V69/1.35)*BF69,
BF69*$Z69),)</f>
        <v/>
      </c>
      <c r="DS69" s="128">
        <f>IFERROR(IF($AB69=0,($V69/0.74)*BG69,
BG69*$AB69),)</f>
        <v/>
      </c>
      <c r="DT69" s="128">
        <f>IFERROR(IF($AB69=0,($V69/0.74)*BH69,
BH69*$AB69),)</f>
        <v/>
      </c>
      <c r="DU69" s="128">
        <f>IFERROR(IF($AB69=0,($V69/0.74)*BI69,
BI69*$AB69),)</f>
        <v/>
      </c>
    </row>
    <row r="70" ht="131.25" customHeight="1" s="162">
      <c r="A70" s="115" t="n"/>
      <c r="B70" s="115" t="n"/>
      <c r="C70" s="115" t="n"/>
      <c r="D70" s="115" t="n"/>
      <c r="E70" s="115" t="n"/>
      <c r="F70" s="115" t="n"/>
      <c r="G70" s="115" t="n"/>
      <c r="H70" s="115" t="n"/>
      <c r="I70" s="115" t="n"/>
      <c r="J70" s="115" t="n"/>
      <c r="K70" s="115" t="n"/>
      <c r="L70" s="115" t="n"/>
      <c r="M70" s="115" t="n"/>
      <c r="N70" s="115" t="n"/>
      <c r="O70" s="115" t="n"/>
      <c r="P70" s="115" t="n"/>
      <c r="Q70" s="115" t="n"/>
      <c r="R70" s="115" t="n"/>
      <c r="S70" s="115" t="n"/>
      <c r="T70" s="115" t="n"/>
      <c r="U70" s="116" t="n"/>
      <c r="V70" s="116" t="n"/>
      <c r="W70" s="117" t="n"/>
      <c r="X70" s="118" t="n"/>
      <c r="Y70" s="119" t="n"/>
      <c r="Z70" s="120" t="n"/>
      <c r="AA70" s="121" t="n"/>
      <c r="AB70" s="122" t="n"/>
      <c r="AC70" s="117" t="n"/>
      <c r="AD70" s="123">
        <f>IF(SUM($AE70:$AH70)=0,"",SUM($AE70:$AH70))</f>
        <v/>
      </c>
      <c r="AE70" s="123">
        <f>iferror(IF(SUM($AI70:$AZ70)=0,"",SUM($AI70:$AZ70)),"")</f>
        <v/>
      </c>
      <c r="AF70" s="123">
        <f>iferror(IF(SUM($BA70:$BC70)=0,"",SUM($BA70:$BC70)),"")</f>
        <v/>
      </c>
      <c r="AG70" s="123">
        <f>iferror(IF(SUM($BD70:$BF70)=0,"",SUM($BD70:$BF70)),"")</f>
        <v/>
      </c>
      <c r="AH70" s="124">
        <f>iferror(IF(SUM($BG70:$BI70)=0,"",SUM($BG70:$BI70)),"")</f>
        <v/>
      </c>
      <c r="AI70" s="131" t="n"/>
      <c r="AJ70" s="132" t="n"/>
      <c r="AK70" s="132" t="n"/>
      <c r="AL70" s="132" t="n"/>
      <c r="AM70" s="132" t="n"/>
      <c r="AN70" s="132" t="n"/>
      <c r="AO70" s="132" t="n"/>
      <c r="AP70" s="132" t="n"/>
      <c r="AQ70" s="132" t="n"/>
      <c r="AR70" s="132" t="n"/>
      <c r="AS70" s="132" t="n"/>
      <c r="AT70" s="132" t="n"/>
      <c r="AU70" s="132" t="n"/>
      <c r="AV70" s="132" t="n"/>
      <c r="AW70" s="132" t="n"/>
      <c r="AX70" s="132" t="n"/>
      <c r="AY70" s="132" t="n"/>
      <c r="AZ70" s="133" t="n"/>
      <c r="BA70" s="131" t="n"/>
      <c r="BB70" s="132" t="n"/>
      <c r="BC70" s="133" t="n"/>
      <c r="BD70" s="131" t="n"/>
      <c r="BE70" s="132" t="n"/>
      <c r="BF70" s="133" t="n"/>
      <c r="BG70" s="131" t="n"/>
      <c r="BH70" s="132" t="n"/>
      <c r="BI70" s="132" t="n"/>
      <c r="BJ70" s="128">
        <f>iferror(SUM($BK70,($BL70*1.2),($BM70*1.35),($BN70*0.74)),)</f>
        <v/>
      </c>
      <c r="BK70" s="128">
        <f>IFERROR(SUM($BT70:$CK70),)</f>
        <v/>
      </c>
      <c r="BL70" s="129">
        <f>IFERROR(SUM($CL70:$CN70),)</f>
        <v/>
      </c>
      <c r="BM70" s="130">
        <f>IFERROR(SUM($CO70:$CQ70),)</f>
        <v/>
      </c>
      <c r="BN70" s="128">
        <f>IFERROR(SUM($CR70:$CT70),)</f>
        <v/>
      </c>
      <c r="BO70" s="128">
        <f>iferror(SUM($BP70,($BQ70*1.2),($BR70*1.35),($BS70*0.74)),)</f>
        <v/>
      </c>
      <c r="BP70" s="128">
        <f>IFERROR(SUM($CU70:$DL70),)</f>
        <v/>
      </c>
      <c r="BQ70" s="128">
        <f>IFERROR(SUM($DM70:$DO70),)</f>
        <v/>
      </c>
      <c r="BR70" s="128">
        <f>IFERROR(SUM($DP70:$DR70),)</f>
        <v/>
      </c>
      <c r="BS70" s="128">
        <f>IFERROR(SUM($DS70:$DU70),)</f>
        <v/>
      </c>
      <c r="BT70" s="128">
        <f>IFERROR(AI70*$W70,)</f>
        <v/>
      </c>
      <c r="BU70" s="128">
        <f>IFERROR(AJ70*$W70,)</f>
        <v/>
      </c>
      <c r="BV70" s="128">
        <f>IFERROR(AK70*$W70,)</f>
        <v/>
      </c>
      <c r="BW70" s="128">
        <f>IFERROR(AL70*$W70,)</f>
        <v/>
      </c>
      <c r="BX70" s="128">
        <f>IFERROR(AM70*$W70,)</f>
        <v/>
      </c>
      <c r="BY70" s="128">
        <f>IFERROR(AN70*$W70,)</f>
        <v/>
      </c>
      <c r="BZ70" s="128">
        <f>IFERROR(AO70*$W70,)</f>
        <v/>
      </c>
      <c r="CA70" s="128">
        <f>IFERROR(AP70*$W70,)</f>
        <v/>
      </c>
      <c r="CB70" s="128">
        <f>IFERROR(AQ70*$W70,)</f>
        <v/>
      </c>
      <c r="CC70" s="128">
        <f>IFERROR(AR70*$W70,)</f>
        <v/>
      </c>
      <c r="CD70" s="128">
        <f>IFERROR(AS70*$W70,)</f>
        <v/>
      </c>
      <c r="CE70" s="128">
        <f>IFERROR(AT70*$W70,)</f>
        <v/>
      </c>
      <c r="CF70" s="128">
        <f>IFERROR(AU70*$W70,)</f>
        <v/>
      </c>
      <c r="CG70" s="128">
        <f>IFERROR(AV70*$W70,)</f>
        <v/>
      </c>
      <c r="CH70" s="128">
        <f>IFERROR(AW70*$W70,)</f>
        <v/>
      </c>
      <c r="CI70" s="128">
        <f>IFERROR(AX70*$W70,)</f>
        <v/>
      </c>
      <c r="CJ70" s="128">
        <f>IFERROR(AY70*$W70,)</f>
        <v/>
      </c>
      <c r="CK70" s="128">
        <f>IFERROR(AZ70*$W70,)</f>
        <v/>
      </c>
      <c r="CL70" s="129">
        <f>IFERROR(if($Y70=0,BA70*($W70/1.2),BA70*$Y70),"")</f>
        <v/>
      </c>
      <c r="CM70" s="129">
        <f>IFERROR(if($Y70=0,BB70*($W70/1.2),BB70*$Y70),"")</f>
        <v/>
      </c>
      <c r="CN70" s="129">
        <f>IFERROR(if($Y70=0,BC70*($W70/1.2),BC70*$Y70),"")</f>
        <v/>
      </c>
      <c r="CO70" s="130">
        <f>IFERROR(if($AA70=0,($W70/1.35)*BD70,BD70*$AA70),)</f>
        <v/>
      </c>
      <c r="CP70" s="130">
        <f>IFERROR(if($AA70=0,($W70/1.35)*BE70,BE70*$AA70),)</f>
        <v/>
      </c>
      <c r="CQ70" s="130">
        <f>IFERROR(if($AA70=0,($W70/1.35)*BF70,BF70*$AA70),)</f>
        <v/>
      </c>
      <c r="CR70" s="128">
        <f>IFERROR(if($AC70=0,($W70/0.74)*BG70,
BG70*$AC70),)</f>
        <v/>
      </c>
      <c r="CS70" s="128">
        <f>IFERROR(if($AC70=0,($W70/0.74)*BH70,
BH70*$AC70),)</f>
        <v/>
      </c>
      <c r="CT70" s="128">
        <f>IFERROR(if($AC70=0,($W70/0.74)*BI70,
BI70*$AC70),)</f>
        <v/>
      </c>
      <c r="CU70" s="128">
        <f>IFERROR(AI70*$V70,)</f>
        <v/>
      </c>
      <c r="CV70" s="128">
        <f>IFERROR(AJ70*$V70,)</f>
        <v/>
      </c>
      <c r="CW70" s="128">
        <f>IFERROR(AK70*$V70,)</f>
        <v/>
      </c>
      <c r="CX70" s="128">
        <f>IFERROR(AL70*$V70,)</f>
        <v/>
      </c>
      <c r="CY70" s="128">
        <f>IFERROR(AM70*$V70,)</f>
        <v/>
      </c>
      <c r="CZ70" s="128">
        <f>IFERROR(AN70*$V70,)</f>
        <v/>
      </c>
      <c r="DA70" s="128">
        <f>IFERROR(AO70*$V70,)</f>
        <v/>
      </c>
      <c r="DB70" s="128">
        <f>IFERROR(AP70*$V70,)</f>
        <v/>
      </c>
      <c r="DC70" s="128">
        <f>IFERROR(AQ70*$V70,)</f>
        <v/>
      </c>
      <c r="DD70" s="128">
        <f>IFERROR(AR70*$V70,)</f>
        <v/>
      </c>
      <c r="DE70" s="128">
        <f>IFERROR(AS70*$V70,)</f>
        <v/>
      </c>
      <c r="DF70" s="128">
        <f>IFERROR(AT70*$V70,)</f>
        <v/>
      </c>
      <c r="DG70" s="128">
        <f>IFERROR(AU70*$V70,)</f>
        <v/>
      </c>
      <c r="DH70" s="128">
        <f>IFERROR(AV70*$V70,)</f>
        <v/>
      </c>
      <c r="DI70" s="128">
        <f>IFERROR(AW70*$V70,)</f>
        <v/>
      </c>
      <c r="DJ70" s="128">
        <f>IFERROR(AX70*$V70,)</f>
        <v/>
      </c>
      <c r="DK70" s="128">
        <f>IFERROR(AY70*$V70,)</f>
        <v/>
      </c>
      <c r="DL70" s="128">
        <f>IFERROR(AZ70*$V70,)</f>
        <v/>
      </c>
      <c r="DM70" s="129">
        <f>IFERROR(if($X70=0,($V70/1.2)*BA70,
BA70*$X70),)</f>
        <v/>
      </c>
      <c r="DN70" s="129">
        <f>IFERROR(if($X70=0,($V70/1.2)*BB70,
BB70*$X70),)</f>
        <v/>
      </c>
      <c r="DO70" s="129">
        <f>IFERROR(if($X70=0,($V70/1.2)*BC70,
BC70*$X70),)</f>
        <v/>
      </c>
      <c r="DP70" s="130">
        <f>IFERROR(if($Z70=0,($V70/1.35)*BD70,
BD70*$Z70),)</f>
        <v/>
      </c>
      <c r="DQ70" s="130">
        <f>IFERROR(if($Z70=0,($V70/1.35)*BE70,
BE70*$Z70),)</f>
        <v/>
      </c>
      <c r="DR70" s="130">
        <f>IFERROR(if($Z70=0,($V70/1.35)*BF70,
BF70*$Z70),)</f>
        <v/>
      </c>
      <c r="DS70" s="128">
        <f>IFERROR(IF($AB70=0,($V70/0.74)*BG70,
BG70*$AB70),)</f>
        <v/>
      </c>
      <c r="DT70" s="128">
        <f>IFERROR(IF($AB70=0,($V70/0.74)*BH70,
BH70*$AB70),)</f>
        <v/>
      </c>
      <c r="DU70" s="128">
        <f>IFERROR(IF($AB70=0,($V70/0.74)*BI70,
BI70*$AB70),)</f>
        <v/>
      </c>
    </row>
    <row r="71" ht="131.25" customHeight="1" s="162">
      <c r="A71" s="115" t="n"/>
      <c r="B71" s="115" t="n"/>
      <c r="C71" s="115" t="n"/>
      <c r="D71" s="115" t="n"/>
      <c r="E71" s="115" t="n"/>
      <c r="F71" s="115" t="n"/>
      <c r="G71" s="115" t="n"/>
      <c r="H71" s="115" t="n"/>
      <c r="I71" s="115" t="n"/>
      <c r="J71" s="115" t="n"/>
      <c r="K71" s="115" t="n"/>
      <c r="L71" s="115" t="n"/>
      <c r="M71" s="115" t="n"/>
      <c r="N71" s="115" t="n"/>
      <c r="O71" s="115" t="n"/>
      <c r="P71" s="115" t="n"/>
      <c r="Q71" s="115" t="n"/>
      <c r="R71" s="115" t="n"/>
      <c r="S71" s="115" t="n"/>
      <c r="T71" s="115" t="n"/>
      <c r="U71" s="116" t="n"/>
      <c r="V71" s="116" t="n"/>
      <c r="W71" s="117" t="n"/>
      <c r="X71" s="118" t="n"/>
      <c r="Y71" s="119" t="n"/>
      <c r="Z71" s="120" t="n"/>
      <c r="AA71" s="121" t="n"/>
      <c r="AB71" s="122" t="n"/>
      <c r="AC71" s="117" t="n"/>
      <c r="AD71" s="123">
        <f>IF(SUM($AE71:$AH71)=0,"",SUM($AE71:$AH71))</f>
        <v/>
      </c>
      <c r="AE71" s="123">
        <f>iferror(IF(SUM($AI71:$AZ71)=0,"",SUM($AI71:$AZ71)),"")</f>
        <v/>
      </c>
      <c r="AF71" s="123">
        <f>iferror(IF(SUM($BA71:$BC71)=0,"",SUM($BA71:$BC71)),"")</f>
        <v/>
      </c>
      <c r="AG71" s="123">
        <f>iferror(IF(SUM($BD71:$BF71)=0,"",SUM($BD71:$BF71)),"")</f>
        <v/>
      </c>
      <c r="AH71" s="124">
        <f>iferror(IF(SUM($BG71:$BI71)=0,"",SUM($BG71:$BI71)),"")</f>
        <v/>
      </c>
      <c r="AI71" s="131" t="n"/>
      <c r="AJ71" s="132" t="n"/>
      <c r="AK71" s="132" t="n"/>
      <c r="AL71" s="132" t="n"/>
      <c r="AM71" s="132" t="n"/>
      <c r="AN71" s="132" t="n"/>
      <c r="AO71" s="132" t="n"/>
      <c r="AP71" s="132" t="n"/>
      <c r="AQ71" s="132" t="n"/>
      <c r="AR71" s="132" t="n"/>
      <c r="AS71" s="132" t="n"/>
      <c r="AT71" s="132" t="n"/>
      <c r="AU71" s="132" t="n"/>
      <c r="AV71" s="132" t="n"/>
      <c r="AW71" s="132" t="n"/>
      <c r="AX71" s="132" t="n"/>
      <c r="AY71" s="132" t="n"/>
      <c r="AZ71" s="133" t="n"/>
      <c r="BA71" s="131" t="n"/>
      <c r="BB71" s="132" t="n"/>
      <c r="BC71" s="133" t="n"/>
      <c r="BD71" s="131" t="n"/>
      <c r="BE71" s="132" t="n"/>
      <c r="BF71" s="133" t="n"/>
      <c r="BG71" s="131" t="n"/>
      <c r="BH71" s="132" t="n"/>
      <c r="BI71" s="132" t="n"/>
      <c r="BJ71" s="128">
        <f>iferror(SUM($BK71,($BL71*1.2),($BM71*1.35),($BN71*0.74)),)</f>
        <v/>
      </c>
      <c r="BK71" s="128">
        <f>IFERROR(SUM($BT71:$CK71),)</f>
        <v/>
      </c>
      <c r="BL71" s="129">
        <f>IFERROR(SUM($CL71:$CN71),)</f>
        <v/>
      </c>
      <c r="BM71" s="130">
        <f>IFERROR(SUM($CO71:$CQ71),)</f>
        <v/>
      </c>
      <c r="BN71" s="128">
        <f>IFERROR(SUM($CR71:$CT71),)</f>
        <v/>
      </c>
      <c r="BO71" s="128">
        <f>iferror(SUM($BP71,($BQ71*1.2),($BR71*1.35),($BS71*0.74)),)</f>
        <v/>
      </c>
      <c r="BP71" s="128">
        <f>IFERROR(SUM($CU71:$DL71),)</f>
        <v/>
      </c>
      <c r="BQ71" s="128">
        <f>IFERROR(SUM($DM71:$DO71),)</f>
        <v/>
      </c>
      <c r="BR71" s="128">
        <f>IFERROR(SUM($DP71:$DR71),)</f>
        <v/>
      </c>
      <c r="BS71" s="128">
        <f>IFERROR(SUM($DS71:$DU71),)</f>
        <v/>
      </c>
      <c r="BT71" s="128">
        <f>IFERROR(AI71*$W71,)</f>
        <v/>
      </c>
      <c r="BU71" s="128">
        <f>IFERROR(AJ71*$W71,)</f>
        <v/>
      </c>
      <c r="BV71" s="128">
        <f>IFERROR(AK71*$W71,)</f>
        <v/>
      </c>
      <c r="BW71" s="128">
        <f>IFERROR(AL71*$W71,)</f>
        <v/>
      </c>
      <c r="BX71" s="128">
        <f>IFERROR(AM71*$W71,)</f>
        <v/>
      </c>
      <c r="BY71" s="128">
        <f>IFERROR(AN71*$W71,)</f>
        <v/>
      </c>
      <c r="BZ71" s="128">
        <f>IFERROR(AO71*$W71,)</f>
        <v/>
      </c>
      <c r="CA71" s="128">
        <f>IFERROR(AP71*$W71,)</f>
        <v/>
      </c>
      <c r="CB71" s="128">
        <f>IFERROR(AQ71*$W71,)</f>
        <v/>
      </c>
      <c r="CC71" s="128">
        <f>IFERROR(AR71*$W71,)</f>
        <v/>
      </c>
      <c r="CD71" s="128">
        <f>IFERROR(AS71*$W71,)</f>
        <v/>
      </c>
      <c r="CE71" s="128">
        <f>IFERROR(AT71*$W71,)</f>
        <v/>
      </c>
      <c r="CF71" s="128">
        <f>IFERROR(AU71*$W71,)</f>
        <v/>
      </c>
      <c r="CG71" s="128">
        <f>IFERROR(AV71*$W71,)</f>
        <v/>
      </c>
      <c r="CH71" s="128">
        <f>IFERROR(AW71*$W71,)</f>
        <v/>
      </c>
      <c r="CI71" s="128">
        <f>IFERROR(AX71*$W71,)</f>
        <v/>
      </c>
      <c r="CJ71" s="128">
        <f>IFERROR(AY71*$W71,)</f>
        <v/>
      </c>
      <c r="CK71" s="128">
        <f>IFERROR(AZ71*$W71,)</f>
        <v/>
      </c>
      <c r="CL71" s="129">
        <f>IFERROR(if($Y71=0,BA71*($W71/1.2),BA71*$Y71),"")</f>
        <v/>
      </c>
      <c r="CM71" s="129">
        <f>IFERROR(if($Y71=0,BB71*($W71/1.2),BB71*$Y71),"")</f>
        <v/>
      </c>
      <c r="CN71" s="129">
        <f>IFERROR(if($Y71=0,BC71*($W71/1.2),BC71*$Y71),"")</f>
        <v/>
      </c>
      <c r="CO71" s="130">
        <f>IFERROR(if($AA71=0,($W71/1.35)*BD71,BD71*$AA71),)</f>
        <v/>
      </c>
      <c r="CP71" s="130">
        <f>IFERROR(if($AA71=0,($W71/1.35)*BE71,BE71*$AA71),)</f>
        <v/>
      </c>
      <c r="CQ71" s="130">
        <f>IFERROR(if($AA71=0,($W71/1.35)*BF71,BF71*$AA71),)</f>
        <v/>
      </c>
      <c r="CR71" s="128">
        <f>IFERROR(if($AC71=0,($W71/0.74)*BG71,
BG71*$AC71),)</f>
        <v/>
      </c>
      <c r="CS71" s="128">
        <f>IFERROR(if($AC71=0,($W71/0.74)*BH71,
BH71*$AC71),)</f>
        <v/>
      </c>
      <c r="CT71" s="128">
        <f>IFERROR(if($AC71=0,($W71/0.74)*BI71,
BI71*$AC71),)</f>
        <v/>
      </c>
      <c r="CU71" s="128">
        <f>IFERROR(AI71*$V71,)</f>
        <v/>
      </c>
      <c r="CV71" s="128">
        <f>IFERROR(AJ71*$V71,)</f>
        <v/>
      </c>
      <c r="CW71" s="128">
        <f>IFERROR(AK71*$V71,)</f>
        <v/>
      </c>
      <c r="CX71" s="128">
        <f>IFERROR(AL71*$V71,)</f>
        <v/>
      </c>
      <c r="CY71" s="128">
        <f>IFERROR(AM71*$V71,)</f>
        <v/>
      </c>
      <c r="CZ71" s="128">
        <f>IFERROR(AN71*$V71,)</f>
        <v/>
      </c>
      <c r="DA71" s="128">
        <f>IFERROR(AO71*$V71,)</f>
        <v/>
      </c>
      <c r="DB71" s="128">
        <f>IFERROR(AP71*$V71,)</f>
        <v/>
      </c>
      <c r="DC71" s="128">
        <f>IFERROR(AQ71*$V71,)</f>
        <v/>
      </c>
      <c r="DD71" s="128">
        <f>IFERROR(AR71*$V71,)</f>
        <v/>
      </c>
      <c r="DE71" s="128">
        <f>IFERROR(AS71*$V71,)</f>
        <v/>
      </c>
      <c r="DF71" s="128">
        <f>IFERROR(AT71*$V71,)</f>
        <v/>
      </c>
      <c r="DG71" s="128">
        <f>IFERROR(AU71*$V71,)</f>
        <v/>
      </c>
      <c r="DH71" s="128">
        <f>IFERROR(AV71*$V71,)</f>
        <v/>
      </c>
      <c r="DI71" s="128">
        <f>IFERROR(AW71*$V71,)</f>
        <v/>
      </c>
      <c r="DJ71" s="128">
        <f>IFERROR(AX71*$V71,)</f>
        <v/>
      </c>
      <c r="DK71" s="128">
        <f>IFERROR(AY71*$V71,)</f>
        <v/>
      </c>
      <c r="DL71" s="128">
        <f>IFERROR(AZ71*$V71,)</f>
        <v/>
      </c>
      <c r="DM71" s="129">
        <f>IFERROR(if($X71=0,($V71/1.2)*BA71,
BA71*$X71),)</f>
        <v/>
      </c>
      <c r="DN71" s="129">
        <f>IFERROR(if($X71=0,($V71/1.2)*BB71,
BB71*$X71),)</f>
        <v/>
      </c>
      <c r="DO71" s="129">
        <f>IFERROR(if($X71=0,($V71/1.2)*BC71,
BC71*$X71),)</f>
        <v/>
      </c>
      <c r="DP71" s="130">
        <f>IFERROR(if($Z71=0,($V71/1.35)*BD71,
BD71*$Z71),)</f>
        <v/>
      </c>
      <c r="DQ71" s="130">
        <f>IFERROR(if($Z71=0,($V71/1.35)*BE71,
BE71*$Z71),)</f>
        <v/>
      </c>
      <c r="DR71" s="130">
        <f>IFERROR(if($Z71=0,($V71/1.35)*BF71,
BF71*$Z71),)</f>
        <v/>
      </c>
      <c r="DS71" s="128">
        <f>IFERROR(IF($AB71=0,($V71/0.74)*BG71,
BG71*$AB71),)</f>
        <v/>
      </c>
      <c r="DT71" s="128">
        <f>IFERROR(IF($AB71=0,($V71/0.74)*BH71,
BH71*$AB71),)</f>
        <v/>
      </c>
      <c r="DU71" s="128">
        <f>IFERROR(IF($AB71=0,($V71/0.74)*BI71,
BI71*$AB71),)</f>
        <v/>
      </c>
    </row>
    <row r="72" ht="131.25" customHeight="1" s="162">
      <c r="A72" s="115" t="n"/>
      <c r="B72" s="115" t="n"/>
      <c r="C72" s="115" t="n"/>
      <c r="D72" s="115" t="n"/>
      <c r="E72" s="115" t="n"/>
      <c r="F72" s="115" t="n"/>
      <c r="G72" s="115" t="n"/>
      <c r="H72" s="115" t="n"/>
      <c r="I72" s="115" t="n"/>
      <c r="J72" s="115" t="n"/>
      <c r="K72" s="115" t="n"/>
      <c r="L72" s="115" t="n"/>
      <c r="M72" s="115" t="n"/>
      <c r="N72" s="115" t="n"/>
      <c r="O72" s="115" t="n"/>
      <c r="P72" s="115" t="n"/>
      <c r="Q72" s="115" t="n"/>
      <c r="R72" s="115" t="n"/>
      <c r="S72" s="115" t="n"/>
      <c r="T72" s="115" t="n"/>
      <c r="U72" s="116" t="n"/>
      <c r="V72" s="116" t="n"/>
      <c r="W72" s="117" t="n"/>
      <c r="X72" s="118" t="n"/>
      <c r="Y72" s="119" t="n"/>
      <c r="Z72" s="120" t="n"/>
      <c r="AA72" s="121" t="n"/>
      <c r="AB72" s="122" t="n"/>
      <c r="AC72" s="117" t="n"/>
      <c r="AD72" s="123">
        <f>IF(SUM($AE72:$AH72)=0,"",SUM($AE72:$AH72))</f>
        <v/>
      </c>
      <c r="AE72" s="123">
        <f>iferror(IF(SUM($AI72:$AZ72)=0,"",SUM($AI72:$AZ72)),"")</f>
        <v/>
      </c>
      <c r="AF72" s="123">
        <f>iferror(IF(SUM($BA72:$BC72)=0,"",SUM($BA72:$BC72)),"")</f>
        <v/>
      </c>
      <c r="AG72" s="123">
        <f>iferror(IF(SUM($BD72:$BF72)=0,"",SUM($BD72:$BF72)),"")</f>
        <v/>
      </c>
      <c r="AH72" s="124">
        <f>iferror(IF(SUM($BG72:$BI72)=0,"",SUM($BG72:$BI72)),"")</f>
        <v/>
      </c>
      <c r="AI72" s="131" t="n"/>
      <c r="AJ72" s="132" t="n"/>
      <c r="AK72" s="132" t="n"/>
      <c r="AL72" s="132" t="n"/>
      <c r="AM72" s="132" t="n"/>
      <c r="AN72" s="132" t="n"/>
      <c r="AO72" s="132" t="n"/>
      <c r="AP72" s="132" t="n"/>
      <c r="AQ72" s="132" t="n"/>
      <c r="AR72" s="132" t="n"/>
      <c r="AS72" s="132" t="n"/>
      <c r="AT72" s="132" t="n"/>
      <c r="AU72" s="132" t="n"/>
      <c r="AV72" s="132" t="n"/>
      <c r="AW72" s="132" t="n"/>
      <c r="AX72" s="132" t="n"/>
      <c r="AY72" s="132" t="n"/>
      <c r="AZ72" s="133" t="n"/>
      <c r="BA72" s="131" t="n"/>
      <c r="BB72" s="132" t="n"/>
      <c r="BC72" s="133" t="n"/>
      <c r="BD72" s="131" t="n"/>
      <c r="BE72" s="132" t="n"/>
      <c r="BF72" s="133" t="n"/>
      <c r="BG72" s="131" t="n"/>
      <c r="BH72" s="132" t="n"/>
      <c r="BI72" s="132" t="n"/>
      <c r="BJ72" s="128">
        <f>iferror(SUM($BK72,($BL72*1.2),($BM72*1.35),($BN72*0.74)),)</f>
        <v/>
      </c>
      <c r="BK72" s="128">
        <f>IFERROR(SUM($BT72:$CK72),)</f>
        <v/>
      </c>
      <c r="BL72" s="129">
        <f>IFERROR(SUM($CL72:$CN72),)</f>
        <v/>
      </c>
      <c r="BM72" s="130">
        <f>IFERROR(SUM($CO72:$CQ72),)</f>
        <v/>
      </c>
      <c r="BN72" s="128">
        <f>IFERROR(SUM($CR72:$CT72),)</f>
        <v/>
      </c>
      <c r="BO72" s="128">
        <f>iferror(SUM($BP72,($BQ72*1.2),($BR72*1.35),($BS72*0.74)),)</f>
        <v/>
      </c>
      <c r="BP72" s="128">
        <f>IFERROR(SUM($CU72:$DL72),)</f>
        <v/>
      </c>
      <c r="BQ72" s="128">
        <f>IFERROR(SUM($DM72:$DO72),)</f>
        <v/>
      </c>
      <c r="BR72" s="128">
        <f>IFERROR(SUM($DP72:$DR72),)</f>
        <v/>
      </c>
      <c r="BS72" s="128">
        <f>IFERROR(SUM($DS72:$DU72),)</f>
        <v/>
      </c>
      <c r="BT72" s="128">
        <f>IFERROR(AI72*$W72,)</f>
        <v/>
      </c>
      <c r="BU72" s="128">
        <f>IFERROR(AJ72*$W72,)</f>
        <v/>
      </c>
      <c r="BV72" s="128">
        <f>IFERROR(AK72*$W72,)</f>
        <v/>
      </c>
      <c r="BW72" s="128">
        <f>IFERROR(AL72*$W72,)</f>
        <v/>
      </c>
      <c r="BX72" s="128">
        <f>IFERROR(AM72*$W72,)</f>
        <v/>
      </c>
      <c r="BY72" s="128">
        <f>IFERROR(AN72*$W72,)</f>
        <v/>
      </c>
      <c r="BZ72" s="128">
        <f>IFERROR(AO72*$W72,)</f>
        <v/>
      </c>
      <c r="CA72" s="128">
        <f>IFERROR(AP72*$W72,)</f>
        <v/>
      </c>
      <c r="CB72" s="128">
        <f>IFERROR(AQ72*$W72,)</f>
        <v/>
      </c>
      <c r="CC72" s="128">
        <f>IFERROR(AR72*$W72,)</f>
        <v/>
      </c>
      <c r="CD72" s="128">
        <f>IFERROR(AS72*$W72,)</f>
        <v/>
      </c>
      <c r="CE72" s="128">
        <f>IFERROR(AT72*$W72,)</f>
        <v/>
      </c>
      <c r="CF72" s="128">
        <f>IFERROR(AU72*$W72,)</f>
        <v/>
      </c>
      <c r="CG72" s="128">
        <f>IFERROR(AV72*$W72,)</f>
        <v/>
      </c>
      <c r="CH72" s="128">
        <f>IFERROR(AW72*$W72,)</f>
        <v/>
      </c>
      <c r="CI72" s="128">
        <f>IFERROR(AX72*$W72,)</f>
        <v/>
      </c>
      <c r="CJ72" s="128">
        <f>IFERROR(AY72*$W72,)</f>
        <v/>
      </c>
      <c r="CK72" s="128">
        <f>IFERROR(AZ72*$W72,)</f>
        <v/>
      </c>
      <c r="CL72" s="129">
        <f>IFERROR(if($Y72=0,BA72*($W72/1.2),BA72*$Y72),"")</f>
        <v/>
      </c>
      <c r="CM72" s="129">
        <f>IFERROR(if($Y72=0,BB72*($W72/1.2),BB72*$Y72),"")</f>
        <v/>
      </c>
      <c r="CN72" s="129">
        <f>IFERROR(if($Y72=0,BC72*($W72/1.2),BC72*$Y72),"")</f>
        <v/>
      </c>
      <c r="CO72" s="130">
        <f>IFERROR(if($AA72=0,($W72/1.35)*BD72,BD72*$AA72),)</f>
        <v/>
      </c>
      <c r="CP72" s="130">
        <f>IFERROR(if($AA72=0,($W72/1.35)*BE72,BE72*$AA72),)</f>
        <v/>
      </c>
      <c r="CQ72" s="130">
        <f>IFERROR(if($AA72=0,($W72/1.35)*BF72,BF72*$AA72),)</f>
        <v/>
      </c>
      <c r="CR72" s="128">
        <f>IFERROR(if($AC72=0,($W72/0.74)*BG72,
BG72*$AC72),)</f>
        <v/>
      </c>
      <c r="CS72" s="128">
        <f>IFERROR(if($AC72=0,($W72/0.74)*BH72,
BH72*$AC72),)</f>
        <v/>
      </c>
      <c r="CT72" s="128">
        <f>IFERROR(if($AC72=0,($W72/0.74)*BI72,
BI72*$AC72),)</f>
        <v/>
      </c>
      <c r="CU72" s="128">
        <f>IFERROR(AI72*$V72,)</f>
        <v/>
      </c>
      <c r="CV72" s="128">
        <f>IFERROR(AJ72*$V72,)</f>
        <v/>
      </c>
      <c r="CW72" s="128">
        <f>IFERROR(AK72*$V72,)</f>
        <v/>
      </c>
      <c r="CX72" s="128">
        <f>IFERROR(AL72*$V72,)</f>
        <v/>
      </c>
      <c r="CY72" s="128">
        <f>IFERROR(AM72*$V72,)</f>
        <v/>
      </c>
      <c r="CZ72" s="128">
        <f>IFERROR(AN72*$V72,)</f>
        <v/>
      </c>
      <c r="DA72" s="128">
        <f>IFERROR(AO72*$V72,)</f>
        <v/>
      </c>
      <c r="DB72" s="128">
        <f>IFERROR(AP72*$V72,)</f>
        <v/>
      </c>
      <c r="DC72" s="128">
        <f>IFERROR(AQ72*$V72,)</f>
        <v/>
      </c>
      <c r="DD72" s="128">
        <f>IFERROR(AR72*$V72,)</f>
        <v/>
      </c>
      <c r="DE72" s="128">
        <f>IFERROR(AS72*$V72,)</f>
        <v/>
      </c>
      <c r="DF72" s="128">
        <f>IFERROR(AT72*$V72,)</f>
        <v/>
      </c>
      <c r="DG72" s="128">
        <f>IFERROR(AU72*$V72,)</f>
        <v/>
      </c>
      <c r="DH72" s="128">
        <f>IFERROR(AV72*$V72,)</f>
        <v/>
      </c>
      <c r="DI72" s="128">
        <f>IFERROR(AW72*$V72,)</f>
        <v/>
      </c>
      <c r="DJ72" s="128">
        <f>IFERROR(AX72*$V72,)</f>
        <v/>
      </c>
      <c r="DK72" s="128">
        <f>IFERROR(AY72*$V72,)</f>
        <v/>
      </c>
      <c r="DL72" s="128">
        <f>IFERROR(AZ72*$V72,)</f>
        <v/>
      </c>
      <c r="DM72" s="129">
        <f>IFERROR(if($X72=0,($V72/1.2)*BA72,
BA72*$X72),)</f>
        <v/>
      </c>
      <c r="DN72" s="129">
        <f>IFERROR(if($X72=0,($V72/1.2)*BB72,
BB72*$X72),)</f>
        <v/>
      </c>
      <c r="DO72" s="129">
        <f>IFERROR(if($X72=0,($V72/1.2)*BC72,
BC72*$X72),)</f>
        <v/>
      </c>
      <c r="DP72" s="130">
        <f>IFERROR(if($Z72=0,($V72/1.35)*BD72,
BD72*$Z72),)</f>
        <v/>
      </c>
      <c r="DQ72" s="130">
        <f>IFERROR(if($Z72=0,($V72/1.35)*BE72,
BE72*$Z72),)</f>
        <v/>
      </c>
      <c r="DR72" s="130">
        <f>IFERROR(if($Z72=0,($V72/1.35)*BF72,
BF72*$Z72),)</f>
        <v/>
      </c>
      <c r="DS72" s="128">
        <f>IFERROR(IF($AB72=0,($V72/0.74)*BG72,
BG72*$AB72),)</f>
        <v/>
      </c>
      <c r="DT72" s="128">
        <f>IFERROR(IF($AB72=0,($V72/0.74)*BH72,
BH72*$AB72),)</f>
        <v/>
      </c>
      <c r="DU72" s="128">
        <f>IFERROR(IF($AB72=0,($V72/0.74)*BI72,
BI72*$AB72),)</f>
        <v/>
      </c>
    </row>
    <row r="73" ht="131.25" customHeight="1" s="162">
      <c r="A73" s="115" t="n"/>
      <c r="B73" s="115" t="n"/>
      <c r="C73" s="115" t="n"/>
      <c r="D73" s="115" t="n"/>
      <c r="E73" s="115" t="n"/>
      <c r="F73" s="115" t="n"/>
      <c r="G73" s="115" t="n"/>
      <c r="H73" s="115" t="n"/>
      <c r="I73" s="115" t="n"/>
      <c r="J73" s="115" t="n"/>
      <c r="K73" s="115" t="n"/>
      <c r="L73" s="115" t="n"/>
      <c r="M73" s="115" t="n"/>
      <c r="N73" s="115" t="n"/>
      <c r="O73" s="115" t="n"/>
      <c r="P73" s="115" t="n"/>
      <c r="Q73" s="115" t="n"/>
      <c r="R73" s="115" t="n"/>
      <c r="S73" s="115" t="n"/>
      <c r="T73" s="115" t="n"/>
      <c r="U73" s="116" t="n"/>
      <c r="V73" s="116" t="n"/>
      <c r="W73" s="117" t="n"/>
      <c r="X73" s="118" t="n"/>
      <c r="Y73" s="119" t="n"/>
      <c r="Z73" s="120" t="n"/>
      <c r="AA73" s="121" t="n"/>
      <c r="AB73" s="122" t="n"/>
      <c r="AC73" s="117" t="n"/>
      <c r="AD73" s="123">
        <f>IF(SUM($AE73:$AH73)=0,"",SUM($AE73:$AH73))</f>
        <v/>
      </c>
      <c r="AE73" s="123">
        <f>iferror(IF(SUM($AI73:$AZ73)=0,"",SUM($AI73:$AZ73)),"")</f>
        <v/>
      </c>
      <c r="AF73" s="123">
        <f>iferror(IF(SUM($BA73:$BC73)=0,"",SUM($BA73:$BC73)),"")</f>
        <v/>
      </c>
      <c r="AG73" s="123">
        <f>iferror(IF(SUM($BD73:$BF73)=0,"",SUM($BD73:$BF73)),"")</f>
        <v/>
      </c>
      <c r="AH73" s="124">
        <f>iferror(IF(SUM($BG73:$BI73)=0,"",SUM($BG73:$BI73)),"")</f>
        <v/>
      </c>
      <c r="AI73" s="131" t="n"/>
      <c r="AJ73" s="132" t="n"/>
      <c r="AK73" s="132" t="n"/>
      <c r="AL73" s="132" t="n"/>
      <c r="AM73" s="132" t="n"/>
      <c r="AN73" s="132" t="n"/>
      <c r="AO73" s="132" t="n"/>
      <c r="AP73" s="132" t="n"/>
      <c r="AQ73" s="132" t="n"/>
      <c r="AR73" s="132" t="n"/>
      <c r="AS73" s="132" t="n"/>
      <c r="AT73" s="132" t="n"/>
      <c r="AU73" s="132" t="n"/>
      <c r="AV73" s="132" t="n"/>
      <c r="AW73" s="132" t="n"/>
      <c r="AX73" s="132" t="n"/>
      <c r="AY73" s="132" t="n"/>
      <c r="AZ73" s="133" t="n"/>
      <c r="BA73" s="131" t="n"/>
      <c r="BB73" s="132" t="n"/>
      <c r="BC73" s="133" t="n"/>
      <c r="BD73" s="131" t="n"/>
      <c r="BE73" s="132" t="n"/>
      <c r="BF73" s="133" t="n"/>
      <c r="BG73" s="131" t="n"/>
      <c r="BH73" s="132" t="n"/>
      <c r="BI73" s="132" t="n"/>
      <c r="BJ73" s="128">
        <f>iferror(SUM($BK73,($BL73*1.2),($BM73*1.35),($BN73*0.74)),)</f>
        <v/>
      </c>
      <c r="BK73" s="128">
        <f>IFERROR(SUM($BT73:$CK73),)</f>
        <v/>
      </c>
      <c r="BL73" s="129">
        <f>IFERROR(SUM($CL73:$CN73),)</f>
        <v/>
      </c>
      <c r="BM73" s="130">
        <f>IFERROR(SUM($CO73:$CQ73),)</f>
        <v/>
      </c>
      <c r="BN73" s="128">
        <f>IFERROR(SUM($CR73:$CT73),)</f>
        <v/>
      </c>
      <c r="BO73" s="128">
        <f>iferror(SUM($BP73,($BQ73*1.2),($BR73*1.35),($BS73*0.74)),)</f>
        <v/>
      </c>
      <c r="BP73" s="128">
        <f>IFERROR(SUM($CU73:$DL73),)</f>
        <v/>
      </c>
      <c r="BQ73" s="128">
        <f>IFERROR(SUM($DM73:$DO73),)</f>
        <v/>
      </c>
      <c r="BR73" s="128">
        <f>IFERROR(SUM($DP73:$DR73),)</f>
        <v/>
      </c>
      <c r="BS73" s="128">
        <f>IFERROR(SUM($DS73:$DU73),)</f>
        <v/>
      </c>
      <c r="BT73" s="128">
        <f>IFERROR(AI73*$W73,)</f>
        <v/>
      </c>
      <c r="BU73" s="128">
        <f>IFERROR(AJ73*$W73,)</f>
        <v/>
      </c>
      <c r="BV73" s="128">
        <f>IFERROR(AK73*$W73,)</f>
        <v/>
      </c>
      <c r="BW73" s="128">
        <f>IFERROR(AL73*$W73,)</f>
        <v/>
      </c>
      <c r="BX73" s="128">
        <f>IFERROR(AM73*$W73,)</f>
        <v/>
      </c>
      <c r="BY73" s="128">
        <f>IFERROR(AN73*$W73,)</f>
        <v/>
      </c>
      <c r="BZ73" s="128">
        <f>IFERROR(AO73*$W73,)</f>
        <v/>
      </c>
      <c r="CA73" s="128">
        <f>IFERROR(AP73*$W73,)</f>
        <v/>
      </c>
      <c r="CB73" s="128">
        <f>IFERROR(AQ73*$W73,)</f>
        <v/>
      </c>
      <c r="CC73" s="128">
        <f>IFERROR(AR73*$W73,)</f>
        <v/>
      </c>
      <c r="CD73" s="128">
        <f>IFERROR(AS73*$W73,)</f>
        <v/>
      </c>
      <c r="CE73" s="128">
        <f>IFERROR(AT73*$W73,)</f>
        <v/>
      </c>
      <c r="CF73" s="128">
        <f>IFERROR(AU73*$W73,)</f>
        <v/>
      </c>
      <c r="CG73" s="128">
        <f>IFERROR(AV73*$W73,)</f>
        <v/>
      </c>
      <c r="CH73" s="128">
        <f>IFERROR(AW73*$W73,)</f>
        <v/>
      </c>
      <c r="CI73" s="128">
        <f>IFERROR(AX73*$W73,)</f>
        <v/>
      </c>
      <c r="CJ73" s="128">
        <f>IFERROR(AY73*$W73,)</f>
        <v/>
      </c>
      <c r="CK73" s="128">
        <f>IFERROR(AZ73*$W73,)</f>
        <v/>
      </c>
      <c r="CL73" s="129">
        <f>IFERROR(if($Y73=0,BA73*($W73/1.2),BA73*$Y73),"")</f>
        <v/>
      </c>
      <c r="CM73" s="129">
        <f>IFERROR(if($Y73=0,BB73*($W73/1.2),BB73*$Y73),"")</f>
        <v/>
      </c>
      <c r="CN73" s="129">
        <f>IFERROR(if($Y73=0,BC73*($W73/1.2),BC73*$Y73),"")</f>
        <v/>
      </c>
      <c r="CO73" s="130">
        <f>IFERROR(if($AA73=0,($W73/1.35)*BD73,BD73*$AA73),)</f>
        <v/>
      </c>
      <c r="CP73" s="130">
        <f>IFERROR(if($AA73=0,($W73/1.35)*BE73,BE73*$AA73),)</f>
        <v/>
      </c>
      <c r="CQ73" s="130">
        <f>IFERROR(if($AA73=0,($W73/1.35)*BF73,BF73*$AA73),)</f>
        <v/>
      </c>
      <c r="CR73" s="128">
        <f>IFERROR(if($AC73=0,($W73/0.74)*BG73,
BG73*$AC73),)</f>
        <v/>
      </c>
      <c r="CS73" s="128">
        <f>IFERROR(if($AC73=0,($W73/0.74)*BH73,
BH73*$AC73),)</f>
        <v/>
      </c>
      <c r="CT73" s="128">
        <f>IFERROR(if($AC73=0,($W73/0.74)*BI73,
BI73*$AC73),)</f>
        <v/>
      </c>
      <c r="CU73" s="128">
        <f>IFERROR(AI73*$V73,)</f>
        <v/>
      </c>
      <c r="CV73" s="128">
        <f>IFERROR(AJ73*$V73,)</f>
        <v/>
      </c>
      <c r="CW73" s="128">
        <f>IFERROR(AK73*$V73,)</f>
        <v/>
      </c>
      <c r="CX73" s="128">
        <f>IFERROR(AL73*$V73,)</f>
        <v/>
      </c>
      <c r="CY73" s="128">
        <f>IFERROR(AM73*$V73,)</f>
        <v/>
      </c>
      <c r="CZ73" s="128">
        <f>IFERROR(AN73*$V73,)</f>
        <v/>
      </c>
      <c r="DA73" s="128">
        <f>IFERROR(AO73*$V73,)</f>
        <v/>
      </c>
      <c r="DB73" s="128">
        <f>IFERROR(AP73*$V73,)</f>
        <v/>
      </c>
      <c r="DC73" s="128">
        <f>IFERROR(AQ73*$V73,)</f>
        <v/>
      </c>
      <c r="DD73" s="128">
        <f>IFERROR(AR73*$V73,)</f>
        <v/>
      </c>
      <c r="DE73" s="128">
        <f>IFERROR(AS73*$V73,)</f>
        <v/>
      </c>
      <c r="DF73" s="128">
        <f>IFERROR(AT73*$V73,)</f>
        <v/>
      </c>
      <c r="DG73" s="128">
        <f>IFERROR(AU73*$V73,)</f>
        <v/>
      </c>
      <c r="DH73" s="128">
        <f>IFERROR(AV73*$V73,)</f>
        <v/>
      </c>
      <c r="DI73" s="128">
        <f>IFERROR(AW73*$V73,)</f>
        <v/>
      </c>
      <c r="DJ73" s="128">
        <f>IFERROR(AX73*$V73,)</f>
        <v/>
      </c>
      <c r="DK73" s="128">
        <f>IFERROR(AY73*$V73,)</f>
        <v/>
      </c>
      <c r="DL73" s="128">
        <f>IFERROR(AZ73*$V73,)</f>
        <v/>
      </c>
      <c r="DM73" s="129">
        <f>IFERROR(if($X73=0,($V73/1.2)*BA73,
BA73*$X73),)</f>
        <v/>
      </c>
      <c r="DN73" s="129">
        <f>IFERROR(if($X73=0,($V73/1.2)*BB73,
BB73*$X73),)</f>
        <v/>
      </c>
      <c r="DO73" s="129">
        <f>IFERROR(if($X73=0,($V73/1.2)*BC73,
BC73*$X73),)</f>
        <v/>
      </c>
      <c r="DP73" s="130">
        <f>IFERROR(if($Z73=0,($V73/1.35)*BD73,
BD73*$Z73),)</f>
        <v/>
      </c>
      <c r="DQ73" s="130">
        <f>IFERROR(if($Z73=0,($V73/1.35)*BE73,
BE73*$Z73),)</f>
        <v/>
      </c>
      <c r="DR73" s="130">
        <f>IFERROR(if($Z73=0,($V73/1.35)*BF73,
BF73*$Z73),)</f>
        <v/>
      </c>
      <c r="DS73" s="128">
        <f>IFERROR(IF($AB73=0,($V73/0.74)*BG73,
BG73*$AB73),)</f>
        <v/>
      </c>
      <c r="DT73" s="128">
        <f>IFERROR(IF($AB73=0,($V73/0.74)*BH73,
BH73*$AB73),)</f>
        <v/>
      </c>
      <c r="DU73" s="128">
        <f>IFERROR(IF($AB73=0,($V73/0.74)*BI73,
BI73*$AB73),)</f>
        <v/>
      </c>
    </row>
    <row r="74" ht="131.25" customHeight="1" s="162">
      <c r="A74" s="115" t="n"/>
      <c r="B74" s="115" t="n"/>
      <c r="C74" s="115" t="n"/>
      <c r="D74" s="115" t="n"/>
      <c r="E74" s="115" t="n"/>
      <c r="F74" s="115" t="n"/>
      <c r="G74" s="115" t="n"/>
      <c r="H74" s="115" t="n"/>
      <c r="I74" s="115" t="n"/>
      <c r="J74" s="115" t="n"/>
      <c r="K74" s="115" t="n"/>
      <c r="L74" s="115" t="n"/>
      <c r="M74" s="115" t="n"/>
      <c r="N74" s="115" t="n"/>
      <c r="O74" s="115" t="n"/>
      <c r="P74" s="115" t="n"/>
      <c r="Q74" s="115" t="n"/>
      <c r="R74" s="115" t="n"/>
      <c r="S74" s="115" t="n"/>
      <c r="T74" s="115" t="n"/>
      <c r="U74" s="116" t="n"/>
      <c r="V74" s="116" t="n"/>
      <c r="W74" s="117" t="n"/>
      <c r="X74" s="118" t="n"/>
      <c r="Y74" s="119" t="n"/>
      <c r="Z74" s="120" t="n"/>
      <c r="AA74" s="121" t="n"/>
      <c r="AB74" s="122" t="n"/>
      <c r="AC74" s="117" t="n"/>
      <c r="AD74" s="123">
        <f>IF(SUM($AE74:$AH74)=0,"",SUM($AE74:$AH74))</f>
        <v/>
      </c>
      <c r="AE74" s="123">
        <f>iferror(IF(SUM($AI74:$AZ74)=0,"",SUM($AI74:$AZ74)),"")</f>
        <v/>
      </c>
      <c r="AF74" s="123">
        <f>iferror(IF(SUM($BA74:$BC74)=0,"",SUM($BA74:$BC74)),"")</f>
        <v/>
      </c>
      <c r="AG74" s="123">
        <f>iferror(IF(SUM($BD74:$BF74)=0,"",SUM($BD74:$BF74)),"")</f>
        <v/>
      </c>
      <c r="AH74" s="124">
        <f>iferror(IF(SUM($BG74:$BI74)=0,"",SUM($BG74:$BI74)),"")</f>
        <v/>
      </c>
      <c r="AI74" s="131" t="n"/>
      <c r="AJ74" s="132" t="n"/>
      <c r="AK74" s="132" t="n"/>
      <c r="AL74" s="132" t="n"/>
      <c r="AM74" s="132" t="n"/>
      <c r="AN74" s="132" t="n"/>
      <c r="AO74" s="132" t="n"/>
      <c r="AP74" s="132" t="n"/>
      <c r="AQ74" s="132" t="n"/>
      <c r="AR74" s="132" t="n"/>
      <c r="AS74" s="132" t="n"/>
      <c r="AT74" s="132" t="n"/>
      <c r="AU74" s="132" t="n"/>
      <c r="AV74" s="132" t="n"/>
      <c r="AW74" s="132" t="n"/>
      <c r="AX74" s="132" t="n"/>
      <c r="AY74" s="132" t="n"/>
      <c r="AZ74" s="133" t="n"/>
      <c r="BA74" s="131" t="n"/>
      <c r="BB74" s="132" t="n"/>
      <c r="BC74" s="133" t="n"/>
      <c r="BD74" s="131" t="n"/>
      <c r="BE74" s="132" t="n"/>
      <c r="BF74" s="133" t="n"/>
      <c r="BG74" s="131" t="n"/>
      <c r="BH74" s="132" t="n"/>
      <c r="BI74" s="132" t="n"/>
      <c r="BJ74" s="128">
        <f>iferror(SUM($BK74,($BL74*1.2),($BM74*1.35),($BN74*0.74)),)</f>
        <v/>
      </c>
      <c r="BK74" s="128">
        <f>IFERROR(SUM($BT74:$CK74),)</f>
        <v/>
      </c>
      <c r="BL74" s="129">
        <f>IFERROR(SUM($CL74:$CN74),)</f>
        <v/>
      </c>
      <c r="BM74" s="130">
        <f>IFERROR(SUM($CO74:$CQ74),)</f>
        <v/>
      </c>
      <c r="BN74" s="128">
        <f>IFERROR(SUM($CR74:$CT74),)</f>
        <v/>
      </c>
      <c r="BO74" s="128">
        <f>iferror(SUM($BP74,($BQ74*1.2),($BR74*1.35),($BS74*0.74)),)</f>
        <v/>
      </c>
      <c r="BP74" s="128">
        <f>IFERROR(SUM($CU74:$DL74),)</f>
        <v/>
      </c>
      <c r="BQ74" s="128">
        <f>IFERROR(SUM($DM74:$DO74),)</f>
        <v/>
      </c>
      <c r="BR74" s="128">
        <f>IFERROR(SUM($DP74:$DR74),)</f>
        <v/>
      </c>
      <c r="BS74" s="128">
        <f>IFERROR(SUM($DS74:$DU74),)</f>
        <v/>
      </c>
      <c r="BT74" s="128">
        <f>IFERROR(AI74*$W74,)</f>
        <v/>
      </c>
      <c r="BU74" s="128">
        <f>IFERROR(AJ74*$W74,)</f>
        <v/>
      </c>
      <c r="BV74" s="128">
        <f>IFERROR(AK74*$W74,)</f>
        <v/>
      </c>
      <c r="BW74" s="128">
        <f>IFERROR(AL74*$W74,)</f>
        <v/>
      </c>
      <c r="BX74" s="128">
        <f>IFERROR(AM74*$W74,)</f>
        <v/>
      </c>
      <c r="BY74" s="128">
        <f>IFERROR(AN74*$W74,)</f>
        <v/>
      </c>
      <c r="BZ74" s="128">
        <f>IFERROR(AO74*$W74,)</f>
        <v/>
      </c>
      <c r="CA74" s="128">
        <f>IFERROR(AP74*$W74,)</f>
        <v/>
      </c>
      <c r="CB74" s="128">
        <f>IFERROR(AQ74*$W74,)</f>
        <v/>
      </c>
      <c r="CC74" s="128">
        <f>IFERROR(AR74*$W74,)</f>
        <v/>
      </c>
      <c r="CD74" s="128">
        <f>IFERROR(AS74*$W74,)</f>
        <v/>
      </c>
      <c r="CE74" s="128">
        <f>IFERROR(AT74*$W74,)</f>
        <v/>
      </c>
      <c r="CF74" s="128">
        <f>IFERROR(AU74*$W74,)</f>
        <v/>
      </c>
      <c r="CG74" s="128">
        <f>IFERROR(AV74*$W74,)</f>
        <v/>
      </c>
      <c r="CH74" s="128">
        <f>IFERROR(AW74*$W74,)</f>
        <v/>
      </c>
      <c r="CI74" s="128">
        <f>IFERROR(AX74*$W74,)</f>
        <v/>
      </c>
      <c r="CJ74" s="128">
        <f>IFERROR(AY74*$W74,)</f>
        <v/>
      </c>
      <c r="CK74" s="128">
        <f>IFERROR(AZ74*$W74,)</f>
        <v/>
      </c>
      <c r="CL74" s="129">
        <f>IFERROR(if($Y74=0,BA74*($W74/1.2),BA74*$Y74),"")</f>
        <v/>
      </c>
      <c r="CM74" s="129">
        <f>IFERROR(if($Y74=0,BB74*($W74/1.2),BB74*$Y74),"")</f>
        <v/>
      </c>
      <c r="CN74" s="129">
        <f>IFERROR(if($Y74=0,BC74*($W74/1.2),BC74*$Y74),"")</f>
        <v/>
      </c>
      <c r="CO74" s="130">
        <f>IFERROR(if($AA74=0,($W74/1.35)*BD74,BD74*$AA74),)</f>
        <v/>
      </c>
      <c r="CP74" s="130">
        <f>IFERROR(if($AA74=0,($W74/1.35)*BE74,BE74*$AA74),)</f>
        <v/>
      </c>
      <c r="CQ74" s="130">
        <f>IFERROR(if($AA74=0,($W74/1.35)*BF74,BF74*$AA74),)</f>
        <v/>
      </c>
      <c r="CR74" s="128">
        <f>IFERROR(if($AC74=0,($W74/0.74)*BG74,
BG74*$AC74),)</f>
        <v/>
      </c>
      <c r="CS74" s="128">
        <f>IFERROR(if($AC74=0,($W74/0.74)*BH74,
BH74*$AC74),)</f>
        <v/>
      </c>
      <c r="CT74" s="128">
        <f>IFERROR(if($AC74=0,($W74/0.74)*BI74,
BI74*$AC74),)</f>
        <v/>
      </c>
      <c r="CU74" s="128">
        <f>IFERROR(AI74*$V74,)</f>
        <v/>
      </c>
      <c r="CV74" s="128">
        <f>IFERROR(AJ74*$V74,)</f>
        <v/>
      </c>
      <c r="CW74" s="128">
        <f>IFERROR(AK74*$V74,)</f>
        <v/>
      </c>
      <c r="CX74" s="128">
        <f>IFERROR(AL74*$V74,)</f>
        <v/>
      </c>
      <c r="CY74" s="128">
        <f>IFERROR(AM74*$V74,)</f>
        <v/>
      </c>
      <c r="CZ74" s="128">
        <f>IFERROR(AN74*$V74,)</f>
        <v/>
      </c>
      <c r="DA74" s="128">
        <f>IFERROR(AO74*$V74,)</f>
        <v/>
      </c>
      <c r="DB74" s="128">
        <f>IFERROR(AP74*$V74,)</f>
        <v/>
      </c>
      <c r="DC74" s="128">
        <f>IFERROR(AQ74*$V74,)</f>
        <v/>
      </c>
      <c r="DD74" s="128">
        <f>IFERROR(AR74*$V74,)</f>
        <v/>
      </c>
      <c r="DE74" s="128">
        <f>IFERROR(AS74*$V74,)</f>
        <v/>
      </c>
      <c r="DF74" s="128">
        <f>IFERROR(AT74*$V74,)</f>
        <v/>
      </c>
      <c r="DG74" s="128">
        <f>IFERROR(AU74*$V74,)</f>
        <v/>
      </c>
      <c r="DH74" s="128">
        <f>IFERROR(AV74*$V74,)</f>
        <v/>
      </c>
      <c r="DI74" s="128">
        <f>IFERROR(AW74*$V74,)</f>
        <v/>
      </c>
      <c r="DJ74" s="128">
        <f>IFERROR(AX74*$V74,)</f>
        <v/>
      </c>
      <c r="DK74" s="128">
        <f>IFERROR(AY74*$V74,)</f>
        <v/>
      </c>
      <c r="DL74" s="128">
        <f>IFERROR(AZ74*$V74,)</f>
        <v/>
      </c>
      <c r="DM74" s="129">
        <f>IFERROR(if($X74=0,($V74/1.2)*BA74,
BA74*$X74),)</f>
        <v/>
      </c>
      <c r="DN74" s="129">
        <f>IFERROR(if($X74=0,($V74/1.2)*BB74,
BB74*$X74),)</f>
        <v/>
      </c>
      <c r="DO74" s="129">
        <f>IFERROR(if($X74=0,($V74/1.2)*BC74,
BC74*$X74),)</f>
        <v/>
      </c>
      <c r="DP74" s="130">
        <f>IFERROR(if($Z74=0,($V74/1.35)*BD74,
BD74*$Z74),)</f>
        <v/>
      </c>
      <c r="DQ74" s="130">
        <f>IFERROR(if($Z74=0,($V74/1.35)*BE74,
BE74*$Z74),)</f>
        <v/>
      </c>
      <c r="DR74" s="130">
        <f>IFERROR(if($Z74=0,($V74/1.35)*BF74,
BF74*$Z74),)</f>
        <v/>
      </c>
      <c r="DS74" s="128">
        <f>IFERROR(IF($AB74=0,($V74/0.74)*BG74,
BG74*$AB74),)</f>
        <v/>
      </c>
      <c r="DT74" s="128">
        <f>IFERROR(IF($AB74=0,($V74/0.74)*BH74,
BH74*$AB74),)</f>
        <v/>
      </c>
      <c r="DU74" s="128">
        <f>IFERROR(IF($AB74=0,($V74/0.74)*BI74,
BI74*$AB74),)</f>
        <v/>
      </c>
    </row>
    <row r="75" ht="131.25" customHeight="1" s="162">
      <c r="A75" s="115" t="n"/>
      <c r="B75" s="115" t="n"/>
      <c r="C75" s="115" t="n"/>
      <c r="D75" s="115" t="n"/>
      <c r="E75" s="115" t="n"/>
      <c r="F75" s="115" t="n"/>
      <c r="G75" s="115" t="n"/>
      <c r="H75" s="115" t="n"/>
      <c r="I75" s="115" t="n"/>
      <c r="J75" s="115" t="n"/>
      <c r="K75" s="115" t="n"/>
      <c r="L75" s="115" t="n"/>
      <c r="M75" s="115" t="n"/>
      <c r="N75" s="115" t="n"/>
      <c r="O75" s="115" t="n"/>
      <c r="P75" s="115" t="n"/>
      <c r="Q75" s="115" t="n"/>
      <c r="R75" s="115" t="n"/>
      <c r="S75" s="115" t="n"/>
      <c r="T75" s="115" t="n"/>
      <c r="U75" s="116" t="n"/>
      <c r="V75" s="116" t="n"/>
      <c r="W75" s="117" t="n"/>
      <c r="X75" s="118" t="n"/>
      <c r="Y75" s="119" t="n"/>
      <c r="Z75" s="120" t="n"/>
      <c r="AA75" s="121" t="n"/>
      <c r="AB75" s="122" t="n"/>
      <c r="AC75" s="117" t="n"/>
      <c r="AD75" s="123">
        <f>IF(SUM($AE75:$AH75)=0,"",SUM($AE75:$AH75))</f>
        <v/>
      </c>
      <c r="AE75" s="123">
        <f>iferror(IF(SUM($AI75:$AZ75)=0,"",SUM($AI75:$AZ75)),"")</f>
        <v/>
      </c>
      <c r="AF75" s="123">
        <f>iferror(IF(SUM($BA75:$BC75)=0,"",SUM($BA75:$BC75)),"")</f>
        <v/>
      </c>
      <c r="AG75" s="123">
        <f>iferror(IF(SUM($BD75:$BF75)=0,"",SUM($BD75:$BF75)),"")</f>
        <v/>
      </c>
      <c r="AH75" s="124">
        <f>iferror(IF(SUM($BG75:$BI75)=0,"",SUM($BG75:$BI75)),"")</f>
        <v/>
      </c>
      <c r="AI75" s="131" t="n"/>
      <c r="AJ75" s="132" t="n"/>
      <c r="AK75" s="132" t="n"/>
      <c r="AL75" s="132" t="n"/>
      <c r="AM75" s="132" t="n"/>
      <c r="AN75" s="132" t="n"/>
      <c r="AO75" s="132" t="n"/>
      <c r="AP75" s="132" t="n"/>
      <c r="AQ75" s="132" t="n"/>
      <c r="AR75" s="132" t="n"/>
      <c r="AS75" s="132" t="n"/>
      <c r="AT75" s="132" t="n"/>
      <c r="AU75" s="132" t="n"/>
      <c r="AV75" s="132" t="n"/>
      <c r="AW75" s="132" t="n"/>
      <c r="AX75" s="132" t="n"/>
      <c r="AY75" s="132" t="n"/>
      <c r="AZ75" s="133" t="n"/>
      <c r="BA75" s="131" t="n"/>
      <c r="BB75" s="132" t="n"/>
      <c r="BC75" s="133" t="n"/>
      <c r="BD75" s="131" t="n"/>
      <c r="BE75" s="132" t="n"/>
      <c r="BF75" s="133" t="n"/>
      <c r="BG75" s="131" t="n"/>
      <c r="BH75" s="132" t="n"/>
      <c r="BI75" s="132" t="n"/>
      <c r="BJ75" s="128">
        <f>iferror(SUM($BK75,($BL75*1.2),($BM75*1.35),($BN75*0.74)),)</f>
        <v/>
      </c>
      <c r="BK75" s="128">
        <f>IFERROR(SUM($BT75:$CK75),)</f>
        <v/>
      </c>
      <c r="BL75" s="129">
        <f>IFERROR(SUM($CL75:$CN75),)</f>
        <v/>
      </c>
      <c r="BM75" s="130">
        <f>IFERROR(SUM($CO75:$CQ75),)</f>
        <v/>
      </c>
      <c r="BN75" s="128">
        <f>IFERROR(SUM($CR75:$CT75),)</f>
        <v/>
      </c>
      <c r="BO75" s="128">
        <f>iferror(SUM($BP75,($BQ75*1.2),($BR75*1.35),($BS75*0.74)),)</f>
        <v/>
      </c>
      <c r="BP75" s="128">
        <f>IFERROR(SUM($CU75:$DL75),)</f>
        <v/>
      </c>
      <c r="BQ75" s="128">
        <f>IFERROR(SUM($DM75:$DO75),)</f>
        <v/>
      </c>
      <c r="BR75" s="128">
        <f>IFERROR(SUM($DP75:$DR75),)</f>
        <v/>
      </c>
      <c r="BS75" s="128">
        <f>IFERROR(SUM($DS75:$DU75),)</f>
        <v/>
      </c>
      <c r="BT75" s="128">
        <f>IFERROR(AI75*$W75,)</f>
        <v/>
      </c>
      <c r="BU75" s="128">
        <f>IFERROR(AJ75*$W75,)</f>
        <v/>
      </c>
      <c r="BV75" s="128">
        <f>IFERROR(AK75*$W75,)</f>
        <v/>
      </c>
      <c r="BW75" s="128">
        <f>IFERROR(AL75*$W75,)</f>
        <v/>
      </c>
      <c r="BX75" s="128">
        <f>IFERROR(AM75*$W75,)</f>
        <v/>
      </c>
      <c r="BY75" s="128">
        <f>IFERROR(AN75*$W75,)</f>
        <v/>
      </c>
      <c r="BZ75" s="128">
        <f>IFERROR(AO75*$W75,)</f>
        <v/>
      </c>
      <c r="CA75" s="128">
        <f>IFERROR(AP75*$W75,)</f>
        <v/>
      </c>
      <c r="CB75" s="128">
        <f>IFERROR(AQ75*$W75,)</f>
        <v/>
      </c>
      <c r="CC75" s="128">
        <f>IFERROR(AR75*$W75,)</f>
        <v/>
      </c>
      <c r="CD75" s="128">
        <f>IFERROR(AS75*$W75,)</f>
        <v/>
      </c>
      <c r="CE75" s="128">
        <f>IFERROR(AT75*$W75,)</f>
        <v/>
      </c>
      <c r="CF75" s="128">
        <f>IFERROR(AU75*$W75,)</f>
        <v/>
      </c>
      <c r="CG75" s="128">
        <f>IFERROR(AV75*$W75,)</f>
        <v/>
      </c>
      <c r="CH75" s="128">
        <f>IFERROR(AW75*$W75,)</f>
        <v/>
      </c>
      <c r="CI75" s="128">
        <f>IFERROR(AX75*$W75,)</f>
        <v/>
      </c>
      <c r="CJ75" s="128">
        <f>IFERROR(AY75*$W75,)</f>
        <v/>
      </c>
      <c r="CK75" s="128">
        <f>IFERROR(AZ75*$W75,)</f>
        <v/>
      </c>
      <c r="CL75" s="129">
        <f>IFERROR(if($Y75=0,BA75*($W75/1.2),BA75*$Y75),"")</f>
        <v/>
      </c>
      <c r="CM75" s="129">
        <f>IFERROR(if($Y75=0,BB75*($W75/1.2),BB75*$Y75),"")</f>
        <v/>
      </c>
      <c r="CN75" s="129">
        <f>IFERROR(if($Y75=0,BC75*($W75/1.2),BC75*$Y75),"")</f>
        <v/>
      </c>
      <c r="CO75" s="130">
        <f>IFERROR(if($AA75=0,($W75/1.35)*BD75,BD75*$AA75),)</f>
        <v/>
      </c>
      <c r="CP75" s="130">
        <f>IFERROR(if($AA75=0,($W75/1.35)*BE75,BE75*$AA75),)</f>
        <v/>
      </c>
      <c r="CQ75" s="130">
        <f>IFERROR(if($AA75=0,($W75/1.35)*BF75,BF75*$AA75),)</f>
        <v/>
      </c>
      <c r="CR75" s="128">
        <f>IFERROR(if($AC75=0,($W75/0.74)*BG75,
BG75*$AC75),)</f>
        <v/>
      </c>
      <c r="CS75" s="128">
        <f>IFERROR(if($AC75=0,($W75/0.74)*BH75,
BH75*$AC75),)</f>
        <v/>
      </c>
      <c r="CT75" s="128">
        <f>IFERROR(if($AC75=0,($W75/0.74)*BI75,
BI75*$AC75),)</f>
        <v/>
      </c>
      <c r="CU75" s="128">
        <f>IFERROR(AI75*$V75,)</f>
        <v/>
      </c>
      <c r="CV75" s="128">
        <f>IFERROR(AJ75*$V75,)</f>
        <v/>
      </c>
      <c r="CW75" s="128">
        <f>IFERROR(AK75*$V75,)</f>
        <v/>
      </c>
      <c r="CX75" s="128">
        <f>IFERROR(AL75*$V75,)</f>
        <v/>
      </c>
      <c r="CY75" s="128">
        <f>IFERROR(AM75*$V75,)</f>
        <v/>
      </c>
      <c r="CZ75" s="128">
        <f>IFERROR(AN75*$V75,)</f>
        <v/>
      </c>
      <c r="DA75" s="128">
        <f>IFERROR(AO75*$V75,)</f>
        <v/>
      </c>
      <c r="DB75" s="128">
        <f>IFERROR(AP75*$V75,)</f>
        <v/>
      </c>
      <c r="DC75" s="128">
        <f>IFERROR(AQ75*$V75,)</f>
        <v/>
      </c>
      <c r="DD75" s="128">
        <f>IFERROR(AR75*$V75,)</f>
        <v/>
      </c>
      <c r="DE75" s="128">
        <f>IFERROR(AS75*$V75,)</f>
        <v/>
      </c>
      <c r="DF75" s="128">
        <f>IFERROR(AT75*$V75,)</f>
        <v/>
      </c>
      <c r="DG75" s="128">
        <f>IFERROR(AU75*$V75,)</f>
        <v/>
      </c>
      <c r="DH75" s="128">
        <f>IFERROR(AV75*$V75,)</f>
        <v/>
      </c>
      <c r="DI75" s="128">
        <f>IFERROR(AW75*$V75,)</f>
        <v/>
      </c>
      <c r="DJ75" s="128">
        <f>IFERROR(AX75*$V75,)</f>
        <v/>
      </c>
      <c r="DK75" s="128">
        <f>IFERROR(AY75*$V75,)</f>
        <v/>
      </c>
      <c r="DL75" s="128">
        <f>IFERROR(AZ75*$V75,)</f>
        <v/>
      </c>
      <c r="DM75" s="129">
        <f>IFERROR(if($X75=0,($V75/1.2)*BA75,
BA75*$X75),)</f>
        <v/>
      </c>
      <c r="DN75" s="129">
        <f>IFERROR(if($X75=0,($V75/1.2)*BB75,
BB75*$X75),)</f>
        <v/>
      </c>
      <c r="DO75" s="129">
        <f>IFERROR(if($X75=0,($V75/1.2)*BC75,
BC75*$X75),)</f>
        <v/>
      </c>
      <c r="DP75" s="130">
        <f>IFERROR(if($Z75=0,($V75/1.35)*BD75,
BD75*$Z75),)</f>
        <v/>
      </c>
      <c r="DQ75" s="130">
        <f>IFERROR(if($Z75=0,($V75/1.35)*BE75,
BE75*$Z75),)</f>
        <v/>
      </c>
      <c r="DR75" s="130">
        <f>IFERROR(if($Z75=0,($V75/1.35)*BF75,
BF75*$Z75),)</f>
        <v/>
      </c>
      <c r="DS75" s="128">
        <f>IFERROR(IF($AB75=0,($V75/0.74)*BG75,
BG75*$AB75),)</f>
        <v/>
      </c>
      <c r="DT75" s="128">
        <f>IFERROR(IF($AB75=0,($V75/0.74)*BH75,
BH75*$AB75),)</f>
        <v/>
      </c>
      <c r="DU75" s="128">
        <f>IFERROR(IF($AB75=0,($V75/0.74)*BI75,
BI75*$AB75),)</f>
        <v/>
      </c>
    </row>
    <row r="76" ht="131.25" customHeight="1" s="162">
      <c r="A76" s="115" t="n"/>
      <c r="B76" s="115" t="n"/>
      <c r="C76" s="115" t="n"/>
      <c r="D76" s="115" t="n"/>
      <c r="E76" s="115" t="n"/>
      <c r="F76" s="115" t="n"/>
      <c r="G76" s="115" t="n"/>
      <c r="H76" s="115" t="n"/>
      <c r="I76" s="115" t="n"/>
      <c r="J76" s="115" t="n"/>
      <c r="K76" s="115" t="n"/>
      <c r="L76" s="115" t="n"/>
      <c r="M76" s="115" t="n"/>
      <c r="N76" s="115" t="n"/>
      <c r="O76" s="115" t="n"/>
      <c r="P76" s="115" t="n"/>
      <c r="Q76" s="115" t="n"/>
      <c r="R76" s="115" t="n"/>
      <c r="S76" s="115" t="n"/>
      <c r="T76" s="115" t="n"/>
      <c r="U76" s="116" t="n"/>
      <c r="V76" s="116" t="n"/>
      <c r="W76" s="117" t="n"/>
      <c r="X76" s="118" t="n"/>
      <c r="Y76" s="119" t="n"/>
      <c r="Z76" s="120" t="n"/>
      <c r="AA76" s="121" t="n"/>
      <c r="AB76" s="122" t="n"/>
      <c r="AC76" s="117" t="n"/>
      <c r="AD76" s="123">
        <f>IF(SUM($AE76:$AH76)=0,"",SUM($AE76:$AH76))</f>
        <v/>
      </c>
      <c r="AE76" s="123">
        <f>iferror(IF(SUM($AI76:$AZ76)=0,"",SUM($AI76:$AZ76)),"")</f>
        <v/>
      </c>
      <c r="AF76" s="123">
        <f>iferror(IF(SUM($BA76:$BC76)=0,"",SUM($BA76:$BC76)),"")</f>
        <v/>
      </c>
      <c r="AG76" s="123">
        <f>iferror(IF(SUM($BD76:$BF76)=0,"",SUM($BD76:$BF76)),"")</f>
        <v/>
      </c>
      <c r="AH76" s="124">
        <f>iferror(IF(SUM($BG76:$BI76)=0,"",SUM($BG76:$BI76)),"")</f>
        <v/>
      </c>
      <c r="AI76" s="131" t="n"/>
      <c r="AJ76" s="132" t="n"/>
      <c r="AK76" s="132" t="n"/>
      <c r="AL76" s="132" t="n"/>
      <c r="AM76" s="132" t="n"/>
      <c r="AN76" s="132" t="n"/>
      <c r="AO76" s="132" t="n"/>
      <c r="AP76" s="132" t="n"/>
      <c r="AQ76" s="132" t="n"/>
      <c r="AR76" s="132" t="n"/>
      <c r="AS76" s="132" t="n"/>
      <c r="AT76" s="132" t="n"/>
      <c r="AU76" s="132" t="n"/>
      <c r="AV76" s="132" t="n"/>
      <c r="AW76" s="132" t="n"/>
      <c r="AX76" s="132" t="n"/>
      <c r="AY76" s="132" t="n"/>
      <c r="AZ76" s="133" t="n"/>
      <c r="BA76" s="131" t="n"/>
      <c r="BB76" s="132" t="n"/>
      <c r="BC76" s="133" t="n"/>
      <c r="BD76" s="131" t="n"/>
      <c r="BE76" s="132" t="n"/>
      <c r="BF76" s="133" t="n"/>
      <c r="BG76" s="131" t="n"/>
      <c r="BH76" s="132" t="n"/>
      <c r="BI76" s="132" t="n"/>
      <c r="BJ76" s="128">
        <f>iferror(SUM($BK76,($BL76*1.2),($BM76*1.35),($BN76*0.74)),)</f>
        <v/>
      </c>
      <c r="BK76" s="128">
        <f>IFERROR(SUM($BT76:$CK76),)</f>
        <v/>
      </c>
      <c r="BL76" s="129">
        <f>IFERROR(SUM($CL76:$CN76),)</f>
        <v/>
      </c>
      <c r="BM76" s="130">
        <f>IFERROR(SUM($CO76:$CQ76),)</f>
        <v/>
      </c>
      <c r="BN76" s="128">
        <f>IFERROR(SUM($CR76:$CT76),)</f>
        <v/>
      </c>
      <c r="BO76" s="128">
        <f>iferror(SUM($BP76,($BQ76*1.2),($BR76*1.35),($BS76*0.74)),)</f>
        <v/>
      </c>
      <c r="BP76" s="128">
        <f>IFERROR(SUM($CU76:$DL76),)</f>
        <v/>
      </c>
      <c r="BQ76" s="128">
        <f>IFERROR(SUM($DM76:$DO76),)</f>
        <v/>
      </c>
      <c r="BR76" s="128">
        <f>IFERROR(SUM($DP76:$DR76),)</f>
        <v/>
      </c>
      <c r="BS76" s="128">
        <f>IFERROR(SUM($DS76:$DU76),)</f>
        <v/>
      </c>
      <c r="BT76" s="128">
        <f>IFERROR(AI76*$W76,)</f>
        <v/>
      </c>
      <c r="BU76" s="128">
        <f>IFERROR(AJ76*$W76,)</f>
        <v/>
      </c>
      <c r="BV76" s="128">
        <f>IFERROR(AK76*$W76,)</f>
        <v/>
      </c>
      <c r="BW76" s="128">
        <f>IFERROR(AL76*$W76,)</f>
        <v/>
      </c>
      <c r="BX76" s="128">
        <f>IFERROR(AM76*$W76,)</f>
        <v/>
      </c>
      <c r="BY76" s="128">
        <f>IFERROR(AN76*$W76,)</f>
        <v/>
      </c>
      <c r="BZ76" s="128">
        <f>IFERROR(AO76*$W76,)</f>
        <v/>
      </c>
      <c r="CA76" s="128">
        <f>IFERROR(AP76*$W76,)</f>
        <v/>
      </c>
      <c r="CB76" s="128">
        <f>IFERROR(AQ76*$W76,)</f>
        <v/>
      </c>
      <c r="CC76" s="128">
        <f>IFERROR(AR76*$W76,)</f>
        <v/>
      </c>
      <c r="CD76" s="128">
        <f>IFERROR(AS76*$W76,)</f>
        <v/>
      </c>
      <c r="CE76" s="128">
        <f>IFERROR(AT76*$W76,)</f>
        <v/>
      </c>
      <c r="CF76" s="128">
        <f>IFERROR(AU76*$W76,)</f>
        <v/>
      </c>
      <c r="CG76" s="128">
        <f>IFERROR(AV76*$W76,)</f>
        <v/>
      </c>
      <c r="CH76" s="128">
        <f>IFERROR(AW76*$W76,)</f>
        <v/>
      </c>
      <c r="CI76" s="128">
        <f>IFERROR(AX76*$W76,)</f>
        <v/>
      </c>
      <c r="CJ76" s="128">
        <f>IFERROR(AY76*$W76,)</f>
        <v/>
      </c>
      <c r="CK76" s="128">
        <f>IFERROR(AZ76*$W76,)</f>
        <v/>
      </c>
      <c r="CL76" s="129">
        <f>IFERROR(if($Y76=0,BA76*($W76/1.2),BA76*$Y76),"")</f>
        <v/>
      </c>
      <c r="CM76" s="129">
        <f>IFERROR(if($Y76=0,BB76*($W76/1.2),BB76*$Y76),"")</f>
        <v/>
      </c>
      <c r="CN76" s="129">
        <f>IFERROR(if($Y76=0,BC76*($W76/1.2),BC76*$Y76),"")</f>
        <v/>
      </c>
      <c r="CO76" s="130">
        <f>IFERROR(if($AA76=0,($W76/1.35)*BD76,BD76*$AA76),)</f>
        <v/>
      </c>
      <c r="CP76" s="130">
        <f>IFERROR(if($AA76=0,($W76/1.35)*BE76,BE76*$AA76),)</f>
        <v/>
      </c>
      <c r="CQ76" s="130">
        <f>IFERROR(if($AA76=0,($W76/1.35)*BF76,BF76*$AA76),)</f>
        <v/>
      </c>
      <c r="CR76" s="128">
        <f>IFERROR(if($AC76=0,($W76/0.74)*BG76,
BG76*$AC76),)</f>
        <v/>
      </c>
      <c r="CS76" s="128">
        <f>IFERROR(if($AC76=0,($W76/0.74)*BH76,
BH76*$AC76),)</f>
        <v/>
      </c>
      <c r="CT76" s="128">
        <f>IFERROR(if($AC76=0,($W76/0.74)*BI76,
BI76*$AC76),)</f>
        <v/>
      </c>
      <c r="CU76" s="128">
        <f>IFERROR(AI76*$V76,)</f>
        <v/>
      </c>
      <c r="CV76" s="128">
        <f>IFERROR(AJ76*$V76,)</f>
        <v/>
      </c>
      <c r="CW76" s="128">
        <f>IFERROR(AK76*$V76,)</f>
        <v/>
      </c>
      <c r="CX76" s="128">
        <f>IFERROR(AL76*$V76,)</f>
        <v/>
      </c>
      <c r="CY76" s="128">
        <f>IFERROR(AM76*$V76,)</f>
        <v/>
      </c>
      <c r="CZ76" s="128">
        <f>IFERROR(AN76*$V76,)</f>
        <v/>
      </c>
      <c r="DA76" s="128">
        <f>IFERROR(AO76*$V76,)</f>
        <v/>
      </c>
      <c r="DB76" s="128">
        <f>IFERROR(AP76*$V76,)</f>
        <v/>
      </c>
      <c r="DC76" s="128">
        <f>IFERROR(AQ76*$V76,)</f>
        <v/>
      </c>
      <c r="DD76" s="128">
        <f>IFERROR(AR76*$V76,)</f>
        <v/>
      </c>
      <c r="DE76" s="128">
        <f>IFERROR(AS76*$V76,)</f>
        <v/>
      </c>
      <c r="DF76" s="128">
        <f>IFERROR(AT76*$V76,)</f>
        <v/>
      </c>
      <c r="DG76" s="128">
        <f>IFERROR(AU76*$V76,)</f>
        <v/>
      </c>
      <c r="DH76" s="128">
        <f>IFERROR(AV76*$V76,)</f>
        <v/>
      </c>
      <c r="DI76" s="128">
        <f>IFERROR(AW76*$V76,)</f>
        <v/>
      </c>
      <c r="DJ76" s="128">
        <f>IFERROR(AX76*$V76,)</f>
        <v/>
      </c>
      <c r="DK76" s="128">
        <f>IFERROR(AY76*$V76,)</f>
        <v/>
      </c>
      <c r="DL76" s="128">
        <f>IFERROR(AZ76*$V76,)</f>
        <v/>
      </c>
      <c r="DM76" s="129">
        <f>IFERROR(if($X76=0,($V76/1.2)*BA76,
BA76*$X76),)</f>
        <v/>
      </c>
      <c r="DN76" s="129">
        <f>IFERROR(if($X76=0,($V76/1.2)*BB76,
BB76*$X76),)</f>
        <v/>
      </c>
      <c r="DO76" s="129">
        <f>IFERROR(if($X76=0,($V76/1.2)*BC76,
BC76*$X76),)</f>
        <v/>
      </c>
      <c r="DP76" s="130">
        <f>IFERROR(if($Z76=0,($V76/1.35)*BD76,
BD76*$Z76),)</f>
        <v/>
      </c>
      <c r="DQ76" s="130">
        <f>IFERROR(if($Z76=0,($V76/1.35)*BE76,
BE76*$Z76),)</f>
        <v/>
      </c>
      <c r="DR76" s="130">
        <f>IFERROR(if($Z76=0,($V76/1.35)*BF76,
BF76*$Z76),)</f>
        <v/>
      </c>
      <c r="DS76" s="128">
        <f>IFERROR(IF($AB76=0,($V76/0.74)*BG76,
BG76*$AB76),)</f>
        <v/>
      </c>
      <c r="DT76" s="128">
        <f>IFERROR(IF($AB76=0,($V76/0.74)*BH76,
BH76*$AB76),)</f>
        <v/>
      </c>
      <c r="DU76" s="128">
        <f>IFERROR(IF($AB76=0,($V76/0.74)*BI76,
BI76*$AB76),)</f>
        <v/>
      </c>
    </row>
    <row r="77" ht="131.25" customHeight="1" s="162">
      <c r="A77" s="115" t="n"/>
      <c r="B77" s="115" t="n"/>
      <c r="C77" s="115" t="n"/>
      <c r="D77" s="115" t="n"/>
      <c r="E77" s="115" t="n"/>
      <c r="F77" s="115" t="n"/>
      <c r="G77" s="115" t="n"/>
      <c r="H77" s="115" t="n"/>
      <c r="I77" s="115" t="n"/>
      <c r="J77" s="115" t="n"/>
      <c r="K77" s="115" t="n"/>
      <c r="L77" s="115" t="n"/>
      <c r="M77" s="115" t="n"/>
      <c r="N77" s="115" t="n"/>
      <c r="O77" s="115" t="n"/>
      <c r="P77" s="115" t="n"/>
      <c r="Q77" s="115" t="n"/>
      <c r="R77" s="115" t="n"/>
      <c r="S77" s="115" t="n"/>
      <c r="T77" s="115" t="n"/>
      <c r="U77" s="116" t="n"/>
      <c r="V77" s="116" t="n"/>
      <c r="W77" s="117" t="n"/>
      <c r="X77" s="118" t="n"/>
      <c r="Y77" s="119" t="n"/>
      <c r="Z77" s="120" t="n"/>
      <c r="AA77" s="121" t="n"/>
      <c r="AB77" s="122" t="n"/>
      <c r="AC77" s="117" t="n"/>
      <c r="AD77" s="123">
        <f>IF(SUM($AE77:$AH77)=0,"",SUM($AE77:$AH77))</f>
        <v/>
      </c>
      <c r="AE77" s="123">
        <f>iferror(IF(SUM($AI77:$AZ77)=0,"",SUM($AI77:$AZ77)),"")</f>
        <v/>
      </c>
      <c r="AF77" s="123">
        <f>iferror(IF(SUM($BA77:$BC77)=0,"",SUM($BA77:$BC77)),"")</f>
        <v/>
      </c>
      <c r="AG77" s="123">
        <f>iferror(IF(SUM($BD77:$BF77)=0,"",SUM($BD77:$BF77)),"")</f>
        <v/>
      </c>
      <c r="AH77" s="124">
        <f>iferror(IF(SUM($BG77:$BI77)=0,"",SUM($BG77:$BI77)),"")</f>
        <v/>
      </c>
      <c r="AI77" s="131" t="n"/>
      <c r="AJ77" s="132" t="n"/>
      <c r="AK77" s="132" t="n"/>
      <c r="AL77" s="132" t="n"/>
      <c r="AM77" s="132" t="n"/>
      <c r="AN77" s="132" t="n"/>
      <c r="AO77" s="132" t="n"/>
      <c r="AP77" s="132" t="n"/>
      <c r="AQ77" s="132" t="n"/>
      <c r="AR77" s="132" t="n"/>
      <c r="AS77" s="132" t="n"/>
      <c r="AT77" s="132" t="n"/>
      <c r="AU77" s="132" t="n"/>
      <c r="AV77" s="132" t="n"/>
      <c r="AW77" s="132" t="n"/>
      <c r="AX77" s="132" t="n"/>
      <c r="AY77" s="132" t="n"/>
      <c r="AZ77" s="133" t="n"/>
      <c r="BA77" s="131" t="n"/>
      <c r="BB77" s="132" t="n"/>
      <c r="BC77" s="133" t="n"/>
      <c r="BD77" s="131" t="n"/>
      <c r="BE77" s="132" t="n"/>
      <c r="BF77" s="133" t="n"/>
      <c r="BG77" s="131" t="n"/>
      <c r="BH77" s="132" t="n"/>
      <c r="BI77" s="132" t="n"/>
      <c r="BJ77" s="128">
        <f>iferror(SUM($BK77,($BL77*1.2),($BM77*1.35),($BN77*0.74)),)</f>
        <v/>
      </c>
      <c r="BK77" s="128">
        <f>IFERROR(SUM($BT77:$CK77),)</f>
        <v/>
      </c>
      <c r="BL77" s="129">
        <f>IFERROR(SUM($CL77:$CN77),)</f>
        <v/>
      </c>
      <c r="BM77" s="130">
        <f>IFERROR(SUM($CO77:$CQ77),)</f>
        <v/>
      </c>
      <c r="BN77" s="128">
        <f>IFERROR(SUM($CR77:$CT77),)</f>
        <v/>
      </c>
      <c r="BO77" s="128">
        <f>iferror(SUM($BP77,($BQ77*1.2),($BR77*1.35),($BS77*0.74)),)</f>
        <v/>
      </c>
      <c r="BP77" s="128">
        <f>IFERROR(SUM($CU77:$DL77),)</f>
        <v/>
      </c>
      <c r="BQ77" s="128">
        <f>IFERROR(SUM($DM77:$DO77),)</f>
        <v/>
      </c>
      <c r="BR77" s="128">
        <f>IFERROR(SUM($DP77:$DR77),)</f>
        <v/>
      </c>
      <c r="BS77" s="128">
        <f>IFERROR(SUM($DS77:$DU77),)</f>
        <v/>
      </c>
      <c r="BT77" s="128">
        <f>IFERROR(AI77*$W77,)</f>
        <v/>
      </c>
      <c r="BU77" s="128">
        <f>IFERROR(AJ77*$W77,)</f>
        <v/>
      </c>
      <c r="BV77" s="128">
        <f>IFERROR(AK77*$W77,)</f>
        <v/>
      </c>
      <c r="BW77" s="128">
        <f>IFERROR(AL77*$W77,)</f>
        <v/>
      </c>
      <c r="BX77" s="128">
        <f>IFERROR(AM77*$W77,)</f>
        <v/>
      </c>
      <c r="BY77" s="128">
        <f>IFERROR(AN77*$W77,)</f>
        <v/>
      </c>
      <c r="BZ77" s="128">
        <f>IFERROR(AO77*$W77,)</f>
        <v/>
      </c>
      <c r="CA77" s="128">
        <f>IFERROR(AP77*$W77,)</f>
        <v/>
      </c>
      <c r="CB77" s="128">
        <f>IFERROR(AQ77*$W77,)</f>
        <v/>
      </c>
      <c r="CC77" s="128">
        <f>IFERROR(AR77*$W77,)</f>
        <v/>
      </c>
      <c r="CD77" s="128">
        <f>IFERROR(AS77*$W77,)</f>
        <v/>
      </c>
      <c r="CE77" s="128">
        <f>IFERROR(AT77*$W77,)</f>
        <v/>
      </c>
      <c r="CF77" s="128">
        <f>IFERROR(AU77*$W77,)</f>
        <v/>
      </c>
      <c r="CG77" s="128">
        <f>IFERROR(AV77*$W77,)</f>
        <v/>
      </c>
      <c r="CH77" s="128">
        <f>IFERROR(AW77*$W77,)</f>
        <v/>
      </c>
      <c r="CI77" s="128">
        <f>IFERROR(AX77*$W77,)</f>
        <v/>
      </c>
      <c r="CJ77" s="128">
        <f>IFERROR(AY77*$W77,)</f>
        <v/>
      </c>
      <c r="CK77" s="128">
        <f>IFERROR(AZ77*$W77,)</f>
        <v/>
      </c>
      <c r="CL77" s="129">
        <f>IFERROR(if($Y77=0,BA77*($W77/1.2),BA77*$Y77),"")</f>
        <v/>
      </c>
      <c r="CM77" s="129">
        <f>IFERROR(if($Y77=0,BB77*($W77/1.2),BB77*$Y77),"")</f>
        <v/>
      </c>
      <c r="CN77" s="129">
        <f>IFERROR(if($Y77=0,BC77*($W77/1.2),BC77*$Y77),"")</f>
        <v/>
      </c>
      <c r="CO77" s="130">
        <f>IFERROR(if($AA77=0,($W77/1.35)*BD77,BD77*$AA77),)</f>
        <v/>
      </c>
      <c r="CP77" s="130">
        <f>IFERROR(if($AA77=0,($W77/1.35)*BE77,BE77*$AA77),)</f>
        <v/>
      </c>
      <c r="CQ77" s="130">
        <f>IFERROR(if($AA77=0,($W77/1.35)*BF77,BF77*$AA77),)</f>
        <v/>
      </c>
      <c r="CR77" s="128">
        <f>IFERROR(if($AC77=0,($W77/0.74)*BG77,
BG77*$AC77),)</f>
        <v/>
      </c>
      <c r="CS77" s="128">
        <f>IFERROR(if($AC77=0,($W77/0.74)*BH77,
BH77*$AC77),)</f>
        <v/>
      </c>
      <c r="CT77" s="128">
        <f>IFERROR(if($AC77=0,($W77/0.74)*BI77,
BI77*$AC77),)</f>
        <v/>
      </c>
      <c r="CU77" s="128">
        <f>IFERROR(AI77*$V77,)</f>
        <v/>
      </c>
      <c r="CV77" s="128">
        <f>IFERROR(AJ77*$V77,)</f>
        <v/>
      </c>
      <c r="CW77" s="128">
        <f>IFERROR(AK77*$V77,)</f>
        <v/>
      </c>
      <c r="CX77" s="128">
        <f>IFERROR(AL77*$V77,)</f>
        <v/>
      </c>
      <c r="CY77" s="128">
        <f>IFERROR(AM77*$V77,)</f>
        <v/>
      </c>
      <c r="CZ77" s="128">
        <f>IFERROR(AN77*$V77,)</f>
        <v/>
      </c>
      <c r="DA77" s="128">
        <f>IFERROR(AO77*$V77,)</f>
        <v/>
      </c>
      <c r="DB77" s="128">
        <f>IFERROR(AP77*$V77,)</f>
        <v/>
      </c>
      <c r="DC77" s="128">
        <f>IFERROR(AQ77*$V77,)</f>
        <v/>
      </c>
      <c r="DD77" s="128">
        <f>IFERROR(AR77*$V77,)</f>
        <v/>
      </c>
      <c r="DE77" s="128">
        <f>IFERROR(AS77*$V77,)</f>
        <v/>
      </c>
      <c r="DF77" s="128">
        <f>IFERROR(AT77*$V77,)</f>
        <v/>
      </c>
      <c r="DG77" s="128">
        <f>IFERROR(AU77*$V77,)</f>
        <v/>
      </c>
      <c r="DH77" s="128">
        <f>IFERROR(AV77*$V77,)</f>
        <v/>
      </c>
      <c r="DI77" s="128">
        <f>IFERROR(AW77*$V77,)</f>
        <v/>
      </c>
      <c r="DJ77" s="128">
        <f>IFERROR(AX77*$V77,)</f>
        <v/>
      </c>
      <c r="DK77" s="128">
        <f>IFERROR(AY77*$V77,)</f>
        <v/>
      </c>
      <c r="DL77" s="128">
        <f>IFERROR(AZ77*$V77,)</f>
        <v/>
      </c>
      <c r="DM77" s="129">
        <f>IFERROR(if($X77=0,($V77/1.2)*BA77,
BA77*$X77),)</f>
        <v/>
      </c>
      <c r="DN77" s="129">
        <f>IFERROR(if($X77=0,($V77/1.2)*BB77,
BB77*$X77),)</f>
        <v/>
      </c>
      <c r="DO77" s="129">
        <f>IFERROR(if($X77=0,($V77/1.2)*BC77,
BC77*$X77),)</f>
        <v/>
      </c>
      <c r="DP77" s="130">
        <f>IFERROR(if($Z77=0,($V77/1.35)*BD77,
BD77*$Z77),)</f>
        <v/>
      </c>
      <c r="DQ77" s="130">
        <f>IFERROR(if($Z77=0,($V77/1.35)*BE77,
BE77*$Z77),)</f>
        <v/>
      </c>
      <c r="DR77" s="130">
        <f>IFERROR(if($Z77=0,($V77/1.35)*BF77,
BF77*$Z77),)</f>
        <v/>
      </c>
      <c r="DS77" s="128">
        <f>IFERROR(IF($AB77=0,($V77/0.74)*BG77,
BG77*$AB77),)</f>
        <v/>
      </c>
      <c r="DT77" s="128">
        <f>IFERROR(IF($AB77=0,($V77/0.74)*BH77,
BH77*$AB77),)</f>
        <v/>
      </c>
      <c r="DU77" s="128">
        <f>IFERROR(IF($AB77=0,($V77/0.74)*BI77,
BI77*$AB77),)</f>
        <v/>
      </c>
    </row>
    <row r="78" ht="131.25" customHeight="1" s="162">
      <c r="A78" s="115" t="n"/>
      <c r="B78" s="115" t="n"/>
      <c r="C78" s="115" t="n"/>
      <c r="D78" s="115" t="n"/>
      <c r="E78" s="115" t="n"/>
      <c r="F78" s="115" t="n"/>
      <c r="G78" s="115" t="n"/>
      <c r="H78" s="115" t="n"/>
      <c r="I78" s="115" t="n"/>
      <c r="J78" s="115" t="n"/>
      <c r="K78" s="115" t="n"/>
      <c r="L78" s="115" t="n"/>
      <c r="M78" s="115" t="n"/>
      <c r="N78" s="115" t="n"/>
      <c r="O78" s="115" t="n"/>
      <c r="P78" s="115" t="n"/>
      <c r="Q78" s="115" t="n"/>
      <c r="R78" s="115" t="n"/>
      <c r="S78" s="115" t="n"/>
      <c r="T78" s="115" t="n"/>
      <c r="U78" s="116" t="n"/>
      <c r="V78" s="116" t="n"/>
      <c r="W78" s="117" t="n"/>
      <c r="X78" s="118" t="n"/>
      <c r="Y78" s="119" t="n"/>
      <c r="Z78" s="120" t="n"/>
      <c r="AA78" s="121" t="n"/>
      <c r="AB78" s="122" t="n"/>
      <c r="AC78" s="117" t="n"/>
      <c r="AD78" s="123">
        <f>IF(SUM($AE78:$AH78)=0,"",SUM($AE78:$AH78))</f>
        <v/>
      </c>
      <c r="AE78" s="123">
        <f>iferror(IF(SUM($AI78:$AZ78)=0,"",SUM($AI78:$AZ78)),"")</f>
        <v/>
      </c>
      <c r="AF78" s="123">
        <f>iferror(IF(SUM($BA78:$BC78)=0,"",SUM($BA78:$BC78)),"")</f>
        <v/>
      </c>
      <c r="AG78" s="123">
        <f>iferror(IF(SUM($BD78:$BF78)=0,"",SUM($BD78:$BF78)),"")</f>
        <v/>
      </c>
      <c r="AH78" s="124">
        <f>iferror(IF(SUM($BG78:$BI78)=0,"",SUM($BG78:$BI78)),"")</f>
        <v/>
      </c>
      <c r="AI78" s="131" t="n"/>
      <c r="AJ78" s="132" t="n"/>
      <c r="AK78" s="132" t="n"/>
      <c r="AL78" s="132" t="n"/>
      <c r="AM78" s="132" t="n"/>
      <c r="AN78" s="132" t="n"/>
      <c r="AO78" s="132" t="n"/>
      <c r="AP78" s="132" t="n"/>
      <c r="AQ78" s="132" t="n"/>
      <c r="AR78" s="132" t="n"/>
      <c r="AS78" s="132" t="n"/>
      <c r="AT78" s="132" t="n"/>
      <c r="AU78" s="132" t="n"/>
      <c r="AV78" s="132" t="n"/>
      <c r="AW78" s="132" t="n"/>
      <c r="AX78" s="132" t="n"/>
      <c r="AY78" s="132" t="n"/>
      <c r="AZ78" s="133" t="n"/>
      <c r="BA78" s="131" t="n"/>
      <c r="BB78" s="132" t="n"/>
      <c r="BC78" s="133" t="n"/>
      <c r="BD78" s="131" t="n"/>
      <c r="BE78" s="132" t="n"/>
      <c r="BF78" s="133" t="n"/>
      <c r="BG78" s="131" t="n"/>
      <c r="BH78" s="132" t="n"/>
      <c r="BI78" s="132" t="n"/>
      <c r="BJ78" s="128">
        <f>iferror(SUM($BK78,($BL78*1.2),($BM78*1.35),($BN78*0.74)),)</f>
        <v/>
      </c>
      <c r="BK78" s="128">
        <f>IFERROR(SUM($BT78:$CK78),)</f>
        <v/>
      </c>
      <c r="BL78" s="129">
        <f>IFERROR(SUM($CL78:$CN78),)</f>
        <v/>
      </c>
      <c r="BM78" s="130">
        <f>IFERROR(SUM($CO78:$CQ78),)</f>
        <v/>
      </c>
      <c r="BN78" s="128">
        <f>IFERROR(SUM($CR78:$CT78),)</f>
        <v/>
      </c>
      <c r="BO78" s="128">
        <f>iferror(SUM($BP78,($BQ78*1.2),($BR78*1.35),($BS78*0.74)),)</f>
        <v/>
      </c>
      <c r="BP78" s="128">
        <f>IFERROR(SUM($CU78:$DL78),)</f>
        <v/>
      </c>
      <c r="BQ78" s="128">
        <f>IFERROR(SUM($DM78:$DO78),)</f>
        <v/>
      </c>
      <c r="BR78" s="128">
        <f>IFERROR(SUM($DP78:$DR78),)</f>
        <v/>
      </c>
      <c r="BS78" s="128">
        <f>IFERROR(SUM($DS78:$DU78),)</f>
        <v/>
      </c>
      <c r="BT78" s="128">
        <f>IFERROR(AI78*$W78,)</f>
        <v/>
      </c>
      <c r="BU78" s="128">
        <f>IFERROR(AJ78*$W78,)</f>
        <v/>
      </c>
      <c r="BV78" s="128">
        <f>IFERROR(AK78*$W78,)</f>
        <v/>
      </c>
      <c r="BW78" s="128">
        <f>IFERROR(AL78*$W78,)</f>
        <v/>
      </c>
      <c r="BX78" s="128">
        <f>IFERROR(AM78*$W78,)</f>
        <v/>
      </c>
      <c r="BY78" s="128">
        <f>IFERROR(AN78*$W78,)</f>
        <v/>
      </c>
      <c r="BZ78" s="128">
        <f>IFERROR(AO78*$W78,)</f>
        <v/>
      </c>
      <c r="CA78" s="128">
        <f>IFERROR(AP78*$W78,)</f>
        <v/>
      </c>
      <c r="CB78" s="128">
        <f>IFERROR(AQ78*$W78,)</f>
        <v/>
      </c>
      <c r="CC78" s="128">
        <f>IFERROR(AR78*$W78,)</f>
        <v/>
      </c>
      <c r="CD78" s="128">
        <f>IFERROR(AS78*$W78,)</f>
        <v/>
      </c>
      <c r="CE78" s="128">
        <f>IFERROR(AT78*$W78,)</f>
        <v/>
      </c>
      <c r="CF78" s="128">
        <f>IFERROR(AU78*$W78,)</f>
        <v/>
      </c>
      <c r="CG78" s="128">
        <f>IFERROR(AV78*$W78,)</f>
        <v/>
      </c>
      <c r="CH78" s="128">
        <f>IFERROR(AW78*$W78,)</f>
        <v/>
      </c>
      <c r="CI78" s="128">
        <f>IFERROR(AX78*$W78,)</f>
        <v/>
      </c>
      <c r="CJ78" s="128">
        <f>IFERROR(AY78*$W78,)</f>
        <v/>
      </c>
      <c r="CK78" s="128">
        <f>IFERROR(AZ78*$W78,)</f>
        <v/>
      </c>
      <c r="CL78" s="129">
        <f>IFERROR(if($Y78=0,BA78*($W78/1.2),BA78*$Y78),"")</f>
        <v/>
      </c>
      <c r="CM78" s="129">
        <f>IFERROR(if($Y78=0,BB78*($W78/1.2),BB78*$Y78),"")</f>
        <v/>
      </c>
      <c r="CN78" s="129">
        <f>IFERROR(if($Y78=0,BC78*($W78/1.2),BC78*$Y78),"")</f>
        <v/>
      </c>
      <c r="CO78" s="130">
        <f>IFERROR(if($AA78=0,($W78/1.35)*BD78,BD78*$AA78),)</f>
        <v/>
      </c>
      <c r="CP78" s="130">
        <f>IFERROR(if($AA78=0,($W78/1.35)*BE78,BE78*$AA78),)</f>
        <v/>
      </c>
      <c r="CQ78" s="130">
        <f>IFERROR(if($AA78=0,($W78/1.35)*BF78,BF78*$AA78),)</f>
        <v/>
      </c>
      <c r="CR78" s="128">
        <f>IFERROR(if($AC78=0,($W78/0.74)*BG78,
BG78*$AC78),)</f>
        <v/>
      </c>
      <c r="CS78" s="128">
        <f>IFERROR(if($AC78=0,($W78/0.74)*BH78,
BH78*$AC78),)</f>
        <v/>
      </c>
      <c r="CT78" s="128">
        <f>IFERROR(if($AC78=0,($W78/0.74)*BI78,
BI78*$AC78),)</f>
        <v/>
      </c>
      <c r="CU78" s="128">
        <f>IFERROR(AI78*$V78,)</f>
        <v/>
      </c>
      <c r="CV78" s="128">
        <f>IFERROR(AJ78*$V78,)</f>
        <v/>
      </c>
      <c r="CW78" s="128">
        <f>IFERROR(AK78*$V78,)</f>
        <v/>
      </c>
      <c r="CX78" s="128">
        <f>IFERROR(AL78*$V78,)</f>
        <v/>
      </c>
      <c r="CY78" s="128">
        <f>IFERROR(AM78*$V78,)</f>
        <v/>
      </c>
      <c r="CZ78" s="128">
        <f>IFERROR(AN78*$V78,)</f>
        <v/>
      </c>
      <c r="DA78" s="128">
        <f>IFERROR(AO78*$V78,)</f>
        <v/>
      </c>
      <c r="DB78" s="128">
        <f>IFERROR(AP78*$V78,)</f>
        <v/>
      </c>
      <c r="DC78" s="128">
        <f>IFERROR(AQ78*$V78,)</f>
        <v/>
      </c>
      <c r="DD78" s="128">
        <f>IFERROR(AR78*$V78,)</f>
        <v/>
      </c>
      <c r="DE78" s="128">
        <f>IFERROR(AS78*$V78,)</f>
        <v/>
      </c>
      <c r="DF78" s="128">
        <f>IFERROR(AT78*$V78,)</f>
        <v/>
      </c>
      <c r="DG78" s="128">
        <f>IFERROR(AU78*$V78,)</f>
        <v/>
      </c>
      <c r="DH78" s="128">
        <f>IFERROR(AV78*$V78,)</f>
        <v/>
      </c>
      <c r="DI78" s="128">
        <f>IFERROR(AW78*$V78,)</f>
        <v/>
      </c>
      <c r="DJ78" s="128">
        <f>IFERROR(AX78*$V78,)</f>
        <v/>
      </c>
      <c r="DK78" s="128">
        <f>IFERROR(AY78*$V78,)</f>
        <v/>
      </c>
      <c r="DL78" s="128">
        <f>IFERROR(AZ78*$V78,)</f>
        <v/>
      </c>
      <c r="DM78" s="129">
        <f>IFERROR(if($X78=0,($V78/1.2)*BA78,
BA78*$X78),)</f>
        <v/>
      </c>
      <c r="DN78" s="129">
        <f>IFERROR(if($X78=0,($V78/1.2)*BB78,
BB78*$X78),)</f>
        <v/>
      </c>
      <c r="DO78" s="129">
        <f>IFERROR(if($X78=0,($V78/1.2)*BC78,
BC78*$X78),)</f>
        <v/>
      </c>
      <c r="DP78" s="130">
        <f>IFERROR(if($Z78=0,($V78/1.35)*BD78,
BD78*$Z78),)</f>
        <v/>
      </c>
      <c r="DQ78" s="130">
        <f>IFERROR(if($Z78=0,($V78/1.35)*BE78,
BE78*$Z78),)</f>
        <v/>
      </c>
      <c r="DR78" s="130">
        <f>IFERROR(if($Z78=0,($V78/1.35)*BF78,
BF78*$Z78),)</f>
        <v/>
      </c>
      <c r="DS78" s="128">
        <f>IFERROR(IF($AB78=0,($V78/0.74)*BG78,
BG78*$AB78),)</f>
        <v/>
      </c>
      <c r="DT78" s="128">
        <f>IFERROR(IF($AB78=0,($V78/0.74)*BH78,
BH78*$AB78),)</f>
        <v/>
      </c>
      <c r="DU78" s="128">
        <f>IFERROR(IF($AB78=0,($V78/0.74)*BI78,
BI78*$AB78),)</f>
        <v/>
      </c>
    </row>
    <row r="79" ht="131.25" customHeight="1" s="162">
      <c r="A79" s="115" t="n"/>
      <c r="B79" s="115" t="n"/>
      <c r="C79" s="115" t="n"/>
      <c r="D79" s="115" t="n"/>
      <c r="E79" s="115" t="n"/>
      <c r="F79" s="115" t="n"/>
      <c r="G79" s="115" t="n"/>
      <c r="H79" s="115" t="n"/>
      <c r="I79" s="115" t="n"/>
      <c r="J79" s="115" t="n"/>
      <c r="K79" s="115" t="n"/>
      <c r="L79" s="115" t="n"/>
      <c r="M79" s="115" t="n"/>
      <c r="N79" s="115" t="n"/>
      <c r="O79" s="115" t="n"/>
      <c r="P79" s="115" t="n"/>
      <c r="Q79" s="115" t="n"/>
      <c r="R79" s="115" t="n"/>
      <c r="S79" s="115" t="n"/>
      <c r="T79" s="115" t="n"/>
      <c r="U79" s="116" t="n"/>
      <c r="V79" s="116" t="n"/>
      <c r="W79" s="117" t="n"/>
      <c r="X79" s="118" t="n"/>
      <c r="Y79" s="119" t="n"/>
      <c r="Z79" s="120" t="n"/>
      <c r="AA79" s="121" t="n"/>
      <c r="AB79" s="122" t="n"/>
      <c r="AC79" s="117" t="n"/>
      <c r="AD79" s="123">
        <f>IF(SUM($AE79:$AH79)=0,"",SUM($AE79:$AH79))</f>
        <v/>
      </c>
      <c r="AE79" s="123">
        <f>iferror(IF(SUM($AI79:$AZ79)=0,"",SUM($AI79:$AZ79)),"")</f>
        <v/>
      </c>
      <c r="AF79" s="123">
        <f>iferror(IF(SUM($BA79:$BC79)=0,"",SUM($BA79:$BC79)),"")</f>
        <v/>
      </c>
      <c r="AG79" s="123">
        <f>iferror(IF(SUM($BD79:$BF79)=0,"",SUM($BD79:$BF79)),"")</f>
        <v/>
      </c>
      <c r="AH79" s="124">
        <f>iferror(IF(SUM($BG79:$BI79)=0,"",SUM($BG79:$BI79)),"")</f>
        <v/>
      </c>
      <c r="AI79" s="131" t="n"/>
      <c r="AJ79" s="132" t="n"/>
      <c r="AK79" s="132" t="n"/>
      <c r="AL79" s="132" t="n"/>
      <c r="AM79" s="132" t="n"/>
      <c r="AN79" s="132" t="n"/>
      <c r="AO79" s="132" t="n"/>
      <c r="AP79" s="132" t="n"/>
      <c r="AQ79" s="132" t="n"/>
      <c r="AR79" s="132" t="n"/>
      <c r="AS79" s="132" t="n"/>
      <c r="AT79" s="132" t="n"/>
      <c r="AU79" s="132" t="n"/>
      <c r="AV79" s="132" t="n"/>
      <c r="AW79" s="132" t="n"/>
      <c r="AX79" s="132" t="n"/>
      <c r="AY79" s="132" t="n"/>
      <c r="AZ79" s="133" t="n"/>
      <c r="BA79" s="131" t="n"/>
      <c r="BB79" s="132" t="n"/>
      <c r="BC79" s="133" t="n"/>
      <c r="BD79" s="131" t="n"/>
      <c r="BE79" s="132" t="n"/>
      <c r="BF79" s="133" t="n"/>
      <c r="BG79" s="131" t="n"/>
      <c r="BH79" s="132" t="n"/>
      <c r="BI79" s="132" t="n"/>
      <c r="BJ79" s="128">
        <f>iferror(SUM($BK79,($BL79*1.2),($BM79*1.35),($BN79*0.74)),)</f>
        <v/>
      </c>
      <c r="BK79" s="128">
        <f>IFERROR(SUM($BT79:$CK79),)</f>
        <v/>
      </c>
      <c r="BL79" s="129">
        <f>IFERROR(SUM($CL79:$CN79),)</f>
        <v/>
      </c>
      <c r="BM79" s="130">
        <f>IFERROR(SUM($CO79:$CQ79),)</f>
        <v/>
      </c>
      <c r="BN79" s="128">
        <f>IFERROR(SUM($CR79:$CT79),)</f>
        <v/>
      </c>
      <c r="BO79" s="128">
        <f>iferror(SUM($BP79,($BQ79*1.2),($BR79*1.35),($BS79*0.74)),)</f>
        <v/>
      </c>
      <c r="BP79" s="128">
        <f>IFERROR(SUM($CU79:$DL79),)</f>
        <v/>
      </c>
      <c r="BQ79" s="128">
        <f>IFERROR(SUM($DM79:$DO79),)</f>
        <v/>
      </c>
      <c r="BR79" s="128">
        <f>IFERROR(SUM($DP79:$DR79),)</f>
        <v/>
      </c>
      <c r="BS79" s="128">
        <f>IFERROR(SUM($DS79:$DU79),)</f>
        <v/>
      </c>
      <c r="BT79" s="128">
        <f>IFERROR(AI79*$W79,)</f>
        <v/>
      </c>
      <c r="BU79" s="128">
        <f>IFERROR(AJ79*$W79,)</f>
        <v/>
      </c>
      <c r="BV79" s="128">
        <f>IFERROR(AK79*$W79,)</f>
        <v/>
      </c>
      <c r="BW79" s="128">
        <f>IFERROR(AL79*$W79,)</f>
        <v/>
      </c>
      <c r="BX79" s="128">
        <f>IFERROR(AM79*$W79,)</f>
        <v/>
      </c>
      <c r="BY79" s="128">
        <f>IFERROR(AN79*$W79,)</f>
        <v/>
      </c>
      <c r="BZ79" s="128">
        <f>IFERROR(AO79*$W79,)</f>
        <v/>
      </c>
      <c r="CA79" s="128">
        <f>IFERROR(AP79*$W79,)</f>
        <v/>
      </c>
      <c r="CB79" s="128">
        <f>IFERROR(AQ79*$W79,)</f>
        <v/>
      </c>
      <c r="CC79" s="128">
        <f>IFERROR(AR79*$W79,)</f>
        <v/>
      </c>
      <c r="CD79" s="128">
        <f>IFERROR(AS79*$W79,)</f>
        <v/>
      </c>
      <c r="CE79" s="128">
        <f>IFERROR(AT79*$W79,)</f>
        <v/>
      </c>
      <c r="CF79" s="128">
        <f>IFERROR(AU79*$W79,)</f>
        <v/>
      </c>
      <c r="CG79" s="128">
        <f>IFERROR(AV79*$W79,)</f>
        <v/>
      </c>
      <c r="CH79" s="128">
        <f>IFERROR(AW79*$W79,)</f>
        <v/>
      </c>
      <c r="CI79" s="128">
        <f>IFERROR(AX79*$W79,)</f>
        <v/>
      </c>
      <c r="CJ79" s="128">
        <f>IFERROR(AY79*$W79,)</f>
        <v/>
      </c>
      <c r="CK79" s="128">
        <f>IFERROR(AZ79*$W79,)</f>
        <v/>
      </c>
      <c r="CL79" s="129">
        <f>IFERROR(if($Y79=0,BA79*($W79/1.2),BA79*$Y79),"")</f>
        <v/>
      </c>
      <c r="CM79" s="129">
        <f>IFERROR(if($Y79=0,BB79*($W79/1.2),BB79*$Y79),"")</f>
        <v/>
      </c>
      <c r="CN79" s="129">
        <f>IFERROR(if($Y79=0,BC79*($W79/1.2),BC79*$Y79),"")</f>
        <v/>
      </c>
      <c r="CO79" s="130">
        <f>IFERROR(if($AA79=0,($W79/1.35)*BD79,BD79*$AA79),)</f>
        <v/>
      </c>
      <c r="CP79" s="130">
        <f>IFERROR(if($AA79=0,($W79/1.35)*BE79,BE79*$AA79),)</f>
        <v/>
      </c>
      <c r="CQ79" s="130">
        <f>IFERROR(if($AA79=0,($W79/1.35)*BF79,BF79*$AA79),)</f>
        <v/>
      </c>
      <c r="CR79" s="128">
        <f>IFERROR(if($AC79=0,($W79/0.74)*BG79,
BG79*$AC79),)</f>
        <v/>
      </c>
      <c r="CS79" s="128">
        <f>IFERROR(if($AC79=0,($W79/0.74)*BH79,
BH79*$AC79),)</f>
        <v/>
      </c>
      <c r="CT79" s="128">
        <f>IFERROR(if($AC79=0,($W79/0.74)*BI79,
BI79*$AC79),)</f>
        <v/>
      </c>
      <c r="CU79" s="128">
        <f>IFERROR(AI79*$V79,)</f>
        <v/>
      </c>
      <c r="CV79" s="128">
        <f>IFERROR(AJ79*$V79,)</f>
        <v/>
      </c>
      <c r="CW79" s="128">
        <f>IFERROR(AK79*$V79,)</f>
        <v/>
      </c>
      <c r="CX79" s="128">
        <f>IFERROR(AL79*$V79,)</f>
        <v/>
      </c>
      <c r="CY79" s="128">
        <f>IFERROR(AM79*$V79,)</f>
        <v/>
      </c>
      <c r="CZ79" s="128">
        <f>IFERROR(AN79*$V79,)</f>
        <v/>
      </c>
      <c r="DA79" s="128">
        <f>IFERROR(AO79*$V79,)</f>
        <v/>
      </c>
      <c r="DB79" s="128">
        <f>IFERROR(AP79*$V79,)</f>
        <v/>
      </c>
      <c r="DC79" s="128">
        <f>IFERROR(AQ79*$V79,)</f>
        <v/>
      </c>
      <c r="DD79" s="128">
        <f>IFERROR(AR79*$V79,)</f>
        <v/>
      </c>
      <c r="DE79" s="128">
        <f>IFERROR(AS79*$V79,)</f>
        <v/>
      </c>
      <c r="DF79" s="128">
        <f>IFERROR(AT79*$V79,)</f>
        <v/>
      </c>
      <c r="DG79" s="128">
        <f>IFERROR(AU79*$V79,)</f>
        <v/>
      </c>
      <c r="DH79" s="128">
        <f>IFERROR(AV79*$V79,)</f>
        <v/>
      </c>
      <c r="DI79" s="128">
        <f>IFERROR(AW79*$V79,)</f>
        <v/>
      </c>
      <c r="DJ79" s="128">
        <f>IFERROR(AX79*$V79,)</f>
        <v/>
      </c>
      <c r="DK79" s="128">
        <f>IFERROR(AY79*$V79,)</f>
        <v/>
      </c>
      <c r="DL79" s="128">
        <f>IFERROR(AZ79*$V79,)</f>
        <v/>
      </c>
      <c r="DM79" s="129">
        <f>IFERROR(if($X79=0,($V79/1.2)*BA79,
BA79*$X79),)</f>
        <v/>
      </c>
      <c r="DN79" s="129">
        <f>IFERROR(if($X79=0,($V79/1.2)*BB79,
BB79*$X79),)</f>
        <v/>
      </c>
      <c r="DO79" s="129">
        <f>IFERROR(if($X79=0,($V79/1.2)*BC79,
BC79*$X79),)</f>
        <v/>
      </c>
      <c r="DP79" s="130">
        <f>IFERROR(if($Z79=0,($V79/1.35)*BD79,
BD79*$Z79),)</f>
        <v/>
      </c>
      <c r="DQ79" s="130">
        <f>IFERROR(if($Z79=0,($V79/1.35)*BE79,
BE79*$Z79),)</f>
        <v/>
      </c>
      <c r="DR79" s="130">
        <f>IFERROR(if($Z79=0,($V79/1.35)*BF79,
BF79*$Z79),)</f>
        <v/>
      </c>
      <c r="DS79" s="128">
        <f>IFERROR(IF($AB79=0,($V79/0.74)*BG79,
BG79*$AB79),)</f>
        <v/>
      </c>
      <c r="DT79" s="128">
        <f>IFERROR(IF($AB79=0,($V79/0.74)*BH79,
BH79*$AB79),)</f>
        <v/>
      </c>
      <c r="DU79" s="128">
        <f>IFERROR(IF($AB79=0,($V79/0.74)*BI79,
BI79*$AB79),)</f>
        <v/>
      </c>
    </row>
    <row r="80" ht="131.25" customHeight="1" s="162">
      <c r="A80" s="115" t="n"/>
      <c r="B80" s="115" t="n"/>
      <c r="C80" s="115" t="n"/>
      <c r="D80" s="115" t="n"/>
      <c r="E80" s="115" t="n"/>
      <c r="F80" s="115" t="n"/>
      <c r="G80" s="115" t="n"/>
      <c r="H80" s="115" t="n"/>
      <c r="I80" s="115" t="n"/>
      <c r="J80" s="115" t="n"/>
      <c r="K80" s="115" t="n"/>
      <c r="L80" s="115" t="n"/>
      <c r="M80" s="115" t="n"/>
      <c r="N80" s="115" t="n"/>
      <c r="O80" s="115" t="n"/>
      <c r="P80" s="115" t="n"/>
      <c r="Q80" s="115" t="n"/>
      <c r="R80" s="115" t="n"/>
      <c r="S80" s="115" t="n"/>
      <c r="T80" s="115" t="n"/>
      <c r="U80" s="116" t="n"/>
      <c r="V80" s="116" t="n"/>
      <c r="W80" s="117" t="n"/>
      <c r="X80" s="118" t="n"/>
      <c r="Y80" s="119" t="n"/>
      <c r="Z80" s="120" t="n"/>
      <c r="AA80" s="121" t="n"/>
      <c r="AB80" s="122" t="n"/>
      <c r="AC80" s="117" t="n"/>
      <c r="AD80" s="123">
        <f>IF(SUM($AE80:$AH80)=0,"",SUM($AE80:$AH80))</f>
        <v/>
      </c>
      <c r="AE80" s="123">
        <f>iferror(IF(SUM($AI80:$AZ80)=0,"",SUM($AI80:$AZ80)),"")</f>
        <v/>
      </c>
      <c r="AF80" s="123">
        <f>iferror(IF(SUM($BA80:$BC80)=0,"",SUM($BA80:$BC80)),"")</f>
        <v/>
      </c>
      <c r="AG80" s="123">
        <f>iferror(IF(SUM($BD80:$BF80)=0,"",SUM($BD80:$BF80)),"")</f>
        <v/>
      </c>
      <c r="AH80" s="124">
        <f>iferror(IF(SUM($BG80:$BI80)=0,"",SUM($BG80:$BI80)),"")</f>
        <v/>
      </c>
      <c r="AI80" s="131" t="n"/>
      <c r="AJ80" s="132" t="n"/>
      <c r="AK80" s="132" t="n"/>
      <c r="AL80" s="132" t="n"/>
      <c r="AM80" s="132" t="n"/>
      <c r="AN80" s="132" t="n"/>
      <c r="AO80" s="132" t="n"/>
      <c r="AP80" s="132" t="n"/>
      <c r="AQ80" s="132" t="n"/>
      <c r="AR80" s="132" t="n"/>
      <c r="AS80" s="132" t="n"/>
      <c r="AT80" s="132" t="n"/>
      <c r="AU80" s="132" t="n"/>
      <c r="AV80" s="132" t="n"/>
      <c r="AW80" s="132" t="n"/>
      <c r="AX80" s="132" t="n"/>
      <c r="AY80" s="132" t="n"/>
      <c r="AZ80" s="133" t="n"/>
      <c r="BA80" s="131" t="n"/>
      <c r="BB80" s="132" t="n"/>
      <c r="BC80" s="133" t="n"/>
      <c r="BD80" s="131" t="n"/>
      <c r="BE80" s="132" t="n"/>
      <c r="BF80" s="133" t="n"/>
      <c r="BG80" s="131" t="n"/>
      <c r="BH80" s="132" t="n"/>
      <c r="BI80" s="132" t="n"/>
      <c r="BJ80" s="128">
        <f>iferror(SUM($BK80,($BL80*1.2),($BM80*1.35),($BN80*0.74)),)</f>
        <v/>
      </c>
      <c r="BK80" s="128">
        <f>IFERROR(SUM($BT80:$CK80),)</f>
        <v/>
      </c>
      <c r="BL80" s="129">
        <f>IFERROR(SUM($CL80:$CN80),)</f>
        <v/>
      </c>
      <c r="BM80" s="130">
        <f>IFERROR(SUM($CO80:$CQ80),)</f>
        <v/>
      </c>
      <c r="BN80" s="128">
        <f>IFERROR(SUM($CR80:$CT80),)</f>
        <v/>
      </c>
      <c r="BO80" s="128">
        <f>iferror(SUM($BP80,($BQ80*1.2),($BR80*1.35),($BS80*0.74)),)</f>
        <v/>
      </c>
      <c r="BP80" s="128">
        <f>IFERROR(SUM($CU80:$DL80),)</f>
        <v/>
      </c>
      <c r="BQ80" s="128">
        <f>IFERROR(SUM($DM80:$DO80),)</f>
        <v/>
      </c>
      <c r="BR80" s="128">
        <f>IFERROR(SUM($DP80:$DR80),)</f>
        <v/>
      </c>
      <c r="BS80" s="128">
        <f>IFERROR(SUM($DS80:$DU80),)</f>
        <v/>
      </c>
      <c r="BT80" s="128">
        <f>IFERROR(AI80*$W80,)</f>
        <v/>
      </c>
      <c r="BU80" s="128">
        <f>IFERROR(AJ80*$W80,)</f>
        <v/>
      </c>
      <c r="BV80" s="128">
        <f>IFERROR(AK80*$W80,)</f>
        <v/>
      </c>
      <c r="BW80" s="128">
        <f>IFERROR(AL80*$W80,)</f>
        <v/>
      </c>
      <c r="BX80" s="128">
        <f>IFERROR(AM80*$W80,)</f>
        <v/>
      </c>
      <c r="BY80" s="128">
        <f>IFERROR(AN80*$W80,)</f>
        <v/>
      </c>
      <c r="BZ80" s="128">
        <f>IFERROR(AO80*$W80,)</f>
        <v/>
      </c>
      <c r="CA80" s="128">
        <f>IFERROR(AP80*$W80,)</f>
        <v/>
      </c>
      <c r="CB80" s="128">
        <f>IFERROR(AQ80*$W80,)</f>
        <v/>
      </c>
      <c r="CC80" s="128">
        <f>IFERROR(AR80*$W80,)</f>
        <v/>
      </c>
      <c r="CD80" s="128">
        <f>IFERROR(AS80*$W80,)</f>
        <v/>
      </c>
      <c r="CE80" s="128">
        <f>IFERROR(AT80*$W80,)</f>
        <v/>
      </c>
      <c r="CF80" s="128">
        <f>IFERROR(AU80*$W80,)</f>
        <v/>
      </c>
      <c r="CG80" s="128">
        <f>IFERROR(AV80*$W80,)</f>
        <v/>
      </c>
      <c r="CH80" s="128">
        <f>IFERROR(AW80*$W80,)</f>
        <v/>
      </c>
      <c r="CI80" s="128">
        <f>IFERROR(AX80*$W80,)</f>
        <v/>
      </c>
      <c r="CJ80" s="128">
        <f>IFERROR(AY80*$W80,)</f>
        <v/>
      </c>
      <c r="CK80" s="128">
        <f>IFERROR(AZ80*$W80,)</f>
        <v/>
      </c>
      <c r="CL80" s="129">
        <f>IFERROR(if($Y80=0,BA80*($W80/1.2),BA80*$Y80),"")</f>
        <v/>
      </c>
      <c r="CM80" s="129">
        <f>IFERROR(if($Y80=0,BB80*($W80/1.2),BB80*$Y80),"")</f>
        <v/>
      </c>
      <c r="CN80" s="129">
        <f>IFERROR(if($Y80=0,BC80*($W80/1.2),BC80*$Y80),"")</f>
        <v/>
      </c>
      <c r="CO80" s="130">
        <f>IFERROR(if($AA80=0,($W80/1.35)*BD80,BD80*$AA80),)</f>
        <v/>
      </c>
      <c r="CP80" s="130">
        <f>IFERROR(if($AA80=0,($W80/1.35)*BE80,BE80*$AA80),)</f>
        <v/>
      </c>
      <c r="CQ80" s="130">
        <f>IFERROR(if($AA80=0,($W80/1.35)*BF80,BF80*$AA80),)</f>
        <v/>
      </c>
      <c r="CR80" s="128">
        <f>IFERROR(if($AC80=0,($W80/0.74)*BG80,
BG80*$AC80),)</f>
        <v/>
      </c>
      <c r="CS80" s="128">
        <f>IFERROR(if($AC80=0,($W80/0.74)*BH80,
BH80*$AC80),)</f>
        <v/>
      </c>
      <c r="CT80" s="128">
        <f>IFERROR(if($AC80=0,($W80/0.74)*BI80,
BI80*$AC80),)</f>
        <v/>
      </c>
      <c r="CU80" s="128">
        <f>IFERROR(AI80*$V80,)</f>
        <v/>
      </c>
      <c r="CV80" s="128">
        <f>IFERROR(AJ80*$V80,)</f>
        <v/>
      </c>
      <c r="CW80" s="128">
        <f>IFERROR(AK80*$V80,)</f>
        <v/>
      </c>
      <c r="CX80" s="128">
        <f>IFERROR(AL80*$V80,)</f>
        <v/>
      </c>
      <c r="CY80" s="128">
        <f>IFERROR(AM80*$V80,)</f>
        <v/>
      </c>
      <c r="CZ80" s="128">
        <f>IFERROR(AN80*$V80,)</f>
        <v/>
      </c>
      <c r="DA80" s="128">
        <f>IFERROR(AO80*$V80,)</f>
        <v/>
      </c>
      <c r="DB80" s="128">
        <f>IFERROR(AP80*$V80,)</f>
        <v/>
      </c>
      <c r="DC80" s="128">
        <f>IFERROR(AQ80*$V80,)</f>
        <v/>
      </c>
      <c r="DD80" s="128">
        <f>IFERROR(AR80*$V80,)</f>
        <v/>
      </c>
      <c r="DE80" s="128">
        <f>IFERROR(AS80*$V80,)</f>
        <v/>
      </c>
      <c r="DF80" s="128">
        <f>IFERROR(AT80*$V80,)</f>
        <v/>
      </c>
      <c r="DG80" s="128">
        <f>IFERROR(AU80*$V80,)</f>
        <v/>
      </c>
      <c r="DH80" s="128">
        <f>IFERROR(AV80*$V80,)</f>
        <v/>
      </c>
      <c r="DI80" s="128">
        <f>IFERROR(AW80*$V80,)</f>
        <v/>
      </c>
      <c r="DJ80" s="128">
        <f>IFERROR(AX80*$V80,)</f>
        <v/>
      </c>
      <c r="DK80" s="128">
        <f>IFERROR(AY80*$V80,)</f>
        <v/>
      </c>
      <c r="DL80" s="128">
        <f>IFERROR(AZ80*$V80,)</f>
        <v/>
      </c>
      <c r="DM80" s="129">
        <f>IFERROR(if($X80=0,($V80/1.2)*BA80,
BA80*$X80),)</f>
        <v/>
      </c>
      <c r="DN80" s="129">
        <f>IFERROR(if($X80=0,($V80/1.2)*BB80,
BB80*$X80),)</f>
        <v/>
      </c>
      <c r="DO80" s="129">
        <f>IFERROR(if($X80=0,($V80/1.2)*BC80,
BC80*$X80),)</f>
        <v/>
      </c>
      <c r="DP80" s="130">
        <f>IFERROR(if($Z80=0,($V80/1.35)*BD80,
BD80*$Z80),)</f>
        <v/>
      </c>
      <c r="DQ80" s="130">
        <f>IFERROR(if($Z80=0,($V80/1.35)*BE80,
BE80*$Z80),)</f>
        <v/>
      </c>
      <c r="DR80" s="130">
        <f>IFERROR(if($Z80=0,($V80/1.35)*BF80,
BF80*$Z80),)</f>
        <v/>
      </c>
      <c r="DS80" s="128">
        <f>IFERROR(IF($AB80=0,($V80/0.74)*BG80,
BG80*$AB80),)</f>
        <v/>
      </c>
      <c r="DT80" s="128">
        <f>IFERROR(IF($AB80=0,($V80/0.74)*BH80,
BH80*$AB80),)</f>
        <v/>
      </c>
      <c r="DU80" s="128">
        <f>IFERROR(IF($AB80=0,($V80/0.74)*BI80,
BI80*$AB80),)</f>
        <v/>
      </c>
    </row>
    <row r="81" ht="131.25" customHeight="1" s="162">
      <c r="A81" s="115" t="n"/>
      <c r="B81" s="115" t="n"/>
      <c r="C81" s="115" t="n"/>
      <c r="D81" s="115" t="n"/>
      <c r="E81" s="115" t="n"/>
      <c r="F81" s="115" t="n"/>
      <c r="G81" s="115" t="n"/>
      <c r="H81" s="115" t="n"/>
      <c r="I81" s="115" t="n"/>
      <c r="J81" s="115" t="n"/>
      <c r="K81" s="115" t="n"/>
      <c r="L81" s="115" t="n"/>
      <c r="M81" s="115" t="n"/>
      <c r="N81" s="115" t="n"/>
      <c r="O81" s="115" t="n"/>
      <c r="P81" s="115" t="n"/>
      <c r="Q81" s="115" t="n"/>
      <c r="R81" s="115" t="n"/>
      <c r="S81" s="115" t="n"/>
      <c r="T81" s="115" t="n"/>
      <c r="U81" s="116" t="n"/>
      <c r="V81" s="116" t="n"/>
      <c r="W81" s="117" t="n"/>
      <c r="X81" s="118" t="n"/>
      <c r="Y81" s="119" t="n"/>
      <c r="Z81" s="120" t="n"/>
      <c r="AA81" s="121" t="n"/>
      <c r="AB81" s="122" t="n"/>
      <c r="AC81" s="117" t="n"/>
      <c r="AD81" s="123">
        <f>IF(SUM($AE81:$AH81)=0,"",SUM($AE81:$AH81))</f>
        <v/>
      </c>
      <c r="AE81" s="123">
        <f>iferror(IF(SUM($AI81:$AZ81)=0,"",SUM($AI81:$AZ81)),"")</f>
        <v/>
      </c>
      <c r="AF81" s="123">
        <f>iferror(IF(SUM($BA81:$BC81)=0,"",SUM($BA81:$BC81)),"")</f>
        <v/>
      </c>
      <c r="AG81" s="123">
        <f>iferror(IF(SUM($BD81:$BF81)=0,"",SUM($BD81:$BF81)),"")</f>
        <v/>
      </c>
      <c r="AH81" s="124">
        <f>iferror(IF(SUM($BG81:$BI81)=0,"",SUM($BG81:$BI81)),"")</f>
        <v/>
      </c>
      <c r="AI81" s="131" t="n"/>
      <c r="AJ81" s="132" t="n"/>
      <c r="AK81" s="132" t="n"/>
      <c r="AL81" s="132" t="n"/>
      <c r="AM81" s="132" t="n"/>
      <c r="AN81" s="132" t="n"/>
      <c r="AO81" s="132" t="n"/>
      <c r="AP81" s="132" t="n"/>
      <c r="AQ81" s="132" t="n"/>
      <c r="AR81" s="132" t="n"/>
      <c r="AS81" s="132" t="n"/>
      <c r="AT81" s="132" t="n"/>
      <c r="AU81" s="132" t="n"/>
      <c r="AV81" s="132" t="n"/>
      <c r="AW81" s="132" t="n"/>
      <c r="AX81" s="132" t="n"/>
      <c r="AY81" s="132" t="n"/>
      <c r="AZ81" s="133" t="n"/>
      <c r="BA81" s="131" t="n"/>
      <c r="BB81" s="132" t="n"/>
      <c r="BC81" s="133" t="n"/>
      <c r="BD81" s="131" t="n"/>
      <c r="BE81" s="132" t="n"/>
      <c r="BF81" s="133" t="n"/>
      <c r="BG81" s="131" t="n"/>
      <c r="BH81" s="132" t="n"/>
      <c r="BI81" s="132" t="n"/>
      <c r="BJ81" s="128">
        <f>iferror(SUM($BK81,($BL81*1.2),($BM81*1.35),($BN81*0.74)),)</f>
        <v/>
      </c>
      <c r="BK81" s="128">
        <f>IFERROR(SUM($BT81:$CK81),)</f>
        <v/>
      </c>
      <c r="BL81" s="129">
        <f>IFERROR(SUM($CL81:$CN81),)</f>
        <v/>
      </c>
      <c r="BM81" s="130">
        <f>IFERROR(SUM($CO81:$CQ81),)</f>
        <v/>
      </c>
      <c r="BN81" s="128">
        <f>IFERROR(SUM($CR81:$CT81),)</f>
        <v/>
      </c>
      <c r="BO81" s="128">
        <f>iferror(SUM($BP81,($BQ81*1.2),($BR81*1.35),($BS81*0.74)),)</f>
        <v/>
      </c>
      <c r="BP81" s="128">
        <f>IFERROR(SUM($CU81:$DL81),)</f>
        <v/>
      </c>
      <c r="BQ81" s="128">
        <f>IFERROR(SUM($DM81:$DO81),)</f>
        <v/>
      </c>
      <c r="BR81" s="128">
        <f>IFERROR(SUM($DP81:$DR81),)</f>
        <v/>
      </c>
      <c r="BS81" s="128">
        <f>IFERROR(SUM($DS81:$DU81),)</f>
        <v/>
      </c>
      <c r="BT81" s="128">
        <f>IFERROR(AI81*$W81,)</f>
        <v/>
      </c>
      <c r="BU81" s="128">
        <f>IFERROR(AJ81*$W81,)</f>
        <v/>
      </c>
      <c r="BV81" s="128">
        <f>IFERROR(AK81*$W81,)</f>
        <v/>
      </c>
      <c r="BW81" s="128">
        <f>IFERROR(AL81*$W81,)</f>
        <v/>
      </c>
      <c r="BX81" s="128">
        <f>IFERROR(AM81*$W81,)</f>
        <v/>
      </c>
      <c r="BY81" s="128">
        <f>IFERROR(AN81*$W81,)</f>
        <v/>
      </c>
      <c r="BZ81" s="128">
        <f>IFERROR(AO81*$W81,)</f>
        <v/>
      </c>
      <c r="CA81" s="128">
        <f>IFERROR(AP81*$W81,)</f>
        <v/>
      </c>
      <c r="CB81" s="128">
        <f>IFERROR(AQ81*$W81,)</f>
        <v/>
      </c>
      <c r="CC81" s="128">
        <f>IFERROR(AR81*$W81,)</f>
        <v/>
      </c>
      <c r="CD81" s="128">
        <f>IFERROR(AS81*$W81,)</f>
        <v/>
      </c>
      <c r="CE81" s="128">
        <f>IFERROR(AT81*$W81,)</f>
        <v/>
      </c>
      <c r="CF81" s="128">
        <f>IFERROR(AU81*$W81,)</f>
        <v/>
      </c>
      <c r="CG81" s="128">
        <f>IFERROR(AV81*$W81,)</f>
        <v/>
      </c>
      <c r="CH81" s="128">
        <f>IFERROR(AW81*$W81,)</f>
        <v/>
      </c>
      <c r="CI81" s="128">
        <f>IFERROR(AX81*$W81,)</f>
        <v/>
      </c>
      <c r="CJ81" s="128">
        <f>IFERROR(AY81*$W81,)</f>
        <v/>
      </c>
      <c r="CK81" s="128">
        <f>IFERROR(AZ81*$W81,)</f>
        <v/>
      </c>
      <c r="CL81" s="129">
        <f>IFERROR(if($Y81=0,BA81*($W81/1.2),BA81*$Y81),"")</f>
        <v/>
      </c>
      <c r="CM81" s="129">
        <f>IFERROR(if($Y81=0,BB81*($W81/1.2),BB81*$Y81),"")</f>
        <v/>
      </c>
      <c r="CN81" s="129">
        <f>IFERROR(if($Y81=0,BC81*($W81/1.2),BC81*$Y81),"")</f>
        <v/>
      </c>
      <c r="CO81" s="130">
        <f>IFERROR(if($AA81=0,($W81/1.35)*BD81,BD81*$AA81),)</f>
        <v/>
      </c>
      <c r="CP81" s="130">
        <f>IFERROR(if($AA81=0,($W81/1.35)*BE81,BE81*$AA81),)</f>
        <v/>
      </c>
      <c r="CQ81" s="130">
        <f>IFERROR(if($AA81=0,($W81/1.35)*BF81,BF81*$AA81),)</f>
        <v/>
      </c>
      <c r="CR81" s="128">
        <f>IFERROR(if($AC81=0,($W81/0.74)*BG81,
BG81*$AC81),)</f>
        <v/>
      </c>
      <c r="CS81" s="128">
        <f>IFERROR(if($AC81=0,($W81/0.74)*BH81,
BH81*$AC81),)</f>
        <v/>
      </c>
      <c r="CT81" s="128">
        <f>IFERROR(if($AC81=0,($W81/0.74)*BI81,
BI81*$AC81),)</f>
        <v/>
      </c>
      <c r="CU81" s="128">
        <f>IFERROR(AI81*$V81,)</f>
        <v/>
      </c>
      <c r="CV81" s="128">
        <f>IFERROR(AJ81*$V81,)</f>
        <v/>
      </c>
      <c r="CW81" s="128">
        <f>IFERROR(AK81*$V81,)</f>
        <v/>
      </c>
      <c r="CX81" s="128">
        <f>IFERROR(AL81*$V81,)</f>
        <v/>
      </c>
      <c r="CY81" s="128">
        <f>IFERROR(AM81*$V81,)</f>
        <v/>
      </c>
      <c r="CZ81" s="128">
        <f>IFERROR(AN81*$V81,)</f>
        <v/>
      </c>
      <c r="DA81" s="128">
        <f>IFERROR(AO81*$V81,)</f>
        <v/>
      </c>
      <c r="DB81" s="128">
        <f>IFERROR(AP81*$V81,)</f>
        <v/>
      </c>
      <c r="DC81" s="128">
        <f>IFERROR(AQ81*$V81,)</f>
        <v/>
      </c>
      <c r="DD81" s="128">
        <f>IFERROR(AR81*$V81,)</f>
        <v/>
      </c>
      <c r="DE81" s="128">
        <f>IFERROR(AS81*$V81,)</f>
        <v/>
      </c>
      <c r="DF81" s="128">
        <f>IFERROR(AT81*$V81,)</f>
        <v/>
      </c>
      <c r="DG81" s="128">
        <f>IFERROR(AU81*$V81,)</f>
        <v/>
      </c>
      <c r="DH81" s="128">
        <f>IFERROR(AV81*$V81,)</f>
        <v/>
      </c>
      <c r="DI81" s="128">
        <f>IFERROR(AW81*$V81,)</f>
        <v/>
      </c>
      <c r="DJ81" s="128">
        <f>IFERROR(AX81*$V81,)</f>
        <v/>
      </c>
      <c r="DK81" s="128">
        <f>IFERROR(AY81*$V81,)</f>
        <v/>
      </c>
      <c r="DL81" s="128">
        <f>IFERROR(AZ81*$V81,)</f>
        <v/>
      </c>
      <c r="DM81" s="129">
        <f>IFERROR(if($X81=0,($V81/1.2)*BA81,
BA81*$X81),)</f>
        <v/>
      </c>
      <c r="DN81" s="129">
        <f>IFERROR(if($X81=0,($V81/1.2)*BB81,
BB81*$X81),)</f>
        <v/>
      </c>
      <c r="DO81" s="129">
        <f>IFERROR(if($X81=0,($V81/1.2)*BC81,
BC81*$X81),)</f>
        <v/>
      </c>
      <c r="DP81" s="130">
        <f>IFERROR(if($Z81=0,($V81/1.35)*BD81,
BD81*$Z81),)</f>
        <v/>
      </c>
      <c r="DQ81" s="130">
        <f>IFERROR(if($Z81=0,($V81/1.35)*BE81,
BE81*$Z81),)</f>
        <v/>
      </c>
      <c r="DR81" s="130">
        <f>IFERROR(if($Z81=0,($V81/1.35)*BF81,
BF81*$Z81),)</f>
        <v/>
      </c>
      <c r="DS81" s="128">
        <f>IFERROR(IF($AB81=0,($V81/0.74)*BG81,
BG81*$AB81),)</f>
        <v/>
      </c>
      <c r="DT81" s="128">
        <f>IFERROR(IF($AB81=0,($V81/0.74)*BH81,
BH81*$AB81),)</f>
        <v/>
      </c>
      <c r="DU81" s="128">
        <f>IFERROR(IF($AB81=0,($V81/0.74)*BI81,
BI81*$AB81),)</f>
        <v/>
      </c>
    </row>
    <row r="82" ht="131.25" customHeight="1" s="162">
      <c r="A82" s="115" t="n"/>
      <c r="B82" s="115" t="n"/>
      <c r="C82" s="115" t="n"/>
      <c r="D82" s="115" t="n"/>
      <c r="E82" s="115" t="n"/>
      <c r="F82" s="115" t="n"/>
      <c r="G82" s="115" t="n"/>
      <c r="H82" s="115" t="n"/>
      <c r="I82" s="115" t="n"/>
      <c r="J82" s="115" t="n"/>
      <c r="K82" s="115" t="n"/>
      <c r="L82" s="115" t="n"/>
      <c r="M82" s="115" t="n"/>
      <c r="N82" s="115" t="n"/>
      <c r="O82" s="115" t="n"/>
      <c r="P82" s="115" t="n"/>
      <c r="Q82" s="115" t="n"/>
      <c r="R82" s="115" t="n"/>
      <c r="S82" s="115" t="n"/>
      <c r="T82" s="115" t="n"/>
      <c r="U82" s="116" t="n"/>
      <c r="V82" s="116" t="n"/>
      <c r="W82" s="117" t="n"/>
      <c r="X82" s="118" t="n"/>
      <c r="Y82" s="119" t="n"/>
      <c r="Z82" s="120" t="n"/>
      <c r="AA82" s="121" t="n"/>
      <c r="AB82" s="122" t="n"/>
      <c r="AC82" s="117" t="n"/>
      <c r="AD82" s="123">
        <f>IF(SUM($AE82:$AH82)=0,"",SUM($AE82:$AH82))</f>
        <v/>
      </c>
      <c r="AE82" s="123">
        <f>iferror(IF(SUM($AI82:$AZ82)=0,"",SUM($AI82:$AZ82)),"")</f>
        <v/>
      </c>
      <c r="AF82" s="123">
        <f>iferror(IF(SUM($BA82:$BC82)=0,"",SUM($BA82:$BC82)),"")</f>
        <v/>
      </c>
      <c r="AG82" s="123">
        <f>iferror(IF(SUM($BD82:$BF82)=0,"",SUM($BD82:$BF82)),"")</f>
        <v/>
      </c>
      <c r="AH82" s="124">
        <f>iferror(IF(SUM($BG82:$BI82)=0,"",SUM($BG82:$BI82)),"")</f>
        <v/>
      </c>
      <c r="AI82" s="131" t="n"/>
      <c r="AJ82" s="132" t="n"/>
      <c r="AK82" s="132" t="n"/>
      <c r="AL82" s="132" t="n"/>
      <c r="AM82" s="132" t="n"/>
      <c r="AN82" s="132" t="n"/>
      <c r="AO82" s="132" t="n"/>
      <c r="AP82" s="132" t="n"/>
      <c r="AQ82" s="132" t="n"/>
      <c r="AR82" s="132" t="n"/>
      <c r="AS82" s="132" t="n"/>
      <c r="AT82" s="132" t="n"/>
      <c r="AU82" s="132" t="n"/>
      <c r="AV82" s="132" t="n"/>
      <c r="AW82" s="132" t="n"/>
      <c r="AX82" s="132" t="n"/>
      <c r="AY82" s="132" t="n"/>
      <c r="AZ82" s="133" t="n"/>
      <c r="BA82" s="131" t="n"/>
      <c r="BB82" s="132" t="n"/>
      <c r="BC82" s="133" t="n"/>
      <c r="BD82" s="131" t="n"/>
      <c r="BE82" s="132" t="n"/>
      <c r="BF82" s="133" t="n"/>
      <c r="BG82" s="131" t="n"/>
      <c r="BH82" s="132" t="n"/>
      <c r="BI82" s="132" t="n"/>
      <c r="BJ82" s="128">
        <f>iferror(SUM($BK82,($BL82*1.2),($BM82*1.35),($BN82*0.74)),)</f>
        <v/>
      </c>
      <c r="BK82" s="128">
        <f>IFERROR(SUM($BT82:$CK82),)</f>
        <v/>
      </c>
      <c r="BL82" s="129">
        <f>IFERROR(SUM($CL82:$CN82),)</f>
        <v/>
      </c>
      <c r="BM82" s="130">
        <f>IFERROR(SUM($CO82:$CQ82),)</f>
        <v/>
      </c>
      <c r="BN82" s="128">
        <f>IFERROR(SUM($CR82:$CT82),)</f>
        <v/>
      </c>
      <c r="BO82" s="128">
        <f>iferror(SUM($BP82,($BQ82*1.2),($BR82*1.35),($BS82*0.74)),)</f>
        <v/>
      </c>
      <c r="BP82" s="128">
        <f>IFERROR(SUM($CU82:$DL82),)</f>
        <v/>
      </c>
      <c r="BQ82" s="128">
        <f>IFERROR(SUM($DM82:$DO82),)</f>
        <v/>
      </c>
      <c r="BR82" s="128">
        <f>IFERROR(SUM($DP82:$DR82),)</f>
        <v/>
      </c>
      <c r="BS82" s="128">
        <f>IFERROR(SUM($DS82:$DU82),)</f>
        <v/>
      </c>
      <c r="BT82" s="128">
        <f>IFERROR(AI82*$W82,)</f>
        <v/>
      </c>
      <c r="BU82" s="128">
        <f>IFERROR(AJ82*$W82,)</f>
        <v/>
      </c>
      <c r="BV82" s="128">
        <f>IFERROR(AK82*$W82,)</f>
        <v/>
      </c>
      <c r="BW82" s="128">
        <f>IFERROR(AL82*$W82,)</f>
        <v/>
      </c>
      <c r="BX82" s="128">
        <f>IFERROR(AM82*$W82,)</f>
        <v/>
      </c>
      <c r="BY82" s="128">
        <f>IFERROR(AN82*$W82,)</f>
        <v/>
      </c>
      <c r="BZ82" s="128">
        <f>IFERROR(AO82*$W82,)</f>
        <v/>
      </c>
      <c r="CA82" s="128">
        <f>IFERROR(AP82*$W82,)</f>
        <v/>
      </c>
      <c r="CB82" s="128">
        <f>IFERROR(AQ82*$W82,)</f>
        <v/>
      </c>
      <c r="CC82" s="128">
        <f>IFERROR(AR82*$W82,)</f>
        <v/>
      </c>
      <c r="CD82" s="128">
        <f>IFERROR(AS82*$W82,)</f>
        <v/>
      </c>
      <c r="CE82" s="128">
        <f>IFERROR(AT82*$W82,)</f>
        <v/>
      </c>
      <c r="CF82" s="128">
        <f>IFERROR(AU82*$W82,)</f>
        <v/>
      </c>
      <c r="CG82" s="128">
        <f>IFERROR(AV82*$W82,)</f>
        <v/>
      </c>
      <c r="CH82" s="128">
        <f>IFERROR(AW82*$W82,)</f>
        <v/>
      </c>
      <c r="CI82" s="128">
        <f>IFERROR(AX82*$W82,)</f>
        <v/>
      </c>
      <c r="CJ82" s="128">
        <f>IFERROR(AY82*$W82,)</f>
        <v/>
      </c>
      <c r="CK82" s="128">
        <f>IFERROR(AZ82*$W82,)</f>
        <v/>
      </c>
      <c r="CL82" s="129">
        <f>IFERROR(if($Y82=0,BA82*($W82/1.2),BA82*$Y82),"")</f>
        <v/>
      </c>
      <c r="CM82" s="129">
        <f>IFERROR(if($Y82=0,BB82*($W82/1.2),BB82*$Y82),"")</f>
        <v/>
      </c>
      <c r="CN82" s="129">
        <f>IFERROR(if($Y82=0,BC82*($W82/1.2),BC82*$Y82),"")</f>
        <v/>
      </c>
      <c r="CO82" s="130">
        <f>IFERROR(if($AA82=0,($W82/1.35)*BD82,BD82*$AA82),)</f>
        <v/>
      </c>
      <c r="CP82" s="130">
        <f>IFERROR(if($AA82=0,($W82/1.35)*BE82,BE82*$AA82),)</f>
        <v/>
      </c>
      <c r="CQ82" s="130">
        <f>IFERROR(if($AA82=0,($W82/1.35)*BF82,BF82*$AA82),)</f>
        <v/>
      </c>
      <c r="CR82" s="128">
        <f>IFERROR(if($AC82=0,($W82/0.74)*BG82,
BG82*$AC82),)</f>
        <v/>
      </c>
      <c r="CS82" s="128">
        <f>IFERROR(if($AC82=0,($W82/0.74)*BH82,
BH82*$AC82),)</f>
        <v/>
      </c>
      <c r="CT82" s="128">
        <f>IFERROR(if($AC82=0,($W82/0.74)*BI82,
BI82*$AC82),)</f>
        <v/>
      </c>
      <c r="CU82" s="128">
        <f>IFERROR(AI82*$V82,)</f>
        <v/>
      </c>
      <c r="CV82" s="128">
        <f>IFERROR(AJ82*$V82,)</f>
        <v/>
      </c>
      <c r="CW82" s="128">
        <f>IFERROR(AK82*$V82,)</f>
        <v/>
      </c>
      <c r="CX82" s="128">
        <f>IFERROR(AL82*$V82,)</f>
        <v/>
      </c>
      <c r="CY82" s="128">
        <f>IFERROR(AM82*$V82,)</f>
        <v/>
      </c>
      <c r="CZ82" s="128">
        <f>IFERROR(AN82*$V82,)</f>
        <v/>
      </c>
      <c r="DA82" s="128">
        <f>IFERROR(AO82*$V82,)</f>
        <v/>
      </c>
      <c r="DB82" s="128">
        <f>IFERROR(AP82*$V82,)</f>
        <v/>
      </c>
      <c r="DC82" s="128">
        <f>IFERROR(AQ82*$V82,)</f>
        <v/>
      </c>
      <c r="DD82" s="128">
        <f>IFERROR(AR82*$V82,)</f>
        <v/>
      </c>
      <c r="DE82" s="128">
        <f>IFERROR(AS82*$V82,)</f>
        <v/>
      </c>
      <c r="DF82" s="128">
        <f>IFERROR(AT82*$V82,)</f>
        <v/>
      </c>
      <c r="DG82" s="128">
        <f>IFERROR(AU82*$V82,)</f>
        <v/>
      </c>
      <c r="DH82" s="128">
        <f>IFERROR(AV82*$V82,)</f>
        <v/>
      </c>
      <c r="DI82" s="128">
        <f>IFERROR(AW82*$V82,)</f>
        <v/>
      </c>
      <c r="DJ82" s="128">
        <f>IFERROR(AX82*$V82,)</f>
        <v/>
      </c>
      <c r="DK82" s="128">
        <f>IFERROR(AY82*$V82,)</f>
        <v/>
      </c>
      <c r="DL82" s="128">
        <f>IFERROR(AZ82*$V82,)</f>
        <v/>
      </c>
      <c r="DM82" s="129">
        <f>IFERROR(if($X82=0,($V82/1.2)*BA82,
BA82*$X82),)</f>
        <v/>
      </c>
      <c r="DN82" s="129">
        <f>IFERROR(if($X82=0,($V82/1.2)*BB82,
BB82*$X82),)</f>
        <v/>
      </c>
      <c r="DO82" s="129">
        <f>IFERROR(if($X82=0,($V82/1.2)*BC82,
BC82*$X82),)</f>
        <v/>
      </c>
      <c r="DP82" s="130">
        <f>IFERROR(if($Z82=0,($V82/1.35)*BD82,
BD82*$Z82),)</f>
        <v/>
      </c>
      <c r="DQ82" s="130">
        <f>IFERROR(if($Z82=0,($V82/1.35)*BE82,
BE82*$Z82),)</f>
        <v/>
      </c>
      <c r="DR82" s="130">
        <f>IFERROR(if($Z82=0,($V82/1.35)*BF82,
BF82*$Z82),)</f>
        <v/>
      </c>
      <c r="DS82" s="128">
        <f>IFERROR(IF($AB82=0,($V82/0.74)*BG82,
BG82*$AB82),)</f>
        <v/>
      </c>
      <c r="DT82" s="128">
        <f>IFERROR(IF($AB82=0,($V82/0.74)*BH82,
BH82*$AB82),)</f>
        <v/>
      </c>
      <c r="DU82" s="128">
        <f>IFERROR(IF($AB82=0,($V82/0.74)*BI82,
BI82*$AB82),)</f>
        <v/>
      </c>
    </row>
    <row r="83" ht="131.25" customHeight="1" s="162">
      <c r="A83" s="115" t="n"/>
      <c r="B83" s="115" t="n"/>
      <c r="C83" s="115" t="n"/>
      <c r="D83" s="115" t="n"/>
      <c r="E83" s="115" t="n"/>
      <c r="F83" s="115" t="n"/>
      <c r="G83" s="115" t="n"/>
      <c r="H83" s="115" t="n"/>
      <c r="I83" s="115" t="n"/>
      <c r="J83" s="115" t="n"/>
      <c r="K83" s="115" t="n"/>
      <c r="L83" s="115" t="n"/>
      <c r="M83" s="115" t="n"/>
      <c r="N83" s="115" t="n"/>
      <c r="O83" s="115" t="n"/>
      <c r="P83" s="115" t="n"/>
      <c r="Q83" s="115" t="n"/>
      <c r="R83" s="115" t="n"/>
      <c r="S83" s="115" t="n"/>
      <c r="T83" s="115" t="n"/>
      <c r="U83" s="116" t="n"/>
      <c r="V83" s="116" t="n"/>
      <c r="W83" s="117" t="n"/>
      <c r="X83" s="118" t="n"/>
      <c r="Y83" s="119" t="n"/>
      <c r="Z83" s="120" t="n"/>
      <c r="AA83" s="121" t="n"/>
      <c r="AB83" s="122" t="n"/>
      <c r="AC83" s="117" t="n"/>
      <c r="AD83" s="123">
        <f>IF(SUM($AE83:$AH83)=0,"",SUM($AE83:$AH83))</f>
        <v/>
      </c>
      <c r="AE83" s="123">
        <f>iferror(IF(SUM($AI83:$AZ83)=0,"",SUM($AI83:$AZ83)),"")</f>
        <v/>
      </c>
      <c r="AF83" s="123">
        <f>iferror(IF(SUM($BA83:$BC83)=0,"",SUM($BA83:$BC83)),"")</f>
        <v/>
      </c>
      <c r="AG83" s="123">
        <f>iferror(IF(SUM($BD83:$BF83)=0,"",SUM($BD83:$BF83)),"")</f>
        <v/>
      </c>
      <c r="AH83" s="124">
        <f>iferror(IF(SUM($BG83:$BI83)=0,"",SUM($BG83:$BI83)),"")</f>
        <v/>
      </c>
      <c r="AI83" s="131" t="n"/>
      <c r="AJ83" s="132" t="n"/>
      <c r="AK83" s="132" t="n"/>
      <c r="AL83" s="132" t="n"/>
      <c r="AM83" s="132" t="n"/>
      <c r="AN83" s="132" t="n"/>
      <c r="AO83" s="132" t="n"/>
      <c r="AP83" s="132" t="n"/>
      <c r="AQ83" s="132" t="n"/>
      <c r="AR83" s="132" t="n"/>
      <c r="AS83" s="132" t="n"/>
      <c r="AT83" s="132" t="n"/>
      <c r="AU83" s="132" t="n"/>
      <c r="AV83" s="132" t="n"/>
      <c r="AW83" s="132" t="n"/>
      <c r="AX83" s="132" t="n"/>
      <c r="AY83" s="132" t="n"/>
      <c r="AZ83" s="133" t="n"/>
      <c r="BA83" s="131" t="n"/>
      <c r="BB83" s="132" t="n"/>
      <c r="BC83" s="133" t="n"/>
      <c r="BD83" s="131" t="n"/>
      <c r="BE83" s="132" t="n"/>
      <c r="BF83" s="133" t="n"/>
      <c r="BG83" s="131" t="n"/>
      <c r="BH83" s="132" t="n"/>
      <c r="BI83" s="132" t="n"/>
      <c r="BJ83" s="128">
        <f>iferror(SUM($BK83,($BL83*1.2),($BM83*1.35),($BN83*0.74)),)</f>
        <v/>
      </c>
      <c r="BK83" s="128">
        <f>IFERROR(SUM($BT83:$CK83),)</f>
        <v/>
      </c>
      <c r="BL83" s="129">
        <f>IFERROR(SUM($CL83:$CN83),)</f>
        <v/>
      </c>
      <c r="BM83" s="130">
        <f>IFERROR(SUM($CO83:$CQ83),)</f>
        <v/>
      </c>
      <c r="BN83" s="128">
        <f>IFERROR(SUM($CR83:$CT83),)</f>
        <v/>
      </c>
      <c r="BO83" s="128">
        <f>iferror(SUM($BP83,($BQ83*1.2),($BR83*1.35),($BS83*0.74)),)</f>
        <v/>
      </c>
      <c r="BP83" s="128">
        <f>IFERROR(SUM($CU83:$DL83),)</f>
        <v/>
      </c>
      <c r="BQ83" s="128">
        <f>IFERROR(SUM($DM83:$DO83),)</f>
        <v/>
      </c>
      <c r="BR83" s="128">
        <f>IFERROR(SUM($DP83:$DR83),)</f>
        <v/>
      </c>
      <c r="BS83" s="128">
        <f>IFERROR(SUM($DS83:$DU83),)</f>
        <v/>
      </c>
      <c r="BT83" s="128">
        <f>IFERROR(AI83*$W83,)</f>
        <v/>
      </c>
      <c r="BU83" s="128">
        <f>IFERROR(AJ83*$W83,)</f>
        <v/>
      </c>
      <c r="BV83" s="128">
        <f>IFERROR(AK83*$W83,)</f>
        <v/>
      </c>
      <c r="BW83" s="128">
        <f>IFERROR(AL83*$W83,)</f>
        <v/>
      </c>
      <c r="BX83" s="128">
        <f>IFERROR(AM83*$W83,)</f>
        <v/>
      </c>
      <c r="BY83" s="128">
        <f>IFERROR(AN83*$W83,)</f>
        <v/>
      </c>
      <c r="BZ83" s="128">
        <f>IFERROR(AO83*$W83,)</f>
        <v/>
      </c>
      <c r="CA83" s="128">
        <f>IFERROR(AP83*$W83,)</f>
        <v/>
      </c>
      <c r="CB83" s="128">
        <f>IFERROR(AQ83*$W83,)</f>
        <v/>
      </c>
      <c r="CC83" s="128">
        <f>IFERROR(AR83*$W83,)</f>
        <v/>
      </c>
      <c r="CD83" s="128">
        <f>IFERROR(AS83*$W83,)</f>
        <v/>
      </c>
      <c r="CE83" s="128">
        <f>IFERROR(AT83*$W83,)</f>
        <v/>
      </c>
      <c r="CF83" s="128">
        <f>IFERROR(AU83*$W83,)</f>
        <v/>
      </c>
      <c r="CG83" s="128">
        <f>IFERROR(AV83*$W83,)</f>
        <v/>
      </c>
      <c r="CH83" s="128">
        <f>IFERROR(AW83*$W83,)</f>
        <v/>
      </c>
      <c r="CI83" s="128">
        <f>IFERROR(AX83*$W83,)</f>
        <v/>
      </c>
      <c r="CJ83" s="128">
        <f>IFERROR(AY83*$W83,)</f>
        <v/>
      </c>
      <c r="CK83" s="128">
        <f>IFERROR(AZ83*$W83,)</f>
        <v/>
      </c>
      <c r="CL83" s="129">
        <f>IFERROR(if($Y83=0,BA83*($W83/1.2),BA83*$Y83),"")</f>
        <v/>
      </c>
      <c r="CM83" s="129">
        <f>IFERROR(if($Y83=0,BB83*($W83/1.2),BB83*$Y83),"")</f>
        <v/>
      </c>
      <c r="CN83" s="129">
        <f>IFERROR(if($Y83=0,BC83*($W83/1.2),BC83*$Y83),"")</f>
        <v/>
      </c>
      <c r="CO83" s="130">
        <f>IFERROR(if($AA83=0,($W83/1.35)*BD83,BD83*$AA83),)</f>
        <v/>
      </c>
      <c r="CP83" s="130">
        <f>IFERROR(if($AA83=0,($W83/1.35)*BE83,BE83*$AA83),)</f>
        <v/>
      </c>
      <c r="CQ83" s="130">
        <f>IFERROR(if($AA83=0,($W83/1.35)*BF83,BF83*$AA83),)</f>
        <v/>
      </c>
      <c r="CR83" s="128">
        <f>IFERROR(if($AC83=0,($W83/0.74)*BG83,
BG83*$AC83),)</f>
        <v/>
      </c>
      <c r="CS83" s="128">
        <f>IFERROR(if($AC83=0,($W83/0.74)*BH83,
BH83*$AC83),)</f>
        <v/>
      </c>
      <c r="CT83" s="128">
        <f>IFERROR(if($AC83=0,($W83/0.74)*BI83,
BI83*$AC83),)</f>
        <v/>
      </c>
      <c r="CU83" s="128">
        <f>IFERROR(AI83*$V83,)</f>
        <v/>
      </c>
      <c r="CV83" s="128">
        <f>IFERROR(AJ83*$V83,)</f>
        <v/>
      </c>
      <c r="CW83" s="128">
        <f>IFERROR(AK83*$V83,)</f>
        <v/>
      </c>
      <c r="CX83" s="128">
        <f>IFERROR(AL83*$V83,)</f>
        <v/>
      </c>
      <c r="CY83" s="128">
        <f>IFERROR(AM83*$V83,)</f>
        <v/>
      </c>
      <c r="CZ83" s="128">
        <f>IFERROR(AN83*$V83,)</f>
        <v/>
      </c>
      <c r="DA83" s="128">
        <f>IFERROR(AO83*$V83,)</f>
        <v/>
      </c>
      <c r="DB83" s="128">
        <f>IFERROR(AP83*$V83,)</f>
        <v/>
      </c>
      <c r="DC83" s="128">
        <f>IFERROR(AQ83*$V83,)</f>
        <v/>
      </c>
      <c r="DD83" s="128">
        <f>IFERROR(AR83*$V83,)</f>
        <v/>
      </c>
      <c r="DE83" s="128">
        <f>IFERROR(AS83*$V83,)</f>
        <v/>
      </c>
      <c r="DF83" s="128">
        <f>IFERROR(AT83*$V83,)</f>
        <v/>
      </c>
      <c r="DG83" s="128">
        <f>IFERROR(AU83*$V83,)</f>
        <v/>
      </c>
      <c r="DH83" s="128">
        <f>IFERROR(AV83*$V83,)</f>
        <v/>
      </c>
      <c r="DI83" s="128">
        <f>IFERROR(AW83*$V83,)</f>
        <v/>
      </c>
      <c r="DJ83" s="128">
        <f>IFERROR(AX83*$V83,)</f>
        <v/>
      </c>
      <c r="DK83" s="128">
        <f>IFERROR(AY83*$V83,)</f>
        <v/>
      </c>
      <c r="DL83" s="128">
        <f>IFERROR(AZ83*$V83,)</f>
        <v/>
      </c>
      <c r="DM83" s="129">
        <f>IFERROR(if($X83=0,($V83/1.2)*BA83,
BA83*$X83),)</f>
        <v/>
      </c>
      <c r="DN83" s="129">
        <f>IFERROR(if($X83=0,($V83/1.2)*BB83,
BB83*$X83),)</f>
        <v/>
      </c>
      <c r="DO83" s="129">
        <f>IFERROR(if($X83=0,($V83/1.2)*BC83,
BC83*$X83),)</f>
        <v/>
      </c>
      <c r="DP83" s="130">
        <f>IFERROR(if($Z83=0,($V83/1.35)*BD83,
BD83*$Z83),)</f>
        <v/>
      </c>
      <c r="DQ83" s="130">
        <f>IFERROR(if($Z83=0,($V83/1.35)*BE83,
BE83*$Z83),)</f>
        <v/>
      </c>
      <c r="DR83" s="130">
        <f>IFERROR(if($Z83=0,($V83/1.35)*BF83,
BF83*$Z83),)</f>
        <v/>
      </c>
      <c r="DS83" s="128">
        <f>IFERROR(IF($AB83=0,($V83/0.74)*BG83,
BG83*$AB83),)</f>
        <v/>
      </c>
      <c r="DT83" s="128">
        <f>IFERROR(IF($AB83=0,($V83/0.74)*BH83,
BH83*$AB83),)</f>
        <v/>
      </c>
      <c r="DU83" s="128">
        <f>IFERROR(IF($AB83=0,($V83/0.74)*BI83,
BI83*$AB83),)</f>
        <v/>
      </c>
    </row>
    <row r="84" ht="131.25" customHeight="1" s="162">
      <c r="A84" s="115" t="n"/>
      <c r="B84" s="115" t="n"/>
      <c r="C84" s="115" t="n"/>
      <c r="D84" s="115" t="n"/>
      <c r="E84" s="115" t="n"/>
      <c r="F84" s="115" t="n"/>
      <c r="G84" s="115" t="n"/>
      <c r="H84" s="115" t="n"/>
      <c r="I84" s="115" t="n"/>
      <c r="J84" s="115" t="n"/>
      <c r="K84" s="115" t="n"/>
      <c r="L84" s="115" t="n"/>
      <c r="M84" s="115" t="n"/>
      <c r="N84" s="115" t="n"/>
      <c r="O84" s="115" t="n"/>
      <c r="P84" s="115" t="n"/>
      <c r="Q84" s="115" t="n"/>
      <c r="R84" s="115" t="n"/>
      <c r="S84" s="115" t="n"/>
      <c r="T84" s="115" t="n"/>
      <c r="U84" s="116" t="n"/>
      <c r="V84" s="116" t="n"/>
      <c r="W84" s="117" t="n"/>
      <c r="X84" s="118" t="n"/>
      <c r="Y84" s="119" t="n"/>
      <c r="Z84" s="120" t="n"/>
      <c r="AA84" s="121" t="n"/>
      <c r="AB84" s="122" t="n"/>
      <c r="AC84" s="117" t="n"/>
      <c r="AD84" s="123">
        <f>IF(SUM($AE84:$AH84)=0,"",SUM($AE84:$AH84))</f>
        <v/>
      </c>
      <c r="AE84" s="123">
        <f>iferror(IF(SUM($AI84:$AZ84)=0,"",SUM($AI84:$AZ84)),"")</f>
        <v/>
      </c>
      <c r="AF84" s="123">
        <f>iferror(IF(SUM($BA84:$BC84)=0,"",SUM($BA84:$BC84)),"")</f>
        <v/>
      </c>
      <c r="AG84" s="123">
        <f>iferror(IF(SUM($BD84:$BF84)=0,"",SUM($BD84:$BF84)),"")</f>
        <v/>
      </c>
      <c r="AH84" s="124">
        <f>iferror(IF(SUM($BG84:$BI84)=0,"",SUM($BG84:$BI84)),"")</f>
        <v/>
      </c>
      <c r="AI84" s="131" t="n"/>
      <c r="AJ84" s="132" t="n"/>
      <c r="AK84" s="132" t="n"/>
      <c r="AL84" s="132" t="n"/>
      <c r="AM84" s="132" t="n"/>
      <c r="AN84" s="132" t="n"/>
      <c r="AO84" s="132" t="n"/>
      <c r="AP84" s="132" t="n"/>
      <c r="AQ84" s="132" t="n"/>
      <c r="AR84" s="132" t="n"/>
      <c r="AS84" s="132" t="n"/>
      <c r="AT84" s="132" t="n"/>
      <c r="AU84" s="132" t="n"/>
      <c r="AV84" s="132" t="n"/>
      <c r="AW84" s="132" t="n"/>
      <c r="AX84" s="132" t="n"/>
      <c r="AY84" s="132" t="n"/>
      <c r="AZ84" s="133" t="n"/>
      <c r="BA84" s="131" t="n"/>
      <c r="BB84" s="132" t="n"/>
      <c r="BC84" s="133" t="n"/>
      <c r="BD84" s="131" t="n"/>
      <c r="BE84" s="132" t="n"/>
      <c r="BF84" s="133" t="n"/>
      <c r="BG84" s="131" t="n"/>
      <c r="BH84" s="132" t="n"/>
      <c r="BI84" s="132" t="n"/>
      <c r="BJ84" s="128">
        <f>iferror(SUM($BK84,($BL84*1.2),($BM84*1.35),($BN84*0.74)),)</f>
        <v/>
      </c>
      <c r="BK84" s="128">
        <f>IFERROR(SUM($BT84:$CK84),)</f>
        <v/>
      </c>
      <c r="BL84" s="129">
        <f>IFERROR(SUM($CL84:$CN84),)</f>
        <v/>
      </c>
      <c r="BM84" s="130">
        <f>IFERROR(SUM($CO84:$CQ84),)</f>
        <v/>
      </c>
      <c r="BN84" s="128">
        <f>IFERROR(SUM($CR84:$CT84),)</f>
        <v/>
      </c>
      <c r="BO84" s="128">
        <f>iferror(SUM($BP84,($BQ84*1.2),($BR84*1.35),($BS84*0.74)),)</f>
        <v/>
      </c>
      <c r="BP84" s="128">
        <f>IFERROR(SUM($CU84:$DL84),)</f>
        <v/>
      </c>
      <c r="BQ84" s="128">
        <f>IFERROR(SUM($DM84:$DO84),)</f>
        <v/>
      </c>
      <c r="BR84" s="128">
        <f>IFERROR(SUM($DP84:$DR84),)</f>
        <v/>
      </c>
      <c r="BS84" s="128">
        <f>IFERROR(SUM($DS84:$DU84),)</f>
        <v/>
      </c>
      <c r="BT84" s="128">
        <f>IFERROR(AI84*$W84,)</f>
        <v/>
      </c>
      <c r="BU84" s="128">
        <f>IFERROR(AJ84*$W84,)</f>
        <v/>
      </c>
      <c r="BV84" s="128">
        <f>IFERROR(AK84*$W84,)</f>
        <v/>
      </c>
      <c r="BW84" s="128">
        <f>IFERROR(AL84*$W84,)</f>
        <v/>
      </c>
      <c r="BX84" s="128">
        <f>IFERROR(AM84*$W84,)</f>
        <v/>
      </c>
      <c r="BY84" s="128">
        <f>IFERROR(AN84*$W84,)</f>
        <v/>
      </c>
      <c r="BZ84" s="128">
        <f>IFERROR(AO84*$W84,)</f>
        <v/>
      </c>
      <c r="CA84" s="128">
        <f>IFERROR(AP84*$W84,)</f>
        <v/>
      </c>
      <c r="CB84" s="128">
        <f>IFERROR(AQ84*$W84,)</f>
        <v/>
      </c>
      <c r="CC84" s="128">
        <f>IFERROR(AR84*$W84,)</f>
        <v/>
      </c>
      <c r="CD84" s="128">
        <f>IFERROR(AS84*$W84,)</f>
        <v/>
      </c>
      <c r="CE84" s="128">
        <f>IFERROR(AT84*$W84,)</f>
        <v/>
      </c>
      <c r="CF84" s="128">
        <f>IFERROR(AU84*$W84,)</f>
        <v/>
      </c>
      <c r="CG84" s="128">
        <f>IFERROR(AV84*$W84,)</f>
        <v/>
      </c>
      <c r="CH84" s="128">
        <f>IFERROR(AW84*$W84,)</f>
        <v/>
      </c>
      <c r="CI84" s="128">
        <f>IFERROR(AX84*$W84,)</f>
        <v/>
      </c>
      <c r="CJ84" s="128">
        <f>IFERROR(AY84*$W84,)</f>
        <v/>
      </c>
      <c r="CK84" s="128">
        <f>IFERROR(AZ84*$W84,)</f>
        <v/>
      </c>
      <c r="CL84" s="129">
        <f>IFERROR(if($Y84=0,BA84*($W84/1.2),BA84*$Y84),"")</f>
        <v/>
      </c>
      <c r="CM84" s="129">
        <f>IFERROR(if($Y84=0,BB84*($W84/1.2),BB84*$Y84),"")</f>
        <v/>
      </c>
      <c r="CN84" s="129">
        <f>IFERROR(if($Y84=0,BC84*($W84/1.2),BC84*$Y84),"")</f>
        <v/>
      </c>
      <c r="CO84" s="130">
        <f>IFERROR(if($AA84=0,($W84/1.35)*BD84,BD84*$AA84),)</f>
        <v/>
      </c>
      <c r="CP84" s="130">
        <f>IFERROR(if($AA84=0,($W84/1.35)*BE84,BE84*$AA84),)</f>
        <v/>
      </c>
      <c r="CQ84" s="130">
        <f>IFERROR(if($AA84=0,($W84/1.35)*BF84,BF84*$AA84),)</f>
        <v/>
      </c>
      <c r="CR84" s="128">
        <f>IFERROR(if($AC84=0,($W84/0.74)*BG84,
BG84*$AC84),)</f>
        <v/>
      </c>
      <c r="CS84" s="128">
        <f>IFERROR(if($AC84=0,($W84/0.74)*BH84,
BH84*$AC84),)</f>
        <v/>
      </c>
      <c r="CT84" s="128">
        <f>IFERROR(if($AC84=0,($W84/0.74)*BI84,
BI84*$AC84),)</f>
        <v/>
      </c>
      <c r="CU84" s="128">
        <f>IFERROR(AI84*$V84,)</f>
        <v/>
      </c>
      <c r="CV84" s="128">
        <f>IFERROR(AJ84*$V84,)</f>
        <v/>
      </c>
      <c r="CW84" s="128">
        <f>IFERROR(AK84*$V84,)</f>
        <v/>
      </c>
      <c r="CX84" s="128">
        <f>IFERROR(AL84*$V84,)</f>
        <v/>
      </c>
      <c r="CY84" s="128">
        <f>IFERROR(AM84*$V84,)</f>
        <v/>
      </c>
      <c r="CZ84" s="128">
        <f>IFERROR(AN84*$V84,)</f>
        <v/>
      </c>
      <c r="DA84" s="128">
        <f>IFERROR(AO84*$V84,)</f>
        <v/>
      </c>
      <c r="DB84" s="128">
        <f>IFERROR(AP84*$V84,)</f>
        <v/>
      </c>
      <c r="DC84" s="128">
        <f>IFERROR(AQ84*$V84,)</f>
        <v/>
      </c>
      <c r="DD84" s="128">
        <f>IFERROR(AR84*$V84,)</f>
        <v/>
      </c>
      <c r="DE84" s="128">
        <f>IFERROR(AS84*$V84,)</f>
        <v/>
      </c>
      <c r="DF84" s="128">
        <f>IFERROR(AT84*$V84,)</f>
        <v/>
      </c>
      <c r="DG84" s="128">
        <f>IFERROR(AU84*$V84,)</f>
        <v/>
      </c>
      <c r="DH84" s="128">
        <f>IFERROR(AV84*$V84,)</f>
        <v/>
      </c>
      <c r="DI84" s="128">
        <f>IFERROR(AW84*$V84,)</f>
        <v/>
      </c>
      <c r="DJ84" s="128">
        <f>IFERROR(AX84*$V84,)</f>
        <v/>
      </c>
      <c r="DK84" s="128">
        <f>IFERROR(AY84*$V84,)</f>
        <v/>
      </c>
      <c r="DL84" s="128">
        <f>IFERROR(AZ84*$V84,)</f>
        <v/>
      </c>
      <c r="DM84" s="129">
        <f>IFERROR(if($X84=0,($V84/1.2)*BA84,
BA84*$X84),)</f>
        <v/>
      </c>
      <c r="DN84" s="129">
        <f>IFERROR(if($X84=0,($V84/1.2)*BB84,
BB84*$X84),)</f>
        <v/>
      </c>
      <c r="DO84" s="129">
        <f>IFERROR(if($X84=0,($V84/1.2)*BC84,
BC84*$X84),)</f>
        <v/>
      </c>
      <c r="DP84" s="130">
        <f>IFERROR(if($Z84=0,($V84/1.35)*BD84,
BD84*$Z84),)</f>
        <v/>
      </c>
      <c r="DQ84" s="130">
        <f>IFERROR(if($Z84=0,($V84/1.35)*BE84,
BE84*$Z84),)</f>
        <v/>
      </c>
      <c r="DR84" s="130">
        <f>IFERROR(if($Z84=0,($V84/1.35)*BF84,
BF84*$Z84),)</f>
        <v/>
      </c>
      <c r="DS84" s="128">
        <f>IFERROR(IF($AB84=0,($V84/0.74)*BG84,
BG84*$AB84),)</f>
        <v/>
      </c>
      <c r="DT84" s="128">
        <f>IFERROR(IF($AB84=0,($V84/0.74)*BH84,
BH84*$AB84),)</f>
        <v/>
      </c>
      <c r="DU84" s="128">
        <f>IFERROR(IF($AB84=0,($V84/0.74)*BI84,
BI84*$AB84),)</f>
        <v/>
      </c>
    </row>
    <row r="85" ht="131.25" customHeight="1" s="162">
      <c r="A85" s="115" t="n"/>
      <c r="B85" s="115" t="n"/>
      <c r="C85" s="115" t="n"/>
      <c r="D85" s="115" t="n"/>
      <c r="E85" s="115" t="n"/>
      <c r="F85" s="115" t="n"/>
      <c r="G85" s="115" t="n"/>
      <c r="H85" s="115" t="n"/>
      <c r="I85" s="115" t="n"/>
      <c r="J85" s="115" t="n"/>
      <c r="K85" s="115" t="n"/>
      <c r="L85" s="115" t="n"/>
      <c r="M85" s="115" t="n"/>
      <c r="N85" s="115" t="n"/>
      <c r="O85" s="115" t="n"/>
      <c r="P85" s="115" t="n"/>
      <c r="Q85" s="115" t="n"/>
      <c r="R85" s="115" t="n"/>
      <c r="S85" s="115" t="n"/>
      <c r="T85" s="115" t="n"/>
      <c r="U85" s="116" t="n"/>
      <c r="V85" s="116" t="n"/>
      <c r="W85" s="117" t="n"/>
      <c r="X85" s="118" t="n"/>
      <c r="Y85" s="119" t="n"/>
      <c r="Z85" s="120" t="n"/>
      <c r="AA85" s="121" t="n"/>
      <c r="AB85" s="122" t="n"/>
      <c r="AC85" s="117" t="n"/>
      <c r="AD85" s="123">
        <f>IF(SUM($AE85:$AH85)=0,"",SUM($AE85:$AH85))</f>
        <v/>
      </c>
      <c r="AE85" s="123">
        <f>iferror(IF(SUM($AI85:$AZ85)=0,"",SUM($AI85:$AZ85)),"")</f>
        <v/>
      </c>
      <c r="AF85" s="123">
        <f>iferror(IF(SUM($BA85:$BC85)=0,"",SUM($BA85:$BC85)),"")</f>
        <v/>
      </c>
      <c r="AG85" s="123">
        <f>iferror(IF(SUM($BD85:$BF85)=0,"",SUM($BD85:$BF85)),"")</f>
        <v/>
      </c>
      <c r="AH85" s="124">
        <f>iferror(IF(SUM($BG85:$BI85)=0,"",SUM($BG85:$BI85)),"")</f>
        <v/>
      </c>
      <c r="AI85" s="131" t="n"/>
      <c r="AJ85" s="132" t="n"/>
      <c r="AK85" s="132" t="n"/>
      <c r="AL85" s="132" t="n"/>
      <c r="AM85" s="132" t="n"/>
      <c r="AN85" s="132" t="n"/>
      <c r="AO85" s="132" t="n"/>
      <c r="AP85" s="132" t="n"/>
      <c r="AQ85" s="132" t="n"/>
      <c r="AR85" s="132" t="n"/>
      <c r="AS85" s="132" t="n"/>
      <c r="AT85" s="132" t="n"/>
      <c r="AU85" s="132" t="n"/>
      <c r="AV85" s="132" t="n"/>
      <c r="AW85" s="132" t="n"/>
      <c r="AX85" s="132" t="n"/>
      <c r="AY85" s="132" t="n"/>
      <c r="AZ85" s="133" t="n"/>
      <c r="BA85" s="131" t="n"/>
      <c r="BB85" s="132" t="n"/>
      <c r="BC85" s="133" t="n"/>
      <c r="BD85" s="131" t="n"/>
      <c r="BE85" s="132" t="n"/>
      <c r="BF85" s="133" t="n"/>
      <c r="BG85" s="131" t="n"/>
      <c r="BH85" s="132" t="n"/>
      <c r="BI85" s="132" t="n"/>
      <c r="BJ85" s="128">
        <f>iferror(SUM($BK85,($BL85*1.2),($BM85*1.35),($BN85*0.74)),)</f>
        <v/>
      </c>
      <c r="BK85" s="128">
        <f>IFERROR(SUM($BT85:$CK85),)</f>
        <v/>
      </c>
      <c r="BL85" s="129">
        <f>IFERROR(SUM($CL85:$CN85),)</f>
        <v/>
      </c>
      <c r="BM85" s="130">
        <f>IFERROR(SUM($CO85:$CQ85),)</f>
        <v/>
      </c>
      <c r="BN85" s="128">
        <f>IFERROR(SUM($CR85:$CT85),)</f>
        <v/>
      </c>
      <c r="BO85" s="128">
        <f>iferror(SUM($BP85,($BQ85*1.2),($BR85*1.35),($BS85*0.74)),)</f>
        <v/>
      </c>
      <c r="BP85" s="128">
        <f>IFERROR(SUM($CU85:$DL85),)</f>
        <v/>
      </c>
      <c r="BQ85" s="128">
        <f>IFERROR(SUM($DM85:$DO85),)</f>
        <v/>
      </c>
      <c r="BR85" s="128">
        <f>IFERROR(SUM($DP85:$DR85),)</f>
        <v/>
      </c>
      <c r="BS85" s="128">
        <f>IFERROR(SUM($DS85:$DU85),)</f>
        <v/>
      </c>
      <c r="BT85" s="128">
        <f>IFERROR(AI85*$W85,)</f>
        <v/>
      </c>
      <c r="BU85" s="128">
        <f>IFERROR(AJ85*$W85,)</f>
        <v/>
      </c>
      <c r="BV85" s="128">
        <f>IFERROR(AK85*$W85,)</f>
        <v/>
      </c>
      <c r="BW85" s="128">
        <f>IFERROR(AL85*$W85,)</f>
        <v/>
      </c>
      <c r="BX85" s="128">
        <f>IFERROR(AM85*$W85,)</f>
        <v/>
      </c>
      <c r="BY85" s="128">
        <f>IFERROR(AN85*$W85,)</f>
        <v/>
      </c>
      <c r="BZ85" s="128">
        <f>IFERROR(AO85*$W85,)</f>
        <v/>
      </c>
      <c r="CA85" s="128">
        <f>IFERROR(AP85*$W85,)</f>
        <v/>
      </c>
      <c r="CB85" s="128">
        <f>IFERROR(AQ85*$W85,)</f>
        <v/>
      </c>
      <c r="CC85" s="128">
        <f>IFERROR(AR85*$W85,)</f>
        <v/>
      </c>
      <c r="CD85" s="128">
        <f>IFERROR(AS85*$W85,)</f>
        <v/>
      </c>
      <c r="CE85" s="128">
        <f>IFERROR(AT85*$W85,)</f>
        <v/>
      </c>
      <c r="CF85" s="128">
        <f>IFERROR(AU85*$W85,)</f>
        <v/>
      </c>
      <c r="CG85" s="128">
        <f>IFERROR(AV85*$W85,)</f>
        <v/>
      </c>
      <c r="CH85" s="128">
        <f>IFERROR(AW85*$W85,)</f>
        <v/>
      </c>
      <c r="CI85" s="128">
        <f>IFERROR(AX85*$W85,)</f>
        <v/>
      </c>
      <c r="CJ85" s="128">
        <f>IFERROR(AY85*$W85,)</f>
        <v/>
      </c>
      <c r="CK85" s="128">
        <f>IFERROR(AZ85*$W85,)</f>
        <v/>
      </c>
      <c r="CL85" s="129">
        <f>IFERROR(if($Y85=0,BA85*($W85/1.2),BA85*$Y85),"")</f>
        <v/>
      </c>
      <c r="CM85" s="129">
        <f>IFERROR(if($Y85=0,BB85*($W85/1.2),BB85*$Y85),"")</f>
        <v/>
      </c>
      <c r="CN85" s="129">
        <f>IFERROR(if($Y85=0,BC85*($W85/1.2),BC85*$Y85),"")</f>
        <v/>
      </c>
      <c r="CO85" s="130">
        <f>IFERROR(if($AA85=0,($W85/1.35)*BD85,BD85*$AA85),)</f>
        <v/>
      </c>
      <c r="CP85" s="130">
        <f>IFERROR(if($AA85=0,($W85/1.35)*BE85,BE85*$AA85),)</f>
        <v/>
      </c>
      <c r="CQ85" s="130">
        <f>IFERROR(if($AA85=0,($W85/1.35)*BF85,BF85*$AA85),)</f>
        <v/>
      </c>
      <c r="CR85" s="128">
        <f>IFERROR(if($AC85=0,($W85/0.74)*BG85,
BG85*$AC85),)</f>
        <v/>
      </c>
      <c r="CS85" s="128">
        <f>IFERROR(if($AC85=0,($W85/0.74)*BH85,
BH85*$AC85),)</f>
        <v/>
      </c>
      <c r="CT85" s="128">
        <f>IFERROR(if($AC85=0,($W85/0.74)*BI85,
BI85*$AC85),)</f>
        <v/>
      </c>
      <c r="CU85" s="128">
        <f>IFERROR(AI85*$V85,)</f>
        <v/>
      </c>
      <c r="CV85" s="128">
        <f>IFERROR(AJ85*$V85,)</f>
        <v/>
      </c>
      <c r="CW85" s="128">
        <f>IFERROR(AK85*$V85,)</f>
        <v/>
      </c>
      <c r="CX85" s="128">
        <f>IFERROR(AL85*$V85,)</f>
        <v/>
      </c>
      <c r="CY85" s="128">
        <f>IFERROR(AM85*$V85,)</f>
        <v/>
      </c>
      <c r="CZ85" s="128">
        <f>IFERROR(AN85*$V85,)</f>
        <v/>
      </c>
      <c r="DA85" s="128">
        <f>IFERROR(AO85*$V85,)</f>
        <v/>
      </c>
      <c r="DB85" s="128">
        <f>IFERROR(AP85*$V85,)</f>
        <v/>
      </c>
      <c r="DC85" s="128">
        <f>IFERROR(AQ85*$V85,)</f>
        <v/>
      </c>
      <c r="DD85" s="128">
        <f>IFERROR(AR85*$V85,)</f>
        <v/>
      </c>
      <c r="DE85" s="128">
        <f>IFERROR(AS85*$V85,)</f>
        <v/>
      </c>
      <c r="DF85" s="128">
        <f>IFERROR(AT85*$V85,)</f>
        <v/>
      </c>
      <c r="DG85" s="128">
        <f>IFERROR(AU85*$V85,)</f>
        <v/>
      </c>
      <c r="DH85" s="128">
        <f>IFERROR(AV85*$V85,)</f>
        <v/>
      </c>
      <c r="DI85" s="128">
        <f>IFERROR(AW85*$V85,)</f>
        <v/>
      </c>
      <c r="DJ85" s="128">
        <f>IFERROR(AX85*$V85,)</f>
        <v/>
      </c>
      <c r="DK85" s="128">
        <f>IFERROR(AY85*$V85,)</f>
        <v/>
      </c>
      <c r="DL85" s="128">
        <f>IFERROR(AZ85*$V85,)</f>
        <v/>
      </c>
      <c r="DM85" s="129">
        <f>IFERROR(if($X85=0,($V85/1.2)*BA85,
BA85*$X85),)</f>
        <v/>
      </c>
      <c r="DN85" s="129">
        <f>IFERROR(if($X85=0,($V85/1.2)*BB85,
BB85*$X85),)</f>
        <v/>
      </c>
      <c r="DO85" s="129">
        <f>IFERROR(if($X85=0,($V85/1.2)*BC85,
BC85*$X85),)</f>
        <v/>
      </c>
      <c r="DP85" s="130">
        <f>IFERROR(if($Z85=0,($V85/1.35)*BD85,
BD85*$Z85),)</f>
        <v/>
      </c>
      <c r="DQ85" s="130">
        <f>IFERROR(if($Z85=0,($V85/1.35)*BE85,
BE85*$Z85),)</f>
        <v/>
      </c>
      <c r="DR85" s="130">
        <f>IFERROR(if($Z85=0,($V85/1.35)*BF85,
BF85*$Z85),)</f>
        <v/>
      </c>
      <c r="DS85" s="128">
        <f>IFERROR(IF($AB85=0,($V85/0.74)*BG85,
BG85*$AB85),)</f>
        <v/>
      </c>
      <c r="DT85" s="128">
        <f>IFERROR(IF($AB85=0,($V85/0.74)*BH85,
BH85*$AB85),)</f>
        <v/>
      </c>
      <c r="DU85" s="128">
        <f>IFERROR(IF($AB85=0,($V85/0.74)*BI85,
BI85*$AB85),)</f>
        <v/>
      </c>
    </row>
    <row r="86" ht="131.25" customHeight="1" s="162">
      <c r="A86" s="115" t="n"/>
      <c r="B86" s="115" t="n"/>
      <c r="C86" s="115" t="n"/>
      <c r="D86" s="115" t="n"/>
      <c r="E86" s="115" t="n"/>
      <c r="F86" s="115" t="n"/>
      <c r="G86" s="115" t="n"/>
      <c r="H86" s="115" t="n"/>
      <c r="I86" s="115" t="n"/>
      <c r="J86" s="115" t="n"/>
      <c r="K86" s="115" t="n"/>
      <c r="L86" s="115" t="n"/>
      <c r="M86" s="115" t="n"/>
      <c r="N86" s="115" t="n"/>
      <c r="O86" s="115" t="n"/>
      <c r="P86" s="115" t="n"/>
      <c r="Q86" s="115" t="n"/>
      <c r="R86" s="115" t="n"/>
      <c r="S86" s="115" t="n"/>
      <c r="T86" s="115" t="n"/>
      <c r="U86" s="116" t="n"/>
      <c r="V86" s="116" t="n"/>
      <c r="W86" s="117" t="n"/>
      <c r="X86" s="118" t="n"/>
      <c r="Y86" s="119" t="n"/>
      <c r="Z86" s="120" t="n"/>
      <c r="AA86" s="121" t="n"/>
      <c r="AB86" s="122" t="n"/>
      <c r="AC86" s="117" t="n"/>
      <c r="AD86" s="123">
        <f>IF(SUM($AE86:$AH86)=0,"",SUM($AE86:$AH86))</f>
        <v/>
      </c>
      <c r="AE86" s="123">
        <f>iferror(IF(SUM($AI86:$AZ86)=0,"",SUM($AI86:$AZ86)),"")</f>
        <v/>
      </c>
      <c r="AF86" s="123">
        <f>iferror(IF(SUM($BA86:$BC86)=0,"",SUM($BA86:$BC86)),"")</f>
        <v/>
      </c>
      <c r="AG86" s="123">
        <f>iferror(IF(SUM($BD86:$BF86)=0,"",SUM($BD86:$BF86)),"")</f>
        <v/>
      </c>
      <c r="AH86" s="124">
        <f>iferror(IF(SUM($BG86:$BI86)=0,"",SUM($BG86:$BI86)),"")</f>
        <v/>
      </c>
      <c r="AI86" s="131" t="n"/>
      <c r="AJ86" s="132" t="n"/>
      <c r="AK86" s="132" t="n"/>
      <c r="AL86" s="132" t="n"/>
      <c r="AM86" s="132" t="n"/>
      <c r="AN86" s="132" t="n"/>
      <c r="AO86" s="132" t="n"/>
      <c r="AP86" s="132" t="n"/>
      <c r="AQ86" s="132" t="n"/>
      <c r="AR86" s="132" t="n"/>
      <c r="AS86" s="132" t="n"/>
      <c r="AT86" s="132" t="n"/>
      <c r="AU86" s="132" t="n"/>
      <c r="AV86" s="132" t="n"/>
      <c r="AW86" s="132" t="n"/>
      <c r="AX86" s="132" t="n"/>
      <c r="AY86" s="132" t="n"/>
      <c r="AZ86" s="133" t="n"/>
      <c r="BA86" s="131" t="n"/>
      <c r="BB86" s="132" t="n"/>
      <c r="BC86" s="133" t="n"/>
      <c r="BD86" s="131" t="n"/>
      <c r="BE86" s="132" t="n"/>
      <c r="BF86" s="133" t="n"/>
      <c r="BG86" s="131" t="n"/>
      <c r="BH86" s="132" t="n"/>
      <c r="BI86" s="132" t="n"/>
      <c r="BJ86" s="128">
        <f>iferror(SUM($BK86,($BL86*1.2),($BM86*1.35),($BN86*0.74)),)</f>
        <v/>
      </c>
      <c r="BK86" s="128">
        <f>IFERROR(SUM($BT86:$CK86),)</f>
        <v/>
      </c>
      <c r="BL86" s="129">
        <f>IFERROR(SUM($CL86:$CN86),)</f>
        <v/>
      </c>
      <c r="BM86" s="130">
        <f>IFERROR(SUM($CO86:$CQ86),)</f>
        <v/>
      </c>
      <c r="BN86" s="128">
        <f>IFERROR(SUM($CR86:$CT86),)</f>
        <v/>
      </c>
      <c r="BO86" s="128">
        <f>iferror(SUM($BP86,($BQ86*1.2),($BR86*1.35),($BS86*0.74)),)</f>
        <v/>
      </c>
      <c r="BP86" s="128">
        <f>IFERROR(SUM($CU86:$DL86),)</f>
        <v/>
      </c>
      <c r="BQ86" s="128">
        <f>IFERROR(SUM($DM86:$DO86),)</f>
        <v/>
      </c>
      <c r="BR86" s="128">
        <f>IFERROR(SUM($DP86:$DR86),)</f>
        <v/>
      </c>
      <c r="BS86" s="128">
        <f>IFERROR(SUM($DS86:$DU86),)</f>
        <v/>
      </c>
      <c r="BT86" s="128">
        <f>IFERROR(AI86*$W86,)</f>
        <v/>
      </c>
      <c r="BU86" s="128">
        <f>IFERROR(AJ86*$W86,)</f>
        <v/>
      </c>
      <c r="BV86" s="128">
        <f>IFERROR(AK86*$W86,)</f>
        <v/>
      </c>
      <c r="BW86" s="128">
        <f>IFERROR(AL86*$W86,)</f>
        <v/>
      </c>
      <c r="BX86" s="128">
        <f>IFERROR(AM86*$W86,)</f>
        <v/>
      </c>
      <c r="BY86" s="128">
        <f>IFERROR(AN86*$W86,)</f>
        <v/>
      </c>
      <c r="BZ86" s="128">
        <f>IFERROR(AO86*$W86,)</f>
        <v/>
      </c>
      <c r="CA86" s="128">
        <f>IFERROR(AP86*$W86,)</f>
        <v/>
      </c>
      <c r="CB86" s="128">
        <f>IFERROR(AQ86*$W86,)</f>
        <v/>
      </c>
      <c r="CC86" s="128">
        <f>IFERROR(AR86*$W86,)</f>
        <v/>
      </c>
      <c r="CD86" s="128">
        <f>IFERROR(AS86*$W86,)</f>
        <v/>
      </c>
      <c r="CE86" s="128">
        <f>IFERROR(AT86*$W86,)</f>
        <v/>
      </c>
      <c r="CF86" s="128">
        <f>IFERROR(AU86*$W86,)</f>
        <v/>
      </c>
      <c r="CG86" s="128">
        <f>IFERROR(AV86*$W86,)</f>
        <v/>
      </c>
      <c r="CH86" s="128">
        <f>IFERROR(AW86*$W86,)</f>
        <v/>
      </c>
      <c r="CI86" s="128">
        <f>IFERROR(AX86*$W86,)</f>
        <v/>
      </c>
      <c r="CJ86" s="128">
        <f>IFERROR(AY86*$W86,)</f>
        <v/>
      </c>
      <c r="CK86" s="128">
        <f>IFERROR(AZ86*$W86,)</f>
        <v/>
      </c>
      <c r="CL86" s="129">
        <f>IFERROR(if($Y86=0,BA86*($W86/1.2),BA86*$Y86),"")</f>
        <v/>
      </c>
      <c r="CM86" s="129">
        <f>IFERROR(if($Y86=0,BB86*($W86/1.2),BB86*$Y86),"")</f>
        <v/>
      </c>
      <c r="CN86" s="129">
        <f>IFERROR(if($Y86=0,BC86*($W86/1.2),BC86*$Y86),"")</f>
        <v/>
      </c>
      <c r="CO86" s="130">
        <f>IFERROR(if($AA86=0,($W86/1.35)*BD86,BD86*$AA86),)</f>
        <v/>
      </c>
      <c r="CP86" s="130">
        <f>IFERROR(if($AA86=0,($W86/1.35)*BE86,BE86*$AA86),)</f>
        <v/>
      </c>
      <c r="CQ86" s="130">
        <f>IFERROR(if($AA86=0,($W86/1.35)*BF86,BF86*$AA86),)</f>
        <v/>
      </c>
      <c r="CR86" s="128">
        <f>IFERROR(if($AC86=0,($W86/0.74)*BG86,
BG86*$AC86),)</f>
        <v/>
      </c>
      <c r="CS86" s="128">
        <f>IFERROR(if($AC86=0,($W86/0.74)*BH86,
BH86*$AC86),)</f>
        <v/>
      </c>
      <c r="CT86" s="128">
        <f>IFERROR(if($AC86=0,($W86/0.74)*BI86,
BI86*$AC86),)</f>
        <v/>
      </c>
      <c r="CU86" s="128">
        <f>IFERROR(AI86*$V86,)</f>
        <v/>
      </c>
      <c r="CV86" s="128">
        <f>IFERROR(AJ86*$V86,)</f>
        <v/>
      </c>
      <c r="CW86" s="128">
        <f>IFERROR(AK86*$V86,)</f>
        <v/>
      </c>
      <c r="CX86" s="128">
        <f>IFERROR(AL86*$V86,)</f>
        <v/>
      </c>
      <c r="CY86" s="128">
        <f>IFERROR(AM86*$V86,)</f>
        <v/>
      </c>
      <c r="CZ86" s="128">
        <f>IFERROR(AN86*$V86,)</f>
        <v/>
      </c>
      <c r="DA86" s="128">
        <f>IFERROR(AO86*$V86,)</f>
        <v/>
      </c>
      <c r="DB86" s="128">
        <f>IFERROR(AP86*$V86,)</f>
        <v/>
      </c>
      <c r="DC86" s="128">
        <f>IFERROR(AQ86*$V86,)</f>
        <v/>
      </c>
      <c r="DD86" s="128">
        <f>IFERROR(AR86*$V86,)</f>
        <v/>
      </c>
      <c r="DE86" s="128">
        <f>IFERROR(AS86*$V86,)</f>
        <v/>
      </c>
      <c r="DF86" s="128">
        <f>IFERROR(AT86*$V86,)</f>
        <v/>
      </c>
      <c r="DG86" s="128">
        <f>IFERROR(AU86*$V86,)</f>
        <v/>
      </c>
      <c r="DH86" s="128">
        <f>IFERROR(AV86*$V86,)</f>
        <v/>
      </c>
      <c r="DI86" s="128">
        <f>IFERROR(AW86*$V86,)</f>
        <v/>
      </c>
      <c r="DJ86" s="128">
        <f>IFERROR(AX86*$V86,)</f>
        <v/>
      </c>
      <c r="DK86" s="128">
        <f>IFERROR(AY86*$V86,)</f>
        <v/>
      </c>
      <c r="DL86" s="128">
        <f>IFERROR(AZ86*$V86,)</f>
        <v/>
      </c>
      <c r="DM86" s="129">
        <f>IFERROR(if($X86=0,($V86/1.2)*BA86,
BA86*$X86),)</f>
        <v/>
      </c>
      <c r="DN86" s="129">
        <f>IFERROR(if($X86=0,($V86/1.2)*BB86,
BB86*$X86),)</f>
        <v/>
      </c>
      <c r="DO86" s="129">
        <f>IFERROR(if($X86=0,($V86/1.2)*BC86,
BC86*$X86),)</f>
        <v/>
      </c>
      <c r="DP86" s="130">
        <f>IFERROR(if($Z86=0,($V86/1.35)*BD86,
BD86*$Z86),)</f>
        <v/>
      </c>
      <c r="DQ86" s="130">
        <f>IFERROR(if($Z86=0,($V86/1.35)*BE86,
BE86*$Z86),)</f>
        <v/>
      </c>
      <c r="DR86" s="130">
        <f>IFERROR(if($Z86=0,($V86/1.35)*BF86,
BF86*$Z86),)</f>
        <v/>
      </c>
      <c r="DS86" s="128">
        <f>IFERROR(IF($AB86=0,($V86/0.74)*BG86,
BG86*$AB86),)</f>
        <v/>
      </c>
      <c r="DT86" s="128">
        <f>IFERROR(IF($AB86=0,($V86/0.74)*BH86,
BH86*$AB86),)</f>
        <v/>
      </c>
      <c r="DU86" s="128">
        <f>IFERROR(IF($AB86=0,($V86/0.74)*BI86,
BI86*$AB86),)</f>
        <v/>
      </c>
    </row>
    <row r="87" ht="131.25" customHeight="1" s="162">
      <c r="A87" s="115" t="n"/>
      <c r="B87" s="115" t="n"/>
      <c r="C87" s="115" t="n"/>
      <c r="D87" s="115" t="n"/>
      <c r="E87" s="115" t="n"/>
      <c r="F87" s="115" t="n"/>
      <c r="G87" s="115" t="n"/>
      <c r="H87" s="115" t="n"/>
      <c r="I87" s="115" t="n"/>
      <c r="J87" s="115" t="n"/>
      <c r="K87" s="115" t="n"/>
      <c r="L87" s="115" t="n"/>
      <c r="M87" s="115" t="n"/>
      <c r="N87" s="115" t="n"/>
      <c r="O87" s="115" t="n"/>
      <c r="P87" s="115" t="n"/>
      <c r="Q87" s="115" t="n"/>
      <c r="R87" s="115" t="n"/>
      <c r="S87" s="115" t="n"/>
      <c r="T87" s="115" t="n"/>
      <c r="U87" s="116" t="n"/>
      <c r="V87" s="116" t="n"/>
      <c r="W87" s="117" t="n"/>
      <c r="X87" s="118" t="n"/>
      <c r="Y87" s="119" t="n"/>
      <c r="Z87" s="120" t="n"/>
      <c r="AA87" s="121" t="n"/>
      <c r="AB87" s="122" t="n"/>
      <c r="AC87" s="117" t="n"/>
      <c r="AD87" s="123">
        <f>IF(SUM($AE87:$AH87)=0,"",SUM($AE87:$AH87))</f>
        <v/>
      </c>
      <c r="AE87" s="123">
        <f>iferror(IF(SUM($AI87:$AZ87)=0,"",SUM($AI87:$AZ87)),"")</f>
        <v/>
      </c>
      <c r="AF87" s="123">
        <f>iferror(IF(SUM($BA87:$BC87)=0,"",SUM($BA87:$BC87)),"")</f>
        <v/>
      </c>
      <c r="AG87" s="123">
        <f>iferror(IF(SUM($BD87:$BF87)=0,"",SUM($BD87:$BF87)),"")</f>
        <v/>
      </c>
      <c r="AH87" s="124">
        <f>iferror(IF(SUM($BG87:$BI87)=0,"",SUM($BG87:$BI87)),"")</f>
        <v/>
      </c>
      <c r="AI87" s="131" t="n"/>
      <c r="AJ87" s="132" t="n"/>
      <c r="AK87" s="132" t="n"/>
      <c r="AL87" s="132" t="n"/>
      <c r="AM87" s="132" t="n"/>
      <c r="AN87" s="132" t="n"/>
      <c r="AO87" s="132" t="n"/>
      <c r="AP87" s="132" t="n"/>
      <c r="AQ87" s="132" t="n"/>
      <c r="AR87" s="132" t="n"/>
      <c r="AS87" s="132" t="n"/>
      <c r="AT87" s="132" t="n"/>
      <c r="AU87" s="132" t="n"/>
      <c r="AV87" s="132" t="n"/>
      <c r="AW87" s="132" t="n"/>
      <c r="AX87" s="132" t="n"/>
      <c r="AY87" s="132" t="n"/>
      <c r="AZ87" s="133" t="n"/>
      <c r="BA87" s="131" t="n"/>
      <c r="BB87" s="132" t="n"/>
      <c r="BC87" s="133" t="n"/>
      <c r="BD87" s="131" t="n"/>
      <c r="BE87" s="132" t="n"/>
      <c r="BF87" s="133" t="n"/>
      <c r="BG87" s="131" t="n"/>
      <c r="BH87" s="132" t="n"/>
      <c r="BI87" s="132" t="n"/>
      <c r="BJ87" s="128">
        <f>iferror(SUM($BK87,($BL87*1.2),($BM87*1.35),($BN87*0.74)),)</f>
        <v/>
      </c>
      <c r="BK87" s="128">
        <f>IFERROR(SUM($BT87:$CK87),)</f>
        <v/>
      </c>
      <c r="BL87" s="129">
        <f>IFERROR(SUM($CL87:$CN87),)</f>
        <v/>
      </c>
      <c r="BM87" s="130">
        <f>IFERROR(SUM($CO87:$CQ87),)</f>
        <v/>
      </c>
      <c r="BN87" s="128">
        <f>IFERROR(SUM($CR87:$CT87),)</f>
        <v/>
      </c>
      <c r="BO87" s="128">
        <f>iferror(SUM($BP87,($BQ87*1.2),($BR87*1.35),($BS87*0.74)),)</f>
        <v/>
      </c>
      <c r="BP87" s="128">
        <f>IFERROR(SUM($CU87:$DL87),)</f>
        <v/>
      </c>
      <c r="BQ87" s="128">
        <f>IFERROR(SUM($DM87:$DO87),)</f>
        <v/>
      </c>
      <c r="BR87" s="128">
        <f>IFERROR(SUM($DP87:$DR87),)</f>
        <v/>
      </c>
      <c r="BS87" s="128">
        <f>IFERROR(SUM($DS87:$DU87),)</f>
        <v/>
      </c>
      <c r="BT87" s="128">
        <f>IFERROR(AI87*$W87,)</f>
        <v/>
      </c>
      <c r="BU87" s="128">
        <f>IFERROR(AJ87*$W87,)</f>
        <v/>
      </c>
      <c r="BV87" s="128">
        <f>IFERROR(AK87*$W87,)</f>
        <v/>
      </c>
      <c r="BW87" s="128">
        <f>IFERROR(AL87*$W87,)</f>
        <v/>
      </c>
      <c r="BX87" s="128">
        <f>IFERROR(AM87*$W87,)</f>
        <v/>
      </c>
      <c r="BY87" s="128">
        <f>IFERROR(AN87*$W87,)</f>
        <v/>
      </c>
      <c r="BZ87" s="128">
        <f>IFERROR(AO87*$W87,)</f>
        <v/>
      </c>
      <c r="CA87" s="128">
        <f>IFERROR(AP87*$W87,)</f>
        <v/>
      </c>
      <c r="CB87" s="128">
        <f>IFERROR(AQ87*$W87,)</f>
        <v/>
      </c>
      <c r="CC87" s="128">
        <f>IFERROR(AR87*$W87,)</f>
        <v/>
      </c>
      <c r="CD87" s="128">
        <f>IFERROR(AS87*$W87,)</f>
        <v/>
      </c>
      <c r="CE87" s="128">
        <f>IFERROR(AT87*$W87,)</f>
        <v/>
      </c>
      <c r="CF87" s="128">
        <f>IFERROR(AU87*$W87,)</f>
        <v/>
      </c>
      <c r="CG87" s="128">
        <f>IFERROR(AV87*$W87,)</f>
        <v/>
      </c>
      <c r="CH87" s="128">
        <f>IFERROR(AW87*$W87,)</f>
        <v/>
      </c>
      <c r="CI87" s="128">
        <f>IFERROR(AX87*$W87,)</f>
        <v/>
      </c>
      <c r="CJ87" s="128">
        <f>IFERROR(AY87*$W87,)</f>
        <v/>
      </c>
      <c r="CK87" s="128">
        <f>IFERROR(AZ87*$W87,)</f>
        <v/>
      </c>
      <c r="CL87" s="129">
        <f>IFERROR(if($Y87=0,BA87*($W87/1.2),BA87*$Y87),"")</f>
        <v/>
      </c>
      <c r="CM87" s="129">
        <f>IFERROR(if($Y87=0,BB87*($W87/1.2),BB87*$Y87),"")</f>
        <v/>
      </c>
      <c r="CN87" s="129">
        <f>IFERROR(if($Y87=0,BC87*($W87/1.2),BC87*$Y87),"")</f>
        <v/>
      </c>
      <c r="CO87" s="130">
        <f>IFERROR(if($AA87=0,($W87/1.35)*BD87,BD87*$AA87),)</f>
        <v/>
      </c>
      <c r="CP87" s="130">
        <f>IFERROR(if($AA87=0,($W87/1.35)*BE87,BE87*$AA87),)</f>
        <v/>
      </c>
      <c r="CQ87" s="130">
        <f>IFERROR(if($AA87=0,($W87/1.35)*BF87,BF87*$AA87),)</f>
        <v/>
      </c>
      <c r="CR87" s="128">
        <f>IFERROR(if($AC87=0,($W87/0.74)*BG87,
BG87*$AC87),)</f>
        <v/>
      </c>
      <c r="CS87" s="128">
        <f>IFERROR(if($AC87=0,($W87/0.74)*BH87,
BH87*$AC87),)</f>
        <v/>
      </c>
      <c r="CT87" s="128">
        <f>IFERROR(if($AC87=0,($W87/0.74)*BI87,
BI87*$AC87),)</f>
        <v/>
      </c>
      <c r="CU87" s="128">
        <f>IFERROR(AI87*$V87,)</f>
        <v/>
      </c>
      <c r="CV87" s="128">
        <f>IFERROR(AJ87*$V87,)</f>
        <v/>
      </c>
      <c r="CW87" s="128">
        <f>IFERROR(AK87*$V87,)</f>
        <v/>
      </c>
      <c r="CX87" s="128">
        <f>IFERROR(AL87*$V87,)</f>
        <v/>
      </c>
      <c r="CY87" s="128">
        <f>IFERROR(AM87*$V87,)</f>
        <v/>
      </c>
      <c r="CZ87" s="128">
        <f>IFERROR(AN87*$V87,)</f>
        <v/>
      </c>
      <c r="DA87" s="128">
        <f>IFERROR(AO87*$V87,)</f>
        <v/>
      </c>
      <c r="DB87" s="128">
        <f>IFERROR(AP87*$V87,)</f>
        <v/>
      </c>
      <c r="DC87" s="128">
        <f>IFERROR(AQ87*$V87,)</f>
        <v/>
      </c>
      <c r="DD87" s="128">
        <f>IFERROR(AR87*$V87,)</f>
        <v/>
      </c>
      <c r="DE87" s="128">
        <f>IFERROR(AS87*$V87,)</f>
        <v/>
      </c>
      <c r="DF87" s="128">
        <f>IFERROR(AT87*$V87,)</f>
        <v/>
      </c>
      <c r="DG87" s="128">
        <f>IFERROR(AU87*$V87,)</f>
        <v/>
      </c>
      <c r="DH87" s="128">
        <f>IFERROR(AV87*$V87,)</f>
        <v/>
      </c>
      <c r="DI87" s="128">
        <f>IFERROR(AW87*$V87,)</f>
        <v/>
      </c>
      <c r="DJ87" s="128">
        <f>IFERROR(AX87*$V87,)</f>
        <v/>
      </c>
      <c r="DK87" s="128">
        <f>IFERROR(AY87*$V87,)</f>
        <v/>
      </c>
      <c r="DL87" s="128">
        <f>IFERROR(AZ87*$V87,)</f>
        <v/>
      </c>
      <c r="DM87" s="129">
        <f>IFERROR(if($X87=0,($V87/1.2)*BA87,
BA87*$X87),)</f>
        <v/>
      </c>
      <c r="DN87" s="129">
        <f>IFERROR(if($X87=0,($V87/1.2)*BB87,
BB87*$X87),)</f>
        <v/>
      </c>
      <c r="DO87" s="129">
        <f>IFERROR(if($X87=0,($V87/1.2)*BC87,
BC87*$X87),)</f>
        <v/>
      </c>
      <c r="DP87" s="130">
        <f>IFERROR(if($Z87=0,($V87/1.35)*BD87,
BD87*$Z87),)</f>
        <v/>
      </c>
      <c r="DQ87" s="130">
        <f>IFERROR(if($Z87=0,($V87/1.35)*BE87,
BE87*$Z87),)</f>
        <v/>
      </c>
      <c r="DR87" s="130">
        <f>IFERROR(if($Z87=0,($V87/1.35)*BF87,
BF87*$Z87),)</f>
        <v/>
      </c>
      <c r="DS87" s="128">
        <f>IFERROR(IF($AB87=0,($V87/0.74)*BG87,
BG87*$AB87),)</f>
        <v/>
      </c>
      <c r="DT87" s="128">
        <f>IFERROR(IF($AB87=0,($V87/0.74)*BH87,
BH87*$AB87),)</f>
        <v/>
      </c>
      <c r="DU87" s="128">
        <f>IFERROR(IF($AB87=0,($V87/0.74)*BI87,
BI87*$AB87),)</f>
        <v/>
      </c>
    </row>
    <row r="88" ht="131.25" customHeight="1" s="162">
      <c r="A88" s="115" t="n"/>
      <c r="B88" s="115" t="n"/>
      <c r="C88" s="115" t="n"/>
      <c r="D88" s="115" t="n"/>
      <c r="E88" s="115" t="n"/>
      <c r="F88" s="115" t="n"/>
      <c r="G88" s="115" t="n"/>
      <c r="H88" s="115" t="n"/>
      <c r="I88" s="115" t="n"/>
      <c r="J88" s="115" t="n"/>
      <c r="K88" s="115" t="n"/>
      <c r="L88" s="115" t="n"/>
      <c r="M88" s="115" t="n"/>
      <c r="N88" s="115" t="n"/>
      <c r="O88" s="115" t="n"/>
      <c r="P88" s="115" t="n"/>
      <c r="Q88" s="115" t="n"/>
      <c r="R88" s="115" t="n"/>
      <c r="S88" s="115" t="n"/>
      <c r="T88" s="115" t="n"/>
      <c r="U88" s="116" t="n"/>
      <c r="V88" s="116" t="n"/>
      <c r="W88" s="117" t="n"/>
      <c r="X88" s="118" t="n"/>
      <c r="Y88" s="119" t="n"/>
      <c r="Z88" s="120" t="n"/>
      <c r="AA88" s="121" t="n"/>
      <c r="AB88" s="122" t="n"/>
      <c r="AC88" s="117" t="n"/>
      <c r="AD88" s="123">
        <f>IF(SUM($AE88:$AH88)=0,"",SUM($AE88:$AH88))</f>
        <v/>
      </c>
      <c r="AE88" s="123">
        <f>iferror(IF(SUM($AI88:$AZ88)=0,"",SUM($AI88:$AZ88)),"")</f>
        <v/>
      </c>
      <c r="AF88" s="123">
        <f>iferror(IF(SUM($BA88:$BC88)=0,"",SUM($BA88:$BC88)),"")</f>
        <v/>
      </c>
      <c r="AG88" s="123">
        <f>iferror(IF(SUM($BD88:$BF88)=0,"",SUM($BD88:$BF88)),"")</f>
        <v/>
      </c>
      <c r="AH88" s="124">
        <f>iferror(IF(SUM($BG88:$BI88)=0,"",SUM($BG88:$BI88)),"")</f>
        <v/>
      </c>
      <c r="AI88" s="131" t="n"/>
      <c r="AJ88" s="132" t="n"/>
      <c r="AK88" s="132" t="n"/>
      <c r="AL88" s="132" t="n"/>
      <c r="AM88" s="132" t="n"/>
      <c r="AN88" s="132" t="n"/>
      <c r="AO88" s="132" t="n"/>
      <c r="AP88" s="132" t="n"/>
      <c r="AQ88" s="132" t="n"/>
      <c r="AR88" s="132" t="n"/>
      <c r="AS88" s="132" t="n"/>
      <c r="AT88" s="132" t="n"/>
      <c r="AU88" s="132" t="n"/>
      <c r="AV88" s="132" t="n"/>
      <c r="AW88" s="132" t="n"/>
      <c r="AX88" s="132" t="n"/>
      <c r="AY88" s="132" t="n"/>
      <c r="AZ88" s="133" t="n"/>
      <c r="BA88" s="131" t="n"/>
      <c r="BB88" s="132" t="n"/>
      <c r="BC88" s="133" t="n"/>
      <c r="BD88" s="131" t="n"/>
      <c r="BE88" s="132" t="n"/>
      <c r="BF88" s="133" t="n"/>
      <c r="BG88" s="131" t="n"/>
      <c r="BH88" s="132" t="n"/>
      <c r="BI88" s="132" t="n"/>
      <c r="BJ88" s="128">
        <f>iferror(SUM($BK88,($BL88*1.2),($BM88*1.35),($BN88*0.74)),)</f>
        <v/>
      </c>
      <c r="BK88" s="128">
        <f>IFERROR(SUM($BT88:$CK88),)</f>
        <v/>
      </c>
      <c r="BL88" s="129">
        <f>IFERROR(SUM($CL88:$CN88),)</f>
        <v/>
      </c>
      <c r="BM88" s="130">
        <f>IFERROR(SUM($CO88:$CQ88),)</f>
        <v/>
      </c>
      <c r="BN88" s="128">
        <f>IFERROR(SUM($CR88:$CT88),)</f>
        <v/>
      </c>
      <c r="BO88" s="128">
        <f>iferror(SUM($BP88,($BQ88*1.2),($BR88*1.35),($BS88*0.74)),)</f>
        <v/>
      </c>
      <c r="BP88" s="128">
        <f>IFERROR(SUM($CU88:$DL88),)</f>
        <v/>
      </c>
      <c r="BQ88" s="128">
        <f>IFERROR(SUM($DM88:$DO88),)</f>
        <v/>
      </c>
      <c r="BR88" s="128">
        <f>IFERROR(SUM($DP88:$DR88),)</f>
        <v/>
      </c>
      <c r="BS88" s="128">
        <f>IFERROR(SUM($DS88:$DU88),)</f>
        <v/>
      </c>
      <c r="BT88" s="128">
        <f>IFERROR(AI88*$W88,)</f>
        <v/>
      </c>
      <c r="BU88" s="128">
        <f>IFERROR(AJ88*$W88,)</f>
        <v/>
      </c>
      <c r="BV88" s="128">
        <f>IFERROR(AK88*$W88,)</f>
        <v/>
      </c>
      <c r="BW88" s="128">
        <f>IFERROR(AL88*$W88,)</f>
        <v/>
      </c>
      <c r="BX88" s="128">
        <f>IFERROR(AM88*$W88,)</f>
        <v/>
      </c>
      <c r="BY88" s="128">
        <f>IFERROR(AN88*$W88,)</f>
        <v/>
      </c>
      <c r="BZ88" s="128">
        <f>IFERROR(AO88*$W88,)</f>
        <v/>
      </c>
      <c r="CA88" s="128">
        <f>IFERROR(AP88*$W88,)</f>
        <v/>
      </c>
      <c r="CB88" s="128">
        <f>IFERROR(AQ88*$W88,)</f>
        <v/>
      </c>
      <c r="CC88" s="128">
        <f>IFERROR(AR88*$W88,)</f>
        <v/>
      </c>
      <c r="CD88" s="128">
        <f>IFERROR(AS88*$W88,)</f>
        <v/>
      </c>
      <c r="CE88" s="128">
        <f>IFERROR(AT88*$W88,)</f>
        <v/>
      </c>
      <c r="CF88" s="128">
        <f>IFERROR(AU88*$W88,)</f>
        <v/>
      </c>
      <c r="CG88" s="128">
        <f>IFERROR(AV88*$W88,)</f>
        <v/>
      </c>
      <c r="CH88" s="128">
        <f>IFERROR(AW88*$W88,)</f>
        <v/>
      </c>
      <c r="CI88" s="128">
        <f>IFERROR(AX88*$W88,)</f>
        <v/>
      </c>
      <c r="CJ88" s="128">
        <f>IFERROR(AY88*$W88,)</f>
        <v/>
      </c>
      <c r="CK88" s="128">
        <f>IFERROR(AZ88*$W88,)</f>
        <v/>
      </c>
      <c r="CL88" s="129">
        <f>IFERROR(if($Y88=0,BA88*($W88/1.2),BA88*$Y88),"")</f>
        <v/>
      </c>
      <c r="CM88" s="129">
        <f>IFERROR(if($Y88=0,BB88*($W88/1.2),BB88*$Y88),"")</f>
        <v/>
      </c>
      <c r="CN88" s="129">
        <f>IFERROR(if($Y88=0,BC88*($W88/1.2),BC88*$Y88),"")</f>
        <v/>
      </c>
      <c r="CO88" s="130">
        <f>IFERROR(if($AA88=0,($W88/1.35)*BD88,BD88*$AA88),)</f>
        <v/>
      </c>
      <c r="CP88" s="130">
        <f>IFERROR(if($AA88=0,($W88/1.35)*BE88,BE88*$AA88),)</f>
        <v/>
      </c>
      <c r="CQ88" s="130">
        <f>IFERROR(if($AA88=0,($W88/1.35)*BF88,BF88*$AA88),)</f>
        <v/>
      </c>
      <c r="CR88" s="128">
        <f>IFERROR(if($AC88=0,($W88/0.74)*BG88,
BG88*$AC88),)</f>
        <v/>
      </c>
      <c r="CS88" s="128">
        <f>IFERROR(if($AC88=0,($W88/0.74)*BH88,
BH88*$AC88),)</f>
        <v/>
      </c>
      <c r="CT88" s="128">
        <f>IFERROR(if($AC88=0,($W88/0.74)*BI88,
BI88*$AC88),)</f>
        <v/>
      </c>
      <c r="CU88" s="128">
        <f>IFERROR(AI88*$V88,)</f>
        <v/>
      </c>
      <c r="CV88" s="128">
        <f>IFERROR(AJ88*$V88,)</f>
        <v/>
      </c>
      <c r="CW88" s="128">
        <f>IFERROR(AK88*$V88,)</f>
        <v/>
      </c>
      <c r="CX88" s="128">
        <f>IFERROR(AL88*$V88,)</f>
        <v/>
      </c>
      <c r="CY88" s="128">
        <f>IFERROR(AM88*$V88,)</f>
        <v/>
      </c>
      <c r="CZ88" s="128">
        <f>IFERROR(AN88*$V88,)</f>
        <v/>
      </c>
      <c r="DA88" s="128">
        <f>IFERROR(AO88*$V88,)</f>
        <v/>
      </c>
      <c r="DB88" s="128">
        <f>IFERROR(AP88*$V88,)</f>
        <v/>
      </c>
      <c r="DC88" s="128">
        <f>IFERROR(AQ88*$V88,)</f>
        <v/>
      </c>
      <c r="DD88" s="128">
        <f>IFERROR(AR88*$V88,)</f>
        <v/>
      </c>
      <c r="DE88" s="128">
        <f>IFERROR(AS88*$V88,)</f>
        <v/>
      </c>
      <c r="DF88" s="128">
        <f>IFERROR(AT88*$V88,)</f>
        <v/>
      </c>
      <c r="DG88" s="128">
        <f>IFERROR(AU88*$V88,)</f>
        <v/>
      </c>
      <c r="DH88" s="128">
        <f>IFERROR(AV88*$V88,)</f>
        <v/>
      </c>
      <c r="DI88" s="128">
        <f>IFERROR(AW88*$V88,)</f>
        <v/>
      </c>
      <c r="DJ88" s="128">
        <f>IFERROR(AX88*$V88,)</f>
        <v/>
      </c>
      <c r="DK88" s="128">
        <f>IFERROR(AY88*$V88,)</f>
        <v/>
      </c>
      <c r="DL88" s="128">
        <f>IFERROR(AZ88*$V88,)</f>
        <v/>
      </c>
      <c r="DM88" s="129">
        <f>IFERROR(if($X88=0,($V88/1.2)*BA88,
BA88*$X88),)</f>
        <v/>
      </c>
      <c r="DN88" s="129">
        <f>IFERROR(if($X88=0,($V88/1.2)*BB88,
BB88*$X88),)</f>
        <v/>
      </c>
      <c r="DO88" s="129">
        <f>IFERROR(if($X88=0,($V88/1.2)*BC88,
BC88*$X88),)</f>
        <v/>
      </c>
      <c r="DP88" s="130">
        <f>IFERROR(if($Z88=0,($V88/1.35)*BD88,
BD88*$Z88),)</f>
        <v/>
      </c>
      <c r="DQ88" s="130">
        <f>IFERROR(if($Z88=0,($V88/1.35)*BE88,
BE88*$Z88),)</f>
        <v/>
      </c>
      <c r="DR88" s="130">
        <f>IFERROR(if($Z88=0,($V88/1.35)*BF88,
BF88*$Z88),)</f>
        <v/>
      </c>
      <c r="DS88" s="128">
        <f>IFERROR(IF($AB88=0,($V88/0.74)*BG88,
BG88*$AB88),)</f>
        <v/>
      </c>
      <c r="DT88" s="128">
        <f>IFERROR(IF($AB88=0,($V88/0.74)*BH88,
BH88*$AB88),)</f>
        <v/>
      </c>
      <c r="DU88" s="128">
        <f>IFERROR(IF($AB88=0,($V88/0.74)*BI88,
BI88*$AB88),)</f>
        <v/>
      </c>
    </row>
    <row r="89" ht="131.25" customHeight="1" s="162">
      <c r="A89" s="115" t="n"/>
      <c r="B89" s="115" t="n"/>
      <c r="C89" s="115" t="n"/>
      <c r="D89" s="115" t="n"/>
      <c r="E89" s="115" t="n"/>
      <c r="F89" s="115" t="n"/>
      <c r="G89" s="115" t="n"/>
      <c r="H89" s="115" t="n"/>
      <c r="I89" s="115" t="n"/>
      <c r="J89" s="115" t="n"/>
      <c r="K89" s="115" t="n"/>
      <c r="L89" s="115" t="n"/>
      <c r="M89" s="115" t="n"/>
      <c r="N89" s="115" t="n"/>
      <c r="O89" s="115" t="n"/>
      <c r="P89" s="115" t="n"/>
      <c r="Q89" s="115" t="n"/>
      <c r="R89" s="115" t="n"/>
      <c r="S89" s="115" t="n"/>
      <c r="T89" s="115" t="n"/>
      <c r="U89" s="116" t="n"/>
      <c r="V89" s="116" t="n"/>
      <c r="W89" s="117" t="n"/>
      <c r="X89" s="118" t="n"/>
      <c r="Y89" s="119" t="n"/>
      <c r="Z89" s="120" t="n"/>
      <c r="AA89" s="121" t="n"/>
      <c r="AB89" s="122" t="n"/>
      <c r="AC89" s="117" t="n"/>
      <c r="AD89" s="123">
        <f>IF(SUM($AE89:$AH89)=0,"",SUM($AE89:$AH89))</f>
        <v/>
      </c>
      <c r="AE89" s="123">
        <f>iferror(IF(SUM($AI89:$AZ89)=0,"",SUM($AI89:$AZ89)),"")</f>
        <v/>
      </c>
      <c r="AF89" s="123">
        <f>iferror(IF(SUM($BA89:$BC89)=0,"",SUM($BA89:$BC89)),"")</f>
        <v/>
      </c>
      <c r="AG89" s="123">
        <f>iferror(IF(SUM($BD89:$BF89)=0,"",SUM($BD89:$BF89)),"")</f>
        <v/>
      </c>
      <c r="AH89" s="124">
        <f>iferror(IF(SUM($BG89:$BI89)=0,"",SUM($BG89:$BI89)),"")</f>
        <v/>
      </c>
      <c r="AI89" s="131" t="n"/>
      <c r="AJ89" s="132" t="n"/>
      <c r="AK89" s="132" t="n"/>
      <c r="AL89" s="132" t="n"/>
      <c r="AM89" s="132" t="n"/>
      <c r="AN89" s="132" t="n"/>
      <c r="AO89" s="132" t="n"/>
      <c r="AP89" s="132" t="n"/>
      <c r="AQ89" s="132" t="n"/>
      <c r="AR89" s="132" t="n"/>
      <c r="AS89" s="132" t="n"/>
      <c r="AT89" s="132" t="n"/>
      <c r="AU89" s="132" t="n"/>
      <c r="AV89" s="132" t="n"/>
      <c r="AW89" s="132" t="n"/>
      <c r="AX89" s="132" t="n"/>
      <c r="AY89" s="132" t="n"/>
      <c r="AZ89" s="133" t="n"/>
      <c r="BA89" s="131" t="n"/>
      <c r="BB89" s="132" t="n"/>
      <c r="BC89" s="133" t="n"/>
      <c r="BD89" s="131" t="n"/>
      <c r="BE89" s="132" t="n"/>
      <c r="BF89" s="133" t="n"/>
      <c r="BG89" s="131" t="n"/>
      <c r="BH89" s="132" t="n"/>
      <c r="BI89" s="132" t="n"/>
      <c r="BJ89" s="128">
        <f>iferror(SUM($BK89,($BL89*1.2),($BM89*1.35),($BN89*0.74)),)</f>
        <v/>
      </c>
      <c r="BK89" s="128">
        <f>IFERROR(SUM($BT89:$CK89),)</f>
        <v/>
      </c>
      <c r="BL89" s="129">
        <f>IFERROR(SUM($CL89:$CN89),)</f>
        <v/>
      </c>
      <c r="BM89" s="130">
        <f>IFERROR(SUM($CO89:$CQ89),)</f>
        <v/>
      </c>
      <c r="BN89" s="128">
        <f>IFERROR(SUM($CR89:$CT89),)</f>
        <v/>
      </c>
      <c r="BO89" s="128">
        <f>iferror(SUM($BP89,($BQ89*1.2),($BR89*1.35),($BS89*0.74)),)</f>
        <v/>
      </c>
      <c r="BP89" s="128">
        <f>IFERROR(SUM($CU89:$DL89),)</f>
        <v/>
      </c>
      <c r="BQ89" s="128">
        <f>IFERROR(SUM($DM89:$DO89),)</f>
        <v/>
      </c>
      <c r="BR89" s="128">
        <f>IFERROR(SUM($DP89:$DR89),)</f>
        <v/>
      </c>
      <c r="BS89" s="128">
        <f>IFERROR(SUM($DS89:$DU89),)</f>
        <v/>
      </c>
      <c r="BT89" s="128">
        <f>IFERROR(AI89*$W89,)</f>
        <v/>
      </c>
      <c r="BU89" s="128">
        <f>IFERROR(AJ89*$W89,)</f>
        <v/>
      </c>
      <c r="BV89" s="128">
        <f>IFERROR(AK89*$W89,)</f>
        <v/>
      </c>
      <c r="BW89" s="128">
        <f>IFERROR(AL89*$W89,)</f>
        <v/>
      </c>
      <c r="BX89" s="128">
        <f>IFERROR(AM89*$W89,)</f>
        <v/>
      </c>
      <c r="BY89" s="128">
        <f>IFERROR(AN89*$W89,)</f>
        <v/>
      </c>
      <c r="BZ89" s="128">
        <f>IFERROR(AO89*$W89,)</f>
        <v/>
      </c>
      <c r="CA89" s="128">
        <f>IFERROR(AP89*$W89,)</f>
        <v/>
      </c>
      <c r="CB89" s="128">
        <f>IFERROR(AQ89*$W89,)</f>
        <v/>
      </c>
      <c r="CC89" s="128">
        <f>IFERROR(AR89*$W89,)</f>
        <v/>
      </c>
      <c r="CD89" s="128">
        <f>IFERROR(AS89*$W89,)</f>
        <v/>
      </c>
      <c r="CE89" s="128">
        <f>IFERROR(AT89*$W89,)</f>
        <v/>
      </c>
      <c r="CF89" s="128">
        <f>IFERROR(AU89*$W89,)</f>
        <v/>
      </c>
      <c r="CG89" s="128">
        <f>IFERROR(AV89*$W89,)</f>
        <v/>
      </c>
      <c r="CH89" s="128">
        <f>IFERROR(AW89*$W89,)</f>
        <v/>
      </c>
      <c r="CI89" s="128">
        <f>IFERROR(AX89*$W89,)</f>
        <v/>
      </c>
      <c r="CJ89" s="128">
        <f>IFERROR(AY89*$W89,)</f>
        <v/>
      </c>
      <c r="CK89" s="128">
        <f>IFERROR(AZ89*$W89,)</f>
        <v/>
      </c>
      <c r="CL89" s="129">
        <f>IFERROR(if($Y89=0,BA89*($W89/1.2),BA89*$Y89),"")</f>
        <v/>
      </c>
      <c r="CM89" s="129">
        <f>IFERROR(if($Y89=0,BB89*($W89/1.2),BB89*$Y89),"")</f>
        <v/>
      </c>
      <c r="CN89" s="129">
        <f>IFERROR(if($Y89=0,BC89*($W89/1.2),BC89*$Y89),"")</f>
        <v/>
      </c>
      <c r="CO89" s="130">
        <f>IFERROR(if($AA89=0,($W89/1.35)*BD89,BD89*$AA89),)</f>
        <v/>
      </c>
      <c r="CP89" s="130">
        <f>IFERROR(if($AA89=0,($W89/1.35)*BE89,BE89*$AA89),)</f>
        <v/>
      </c>
      <c r="CQ89" s="130">
        <f>IFERROR(if($AA89=0,($W89/1.35)*BF89,BF89*$AA89),)</f>
        <v/>
      </c>
      <c r="CR89" s="128">
        <f>IFERROR(if($AC89=0,($W89/0.74)*BG89,
BG89*$AC89),)</f>
        <v/>
      </c>
      <c r="CS89" s="128">
        <f>IFERROR(if($AC89=0,($W89/0.74)*BH89,
BH89*$AC89),)</f>
        <v/>
      </c>
      <c r="CT89" s="128">
        <f>IFERROR(if($AC89=0,($W89/0.74)*BI89,
BI89*$AC89),)</f>
        <v/>
      </c>
      <c r="CU89" s="128">
        <f>IFERROR(AI89*$V89,)</f>
        <v/>
      </c>
      <c r="CV89" s="128">
        <f>IFERROR(AJ89*$V89,)</f>
        <v/>
      </c>
      <c r="CW89" s="128">
        <f>IFERROR(AK89*$V89,)</f>
        <v/>
      </c>
      <c r="CX89" s="128">
        <f>IFERROR(AL89*$V89,)</f>
        <v/>
      </c>
      <c r="CY89" s="128">
        <f>IFERROR(AM89*$V89,)</f>
        <v/>
      </c>
      <c r="CZ89" s="128">
        <f>IFERROR(AN89*$V89,)</f>
        <v/>
      </c>
      <c r="DA89" s="128">
        <f>IFERROR(AO89*$V89,)</f>
        <v/>
      </c>
      <c r="DB89" s="128">
        <f>IFERROR(AP89*$V89,)</f>
        <v/>
      </c>
      <c r="DC89" s="128">
        <f>IFERROR(AQ89*$V89,)</f>
        <v/>
      </c>
      <c r="DD89" s="128">
        <f>IFERROR(AR89*$V89,)</f>
        <v/>
      </c>
      <c r="DE89" s="128">
        <f>IFERROR(AS89*$V89,)</f>
        <v/>
      </c>
      <c r="DF89" s="128">
        <f>IFERROR(AT89*$V89,)</f>
        <v/>
      </c>
      <c r="DG89" s="128">
        <f>IFERROR(AU89*$V89,)</f>
        <v/>
      </c>
      <c r="DH89" s="128">
        <f>IFERROR(AV89*$V89,)</f>
        <v/>
      </c>
      <c r="DI89" s="128">
        <f>IFERROR(AW89*$V89,)</f>
        <v/>
      </c>
      <c r="DJ89" s="128">
        <f>IFERROR(AX89*$V89,)</f>
        <v/>
      </c>
      <c r="DK89" s="128">
        <f>IFERROR(AY89*$V89,)</f>
        <v/>
      </c>
      <c r="DL89" s="128">
        <f>IFERROR(AZ89*$V89,)</f>
        <v/>
      </c>
      <c r="DM89" s="129">
        <f>IFERROR(if($X89=0,($V89/1.2)*BA89,
BA89*$X89),)</f>
        <v/>
      </c>
      <c r="DN89" s="129">
        <f>IFERROR(if($X89=0,($V89/1.2)*BB89,
BB89*$X89),)</f>
        <v/>
      </c>
      <c r="DO89" s="129">
        <f>IFERROR(if($X89=0,($V89/1.2)*BC89,
BC89*$X89),)</f>
        <v/>
      </c>
      <c r="DP89" s="130">
        <f>IFERROR(if($Z89=0,($V89/1.35)*BD89,
BD89*$Z89),)</f>
        <v/>
      </c>
      <c r="DQ89" s="130">
        <f>IFERROR(if($Z89=0,($V89/1.35)*BE89,
BE89*$Z89),)</f>
        <v/>
      </c>
      <c r="DR89" s="130">
        <f>IFERROR(if($Z89=0,($V89/1.35)*BF89,
BF89*$Z89),)</f>
        <v/>
      </c>
      <c r="DS89" s="128">
        <f>IFERROR(IF($AB89=0,($V89/0.74)*BG89,
BG89*$AB89),)</f>
        <v/>
      </c>
      <c r="DT89" s="128">
        <f>IFERROR(IF($AB89=0,($V89/0.74)*BH89,
BH89*$AB89),)</f>
        <v/>
      </c>
      <c r="DU89" s="128">
        <f>IFERROR(IF($AB89=0,($V89/0.74)*BI89,
BI89*$AB89),)</f>
        <v/>
      </c>
    </row>
    <row r="90" ht="131.25" customHeight="1" s="162">
      <c r="A90" s="115" t="n"/>
      <c r="B90" s="115" t="n"/>
      <c r="C90" s="115" t="n"/>
      <c r="D90" s="115" t="n"/>
      <c r="E90" s="115" t="n"/>
      <c r="F90" s="115" t="n"/>
      <c r="G90" s="115" t="n"/>
      <c r="H90" s="115" t="n"/>
      <c r="I90" s="115" t="n"/>
      <c r="J90" s="115" t="n"/>
      <c r="K90" s="115" t="n"/>
      <c r="L90" s="115" t="n"/>
      <c r="M90" s="115" t="n"/>
      <c r="N90" s="115" t="n"/>
      <c r="O90" s="115" t="n"/>
      <c r="P90" s="115" t="n"/>
      <c r="Q90" s="115" t="n"/>
      <c r="R90" s="115" t="n"/>
      <c r="S90" s="115" t="n"/>
      <c r="T90" s="115" t="n"/>
      <c r="U90" s="116" t="n"/>
      <c r="V90" s="116" t="n"/>
      <c r="W90" s="117" t="n"/>
      <c r="X90" s="118" t="n"/>
      <c r="Y90" s="119" t="n"/>
      <c r="Z90" s="120" t="n"/>
      <c r="AA90" s="121" t="n"/>
      <c r="AB90" s="122" t="n"/>
      <c r="AC90" s="117" t="n"/>
      <c r="AD90" s="123">
        <f>IF(SUM($AE90:$AH90)=0,"",SUM($AE90:$AH90))</f>
        <v/>
      </c>
      <c r="AE90" s="123">
        <f>iferror(IF(SUM($AI90:$AZ90)=0,"",SUM($AI90:$AZ90)),"")</f>
        <v/>
      </c>
      <c r="AF90" s="123">
        <f>iferror(IF(SUM($BA90:$BC90)=0,"",SUM($BA90:$BC90)),"")</f>
        <v/>
      </c>
      <c r="AG90" s="123">
        <f>iferror(IF(SUM($BD90:$BF90)=0,"",SUM($BD90:$BF90)),"")</f>
        <v/>
      </c>
      <c r="AH90" s="124">
        <f>iferror(IF(SUM($BG90:$BI90)=0,"",SUM($BG90:$BI90)),"")</f>
        <v/>
      </c>
      <c r="AI90" s="131" t="n"/>
      <c r="AJ90" s="132" t="n"/>
      <c r="AK90" s="132" t="n"/>
      <c r="AL90" s="132" t="n"/>
      <c r="AM90" s="132" t="n"/>
      <c r="AN90" s="132" t="n"/>
      <c r="AO90" s="132" t="n"/>
      <c r="AP90" s="132" t="n"/>
      <c r="AQ90" s="132" t="n"/>
      <c r="AR90" s="132" t="n"/>
      <c r="AS90" s="132" t="n"/>
      <c r="AT90" s="132" t="n"/>
      <c r="AU90" s="132" t="n"/>
      <c r="AV90" s="132" t="n"/>
      <c r="AW90" s="132" t="n"/>
      <c r="AX90" s="132" t="n"/>
      <c r="AY90" s="132" t="n"/>
      <c r="AZ90" s="133" t="n"/>
      <c r="BA90" s="131" t="n"/>
      <c r="BB90" s="132" t="n"/>
      <c r="BC90" s="133" t="n"/>
      <c r="BD90" s="131" t="n"/>
      <c r="BE90" s="132" t="n"/>
      <c r="BF90" s="133" t="n"/>
      <c r="BG90" s="131" t="n"/>
      <c r="BH90" s="132" t="n"/>
      <c r="BI90" s="132" t="n"/>
      <c r="BJ90" s="128">
        <f>iferror(SUM($BK90,($BL90*1.2),($BM90*1.35),($BN90*0.74)),)</f>
        <v/>
      </c>
      <c r="BK90" s="128">
        <f>IFERROR(SUM($BT90:$CK90),)</f>
        <v/>
      </c>
      <c r="BL90" s="129">
        <f>IFERROR(SUM($CL90:$CN90),)</f>
        <v/>
      </c>
      <c r="BM90" s="130">
        <f>IFERROR(SUM($CO90:$CQ90),)</f>
        <v/>
      </c>
      <c r="BN90" s="128">
        <f>IFERROR(SUM($CR90:$CT90),)</f>
        <v/>
      </c>
      <c r="BO90" s="128">
        <f>iferror(SUM($BP90,($BQ90*1.2),($BR90*1.35),($BS90*0.74)),)</f>
        <v/>
      </c>
      <c r="BP90" s="128">
        <f>IFERROR(SUM($CU90:$DL90),)</f>
        <v/>
      </c>
      <c r="BQ90" s="128">
        <f>IFERROR(SUM($DM90:$DO90),)</f>
        <v/>
      </c>
      <c r="BR90" s="128">
        <f>IFERROR(SUM($DP90:$DR90),)</f>
        <v/>
      </c>
      <c r="BS90" s="128">
        <f>IFERROR(SUM($DS90:$DU90),)</f>
        <v/>
      </c>
      <c r="BT90" s="128">
        <f>IFERROR(AI90*$W90,)</f>
        <v/>
      </c>
      <c r="BU90" s="128">
        <f>IFERROR(AJ90*$W90,)</f>
        <v/>
      </c>
      <c r="BV90" s="128">
        <f>IFERROR(AK90*$W90,)</f>
        <v/>
      </c>
      <c r="BW90" s="128">
        <f>IFERROR(AL90*$W90,)</f>
        <v/>
      </c>
      <c r="BX90" s="128">
        <f>IFERROR(AM90*$W90,)</f>
        <v/>
      </c>
      <c r="BY90" s="128">
        <f>IFERROR(AN90*$W90,)</f>
        <v/>
      </c>
      <c r="BZ90" s="128">
        <f>IFERROR(AO90*$W90,)</f>
        <v/>
      </c>
      <c r="CA90" s="128">
        <f>IFERROR(AP90*$W90,)</f>
        <v/>
      </c>
      <c r="CB90" s="128">
        <f>IFERROR(AQ90*$W90,)</f>
        <v/>
      </c>
      <c r="CC90" s="128">
        <f>IFERROR(AR90*$W90,)</f>
        <v/>
      </c>
      <c r="CD90" s="128">
        <f>IFERROR(AS90*$W90,)</f>
        <v/>
      </c>
      <c r="CE90" s="128">
        <f>IFERROR(AT90*$W90,)</f>
        <v/>
      </c>
      <c r="CF90" s="128">
        <f>IFERROR(AU90*$W90,)</f>
        <v/>
      </c>
      <c r="CG90" s="128">
        <f>IFERROR(AV90*$W90,)</f>
        <v/>
      </c>
      <c r="CH90" s="128">
        <f>IFERROR(AW90*$W90,)</f>
        <v/>
      </c>
      <c r="CI90" s="128">
        <f>IFERROR(AX90*$W90,)</f>
        <v/>
      </c>
      <c r="CJ90" s="128">
        <f>IFERROR(AY90*$W90,)</f>
        <v/>
      </c>
      <c r="CK90" s="128">
        <f>IFERROR(AZ90*$W90,)</f>
        <v/>
      </c>
      <c r="CL90" s="129">
        <f>IFERROR(if($Y90=0,BA90*($W90/1.2),BA90*$Y90),"")</f>
        <v/>
      </c>
      <c r="CM90" s="129">
        <f>IFERROR(if($Y90=0,BB90*($W90/1.2),BB90*$Y90),"")</f>
        <v/>
      </c>
      <c r="CN90" s="129">
        <f>IFERROR(if($Y90=0,BC90*($W90/1.2),BC90*$Y90),"")</f>
        <v/>
      </c>
      <c r="CO90" s="130">
        <f>IFERROR(if($AA90=0,($W90/1.35)*BD90,BD90*$AA90),)</f>
        <v/>
      </c>
      <c r="CP90" s="130">
        <f>IFERROR(if($AA90=0,($W90/1.35)*BE90,BE90*$AA90),)</f>
        <v/>
      </c>
      <c r="CQ90" s="130">
        <f>IFERROR(if($AA90=0,($W90/1.35)*BF90,BF90*$AA90),)</f>
        <v/>
      </c>
      <c r="CR90" s="128">
        <f>IFERROR(if($AC90=0,($W90/0.74)*BG90,
BG90*$AC90),)</f>
        <v/>
      </c>
      <c r="CS90" s="128">
        <f>IFERROR(if($AC90=0,($W90/0.74)*BH90,
BH90*$AC90),)</f>
        <v/>
      </c>
      <c r="CT90" s="128">
        <f>IFERROR(if($AC90=0,($W90/0.74)*BI90,
BI90*$AC90),)</f>
        <v/>
      </c>
      <c r="CU90" s="128">
        <f>IFERROR(AI90*$V90,)</f>
        <v/>
      </c>
      <c r="CV90" s="128">
        <f>IFERROR(AJ90*$V90,)</f>
        <v/>
      </c>
      <c r="CW90" s="128">
        <f>IFERROR(AK90*$V90,)</f>
        <v/>
      </c>
      <c r="CX90" s="128">
        <f>IFERROR(AL90*$V90,)</f>
        <v/>
      </c>
      <c r="CY90" s="128">
        <f>IFERROR(AM90*$V90,)</f>
        <v/>
      </c>
      <c r="CZ90" s="128">
        <f>IFERROR(AN90*$V90,)</f>
        <v/>
      </c>
      <c r="DA90" s="128">
        <f>IFERROR(AO90*$V90,)</f>
        <v/>
      </c>
      <c r="DB90" s="128">
        <f>IFERROR(AP90*$V90,)</f>
        <v/>
      </c>
      <c r="DC90" s="128">
        <f>IFERROR(AQ90*$V90,)</f>
        <v/>
      </c>
      <c r="DD90" s="128">
        <f>IFERROR(AR90*$V90,)</f>
        <v/>
      </c>
      <c r="DE90" s="128">
        <f>IFERROR(AS90*$V90,)</f>
        <v/>
      </c>
      <c r="DF90" s="128">
        <f>IFERROR(AT90*$V90,)</f>
        <v/>
      </c>
      <c r="DG90" s="128">
        <f>IFERROR(AU90*$V90,)</f>
        <v/>
      </c>
      <c r="DH90" s="128">
        <f>IFERROR(AV90*$V90,)</f>
        <v/>
      </c>
      <c r="DI90" s="128">
        <f>IFERROR(AW90*$V90,)</f>
        <v/>
      </c>
      <c r="DJ90" s="128">
        <f>IFERROR(AX90*$V90,)</f>
        <v/>
      </c>
      <c r="DK90" s="128">
        <f>IFERROR(AY90*$V90,)</f>
        <v/>
      </c>
      <c r="DL90" s="128">
        <f>IFERROR(AZ90*$V90,)</f>
        <v/>
      </c>
      <c r="DM90" s="129">
        <f>IFERROR(if($X90=0,($V90/1.2)*BA90,
BA90*$X90),)</f>
        <v/>
      </c>
      <c r="DN90" s="129">
        <f>IFERROR(if($X90=0,($V90/1.2)*BB90,
BB90*$X90),)</f>
        <v/>
      </c>
      <c r="DO90" s="129">
        <f>IFERROR(if($X90=0,($V90/1.2)*BC90,
BC90*$X90),)</f>
        <v/>
      </c>
      <c r="DP90" s="130">
        <f>IFERROR(if($Z90=0,($V90/1.35)*BD90,
BD90*$Z90),)</f>
        <v/>
      </c>
      <c r="DQ90" s="130">
        <f>IFERROR(if($Z90=0,($V90/1.35)*BE90,
BE90*$Z90),)</f>
        <v/>
      </c>
      <c r="DR90" s="130">
        <f>IFERROR(if($Z90=0,($V90/1.35)*BF90,
BF90*$Z90),)</f>
        <v/>
      </c>
      <c r="DS90" s="128">
        <f>IFERROR(IF($AB90=0,($V90/0.74)*BG90,
BG90*$AB90),)</f>
        <v/>
      </c>
      <c r="DT90" s="128">
        <f>IFERROR(IF($AB90=0,($V90/0.74)*BH90,
BH90*$AB90),)</f>
        <v/>
      </c>
      <c r="DU90" s="128">
        <f>IFERROR(IF($AB90=0,($V90/0.74)*BI90,
BI90*$AB90),)</f>
        <v/>
      </c>
    </row>
    <row r="91" ht="131.25" customHeight="1" s="162">
      <c r="A91" s="115" t="n"/>
      <c r="B91" s="115" t="n"/>
      <c r="C91" s="115" t="n"/>
      <c r="D91" s="115" t="n"/>
      <c r="E91" s="115" t="n"/>
      <c r="F91" s="115" t="n"/>
      <c r="G91" s="115" t="n"/>
      <c r="H91" s="115" t="n"/>
      <c r="I91" s="115" t="n"/>
      <c r="J91" s="115" t="n"/>
      <c r="K91" s="115" t="n"/>
      <c r="L91" s="115" t="n"/>
      <c r="M91" s="115" t="n"/>
      <c r="N91" s="115" t="n"/>
      <c r="O91" s="115" t="n"/>
      <c r="P91" s="115" t="n"/>
      <c r="Q91" s="115" t="n"/>
      <c r="R91" s="115" t="n"/>
      <c r="S91" s="115" t="n"/>
      <c r="T91" s="115" t="n"/>
      <c r="U91" s="116" t="n"/>
      <c r="V91" s="116" t="n"/>
      <c r="W91" s="117" t="n"/>
      <c r="X91" s="118" t="n"/>
      <c r="Y91" s="119" t="n"/>
      <c r="Z91" s="120" t="n"/>
      <c r="AA91" s="121" t="n"/>
      <c r="AB91" s="122" t="n"/>
      <c r="AC91" s="117" t="n"/>
      <c r="AD91" s="123">
        <f>IF(SUM($AE91:$AH91)=0,"",SUM($AE91:$AH91))</f>
        <v/>
      </c>
      <c r="AE91" s="123">
        <f>iferror(IF(SUM($AI91:$AZ91)=0,"",SUM($AI91:$AZ91)),"")</f>
        <v/>
      </c>
      <c r="AF91" s="123">
        <f>iferror(IF(SUM($BA91:$BC91)=0,"",SUM($BA91:$BC91)),"")</f>
        <v/>
      </c>
      <c r="AG91" s="123">
        <f>iferror(IF(SUM($BD91:$BF91)=0,"",SUM($BD91:$BF91)),"")</f>
        <v/>
      </c>
      <c r="AH91" s="124">
        <f>iferror(IF(SUM($BG91:$BI91)=0,"",SUM($BG91:$BI91)),"")</f>
        <v/>
      </c>
      <c r="AI91" s="131" t="n"/>
      <c r="AJ91" s="132" t="n"/>
      <c r="AK91" s="132" t="n"/>
      <c r="AL91" s="132" t="n"/>
      <c r="AM91" s="132" t="n"/>
      <c r="AN91" s="132" t="n"/>
      <c r="AO91" s="132" t="n"/>
      <c r="AP91" s="132" t="n"/>
      <c r="AQ91" s="132" t="n"/>
      <c r="AR91" s="132" t="n"/>
      <c r="AS91" s="132" t="n"/>
      <c r="AT91" s="132" t="n"/>
      <c r="AU91" s="132" t="n"/>
      <c r="AV91" s="132" t="n"/>
      <c r="AW91" s="132" t="n"/>
      <c r="AX91" s="132" t="n"/>
      <c r="AY91" s="132" t="n"/>
      <c r="AZ91" s="133" t="n"/>
      <c r="BA91" s="131" t="n"/>
      <c r="BB91" s="132" t="n"/>
      <c r="BC91" s="133" t="n"/>
      <c r="BD91" s="131" t="n"/>
      <c r="BE91" s="132" t="n"/>
      <c r="BF91" s="133" t="n"/>
      <c r="BG91" s="131" t="n"/>
      <c r="BH91" s="132" t="n"/>
      <c r="BI91" s="132" t="n"/>
      <c r="BJ91" s="128">
        <f>iferror(SUM($BK91,($BL91*1.2),($BM91*1.35),($BN91*0.74)),)</f>
        <v/>
      </c>
      <c r="BK91" s="128">
        <f>IFERROR(SUM($BT91:$CK91),)</f>
        <v/>
      </c>
      <c r="BL91" s="129">
        <f>IFERROR(SUM($CL91:$CN91),)</f>
        <v/>
      </c>
      <c r="BM91" s="130">
        <f>IFERROR(SUM($CO91:$CQ91),)</f>
        <v/>
      </c>
      <c r="BN91" s="128">
        <f>IFERROR(SUM($CR91:$CT91),)</f>
        <v/>
      </c>
      <c r="BO91" s="128">
        <f>iferror(SUM($BP91,($BQ91*1.2),($BR91*1.35),($BS91*0.74)),)</f>
        <v/>
      </c>
      <c r="BP91" s="128">
        <f>IFERROR(SUM($CU91:$DL91),)</f>
        <v/>
      </c>
      <c r="BQ91" s="128">
        <f>IFERROR(SUM($DM91:$DO91),)</f>
        <v/>
      </c>
      <c r="BR91" s="128">
        <f>IFERROR(SUM($DP91:$DR91),)</f>
        <v/>
      </c>
      <c r="BS91" s="128">
        <f>IFERROR(SUM($DS91:$DU91),)</f>
        <v/>
      </c>
      <c r="BT91" s="128">
        <f>IFERROR(AI91*$W91,)</f>
        <v/>
      </c>
      <c r="BU91" s="128">
        <f>IFERROR(AJ91*$W91,)</f>
        <v/>
      </c>
      <c r="BV91" s="128">
        <f>IFERROR(AK91*$W91,)</f>
        <v/>
      </c>
      <c r="BW91" s="128">
        <f>IFERROR(AL91*$W91,)</f>
        <v/>
      </c>
      <c r="BX91" s="128">
        <f>IFERROR(AM91*$W91,)</f>
        <v/>
      </c>
      <c r="BY91" s="128">
        <f>IFERROR(AN91*$W91,)</f>
        <v/>
      </c>
      <c r="BZ91" s="128">
        <f>IFERROR(AO91*$W91,)</f>
        <v/>
      </c>
      <c r="CA91" s="128">
        <f>IFERROR(AP91*$W91,)</f>
        <v/>
      </c>
      <c r="CB91" s="128">
        <f>IFERROR(AQ91*$W91,)</f>
        <v/>
      </c>
      <c r="CC91" s="128">
        <f>IFERROR(AR91*$W91,)</f>
        <v/>
      </c>
      <c r="CD91" s="128">
        <f>IFERROR(AS91*$W91,)</f>
        <v/>
      </c>
      <c r="CE91" s="128">
        <f>IFERROR(AT91*$W91,)</f>
        <v/>
      </c>
      <c r="CF91" s="128">
        <f>IFERROR(AU91*$W91,)</f>
        <v/>
      </c>
      <c r="CG91" s="128">
        <f>IFERROR(AV91*$W91,)</f>
        <v/>
      </c>
      <c r="CH91" s="128">
        <f>IFERROR(AW91*$W91,)</f>
        <v/>
      </c>
      <c r="CI91" s="128">
        <f>IFERROR(AX91*$W91,)</f>
        <v/>
      </c>
      <c r="CJ91" s="128">
        <f>IFERROR(AY91*$W91,)</f>
        <v/>
      </c>
      <c r="CK91" s="128">
        <f>IFERROR(AZ91*$W91,)</f>
        <v/>
      </c>
      <c r="CL91" s="129">
        <f>IFERROR(if($Y91=0,BA91*($W91/1.2),BA91*$Y91),"")</f>
        <v/>
      </c>
      <c r="CM91" s="129">
        <f>IFERROR(if($Y91=0,BB91*($W91/1.2),BB91*$Y91),"")</f>
        <v/>
      </c>
      <c r="CN91" s="129">
        <f>IFERROR(if($Y91=0,BC91*($W91/1.2),BC91*$Y91),"")</f>
        <v/>
      </c>
      <c r="CO91" s="130">
        <f>IFERROR(if($AA91=0,($W91/1.35)*BD91,BD91*$AA91),)</f>
        <v/>
      </c>
      <c r="CP91" s="130">
        <f>IFERROR(if($AA91=0,($W91/1.35)*BE91,BE91*$AA91),)</f>
        <v/>
      </c>
      <c r="CQ91" s="130">
        <f>IFERROR(if($AA91=0,($W91/1.35)*BF91,BF91*$AA91),)</f>
        <v/>
      </c>
      <c r="CR91" s="128">
        <f>IFERROR(if($AC91=0,($W91/0.74)*BG91,
BG91*$AC91),)</f>
        <v/>
      </c>
      <c r="CS91" s="128">
        <f>IFERROR(if($AC91=0,($W91/0.74)*BH91,
BH91*$AC91),)</f>
        <v/>
      </c>
      <c r="CT91" s="128">
        <f>IFERROR(if($AC91=0,($W91/0.74)*BI91,
BI91*$AC91),)</f>
        <v/>
      </c>
      <c r="CU91" s="128">
        <f>IFERROR(AI91*$V91,)</f>
        <v/>
      </c>
      <c r="CV91" s="128">
        <f>IFERROR(AJ91*$V91,)</f>
        <v/>
      </c>
      <c r="CW91" s="128">
        <f>IFERROR(AK91*$V91,)</f>
        <v/>
      </c>
      <c r="CX91" s="128">
        <f>IFERROR(AL91*$V91,)</f>
        <v/>
      </c>
      <c r="CY91" s="128">
        <f>IFERROR(AM91*$V91,)</f>
        <v/>
      </c>
      <c r="CZ91" s="128">
        <f>IFERROR(AN91*$V91,)</f>
        <v/>
      </c>
      <c r="DA91" s="128">
        <f>IFERROR(AO91*$V91,)</f>
        <v/>
      </c>
      <c r="DB91" s="128">
        <f>IFERROR(AP91*$V91,)</f>
        <v/>
      </c>
      <c r="DC91" s="128">
        <f>IFERROR(AQ91*$V91,)</f>
        <v/>
      </c>
      <c r="DD91" s="128">
        <f>IFERROR(AR91*$V91,)</f>
        <v/>
      </c>
      <c r="DE91" s="128">
        <f>IFERROR(AS91*$V91,)</f>
        <v/>
      </c>
      <c r="DF91" s="128">
        <f>IFERROR(AT91*$V91,)</f>
        <v/>
      </c>
      <c r="DG91" s="128">
        <f>IFERROR(AU91*$V91,)</f>
        <v/>
      </c>
      <c r="DH91" s="128">
        <f>IFERROR(AV91*$V91,)</f>
        <v/>
      </c>
      <c r="DI91" s="128">
        <f>IFERROR(AW91*$V91,)</f>
        <v/>
      </c>
      <c r="DJ91" s="128">
        <f>IFERROR(AX91*$V91,)</f>
        <v/>
      </c>
      <c r="DK91" s="128">
        <f>IFERROR(AY91*$V91,)</f>
        <v/>
      </c>
      <c r="DL91" s="128">
        <f>IFERROR(AZ91*$V91,)</f>
        <v/>
      </c>
      <c r="DM91" s="129">
        <f>IFERROR(if($X91=0,($V91/1.2)*BA91,
BA91*$X91),)</f>
        <v/>
      </c>
      <c r="DN91" s="129">
        <f>IFERROR(if($X91=0,($V91/1.2)*BB91,
BB91*$X91),)</f>
        <v/>
      </c>
      <c r="DO91" s="129">
        <f>IFERROR(if($X91=0,($V91/1.2)*BC91,
BC91*$X91),)</f>
        <v/>
      </c>
      <c r="DP91" s="130">
        <f>IFERROR(if($Z91=0,($V91/1.35)*BD91,
BD91*$Z91),)</f>
        <v/>
      </c>
      <c r="DQ91" s="130">
        <f>IFERROR(if($Z91=0,($V91/1.35)*BE91,
BE91*$Z91),)</f>
        <v/>
      </c>
      <c r="DR91" s="130">
        <f>IFERROR(if($Z91=0,($V91/1.35)*BF91,
BF91*$Z91),)</f>
        <v/>
      </c>
      <c r="DS91" s="128">
        <f>IFERROR(IF($AB91=0,($V91/0.74)*BG91,
BG91*$AB91),)</f>
        <v/>
      </c>
      <c r="DT91" s="128">
        <f>IFERROR(IF($AB91=0,($V91/0.74)*BH91,
BH91*$AB91),)</f>
        <v/>
      </c>
      <c r="DU91" s="128">
        <f>IFERROR(IF($AB91=0,($V91/0.74)*BI91,
BI91*$AB91),)</f>
        <v/>
      </c>
    </row>
    <row r="92" ht="131.25" customHeight="1" s="162">
      <c r="A92" s="115" t="n"/>
      <c r="B92" s="115" t="n"/>
      <c r="C92" s="115" t="n"/>
      <c r="D92" s="115" t="n"/>
      <c r="E92" s="115" t="n"/>
      <c r="F92" s="115" t="n"/>
      <c r="G92" s="115" t="n"/>
      <c r="H92" s="115" t="n"/>
      <c r="I92" s="115" t="n"/>
      <c r="J92" s="115" t="n"/>
      <c r="K92" s="115" t="n"/>
      <c r="L92" s="115" t="n"/>
      <c r="M92" s="115" t="n"/>
      <c r="N92" s="115" t="n"/>
      <c r="O92" s="115" t="n"/>
      <c r="P92" s="115" t="n"/>
      <c r="Q92" s="115" t="n"/>
      <c r="R92" s="115" t="n"/>
      <c r="S92" s="115" t="n"/>
      <c r="T92" s="115" t="n"/>
      <c r="U92" s="116" t="n"/>
      <c r="V92" s="116" t="n"/>
      <c r="W92" s="117" t="n"/>
      <c r="X92" s="118" t="n"/>
      <c r="Y92" s="119" t="n"/>
      <c r="Z92" s="120" t="n"/>
      <c r="AA92" s="121" t="n"/>
      <c r="AB92" s="122" t="n"/>
      <c r="AC92" s="117" t="n"/>
      <c r="AD92" s="123">
        <f>IF(SUM($AE92:$AH92)=0,"",SUM($AE92:$AH92))</f>
        <v/>
      </c>
      <c r="AE92" s="123">
        <f>iferror(IF(SUM($AI92:$AZ92)=0,"",SUM($AI92:$AZ92)),"")</f>
        <v/>
      </c>
      <c r="AF92" s="123">
        <f>iferror(IF(SUM($BA92:$BC92)=0,"",SUM($BA92:$BC92)),"")</f>
        <v/>
      </c>
      <c r="AG92" s="123">
        <f>iferror(IF(SUM($BD92:$BF92)=0,"",SUM($BD92:$BF92)),"")</f>
        <v/>
      </c>
      <c r="AH92" s="124">
        <f>iferror(IF(SUM($BG92:$BI92)=0,"",SUM($BG92:$BI92)),"")</f>
        <v/>
      </c>
      <c r="AI92" s="131" t="n"/>
      <c r="AJ92" s="132" t="n"/>
      <c r="AK92" s="132" t="n"/>
      <c r="AL92" s="132" t="n"/>
      <c r="AM92" s="132" t="n"/>
      <c r="AN92" s="132" t="n"/>
      <c r="AO92" s="132" t="n"/>
      <c r="AP92" s="132" t="n"/>
      <c r="AQ92" s="132" t="n"/>
      <c r="AR92" s="132" t="n"/>
      <c r="AS92" s="132" t="n"/>
      <c r="AT92" s="132" t="n"/>
      <c r="AU92" s="132" t="n"/>
      <c r="AV92" s="132" t="n"/>
      <c r="AW92" s="132" t="n"/>
      <c r="AX92" s="132" t="n"/>
      <c r="AY92" s="132" t="n"/>
      <c r="AZ92" s="133" t="n"/>
      <c r="BA92" s="131" t="n"/>
      <c r="BB92" s="132" t="n"/>
      <c r="BC92" s="133" t="n"/>
      <c r="BD92" s="131" t="n"/>
      <c r="BE92" s="132" t="n"/>
      <c r="BF92" s="133" t="n"/>
      <c r="BG92" s="131" t="n"/>
      <c r="BH92" s="132" t="n"/>
      <c r="BI92" s="132" t="n"/>
      <c r="BJ92" s="128">
        <f>iferror(SUM($BK92,($BL92*1.2),($BM92*1.35),($BN92*0.74)),)</f>
        <v/>
      </c>
      <c r="BK92" s="128">
        <f>IFERROR(SUM($BT92:$CK92),)</f>
        <v/>
      </c>
      <c r="BL92" s="129">
        <f>IFERROR(SUM($CL92:$CN92),)</f>
        <v/>
      </c>
      <c r="BM92" s="130">
        <f>IFERROR(SUM($CO92:$CQ92),)</f>
        <v/>
      </c>
      <c r="BN92" s="128">
        <f>IFERROR(SUM($CR92:$CT92),)</f>
        <v/>
      </c>
      <c r="BO92" s="128">
        <f>iferror(SUM($BP92,($BQ92*1.2),($BR92*1.35),($BS92*0.74)),)</f>
        <v/>
      </c>
      <c r="BP92" s="128">
        <f>IFERROR(SUM($CU92:$DL92),)</f>
        <v/>
      </c>
      <c r="BQ92" s="128">
        <f>IFERROR(SUM($DM92:$DO92),)</f>
        <v/>
      </c>
      <c r="BR92" s="128">
        <f>IFERROR(SUM($DP92:$DR92),)</f>
        <v/>
      </c>
      <c r="BS92" s="128">
        <f>IFERROR(SUM($DS92:$DU92),)</f>
        <v/>
      </c>
      <c r="BT92" s="128">
        <f>IFERROR(AI92*$W92,)</f>
        <v/>
      </c>
      <c r="BU92" s="128">
        <f>IFERROR(AJ92*$W92,)</f>
        <v/>
      </c>
      <c r="BV92" s="128">
        <f>IFERROR(AK92*$W92,)</f>
        <v/>
      </c>
      <c r="BW92" s="128">
        <f>IFERROR(AL92*$W92,)</f>
        <v/>
      </c>
      <c r="BX92" s="128">
        <f>IFERROR(AM92*$W92,)</f>
        <v/>
      </c>
      <c r="BY92" s="128">
        <f>IFERROR(AN92*$W92,)</f>
        <v/>
      </c>
      <c r="BZ92" s="128">
        <f>IFERROR(AO92*$W92,)</f>
        <v/>
      </c>
      <c r="CA92" s="128">
        <f>IFERROR(AP92*$W92,)</f>
        <v/>
      </c>
      <c r="CB92" s="128">
        <f>IFERROR(AQ92*$W92,)</f>
        <v/>
      </c>
      <c r="CC92" s="128">
        <f>IFERROR(AR92*$W92,)</f>
        <v/>
      </c>
      <c r="CD92" s="128">
        <f>IFERROR(AS92*$W92,)</f>
        <v/>
      </c>
      <c r="CE92" s="128">
        <f>IFERROR(AT92*$W92,)</f>
        <v/>
      </c>
      <c r="CF92" s="128">
        <f>IFERROR(AU92*$W92,)</f>
        <v/>
      </c>
      <c r="CG92" s="128">
        <f>IFERROR(AV92*$W92,)</f>
        <v/>
      </c>
      <c r="CH92" s="128">
        <f>IFERROR(AW92*$W92,)</f>
        <v/>
      </c>
      <c r="CI92" s="128">
        <f>IFERROR(AX92*$W92,)</f>
        <v/>
      </c>
      <c r="CJ92" s="128">
        <f>IFERROR(AY92*$W92,)</f>
        <v/>
      </c>
      <c r="CK92" s="128">
        <f>IFERROR(AZ92*$W92,)</f>
        <v/>
      </c>
      <c r="CL92" s="129">
        <f>IFERROR(if($Y92=0,BA92*($W92/1.2),BA92*$Y92),"")</f>
        <v/>
      </c>
      <c r="CM92" s="129">
        <f>IFERROR(if($Y92=0,BB92*($W92/1.2),BB92*$Y92),"")</f>
        <v/>
      </c>
      <c r="CN92" s="129">
        <f>IFERROR(if($Y92=0,BC92*($W92/1.2),BC92*$Y92),"")</f>
        <v/>
      </c>
      <c r="CO92" s="130">
        <f>IFERROR(if($AA92=0,($W92/1.35)*BD92,BD92*$AA92),)</f>
        <v/>
      </c>
      <c r="CP92" s="130">
        <f>IFERROR(if($AA92=0,($W92/1.35)*BE92,BE92*$AA92),)</f>
        <v/>
      </c>
      <c r="CQ92" s="130">
        <f>IFERROR(if($AA92=0,($W92/1.35)*BF92,BF92*$AA92),)</f>
        <v/>
      </c>
      <c r="CR92" s="128">
        <f>IFERROR(if($AC92=0,($W92/0.74)*BG92,
BG92*$AC92),)</f>
        <v/>
      </c>
      <c r="CS92" s="128">
        <f>IFERROR(if($AC92=0,($W92/0.74)*BH92,
BH92*$AC92),)</f>
        <v/>
      </c>
      <c r="CT92" s="128">
        <f>IFERROR(if($AC92=0,($W92/0.74)*BI92,
BI92*$AC92),)</f>
        <v/>
      </c>
      <c r="CU92" s="128">
        <f>IFERROR(AI92*$V92,)</f>
        <v/>
      </c>
      <c r="CV92" s="128">
        <f>IFERROR(AJ92*$V92,)</f>
        <v/>
      </c>
      <c r="CW92" s="128">
        <f>IFERROR(AK92*$V92,)</f>
        <v/>
      </c>
      <c r="CX92" s="128">
        <f>IFERROR(AL92*$V92,)</f>
        <v/>
      </c>
      <c r="CY92" s="128">
        <f>IFERROR(AM92*$V92,)</f>
        <v/>
      </c>
      <c r="CZ92" s="128">
        <f>IFERROR(AN92*$V92,)</f>
        <v/>
      </c>
      <c r="DA92" s="128">
        <f>IFERROR(AO92*$V92,)</f>
        <v/>
      </c>
      <c r="DB92" s="128">
        <f>IFERROR(AP92*$V92,)</f>
        <v/>
      </c>
      <c r="DC92" s="128">
        <f>IFERROR(AQ92*$V92,)</f>
        <v/>
      </c>
      <c r="DD92" s="128">
        <f>IFERROR(AR92*$V92,)</f>
        <v/>
      </c>
      <c r="DE92" s="128">
        <f>IFERROR(AS92*$V92,)</f>
        <v/>
      </c>
      <c r="DF92" s="128">
        <f>IFERROR(AT92*$V92,)</f>
        <v/>
      </c>
      <c r="DG92" s="128">
        <f>IFERROR(AU92*$V92,)</f>
        <v/>
      </c>
      <c r="DH92" s="128">
        <f>IFERROR(AV92*$V92,)</f>
        <v/>
      </c>
      <c r="DI92" s="128">
        <f>IFERROR(AW92*$V92,)</f>
        <v/>
      </c>
      <c r="DJ92" s="128">
        <f>IFERROR(AX92*$V92,)</f>
        <v/>
      </c>
      <c r="DK92" s="128">
        <f>IFERROR(AY92*$V92,)</f>
        <v/>
      </c>
      <c r="DL92" s="128">
        <f>IFERROR(AZ92*$V92,)</f>
        <v/>
      </c>
      <c r="DM92" s="129">
        <f>IFERROR(if($X92=0,($V92/1.2)*BA92,
BA92*$X92),)</f>
        <v/>
      </c>
      <c r="DN92" s="129">
        <f>IFERROR(if($X92=0,($V92/1.2)*BB92,
BB92*$X92),)</f>
        <v/>
      </c>
      <c r="DO92" s="129">
        <f>IFERROR(if($X92=0,($V92/1.2)*BC92,
BC92*$X92),)</f>
        <v/>
      </c>
      <c r="DP92" s="130">
        <f>IFERROR(if($Z92=0,($V92/1.35)*BD92,
BD92*$Z92),)</f>
        <v/>
      </c>
      <c r="DQ92" s="130">
        <f>IFERROR(if($Z92=0,($V92/1.35)*BE92,
BE92*$Z92),)</f>
        <v/>
      </c>
      <c r="DR92" s="130">
        <f>IFERROR(if($Z92=0,($V92/1.35)*BF92,
BF92*$Z92),)</f>
        <v/>
      </c>
      <c r="DS92" s="128">
        <f>IFERROR(IF($AB92=0,($V92/0.74)*BG92,
BG92*$AB92),)</f>
        <v/>
      </c>
      <c r="DT92" s="128">
        <f>IFERROR(IF($AB92=0,($V92/0.74)*BH92,
BH92*$AB92),)</f>
        <v/>
      </c>
      <c r="DU92" s="128">
        <f>IFERROR(IF($AB92=0,($V92/0.74)*BI92,
BI92*$AB92),)</f>
        <v/>
      </c>
    </row>
    <row r="93" ht="131.25" customHeight="1" s="162">
      <c r="A93" s="115" t="n"/>
      <c r="B93" s="115" t="n"/>
      <c r="C93" s="115" t="n"/>
      <c r="D93" s="115" t="n"/>
      <c r="E93" s="115" t="n"/>
      <c r="F93" s="115" t="n"/>
      <c r="G93" s="115" t="n"/>
      <c r="H93" s="115" t="n"/>
      <c r="I93" s="115" t="n"/>
      <c r="J93" s="115" t="n"/>
      <c r="K93" s="115" t="n"/>
      <c r="L93" s="115" t="n"/>
      <c r="M93" s="115" t="n"/>
      <c r="N93" s="115" t="n"/>
      <c r="O93" s="115" t="n"/>
      <c r="P93" s="115" t="n"/>
      <c r="Q93" s="115" t="n"/>
      <c r="R93" s="115" t="n"/>
      <c r="S93" s="115" t="n"/>
      <c r="T93" s="115" t="n"/>
      <c r="U93" s="116" t="n"/>
      <c r="V93" s="116" t="n"/>
      <c r="W93" s="117" t="n"/>
      <c r="X93" s="118" t="n"/>
      <c r="Y93" s="119" t="n"/>
      <c r="Z93" s="120" t="n"/>
      <c r="AA93" s="121" t="n"/>
      <c r="AB93" s="122" t="n"/>
      <c r="AC93" s="117" t="n"/>
      <c r="AD93" s="123">
        <f>IF(SUM($AE93:$AH93)=0,"",SUM($AE93:$AH93))</f>
        <v/>
      </c>
      <c r="AE93" s="123">
        <f>iferror(IF(SUM($AI93:$AZ93)=0,"",SUM($AI93:$AZ93)),"")</f>
        <v/>
      </c>
      <c r="AF93" s="123">
        <f>iferror(IF(SUM($BA93:$BC93)=0,"",SUM($BA93:$BC93)),"")</f>
        <v/>
      </c>
      <c r="AG93" s="123">
        <f>iferror(IF(SUM($BD93:$BF93)=0,"",SUM($BD93:$BF93)),"")</f>
        <v/>
      </c>
      <c r="AH93" s="124">
        <f>iferror(IF(SUM($BG93:$BI93)=0,"",SUM($BG93:$BI93)),"")</f>
        <v/>
      </c>
      <c r="AI93" s="131" t="n"/>
      <c r="AJ93" s="132" t="n"/>
      <c r="AK93" s="132" t="n"/>
      <c r="AL93" s="132" t="n"/>
      <c r="AM93" s="132" t="n"/>
      <c r="AN93" s="132" t="n"/>
      <c r="AO93" s="132" t="n"/>
      <c r="AP93" s="132" t="n"/>
      <c r="AQ93" s="132" t="n"/>
      <c r="AR93" s="132" t="n"/>
      <c r="AS93" s="132" t="n"/>
      <c r="AT93" s="132" t="n"/>
      <c r="AU93" s="132" t="n"/>
      <c r="AV93" s="132" t="n"/>
      <c r="AW93" s="132" t="n"/>
      <c r="AX93" s="132" t="n"/>
      <c r="AY93" s="132" t="n"/>
      <c r="AZ93" s="133" t="n"/>
      <c r="BA93" s="131" t="n"/>
      <c r="BB93" s="132" t="n"/>
      <c r="BC93" s="133" t="n"/>
      <c r="BD93" s="131" t="n"/>
      <c r="BE93" s="132" t="n"/>
      <c r="BF93" s="133" t="n"/>
      <c r="BG93" s="131" t="n"/>
      <c r="BH93" s="132" t="n"/>
      <c r="BI93" s="132" t="n"/>
      <c r="BJ93" s="128">
        <f>iferror(SUM($BK93,($BL93*1.2),($BM93*1.35),($BN93*0.74)),)</f>
        <v/>
      </c>
      <c r="BK93" s="128">
        <f>IFERROR(SUM($BT93:$CK93),)</f>
        <v/>
      </c>
      <c r="BL93" s="129">
        <f>IFERROR(SUM($CL93:$CN93),)</f>
        <v/>
      </c>
      <c r="BM93" s="130">
        <f>IFERROR(SUM($CO93:$CQ93),)</f>
        <v/>
      </c>
      <c r="BN93" s="128">
        <f>IFERROR(SUM($CR93:$CT93),)</f>
        <v/>
      </c>
      <c r="BO93" s="128">
        <f>iferror(SUM($BP93,($BQ93*1.2),($BR93*1.35),($BS93*0.74)),)</f>
        <v/>
      </c>
      <c r="BP93" s="128">
        <f>IFERROR(SUM($CU93:$DL93),)</f>
        <v/>
      </c>
      <c r="BQ93" s="128">
        <f>IFERROR(SUM($DM93:$DO93),)</f>
        <v/>
      </c>
      <c r="BR93" s="128">
        <f>IFERROR(SUM($DP93:$DR93),)</f>
        <v/>
      </c>
      <c r="BS93" s="128">
        <f>IFERROR(SUM($DS93:$DU93),)</f>
        <v/>
      </c>
      <c r="BT93" s="128">
        <f>IFERROR(AI93*$W93,)</f>
        <v/>
      </c>
      <c r="BU93" s="128">
        <f>IFERROR(AJ93*$W93,)</f>
        <v/>
      </c>
      <c r="BV93" s="128">
        <f>IFERROR(AK93*$W93,)</f>
        <v/>
      </c>
      <c r="BW93" s="128">
        <f>IFERROR(AL93*$W93,)</f>
        <v/>
      </c>
      <c r="BX93" s="128">
        <f>IFERROR(AM93*$W93,)</f>
        <v/>
      </c>
      <c r="BY93" s="128">
        <f>IFERROR(AN93*$W93,)</f>
        <v/>
      </c>
      <c r="BZ93" s="128">
        <f>IFERROR(AO93*$W93,)</f>
        <v/>
      </c>
      <c r="CA93" s="128">
        <f>IFERROR(AP93*$W93,)</f>
        <v/>
      </c>
      <c r="CB93" s="128">
        <f>IFERROR(AQ93*$W93,)</f>
        <v/>
      </c>
      <c r="CC93" s="128">
        <f>IFERROR(AR93*$W93,)</f>
        <v/>
      </c>
      <c r="CD93" s="128">
        <f>IFERROR(AS93*$W93,)</f>
        <v/>
      </c>
      <c r="CE93" s="128">
        <f>IFERROR(AT93*$W93,)</f>
        <v/>
      </c>
      <c r="CF93" s="128">
        <f>IFERROR(AU93*$W93,)</f>
        <v/>
      </c>
      <c r="CG93" s="128">
        <f>IFERROR(AV93*$W93,)</f>
        <v/>
      </c>
      <c r="CH93" s="128">
        <f>IFERROR(AW93*$W93,)</f>
        <v/>
      </c>
      <c r="CI93" s="128">
        <f>IFERROR(AX93*$W93,)</f>
        <v/>
      </c>
      <c r="CJ93" s="128">
        <f>IFERROR(AY93*$W93,)</f>
        <v/>
      </c>
      <c r="CK93" s="128">
        <f>IFERROR(AZ93*$W93,)</f>
        <v/>
      </c>
      <c r="CL93" s="129">
        <f>IFERROR(if($Y93=0,BA93*($W93/1.2),BA93*$Y93),"")</f>
        <v/>
      </c>
      <c r="CM93" s="129">
        <f>IFERROR(if($Y93=0,BB93*($W93/1.2),BB93*$Y93),"")</f>
        <v/>
      </c>
      <c r="CN93" s="129">
        <f>IFERROR(if($Y93=0,BC93*($W93/1.2),BC93*$Y93),"")</f>
        <v/>
      </c>
      <c r="CO93" s="130">
        <f>IFERROR(if($AA93=0,($W93/1.35)*BD93,BD93*$AA93),)</f>
        <v/>
      </c>
      <c r="CP93" s="130">
        <f>IFERROR(if($AA93=0,($W93/1.35)*BE93,BE93*$AA93),)</f>
        <v/>
      </c>
      <c r="CQ93" s="130">
        <f>IFERROR(if($AA93=0,($W93/1.35)*BF93,BF93*$AA93),)</f>
        <v/>
      </c>
      <c r="CR93" s="128">
        <f>IFERROR(if($AC93=0,($W93/0.74)*BG93,
BG93*$AC93),)</f>
        <v/>
      </c>
      <c r="CS93" s="128">
        <f>IFERROR(if($AC93=0,($W93/0.74)*BH93,
BH93*$AC93),)</f>
        <v/>
      </c>
      <c r="CT93" s="128">
        <f>IFERROR(if($AC93=0,($W93/0.74)*BI93,
BI93*$AC93),)</f>
        <v/>
      </c>
      <c r="CU93" s="128">
        <f>IFERROR(AI93*$V93,)</f>
        <v/>
      </c>
      <c r="CV93" s="128">
        <f>IFERROR(AJ93*$V93,)</f>
        <v/>
      </c>
      <c r="CW93" s="128">
        <f>IFERROR(AK93*$V93,)</f>
        <v/>
      </c>
      <c r="CX93" s="128">
        <f>IFERROR(AL93*$V93,)</f>
        <v/>
      </c>
      <c r="CY93" s="128">
        <f>IFERROR(AM93*$V93,)</f>
        <v/>
      </c>
      <c r="CZ93" s="128">
        <f>IFERROR(AN93*$V93,)</f>
        <v/>
      </c>
      <c r="DA93" s="128">
        <f>IFERROR(AO93*$V93,)</f>
        <v/>
      </c>
      <c r="DB93" s="128">
        <f>IFERROR(AP93*$V93,)</f>
        <v/>
      </c>
      <c r="DC93" s="128">
        <f>IFERROR(AQ93*$V93,)</f>
        <v/>
      </c>
      <c r="DD93" s="128">
        <f>IFERROR(AR93*$V93,)</f>
        <v/>
      </c>
      <c r="DE93" s="128">
        <f>IFERROR(AS93*$V93,)</f>
        <v/>
      </c>
      <c r="DF93" s="128">
        <f>IFERROR(AT93*$V93,)</f>
        <v/>
      </c>
      <c r="DG93" s="128">
        <f>IFERROR(AU93*$V93,)</f>
        <v/>
      </c>
      <c r="DH93" s="128">
        <f>IFERROR(AV93*$V93,)</f>
        <v/>
      </c>
      <c r="DI93" s="128">
        <f>IFERROR(AW93*$V93,)</f>
        <v/>
      </c>
      <c r="DJ93" s="128">
        <f>IFERROR(AX93*$V93,)</f>
        <v/>
      </c>
      <c r="DK93" s="128">
        <f>IFERROR(AY93*$V93,)</f>
        <v/>
      </c>
      <c r="DL93" s="128">
        <f>IFERROR(AZ93*$V93,)</f>
        <v/>
      </c>
      <c r="DM93" s="129">
        <f>IFERROR(if($X93=0,($V93/1.2)*BA93,
BA93*$X93),)</f>
        <v/>
      </c>
      <c r="DN93" s="129">
        <f>IFERROR(if($X93=0,($V93/1.2)*BB93,
BB93*$X93),)</f>
        <v/>
      </c>
      <c r="DO93" s="129">
        <f>IFERROR(if($X93=0,($V93/1.2)*BC93,
BC93*$X93),)</f>
        <v/>
      </c>
      <c r="DP93" s="130">
        <f>IFERROR(if($Z93=0,($V93/1.35)*BD93,
BD93*$Z93),)</f>
        <v/>
      </c>
      <c r="DQ93" s="130">
        <f>IFERROR(if($Z93=0,($V93/1.35)*BE93,
BE93*$Z93),)</f>
        <v/>
      </c>
      <c r="DR93" s="130">
        <f>IFERROR(if($Z93=0,($V93/1.35)*BF93,
BF93*$Z93),)</f>
        <v/>
      </c>
      <c r="DS93" s="128">
        <f>IFERROR(IF($AB93=0,($V93/0.74)*BG93,
BG93*$AB93),)</f>
        <v/>
      </c>
      <c r="DT93" s="128">
        <f>IFERROR(IF($AB93=0,($V93/0.74)*BH93,
BH93*$AB93),)</f>
        <v/>
      </c>
      <c r="DU93" s="128">
        <f>IFERROR(IF($AB93=0,($V93/0.74)*BI93,
BI93*$AB93),)</f>
        <v/>
      </c>
    </row>
    <row r="94" ht="131.25" customHeight="1" s="162">
      <c r="A94" s="115" t="n"/>
      <c r="B94" s="115" t="n"/>
      <c r="C94" s="115" t="n"/>
      <c r="D94" s="115" t="n"/>
      <c r="E94" s="115" t="n"/>
      <c r="F94" s="115" t="n"/>
      <c r="G94" s="115" t="n"/>
      <c r="H94" s="115" t="n"/>
      <c r="I94" s="115" t="n"/>
      <c r="J94" s="115" t="n"/>
      <c r="K94" s="115" t="n"/>
      <c r="L94" s="115" t="n"/>
      <c r="M94" s="115" t="n"/>
      <c r="N94" s="115" t="n"/>
      <c r="O94" s="115" t="n"/>
      <c r="P94" s="115" t="n"/>
      <c r="Q94" s="115" t="n"/>
      <c r="R94" s="115" t="n"/>
      <c r="S94" s="115" t="n"/>
      <c r="T94" s="115" t="n"/>
      <c r="U94" s="116" t="n"/>
      <c r="V94" s="116" t="n"/>
      <c r="W94" s="117" t="n"/>
      <c r="X94" s="118" t="n"/>
      <c r="Y94" s="119" t="n"/>
      <c r="Z94" s="120" t="n"/>
      <c r="AA94" s="121" t="n"/>
      <c r="AB94" s="122" t="n"/>
      <c r="AC94" s="117" t="n"/>
      <c r="AD94" s="123">
        <f>IF(SUM($AE94:$AH94)=0,"",SUM($AE94:$AH94))</f>
        <v/>
      </c>
      <c r="AE94" s="123">
        <f>iferror(IF(SUM($AI94:$AZ94)=0,"",SUM($AI94:$AZ94)),"")</f>
        <v/>
      </c>
      <c r="AF94" s="123">
        <f>iferror(IF(SUM($BA94:$BC94)=0,"",SUM($BA94:$BC94)),"")</f>
        <v/>
      </c>
      <c r="AG94" s="123">
        <f>iferror(IF(SUM($BD94:$BF94)=0,"",SUM($BD94:$BF94)),"")</f>
        <v/>
      </c>
      <c r="AH94" s="124">
        <f>iferror(IF(SUM($BG94:$BI94)=0,"",SUM($BG94:$BI94)),"")</f>
        <v/>
      </c>
      <c r="AI94" s="131" t="n"/>
      <c r="AJ94" s="132" t="n"/>
      <c r="AK94" s="132" t="n"/>
      <c r="AL94" s="132" t="n"/>
      <c r="AM94" s="132" t="n"/>
      <c r="AN94" s="132" t="n"/>
      <c r="AO94" s="132" t="n"/>
      <c r="AP94" s="132" t="n"/>
      <c r="AQ94" s="132" t="n"/>
      <c r="AR94" s="132" t="n"/>
      <c r="AS94" s="132" t="n"/>
      <c r="AT94" s="132" t="n"/>
      <c r="AU94" s="132" t="n"/>
      <c r="AV94" s="132" t="n"/>
      <c r="AW94" s="132" t="n"/>
      <c r="AX94" s="132" t="n"/>
      <c r="AY94" s="132" t="n"/>
      <c r="AZ94" s="133" t="n"/>
      <c r="BA94" s="131" t="n"/>
      <c r="BB94" s="132" t="n"/>
      <c r="BC94" s="133" t="n"/>
      <c r="BD94" s="131" t="n"/>
      <c r="BE94" s="132" t="n"/>
      <c r="BF94" s="133" t="n"/>
      <c r="BG94" s="131" t="n"/>
      <c r="BH94" s="132" t="n"/>
      <c r="BI94" s="132" t="n"/>
      <c r="BJ94" s="128">
        <f>iferror(SUM($BK94,($BL94*1.2),($BM94*1.35),($BN94*0.74)),)</f>
        <v/>
      </c>
      <c r="BK94" s="128">
        <f>IFERROR(SUM($BT94:$CK94),)</f>
        <v/>
      </c>
      <c r="BL94" s="129">
        <f>IFERROR(SUM($CL94:$CN94),)</f>
        <v/>
      </c>
      <c r="BM94" s="130">
        <f>IFERROR(SUM($CO94:$CQ94),)</f>
        <v/>
      </c>
      <c r="BN94" s="128">
        <f>IFERROR(SUM($CR94:$CT94),)</f>
        <v/>
      </c>
      <c r="BO94" s="128">
        <f>iferror(SUM($BP94,($BQ94*1.2),($BR94*1.35),($BS94*0.74)),)</f>
        <v/>
      </c>
      <c r="BP94" s="128">
        <f>IFERROR(SUM($CU94:$DL94),)</f>
        <v/>
      </c>
      <c r="BQ94" s="128">
        <f>IFERROR(SUM($DM94:$DO94),)</f>
        <v/>
      </c>
      <c r="BR94" s="128">
        <f>IFERROR(SUM($DP94:$DR94),)</f>
        <v/>
      </c>
      <c r="BS94" s="128">
        <f>IFERROR(SUM($DS94:$DU94),)</f>
        <v/>
      </c>
      <c r="BT94" s="128">
        <f>IFERROR(AI94*$W94,)</f>
        <v/>
      </c>
      <c r="BU94" s="128">
        <f>IFERROR(AJ94*$W94,)</f>
        <v/>
      </c>
      <c r="BV94" s="128">
        <f>IFERROR(AK94*$W94,)</f>
        <v/>
      </c>
      <c r="BW94" s="128">
        <f>IFERROR(AL94*$W94,)</f>
        <v/>
      </c>
      <c r="BX94" s="128">
        <f>IFERROR(AM94*$W94,)</f>
        <v/>
      </c>
      <c r="BY94" s="128">
        <f>IFERROR(AN94*$W94,)</f>
        <v/>
      </c>
      <c r="BZ94" s="128">
        <f>IFERROR(AO94*$W94,)</f>
        <v/>
      </c>
      <c r="CA94" s="128">
        <f>IFERROR(AP94*$W94,)</f>
        <v/>
      </c>
      <c r="CB94" s="128">
        <f>IFERROR(AQ94*$W94,)</f>
        <v/>
      </c>
      <c r="CC94" s="128">
        <f>IFERROR(AR94*$W94,)</f>
        <v/>
      </c>
      <c r="CD94" s="128">
        <f>IFERROR(AS94*$W94,)</f>
        <v/>
      </c>
      <c r="CE94" s="128">
        <f>IFERROR(AT94*$W94,)</f>
        <v/>
      </c>
      <c r="CF94" s="128">
        <f>IFERROR(AU94*$W94,)</f>
        <v/>
      </c>
      <c r="CG94" s="128">
        <f>IFERROR(AV94*$W94,)</f>
        <v/>
      </c>
      <c r="CH94" s="128">
        <f>IFERROR(AW94*$W94,)</f>
        <v/>
      </c>
      <c r="CI94" s="128">
        <f>IFERROR(AX94*$W94,)</f>
        <v/>
      </c>
      <c r="CJ94" s="128">
        <f>IFERROR(AY94*$W94,)</f>
        <v/>
      </c>
      <c r="CK94" s="128">
        <f>IFERROR(AZ94*$W94,)</f>
        <v/>
      </c>
      <c r="CL94" s="129">
        <f>IFERROR(if($Y94=0,BA94*($W94/1.2),BA94*$Y94),"")</f>
        <v/>
      </c>
      <c r="CM94" s="129">
        <f>IFERROR(if($Y94=0,BB94*($W94/1.2),BB94*$Y94),"")</f>
        <v/>
      </c>
      <c r="CN94" s="129">
        <f>IFERROR(if($Y94=0,BC94*($W94/1.2),BC94*$Y94),"")</f>
        <v/>
      </c>
      <c r="CO94" s="130">
        <f>IFERROR(if($AA94=0,($W94/1.35)*BD94,BD94*$AA94),)</f>
        <v/>
      </c>
      <c r="CP94" s="130">
        <f>IFERROR(if($AA94=0,($W94/1.35)*BE94,BE94*$AA94),)</f>
        <v/>
      </c>
      <c r="CQ94" s="130">
        <f>IFERROR(if($AA94=0,($W94/1.35)*BF94,BF94*$AA94),)</f>
        <v/>
      </c>
      <c r="CR94" s="128">
        <f>IFERROR(if($AC94=0,($W94/0.74)*BG94,
BG94*$AC94),)</f>
        <v/>
      </c>
      <c r="CS94" s="128">
        <f>IFERROR(if($AC94=0,($W94/0.74)*BH94,
BH94*$AC94),)</f>
        <v/>
      </c>
      <c r="CT94" s="128">
        <f>IFERROR(if($AC94=0,($W94/0.74)*BI94,
BI94*$AC94),)</f>
        <v/>
      </c>
      <c r="CU94" s="128">
        <f>IFERROR(AI94*$V94,)</f>
        <v/>
      </c>
      <c r="CV94" s="128">
        <f>IFERROR(AJ94*$V94,)</f>
        <v/>
      </c>
      <c r="CW94" s="128">
        <f>IFERROR(AK94*$V94,)</f>
        <v/>
      </c>
      <c r="CX94" s="128">
        <f>IFERROR(AL94*$V94,)</f>
        <v/>
      </c>
      <c r="CY94" s="128">
        <f>IFERROR(AM94*$V94,)</f>
        <v/>
      </c>
      <c r="CZ94" s="128">
        <f>IFERROR(AN94*$V94,)</f>
        <v/>
      </c>
      <c r="DA94" s="128">
        <f>IFERROR(AO94*$V94,)</f>
        <v/>
      </c>
      <c r="DB94" s="128">
        <f>IFERROR(AP94*$V94,)</f>
        <v/>
      </c>
      <c r="DC94" s="128">
        <f>IFERROR(AQ94*$V94,)</f>
        <v/>
      </c>
      <c r="DD94" s="128">
        <f>IFERROR(AR94*$V94,)</f>
        <v/>
      </c>
      <c r="DE94" s="128">
        <f>IFERROR(AS94*$V94,)</f>
        <v/>
      </c>
      <c r="DF94" s="128">
        <f>IFERROR(AT94*$V94,)</f>
        <v/>
      </c>
      <c r="DG94" s="128">
        <f>IFERROR(AU94*$V94,)</f>
        <v/>
      </c>
      <c r="DH94" s="128">
        <f>IFERROR(AV94*$V94,)</f>
        <v/>
      </c>
      <c r="DI94" s="128">
        <f>IFERROR(AW94*$V94,)</f>
        <v/>
      </c>
      <c r="DJ94" s="128">
        <f>IFERROR(AX94*$V94,)</f>
        <v/>
      </c>
      <c r="DK94" s="128">
        <f>IFERROR(AY94*$V94,)</f>
        <v/>
      </c>
      <c r="DL94" s="128">
        <f>IFERROR(AZ94*$V94,)</f>
        <v/>
      </c>
      <c r="DM94" s="129">
        <f>IFERROR(if($X94=0,($V94/1.2)*BA94,
BA94*$X94),)</f>
        <v/>
      </c>
      <c r="DN94" s="129">
        <f>IFERROR(if($X94=0,($V94/1.2)*BB94,
BB94*$X94),)</f>
        <v/>
      </c>
      <c r="DO94" s="129">
        <f>IFERROR(if($X94=0,($V94/1.2)*BC94,
BC94*$X94),)</f>
        <v/>
      </c>
      <c r="DP94" s="130">
        <f>IFERROR(if($Z94=0,($V94/1.35)*BD94,
BD94*$Z94),)</f>
        <v/>
      </c>
      <c r="DQ94" s="130">
        <f>IFERROR(if($Z94=0,($V94/1.35)*BE94,
BE94*$Z94),)</f>
        <v/>
      </c>
      <c r="DR94" s="130">
        <f>IFERROR(if($Z94=0,($V94/1.35)*BF94,
BF94*$Z94),)</f>
        <v/>
      </c>
      <c r="DS94" s="128">
        <f>IFERROR(IF($AB94=0,($V94/0.74)*BG94,
BG94*$AB94),)</f>
        <v/>
      </c>
      <c r="DT94" s="128">
        <f>IFERROR(IF($AB94=0,($V94/0.74)*BH94,
BH94*$AB94),)</f>
        <v/>
      </c>
      <c r="DU94" s="128">
        <f>IFERROR(IF($AB94=0,($V94/0.74)*BI94,
BI94*$AB94),)</f>
        <v/>
      </c>
    </row>
    <row r="95" ht="131.25" customHeight="1" s="162">
      <c r="A95" s="115" t="n"/>
      <c r="B95" s="115" t="n"/>
      <c r="C95" s="115" t="n"/>
      <c r="D95" s="115" t="n"/>
      <c r="E95" s="115" t="n"/>
      <c r="F95" s="115" t="n"/>
      <c r="G95" s="115" t="n"/>
      <c r="H95" s="115" t="n"/>
      <c r="I95" s="115" t="n"/>
      <c r="J95" s="115" t="n"/>
      <c r="K95" s="115" t="n"/>
      <c r="L95" s="115" t="n"/>
      <c r="M95" s="115" t="n"/>
      <c r="N95" s="115" t="n"/>
      <c r="O95" s="115" t="n"/>
      <c r="P95" s="115" t="n"/>
      <c r="Q95" s="115" t="n"/>
      <c r="R95" s="115" t="n"/>
      <c r="S95" s="115" t="n"/>
      <c r="T95" s="115" t="n"/>
      <c r="U95" s="116" t="n"/>
      <c r="V95" s="116" t="n"/>
      <c r="W95" s="117" t="n"/>
      <c r="X95" s="118" t="n"/>
      <c r="Y95" s="119" t="n"/>
      <c r="Z95" s="120" t="n"/>
      <c r="AA95" s="121" t="n"/>
      <c r="AB95" s="122" t="n"/>
      <c r="AC95" s="117" t="n"/>
      <c r="AD95" s="123">
        <f>IF(SUM($AE95:$AH95)=0,"",SUM($AE95:$AH95))</f>
        <v/>
      </c>
      <c r="AE95" s="123">
        <f>iferror(IF(SUM($AI95:$AZ95)=0,"",SUM($AI95:$AZ95)),"")</f>
        <v/>
      </c>
      <c r="AF95" s="123">
        <f>iferror(IF(SUM($BA95:$BC95)=0,"",SUM($BA95:$BC95)),"")</f>
        <v/>
      </c>
      <c r="AG95" s="123">
        <f>iferror(IF(SUM($BD95:$BF95)=0,"",SUM($BD95:$BF95)),"")</f>
        <v/>
      </c>
      <c r="AH95" s="124">
        <f>iferror(IF(SUM($BG95:$BI95)=0,"",SUM($BG95:$BI95)),"")</f>
        <v/>
      </c>
      <c r="AI95" s="131" t="n"/>
      <c r="AJ95" s="132" t="n"/>
      <c r="AK95" s="132" t="n"/>
      <c r="AL95" s="132" t="n"/>
      <c r="AM95" s="132" t="n"/>
      <c r="AN95" s="132" t="n"/>
      <c r="AO95" s="132" t="n"/>
      <c r="AP95" s="132" t="n"/>
      <c r="AQ95" s="132" t="n"/>
      <c r="AR95" s="132" t="n"/>
      <c r="AS95" s="132" t="n"/>
      <c r="AT95" s="132" t="n"/>
      <c r="AU95" s="132" t="n"/>
      <c r="AV95" s="132" t="n"/>
      <c r="AW95" s="132" t="n"/>
      <c r="AX95" s="132" t="n"/>
      <c r="AY95" s="132" t="n"/>
      <c r="AZ95" s="133" t="n"/>
      <c r="BA95" s="131" t="n"/>
      <c r="BB95" s="132" t="n"/>
      <c r="BC95" s="133" t="n"/>
      <c r="BD95" s="131" t="n"/>
      <c r="BE95" s="132" t="n"/>
      <c r="BF95" s="133" t="n"/>
      <c r="BG95" s="131" t="n"/>
      <c r="BH95" s="132" t="n"/>
      <c r="BI95" s="132" t="n"/>
      <c r="BJ95" s="128">
        <f>iferror(SUM($BK95,($BL95*1.2),($BM95*1.35),($BN95*0.74)),)</f>
        <v/>
      </c>
      <c r="BK95" s="128">
        <f>IFERROR(SUM($BT95:$CK95),)</f>
        <v/>
      </c>
      <c r="BL95" s="129">
        <f>IFERROR(SUM($CL95:$CN95),)</f>
        <v/>
      </c>
      <c r="BM95" s="130">
        <f>IFERROR(SUM($CO95:$CQ95),)</f>
        <v/>
      </c>
      <c r="BN95" s="128">
        <f>IFERROR(SUM($CR95:$CT95),)</f>
        <v/>
      </c>
      <c r="BO95" s="128">
        <f>iferror(SUM($BP95,($BQ95*1.2),($BR95*1.35),($BS95*0.74)),)</f>
        <v/>
      </c>
      <c r="BP95" s="128">
        <f>IFERROR(SUM($CU95:$DL95),)</f>
        <v/>
      </c>
      <c r="BQ95" s="128">
        <f>IFERROR(SUM($DM95:$DO95),)</f>
        <v/>
      </c>
      <c r="BR95" s="128">
        <f>IFERROR(SUM($DP95:$DR95),)</f>
        <v/>
      </c>
      <c r="BS95" s="128">
        <f>IFERROR(SUM($DS95:$DU95),)</f>
        <v/>
      </c>
      <c r="BT95" s="128">
        <f>IFERROR(AI95*$W95,)</f>
        <v/>
      </c>
      <c r="BU95" s="128">
        <f>IFERROR(AJ95*$W95,)</f>
        <v/>
      </c>
      <c r="BV95" s="128">
        <f>IFERROR(AK95*$W95,)</f>
        <v/>
      </c>
      <c r="BW95" s="128">
        <f>IFERROR(AL95*$W95,)</f>
        <v/>
      </c>
      <c r="BX95" s="128">
        <f>IFERROR(AM95*$W95,)</f>
        <v/>
      </c>
      <c r="BY95" s="128">
        <f>IFERROR(AN95*$W95,)</f>
        <v/>
      </c>
      <c r="BZ95" s="128">
        <f>IFERROR(AO95*$W95,)</f>
        <v/>
      </c>
      <c r="CA95" s="128">
        <f>IFERROR(AP95*$W95,)</f>
        <v/>
      </c>
      <c r="CB95" s="128">
        <f>IFERROR(AQ95*$W95,)</f>
        <v/>
      </c>
      <c r="CC95" s="128">
        <f>IFERROR(AR95*$W95,)</f>
        <v/>
      </c>
      <c r="CD95" s="128">
        <f>IFERROR(AS95*$W95,)</f>
        <v/>
      </c>
      <c r="CE95" s="128">
        <f>IFERROR(AT95*$W95,)</f>
        <v/>
      </c>
      <c r="CF95" s="128">
        <f>IFERROR(AU95*$W95,)</f>
        <v/>
      </c>
      <c r="CG95" s="128">
        <f>IFERROR(AV95*$W95,)</f>
        <v/>
      </c>
      <c r="CH95" s="128">
        <f>IFERROR(AW95*$W95,)</f>
        <v/>
      </c>
      <c r="CI95" s="128">
        <f>IFERROR(AX95*$W95,)</f>
        <v/>
      </c>
      <c r="CJ95" s="128">
        <f>IFERROR(AY95*$W95,)</f>
        <v/>
      </c>
      <c r="CK95" s="128">
        <f>IFERROR(AZ95*$W95,)</f>
        <v/>
      </c>
      <c r="CL95" s="129">
        <f>IFERROR(if($Y95=0,BA95*($W95/1.2),BA95*$Y95),"")</f>
        <v/>
      </c>
      <c r="CM95" s="129">
        <f>IFERROR(if($Y95=0,BB95*($W95/1.2),BB95*$Y95),"")</f>
        <v/>
      </c>
      <c r="CN95" s="129">
        <f>IFERROR(if($Y95=0,BC95*($W95/1.2),BC95*$Y95),"")</f>
        <v/>
      </c>
      <c r="CO95" s="130">
        <f>IFERROR(if($AA95=0,($W95/1.35)*BD95,BD95*$AA95),)</f>
        <v/>
      </c>
      <c r="CP95" s="130">
        <f>IFERROR(if($AA95=0,($W95/1.35)*BE95,BE95*$AA95),)</f>
        <v/>
      </c>
      <c r="CQ95" s="130">
        <f>IFERROR(if($AA95=0,($W95/1.35)*BF95,BF95*$AA95),)</f>
        <v/>
      </c>
      <c r="CR95" s="128">
        <f>IFERROR(if($AC95=0,($W95/0.74)*BG95,
BG95*$AC95),)</f>
        <v/>
      </c>
      <c r="CS95" s="128">
        <f>IFERROR(if($AC95=0,($W95/0.74)*BH95,
BH95*$AC95),)</f>
        <v/>
      </c>
      <c r="CT95" s="128">
        <f>IFERROR(if($AC95=0,($W95/0.74)*BI95,
BI95*$AC95),)</f>
        <v/>
      </c>
      <c r="CU95" s="128">
        <f>IFERROR(AI95*$V95,)</f>
        <v/>
      </c>
      <c r="CV95" s="128">
        <f>IFERROR(AJ95*$V95,)</f>
        <v/>
      </c>
      <c r="CW95" s="128">
        <f>IFERROR(AK95*$V95,)</f>
        <v/>
      </c>
      <c r="CX95" s="128">
        <f>IFERROR(AL95*$V95,)</f>
        <v/>
      </c>
      <c r="CY95" s="128">
        <f>IFERROR(AM95*$V95,)</f>
        <v/>
      </c>
      <c r="CZ95" s="128">
        <f>IFERROR(AN95*$V95,)</f>
        <v/>
      </c>
      <c r="DA95" s="128">
        <f>IFERROR(AO95*$V95,)</f>
        <v/>
      </c>
      <c r="DB95" s="128">
        <f>IFERROR(AP95*$V95,)</f>
        <v/>
      </c>
      <c r="DC95" s="128">
        <f>IFERROR(AQ95*$V95,)</f>
        <v/>
      </c>
      <c r="DD95" s="128">
        <f>IFERROR(AR95*$V95,)</f>
        <v/>
      </c>
      <c r="DE95" s="128">
        <f>IFERROR(AS95*$V95,)</f>
        <v/>
      </c>
      <c r="DF95" s="128">
        <f>IFERROR(AT95*$V95,)</f>
        <v/>
      </c>
      <c r="DG95" s="128">
        <f>IFERROR(AU95*$V95,)</f>
        <v/>
      </c>
      <c r="DH95" s="128">
        <f>IFERROR(AV95*$V95,)</f>
        <v/>
      </c>
      <c r="DI95" s="128">
        <f>IFERROR(AW95*$V95,)</f>
        <v/>
      </c>
      <c r="DJ95" s="128">
        <f>IFERROR(AX95*$V95,)</f>
        <v/>
      </c>
      <c r="DK95" s="128">
        <f>IFERROR(AY95*$V95,)</f>
        <v/>
      </c>
      <c r="DL95" s="128">
        <f>IFERROR(AZ95*$V95,)</f>
        <v/>
      </c>
      <c r="DM95" s="129">
        <f>IFERROR(if($X95=0,($V95/1.2)*BA95,
BA95*$X95),)</f>
        <v/>
      </c>
      <c r="DN95" s="129">
        <f>IFERROR(if($X95=0,($V95/1.2)*BB95,
BB95*$X95),)</f>
        <v/>
      </c>
      <c r="DO95" s="129">
        <f>IFERROR(if($X95=0,($V95/1.2)*BC95,
BC95*$X95),)</f>
        <v/>
      </c>
      <c r="DP95" s="130">
        <f>IFERROR(if($Z95=0,($V95/1.35)*BD95,
BD95*$Z95),)</f>
        <v/>
      </c>
      <c r="DQ95" s="130">
        <f>IFERROR(if($Z95=0,($V95/1.35)*BE95,
BE95*$Z95),)</f>
        <v/>
      </c>
      <c r="DR95" s="130">
        <f>IFERROR(if($Z95=0,($V95/1.35)*BF95,
BF95*$Z95),)</f>
        <v/>
      </c>
      <c r="DS95" s="128">
        <f>IFERROR(IF($AB95=0,($V95/0.74)*BG95,
BG95*$AB95),)</f>
        <v/>
      </c>
      <c r="DT95" s="128">
        <f>IFERROR(IF($AB95=0,($V95/0.74)*BH95,
BH95*$AB95),)</f>
        <v/>
      </c>
      <c r="DU95" s="128">
        <f>IFERROR(IF($AB95=0,($V95/0.74)*BI95,
BI95*$AB95),)</f>
        <v/>
      </c>
    </row>
    <row r="96" ht="131.25" customHeight="1" s="162">
      <c r="A96" s="115" t="n"/>
      <c r="B96" s="115" t="n"/>
      <c r="C96" s="115" t="n"/>
      <c r="D96" s="115" t="n"/>
      <c r="E96" s="115" t="n"/>
      <c r="F96" s="115" t="n"/>
      <c r="G96" s="115" t="n"/>
      <c r="H96" s="115" t="n"/>
      <c r="I96" s="115" t="n"/>
      <c r="J96" s="115" t="n"/>
      <c r="K96" s="115" t="n"/>
      <c r="L96" s="115" t="n"/>
      <c r="M96" s="115" t="n"/>
      <c r="N96" s="115" t="n"/>
      <c r="O96" s="115" t="n"/>
      <c r="P96" s="115" t="n"/>
      <c r="Q96" s="115" t="n"/>
      <c r="R96" s="115" t="n"/>
      <c r="S96" s="115" t="n"/>
      <c r="T96" s="115" t="n"/>
      <c r="U96" s="116" t="n"/>
      <c r="V96" s="116" t="n"/>
      <c r="W96" s="117" t="n"/>
      <c r="X96" s="118" t="n"/>
      <c r="Y96" s="119" t="n"/>
      <c r="Z96" s="120" t="n"/>
      <c r="AA96" s="121" t="n"/>
      <c r="AB96" s="122" t="n"/>
      <c r="AC96" s="117" t="n"/>
      <c r="AD96" s="123">
        <f>IF(SUM($AE96:$AH96)=0,"",SUM($AE96:$AH96))</f>
        <v/>
      </c>
      <c r="AE96" s="123">
        <f>iferror(IF(SUM($AI96:$AZ96)=0,"",SUM($AI96:$AZ96)),"")</f>
        <v/>
      </c>
      <c r="AF96" s="123">
        <f>iferror(IF(SUM($BA96:$BC96)=0,"",SUM($BA96:$BC96)),"")</f>
        <v/>
      </c>
      <c r="AG96" s="123">
        <f>iferror(IF(SUM($BD96:$BF96)=0,"",SUM($BD96:$BF96)),"")</f>
        <v/>
      </c>
      <c r="AH96" s="124">
        <f>iferror(IF(SUM($BG96:$BI96)=0,"",SUM($BG96:$BI96)),"")</f>
        <v/>
      </c>
      <c r="AI96" s="131" t="n"/>
      <c r="AJ96" s="132" t="n"/>
      <c r="AK96" s="132" t="n"/>
      <c r="AL96" s="132" t="n"/>
      <c r="AM96" s="132" t="n"/>
      <c r="AN96" s="132" t="n"/>
      <c r="AO96" s="132" t="n"/>
      <c r="AP96" s="132" t="n"/>
      <c r="AQ96" s="132" t="n"/>
      <c r="AR96" s="132" t="n"/>
      <c r="AS96" s="132" t="n"/>
      <c r="AT96" s="132" t="n"/>
      <c r="AU96" s="132" t="n"/>
      <c r="AV96" s="132" t="n"/>
      <c r="AW96" s="132" t="n"/>
      <c r="AX96" s="132" t="n"/>
      <c r="AY96" s="132" t="n"/>
      <c r="AZ96" s="133" t="n"/>
      <c r="BA96" s="131" t="n"/>
      <c r="BB96" s="132" t="n"/>
      <c r="BC96" s="133" t="n"/>
      <c r="BD96" s="131" t="n"/>
      <c r="BE96" s="132" t="n"/>
      <c r="BF96" s="133" t="n"/>
      <c r="BG96" s="131" t="n"/>
      <c r="BH96" s="132" t="n"/>
      <c r="BI96" s="132" t="n"/>
      <c r="BJ96" s="128">
        <f>iferror(SUM($BK96,($BL96*1.2),($BM96*1.35),($BN96*0.74)),)</f>
        <v/>
      </c>
      <c r="BK96" s="128">
        <f>IFERROR(SUM($BT96:$CK96),)</f>
        <v/>
      </c>
      <c r="BL96" s="129">
        <f>IFERROR(SUM($CL96:$CN96),)</f>
        <v/>
      </c>
      <c r="BM96" s="130">
        <f>IFERROR(SUM($CO96:$CQ96),)</f>
        <v/>
      </c>
      <c r="BN96" s="128">
        <f>IFERROR(SUM($CR96:$CT96),)</f>
        <v/>
      </c>
      <c r="BO96" s="128">
        <f>iferror(SUM($BP96,($BQ96*1.2),($BR96*1.35),($BS96*0.74)),)</f>
        <v/>
      </c>
      <c r="BP96" s="128">
        <f>IFERROR(SUM($CU96:$DL96),)</f>
        <v/>
      </c>
      <c r="BQ96" s="128">
        <f>IFERROR(SUM($DM96:$DO96),)</f>
        <v/>
      </c>
      <c r="BR96" s="128">
        <f>IFERROR(SUM($DP96:$DR96),)</f>
        <v/>
      </c>
      <c r="BS96" s="128">
        <f>IFERROR(SUM($DS96:$DU96),)</f>
        <v/>
      </c>
      <c r="BT96" s="128">
        <f>IFERROR(AI96*$W96,)</f>
        <v/>
      </c>
      <c r="BU96" s="128">
        <f>IFERROR(AJ96*$W96,)</f>
        <v/>
      </c>
      <c r="BV96" s="128">
        <f>IFERROR(AK96*$W96,)</f>
        <v/>
      </c>
      <c r="BW96" s="128">
        <f>IFERROR(AL96*$W96,)</f>
        <v/>
      </c>
      <c r="BX96" s="128">
        <f>IFERROR(AM96*$W96,)</f>
        <v/>
      </c>
      <c r="BY96" s="128">
        <f>IFERROR(AN96*$W96,)</f>
        <v/>
      </c>
      <c r="BZ96" s="128">
        <f>IFERROR(AO96*$W96,)</f>
        <v/>
      </c>
      <c r="CA96" s="128">
        <f>IFERROR(AP96*$W96,)</f>
        <v/>
      </c>
      <c r="CB96" s="128">
        <f>IFERROR(AQ96*$W96,)</f>
        <v/>
      </c>
      <c r="CC96" s="128">
        <f>IFERROR(AR96*$W96,)</f>
        <v/>
      </c>
      <c r="CD96" s="128">
        <f>IFERROR(AS96*$W96,)</f>
        <v/>
      </c>
      <c r="CE96" s="128">
        <f>IFERROR(AT96*$W96,)</f>
        <v/>
      </c>
      <c r="CF96" s="128">
        <f>IFERROR(AU96*$W96,)</f>
        <v/>
      </c>
      <c r="CG96" s="128">
        <f>IFERROR(AV96*$W96,)</f>
        <v/>
      </c>
      <c r="CH96" s="128">
        <f>IFERROR(AW96*$W96,)</f>
        <v/>
      </c>
      <c r="CI96" s="128">
        <f>IFERROR(AX96*$W96,)</f>
        <v/>
      </c>
      <c r="CJ96" s="128">
        <f>IFERROR(AY96*$W96,)</f>
        <v/>
      </c>
      <c r="CK96" s="128">
        <f>IFERROR(AZ96*$W96,)</f>
        <v/>
      </c>
      <c r="CL96" s="129">
        <f>IFERROR(if($Y96=0,BA96*($W96/1.2),BA96*$Y96),"")</f>
        <v/>
      </c>
      <c r="CM96" s="129">
        <f>IFERROR(if($Y96=0,BB96*($W96/1.2),BB96*$Y96),"")</f>
        <v/>
      </c>
      <c r="CN96" s="129">
        <f>IFERROR(if($Y96=0,BC96*($W96/1.2),BC96*$Y96),"")</f>
        <v/>
      </c>
      <c r="CO96" s="130">
        <f>IFERROR(if($AA96=0,($W96/1.35)*BD96,BD96*$AA96),)</f>
        <v/>
      </c>
      <c r="CP96" s="130">
        <f>IFERROR(if($AA96=0,($W96/1.35)*BE96,BE96*$AA96),)</f>
        <v/>
      </c>
      <c r="CQ96" s="130">
        <f>IFERROR(if($AA96=0,($W96/1.35)*BF96,BF96*$AA96),)</f>
        <v/>
      </c>
      <c r="CR96" s="128">
        <f>IFERROR(if($AC96=0,($W96/0.74)*BG96,
BG96*$AC96),)</f>
        <v/>
      </c>
      <c r="CS96" s="128">
        <f>IFERROR(if($AC96=0,($W96/0.74)*BH96,
BH96*$AC96),)</f>
        <v/>
      </c>
      <c r="CT96" s="128">
        <f>IFERROR(if($AC96=0,($W96/0.74)*BI96,
BI96*$AC96),)</f>
        <v/>
      </c>
      <c r="CU96" s="128">
        <f>IFERROR(AI96*$V96,)</f>
        <v/>
      </c>
      <c r="CV96" s="128">
        <f>IFERROR(AJ96*$V96,)</f>
        <v/>
      </c>
      <c r="CW96" s="128">
        <f>IFERROR(AK96*$V96,)</f>
        <v/>
      </c>
      <c r="CX96" s="128">
        <f>IFERROR(AL96*$V96,)</f>
        <v/>
      </c>
      <c r="CY96" s="128">
        <f>IFERROR(AM96*$V96,)</f>
        <v/>
      </c>
      <c r="CZ96" s="128">
        <f>IFERROR(AN96*$V96,)</f>
        <v/>
      </c>
      <c r="DA96" s="128">
        <f>IFERROR(AO96*$V96,)</f>
        <v/>
      </c>
      <c r="DB96" s="128">
        <f>IFERROR(AP96*$V96,)</f>
        <v/>
      </c>
      <c r="DC96" s="128">
        <f>IFERROR(AQ96*$V96,)</f>
        <v/>
      </c>
      <c r="DD96" s="128">
        <f>IFERROR(AR96*$V96,)</f>
        <v/>
      </c>
      <c r="DE96" s="128">
        <f>IFERROR(AS96*$V96,)</f>
        <v/>
      </c>
      <c r="DF96" s="128">
        <f>IFERROR(AT96*$V96,)</f>
        <v/>
      </c>
      <c r="DG96" s="128">
        <f>IFERROR(AU96*$V96,)</f>
        <v/>
      </c>
      <c r="DH96" s="128">
        <f>IFERROR(AV96*$V96,)</f>
        <v/>
      </c>
      <c r="DI96" s="128">
        <f>IFERROR(AW96*$V96,)</f>
        <v/>
      </c>
      <c r="DJ96" s="128">
        <f>IFERROR(AX96*$V96,)</f>
        <v/>
      </c>
      <c r="DK96" s="128">
        <f>IFERROR(AY96*$V96,)</f>
        <v/>
      </c>
      <c r="DL96" s="128">
        <f>IFERROR(AZ96*$V96,)</f>
        <v/>
      </c>
      <c r="DM96" s="129">
        <f>IFERROR(if($X96=0,($V96/1.2)*BA96,
BA96*$X96),)</f>
        <v/>
      </c>
      <c r="DN96" s="129">
        <f>IFERROR(if($X96=0,($V96/1.2)*BB96,
BB96*$X96),)</f>
        <v/>
      </c>
      <c r="DO96" s="129">
        <f>IFERROR(if($X96=0,($V96/1.2)*BC96,
BC96*$X96),)</f>
        <v/>
      </c>
      <c r="DP96" s="130">
        <f>IFERROR(if($Z96=0,($V96/1.35)*BD96,
BD96*$Z96),)</f>
        <v/>
      </c>
      <c r="DQ96" s="130">
        <f>IFERROR(if($Z96=0,($V96/1.35)*BE96,
BE96*$Z96),)</f>
        <v/>
      </c>
      <c r="DR96" s="130">
        <f>IFERROR(if($Z96=0,($V96/1.35)*BF96,
BF96*$Z96),)</f>
        <v/>
      </c>
      <c r="DS96" s="128">
        <f>IFERROR(IF($AB96=0,($V96/0.74)*BG96,
BG96*$AB96),)</f>
        <v/>
      </c>
      <c r="DT96" s="128">
        <f>IFERROR(IF($AB96=0,($V96/0.74)*BH96,
BH96*$AB96),)</f>
        <v/>
      </c>
      <c r="DU96" s="128">
        <f>IFERROR(IF($AB96=0,($V96/0.74)*BI96,
BI96*$AB96),)</f>
        <v/>
      </c>
    </row>
    <row r="97" ht="131.25" customHeight="1" s="162">
      <c r="A97" s="115" t="n"/>
      <c r="B97" s="115" t="n"/>
      <c r="C97" s="115" t="n"/>
      <c r="D97" s="115" t="n"/>
      <c r="E97" s="115" t="n"/>
      <c r="F97" s="115" t="n"/>
      <c r="G97" s="115" t="n"/>
      <c r="H97" s="115" t="n"/>
      <c r="I97" s="115" t="n"/>
      <c r="J97" s="115" t="n"/>
      <c r="K97" s="115" t="n"/>
      <c r="L97" s="115" t="n"/>
      <c r="M97" s="115" t="n"/>
      <c r="N97" s="115" t="n"/>
      <c r="O97" s="115" t="n"/>
      <c r="P97" s="115" t="n"/>
      <c r="Q97" s="115" t="n"/>
      <c r="R97" s="115" t="n"/>
      <c r="S97" s="115" t="n"/>
      <c r="T97" s="115" t="n"/>
      <c r="U97" s="116" t="n"/>
      <c r="V97" s="116" t="n"/>
      <c r="W97" s="117" t="n"/>
      <c r="X97" s="118" t="n"/>
      <c r="Y97" s="119" t="n"/>
      <c r="Z97" s="120" t="n"/>
      <c r="AA97" s="121" t="n"/>
      <c r="AB97" s="122" t="n"/>
      <c r="AC97" s="117" t="n"/>
      <c r="AD97" s="123">
        <f>IF(SUM($AE97:$AH97)=0,"",SUM($AE97:$AH97))</f>
        <v/>
      </c>
      <c r="AE97" s="123">
        <f>iferror(IF(SUM($AI97:$AZ97)=0,"",SUM($AI97:$AZ97)),"")</f>
        <v/>
      </c>
      <c r="AF97" s="123">
        <f>iferror(IF(SUM($BA97:$BC97)=0,"",SUM($BA97:$BC97)),"")</f>
        <v/>
      </c>
      <c r="AG97" s="123">
        <f>iferror(IF(SUM($BD97:$BF97)=0,"",SUM($BD97:$BF97)),"")</f>
        <v/>
      </c>
      <c r="AH97" s="124">
        <f>iferror(IF(SUM($BG97:$BI97)=0,"",SUM($BG97:$BI97)),"")</f>
        <v/>
      </c>
      <c r="AI97" s="131" t="n"/>
      <c r="AJ97" s="132" t="n"/>
      <c r="AK97" s="132" t="n"/>
      <c r="AL97" s="132" t="n"/>
      <c r="AM97" s="132" t="n"/>
      <c r="AN97" s="132" t="n"/>
      <c r="AO97" s="132" t="n"/>
      <c r="AP97" s="132" t="n"/>
      <c r="AQ97" s="132" t="n"/>
      <c r="AR97" s="132" t="n"/>
      <c r="AS97" s="132" t="n"/>
      <c r="AT97" s="132" t="n"/>
      <c r="AU97" s="132" t="n"/>
      <c r="AV97" s="132" t="n"/>
      <c r="AW97" s="132" t="n"/>
      <c r="AX97" s="132" t="n"/>
      <c r="AY97" s="132" t="n"/>
      <c r="AZ97" s="133" t="n"/>
      <c r="BA97" s="131" t="n"/>
      <c r="BB97" s="132" t="n"/>
      <c r="BC97" s="133" t="n"/>
      <c r="BD97" s="131" t="n"/>
      <c r="BE97" s="132" t="n"/>
      <c r="BF97" s="133" t="n"/>
      <c r="BG97" s="131" t="n"/>
      <c r="BH97" s="132" t="n"/>
      <c r="BI97" s="132" t="n"/>
      <c r="BJ97" s="128">
        <f>iferror(SUM($BK97,($BL97*1.2),($BM97*1.35),($BN97*0.74)),)</f>
        <v/>
      </c>
      <c r="BK97" s="128">
        <f>IFERROR(SUM($BT97:$CK97),)</f>
        <v/>
      </c>
      <c r="BL97" s="129">
        <f>IFERROR(SUM($CL97:$CN97),)</f>
        <v/>
      </c>
      <c r="BM97" s="130">
        <f>IFERROR(SUM($CO97:$CQ97),)</f>
        <v/>
      </c>
      <c r="BN97" s="128">
        <f>IFERROR(SUM($CR97:$CT97),)</f>
        <v/>
      </c>
      <c r="BO97" s="128">
        <f>iferror(SUM($BP97,($BQ97*1.2),($BR97*1.35),($BS97*0.74)),)</f>
        <v/>
      </c>
      <c r="BP97" s="128">
        <f>IFERROR(SUM($CU97:$DL97),)</f>
        <v/>
      </c>
      <c r="BQ97" s="128">
        <f>IFERROR(SUM($DM97:$DO97),)</f>
        <v/>
      </c>
      <c r="BR97" s="128">
        <f>IFERROR(SUM($DP97:$DR97),)</f>
        <v/>
      </c>
      <c r="BS97" s="128">
        <f>IFERROR(SUM($DS97:$DU97),)</f>
        <v/>
      </c>
      <c r="BT97" s="128">
        <f>IFERROR(AI97*$W97,)</f>
        <v/>
      </c>
      <c r="BU97" s="128">
        <f>IFERROR(AJ97*$W97,)</f>
        <v/>
      </c>
      <c r="BV97" s="128">
        <f>IFERROR(AK97*$W97,)</f>
        <v/>
      </c>
      <c r="BW97" s="128">
        <f>IFERROR(AL97*$W97,)</f>
        <v/>
      </c>
      <c r="BX97" s="128">
        <f>IFERROR(AM97*$W97,)</f>
        <v/>
      </c>
      <c r="BY97" s="128">
        <f>IFERROR(AN97*$W97,)</f>
        <v/>
      </c>
      <c r="BZ97" s="128">
        <f>IFERROR(AO97*$W97,)</f>
        <v/>
      </c>
      <c r="CA97" s="128">
        <f>IFERROR(AP97*$W97,)</f>
        <v/>
      </c>
      <c r="CB97" s="128">
        <f>IFERROR(AQ97*$W97,)</f>
        <v/>
      </c>
      <c r="CC97" s="128">
        <f>IFERROR(AR97*$W97,)</f>
        <v/>
      </c>
      <c r="CD97" s="128">
        <f>IFERROR(AS97*$W97,)</f>
        <v/>
      </c>
      <c r="CE97" s="128">
        <f>IFERROR(AT97*$W97,)</f>
        <v/>
      </c>
      <c r="CF97" s="128">
        <f>IFERROR(AU97*$W97,)</f>
        <v/>
      </c>
      <c r="CG97" s="128">
        <f>IFERROR(AV97*$W97,)</f>
        <v/>
      </c>
      <c r="CH97" s="128">
        <f>IFERROR(AW97*$W97,)</f>
        <v/>
      </c>
      <c r="CI97" s="128">
        <f>IFERROR(AX97*$W97,)</f>
        <v/>
      </c>
      <c r="CJ97" s="128">
        <f>IFERROR(AY97*$W97,)</f>
        <v/>
      </c>
      <c r="CK97" s="128">
        <f>IFERROR(AZ97*$W97,)</f>
        <v/>
      </c>
      <c r="CL97" s="129">
        <f>IFERROR(if($Y97=0,BA97*($W97/1.2),BA97*$Y97),"")</f>
        <v/>
      </c>
      <c r="CM97" s="129">
        <f>IFERROR(if($Y97=0,BB97*($W97/1.2),BB97*$Y97),"")</f>
        <v/>
      </c>
      <c r="CN97" s="129">
        <f>IFERROR(if($Y97=0,BC97*($W97/1.2),BC97*$Y97),"")</f>
        <v/>
      </c>
      <c r="CO97" s="130">
        <f>IFERROR(if($AA97=0,($W97/1.35)*BD97,BD97*$AA97),)</f>
        <v/>
      </c>
      <c r="CP97" s="130">
        <f>IFERROR(if($AA97=0,($W97/1.35)*BE97,BE97*$AA97),)</f>
        <v/>
      </c>
      <c r="CQ97" s="130">
        <f>IFERROR(if($AA97=0,($W97/1.35)*BF97,BF97*$AA97),)</f>
        <v/>
      </c>
      <c r="CR97" s="128">
        <f>IFERROR(if($AC97=0,($W97/0.74)*BG97,
BG97*$AC97),)</f>
        <v/>
      </c>
      <c r="CS97" s="128">
        <f>IFERROR(if($AC97=0,($W97/0.74)*BH97,
BH97*$AC97),)</f>
        <v/>
      </c>
      <c r="CT97" s="128">
        <f>IFERROR(if($AC97=0,($W97/0.74)*BI97,
BI97*$AC97),)</f>
        <v/>
      </c>
      <c r="CU97" s="128">
        <f>IFERROR(AI97*$V97,)</f>
        <v/>
      </c>
      <c r="CV97" s="128">
        <f>IFERROR(AJ97*$V97,)</f>
        <v/>
      </c>
      <c r="CW97" s="128">
        <f>IFERROR(AK97*$V97,)</f>
        <v/>
      </c>
      <c r="CX97" s="128">
        <f>IFERROR(AL97*$V97,)</f>
        <v/>
      </c>
      <c r="CY97" s="128">
        <f>IFERROR(AM97*$V97,)</f>
        <v/>
      </c>
      <c r="CZ97" s="128">
        <f>IFERROR(AN97*$V97,)</f>
        <v/>
      </c>
      <c r="DA97" s="128">
        <f>IFERROR(AO97*$V97,)</f>
        <v/>
      </c>
      <c r="DB97" s="128">
        <f>IFERROR(AP97*$V97,)</f>
        <v/>
      </c>
      <c r="DC97" s="128">
        <f>IFERROR(AQ97*$V97,)</f>
        <v/>
      </c>
      <c r="DD97" s="128">
        <f>IFERROR(AR97*$V97,)</f>
        <v/>
      </c>
      <c r="DE97" s="128">
        <f>IFERROR(AS97*$V97,)</f>
        <v/>
      </c>
      <c r="DF97" s="128">
        <f>IFERROR(AT97*$V97,)</f>
        <v/>
      </c>
      <c r="DG97" s="128">
        <f>IFERROR(AU97*$V97,)</f>
        <v/>
      </c>
      <c r="DH97" s="128">
        <f>IFERROR(AV97*$V97,)</f>
        <v/>
      </c>
      <c r="DI97" s="128">
        <f>IFERROR(AW97*$V97,)</f>
        <v/>
      </c>
      <c r="DJ97" s="128">
        <f>IFERROR(AX97*$V97,)</f>
        <v/>
      </c>
      <c r="DK97" s="128">
        <f>IFERROR(AY97*$V97,)</f>
        <v/>
      </c>
      <c r="DL97" s="128">
        <f>IFERROR(AZ97*$V97,)</f>
        <v/>
      </c>
      <c r="DM97" s="129">
        <f>IFERROR(if($X97=0,($V97/1.2)*BA97,
BA97*$X97),)</f>
        <v/>
      </c>
      <c r="DN97" s="129">
        <f>IFERROR(if($X97=0,($V97/1.2)*BB97,
BB97*$X97),)</f>
        <v/>
      </c>
      <c r="DO97" s="129">
        <f>IFERROR(if($X97=0,($V97/1.2)*BC97,
BC97*$X97),)</f>
        <v/>
      </c>
      <c r="DP97" s="130">
        <f>IFERROR(if($Z97=0,($V97/1.35)*BD97,
BD97*$Z97),)</f>
        <v/>
      </c>
      <c r="DQ97" s="130">
        <f>IFERROR(if($Z97=0,($V97/1.35)*BE97,
BE97*$Z97),)</f>
        <v/>
      </c>
      <c r="DR97" s="130">
        <f>IFERROR(if($Z97=0,($V97/1.35)*BF97,
BF97*$Z97),)</f>
        <v/>
      </c>
      <c r="DS97" s="128">
        <f>IFERROR(IF($AB97=0,($V97/0.74)*BG97,
BG97*$AB97),)</f>
        <v/>
      </c>
      <c r="DT97" s="128">
        <f>IFERROR(IF($AB97=0,($V97/0.74)*BH97,
BH97*$AB97),)</f>
        <v/>
      </c>
      <c r="DU97" s="128">
        <f>IFERROR(IF($AB97=0,($V97/0.74)*BI97,
BI97*$AB97),)</f>
        <v/>
      </c>
    </row>
    <row r="98" ht="131.25" customHeight="1" s="162">
      <c r="A98" s="115" t="n"/>
      <c r="B98" s="115" t="n"/>
      <c r="C98" s="115" t="n"/>
      <c r="D98" s="115" t="n"/>
      <c r="E98" s="115" t="n"/>
      <c r="F98" s="115" t="n"/>
      <c r="G98" s="115" t="n"/>
      <c r="H98" s="115" t="n"/>
      <c r="I98" s="115" t="n"/>
      <c r="J98" s="115" t="n"/>
      <c r="K98" s="115" t="n"/>
      <c r="L98" s="115" t="n"/>
      <c r="M98" s="115" t="n"/>
      <c r="N98" s="115" t="n"/>
      <c r="O98" s="115" t="n"/>
      <c r="P98" s="115" t="n"/>
      <c r="Q98" s="115" t="n"/>
      <c r="R98" s="115" t="n"/>
      <c r="S98" s="115" t="n"/>
      <c r="T98" s="115" t="n"/>
      <c r="U98" s="116" t="n"/>
      <c r="V98" s="116" t="n"/>
      <c r="W98" s="117" t="n"/>
      <c r="X98" s="118" t="n"/>
      <c r="Y98" s="119" t="n"/>
      <c r="Z98" s="120" t="n"/>
      <c r="AA98" s="121" t="n"/>
      <c r="AB98" s="122" t="n"/>
      <c r="AC98" s="117" t="n"/>
      <c r="AD98" s="123">
        <f>IF(SUM($AE98:$AH98)=0,"",SUM($AE98:$AH98))</f>
        <v/>
      </c>
      <c r="AE98" s="123">
        <f>iferror(IF(SUM($AI98:$AZ98)=0,"",SUM($AI98:$AZ98)),"")</f>
        <v/>
      </c>
      <c r="AF98" s="123">
        <f>iferror(IF(SUM($BA98:$BC98)=0,"",SUM($BA98:$BC98)),"")</f>
        <v/>
      </c>
      <c r="AG98" s="123">
        <f>iferror(IF(SUM($BD98:$BF98)=0,"",SUM($BD98:$BF98)),"")</f>
        <v/>
      </c>
      <c r="AH98" s="124">
        <f>iferror(IF(SUM($BG98:$BI98)=0,"",SUM($BG98:$BI98)),"")</f>
        <v/>
      </c>
      <c r="AI98" s="131" t="n"/>
      <c r="AJ98" s="132" t="n"/>
      <c r="AK98" s="132" t="n"/>
      <c r="AL98" s="132" t="n"/>
      <c r="AM98" s="132" t="n"/>
      <c r="AN98" s="132" t="n"/>
      <c r="AO98" s="132" t="n"/>
      <c r="AP98" s="132" t="n"/>
      <c r="AQ98" s="132" t="n"/>
      <c r="AR98" s="132" t="n"/>
      <c r="AS98" s="132" t="n"/>
      <c r="AT98" s="132" t="n"/>
      <c r="AU98" s="132" t="n"/>
      <c r="AV98" s="132" t="n"/>
      <c r="AW98" s="132" t="n"/>
      <c r="AX98" s="132" t="n"/>
      <c r="AY98" s="132" t="n"/>
      <c r="AZ98" s="133" t="n"/>
      <c r="BA98" s="131" t="n"/>
      <c r="BB98" s="132" t="n"/>
      <c r="BC98" s="133" t="n"/>
      <c r="BD98" s="131" t="n"/>
      <c r="BE98" s="132" t="n"/>
      <c r="BF98" s="133" t="n"/>
      <c r="BG98" s="131" t="n"/>
      <c r="BH98" s="132" t="n"/>
      <c r="BI98" s="132" t="n"/>
      <c r="BJ98" s="128">
        <f>iferror(SUM($BK98,($BL98*1.2),($BM98*1.35),($BN98*0.74)),)</f>
        <v/>
      </c>
      <c r="BK98" s="128">
        <f>IFERROR(SUM($BT98:$CK98),)</f>
        <v/>
      </c>
      <c r="BL98" s="129">
        <f>IFERROR(SUM($CL98:$CN98),)</f>
        <v/>
      </c>
      <c r="BM98" s="130">
        <f>IFERROR(SUM($CO98:$CQ98),)</f>
        <v/>
      </c>
      <c r="BN98" s="128">
        <f>IFERROR(SUM($CR98:$CT98),)</f>
        <v/>
      </c>
      <c r="BO98" s="128">
        <f>iferror(SUM($BP98,($BQ98*1.2),($BR98*1.35),($BS98*0.74)),)</f>
        <v/>
      </c>
      <c r="BP98" s="128">
        <f>IFERROR(SUM($CU98:$DL98),)</f>
        <v/>
      </c>
      <c r="BQ98" s="128">
        <f>IFERROR(SUM($DM98:$DO98),)</f>
        <v/>
      </c>
      <c r="BR98" s="128">
        <f>IFERROR(SUM($DP98:$DR98),)</f>
        <v/>
      </c>
      <c r="BS98" s="128">
        <f>IFERROR(SUM($DS98:$DU98),)</f>
        <v/>
      </c>
      <c r="BT98" s="128">
        <f>IFERROR(AI98*$W98,)</f>
        <v/>
      </c>
      <c r="BU98" s="128">
        <f>IFERROR(AJ98*$W98,)</f>
        <v/>
      </c>
      <c r="BV98" s="128">
        <f>IFERROR(AK98*$W98,)</f>
        <v/>
      </c>
      <c r="BW98" s="128">
        <f>IFERROR(AL98*$W98,)</f>
        <v/>
      </c>
      <c r="BX98" s="128">
        <f>IFERROR(AM98*$W98,)</f>
        <v/>
      </c>
      <c r="BY98" s="128">
        <f>IFERROR(AN98*$W98,)</f>
        <v/>
      </c>
      <c r="BZ98" s="128">
        <f>IFERROR(AO98*$W98,)</f>
        <v/>
      </c>
      <c r="CA98" s="128">
        <f>IFERROR(AP98*$W98,)</f>
        <v/>
      </c>
      <c r="CB98" s="128">
        <f>IFERROR(AQ98*$W98,)</f>
        <v/>
      </c>
      <c r="CC98" s="128">
        <f>IFERROR(AR98*$W98,)</f>
        <v/>
      </c>
      <c r="CD98" s="128">
        <f>IFERROR(AS98*$W98,)</f>
        <v/>
      </c>
      <c r="CE98" s="128">
        <f>IFERROR(AT98*$W98,)</f>
        <v/>
      </c>
      <c r="CF98" s="128">
        <f>IFERROR(AU98*$W98,)</f>
        <v/>
      </c>
      <c r="CG98" s="128">
        <f>IFERROR(AV98*$W98,)</f>
        <v/>
      </c>
      <c r="CH98" s="128">
        <f>IFERROR(AW98*$W98,)</f>
        <v/>
      </c>
      <c r="CI98" s="128">
        <f>IFERROR(AX98*$W98,)</f>
        <v/>
      </c>
      <c r="CJ98" s="128">
        <f>IFERROR(AY98*$W98,)</f>
        <v/>
      </c>
      <c r="CK98" s="128">
        <f>IFERROR(AZ98*$W98,)</f>
        <v/>
      </c>
      <c r="CL98" s="129">
        <f>IFERROR(if($Y98=0,BA98*($W98/1.2),BA98*$Y98),"")</f>
        <v/>
      </c>
      <c r="CM98" s="129">
        <f>IFERROR(if($Y98=0,BB98*($W98/1.2),BB98*$Y98),"")</f>
        <v/>
      </c>
      <c r="CN98" s="129">
        <f>IFERROR(if($Y98=0,BC98*($W98/1.2),BC98*$Y98),"")</f>
        <v/>
      </c>
      <c r="CO98" s="130">
        <f>IFERROR(if($AA98=0,($W98/1.35)*BD98,BD98*$AA98),)</f>
        <v/>
      </c>
      <c r="CP98" s="130">
        <f>IFERROR(if($AA98=0,($W98/1.35)*BE98,BE98*$AA98),)</f>
        <v/>
      </c>
      <c r="CQ98" s="130">
        <f>IFERROR(if($AA98=0,($W98/1.35)*BF98,BF98*$AA98),)</f>
        <v/>
      </c>
      <c r="CR98" s="128">
        <f>IFERROR(if($AC98=0,($W98/0.74)*BG98,
BG98*$AC98),)</f>
        <v/>
      </c>
      <c r="CS98" s="128">
        <f>IFERROR(if($AC98=0,($W98/0.74)*BH98,
BH98*$AC98),)</f>
        <v/>
      </c>
      <c r="CT98" s="128">
        <f>IFERROR(if($AC98=0,($W98/0.74)*BI98,
BI98*$AC98),)</f>
        <v/>
      </c>
      <c r="CU98" s="128">
        <f>IFERROR(AI98*$V98,)</f>
        <v/>
      </c>
      <c r="CV98" s="128">
        <f>IFERROR(AJ98*$V98,)</f>
        <v/>
      </c>
      <c r="CW98" s="128">
        <f>IFERROR(AK98*$V98,)</f>
        <v/>
      </c>
      <c r="CX98" s="128">
        <f>IFERROR(AL98*$V98,)</f>
        <v/>
      </c>
      <c r="CY98" s="128">
        <f>IFERROR(AM98*$V98,)</f>
        <v/>
      </c>
      <c r="CZ98" s="128">
        <f>IFERROR(AN98*$V98,)</f>
        <v/>
      </c>
      <c r="DA98" s="128">
        <f>IFERROR(AO98*$V98,)</f>
        <v/>
      </c>
      <c r="DB98" s="128">
        <f>IFERROR(AP98*$V98,)</f>
        <v/>
      </c>
      <c r="DC98" s="128">
        <f>IFERROR(AQ98*$V98,)</f>
        <v/>
      </c>
      <c r="DD98" s="128">
        <f>IFERROR(AR98*$V98,)</f>
        <v/>
      </c>
      <c r="DE98" s="128">
        <f>IFERROR(AS98*$V98,)</f>
        <v/>
      </c>
      <c r="DF98" s="128">
        <f>IFERROR(AT98*$V98,)</f>
        <v/>
      </c>
      <c r="DG98" s="128">
        <f>IFERROR(AU98*$V98,)</f>
        <v/>
      </c>
      <c r="DH98" s="128">
        <f>IFERROR(AV98*$V98,)</f>
        <v/>
      </c>
      <c r="DI98" s="128">
        <f>IFERROR(AW98*$V98,)</f>
        <v/>
      </c>
      <c r="DJ98" s="128">
        <f>IFERROR(AX98*$V98,)</f>
        <v/>
      </c>
      <c r="DK98" s="128">
        <f>IFERROR(AY98*$V98,)</f>
        <v/>
      </c>
      <c r="DL98" s="128">
        <f>IFERROR(AZ98*$V98,)</f>
        <v/>
      </c>
      <c r="DM98" s="129">
        <f>IFERROR(if($X98=0,($V98/1.2)*BA98,
BA98*$X98),)</f>
        <v/>
      </c>
      <c r="DN98" s="129">
        <f>IFERROR(if($X98=0,($V98/1.2)*BB98,
BB98*$X98),)</f>
        <v/>
      </c>
      <c r="DO98" s="129">
        <f>IFERROR(if($X98=0,($V98/1.2)*BC98,
BC98*$X98),)</f>
        <v/>
      </c>
      <c r="DP98" s="130">
        <f>IFERROR(if($Z98=0,($V98/1.35)*BD98,
BD98*$Z98),)</f>
        <v/>
      </c>
      <c r="DQ98" s="130">
        <f>IFERROR(if($Z98=0,($V98/1.35)*BE98,
BE98*$Z98),)</f>
        <v/>
      </c>
      <c r="DR98" s="130">
        <f>IFERROR(if($Z98=0,($V98/1.35)*BF98,
BF98*$Z98),)</f>
        <v/>
      </c>
      <c r="DS98" s="128">
        <f>IFERROR(IF($AB98=0,($V98/0.74)*BG98,
BG98*$AB98),)</f>
        <v/>
      </c>
      <c r="DT98" s="128">
        <f>IFERROR(IF($AB98=0,($V98/0.74)*BH98,
BH98*$AB98),)</f>
        <v/>
      </c>
      <c r="DU98" s="128">
        <f>IFERROR(IF($AB98=0,($V98/0.74)*BI98,
BI98*$AB98),)</f>
        <v/>
      </c>
    </row>
    <row r="99" ht="131.25" customHeight="1" s="162">
      <c r="A99" s="115" t="n"/>
      <c r="B99" s="115" t="n"/>
      <c r="C99" s="115" t="n"/>
      <c r="D99" s="115" t="n"/>
      <c r="E99" s="115" t="n"/>
      <c r="F99" s="115" t="n"/>
      <c r="G99" s="115" t="n"/>
      <c r="H99" s="115" t="n"/>
      <c r="I99" s="115" t="n"/>
      <c r="J99" s="115" t="n"/>
      <c r="K99" s="115" t="n"/>
      <c r="L99" s="115" t="n"/>
      <c r="M99" s="115" t="n"/>
      <c r="N99" s="115" t="n"/>
      <c r="O99" s="115" t="n"/>
      <c r="P99" s="115" t="n"/>
      <c r="Q99" s="115" t="n"/>
      <c r="R99" s="115" t="n"/>
      <c r="S99" s="115" t="n"/>
      <c r="T99" s="115" t="n"/>
      <c r="U99" s="116" t="n"/>
      <c r="V99" s="116" t="n"/>
      <c r="W99" s="117" t="n"/>
      <c r="X99" s="118" t="n"/>
      <c r="Y99" s="119" t="n"/>
      <c r="Z99" s="120" t="n"/>
      <c r="AA99" s="121" t="n"/>
      <c r="AB99" s="122" t="n"/>
      <c r="AC99" s="117" t="n"/>
      <c r="AD99" s="123">
        <f>IF(SUM($AE99:$AH99)=0,"",SUM($AE99:$AH99))</f>
        <v/>
      </c>
      <c r="AE99" s="123">
        <f>iferror(IF(SUM($AI99:$AZ99)=0,"",SUM($AI99:$AZ99)),"")</f>
        <v/>
      </c>
      <c r="AF99" s="123">
        <f>iferror(IF(SUM($BA99:$BC99)=0,"",SUM($BA99:$BC99)),"")</f>
        <v/>
      </c>
      <c r="AG99" s="123">
        <f>iferror(IF(SUM($BD99:$BF99)=0,"",SUM($BD99:$BF99)),"")</f>
        <v/>
      </c>
      <c r="AH99" s="124">
        <f>iferror(IF(SUM($BG99:$BI99)=0,"",SUM($BG99:$BI99)),"")</f>
        <v/>
      </c>
      <c r="AI99" s="131" t="n"/>
      <c r="AJ99" s="132" t="n"/>
      <c r="AK99" s="132" t="n"/>
      <c r="AL99" s="132" t="n"/>
      <c r="AM99" s="132" t="n"/>
      <c r="AN99" s="132" t="n"/>
      <c r="AO99" s="132" t="n"/>
      <c r="AP99" s="132" t="n"/>
      <c r="AQ99" s="132" t="n"/>
      <c r="AR99" s="132" t="n"/>
      <c r="AS99" s="132" t="n"/>
      <c r="AT99" s="132" t="n"/>
      <c r="AU99" s="132" t="n"/>
      <c r="AV99" s="132" t="n"/>
      <c r="AW99" s="132" t="n"/>
      <c r="AX99" s="132" t="n"/>
      <c r="AY99" s="132" t="n"/>
      <c r="AZ99" s="133" t="n"/>
      <c r="BA99" s="131" t="n"/>
      <c r="BB99" s="132" t="n"/>
      <c r="BC99" s="133" t="n"/>
      <c r="BD99" s="131" t="n"/>
      <c r="BE99" s="132" t="n"/>
      <c r="BF99" s="133" t="n"/>
      <c r="BG99" s="131" t="n"/>
      <c r="BH99" s="132" t="n"/>
      <c r="BI99" s="132" t="n"/>
      <c r="BJ99" s="128">
        <f>iferror(SUM($BK99,($BL99*1.2),($BM99*1.35),($BN99*0.74)),)</f>
        <v/>
      </c>
      <c r="BK99" s="128">
        <f>IFERROR(SUM($BT99:$CK99),)</f>
        <v/>
      </c>
      <c r="BL99" s="129">
        <f>IFERROR(SUM($CL99:$CN99),)</f>
        <v/>
      </c>
      <c r="BM99" s="130">
        <f>IFERROR(SUM($CO99:$CQ99),)</f>
        <v/>
      </c>
      <c r="BN99" s="128">
        <f>IFERROR(SUM($CR99:$CT99),)</f>
        <v/>
      </c>
      <c r="BO99" s="128">
        <f>iferror(SUM($BP99,($BQ99*1.2),($BR99*1.35),($BS99*0.74)),)</f>
        <v/>
      </c>
      <c r="BP99" s="128">
        <f>IFERROR(SUM($CU99:$DL99),)</f>
        <v/>
      </c>
      <c r="BQ99" s="128">
        <f>IFERROR(SUM($DM99:$DO99),)</f>
        <v/>
      </c>
      <c r="BR99" s="128">
        <f>IFERROR(SUM($DP99:$DR99),)</f>
        <v/>
      </c>
      <c r="BS99" s="128">
        <f>IFERROR(SUM($DS99:$DU99),)</f>
        <v/>
      </c>
      <c r="BT99" s="128">
        <f>IFERROR(AI99*$W99,)</f>
        <v/>
      </c>
      <c r="BU99" s="128">
        <f>IFERROR(AJ99*$W99,)</f>
        <v/>
      </c>
      <c r="BV99" s="128">
        <f>IFERROR(AK99*$W99,)</f>
        <v/>
      </c>
      <c r="BW99" s="128">
        <f>IFERROR(AL99*$W99,)</f>
        <v/>
      </c>
      <c r="BX99" s="128">
        <f>IFERROR(AM99*$W99,)</f>
        <v/>
      </c>
      <c r="BY99" s="128">
        <f>IFERROR(AN99*$W99,)</f>
        <v/>
      </c>
      <c r="BZ99" s="128">
        <f>IFERROR(AO99*$W99,)</f>
        <v/>
      </c>
      <c r="CA99" s="128">
        <f>IFERROR(AP99*$W99,)</f>
        <v/>
      </c>
      <c r="CB99" s="128">
        <f>IFERROR(AQ99*$W99,)</f>
        <v/>
      </c>
      <c r="CC99" s="128">
        <f>IFERROR(AR99*$W99,)</f>
        <v/>
      </c>
      <c r="CD99" s="128">
        <f>IFERROR(AS99*$W99,)</f>
        <v/>
      </c>
      <c r="CE99" s="128">
        <f>IFERROR(AT99*$W99,)</f>
        <v/>
      </c>
      <c r="CF99" s="128">
        <f>IFERROR(AU99*$W99,)</f>
        <v/>
      </c>
      <c r="CG99" s="128">
        <f>IFERROR(AV99*$W99,)</f>
        <v/>
      </c>
      <c r="CH99" s="128">
        <f>IFERROR(AW99*$W99,)</f>
        <v/>
      </c>
      <c r="CI99" s="128">
        <f>IFERROR(AX99*$W99,)</f>
        <v/>
      </c>
      <c r="CJ99" s="128">
        <f>IFERROR(AY99*$W99,)</f>
        <v/>
      </c>
      <c r="CK99" s="128">
        <f>IFERROR(AZ99*$W99,)</f>
        <v/>
      </c>
      <c r="CL99" s="129">
        <f>IFERROR(if($Y99=0,BA99*($W99/1.2),BA99*$Y99),"")</f>
        <v/>
      </c>
      <c r="CM99" s="129">
        <f>IFERROR(if($Y99=0,BB99*($W99/1.2),BB99*$Y99),"")</f>
        <v/>
      </c>
      <c r="CN99" s="129">
        <f>IFERROR(if($Y99=0,BC99*($W99/1.2),BC99*$Y99),"")</f>
        <v/>
      </c>
      <c r="CO99" s="130">
        <f>IFERROR(if($AA99=0,($W99/1.35)*BD99,BD99*$AA99),)</f>
        <v/>
      </c>
      <c r="CP99" s="130">
        <f>IFERROR(if($AA99=0,($W99/1.35)*BE99,BE99*$AA99),)</f>
        <v/>
      </c>
      <c r="CQ99" s="130">
        <f>IFERROR(if($AA99=0,($W99/1.35)*BF99,BF99*$AA99),)</f>
        <v/>
      </c>
      <c r="CR99" s="128">
        <f>IFERROR(if($AC99=0,($W99/0.74)*BG99,
BG99*$AC99),)</f>
        <v/>
      </c>
      <c r="CS99" s="128">
        <f>IFERROR(if($AC99=0,($W99/0.74)*BH99,
BH99*$AC99),)</f>
        <v/>
      </c>
      <c r="CT99" s="128">
        <f>IFERROR(if($AC99=0,($W99/0.74)*BI99,
BI99*$AC99),)</f>
        <v/>
      </c>
      <c r="CU99" s="128">
        <f>IFERROR(AI99*$V99,)</f>
        <v/>
      </c>
      <c r="CV99" s="128">
        <f>IFERROR(AJ99*$V99,)</f>
        <v/>
      </c>
      <c r="CW99" s="128">
        <f>IFERROR(AK99*$V99,)</f>
        <v/>
      </c>
      <c r="CX99" s="128">
        <f>IFERROR(AL99*$V99,)</f>
        <v/>
      </c>
      <c r="CY99" s="128">
        <f>IFERROR(AM99*$V99,)</f>
        <v/>
      </c>
      <c r="CZ99" s="128">
        <f>IFERROR(AN99*$V99,)</f>
        <v/>
      </c>
      <c r="DA99" s="128">
        <f>IFERROR(AO99*$V99,)</f>
        <v/>
      </c>
      <c r="DB99" s="128">
        <f>IFERROR(AP99*$V99,)</f>
        <v/>
      </c>
      <c r="DC99" s="128">
        <f>IFERROR(AQ99*$V99,)</f>
        <v/>
      </c>
      <c r="DD99" s="128">
        <f>IFERROR(AR99*$V99,)</f>
        <v/>
      </c>
      <c r="DE99" s="128">
        <f>IFERROR(AS99*$V99,)</f>
        <v/>
      </c>
      <c r="DF99" s="128">
        <f>IFERROR(AT99*$V99,)</f>
        <v/>
      </c>
      <c r="DG99" s="128">
        <f>IFERROR(AU99*$V99,)</f>
        <v/>
      </c>
      <c r="DH99" s="128">
        <f>IFERROR(AV99*$V99,)</f>
        <v/>
      </c>
      <c r="DI99" s="128">
        <f>IFERROR(AW99*$V99,)</f>
        <v/>
      </c>
      <c r="DJ99" s="128">
        <f>IFERROR(AX99*$V99,)</f>
        <v/>
      </c>
      <c r="DK99" s="128">
        <f>IFERROR(AY99*$V99,)</f>
        <v/>
      </c>
      <c r="DL99" s="128">
        <f>IFERROR(AZ99*$V99,)</f>
        <v/>
      </c>
      <c r="DM99" s="129">
        <f>IFERROR(if($X99=0,($V99/1.2)*BA99,
BA99*$X99),)</f>
        <v/>
      </c>
      <c r="DN99" s="129">
        <f>IFERROR(if($X99=0,($V99/1.2)*BB99,
BB99*$X99),)</f>
        <v/>
      </c>
      <c r="DO99" s="129">
        <f>IFERROR(if($X99=0,($V99/1.2)*BC99,
BC99*$X99),)</f>
        <v/>
      </c>
      <c r="DP99" s="130">
        <f>IFERROR(if($Z99=0,($V99/1.35)*BD99,
BD99*$Z99),)</f>
        <v/>
      </c>
      <c r="DQ99" s="130">
        <f>IFERROR(if($Z99=0,($V99/1.35)*BE99,
BE99*$Z99),)</f>
        <v/>
      </c>
      <c r="DR99" s="130">
        <f>IFERROR(if($Z99=0,($V99/1.35)*BF99,
BF99*$Z99),)</f>
        <v/>
      </c>
      <c r="DS99" s="128">
        <f>IFERROR(IF($AB99=0,($V99/0.74)*BG99,
BG99*$AB99),)</f>
        <v/>
      </c>
      <c r="DT99" s="128">
        <f>IFERROR(IF($AB99=0,($V99/0.74)*BH99,
BH99*$AB99),)</f>
        <v/>
      </c>
      <c r="DU99" s="128">
        <f>IFERROR(IF($AB99=0,($V99/0.74)*BI99,
BI99*$AB99),)</f>
        <v/>
      </c>
    </row>
    <row r="100" ht="131.25" customHeight="1" s="162">
      <c r="A100" s="115" t="n"/>
      <c r="B100" s="115" t="n"/>
      <c r="C100" s="115" t="n"/>
      <c r="D100" s="115" t="n"/>
      <c r="E100" s="115" t="n"/>
      <c r="F100" s="115" t="n"/>
      <c r="G100" s="115" t="n"/>
      <c r="H100" s="115" t="n"/>
      <c r="I100" s="115" t="n"/>
      <c r="J100" s="115" t="n"/>
      <c r="K100" s="115" t="n"/>
      <c r="L100" s="115" t="n"/>
      <c r="M100" s="115" t="n"/>
      <c r="N100" s="115" t="n"/>
      <c r="O100" s="115" t="n"/>
      <c r="P100" s="115" t="n"/>
      <c r="Q100" s="115" t="n"/>
      <c r="R100" s="115" t="n"/>
      <c r="S100" s="115" t="n"/>
      <c r="T100" s="115" t="n"/>
      <c r="U100" s="116" t="n"/>
      <c r="V100" s="116" t="n"/>
      <c r="W100" s="117" t="n"/>
      <c r="X100" s="118" t="n"/>
      <c r="Y100" s="119" t="n"/>
      <c r="Z100" s="120" t="n"/>
      <c r="AA100" s="121" t="n"/>
      <c r="AB100" s="122" t="n"/>
      <c r="AC100" s="117" t="n"/>
      <c r="AD100" s="123">
        <f>IF(SUM($AE100:$AH100)=0,"",SUM($AE100:$AH100))</f>
        <v/>
      </c>
      <c r="AE100" s="123">
        <f>iferror(IF(SUM($AI100:$AZ100)=0,"",SUM($AI100:$AZ100)),"")</f>
        <v/>
      </c>
      <c r="AF100" s="123">
        <f>iferror(IF(SUM($BA100:$BC100)=0,"",SUM($BA100:$BC100)),"")</f>
        <v/>
      </c>
      <c r="AG100" s="123">
        <f>iferror(IF(SUM($BD100:$BF100)=0,"",SUM($BD100:$BF100)),"")</f>
        <v/>
      </c>
      <c r="AH100" s="124">
        <f>iferror(IF(SUM($BG100:$BI100)=0,"",SUM($BG100:$BI100)),"")</f>
        <v/>
      </c>
      <c r="AI100" s="131" t="n"/>
      <c r="AJ100" s="132" t="n"/>
      <c r="AK100" s="132" t="n"/>
      <c r="AL100" s="132" t="n"/>
      <c r="AM100" s="132" t="n"/>
      <c r="AN100" s="132" t="n"/>
      <c r="AO100" s="132" t="n"/>
      <c r="AP100" s="132" t="n"/>
      <c r="AQ100" s="132" t="n"/>
      <c r="AR100" s="132" t="n"/>
      <c r="AS100" s="132" t="n"/>
      <c r="AT100" s="132" t="n"/>
      <c r="AU100" s="132" t="n"/>
      <c r="AV100" s="132" t="n"/>
      <c r="AW100" s="132" t="n"/>
      <c r="AX100" s="132" t="n"/>
      <c r="AY100" s="132" t="n"/>
      <c r="AZ100" s="133" t="n"/>
      <c r="BA100" s="131" t="n"/>
      <c r="BB100" s="132" t="n"/>
      <c r="BC100" s="133" t="n"/>
      <c r="BD100" s="131" t="n"/>
      <c r="BE100" s="132" t="n"/>
      <c r="BF100" s="133" t="n"/>
      <c r="BG100" s="131" t="n"/>
      <c r="BH100" s="132" t="n"/>
      <c r="BI100" s="132" t="n"/>
      <c r="BJ100" s="128">
        <f>iferror(SUM($BK100,($BL100*1.2),($BM100*1.35),($BN100*0.74)),)</f>
        <v/>
      </c>
      <c r="BK100" s="128">
        <f>IFERROR(SUM($BT100:$CK100),)</f>
        <v/>
      </c>
      <c r="BL100" s="129">
        <f>IFERROR(SUM($CL100:$CN100),)</f>
        <v/>
      </c>
      <c r="BM100" s="130">
        <f>IFERROR(SUM($CO100:$CQ100),)</f>
        <v/>
      </c>
      <c r="BN100" s="128">
        <f>IFERROR(SUM($CR100:$CT100),)</f>
        <v/>
      </c>
      <c r="BO100" s="128">
        <f>iferror(SUM($BP100,($BQ100*1.2),($BR100*1.35),($BS100*0.74)),)</f>
        <v/>
      </c>
      <c r="BP100" s="128">
        <f>IFERROR(SUM($CU100:$DL100),)</f>
        <v/>
      </c>
      <c r="BQ100" s="128">
        <f>IFERROR(SUM($DM100:$DO100),)</f>
        <v/>
      </c>
      <c r="BR100" s="128">
        <f>IFERROR(SUM($DP100:$DR100),)</f>
        <v/>
      </c>
      <c r="BS100" s="128">
        <f>IFERROR(SUM($DS100:$DU100),)</f>
        <v/>
      </c>
      <c r="BT100" s="128">
        <f>IFERROR(AI100*$W100,)</f>
        <v/>
      </c>
      <c r="BU100" s="128">
        <f>IFERROR(AJ100*$W100,)</f>
        <v/>
      </c>
      <c r="BV100" s="128">
        <f>IFERROR(AK100*$W100,)</f>
        <v/>
      </c>
      <c r="BW100" s="128">
        <f>IFERROR(AL100*$W100,)</f>
        <v/>
      </c>
      <c r="BX100" s="128">
        <f>IFERROR(AM100*$W100,)</f>
        <v/>
      </c>
      <c r="BY100" s="128">
        <f>IFERROR(AN100*$W100,)</f>
        <v/>
      </c>
      <c r="BZ100" s="128">
        <f>IFERROR(AO100*$W100,)</f>
        <v/>
      </c>
      <c r="CA100" s="128">
        <f>IFERROR(AP100*$W100,)</f>
        <v/>
      </c>
      <c r="CB100" s="128">
        <f>IFERROR(AQ100*$W100,)</f>
        <v/>
      </c>
      <c r="CC100" s="128">
        <f>IFERROR(AR100*$W100,)</f>
        <v/>
      </c>
      <c r="CD100" s="128">
        <f>IFERROR(AS100*$W100,)</f>
        <v/>
      </c>
      <c r="CE100" s="128">
        <f>IFERROR(AT100*$W100,)</f>
        <v/>
      </c>
      <c r="CF100" s="128">
        <f>IFERROR(AU100*$W100,)</f>
        <v/>
      </c>
      <c r="CG100" s="128">
        <f>IFERROR(AV100*$W100,)</f>
        <v/>
      </c>
      <c r="CH100" s="128">
        <f>IFERROR(AW100*$W100,)</f>
        <v/>
      </c>
      <c r="CI100" s="128">
        <f>IFERROR(AX100*$W100,)</f>
        <v/>
      </c>
      <c r="CJ100" s="128">
        <f>IFERROR(AY100*$W100,)</f>
        <v/>
      </c>
      <c r="CK100" s="128">
        <f>IFERROR(AZ100*$W100,)</f>
        <v/>
      </c>
      <c r="CL100" s="129">
        <f>IFERROR(if($Y100=0,BA100*($W100/1.2),BA100*$Y100),"")</f>
        <v/>
      </c>
      <c r="CM100" s="129">
        <f>IFERROR(if($Y100=0,BB100*($W100/1.2),BB100*$Y100),"")</f>
        <v/>
      </c>
      <c r="CN100" s="129">
        <f>IFERROR(if($Y100=0,BC100*($W100/1.2),BC100*$Y100),"")</f>
        <v/>
      </c>
      <c r="CO100" s="130">
        <f>IFERROR(if($AA100=0,($W100/1.35)*BD100,BD100*$AA100),)</f>
        <v/>
      </c>
      <c r="CP100" s="130">
        <f>IFERROR(if($AA100=0,($W100/1.35)*BE100,BE100*$AA100),)</f>
        <v/>
      </c>
      <c r="CQ100" s="130">
        <f>IFERROR(if($AA100=0,($W100/1.35)*BF100,BF100*$AA100),)</f>
        <v/>
      </c>
      <c r="CR100" s="128">
        <f>IFERROR(if($AC100=0,($W100/0.74)*BG100,
BG100*$AC100),)</f>
        <v/>
      </c>
      <c r="CS100" s="128">
        <f>IFERROR(if($AC100=0,($W100/0.74)*BH100,
BH100*$AC100),)</f>
        <v/>
      </c>
      <c r="CT100" s="128">
        <f>IFERROR(if($AC100=0,($W100/0.74)*BI100,
BI100*$AC100),)</f>
        <v/>
      </c>
      <c r="CU100" s="128">
        <f>IFERROR(AI100*$V100,)</f>
        <v/>
      </c>
      <c r="CV100" s="128">
        <f>IFERROR(AJ100*$V100,)</f>
        <v/>
      </c>
      <c r="CW100" s="128">
        <f>IFERROR(AK100*$V100,)</f>
        <v/>
      </c>
      <c r="CX100" s="128">
        <f>IFERROR(AL100*$V100,)</f>
        <v/>
      </c>
      <c r="CY100" s="128">
        <f>IFERROR(AM100*$V100,)</f>
        <v/>
      </c>
      <c r="CZ100" s="128">
        <f>IFERROR(AN100*$V100,)</f>
        <v/>
      </c>
      <c r="DA100" s="128">
        <f>IFERROR(AO100*$V100,)</f>
        <v/>
      </c>
      <c r="DB100" s="128">
        <f>IFERROR(AP100*$V100,)</f>
        <v/>
      </c>
      <c r="DC100" s="128">
        <f>IFERROR(AQ100*$V100,)</f>
        <v/>
      </c>
      <c r="DD100" s="128">
        <f>IFERROR(AR100*$V100,)</f>
        <v/>
      </c>
      <c r="DE100" s="128">
        <f>IFERROR(AS100*$V100,)</f>
        <v/>
      </c>
      <c r="DF100" s="128">
        <f>IFERROR(AT100*$V100,)</f>
        <v/>
      </c>
      <c r="DG100" s="128">
        <f>IFERROR(AU100*$V100,)</f>
        <v/>
      </c>
      <c r="DH100" s="128">
        <f>IFERROR(AV100*$V100,)</f>
        <v/>
      </c>
      <c r="DI100" s="128">
        <f>IFERROR(AW100*$V100,)</f>
        <v/>
      </c>
      <c r="DJ100" s="128">
        <f>IFERROR(AX100*$V100,)</f>
        <v/>
      </c>
      <c r="DK100" s="128">
        <f>IFERROR(AY100*$V100,)</f>
        <v/>
      </c>
      <c r="DL100" s="128">
        <f>IFERROR(AZ100*$V100,)</f>
        <v/>
      </c>
      <c r="DM100" s="129">
        <f>IFERROR(if($X100=0,($V100/1.2)*BA100,
BA100*$X100),)</f>
        <v/>
      </c>
      <c r="DN100" s="129">
        <f>IFERROR(if($X100=0,($V100/1.2)*BB100,
BB100*$X100),)</f>
        <v/>
      </c>
      <c r="DO100" s="129">
        <f>IFERROR(if($X100=0,($V100/1.2)*BC100,
BC100*$X100),)</f>
        <v/>
      </c>
      <c r="DP100" s="130">
        <f>IFERROR(if($Z100=0,($V100/1.35)*BD100,
BD100*$Z100),)</f>
        <v/>
      </c>
      <c r="DQ100" s="130">
        <f>IFERROR(if($Z100=0,($V100/1.35)*BE100,
BE100*$Z100),)</f>
        <v/>
      </c>
      <c r="DR100" s="130">
        <f>IFERROR(if($Z100=0,($V100/1.35)*BF100,
BF100*$Z100),)</f>
        <v/>
      </c>
      <c r="DS100" s="128">
        <f>IFERROR(IF($AB100=0,($V100/0.74)*BG100,
BG100*$AB100),)</f>
        <v/>
      </c>
      <c r="DT100" s="128">
        <f>IFERROR(IF($AB100=0,($V100/0.74)*BH100,
BH100*$AB100),)</f>
        <v/>
      </c>
      <c r="DU100" s="128">
        <f>IFERROR(IF($AB100=0,($V100/0.74)*BI100,
BI100*$AB100),)</f>
        <v/>
      </c>
    </row>
    <row r="101" ht="131.25" customHeight="1" s="162">
      <c r="A101" s="115" t="n"/>
      <c r="B101" s="115" t="n"/>
      <c r="C101" s="115" t="n"/>
      <c r="D101" s="115" t="n"/>
      <c r="E101" s="115" t="n"/>
      <c r="F101" s="115" t="n"/>
      <c r="G101" s="115" t="n"/>
      <c r="H101" s="115" t="n"/>
      <c r="I101" s="115" t="n"/>
      <c r="J101" s="115" t="n"/>
      <c r="K101" s="115" t="n"/>
      <c r="L101" s="115" t="n"/>
      <c r="M101" s="115" t="n"/>
      <c r="N101" s="115" t="n"/>
      <c r="O101" s="115" t="n"/>
      <c r="P101" s="115" t="n"/>
      <c r="Q101" s="115" t="n"/>
      <c r="R101" s="115" t="n"/>
      <c r="S101" s="115" t="n"/>
      <c r="T101" s="115" t="n"/>
      <c r="U101" s="116" t="n"/>
      <c r="V101" s="116" t="n"/>
      <c r="W101" s="117" t="n"/>
      <c r="X101" s="118" t="n"/>
      <c r="Y101" s="119" t="n"/>
      <c r="Z101" s="120" t="n"/>
      <c r="AA101" s="121" t="n"/>
      <c r="AB101" s="122" t="n"/>
      <c r="AC101" s="117" t="n"/>
      <c r="AD101" s="123">
        <f>IF(SUM($AE101:$AH101)=0,"",SUM($AE101:$AH101))</f>
        <v/>
      </c>
      <c r="AE101" s="123">
        <f>iferror(IF(SUM($AI101:$AZ101)=0,"",SUM($AI101:$AZ101)),"")</f>
        <v/>
      </c>
      <c r="AF101" s="123">
        <f>iferror(IF(SUM($BA101:$BC101)=0,"",SUM($BA101:$BC101)),"")</f>
        <v/>
      </c>
      <c r="AG101" s="123">
        <f>iferror(IF(SUM($BD101:$BF101)=0,"",SUM($BD101:$BF101)),"")</f>
        <v/>
      </c>
      <c r="AH101" s="124">
        <f>iferror(IF(SUM($BG101:$BI101)=0,"",SUM($BG101:$BI101)),"")</f>
        <v/>
      </c>
      <c r="AI101" s="131" t="n"/>
      <c r="AJ101" s="132" t="n"/>
      <c r="AK101" s="132" t="n"/>
      <c r="AL101" s="132" t="n"/>
      <c r="AM101" s="132" t="n"/>
      <c r="AN101" s="132" t="n"/>
      <c r="AO101" s="132" t="n"/>
      <c r="AP101" s="132" t="n"/>
      <c r="AQ101" s="132" t="n"/>
      <c r="AR101" s="132" t="n"/>
      <c r="AS101" s="132" t="n"/>
      <c r="AT101" s="132" t="n"/>
      <c r="AU101" s="132" t="n"/>
      <c r="AV101" s="132" t="n"/>
      <c r="AW101" s="132" t="n"/>
      <c r="AX101" s="132" t="n"/>
      <c r="AY101" s="132" t="n"/>
      <c r="AZ101" s="133" t="n"/>
      <c r="BA101" s="131" t="n"/>
      <c r="BB101" s="132" t="n"/>
      <c r="BC101" s="133" t="n"/>
      <c r="BD101" s="131" t="n"/>
      <c r="BE101" s="132" t="n"/>
      <c r="BF101" s="133" t="n"/>
      <c r="BG101" s="131" t="n"/>
      <c r="BH101" s="132" t="n"/>
      <c r="BI101" s="132" t="n"/>
      <c r="BJ101" s="128">
        <f>iferror(SUM($BK101,($BL101*1.2),($BM101*1.35),($BN101*0.74)),)</f>
        <v/>
      </c>
      <c r="BK101" s="128">
        <f>IFERROR(SUM($BT101:$CK101),)</f>
        <v/>
      </c>
      <c r="BL101" s="129">
        <f>IFERROR(SUM($CL101:$CN101),)</f>
        <v/>
      </c>
      <c r="BM101" s="130">
        <f>IFERROR(SUM($CO101:$CQ101),)</f>
        <v/>
      </c>
      <c r="BN101" s="128">
        <f>IFERROR(SUM($CR101:$CT101),)</f>
        <v/>
      </c>
      <c r="BO101" s="128">
        <f>iferror(SUM($BP101,($BQ101*1.2),($BR101*1.35),($BS101*0.74)),)</f>
        <v/>
      </c>
      <c r="BP101" s="128">
        <f>IFERROR(SUM($CU101:$DL101),)</f>
        <v/>
      </c>
      <c r="BQ101" s="128">
        <f>IFERROR(SUM($DM101:$DO101),)</f>
        <v/>
      </c>
      <c r="BR101" s="128">
        <f>IFERROR(SUM($DP101:$DR101),)</f>
        <v/>
      </c>
      <c r="BS101" s="128">
        <f>IFERROR(SUM($DS101:$DU101),)</f>
        <v/>
      </c>
      <c r="BT101" s="128">
        <f>IFERROR(AI101*$W101,)</f>
        <v/>
      </c>
      <c r="BU101" s="128">
        <f>IFERROR(AJ101*$W101,)</f>
        <v/>
      </c>
      <c r="BV101" s="128">
        <f>IFERROR(AK101*$W101,)</f>
        <v/>
      </c>
      <c r="BW101" s="128">
        <f>IFERROR(AL101*$W101,)</f>
        <v/>
      </c>
      <c r="BX101" s="128">
        <f>IFERROR(AM101*$W101,)</f>
        <v/>
      </c>
      <c r="BY101" s="128">
        <f>IFERROR(AN101*$W101,)</f>
        <v/>
      </c>
      <c r="BZ101" s="128">
        <f>IFERROR(AO101*$W101,)</f>
        <v/>
      </c>
      <c r="CA101" s="128">
        <f>IFERROR(AP101*$W101,)</f>
        <v/>
      </c>
      <c r="CB101" s="128">
        <f>IFERROR(AQ101*$W101,)</f>
        <v/>
      </c>
      <c r="CC101" s="128">
        <f>IFERROR(AR101*$W101,)</f>
        <v/>
      </c>
      <c r="CD101" s="128">
        <f>IFERROR(AS101*$W101,)</f>
        <v/>
      </c>
      <c r="CE101" s="128">
        <f>IFERROR(AT101*$W101,)</f>
        <v/>
      </c>
      <c r="CF101" s="128">
        <f>IFERROR(AU101*$W101,)</f>
        <v/>
      </c>
      <c r="CG101" s="128">
        <f>IFERROR(AV101*$W101,)</f>
        <v/>
      </c>
      <c r="CH101" s="128">
        <f>IFERROR(AW101*$W101,)</f>
        <v/>
      </c>
      <c r="CI101" s="128">
        <f>IFERROR(AX101*$W101,)</f>
        <v/>
      </c>
      <c r="CJ101" s="128">
        <f>IFERROR(AY101*$W101,)</f>
        <v/>
      </c>
      <c r="CK101" s="128">
        <f>IFERROR(AZ101*$W101,)</f>
        <v/>
      </c>
      <c r="CL101" s="129">
        <f>IFERROR(if($Y101=0,BA101*($W101/1.2),BA101*$Y101),"")</f>
        <v/>
      </c>
      <c r="CM101" s="129">
        <f>IFERROR(if($Y101=0,BB101*($W101/1.2),BB101*$Y101),"")</f>
        <v/>
      </c>
      <c r="CN101" s="129">
        <f>IFERROR(if($Y101=0,BC101*($W101/1.2),BC101*$Y101),"")</f>
        <v/>
      </c>
      <c r="CO101" s="130">
        <f>IFERROR(if($AA101=0,($W101/1.35)*BD101,BD101*$AA101),)</f>
        <v/>
      </c>
      <c r="CP101" s="130">
        <f>IFERROR(if($AA101=0,($W101/1.35)*BE101,BE101*$AA101),)</f>
        <v/>
      </c>
      <c r="CQ101" s="130">
        <f>IFERROR(if($AA101=0,($W101/1.35)*BF101,BF101*$AA101),)</f>
        <v/>
      </c>
      <c r="CR101" s="128">
        <f>IFERROR(if($AC101=0,($W101/0.74)*BG101,
BG101*$AC101),)</f>
        <v/>
      </c>
      <c r="CS101" s="128">
        <f>IFERROR(if($AC101=0,($W101/0.74)*BH101,
BH101*$AC101),)</f>
        <v/>
      </c>
      <c r="CT101" s="128">
        <f>IFERROR(if($AC101=0,($W101/0.74)*BI101,
BI101*$AC101),)</f>
        <v/>
      </c>
      <c r="CU101" s="128">
        <f>IFERROR(AI101*$V101,)</f>
        <v/>
      </c>
      <c r="CV101" s="128">
        <f>IFERROR(AJ101*$V101,)</f>
        <v/>
      </c>
      <c r="CW101" s="128">
        <f>IFERROR(AK101*$V101,)</f>
        <v/>
      </c>
      <c r="CX101" s="128">
        <f>IFERROR(AL101*$V101,)</f>
        <v/>
      </c>
      <c r="CY101" s="128">
        <f>IFERROR(AM101*$V101,)</f>
        <v/>
      </c>
      <c r="CZ101" s="128">
        <f>IFERROR(AN101*$V101,)</f>
        <v/>
      </c>
      <c r="DA101" s="128">
        <f>IFERROR(AO101*$V101,)</f>
        <v/>
      </c>
      <c r="DB101" s="128">
        <f>IFERROR(AP101*$V101,)</f>
        <v/>
      </c>
      <c r="DC101" s="128">
        <f>IFERROR(AQ101*$V101,)</f>
        <v/>
      </c>
      <c r="DD101" s="128">
        <f>IFERROR(AR101*$V101,)</f>
        <v/>
      </c>
      <c r="DE101" s="128">
        <f>IFERROR(AS101*$V101,)</f>
        <v/>
      </c>
      <c r="DF101" s="128">
        <f>IFERROR(AT101*$V101,)</f>
        <v/>
      </c>
      <c r="DG101" s="128">
        <f>IFERROR(AU101*$V101,)</f>
        <v/>
      </c>
      <c r="DH101" s="128">
        <f>IFERROR(AV101*$V101,)</f>
        <v/>
      </c>
      <c r="DI101" s="128">
        <f>IFERROR(AW101*$V101,)</f>
        <v/>
      </c>
      <c r="DJ101" s="128">
        <f>IFERROR(AX101*$V101,)</f>
        <v/>
      </c>
      <c r="DK101" s="128">
        <f>IFERROR(AY101*$V101,)</f>
        <v/>
      </c>
      <c r="DL101" s="128">
        <f>IFERROR(AZ101*$V101,)</f>
        <v/>
      </c>
      <c r="DM101" s="129">
        <f>IFERROR(if($X101=0,($V101/1.2)*BA101,
BA101*$X101),)</f>
        <v/>
      </c>
      <c r="DN101" s="129">
        <f>IFERROR(if($X101=0,($V101/1.2)*BB101,
BB101*$X101),)</f>
        <v/>
      </c>
      <c r="DO101" s="129">
        <f>IFERROR(if($X101=0,($V101/1.2)*BC101,
BC101*$X101),)</f>
        <v/>
      </c>
      <c r="DP101" s="130">
        <f>IFERROR(if($Z101=0,($V101/1.35)*BD101,
BD101*$Z101),)</f>
        <v/>
      </c>
      <c r="DQ101" s="130">
        <f>IFERROR(if($Z101=0,($V101/1.35)*BE101,
BE101*$Z101),)</f>
        <v/>
      </c>
      <c r="DR101" s="130">
        <f>IFERROR(if($Z101=0,($V101/1.35)*BF101,
BF101*$Z101),)</f>
        <v/>
      </c>
      <c r="DS101" s="128">
        <f>IFERROR(IF($AB101=0,($V101/0.74)*BG101,
BG101*$AB101),)</f>
        <v/>
      </c>
      <c r="DT101" s="128">
        <f>IFERROR(IF($AB101=0,($V101/0.74)*BH101,
BH101*$AB101),)</f>
        <v/>
      </c>
      <c r="DU101" s="128">
        <f>IFERROR(IF($AB101=0,($V101/0.74)*BI101,
BI101*$AB101),)</f>
        <v/>
      </c>
    </row>
    <row r="102" ht="131.25" customHeight="1" s="162">
      <c r="A102" s="115" t="n"/>
      <c r="B102" s="115" t="n"/>
      <c r="C102" s="115" t="n"/>
      <c r="D102" s="115" t="n"/>
      <c r="E102" s="115" t="n"/>
      <c r="F102" s="115" t="n"/>
      <c r="G102" s="115" t="n"/>
      <c r="H102" s="115" t="n"/>
      <c r="I102" s="115" t="n"/>
      <c r="J102" s="115" t="n"/>
      <c r="K102" s="115" t="n"/>
      <c r="L102" s="115" t="n"/>
      <c r="M102" s="115" t="n"/>
      <c r="N102" s="115" t="n"/>
      <c r="O102" s="115" t="n"/>
      <c r="P102" s="115" t="n"/>
      <c r="Q102" s="115" t="n"/>
      <c r="R102" s="115" t="n"/>
      <c r="S102" s="115" t="n"/>
      <c r="T102" s="115" t="n"/>
      <c r="U102" s="116" t="n"/>
      <c r="V102" s="116" t="n"/>
      <c r="W102" s="117" t="n"/>
      <c r="X102" s="118" t="n"/>
      <c r="Y102" s="119" t="n"/>
      <c r="Z102" s="120" t="n"/>
      <c r="AA102" s="121" t="n"/>
      <c r="AB102" s="122" t="n"/>
      <c r="AC102" s="117" t="n"/>
      <c r="AD102" s="123">
        <f>IF(SUM($AE102:$AH102)=0,"",SUM($AE102:$AH102))</f>
        <v/>
      </c>
      <c r="AE102" s="123">
        <f>iferror(IF(SUM($AI102:$AZ102)=0,"",SUM($AI102:$AZ102)),"")</f>
        <v/>
      </c>
      <c r="AF102" s="123">
        <f>iferror(IF(SUM($BA102:$BC102)=0,"",SUM($BA102:$BC102)),"")</f>
        <v/>
      </c>
      <c r="AG102" s="123">
        <f>iferror(IF(SUM($BD102:$BF102)=0,"",SUM($BD102:$BF102)),"")</f>
        <v/>
      </c>
      <c r="AH102" s="124">
        <f>iferror(IF(SUM($BG102:$BI102)=0,"",SUM($BG102:$BI102)),"")</f>
        <v/>
      </c>
      <c r="AI102" s="131" t="n"/>
      <c r="AJ102" s="132" t="n"/>
      <c r="AK102" s="132" t="n"/>
      <c r="AL102" s="132" t="n"/>
      <c r="AM102" s="132" t="n"/>
      <c r="AN102" s="132" t="n"/>
      <c r="AO102" s="132" t="n"/>
      <c r="AP102" s="132" t="n"/>
      <c r="AQ102" s="132" t="n"/>
      <c r="AR102" s="132" t="n"/>
      <c r="AS102" s="132" t="n"/>
      <c r="AT102" s="132" t="n"/>
      <c r="AU102" s="132" t="n"/>
      <c r="AV102" s="132" t="n"/>
      <c r="AW102" s="132" t="n"/>
      <c r="AX102" s="132" t="n"/>
      <c r="AY102" s="132" t="n"/>
      <c r="AZ102" s="133" t="n"/>
      <c r="BA102" s="131" t="n"/>
      <c r="BB102" s="132" t="n"/>
      <c r="BC102" s="133" t="n"/>
      <c r="BD102" s="131" t="n"/>
      <c r="BE102" s="132" t="n"/>
      <c r="BF102" s="133" t="n"/>
      <c r="BG102" s="131" t="n"/>
      <c r="BH102" s="132" t="n"/>
      <c r="BI102" s="132" t="n"/>
      <c r="BJ102" s="128">
        <f>iferror(SUM($BK102,($BL102*1.2),($BM102*1.35),($BN102*0.74)),)</f>
        <v/>
      </c>
      <c r="BK102" s="128">
        <f>IFERROR(SUM($BT102:$CK102),)</f>
        <v/>
      </c>
      <c r="BL102" s="129">
        <f>IFERROR(SUM($CL102:$CN102),)</f>
        <v/>
      </c>
      <c r="BM102" s="130">
        <f>IFERROR(SUM($CO102:$CQ102),)</f>
        <v/>
      </c>
      <c r="BN102" s="128">
        <f>IFERROR(SUM($CR102:$CT102),)</f>
        <v/>
      </c>
      <c r="BO102" s="128">
        <f>iferror(SUM($BP102,($BQ102*1.2),($BR102*1.35),($BS102*0.74)),)</f>
        <v/>
      </c>
      <c r="BP102" s="128">
        <f>IFERROR(SUM($CU102:$DL102),)</f>
        <v/>
      </c>
      <c r="BQ102" s="128">
        <f>IFERROR(SUM($DM102:$DO102),)</f>
        <v/>
      </c>
      <c r="BR102" s="128">
        <f>IFERROR(SUM($DP102:$DR102),)</f>
        <v/>
      </c>
      <c r="BS102" s="128">
        <f>IFERROR(SUM($DS102:$DU102),)</f>
        <v/>
      </c>
      <c r="BT102" s="128">
        <f>IFERROR(AI102*$W102,)</f>
        <v/>
      </c>
      <c r="BU102" s="128">
        <f>IFERROR(AJ102*$W102,)</f>
        <v/>
      </c>
      <c r="BV102" s="128">
        <f>IFERROR(AK102*$W102,)</f>
        <v/>
      </c>
      <c r="BW102" s="128">
        <f>IFERROR(AL102*$W102,)</f>
        <v/>
      </c>
      <c r="BX102" s="128">
        <f>IFERROR(AM102*$W102,)</f>
        <v/>
      </c>
      <c r="BY102" s="128">
        <f>IFERROR(AN102*$W102,)</f>
        <v/>
      </c>
      <c r="BZ102" s="128">
        <f>IFERROR(AO102*$W102,)</f>
        <v/>
      </c>
      <c r="CA102" s="128">
        <f>IFERROR(AP102*$W102,)</f>
        <v/>
      </c>
      <c r="CB102" s="128">
        <f>IFERROR(AQ102*$W102,)</f>
        <v/>
      </c>
      <c r="CC102" s="128">
        <f>IFERROR(AR102*$W102,)</f>
        <v/>
      </c>
      <c r="CD102" s="128">
        <f>IFERROR(AS102*$W102,)</f>
        <v/>
      </c>
      <c r="CE102" s="128">
        <f>IFERROR(AT102*$W102,)</f>
        <v/>
      </c>
      <c r="CF102" s="128">
        <f>IFERROR(AU102*$W102,)</f>
        <v/>
      </c>
      <c r="CG102" s="128">
        <f>IFERROR(AV102*$W102,)</f>
        <v/>
      </c>
      <c r="CH102" s="128">
        <f>IFERROR(AW102*$W102,)</f>
        <v/>
      </c>
      <c r="CI102" s="128">
        <f>IFERROR(AX102*$W102,)</f>
        <v/>
      </c>
      <c r="CJ102" s="128">
        <f>IFERROR(AY102*$W102,)</f>
        <v/>
      </c>
      <c r="CK102" s="128">
        <f>IFERROR(AZ102*$W102,)</f>
        <v/>
      </c>
      <c r="CL102" s="129">
        <f>IFERROR(if($Y102=0,BA102*($W102/1.2),BA102*$Y102),"")</f>
        <v/>
      </c>
      <c r="CM102" s="129">
        <f>IFERROR(if($Y102=0,BB102*($W102/1.2),BB102*$Y102),"")</f>
        <v/>
      </c>
      <c r="CN102" s="129">
        <f>IFERROR(if($Y102=0,BC102*($W102/1.2),BC102*$Y102),"")</f>
        <v/>
      </c>
      <c r="CO102" s="130">
        <f>IFERROR(if($AA102=0,($W102/1.35)*BD102,BD102*$AA102),)</f>
        <v/>
      </c>
      <c r="CP102" s="130">
        <f>IFERROR(if($AA102=0,($W102/1.35)*BE102,BE102*$AA102),)</f>
        <v/>
      </c>
      <c r="CQ102" s="130">
        <f>IFERROR(if($AA102=0,($W102/1.35)*BF102,BF102*$AA102),)</f>
        <v/>
      </c>
      <c r="CR102" s="128">
        <f>IFERROR(if($AC102=0,($W102/0.74)*BG102,
BG102*$AC102),)</f>
        <v/>
      </c>
      <c r="CS102" s="128">
        <f>IFERROR(if($AC102=0,($W102/0.74)*BH102,
BH102*$AC102),)</f>
        <v/>
      </c>
      <c r="CT102" s="128">
        <f>IFERROR(if($AC102=0,($W102/0.74)*BI102,
BI102*$AC102),)</f>
        <v/>
      </c>
      <c r="CU102" s="128">
        <f>IFERROR(AI102*$V102,)</f>
        <v/>
      </c>
      <c r="CV102" s="128">
        <f>IFERROR(AJ102*$V102,)</f>
        <v/>
      </c>
      <c r="CW102" s="128">
        <f>IFERROR(AK102*$V102,)</f>
        <v/>
      </c>
      <c r="CX102" s="128">
        <f>IFERROR(AL102*$V102,)</f>
        <v/>
      </c>
      <c r="CY102" s="128">
        <f>IFERROR(AM102*$V102,)</f>
        <v/>
      </c>
      <c r="CZ102" s="128">
        <f>IFERROR(AN102*$V102,)</f>
        <v/>
      </c>
      <c r="DA102" s="128">
        <f>IFERROR(AO102*$V102,)</f>
        <v/>
      </c>
      <c r="DB102" s="128">
        <f>IFERROR(AP102*$V102,)</f>
        <v/>
      </c>
      <c r="DC102" s="128">
        <f>IFERROR(AQ102*$V102,)</f>
        <v/>
      </c>
      <c r="DD102" s="128">
        <f>IFERROR(AR102*$V102,)</f>
        <v/>
      </c>
      <c r="DE102" s="128">
        <f>IFERROR(AS102*$V102,)</f>
        <v/>
      </c>
      <c r="DF102" s="128">
        <f>IFERROR(AT102*$V102,)</f>
        <v/>
      </c>
      <c r="DG102" s="128">
        <f>IFERROR(AU102*$V102,)</f>
        <v/>
      </c>
      <c r="DH102" s="128">
        <f>IFERROR(AV102*$V102,)</f>
        <v/>
      </c>
      <c r="DI102" s="128">
        <f>IFERROR(AW102*$V102,)</f>
        <v/>
      </c>
      <c r="DJ102" s="128">
        <f>IFERROR(AX102*$V102,)</f>
        <v/>
      </c>
      <c r="DK102" s="128">
        <f>IFERROR(AY102*$V102,)</f>
        <v/>
      </c>
      <c r="DL102" s="128">
        <f>IFERROR(AZ102*$V102,)</f>
        <v/>
      </c>
      <c r="DM102" s="129">
        <f>IFERROR(if($X102=0,($V102/1.2)*BA102,
BA102*$X102),)</f>
        <v/>
      </c>
      <c r="DN102" s="129">
        <f>IFERROR(if($X102=0,($V102/1.2)*BB102,
BB102*$X102),)</f>
        <v/>
      </c>
      <c r="DO102" s="129">
        <f>IFERROR(if($X102=0,($V102/1.2)*BC102,
BC102*$X102),)</f>
        <v/>
      </c>
      <c r="DP102" s="130">
        <f>IFERROR(if($Z102=0,($V102/1.35)*BD102,
BD102*$Z102),)</f>
        <v/>
      </c>
      <c r="DQ102" s="130">
        <f>IFERROR(if($Z102=0,($V102/1.35)*BE102,
BE102*$Z102),)</f>
        <v/>
      </c>
      <c r="DR102" s="130">
        <f>IFERROR(if($Z102=0,($V102/1.35)*BF102,
BF102*$Z102),)</f>
        <v/>
      </c>
      <c r="DS102" s="128">
        <f>IFERROR(IF($AB102=0,($V102/0.74)*BG102,
BG102*$AB102),)</f>
        <v/>
      </c>
      <c r="DT102" s="128">
        <f>IFERROR(IF($AB102=0,($V102/0.74)*BH102,
BH102*$AB102),)</f>
        <v/>
      </c>
      <c r="DU102" s="128">
        <f>IFERROR(IF($AB102=0,($V102/0.74)*BI102,
BI102*$AB102),)</f>
        <v/>
      </c>
    </row>
    <row r="103" ht="131.25" customHeight="1" s="162">
      <c r="A103" s="115" t="n"/>
      <c r="B103" s="115" t="n"/>
      <c r="C103" s="115" t="n"/>
      <c r="D103" s="115" t="n"/>
      <c r="E103" s="115" t="n"/>
      <c r="F103" s="115" t="n"/>
      <c r="G103" s="115" t="n"/>
      <c r="H103" s="115" t="n"/>
      <c r="I103" s="115" t="n"/>
      <c r="J103" s="115" t="n"/>
      <c r="K103" s="115" t="n"/>
      <c r="L103" s="115" t="n"/>
      <c r="M103" s="115" t="n"/>
      <c r="N103" s="115" t="n"/>
      <c r="O103" s="115" t="n"/>
      <c r="P103" s="115" t="n"/>
      <c r="Q103" s="115" t="n"/>
      <c r="R103" s="115" t="n"/>
      <c r="S103" s="115" t="n"/>
      <c r="T103" s="115" t="n"/>
      <c r="U103" s="116" t="n"/>
      <c r="V103" s="116" t="n"/>
      <c r="W103" s="117" t="n"/>
      <c r="X103" s="118" t="n"/>
      <c r="Y103" s="119" t="n"/>
      <c r="Z103" s="120" t="n"/>
      <c r="AA103" s="121" t="n"/>
      <c r="AB103" s="122" t="n"/>
      <c r="AC103" s="117" t="n"/>
      <c r="AD103" s="123">
        <f>IF(SUM($AE103:$AH103)=0,"",SUM($AE103:$AH103))</f>
        <v/>
      </c>
      <c r="AE103" s="123">
        <f>iferror(IF(SUM($AI103:$AZ103)=0,"",SUM($AI103:$AZ103)),"")</f>
        <v/>
      </c>
      <c r="AF103" s="123">
        <f>iferror(IF(SUM($BA103:$BC103)=0,"",SUM($BA103:$BC103)),"")</f>
        <v/>
      </c>
      <c r="AG103" s="123">
        <f>iferror(IF(SUM($BD103:$BF103)=0,"",SUM($BD103:$BF103)),"")</f>
        <v/>
      </c>
      <c r="AH103" s="124">
        <f>iferror(IF(SUM($BG103:$BI103)=0,"",SUM($BG103:$BI103)),"")</f>
        <v/>
      </c>
      <c r="AI103" s="131" t="n"/>
      <c r="AJ103" s="132" t="n"/>
      <c r="AK103" s="132" t="n"/>
      <c r="AL103" s="132" t="n"/>
      <c r="AM103" s="132" t="n"/>
      <c r="AN103" s="132" t="n"/>
      <c r="AO103" s="132" t="n"/>
      <c r="AP103" s="132" t="n"/>
      <c r="AQ103" s="132" t="n"/>
      <c r="AR103" s="132" t="n"/>
      <c r="AS103" s="132" t="n"/>
      <c r="AT103" s="132" t="n"/>
      <c r="AU103" s="132" t="n"/>
      <c r="AV103" s="132" t="n"/>
      <c r="AW103" s="132" t="n"/>
      <c r="AX103" s="132" t="n"/>
      <c r="AY103" s="132" t="n"/>
      <c r="AZ103" s="133" t="n"/>
      <c r="BA103" s="131" t="n"/>
      <c r="BB103" s="132" t="n"/>
      <c r="BC103" s="133" t="n"/>
      <c r="BD103" s="131" t="n"/>
      <c r="BE103" s="132" t="n"/>
      <c r="BF103" s="133" t="n"/>
      <c r="BG103" s="131" t="n"/>
      <c r="BH103" s="132" t="n"/>
      <c r="BI103" s="132" t="n"/>
      <c r="BJ103" s="128">
        <f>iferror(SUM($BK103,($BL103*1.2),($BM103*1.35),($BN103*0.74)),)</f>
        <v/>
      </c>
      <c r="BK103" s="128">
        <f>IFERROR(SUM($BT103:$CK103),)</f>
        <v/>
      </c>
      <c r="BL103" s="129">
        <f>IFERROR(SUM($CL103:$CN103),)</f>
        <v/>
      </c>
      <c r="BM103" s="130">
        <f>IFERROR(SUM($CO103:$CQ103),)</f>
        <v/>
      </c>
      <c r="BN103" s="128">
        <f>IFERROR(SUM($CR103:$CT103),)</f>
        <v/>
      </c>
      <c r="BO103" s="128">
        <f>iferror(SUM($BP103,($BQ103*1.2),($BR103*1.35),($BS103*0.74)),)</f>
        <v/>
      </c>
      <c r="BP103" s="128">
        <f>IFERROR(SUM($CU103:$DL103),)</f>
        <v/>
      </c>
      <c r="BQ103" s="128">
        <f>IFERROR(SUM($DM103:$DO103),)</f>
        <v/>
      </c>
      <c r="BR103" s="128">
        <f>IFERROR(SUM($DP103:$DR103),)</f>
        <v/>
      </c>
      <c r="BS103" s="128">
        <f>IFERROR(SUM($DS103:$DU103),)</f>
        <v/>
      </c>
      <c r="BT103" s="128">
        <f>IFERROR(AI103*$W103,)</f>
        <v/>
      </c>
      <c r="BU103" s="128">
        <f>IFERROR(AJ103*$W103,)</f>
        <v/>
      </c>
      <c r="BV103" s="128">
        <f>IFERROR(AK103*$W103,)</f>
        <v/>
      </c>
      <c r="BW103" s="128">
        <f>IFERROR(AL103*$W103,)</f>
        <v/>
      </c>
      <c r="BX103" s="128">
        <f>IFERROR(AM103*$W103,)</f>
        <v/>
      </c>
      <c r="BY103" s="128">
        <f>IFERROR(AN103*$W103,)</f>
        <v/>
      </c>
      <c r="BZ103" s="128">
        <f>IFERROR(AO103*$W103,)</f>
        <v/>
      </c>
      <c r="CA103" s="128">
        <f>IFERROR(AP103*$W103,)</f>
        <v/>
      </c>
      <c r="CB103" s="128">
        <f>IFERROR(AQ103*$W103,)</f>
        <v/>
      </c>
      <c r="CC103" s="128">
        <f>IFERROR(AR103*$W103,)</f>
        <v/>
      </c>
      <c r="CD103" s="128">
        <f>IFERROR(AS103*$W103,)</f>
        <v/>
      </c>
      <c r="CE103" s="128">
        <f>IFERROR(AT103*$W103,)</f>
        <v/>
      </c>
      <c r="CF103" s="128">
        <f>IFERROR(AU103*$W103,)</f>
        <v/>
      </c>
      <c r="CG103" s="128">
        <f>IFERROR(AV103*$W103,)</f>
        <v/>
      </c>
      <c r="CH103" s="128">
        <f>IFERROR(AW103*$W103,)</f>
        <v/>
      </c>
      <c r="CI103" s="128">
        <f>IFERROR(AX103*$W103,)</f>
        <v/>
      </c>
      <c r="CJ103" s="128">
        <f>IFERROR(AY103*$W103,)</f>
        <v/>
      </c>
      <c r="CK103" s="128">
        <f>IFERROR(AZ103*$W103,)</f>
        <v/>
      </c>
      <c r="CL103" s="129">
        <f>IFERROR(if($Y103=0,BA103*($W103/1.2),BA103*$Y103),"")</f>
        <v/>
      </c>
      <c r="CM103" s="129">
        <f>IFERROR(if($Y103=0,BB103*($W103/1.2),BB103*$Y103),"")</f>
        <v/>
      </c>
      <c r="CN103" s="129">
        <f>IFERROR(if($Y103=0,BC103*($W103/1.2),BC103*$Y103),"")</f>
        <v/>
      </c>
      <c r="CO103" s="130">
        <f>IFERROR(if($AA103=0,($W103/1.35)*BD103,BD103*$AA103),)</f>
        <v/>
      </c>
      <c r="CP103" s="130">
        <f>IFERROR(if($AA103=0,($W103/1.35)*BE103,BE103*$AA103),)</f>
        <v/>
      </c>
      <c r="CQ103" s="130">
        <f>IFERROR(if($AA103=0,($W103/1.35)*BF103,BF103*$AA103),)</f>
        <v/>
      </c>
      <c r="CR103" s="128">
        <f>IFERROR(if($AC103=0,($W103/0.74)*BG103,
BG103*$AC103),)</f>
        <v/>
      </c>
      <c r="CS103" s="128">
        <f>IFERROR(if($AC103=0,($W103/0.74)*BH103,
BH103*$AC103),)</f>
        <v/>
      </c>
      <c r="CT103" s="128">
        <f>IFERROR(if($AC103=0,($W103/0.74)*BI103,
BI103*$AC103),)</f>
        <v/>
      </c>
      <c r="CU103" s="128">
        <f>IFERROR(AI103*$V103,)</f>
        <v/>
      </c>
      <c r="CV103" s="128">
        <f>IFERROR(AJ103*$V103,)</f>
        <v/>
      </c>
      <c r="CW103" s="128">
        <f>IFERROR(AK103*$V103,)</f>
        <v/>
      </c>
      <c r="CX103" s="128">
        <f>IFERROR(AL103*$V103,)</f>
        <v/>
      </c>
      <c r="CY103" s="128">
        <f>IFERROR(AM103*$V103,)</f>
        <v/>
      </c>
      <c r="CZ103" s="128">
        <f>IFERROR(AN103*$V103,)</f>
        <v/>
      </c>
      <c r="DA103" s="128">
        <f>IFERROR(AO103*$V103,)</f>
        <v/>
      </c>
      <c r="DB103" s="128">
        <f>IFERROR(AP103*$V103,)</f>
        <v/>
      </c>
      <c r="DC103" s="128">
        <f>IFERROR(AQ103*$V103,)</f>
        <v/>
      </c>
      <c r="DD103" s="128">
        <f>IFERROR(AR103*$V103,)</f>
        <v/>
      </c>
      <c r="DE103" s="128">
        <f>IFERROR(AS103*$V103,)</f>
        <v/>
      </c>
      <c r="DF103" s="128">
        <f>IFERROR(AT103*$V103,)</f>
        <v/>
      </c>
      <c r="DG103" s="128">
        <f>IFERROR(AU103*$V103,)</f>
        <v/>
      </c>
      <c r="DH103" s="128">
        <f>IFERROR(AV103*$V103,)</f>
        <v/>
      </c>
      <c r="DI103" s="128">
        <f>IFERROR(AW103*$V103,)</f>
        <v/>
      </c>
      <c r="DJ103" s="128">
        <f>IFERROR(AX103*$V103,)</f>
        <v/>
      </c>
      <c r="DK103" s="128">
        <f>IFERROR(AY103*$V103,)</f>
        <v/>
      </c>
      <c r="DL103" s="128">
        <f>IFERROR(AZ103*$V103,)</f>
        <v/>
      </c>
      <c r="DM103" s="129">
        <f>IFERROR(if($X103=0,($V103/1.2)*BA103,
BA103*$X103),)</f>
        <v/>
      </c>
      <c r="DN103" s="129">
        <f>IFERROR(if($X103=0,($V103/1.2)*BB103,
BB103*$X103),)</f>
        <v/>
      </c>
      <c r="DO103" s="129">
        <f>IFERROR(if($X103=0,($V103/1.2)*BC103,
BC103*$X103),)</f>
        <v/>
      </c>
      <c r="DP103" s="130">
        <f>IFERROR(if($Z103=0,($V103/1.35)*BD103,
BD103*$Z103),)</f>
        <v/>
      </c>
      <c r="DQ103" s="130">
        <f>IFERROR(if($Z103=0,($V103/1.35)*BE103,
BE103*$Z103),)</f>
        <v/>
      </c>
      <c r="DR103" s="130">
        <f>IFERROR(if($Z103=0,($V103/1.35)*BF103,
BF103*$Z103),)</f>
        <v/>
      </c>
      <c r="DS103" s="128">
        <f>IFERROR(IF($AB103=0,($V103/0.74)*BG103,
BG103*$AB103),)</f>
        <v/>
      </c>
      <c r="DT103" s="128">
        <f>IFERROR(IF($AB103=0,($V103/0.74)*BH103,
BH103*$AB103),)</f>
        <v/>
      </c>
      <c r="DU103" s="128">
        <f>IFERROR(IF($AB103=0,($V103/0.74)*BI103,
BI103*$AB103),)</f>
        <v/>
      </c>
    </row>
    <row r="104" ht="131.25" customHeight="1" s="162">
      <c r="A104" s="115" t="n"/>
      <c r="B104" s="115" t="n"/>
      <c r="C104" s="115" t="n"/>
      <c r="D104" s="115" t="n"/>
      <c r="E104" s="115" t="n"/>
      <c r="F104" s="115" t="n"/>
      <c r="G104" s="115" t="n"/>
      <c r="H104" s="115" t="n"/>
      <c r="I104" s="115" t="n"/>
      <c r="J104" s="115" t="n"/>
      <c r="K104" s="115" t="n"/>
      <c r="L104" s="115" t="n"/>
      <c r="M104" s="115" t="n"/>
      <c r="N104" s="115" t="n"/>
      <c r="O104" s="115" t="n"/>
      <c r="P104" s="115" t="n"/>
      <c r="Q104" s="115" t="n"/>
      <c r="R104" s="115" t="n"/>
      <c r="S104" s="115" t="n"/>
      <c r="T104" s="115" t="n"/>
      <c r="U104" s="116" t="n"/>
      <c r="V104" s="116" t="n"/>
      <c r="W104" s="117" t="n"/>
      <c r="X104" s="118" t="n"/>
      <c r="Y104" s="119" t="n"/>
      <c r="Z104" s="120" t="n"/>
      <c r="AA104" s="121" t="n"/>
      <c r="AB104" s="122" t="n"/>
      <c r="AC104" s="117" t="n"/>
      <c r="AD104" s="123">
        <f>IF(SUM($AE104:$AH104)=0,"",SUM($AE104:$AH104))</f>
        <v/>
      </c>
      <c r="AE104" s="123">
        <f>iferror(IF(SUM($AI104:$AZ104)=0,"",SUM($AI104:$AZ104)),"")</f>
        <v/>
      </c>
      <c r="AF104" s="123">
        <f>iferror(IF(SUM($BA104:$BC104)=0,"",SUM($BA104:$BC104)),"")</f>
        <v/>
      </c>
      <c r="AG104" s="123">
        <f>iferror(IF(SUM($BD104:$BF104)=0,"",SUM($BD104:$BF104)),"")</f>
        <v/>
      </c>
      <c r="AH104" s="124">
        <f>iferror(IF(SUM($BG104:$BI104)=0,"",SUM($BG104:$BI104)),"")</f>
        <v/>
      </c>
      <c r="AI104" s="131" t="n"/>
      <c r="AJ104" s="132" t="n"/>
      <c r="AK104" s="132" t="n"/>
      <c r="AL104" s="132" t="n"/>
      <c r="AM104" s="132" t="n"/>
      <c r="AN104" s="132" t="n"/>
      <c r="AO104" s="132" t="n"/>
      <c r="AP104" s="132" t="n"/>
      <c r="AQ104" s="132" t="n"/>
      <c r="AR104" s="132" t="n"/>
      <c r="AS104" s="132" t="n"/>
      <c r="AT104" s="132" t="n"/>
      <c r="AU104" s="132" t="n"/>
      <c r="AV104" s="132" t="n"/>
      <c r="AW104" s="132" t="n"/>
      <c r="AX104" s="132" t="n"/>
      <c r="AY104" s="132" t="n"/>
      <c r="AZ104" s="133" t="n"/>
      <c r="BA104" s="131" t="n"/>
      <c r="BB104" s="132" t="n"/>
      <c r="BC104" s="133" t="n"/>
      <c r="BD104" s="131" t="n"/>
      <c r="BE104" s="132" t="n"/>
      <c r="BF104" s="133" t="n"/>
      <c r="BG104" s="131" t="n"/>
      <c r="BH104" s="132" t="n"/>
      <c r="BI104" s="132" t="n"/>
      <c r="BJ104" s="128">
        <f>iferror(SUM($BK104,($BL104*1.2),($BM104*1.35),($BN104*0.74)),)</f>
        <v/>
      </c>
      <c r="BK104" s="128">
        <f>IFERROR(SUM($BT104:$CK104),)</f>
        <v/>
      </c>
      <c r="BL104" s="129">
        <f>IFERROR(SUM($CL104:$CN104),)</f>
        <v/>
      </c>
      <c r="BM104" s="130">
        <f>IFERROR(SUM($CO104:$CQ104),)</f>
        <v/>
      </c>
      <c r="BN104" s="128">
        <f>IFERROR(SUM($CR104:$CT104),)</f>
        <v/>
      </c>
      <c r="BO104" s="128">
        <f>iferror(SUM($BP104,($BQ104*1.2),($BR104*1.35),($BS104*0.74)),)</f>
        <v/>
      </c>
      <c r="BP104" s="128">
        <f>IFERROR(SUM($CU104:$DL104),)</f>
        <v/>
      </c>
      <c r="BQ104" s="128">
        <f>IFERROR(SUM($DM104:$DO104),)</f>
        <v/>
      </c>
      <c r="BR104" s="128">
        <f>IFERROR(SUM($DP104:$DR104),)</f>
        <v/>
      </c>
      <c r="BS104" s="128">
        <f>IFERROR(SUM($DS104:$DU104),)</f>
        <v/>
      </c>
      <c r="BT104" s="128">
        <f>IFERROR(AI104*$W104,)</f>
        <v/>
      </c>
      <c r="BU104" s="128">
        <f>IFERROR(AJ104*$W104,)</f>
        <v/>
      </c>
      <c r="BV104" s="128">
        <f>IFERROR(AK104*$W104,)</f>
        <v/>
      </c>
      <c r="BW104" s="128">
        <f>IFERROR(AL104*$W104,)</f>
        <v/>
      </c>
      <c r="BX104" s="128">
        <f>IFERROR(AM104*$W104,)</f>
        <v/>
      </c>
      <c r="BY104" s="128">
        <f>IFERROR(AN104*$W104,)</f>
        <v/>
      </c>
      <c r="BZ104" s="128">
        <f>IFERROR(AO104*$W104,)</f>
        <v/>
      </c>
      <c r="CA104" s="128">
        <f>IFERROR(AP104*$W104,)</f>
        <v/>
      </c>
      <c r="CB104" s="128">
        <f>IFERROR(AQ104*$W104,)</f>
        <v/>
      </c>
      <c r="CC104" s="128">
        <f>IFERROR(AR104*$W104,)</f>
        <v/>
      </c>
      <c r="CD104" s="128">
        <f>IFERROR(AS104*$W104,)</f>
        <v/>
      </c>
      <c r="CE104" s="128">
        <f>IFERROR(AT104*$W104,)</f>
        <v/>
      </c>
      <c r="CF104" s="128">
        <f>IFERROR(AU104*$W104,)</f>
        <v/>
      </c>
      <c r="CG104" s="128">
        <f>IFERROR(AV104*$W104,)</f>
        <v/>
      </c>
      <c r="CH104" s="128">
        <f>IFERROR(AW104*$W104,)</f>
        <v/>
      </c>
      <c r="CI104" s="128">
        <f>IFERROR(AX104*$W104,)</f>
        <v/>
      </c>
      <c r="CJ104" s="128">
        <f>IFERROR(AY104*$W104,)</f>
        <v/>
      </c>
      <c r="CK104" s="128">
        <f>IFERROR(AZ104*$W104,)</f>
        <v/>
      </c>
      <c r="CL104" s="129">
        <f>IFERROR(if($Y104=0,BA104*($W104/1.2),BA104*$Y104),"")</f>
        <v/>
      </c>
      <c r="CM104" s="129">
        <f>IFERROR(if($Y104=0,BB104*($W104/1.2),BB104*$Y104),"")</f>
        <v/>
      </c>
      <c r="CN104" s="129">
        <f>IFERROR(if($Y104=0,BC104*($W104/1.2),BC104*$Y104),"")</f>
        <v/>
      </c>
      <c r="CO104" s="130">
        <f>IFERROR(if($AA104=0,($W104/1.35)*BD104,BD104*$AA104),)</f>
        <v/>
      </c>
      <c r="CP104" s="130">
        <f>IFERROR(if($AA104=0,($W104/1.35)*BE104,BE104*$AA104),)</f>
        <v/>
      </c>
      <c r="CQ104" s="130">
        <f>IFERROR(if($AA104=0,($W104/1.35)*BF104,BF104*$AA104),)</f>
        <v/>
      </c>
      <c r="CR104" s="128">
        <f>IFERROR(if($AC104=0,($W104/0.74)*BG104,
BG104*$AC104),)</f>
        <v/>
      </c>
      <c r="CS104" s="128">
        <f>IFERROR(if($AC104=0,($W104/0.74)*BH104,
BH104*$AC104),)</f>
        <v/>
      </c>
      <c r="CT104" s="128">
        <f>IFERROR(if($AC104=0,($W104/0.74)*BI104,
BI104*$AC104),)</f>
        <v/>
      </c>
      <c r="CU104" s="128">
        <f>IFERROR(AI104*$V104,)</f>
        <v/>
      </c>
      <c r="CV104" s="128">
        <f>IFERROR(AJ104*$V104,)</f>
        <v/>
      </c>
      <c r="CW104" s="128">
        <f>IFERROR(AK104*$V104,)</f>
        <v/>
      </c>
      <c r="CX104" s="128">
        <f>IFERROR(AL104*$V104,)</f>
        <v/>
      </c>
      <c r="CY104" s="128">
        <f>IFERROR(AM104*$V104,)</f>
        <v/>
      </c>
      <c r="CZ104" s="128">
        <f>IFERROR(AN104*$V104,)</f>
        <v/>
      </c>
      <c r="DA104" s="128">
        <f>IFERROR(AO104*$V104,)</f>
        <v/>
      </c>
      <c r="DB104" s="128">
        <f>IFERROR(AP104*$V104,)</f>
        <v/>
      </c>
      <c r="DC104" s="128">
        <f>IFERROR(AQ104*$V104,)</f>
        <v/>
      </c>
      <c r="DD104" s="128">
        <f>IFERROR(AR104*$V104,)</f>
        <v/>
      </c>
      <c r="DE104" s="128">
        <f>IFERROR(AS104*$V104,)</f>
        <v/>
      </c>
      <c r="DF104" s="128">
        <f>IFERROR(AT104*$V104,)</f>
        <v/>
      </c>
      <c r="DG104" s="128">
        <f>IFERROR(AU104*$V104,)</f>
        <v/>
      </c>
      <c r="DH104" s="128">
        <f>IFERROR(AV104*$V104,)</f>
        <v/>
      </c>
      <c r="DI104" s="128">
        <f>IFERROR(AW104*$V104,)</f>
        <v/>
      </c>
      <c r="DJ104" s="128">
        <f>IFERROR(AX104*$V104,)</f>
        <v/>
      </c>
      <c r="DK104" s="128">
        <f>IFERROR(AY104*$V104,)</f>
        <v/>
      </c>
      <c r="DL104" s="128">
        <f>IFERROR(AZ104*$V104,)</f>
        <v/>
      </c>
      <c r="DM104" s="129">
        <f>IFERROR(if($X104=0,($V104/1.2)*BA104,
BA104*$X104),)</f>
        <v/>
      </c>
      <c r="DN104" s="129">
        <f>IFERROR(if($X104=0,($V104/1.2)*BB104,
BB104*$X104),)</f>
        <v/>
      </c>
      <c r="DO104" s="129">
        <f>IFERROR(if($X104=0,($V104/1.2)*BC104,
BC104*$X104),)</f>
        <v/>
      </c>
      <c r="DP104" s="130">
        <f>IFERROR(if($Z104=0,($V104/1.35)*BD104,
BD104*$Z104),)</f>
        <v/>
      </c>
      <c r="DQ104" s="130">
        <f>IFERROR(if($Z104=0,($V104/1.35)*BE104,
BE104*$Z104),)</f>
        <v/>
      </c>
      <c r="DR104" s="130">
        <f>IFERROR(if($Z104=0,($V104/1.35)*BF104,
BF104*$Z104),)</f>
        <v/>
      </c>
      <c r="DS104" s="128">
        <f>IFERROR(IF($AB104=0,($V104/0.74)*BG104,
BG104*$AB104),)</f>
        <v/>
      </c>
      <c r="DT104" s="128">
        <f>IFERROR(IF($AB104=0,($V104/0.74)*BH104,
BH104*$AB104),)</f>
        <v/>
      </c>
      <c r="DU104" s="128">
        <f>IFERROR(IF($AB104=0,($V104/0.74)*BI104,
BI104*$AB104),)</f>
        <v/>
      </c>
    </row>
    <row r="105" ht="131.25" customHeight="1" s="162">
      <c r="A105" s="115" t="n"/>
      <c r="B105" s="115" t="n"/>
      <c r="C105" s="115" t="n"/>
      <c r="D105" s="115" t="n"/>
      <c r="E105" s="115" t="n"/>
      <c r="F105" s="115" t="n"/>
      <c r="G105" s="115" t="n"/>
      <c r="H105" s="115" t="n"/>
      <c r="I105" s="115" t="n"/>
      <c r="J105" s="115" t="n"/>
      <c r="K105" s="115" t="n"/>
      <c r="L105" s="115" t="n"/>
      <c r="M105" s="115" t="n"/>
      <c r="N105" s="115" t="n"/>
      <c r="O105" s="115" t="n"/>
      <c r="P105" s="115" t="n"/>
      <c r="Q105" s="115" t="n"/>
      <c r="R105" s="115" t="n"/>
      <c r="S105" s="115" t="n"/>
      <c r="T105" s="115" t="n"/>
      <c r="U105" s="116" t="n"/>
      <c r="V105" s="116" t="n"/>
      <c r="W105" s="117" t="n"/>
      <c r="X105" s="118" t="n"/>
      <c r="Y105" s="119" t="n"/>
      <c r="Z105" s="120" t="n"/>
      <c r="AA105" s="121" t="n"/>
      <c r="AB105" s="122" t="n"/>
      <c r="AC105" s="117" t="n"/>
      <c r="AD105" s="123">
        <f>IF(SUM($AE105:$AH105)=0,"",SUM($AE105:$AH105))</f>
        <v/>
      </c>
      <c r="AE105" s="123">
        <f>iferror(IF(SUM($AI105:$AZ105)=0,"",SUM($AI105:$AZ105)),"")</f>
        <v/>
      </c>
      <c r="AF105" s="123">
        <f>iferror(IF(SUM($BA105:$BC105)=0,"",SUM($BA105:$BC105)),"")</f>
        <v/>
      </c>
      <c r="AG105" s="123">
        <f>iferror(IF(SUM($BD105:$BF105)=0,"",SUM($BD105:$BF105)),"")</f>
        <v/>
      </c>
      <c r="AH105" s="124">
        <f>iferror(IF(SUM($BG105:$BI105)=0,"",SUM($BG105:$BI105)),"")</f>
        <v/>
      </c>
      <c r="AI105" s="131" t="n"/>
      <c r="AJ105" s="132" t="n"/>
      <c r="AK105" s="132" t="n"/>
      <c r="AL105" s="132" t="n"/>
      <c r="AM105" s="132" t="n"/>
      <c r="AN105" s="132" t="n"/>
      <c r="AO105" s="132" t="n"/>
      <c r="AP105" s="132" t="n"/>
      <c r="AQ105" s="132" t="n"/>
      <c r="AR105" s="132" t="n"/>
      <c r="AS105" s="132" t="n"/>
      <c r="AT105" s="132" t="n"/>
      <c r="AU105" s="132" t="n"/>
      <c r="AV105" s="132" t="n"/>
      <c r="AW105" s="132" t="n"/>
      <c r="AX105" s="132" t="n"/>
      <c r="AY105" s="132" t="n"/>
      <c r="AZ105" s="133" t="n"/>
      <c r="BA105" s="131" t="n"/>
      <c r="BB105" s="132" t="n"/>
      <c r="BC105" s="133" t="n"/>
      <c r="BD105" s="131" t="n"/>
      <c r="BE105" s="132" t="n"/>
      <c r="BF105" s="133" t="n"/>
      <c r="BG105" s="131" t="n"/>
      <c r="BH105" s="132" t="n"/>
      <c r="BI105" s="132" t="n"/>
      <c r="BJ105" s="128">
        <f>iferror(SUM($BK105,($BL105*1.2),($BM105*1.35),($BN105*0.74)),)</f>
        <v/>
      </c>
      <c r="BK105" s="128">
        <f>IFERROR(SUM($BT105:$CK105),)</f>
        <v/>
      </c>
      <c r="BL105" s="129">
        <f>IFERROR(SUM($CL105:$CN105),)</f>
        <v/>
      </c>
      <c r="BM105" s="130">
        <f>IFERROR(SUM($CO105:$CQ105),)</f>
        <v/>
      </c>
      <c r="BN105" s="128">
        <f>IFERROR(SUM($CR105:$CT105),)</f>
        <v/>
      </c>
      <c r="BO105" s="128">
        <f>iferror(SUM($BP105,($BQ105*1.2),($BR105*1.35),($BS105*0.74)),)</f>
        <v/>
      </c>
      <c r="BP105" s="128">
        <f>IFERROR(SUM($CU105:$DL105),)</f>
        <v/>
      </c>
      <c r="BQ105" s="128">
        <f>IFERROR(SUM($DM105:$DO105),)</f>
        <v/>
      </c>
      <c r="BR105" s="128">
        <f>IFERROR(SUM($DP105:$DR105),)</f>
        <v/>
      </c>
      <c r="BS105" s="128">
        <f>IFERROR(SUM($DS105:$DU105),)</f>
        <v/>
      </c>
      <c r="BT105" s="128">
        <f>IFERROR(AI105*$W105,)</f>
        <v/>
      </c>
      <c r="BU105" s="128">
        <f>IFERROR(AJ105*$W105,)</f>
        <v/>
      </c>
      <c r="BV105" s="128">
        <f>IFERROR(AK105*$W105,)</f>
        <v/>
      </c>
      <c r="BW105" s="128">
        <f>IFERROR(AL105*$W105,)</f>
        <v/>
      </c>
      <c r="BX105" s="128">
        <f>IFERROR(AM105*$W105,)</f>
        <v/>
      </c>
      <c r="BY105" s="128">
        <f>IFERROR(AN105*$W105,)</f>
        <v/>
      </c>
      <c r="BZ105" s="128">
        <f>IFERROR(AO105*$W105,)</f>
        <v/>
      </c>
      <c r="CA105" s="128">
        <f>IFERROR(AP105*$W105,)</f>
        <v/>
      </c>
      <c r="CB105" s="128">
        <f>IFERROR(AQ105*$W105,)</f>
        <v/>
      </c>
      <c r="CC105" s="128">
        <f>IFERROR(AR105*$W105,)</f>
        <v/>
      </c>
      <c r="CD105" s="128">
        <f>IFERROR(AS105*$W105,)</f>
        <v/>
      </c>
      <c r="CE105" s="128">
        <f>IFERROR(AT105*$W105,)</f>
        <v/>
      </c>
      <c r="CF105" s="128">
        <f>IFERROR(AU105*$W105,)</f>
        <v/>
      </c>
      <c r="CG105" s="128">
        <f>IFERROR(AV105*$W105,)</f>
        <v/>
      </c>
      <c r="CH105" s="128">
        <f>IFERROR(AW105*$W105,)</f>
        <v/>
      </c>
      <c r="CI105" s="128">
        <f>IFERROR(AX105*$W105,)</f>
        <v/>
      </c>
      <c r="CJ105" s="128">
        <f>IFERROR(AY105*$W105,)</f>
        <v/>
      </c>
      <c r="CK105" s="128">
        <f>IFERROR(AZ105*$W105,)</f>
        <v/>
      </c>
      <c r="CL105" s="129">
        <f>IFERROR(if($Y105=0,BA105*($W105/1.2),BA105*$Y105),"")</f>
        <v/>
      </c>
      <c r="CM105" s="129">
        <f>IFERROR(if($Y105=0,BB105*($W105/1.2),BB105*$Y105),"")</f>
        <v/>
      </c>
      <c r="CN105" s="129">
        <f>IFERROR(if($Y105=0,BC105*($W105/1.2),BC105*$Y105),"")</f>
        <v/>
      </c>
      <c r="CO105" s="130">
        <f>IFERROR(if($AA105=0,($W105/1.35)*BD105,BD105*$AA105),)</f>
        <v/>
      </c>
      <c r="CP105" s="130">
        <f>IFERROR(if($AA105=0,($W105/1.35)*BE105,BE105*$AA105),)</f>
        <v/>
      </c>
      <c r="CQ105" s="130">
        <f>IFERROR(if($AA105=0,($W105/1.35)*BF105,BF105*$AA105),)</f>
        <v/>
      </c>
      <c r="CR105" s="128">
        <f>IFERROR(if($AC105=0,($W105/0.74)*BG105,
BG105*$AC105),)</f>
        <v/>
      </c>
      <c r="CS105" s="128">
        <f>IFERROR(if($AC105=0,($W105/0.74)*BH105,
BH105*$AC105),)</f>
        <v/>
      </c>
      <c r="CT105" s="128">
        <f>IFERROR(if($AC105=0,($W105/0.74)*BI105,
BI105*$AC105),)</f>
        <v/>
      </c>
      <c r="CU105" s="128">
        <f>IFERROR(AI105*$V105,)</f>
        <v/>
      </c>
      <c r="CV105" s="128">
        <f>IFERROR(AJ105*$V105,)</f>
        <v/>
      </c>
      <c r="CW105" s="128">
        <f>IFERROR(AK105*$V105,)</f>
        <v/>
      </c>
      <c r="CX105" s="128">
        <f>IFERROR(AL105*$V105,)</f>
        <v/>
      </c>
      <c r="CY105" s="128">
        <f>IFERROR(AM105*$V105,)</f>
        <v/>
      </c>
      <c r="CZ105" s="128">
        <f>IFERROR(AN105*$V105,)</f>
        <v/>
      </c>
      <c r="DA105" s="128">
        <f>IFERROR(AO105*$V105,)</f>
        <v/>
      </c>
      <c r="DB105" s="128">
        <f>IFERROR(AP105*$V105,)</f>
        <v/>
      </c>
      <c r="DC105" s="128">
        <f>IFERROR(AQ105*$V105,)</f>
        <v/>
      </c>
      <c r="DD105" s="128">
        <f>IFERROR(AR105*$V105,)</f>
        <v/>
      </c>
      <c r="DE105" s="128">
        <f>IFERROR(AS105*$V105,)</f>
        <v/>
      </c>
      <c r="DF105" s="128">
        <f>IFERROR(AT105*$V105,)</f>
        <v/>
      </c>
      <c r="DG105" s="128">
        <f>IFERROR(AU105*$V105,)</f>
        <v/>
      </c>
      <c r="DH105" s="128">
        <f>IFERROR(AV105*$V105,)</f>
        <v/>
      </c>
      <c r="DI105" s="128">
        <f>IFERROR(AW105*$V105,)</f>
        <v/>
      </c>
      <c r="DJ105" s="128">
        <f>IFERROR(AX105*$V105,)</f>
        <v/>
      </c>
      <c r="DK105" s="128">
        <f>IFERROR(AY105*$V105,)</f>
        <v/>
      </c>
      <c r="DL105" s="128">
        <f>IFERROR(AZ105*$V105,)</f>
        <v/>
      </c>
      <c r="DM105" s="129">
        <f>IFERROR(if($X105=0,($V105/1.2)*BA105,
BA105*$X105),)</f>
        <v/>
      </c>
      <c r="DN105" s="129">
        <f>IFERROR(if($X105=0,($V105/1.2)*BB105,
BB105*$X105),)</f>
        <v/>
      </c>
      <c r="DO105" s="129">
        <f>IFERROR(if($X105=0,($V105/1.2)*BC105,
BC105*$X105),)</f>
        <v/>
      </c>
      <c r="DP105" s="130">
        <f>IFERROR(if($Z105=0,($V105/1.35)*BD105,
BD105*$Z105),)</f>
        <v/>
      </c>
      <c r="DQ105" s="130">
        <f>IFERROR(if($Z105=0,($V105/1.35)*BE105,
BE105*$Z105),)</f>
        <v/>
      </c>
      <c r="DR105" s="130">
        <f>IFERROR(if($Z105=0,($V105/1.35)*BF105,
BF105*$Z105),)</f>
        <v/>
      </c>
      <c r="DS105" s="128">
        <f>IFERROR(IF($AB105=0,($V105/0.74)*BG105,
BG105*$AB105),)</f>
        <v/>
      </c>
      <c r="DT105" s="128">
        <f>IFERROR(IF($AB105=0,($V105/0.74)*BH105,
BH105*$AB105),)</f>
        <v/>
      </c>
      <c r="DU105" s="128">
        <f>IFERROR(IF($AB105=0,($V105/0.74)*BI105,
BI105*$AB105),)</f>
        <v/>
      </c>
    </row>
    <row r="106" ht="131.25" customHeight="1" s="162">
      <c r="A106" s="115" t="n"/>
      <c r="B106" s="115" t="n"/>
      <c r="C106" s="115" t="n"/>
      <c r="D106" s="115" t="n"/>
      <c r="E106" s="115" t="n"/>
      <c r="F106" s="115" t="n"/>
      <c r="G106" s="115" t="n"/>
      <c r="H106" s="115" t="n"/>
      <c r="I106" s="115" t="n"/>
      <c r="J106" s="115" t="n"/>
      <c r="K106" s="115" t="n"/>
      <c r="L106" s="115" t="n"/>
      <c r="M106" s="115" t="n"/>
      <c r="N106" s="115" t="n"/>
      <c r="O106" s="115" t="n"/>
      <c r="P106" s="115" t="n"/>
      <c r="Q106" s="115" t="n"/>
      <c r="R106" s="115" t="n"/>
      <c r="S106" s="115" t="n"/>
      <c r="T106" s="115" t="n"/>
      <c r="U106" s="116" t="n"/>
      <c r="V106" s="116" t="n"/>
      <c r="W106" s="117" t="n"/>
      <c r="X106" s="118" t="n"/>
      <c r="Y106" s="119" t="n"/>
      <c r="Z106" s="120" t="n"/>
      <c r="AA106" s="121" t="n"/>
      <c r="AB106" s="122" t="n"/>
      <c r="AC106" s="117" t="n"/>
      <c r="AD106" s="123">
        <f>IF(SUM($AE106:$AH106)=0,"",SUM($AE106:$AH106))</f>
        <v/>
      </c>
      <c r="AE106" s="123">
        <f>iferror(IF(SUM($AI106:$AZ106)=0,"",SUM($AI106:$AZ106)),"")</f>
        <v/>
      </c>
      <c r="AF106" s="123">
        <f>iferror(IF(SUM($BA106:$BC106)=0,"",SUM($BA106:$BC106)),"")</f>
        <v/>
      </c>
      <c r="AG106" s="123">
        <f>iferror(IF(SUM($BD106:$BF106)=0,"",SUM($BD106:$BF106)),"")</f>
        <v/>
      </c>
      <c r="AH106" s="124">
        <f>iferror(IF(SUM($BG106:$BI106)=0,"",SUM($BG106:$BI106)),"")</f>
        <v/>
      </c>
      <c r="AI106" s="131" t="n"/>
      <c r="AJ106" s="132" t="n"/>
      <c r="AK106" s="132" t="n"/>
      <c r="AL106" s="132" t="n"/>
      <c r="AM106" s="132" t="n"/>
      <c r="AN106" s="132" t="n"/>
      <c r="AO106" s="132" t="n"/>
      <c r="AP106" s="132" t="n"/>
      <c r="AQ106" s="132" t="n"/>
      <c r="AR106" s="132" t="n"/>
      <c r="AS106" s="132" t="n"/>
      <c r="AT106" s="132" t="n"/>
      <c r="AU106" s="132" t="n"/>
      <c r="AV106" s="132" t="n"/>
      <c r="AW106" s="132" t="n"/>
      <c r="AX106" s="132" t="n"/>
      <c r="AY106" s="132" t="n"/>
      <c r="AZ106" s="133" t="n"/>
      <c r="BA106" s="131" t="n"/>
      <c r="BB106" s="132" t="n"/>
      <c r="BC106" s="133" t="n"/>
      <c r="BD106" s="131" t="n"/>
      <c r="BE106" s="132" t="n"/>
      <c r="BF106" s="133" t="n"/>
      <c r="BG106" s="131" t="n"/>
      <c r="BH106" s="132" t="n"/>
      <c r="BI106" s="132" t="n"/>
      <c r="BJ106" s="128">
        <f>iferror(SUM($BK106,($BL106*1.2),($BM106*1.35),($BN106*0.74)),)</f>
        <v/>
      </c>
      <c r="BK106" s="128">
        <f>IFERROR(SUM($BT106:$CK106),)</f>
        <v/>
      </c>
      <c r="BL106" s="129">
        <f>IFERROR(SUM($CL106:$CN106),)</f>
        <v/>
      </c>
      <c r="BM106" s="130">
        <f>IFERROR(SUM($CO106:$CQ106),)</f>
        <v/>
      </c>
      <c r="BN106" s="128">
        <f>IFERROR(SUM($CR106:$CT106),)</f>
        <v/>
      </c>
      <c r="BO106" s="128">
        <f>iferror(SUM($BP106,($BQ106*1.2),($BR106*1.35),($BS106*0.74)),)</f>
        <v/>
      </c>
      <c r="BP106" s="128">
        <f>IFERROR(SUM($CU106:$DL106),)</f>
        <v/>
      </c>
      <c r="BQ106" s="128">
        <f>IFERROR(SUM($DM106:$DO106),)</f>
        <v/>
      </c>
      <c r="BR106" s="128">
        <f>IFERROR(SUM($DP106:$DR106),)</f>
        <v/>
      </c>
      <c r="BS106" s="128">
        <f>IFERROR(SUM($DS106:$DU106),)</f>
        <v/>
      </c>
      <c r="BT106" s="128">
        <f>IFERROR(AI106*$W106,)</f>
        <v/>
      </c>
      <c r="BU106" s="128">
        <f>IFERROR(AJ106*$W106,)</f>
        <v/>
      </c>
      <c r="BV106" s="128">
        <f>IFERROR(AK106*$W106,)</f>
        <v/>
      </c>
      <c r="BW106" s="128">
        <f>IFERROR(AL106*$W106,)</f>
        <v/>
      </c>
      <c r="BX106" s="128">
        <f>IFERROR(AM106*$W106,)</f>
        <v/>
      </c>
      <c r="BY106" s="128">
        <f>IFERROR(AN106*$W106,)</f>
        <v/>
      </c>
      <c r="BZ106" s="128">
        <f>IFERROR(AO106*$W106,)</f>
        <v/>
      </c>
      <c r="CA106" s="128">
        <f>IFERROR(AP106*$W106,)</f>
        <v/>
      </c>
      <c r="CB106" s="128">
        <f>IFERROR(AQ106*$W106,)</f>
        <v/>
      </c>
      <c r="CC106" s="128">
        <f>IFERROR(AR106*$W106,)</f>
        <v/>
      </c>
      <c r="CD106" s="128">
        <f>IFERROR(AS106*$W106,)</f>
        <v/>
      </c>
      <c r="CE106" s="128">
        <f>IFERROR(AT106*$W106,)</f>
        <v/>
      </c>
      <c r="CF106" s="128">
        <f>IFERROR(AU106*$W106,)</f>
        <v/>
      </c>
      <c r="CG106" s="128">
        <f>IFERROR(AV106*$W106,)</f>
        <v/>
      </c>
      <c r="CH106" s="128">
        <f>IFERROR(AW106*$W106,)</f>
        <v/>
      </c>
      <c r="CI106" s="128">
        <f>IFERROR(AX106*$W106,)</f>
        <v/>
      </c>
      <c r="CJ106" s="128">
        <f>IFERROR(AY106*$W106,)</f>
        <v/>
      </c>
      <c r="CK106" s="128">
        <f>IFERROR(AZ106*$W106,)</f>
        <v/>
      </c>
      <c r="CL106" s="129">
        <f>IFERROR(if($Y106=0,BA106*($W106/1.2),BA106*$Y106),"")</f>
        <v/>
      </c>
      <c r="CM106" s="129">
        <f>IFERROR(if($Y106=0,BB106*($W106/1.2),BB106*$Y106),"")</f>
        <v/>
      </c>
      <c r="CN106" s="129">
        <f>IFERROR(if($Y106=0,BC106*($W106/1.2),BC106*$Y106),"")</f>
        <v/>
      </c>
      <c r="CO106" s="130">
        <f>IFERROR(if($AA106=0,($W106/1.35)*BD106,BD106*$AA106),)</f>
        <v/>
      </c>
      <c r="CP106" s="130">
        <f>IFERROR(if($AA106=0,($W106/1.35)*BE106,BE106*$AA106),)</f>
        <v/>
      </c>
      <c r="CQ106" s="130">
        <f>IFERROR(if($AA106=0,($W106/1.35)*BF106,BF106*$AA106),)</f>
        <v/>
      </c>
      <c r="CR106" s="128">
        <f>IFERROR(if($AC106=0,($W106/0.74)*BG106,
BG106*$AC106),)</f>
        <v/>
      </c>
      <c r="CS106" s="128">
        <f>IFERROR(if($AC106=0,($W106/0.74)*BH106,
BH106*$AC106),)</f>
        <v/>
      </c>
      <c r="CT106" s="128">
        <f>IFERROR(if($AC106=0,($W106/0.74)*BI106,
BI106*$AC106),)</f>
        <v/>
      </c>
      <c r="CU106" s="128">
        <f>IFERROR(AI106*$V106,)</f>
        <v/>
      </c>
      <c r="CV106" s="128">
        <f>IFERROR(AJ106*$V106,)</f>
        <v/>
      </c>
      <c r="CW106" s="128">
        <f>IFERROR(AK106*$V106,)</f>
        <v/>
      </c>
      <c r="CX106" s="128">
        <f>IFERROR(AL106*$V106,)</f>
        <v/>
      </c>
      <c r="CY106" s="128">
        <f>IFERROR(AM106*$V106,)</f>
        <v/>
      </c>
      <c r="CZ106" s="128">
        <f>IFERROR(AN106*$V106,)</f>
        <v/>
      </c>
      <c r="DA106" s="128">
        <f>IFERROR(AO106*$V106,)</f>
        <v/>
      </c>
      <c r="DB106" s="128">
        <f>IFERROR(AP106*$V106,)</f>
        <v/>
      </c>
      <c r="DC106" s="128">
        <f>IFERROR(AQ106*$V106,)</f>
        <v/>
      </c>
      <c r="DD106" s="128">
        <f>IFERROR(AR106*$V106,)</f>
        <v/>
      </c>
      <c r="DE106" s="128">
        <f>IFERROR(AS106*$V106,)</f>
        <v/>
      </c>
      <c r="DF106" s="128">
        <f>IFERROR(AT106*$V106,)</f>
        <v/>
      </c>
      <c r="DG106" s="128">
        <f>IFERROR(AU106*$V106,)</f>
        <v/>
      </c>
      <c r="DH106" s="128">
        <f>IFERROR(AV106*$V106,)</f>
        <v/>
      </c>
      <c r="DI106" s="128">
        <f>IFERROR(AW106*$V106,)</f>
        <v/>
      </c>
      <c r="DJ106" s="128">
        <f>IFERROR(AX106*$V106,)</f>
        <v/>
      </c>
      <c r="DK106" s="128">
        <f>IFERROR(AY106*$V106,)</f>
        <v/>
      </c>
      <c r="DL106" s="128">
        <f>IFERROR(AZ106*$V106,)</f>
        <v/>
      </c>
      <c r="DM106" s="129">
        <f>IFERROR(if($X106=0,($V106/1.2)*BA106,
BA106*$X106),)</f>
        <v/>
      </c>
      <c r="DN106" s="129">
        <f>IFERROR(if($X106=0,($V106/1.2)*BB106,
BB106*$X106),)</f>
        <v/>
      </c>
      <c r="DO106" s="129">
        <f>IFERROR(if($X106=0,($V106/1.2)*BC106,
BC106*$X106),)</f>
        <v/>
      </c>
      <c r="DP106" s="130">
        <f>IFERROR(if($Z106=0,($V106/1.35)*BD106,
BD106*$Z106),)</f>
        <v/>
      </c>
      <c r="DQ106" s="130">
        <f>IFERROR(if($Z106=0,($V106/1.35)*BE106,
BE106*$Z106),)</f>
        <v/>
      </c>
      <c r="DR106" s="130">
        <f>IFERROR(if($Z106=0,($V106/1.35)*BF106,
BF106*$Z106),)</f>
        <v/>
      </c>
      <c r="DS106" s="128">
        <f>IFERROR(IF($AB106=0,($V106/0.74)*BG106,
BG106*$AB106),)</f>
        <v/>
      </c>
      <c r="DT106" s="128">
        <f>IFERROR(IF($AB106=0,($V106/0.74)*BH106,
BH106*$AB106),)</f>
        <v/>
      </c>
      <c r="DU106" s="128">
        <f>IFERROR(IF($AB106=0,($V106/0.74)*BI106,
BI106*$AB106),)</f>
        <v/>
      </c>
    </row>
    <row r="107" ht="131.25" customHeight="1" s="162">
      <c r="A107" s="115" t="n"/>
      <c r="B107" s="115" t="n"/>
      <c r="C107" s="115" t="n"/>
      <c r="D107" s="115" t="n"/>
      <c r="E107" s="115" t="n"/>
      <c r="F107" s="115" t="n"/>
      <c r="G107" s="115" t="n"/>
      <c r="H107" s="115" t="n"/>
      <c r="I107" s="115" t="n"/>
      <c r="J107" s="115" t="n"/>
      <c r="K107" s="115" t="n"/>
      <c r="L107" s="115" t="n"/>
      <c r="M107" s="115" t="n"/>
      <c r="N107" s="115" t="n"/>
      <c r="O107" s="115" t="n"/>
      <c r="P107" s="115" t="n"/>
      <c r="Q107" s="115" t="n"/>
      <c r="R107" s="115" t="n"/>
      <c r="S107" s="115" t="n"/>
      <c r="T107" s="115" t="n"/>
      <c r="U107" s="116" t="n"/>
      <c r="V107" s="116" t="n"/>
      <c r="W107" s="117" t="n"/>
      <c r="X107" s="118" t="n"/>
      <c r="Y107" s="119" t="n"/>
      <c r="Z107" s="120" t="n"/>
      <c r="AA107" s="121" t="n"/>
      <c r="AB107" s="122" t="n"/>
      <c r="AC107" s="117" t="n"/>
      <c r="AD107" s="123">
        <f>IF(SUM($AE107:$AH107)=0,"",SUM($AE107:$AH107))</f>
        <v/>
      </c>
      <c r="AE107" s="123">
        <f>iferror(IF(SUM($AI107:$AZ107)=0,"",SUM($AI107:$AZ107)),"")</f>
        <v/>
      </c>
      <c r="AF107" s="123">
        <f>iferror(IF(SUM($BA107:$BC107)=0,"",SUM($BA107:$BC107)),"")</f>
        <v/>
      </c>
      <c r="AG107" s="123">
        <f>iferror(IF(SUM($BD107:$BF107)=0,"",SUM($BD107:$BF107)),"")</f>
        <v/>
      </c>
      <c r="AH107" s="124">
        <f>iferror(IF(SUM($BG107:$BI107)=0,"",SUM($BG107:$BI107)),"")</f>
        <v/>
      </c>
      <c r="AI107" s="131" t="n"/>
      <c r="AJ107" s="132" t="n"/>
      <c r="AK107" s="132" t="n"/>
      <c r="AL107" s="132" t="n"/>
      <c r="AM107" s="132" t="n"/>
      <c r="AN107" s="132" t="n"/>
      <c r="AO107" s="132" t="n"/>
      <c r="AP107" s="132" t="n"/>
      <c r="AQ107" s="132" t="n"/>
      <c r="AR107" s="132" t="n"/>
      <c r="AS107" s="132" t="n"/>
      <c r="AT107" s="132" t="n"/>
      <c r="AU107" s="132" t="n"/>
      <c r="AV107" s="132" t="n"/>
      <c r="AW107" s="132" t="n"/>
      <c r="AX107" s="132" t="n"/>
      <c r="AY107" s="132" t="n"/>
      <c r="AZ107" s="133" t="n"/>
      <c r="BA107" s="131" t="n"/>
      <c r="BB107" s="132" t="n"/>
      <c r="BC107" s="133" t="n"/>
      <c r="BD107" s="131" t="n"/>
      <c r="BE107" s="132" t="n"/>
      <c r="BF107" s="133" t="n"/>
      <c r="BG107" s="131" t="n"/>
      <c r="BH107" s="132" t="n"/>
      <c r="BI107" s="132" t="n"/>
      <c r="BJ107" s="128">
        <f>iferror(SUM($BK107,($BL107*1.2),($BM107*1.35),($BN107*0.74)),)</f>
        <v/>
      </c>
      <c r="BK107" s="128">
        <f>IFERROR(SUM($BT107:$CK107),)</f>
        <v/>
      </c>
      <c r="BL107" s="129">
        <f>IFERROR(SUM($CL107:$CN107),)</f>
        <v/>
      </c>
      <c r="BM107" s="130">
        <f>IFERROR(SUM($CO107:$CQ107),)</f>
        <v/>
      </c>
      <c r="BN107" s="128">
        <f>IFERROR(SUM($CR107:$CT107),)</f>
        <v/>
      </c>
      <c r="BO107" s="128">
        <f>iferror(SUM($BP107,($BQ107*1.2),($BR107*1.35),($BS107*0.74)),)</f>
        <v/>
      </c>
      <c r="BP107" s="128">
        <f>IFERROR(SUM($CU107:$DL107),)</f>
        <v/>
      </c>
      <c r="BQ107" s="128">
        <f>IFERROR(SUM($DM107:$DO107),)</f>
        <v/>
      </c>
      <c r="BR107" s="128">
        <f>IFERROR(SUM($DP107:$DR107),)</f>
        <v/>
      </c>
      <c r="BS107" s="128">
        <f>IFERROR(SUM($DS107:$DU107),)</f>
        <v/>
      </c>
      <c r="BT107" s="128">
        <f>IFERROR(AI107*$W107,)</f>
        <v/>
      </c>
      <c r="BU107" s="128">
        <f>IFERROR(AJ107*$W107,)</f>
        <v/>
      </c>
      <c r="BV107" s="128">
        <f>IFERROR(AK107*$W107,)</f>
        <v/>
      </c>
      <c r="BW107" s="128">
        <f>IFERROR(AL107*$W107,)</f>
        <v/>
      </c>
      <c r="BX107" s="128">
        <f>IFERROR(AM107*$W107,)</f>
        <v/>
      </c>
      <c r="BY107" s="128">
        <f>IFERROR(AN107*$W107,)</f>
        <v/>
      </c>
      <c r="BZ107" s="128">
        <f>IFERROR(AO107*$W107,)</f>
        <v/>
      </c>
      <c r="CA107" s="128">
        <f>IFERROR(AP107*$W107,)</f>
        <v/>
      </c>
      <c r="CB107" s="128">
        <f>IFERROR(AQ107*$W107,)</f>
        <v/>
      </c>
      <c r="CC107" s="128">
        <f>IFERROR(AR107*$W107,)</f>
        <v/>
      </c>
      <c r="CD107" s="128">
        <f>IFERROR(AS107*$W107,)</f>
        <v/>
      </c>
      <c r="CE107" s="128">
        <f>IFERROR(AT107*$W107,)</f>
        <v/>
      </c>
      <c r="CF107" s="128">
        <f>IFERROR(AU107*$W107,)</f>
        <v/>
      </c>
      <c r="CG107" s="128">
        <f>IFERROR(AV107*$W107,)</f>
        <v/>
      </c>
      <c r="CH107" s="128">
        <f>IFERROR(AW107*$W107,)</f>
        <v/>
      </c>
      <c r="CI107" s="128">
        <f>IFERROR(AX107*$W107,)</f>
        <v/>
      </c>
      <c r="CJ107" s="128">
        <f>IFERROR(AY107*$W107,)</f>
        <v/>
      </c>
      <c r="CK107" s="128">
        <f>IFERROR(AZ107*$W107,)</f>
        <v/>
      </c>
      <c r="CL107" s="129">
        <f>IFERROR(if($Y107=0,BA107*($W107/1.2),BA107*$Y107),"")</f>
        <v/>
      </c>
      <c r="CM107" s="129">
        <f>IFERROR(if($Y107=0,BB107*($W107/1.2),BB107*$Y107),"")</f>
        <v/>
      </c>
      <c r="CN107" s="129">
        <f>IFERROR(if($Y107=0,BC107*($W107/1.2),BC107*$Y107),"")</f>
        <v/>
      </c>
      <c r="CO107" s="130">
        <f>IFERROR(if($AA107=0,($W107/1.35)*BD107,BD107*$AA107),)</f>
        <v/>
      </c>
      <c r="CP107" s="130">
        <f>IFERROR(if($AA107=0,($W107/1.35)*BE107,BE107*$AA107),)</f>
        <v/>
      </c>
      <c r="CQ107" s="130">
        <f>IFERROR(if($AA107=0,($W107/1.35)*BF107,BF107*$AA107),)</f>
        <v/>
      </c>
      <c r="CR107" s="128">
        <f>IFERROR(if($AC107=0,($W107/0.74)*BG107,
BG107*$AC107),)</f>
        <v/>
      </c>
      <c r="CS107" s="128">
        <f>IFERROR(if($AC107=0,($W107/0.74)*BH107,
BH107*$AC107),)</f>
        <v/>
      </c>
      <c r="CT107" s="128">
        <f>IFERROR(if($AC107=0,($W107/0.74)*BI107,
BI107*$AC107),)</f>
        <v/>
      </c>
      <c r="CU107" s="128">
        <f>IFERROR(AI107*$V107,)</f>
        <v/>
      </c>
      <c r="CV107" s="128">
        <f>IFERROR(AJ107*$V107,)</f>
        <v/>
      </c>
      <c r="CW107" s="128">
        <f>IFERROR(AK107*$V107,)</f>
        <v/>
      </c>
      <c r="CX107" s="128">
        <f>IFERROR(AL107*$V107,)</f>
        <v/>
      </c>
      <c r="CY107" s="128">
        <f>IFERROR(AM107*$V107,)</f>
        <v/>
      </c>
      <c r="CZ107" s="128">
        <f>IFERROR(AN107*$V107,)</f>
        <v/>
      </c>
      <c r="DA107" s="128">
        <f>IFERROR(AO107*$V107,)</f>
        <v/>
      </c>
      <c r="DB107" s="128">
        <f>IFERROR(AP107*$V107,)</f>
        <v/>
      </c>
      <c r="DC107" s="128">
        <f>IFERROR(AQ107*$V107,)</f>
        <v/>
      </c>
      <c r="DD107" s="128">
        <f>IFERROR(AR107*$V107,)</f>
        <v/>
      </c>
      <c r="DE107" s="128">
        <f>IFERROR(AS107*$V107,)</f>
        <v/>
      </c>
      <c r="DF107" s="128">
        <f>IFERROR(AT107*$V107,)</f>
        <v/>
      </c>
      <c r="DG107" s="128">
        <f>IFERROR(AU107*$V107,)</f>
        <v/>
      </c>
      <c r="DH107" s="128">
        <f>IFERROR(AV107*$V107,)</f>
        <v/>
      </c>
      <c r="DI107" s="128">
        <f>IFERROR(AW107*$V107,)</f>
        <v/>
      </c>
      <c r="DJ107" s="128">
        <f>IFERROR(AX107*$V107,)</f>
        <v/>
      </c>
      <c r="DK107" s="128">
        <f>IFERROR(AY107*$V107,)</f>
        <v/>
      </c>
      <c r="DL107" s="128">
        <f>IFERROR(AZ107*$V107,)</f>
        <v/>
      </c>
      <c r="DM107" s="129">
        <f>IFERROR(if($X107=0,($V107/1.2)*BA107,
BA107*$X107),)</f>
        <v/>
      </c>
      <c r="DN107" s="129">
        <f>IFERROR(if($X107=0,($V107/1.2)*BB107,
BB107*$X107),)</f>
        <v/>
      </c>
      <c r="DO107" s="129">
        <f>IFERROR(if($X107=0,($V107/1.2)*BC107,
BC107*$X107),)</f>
        <v/>
      </c>
      <c r="DP107" s="130">
        <f>IFERROR(if($Z107=0,($V107/1.35)*BD107,
BD107*$Z107),)</f>
        <v/>
      </c>
      <c r="DQ107" s="130">
        <f>IFERROR(if($Z107=0,($V107/1.35)*BE107,
BE107*$Z107),)</f>
        <v/>
      </c>
      <c r="DR107" s="130">
        <f>IFERROR(if($Z107=0,($V107/1.35)*BF107,
BF107*$Z107),)</f>
        <v/>
      </c>
      <c r="DS107" s="128">
        <f>IFERROR(IF($AB107=0,($V107/0.74)*BG107,
BG107*$AB107),)</f>
        <v/>
      </c>
      <c r="DT107" s="128">
        <f>IFERROR(IF($AB107=0,($V107/0.74)*BH107,
BH107*$AB107),)</f>
        <v/>
      </c>
      <c r="DU107" s="128">
        <f>IFERROR(IF($AB107=0,($V107/0.74)*BI107,
BI107*$AB107),)</f>
        <v/>
      </c>
    </row>
    <row r="108" ht="131.25" customHeight="1" s="162">
      <c r="A108" s="115" t="n"/>
      <c r="B108" s="115" t="n"/>
      <c r="C108" s="115" t="n"/>
      <c r="D108" s="115" t="n"/>
      <c r="E108" s="115" t="n"/>
      <c r="F108" s="115" t="n"/>
      <c r="G108" s="115" t="n"/>
      <c r="H108" s="115" t="n"/>
      <c r="I108" s="115" t="n"/>
      <c r="J108" s="115" t="n"/>
      <c r="K108" s="115" t="n"/>
      <c r="L108" s="115" t="n"/>
      <c r="M108" s="115" t="n"/>
      <c r="N108" s="115" t="n"/>
      <c r="O108" s="115" t="n"/>
      <c r="P108" s="115" t="n"/>
      <c r="Q108" s="115" t="n"/>
      <c r="R108" s="115" t="n"/>
      <c r="S108" s="115" t="n"/>
      <c r="T108" s="115" t="n"/>
      <c r="U108" s="116" t="n"/>
      <c r="V108" s="116" t="n"/>
      <c r="W108" s="117" t="n"/>
      <c r="X108" s="118" t="n"/>
      <c r="Y108" s="119" t="n"/>
      <c r="Z108" s="120" t="n"/>
      <c r="AA108" s="121" t="n"/>
      <c r="AB108" s="122" t="n"/>
      <c r="AC108" s="117" t="n"/>
      <c r="AD108" s="123">
        <f>IF(SUM($AE108:$AH108)=0,"",SUM($AE108:$AH108))</f>
        <v/>
      </c>
      <c r="AE108" s="123">
        <f>iferror(IF(SUM($AI108:$AZ108)=0,"",SUM($AI108:$AZ108)),"")</f>
        <v/>
      </c>
      <c r="AF108" s="123">
        <f>iferror(IF(SUM($BA108:$BC108)=0,"",SUM($BA108:$BC108)),"")</f>
        <v/>
      </c>
      <c r="AG108" s="123">
        <f>iferror(IF(SUM($BD108:$BF108)=0,"",SUM($BD108:$BF108)),"")</f>
        <v/>
      </c>
      <c r="AH108" s="124">
        <f>iferror(IF(SUM($BG108:$BI108)=0,"",SUM($BG108:$BI108)),"")</f>
        <v/>
      </c>
      <c r="AI108" s="131" t="n"/>
      <c r="AJ108" s="132" t="n"/>
      <c r="AK108" s="132" t="n"/>
      <c r="AL108" s="132" t="n"/>
      <c r="AM108" s="132" t="n"/>
      <c r="AN108" s="132" t="n"/>
      <c r="AO108" s="132" t="n"/>
      <c r="AP108" s="132" t="n"/>
      <c r="AQ108" s="132" t="n"/>
      <c r="AR108" s="132" t="n"/>
      <c r="AS108" s="132" t="n"/>
      <c r="AT108" s="132" t="n"/>
      <c r="AU108" s="132" t="n"/>
      <c r="AV108" s="132" t="n"/>
      <c r="AW108" s="132" t="n"/>
      <c r="AX108" s="132" t="n"/>
      <c r="AY108" s="132" t="n"/>
      <c r="AZ108" s="133" t="n"/>
      <c r="BA108" s="131" t="n"/>
      <c r="BB108" s="132" t="n"/>
      <c r="BC108" s="133" t="n"/>
      <c r="BD108" s="131" t="n"/>
      <c r="BE108" s="132" t="n"/>
      <c r="BF108" s="133" t="n"/>
      <c r="BG108" s="131" t="n"/>
      <c r="BH108" s="132" t="n"/>
      <c r="BI108" s="132" t="n"/>
      <c r="BJ108" s="128">
        <f>iferror(SUM($BK108,($BL108*1.2),($BM108*1.35),($BN108*0.74)),)</f>
        <v/>
      </c>
      <c r="BK108" s="128">
        <f>IFERROR(SUM($BT108:$CK108),)</f>
        <v/>
      </c>
      <c r="BL108" s="129">
        <f>IFERROR(SUM($CL108:$CN108),)</f>
        <v/>
      </c>
      <c r="BM108" s="130">
        <f>IFERROR(SUM($CO108:$CQ108),)</f>
        <v/>
      </c>
      <c r="BN108" s="128">
        <f>IFERROR(SUM($CR108:$CT108),)</f>
        <v/>
      </c>
      <c r="BO108" s="128">
        <f>iferror(SUM($BP108,($BQ108*1.2),($BR108*1.35),($BS108*0.74)),)</f>
        <v/>
      </c>
      <c r="BP108" s="128">
        <f>IFERROR(SUM($CU108:$DL108),)</f>
        <v/>
      </c>
      <c r="BQ108" s="128">
        <f>IFERROR(SUM($DM108:$DO108),)</f>
        <v/>
      </c>
      <c r="BR108" s="128">
        <f>IFERROR(SUM($DP108:$DR108),)</f>
        <v/>
      </c>
      <c r="BS108" s="128">
        <f>IFERROR(SUM($DS108:$DU108),)</f>
        <v/>
      </c>
      <c r="BT108" s="128">
        <f>IFERROR(AI108*$W108,)</f>
        <v/>
      </c>
      <c r="BU108" s="128">
        <f>IFERROR(AJ108*$W108,)</f>
        <v/>
      </c>
      <c r="BV108" s="128">
        <f>IFERROR(AK108*$W108,)</f>
        <v/>
      </c>
      <c r="BW108" s="128">
        <f>IFERROR(AL108*$W108,)</f>
        <v/>
      </c>
      <c r="BX108" s="128">
        <f>IFERROR(AM108*$W108,)</f>
        <v/>
      </c>
      <c r="BY108" s="128">
        <f>IFERROR(AN108*$W108,)</f>
        <v/>
      </c>
      <c r="BZ108" s="128">
        <f>IFERROR(AO108*$W108,)</f>
        <v/>
      </c>
      <c r="CA108" s="128">
        <f>IFERROR(AP108*$W108,)</f>
        <v/>
      </c>
      <c r="CB108" s="128">
        <f>IFERROR(AQ108*$W108,)</f>
        <v/>
      </c>
      <c r="CC108" s="128">
        <f>IFERROR(AR108*$W108,)</f>
        <v/>
      </c>
      <c r="CD108" s="128">
        <f>IFERROR(AS108*$W108,)</f>
        <v/>
      </c>
      <c r="CE108" s="128">
        <f>IFERROR(AT108*$W108,)</f>
        <v/>
      </c>
      <c r="CF108" s="128">
        <f>IFERROR(AU108*$W108,)</f>
        <v/>
      </c>
      <c r="CG108" s="128">
        <f>IFERROR(AV108*$W108,)</f>
        <v/>
      </c>
      <c r="CH108" s="128">
        <f>IFERROR(AW108*$W108,)</f>
        <v/>
      </c>
      <c r="CI108" s="128">
        <f>IFERROR(AX108*$W108,)</f>
        <v/>
      </c>
      <c r="CJ108" s="128">
        <f>IFERROR(AY108*$W108,)</f>
        <v/>
      </c>
      <c r="CK108" s="128">
        <f>IFERROR(AZ108*$W108,)</f>
        <v/>
      </c>
      <c r="CL108" s="129">
        <f>IFERROR(if($Y108=0,BA108*($W108/1.2),BA108*$Y108),"")</f>
        <v/>
      </c>
      <c r="CM108" s="129">
        <f>IFERROR(if($Y108=0,BB108*($W108/1.2),BB108*$Y108),"")</f>
        <v/>
      </c>
      <c r="CN108" s="129">
        <f>IFERROR(if($Y108=0,BC108*($W108/1.2),BC108*$Y108),"")</f>
        <v/>
      </c>
      <c r="CO108" s="130">
        <f>IFERROR(if($AA108=0,($W108/1.35)*BD108,BD108*$AA108),)</f>
        <v/>
      </c>
      <c r="CP108" s="130">
        <f>IFERROR(if($AA108=0,($W108/1.35)*BE108,BE108*$AA108),)</f>
        <v/>
      </c>
      <c r="CQ108" s="130">
        <f>IFERROR(if($AA108=0,($W108/1.35)*BF108,BF108*$AA108),)</f>
        <v/>
      </c>
      <c r="CR108" s="128">
        <f>IFERROR(if($AC108=0,($W108/0.74)*BG108,
BG108*$AC108),)</f>
        <v/>
      </c>
      <c r="CS108" s="128">
        <f>IFERROR(if($AC108=0,($W108/0.74)*BH108,
BH108*$AC108),)</f>
        <v/>
      </c>
      <c r="CT108" s="128">
        <f>IFERROR(if($AC108=0,($W108/0.74)*BI108,
BI108*$AC108),)</f>
        <v/>
      </c>
      <c r="CU108" s="128">
        <f>IFERROR(AI108*$V108,)</f>
        <v/>
      </c>
      <c r="CV108" s="128">
        <f>IFERROR(AJ108*$V108,)</f>
        <v/>
      </c>
      <c r="CW108" s="128">
        <f>IFERROR(AK108*$V108,)</f>
        <v/>
      </c>
      <c r="CX108" s="128">
        <f>IFERROR(AL108*$V108,)</f>
        <v/>
      </c>
      <c r="CY108" s="128">
        <f>IFERROR(AM108*$V108,)</f>
        <v/>
      </c>
      <c r="CZ108" s="128">
        <f>IFERROR(AN108*$V108,)</f>
        <v/>
      </c>
      <c r="DA108" s="128">
        <f>IFERROR(AO108*$V108,)</f>
        <v/>
      </c>
      <c r="DB108" s="128">
        <f>IFERROR(AP108*$V108,)</f>
        <v/>
      </c>
      <c r="DC108" s="128">
        <f>IFERROR(AQ108*$V108,)</f>
        <v/>
      </c>
      <c r="DD108" s="128">
        <f>IFERROR(AR108*$V108,)</f>
        <v/>
      </c>
      <c r="DE108" s="128">
        <f>IFERROR(AS108*$V108,)</f>
        <v/>
      </c>
      <c r="DF108" s="128">
        <f>IFERROR(AT108*$V108,)</f>
        <v/>
      </c>
      <c r="DG108" s="128">
        <f>IFERROR(AU108*$V108,)</f>
        <v/>
      </c>
      <c r="DH108" s="128">
        <f>IFERROR(AV108*$V108,)</f>
        <v/>
      </c>
      <c r="DI108" s="128">
        <f>IFERROR(AW108*$V108,)</f>
        <v/>
      </c>
      <c r="DJ108" s="128">
        <f>IFERROR(AX108*$V108,)</f>
        <v/>
      </c>
      <c r="DK108" s="128">
        <f>IFERROR(AY108*$V108,)</f>
        <v/>
      </c>
      <c r="DL108" s="128">
        <f>IFERROR(AZ108*$V108,)</f>
        <v/>
      </c>
      <c r="DM108" s="129">
        <f>IFERROR(if($X108=0,($V108/1.2)*BA108,
BA108*$X108),)</f>
        <v/>
      </c>
      <c r="DN108" s="129">
        <f>IFERROR(if($X108=0,($V108/1.2)*BB108,
BB108*$X108),)</f>
        <v/>
      </c>
      <c r="DO108" s="129">
        <f>IFERROR(if($X108=0,($V108/1.2)*BC108,
BC108*$X108),)</f>
        <v/>
      </c>
      <c r="DP108" s="130">
        <f>IFERROR(if($Z108=0,($V108/1.35)*BD108,
BD108*$Z108),)</f>
        <v/>
      </c>
      <c r="DQ108" s="130">
        <f>IFERROR(if($Z108=0,($V108/1.35)*BE108,
BE108*$Z108),)</f>
        <v/>
      </c>
      <c r="DR108" s="130">
        <f>IFERROR(if($Z108=0,($V108/1.35)*BF108,
BF108*$Z108),)</f>
        <v/>
      </c>
      <c r="DS108" s="128">
        <f>IFERROR(IF($AB108=0,($V108/0.74)*BG108,
BG108*$AB108),)</f>
        <v/>
      </c>
      <c r="DT108" s="128">
        <f>IFERROR(IF($AB108=0,($V108/0.74)*BH108,
BH108*$AB108),)</f>
        <v/>
      </c>
      <c r="DU108" s="128">
        <f>IFERROR(IF($AB108=0,($V108/0.74)*BI108,
BI108*$AB108),)</f>
        <v/>
      </c>
    </row>
    <row r="109" ht="131.25" customHeight="1" s="162">
      <c r="A109" s="115" t="n"/>
      <c r="B109" s="115" t="n"/>
      <c r="C109" s="115" t="n"/>
      <c r="D109" s="115" t="n"/>
      <c r="E109" s="115" t="n"/>
      <c r="F109" s="115" t="n"/>
      <c r="G109" s="115" t="n"/>
      <c r="H109" s="115" t="n"/>
      <c r="I109" s="115" t="n"/>
      <c r="J109" s="115" t="n"/>
      <c r="K109" s="115" t="n"/>
      <c r="L109" s="115" t="n"/>
      <c r="M109" s="115" t="n"/>
      <c r="N109" s="115" t="n"/>
      <c r="O109" s="115" t="n"/>
      <c r="P109" s="115" t="n"/>
      <c r="Q109" s="115" t="n"/>
      <c r="R109" s="115" t="n"/>
      <c r="S109" s="115" t="n"/>
      <c r="T109" s="115" t="n"/>
      <c r="U109" s="116" t="n"/>
      <c r="V109" s="116" t="n"/>
      <c r="W109" s="117" t="n"/>
      <c r="X109" s="118" t="n"/>
      <c r="Y109" s="119" t="n"/>
      <c r="Z109" s="120" t="n"/>
      <c r="AA109" s="121" t="n"/>
      <c r="AB109" s="122" t="n"/>
      <c r="AC109" s="117" t="n"/>
      <c r="AD109" s="123">
        <f>IF(SUM($AE109:$AH109)=0,"",SUM($AE109:$AH109))</f>
        <v/>
      </c>
      <c r="AE109" s="123">
        <f>iferror(IF(SUM($AI109:$AZ109)=0,"",SUM($AI109:$AZ109)),"")</f>
        <v/>
      </c>
      <c r="AF109" s="123">
        <f>iferror(IF(SUM($BA109:$BC109)=0,"",SUM($BA109:$BC109)),"")</f>
        <v/>
      </c>
      <c r="AG109" s="123">
        <f>iferror(IF(SUM($BD109:$BF109)=0,"",SUM($BD109:$BF109)),"")</f>
        <v/>
      </c>
      <c r="AH109" s="124">
        <f>iferror(IF(SUM($BG109:$BI109)=0,"",SUM($BG109:$BI109)),"")</f>
        <v/>
      </c>
      <c r="AI109" s="131" t="n"/>
      <c r="AJ109" s="132" t="n"/>
      <c r="AK109" s="132" t="n"/>
      <c r="AL109" s="132" t="n"/>
      <c r="AM109" s="132" t="n"/>
      <c r="AN109" s="132" t="n"/>
      <c r="AO109" s="132" t="n"/>
      <c r="AP109" s="132" t="n"/>
      <c r="AQ109" s="132" t="n"/>
      <c r="AR109" s="132" t="n"/>
      <c r="AS109" s="132" t="n"/>
      <c r="AT109" s="132" t="n"/>
      <c r="AU109" s="132" t="n"/>
      <c r="AV109" s="132" t="n"/>
      <c r="AW109" s="132" t="n"/>
      <c r="AX109" s="132" t="n"/>
      <c r="AY109" s="132" t="n"/>
      <c r="AZ109" s="133" t="n"/>
      <c r="BA109" s="131" t="n"/>
      <c r="BB109" s="132" t="n"/>
      <c r="BC109" s="133" t="n"/>
      <c r="BD109" s="131" t="n"/>
      <c r="BE109" s="132" t="n"/>
      <c r="BF109" s="133" t="n"/>
      <c r="BG109" s="131" t="n"/>
      <c r="BH109" s="132" t="n"/>
      <c r="BI109" s="132" t="n"/>
      <c r="BJ109" s="128">
        <f>iferror(SUM($BK109,($BL109*1.2),($BM109*1.35),($BN109*0.74)),)</f>
        <v/>
      </c>
      <c r="BK109" s="128">
        <f>IFERROR(SUM($BT109:$CK109),)</f>
        <v/>
      </c>
      <c r="BL109" s="129">
        <f>IFERROR(SUM($CL109:$CN109),)</f>
        <v/>
      </c>
      <c r="BM109" s="130">
        <f>IFERROR(SUM($CO109:$CQ109),)</f>
        <v/>
      </c>
      <c r="BN109" s="128">
        <f>IFERROR(SUM($CR109:$CT109),)</f>
        <v/>
      </c>
      <c r="BO109" s="128">
        <f>iferror(SUM($BP109,($BQ109*1.2),($BR109*1.35),($BS109*0.74)),)</f>
        <v/>
      </c>
      <c r="BP109" s="128">
        <f>IFERROR(SUM($CU109:$DL109),)</f>
        <v/>
      </c>
      <c r="BQ109" s="128">
        <f>IFERROR(SUM($DM109:$DO109),)</f>
        <v/>
      </c>
      <c r="BR109" s="128">
        <f>IFERROR(SUM($DP109:$DR109),)</f>
        <v/>
      </c>
      <c r="BS109" s="128">
        <f>IFERROR(SUM($DS109:$DU109),)</f>
        <v/>
      </c>
      <c r="BT109" s="128">
        <f>IFERROR(AI109*$W109,)</f>
        <v/>
      </c>
      <c r="BU109" s="128">
        <f>IFERROR(AJ109*$W109,)</f>
        <v/>
      </c>
      <c r="BV109" s="128">
        <f>IFERROR(AK109*$W109,)</f>
        <v/>
      </c>
      <c r="BW109" s="128">
        <f>IFERROR(AL109*$W109,)</f>
        <v/>
      </c>
      <c r="BX109" s="128">
        <f>IFERROR(AM109*$W109,)</f>
        <v/>
      </c>
      <c r="BY109" s="128">
        <f>IFERROR(AN109*$W109,)</f>
        <v/>
      </c>
      <c r="BZ109" s="128">
        <f>IFERROR(AO109*$W109,)</f>
        <v/>
      </c>
      <c r="CA109" s="128">
        <f>IFERROR(AP109*$W109,)</f>
        <v/>
      </c>
      <c r="CB109" s="128">
        <f>IFERROR(AQ109*$W109,)</f>
        <v/>
      </c>
      <c r="CC109" s="128">
        <f>IFERROR(AR109*$W109,)</f>
        <v/>
      </c>
      <c r="CD109" s="128">
        <f>IFERROR(AS109*$W109,)</f>
        <v/>
      </c>
      <c r="CE109" s="128">
        <f>IFERROR(AT109*$W109,)</f>
        <v/>
      </c>
      <c r="CF109" s="128">
        <f>IFERROR(AU109*$W109,)</f>
        <v/>
      </c>
      <c r="CG109" s="128">
        <f>IFERROR(AV109*$W109,)</f>
        <v/>
      </c>
      <c r="CH109" s="128">
        <f>IFERROR(AW109*$W109,)</f>
        <v/>
      </c>
      <c r="CI109" s="128">
        <f>IFERROR(AX109*$W109,)</f>
        <v/>
      </c>
      <c r="CJ109" s="128">
        <f>IFERROR(AY109*$W109,)</f>
        <v/>
      </c>
      <c r="CK109" s="128">
        <f>IFERROR(AZ109*$W109,)</f>
        <v/>
      </c>
      <c r="CL109" s="129">
        <f>IFERROR(if($Y109=0,BA109*($W109/1.2),BA109*$Y109),"")</f>
        <v/>
      </c>
      <c r="CM109" s="129">
        <f>IFERROR(if($Y109=0,BB109*($W109/1.2),BB109*$Y109),"")</f>
        <v/>
      </c>
      <c r="CN109" s="129">
        <f>IFERROR(if($Y109=0,BC109*($W109/1.2),BC109*$Y109),"")</f>
        <v/>
      </c>
      <c r="CO109" s="130">
        <f>IFERROR(if($AA109=0,($W109/1.35)*BD109,BD109*$AA109),)</f>
        <v/>
      </c>
      <c r="CP109" s="130">
        <f>IFERROR(if($AA109=0,($W109/1.35)*BE109,BE109*$AA109),)</f>
        <v/>
      </c>
      <c r="CQ109" s="130">
        <f>IFERROR(if($AA109=0,($W109/1.35)*BF109,BF109*$AA109),)</f>
        <v/>
      </c>
      <c r="CR109" s="128">
        <f>IFERROR(if($AC109=0,($W109/0.74)*BG109,
BG109*$AC109),)</f>
        <v/>
      </c>
      <c r="CS109" s="128">
        <f>IFERROR(if($AC109=0,($W109/0.74)*BH109,
BH109*$AC109),)</f>
        <v/>
      </c>
      <c r="CT109" s="128">
        <f>IFERROR(if($AC109=0,($W109/0.74)*BI109,
BI109*$AC109),)</f>
        <v/>
      </c>
      <c r="CU109" s="128">
        <f>IFERROR(AI109*$V109,)</f>
        <v/>
      </c>
      <c r="CV109" s="128">
        <f>IFERROR(AJ109*$V109,)</f>
        <v/>
      </c>
      <c r="CW109" s="128">
        <f>IFERROR(AK109*$V109,)</f>
        <v/>
      </c>
      <c r="CX109" s="128">
        <f>IFERROR(AL109*$V109,)</f>
        <v/>
      </c>
      <c r="CY109" s="128">
        <f>IFERROR(AM109*$V109,)</f>
        <v/>
      </c>
      <c r="CZ109" s="128">
        <f>IFERROR(AN109*$V109,)</f>
        <v/>
      </c>
      <c r="DA109" s="128">
        <f>IFERROR(AO109*$V109,)</f>
        <v/>
      </c>
      <c r="DB109" s="128">
        <f>IFERROR(AP109*$V109,)</f>
        <v/>
      </c>
      <c r="DC109" s="128">
        <f>IFERROR(AQ109*$V109,)</f>
        <v/>
      </c>
      <c r="DD109" s="128">
        <f>IFERROR(AR109*$V109,)</f>
        <v/>
      </c>
      <c r="DE109" s="128">
        <f>IFERROR(AS109*$V109,)</f>
        <v/>
      </c>
      <c r="DF109" s="128">
        <f>IFERROR(AT109*$V109,)</f>
        <v/>
      </c>
      <c r="DG109" s="128">
        <f>IFERROR(AU109*$V109,)</f>
        <v/>
      </c>
      <c r="DH109" s="128">
        <f>IFERROR(AV109*$V109,)</f>
        <v/>
      </c>
      <c r="DI109" s="128">
        <f>IFERROR(AW109*$V109,)</f>
        <v/>
      </c>
      <c r="DJ109" s="128">
        <f>IFERROR(AX109*$V109,)</f>
        <v/>
      </c>
      <c r="DK109" s="128">
        <f>IFERROR(AY109*$V109,)</f>
        <v/>
      </c>
      <c r="DL109" s="128">
        <f>IFERROR(AZ109*$V109,)</f>
        <v/>
      </c>
      <c r="DM109" s="129">
        <f>IFERROR(if($X109=0,($V109/1.2)*BA109,
BA109*$X109),)</f>
        <v/>
      </c>
      <c r="DN109" s="129">
        <f>IFERROR(if($X109=0,($V109/1.2)*BB109,
BB109*$X109),)</f>
        <v/>
      </c>
      <c r="DO109" s="129">
        <f>IFERROR(if($X109=0,($V109/1.2)*BC109,
BC109*$X109),)</f>
        <v/>
      </c>
      <c r="DP109" s="130">
        <f>IFERROR(if($Z109=0,($V109/1.35)*BD109,
BD109*$Z109),)</f>
        <v/>
      </c>
      <c r="DQ109" s="130">
        <f>IFERROR(if($Z109=0,($V109/1.35)*BE109,
BE109*$Z109),)</f>
        <v/>
      </c>
      <c r="DR109" s="130">
        <f>IFERROR(if($Z109=0,($V109/1.35)*BF109,
BF109*$Z109),)</f>
        <v/>
      </c>
      <c r="DS109" s="128">
        <f>IFERROR(IF($AB109=0,($V109/0.74)*BG109,
BG109*$AB109),)</f>
        <v/>
      </c>
      <c r="DT109" s="128">
        <f>IFERROR(IF($AB109=0,($V109/0.74)*BH109,
BH109*$AB109),)</f>
        <v/>
      </c>
      <c r="DU109" s="128">
        <f>IFERROR(IF($AB109=0,($V109/0.74)*BI109,
BI109*$AB109),)</f>
        <v/>
      </c>
    </row>
    <row r="110" ht="131.25" customHeight="1" s="162">
      <c r="A110" s="115" t="n"/>
      <c r="B110" s="115" t="n"/>
      <c r="C110" s="115" t="n"/>
      <c r="D110" s="115" t="n"/>
      <c r="E110" s="115" t="n"/>
      <c r="F110" s="115" t="n"/>
      <c r="G110" s="115" t="n"/>
      <c r="H110" s="115" t="n"/>
      <c r="I110" s="115" t="n"/>
      <c r="J110" s="115" t="n"/>
      <c r="K110" s="115" t="n"/>
      <c r="L110" s="115" t="n"/>
      <c r="M110" s="115" t="n"/>
      <c r="N110" s="115" t="n"/>
      <c r="O110" s="115" t="n"/>
      <c r="P110" s="115" t="n"/>
      <c r="Q110" s="115" t="n"/>
      <c r="R110" s="115" t="n"/>
      <c r="S110" s="115" t="n"/>
      <c r="T110" s="115" t="n"/>
      <c r="U110" s="116" t="n"/>
      <c r="V110" s="116" t="n"/>
      <c r="W110" s="117" t="n"/>
      <c r="X110" s="118" t="n"/>
      <c r="Y110" s="119" t="n"/>
      <c r="Z110" s="120" t="n"/>
      <c r="AA110" s="121" t="n"/>
      <c r="AB110" s="122" t="n"/>
      <c r="AC110" s="117" t="n"/>
      <c r="AD110" s="123">
        <f>IF(SUM($AE110:$AH110)=0,"",SUM($AE110:$AH110))</f>
        <v/>
      </c>
      <c r="AE110" s="123">
        <f>iferror(IF(SUM($AI110:$AZ110)=0,"",SUM($AI110:$AZ110)),"")</f>
        <v/>
      </c>
      <c r="AF110" s="123">
        <f>iferror(IF(SUM($BA110:$BC110)=0,"",SUM($BA110:$BC110)),"")</f>
        <v/>
      </c>
      <c r="AG110" s="123">
        <f>iferror(IF(SUM($BD110:$BF110)=0,"",SUM($BD110:$BF110)),"")</f>
        <v/>
      </c>
      <c r="AH110" s="124">
        <f>iferror(IF(SUM($BG110:$BI110)=0,"",SUM($BG110:$BI110)),"")</f>
        <v/>
      </c>
      <c r="AI110" s="131" t="n"/>
      <c r="AJ110" s="132" t="n"/>
      <c r="AK110" s="132" t="n"/>
      <c r="AL110" s="132" t="n"/>
      <c r="AM110" s="132" t="n"/>
      <c r="AN110" s="132" t="n"/>
      <c r="AO110" s="132" t="n"/>
      <c r="AP110" s="132" t="n"/>
      <c r="AQ110" s="132" t="n"/>
      <c r="AR110" s="132" t="n"/>
      <c r="AS110" s="132" t="n"/>
      <c r="AT110" s="132" t="n"/>
      <c r="AU110" s="132" t="n"/>
      <c r="AV110" s="132" t="n"/>
      <c r="AW110" s="132" t="n"/>
      <c r="AX110" s="132" t="n"/>
      <c r="AY110" s="132" t="n"/>
      <c r="AZ110" s="133" t="n"/>
      <c r="BA110" s="131" t="n"/>
      <c r="BB110" s="132" t="n"/>
      <c r="BC110" s="133" t="n"/>
      <c r="BD110" s="131" t="n"/>
      <c r="BE110" s="132" t="n"/>
      <c r="BF110" s="133" t="n"/>
      <c r="BG110" s="131" t="n"/>
      <c r="BH110" s="132" t="n"/>
      <c r="BI110" s="132" t="n"/>
      <c r="BJ110" s="128">
        <f>iferror(SUM($BK110,($BL110*1.2),($BM110*1.35),($BN110*0.74)),)</f>
        <v/>
      </c>
      <c r="BK110" s="128">
        <f>IFERROR(SUM($BT110:$CK110),)</f>
        <v/>
      </c>
      <c r="BL110" s="129">
        <f>IFERROR(SUM($CL110:$CN110),)</f>
        <v/>
      </c>
      <c r="BM110" s="130">
        <f>IFERROR(SUM($CO110:$CQ110),)</f>
        <v/>
      </c>
      <c r="BN110" s="128">
        <f>IFERROR(SUM($CR110:$CT110),)</f>
        <v/>
      </c>
      <c r="BO110" s="128">
        <f>iferror(SUM($BP110,($BQ110*1.2),($BR110*1.35),($BS110*0.74)),)</f>
        <v/>
      </c>
      <c r="BP110" s="128">
        <f>IFERROR(SUM($CU110:$DL110),)</f>
        <v/>
      </c>
      <c r="BQ110" s="128">
        <f>IFERROR(SUM($DM110:$DO110),)</f>
        <v/>
      </c>
      <c r="BR110" s="128">
        <f>IFERROR(SUM($DP110:$DR110),)</f>
        <v/>
      </c>
      <c r="BS110" s="128">
        <f>IFERROR(SUM($DS110:$DU110),)</f>
        <v/>
      </c>
      <c r="BT110" s="128">
        <f>IFERROR(AI110*$W110,)</f>
        <v/>
      </c>
      <c r="BU110" s="128">
        <f>IFERROR(AJ110*$W110,)</f>
        <v/>
      </c>
      <c r="BV110" s="128">
        <f>IFERROR(AK110*$W110,)</f>
        <v/>
      </c>
      <c r="BW110" s="128">
        <f>IFERROR(AL110*$W110,)</f>
        <v/>
      </c>
      <c r="BX110" s="128">
        <f>IFERROR(AM110*$W110,)</f>
        <v/>
      </c>
      <c r="BY110" s="128">
        <f>IFERROR(AN110*$W110,)</f>
        <v/>
      </c>
      <c r="BZ110" s="128">
        <f>IFERROR(AO110*$W110,)</f>
        <v/>
      </c>
      <c r="CA110" s="128">
        <f>IFERROR(AP110*$W110,)</f>
        <v/>
      </c>
      <c r="CB110" s="128">
        <f>IFERROR(AQ110*$W110,)</f>
        <v/>
      </c>
      <c r="CC110" s="128">
        <f>IFERROR(AR110*$W110,)</f>
        <v/>
      </c>
      <c r="CD110" s="128">
        <f>IFERROR(AS110*$W110,)</f>
        <v/>
      </c>
      <c r="CE110" s="128">
        <f>IFERROR(AT110*$W110,)</f>
        <v/>
      </c>
      <c r="CF110" s="128">
        <f>IFERROR(AU110*$W110,)</f>
        <v/>
      </c>
      <c r="CG110" s="128">
        <f>IFERROR(AV110*$W110,)</f>
        <v/>
      </c>
      <c r="CH110" s="128">
        <f>IFERROR(AW110*$W110,)</f>
        <v/>
      </c>
      <c r="CI110" s="128">
        <f>IFERROR(AX110*$W110,)</f>
        <v/>
      </c>
      <c r="CJ110" s="128">
        <f>IFERROR(AY110*$W110,)</f>
        <v/>
      </c>
      <c r="CK110" s="128">
        <f>IFERROR(AZ110*$W110,)</f>
        <v/>
      </c>
      <c r="CL110" s="129">
        <f>IFERROR(if($Y110=0,BA110*($W110/1.2),BA110*$Y110),"")</f>
        <v/>
      </c>
      <c r="CM110" s="129">
        <f>IFERROR(if($Y110=0,BB110*($W110/1.2),BB110*$Y110),"")</f>
        <v/>
      </c>
      <c r="CN110" s="129">
        <f>IFERROR(if($Y110=0,BC110*($W110/1.2),BC110*$Y110),"")</f>
        <v/>
      </c>
      <c r="CO110" s="130">
        <f>IFERROR(if($AA110=0,($W110/1.35)*BD110,BD110*$AA110),)</f>
        <v/>
      </c>
      <c r="CP110" s="130">
        <f>IFERROR(if($AA110=0,($W110/1.35)*BE110,BE110*$AA110),)</f>
        <v/>
      </c>
      <c r="CQ110" s="130">
        <f>IFERROR(if($AA110=0,($W110/1.35)*BF110,BF110*$AA110),)</f>
        <v/>
      </c>
      <c r="CR110" s="128">
        <f>IFERROR(if($AC110=0,($W110/0.74)*BG110,
BG110*$AC110),)</f>
        <v/>
      </c>
      <c r="CS110" s="128">
        <f>IFERROR(if($AC110=0,($W110/0.74)*BH110,
BH110*$AC110),)</f>
        <v/>
      </c>
      <c r="CT110" s="128">
        <f>IFERROR(if($AC110=0,($W110/0.74)*BI110,
BI110*$AC110),)</f>
        <v/>
      </c>
      <c r="CU110" s="128">
        <f>IFERROR(AI110*$V110,)</f>
        <v/>
      </c>
      <c r="CV110" s="128">
        <f>IFERROR(AJ110*$V110,)</f>
        <v/>
      </c>
      <c r="CW110" s="128">
        <f>IFERROR(AK110*$V110,)</f>
        <v/>
      </c>
      <c r="CX110" s="128">
        <f>IFERROR(AL110*$V110,)</f>
        <v/>
      </c>
      <c r="CY110" s="128">
        <f>IFERROR(AM110*$V110,)</f>
        <v/>
      </c>
      <c r="CZ110" s="128">
        <f>IFERROR(AN110*$V110,)</f>
        <v/>
      </c>
      <c r="DA110" s="128">
        <f>IFERROR(AO110*$V110,)</f>
        <v/>
      </c>
      <c r="DB110" s="128">
        <f>IFERROR(AP110*$V110,)</f>
        <v/>
      </c>
      <c r="DC110" s="128">
        <f>IFERROR(AQ110*$V110,)</f>
        <v/>
      </c>
      <c r="DD110" s="128">
        <f>IFERROR(AR110*$V110,)</f>
        <v/>
      </c>
      <c r="DE110" s="128">
        <f>IFERROR(AS110*$V110,)</f>
        <v/>
      </c>
      <c r="DF110" s="128">
        <f>IFERROR(AT110*$V110,)</f>
        <v/>
      </c>
      <c r="DG110" s="128">
        <f>IFERROR(AU110*$V110,)</f>
        <v/>
      </c>
      <c r="DH110" s="128">
        <f>IFERROR(AV110*$V110,)</f>
        <v/>
      </c>
      <c r="DI110" s="128">
        <f>IFERROR(AW110*$V110,)</f>
        <v/>
      </c>
      <c r="DJ110" s="128">
        <f>IFERROR(AX110*$V110,)</f>
        <v/>
      </c>
      <c r="DK110" s="128">
        <f>IFERROR(AY110*$V110,)</f>
        <v/>
      </c>
      <c r="DL110" s="128">
        <f>IFERROR(AZ110*$V110,)</f>
        <v/>
      </c>
      <c r="DM110" s="129">
        <f>IFERROR(if($X110=0,($V110/1.2)*BA110,
BA110*$X110),)</f>
        <v/>
      </c>
      <c r="DN110" s="129">
        <f>IFERROR(if($X110=0,($V110/1.2)*BB110,
BB110*$X110),)</f>
        <v/>
      </c>
      <c r="DO110" s="129">
        <f>IFERROR(if($X110=0,($V110/1.2)*BC110,
BC110*$X110),)</f>
        <v/>
      </c>
      <c r="DP110" s="130">
        <f>IFERROR(if($Z110=0,($V110/1.35)*BD110,
BD110*$Z110),)</f>
        <v/>
      </c>
      <c r="DQ110" s="130">
        <f>IFERROR(if($Z110=0,($V110/1.35)*BE110,
BE110*$Z110),)</f>
        <v/>
      </c>
      <c r="DR110" s="130">
        <f>IFERROR(if($Z110=0,($V110/1.35)*BF110,
BF110*$Z110),)</f>
        <v/>
      </c>
      <c r="DS110" s="128">
        <f>IFERROR(IF($AB110=0,($V110/0.74)*BG110,
BG110*$AB110),)</f>
        <v/>
      </c>
      <c r="DT110" s="128">
        <f>IFERROR(IF($AB110=0,($V110/0.74)*BH110,
BH110*$AB110),)</f>
        <v/>
      </c>
      <c r="DU110" s="128">
        <f>IFERROR(IF($AB110=0,($V110/0.74)*BI110,
BI110*$AB110),)</f>
        <v/>
      </c>
    </row>
    <row r="111" ht="131.25" customHeight="1" s="162">
      <c r="A111" s="115" t="n"/>
      <c r="B111" s="115" t="n"/>
      <c r="C111" s="115" t="n"/>
      <c r="D111" s="115" t="n"/>
      <c r="E111" s="115" t="n"/>
      <c r="F111" s="115" t="n"/>
      <c r="G111" s="115" t="n"/>
      <c r="H111" s="115" t="n"/>
      <c r="I111" s="115" t="n"/>
      <c r="J111" s="115" t="n"/>
      <c r="K111" s="115" t="n"/>
      <c r="L111" s="115" t="n"/>
      <c r="M111" s="115" t="n"/>
      <c r="N111" s="115" t="n"/>
      <c r="O111" s="115" t="n"/>
      <c r="P111" s="115" t="n"/>
      <c r="Q111" s="115" t="n"/>
      <c r="R111" s="115" t="n"/>
      <c r="S111" s="115" t="n"/>
      <c r="T111" s="115" t="n"/>
      <c r="U111" s="116" t="n"/>
      <c r="V111" s="116" t="n"/>
      <c r="W111" s="117" t="n"/>
      <c r="X111" s="118" t="n"/>
      <c r="Y111" s="119" t="n"/>
      <c r="Z111" s="120" t="n"/>
      <c r="AA111" s="121" t="n"/>
      <c r="AB111" s="122" t="n"/>
      <c r="AC111" s="117" t="n"/>
      <c r="AD111" s="123">
        <f>IF(SUM($AE111:$AH111)=0,"",SUM($AE111:$AH111))</f>
        <v/>
      </c>
      <c r="AE111" s="123">
        <f>iferror(IF(SUM($AI111:$AZ111)=0,"",SUM($AI111:$AZ111)),"")</f>
        <v/>
      </c>
      <c r="AF111" s="123">
        <f>iferror(IF(SUM($BA111:$BC111)=0,"",SUM($BA111:$BC111)),"")</f>
        <v/>
      </c>
      <c r="AG111" s="123">
        <f>iferror(IF(SUM($BD111:$BF111)=0,"",SUM($BD111:$BF111)),"")</f>
        <v/>
      </c>
      <c r="AH111" s="124">
        <f>iferror(IF(SUM($BG111:$BI111)=0,"",SUM($BG111:$BI111)),"")</f>
        <v/>
      </c>
      <c r="AI111" s="131" t="n"/>
      <c r="AJ111" s="132" t="n"/>
      <c r="AK111" s="132" t="n"/>
      <c r="AL111" s="132" t="n"/>
      <c r="AM111" s="132" t="n"/>
      <c r="AN111" s="132" t="n"/>
      <c r="AO111" s="132" t="n"/>
      <c r="AP111" s="132" t="n"/>
      <c r="AQ111" s="132" t="n"/>
      <c r="AR111" s="132" t="n"/>
      <c r="AS111" s="132" t="n"/>
      <c r="AT111" s="132" t="n"/>
      <c r="AU111" s="132" t="n"/>
      <c r="AV111" s="132" t="n"/>
      <c r="AW111" s="132" t="n"/>
      <c r="AX111" s="132" t="n"/>
      <c r="AY111" s="132" t="n"/>
      <c r="AZ111" s="133" t="n"/>
      <c r="BA111" s="131" t="n"/>
      <c r="BB111" s="132" t="n"/>
      <c r="BC111" s="133" t="n"/>
      <c r="BD111" s="131" t="n"/>
      <c r="BE111" s="132" t="n"/>
      <c r="BF111" s="133" t="n"/>
      <c r="BG111" s="131" t="n"/>
      <c r="BH111" s="132" t="n"/>
      <c r="BI111" s="132" t="n"/>
      <c r="BJ111" s="128">
        <f>iferror(SUM($BK111,($BL111*1.2),($BM111*1.35),($BN111*0.74)),)</f>
        <v/>
      </c>
      <c r="BK111" s="128">
        <f>IFERROR(SUM($BT111:$CK111),)</f>
        <v/>
      </c>
      <c r="BL111" s="129">
        <f>IFERROR(SUM($CL111:$CN111),)</f>
        <v/>
      </c>
      <c r="BM111" s="130">
        <f>IFERROR(SUM($CO111:$CQ111),)</f>
        <v/>
      </c>
      <c r="BN111" s="128">
        <f>IFERROR(SUM($CR111:$CT111),)</f>
        <v/>
      </c>
      <c r="BO111" s="128">
        <f>iferror(SUM($BP111,($BQ111*1.2),($BR111*1.35),($BS111*0.74)),)</f>
        <v/>
      </c>
      <c r="BP111" s="128">
        <f>IFERROR(SUM($CU111:$DL111),)</f>
        <v/>
      </c>
      <c r="BQ111" s="128">
        <f>IFERROR(SUM($DM111:$DO111),)</f>
        <v/>
      </c>
      <c r="BR111" s="128">
        <f>IFERROR(SUM($DP111:$DR111),)</f>
        <v/>
      </c>
      <c r="BS111" s="128">
        <f>IFERROR(SUM($DS111:$DU111),)</f>
        <v/>
      </c>
      <c r="BT111" s="128">
        <f>IFERROR(AI111*$W111,)</f>
        <v/>
      </c>
      <c r="BU111" s="128">
        <f>IFERROR(AJ111*$W111,)</f>
        <v/>
      </c>
      <c r="BV111" s="128">
        <f>IFERROR(AK111*$W111,)</f>
        <v/>
      </c>
      <c r="BW111" s="128">
        <f>IFERROR(AL111*$W111,)</f>
        <v/>
      </c>
      <c r="BX111" s="128">
        <f>IFERROR(AM111*$W111,)</f>
        <v/>
      </c>
      <c r="BY111" s="128">
        <f>IFERROR(AN111*$W111,)</f>
        <v/>
      </c>
      <c r="BZ111" s="128">
        <f>IFERROR(AO111*$W111,)</f>
        <v/>
      </c>
      <c r="CA111" s="128">
        <f>IFERROR(AP111*$W111,)</f>
        <v/>
      </c>
      <c r="CB111" s="128">
        <f>IFERROR(AQ111*$W111,)</f>
        <v/>
      </c>
      <c r="CC111" s="128">
        <f>IFERROR(AR111*$W111,)</f>
        <v/>
      </c>
      <c r="CD111" s="128">
        <f>IFERROR(AS111*$W111,)</f>
        <v/>
      </c>
      <c r="CE111" s="128">
        <f>IFERROR(AT111*$W111,)</f>
        <v/>
      </c>
      <c r="CF111" s="128">
        <f>IFERROR(AU111*$W111,)</f>
        <v/>
      </c>
      <c r="CG111" s="128">
        <f>IFERROR(AV111*$W111,)</f>
        <v/>
      </c>
      <c r="CH111" s="128">
        <f>IFERROR(AW111*$W111,)</f>
        <v/>
      </c>
      <c r="CI111" s="128">
        <f>IFERROR(AX111*$W111,)</f>
        <v/>
      </c>
      <c r="CJ111" s="128">
        <f>IFERROR(AY111*$W111,)</f>
        <v/>
      </c>
      <c r="CK111" s="128">
        <f>IFERROR(AZ111*$W111,)</f>
        <v/>
      </c>
      <c r="CL111" s="129">
        <f>IFERROR(if($Y111=0,BA111*($W111/1.2),BA111*$Y111),"")</f>
        <v/>
      </c>
      <c r="CM111" s="129">
        <f>IFERROR(if($Y111=0,BB111*($W111/1.2),BB111*$Y111),"")</f>
        <v/>
      </c>
      <c r="CN111" s="129">
        <f>IFERROR(if($Y111=0,BC111*($W111/1.2),BC111*$Y111),"")</f>
        <v/>
      </c>
      <c r="CO111" s="130">
        <f>IFERROR(if($AA111=0,($W111/1.35)*BD111,BD111*$AA111),)</f>
        <v/>
      </c>
      <c r="CP111" s="130">
        <f>IFERROR(if($AA111=0,($W111/1.35)*BE111,BE111*$AA111),)</f>
        <v/>
      </c>
      <c r="CQ111" s="130">
        <f>IFERROR(if($AA111=0,($W111/1.35)*BF111,BF111*$AA111),)</f>
        <v/>
      </c>
      <c r="CR111" s="128">
        <f>IFERROR(if($AC111=0,($W111/0.74)*BG111,
BG111*$AC111),)</f>
        <v/>
      </c>
      <c r="CS111" s="128">
        <f>IFERROR(if($AC111=0,($W111/0.74)*BH111,
BH111*$AC111),)</f>
        <v/>
      </c>
      <c r="CT111" s="128">
        <f>IFERROR(if($AC111=0,($W111/0.74)*BI111,
BI111*$AC111),)</f>
        <v/>
      </c>
      <c r="CU111" s="128">
        <f>IFERROR(AI111*$V111,)</f>
        <v/>
      </c>
      <c r="CV111" s="128">
        <f>IFERROR(AJ111*$V111,)</f>
        <v/>
      </c>
      <c r="CW111" s="128">
        <f>IFERROR(AK111*$V111,)</f>
        <v/>
      </c>
      <c r="CX111" s="128">
        <f>IFERROR(AL111*$V111,)</f>
        <v/>
      </c>
      <c r="CY111" s="128">
        <f>IFERROR(AM111*$V111,)</f>
        <v/>
      </c>
      <c r="CZ111" s="128">
        <f>IFERROR(AN111*$V111,)</f>
        <v/>
      </c>
      <c r="DA111" s="128">
        <f>IFERROR(AO111*$V111,)</f>
        <v/>
      </c>
      <c r="DB111" s="128">
        <f>IFERROR(AP111*$V111,)</f>
        <v/>
      </c>
      <c r="DC111" s="128">
        <f>IFERROR(AQ111*$V111,)</f>
        <v/>
      </c>
      <c r="DD111" s="128">
        <f>IFERROR(AR111*$V111,)</f>
        <v/>
      </c>
      <c r="DE111" s="128">
        <f>IFERROR(AS111*$V111,)</f>
        <v/>
      </c>
      <c r="DF111" s="128">
        <f>IFERROR(AT111*$V111,)</f>
        <v/>
      </c>
      <c r="DG111" s="128">
        <f>IFERROR(AU111*$V111,)</f>
        <v/>
      </c>
      <c r="DH111" s="128">
        <f>IFERROR(AV111*$V111,)</f>
        <v/>
      </c>
      <c r="DI111" s="128">
        <f>IFERROR(AW111*$V111,)</f>
        <v/>
      </c>
      <c r="DJ111" s="128">
        <f>IFERROR(AX111*$V111,)</f>
        <v/>
      </c>
      <c r="DK111" s="128">
        <f>IFERROR(AY111*$V111,)</f>
        <v/>
      </c>
      <c r="DL111" s="128">
        <f>IFERROR(AZ111*$V111,)</f>
        <v/>
      </c>
      <c r="DM111" s="129">
        <f>IFERROR(if($X111=0,($V111/1.2)*BA111,
BA111*$X111),)</f>
        <v/>
      </c>
      <c r="DN111" s="129">
        <f>IFERROR(if($X111=0,($V111/1.2)*BB111,
BB111*$X111),)</f>
        <v/>
      </c>
      <c r="DO111" s="129">
        <f>IFERROR(if($X111=0,($V111/1.2)*BC111,
BC111*$X111),)</f>
        <v/>
      </c>
      <c r="DP111" s="130">
        <f>IFERROR(if($Z111=0,($V111/1.35)*BD111,
BD111*$Z111),)</f>
        <v/>
      </c>
      <c r="DQ111" s="130">
        <f>IFERROR(if($Z111=0,($V111/1.35)*BE111,
BE111*$Z111),)</f>
        <v/>
      </c>
      <c r="DR111" s="130">
        <f>IFERROR(if($Z111=0,($V111/1.35)*BF111,
BF111*$Z111),)</f>
        <v/>
      </c>
      <c r="DS111" s="128">
        <f>IFERROR(IF($AB111=0,($V111/0.74)*BG111,
BG111*$AB111),)</f>
        <v/>
      </c>
      <c r="DT111" s="128">
        <f>IFERROR(IF($AB111=0,($V111/0.74)*BH111,
BH111*$AB111),)</f>
        <v/>
      </c>
      <c r="DU111" s="128">
        <f>IFERROR(IF($AB111=0,($V111/0.74)*BI111,
BI111*$AB111),)</f>
        <v/>
      </c>
    </row>
    <row r="112" ht="131.25" customHeight="1" s="162">
      <c r="A112" s="115" t="n"/>
      <c r="B112" s="115" t="n"/>
      <c r="C112" s="115" t="n"/>
      <c r="D112" s="115" t="n"/>
      <c r="E112" s="115" t="n"/>
      <c r="F112" s="115" t="n"/>
      <c r="G112" s="115" t="n"/>
      <c r="H112" s="115" t="n"/>
      <c r="I112" s="115" t="n"/>
      <c r="J112" s="115" t="n"/>
      <c r="K112" s="115" t="n"/>
      <c r="L112" s="115" t="n"/>
      <c r="M112" s="115" t="n"/>
      <c r="N112" s="115" t="n"/>
      <c r="O112" s="115" t="n"/>
      <c r="P112" s="115" t="n"/>
      <c r="Q112" s="115" t="n"/>
      <c r="R112" s="115" t="n"/>
      <c r="S112" s="115" t="n"/>
      <c r="T112" s="115" t="n"/>
      <c r="U112" s="116" t="n"/>
      <c r="V112" s="116" t="n"/>
      <c r="W112" s="117" t="n"/>
      <c r="X112" s="118" t="n"/>
      <c r="Y112" s="119" t="n"/>
      <c r="Z112" s="120" t="n"/>
      <c r="AA112" s="121" t="n"/>
      <c r="AB112" s="122" t="n"/>
      <c r="AC112" s="117" t="n"/>
      <c r="AD112" s="123">
        <f>IF(SUM($AE112:$AH112)=0,"",SUM($AE112:$AH112))</f>
        <v/>
      </c>
      <c r="AE112" s="123">
        <f>iferror(IF(SUM($AI112:$AZ112)=0,"",SUM($AI112:$AZ112)),"")</f>
        <v/>
      </c>
      <c r="AF112" s="123">
        <f>iferror(IF(SUM($BA112:$BC112)=0,"",SUM($BA112:$BC112)),"")</f>
        <v/>
      </c>
      <c r="AG112" s="123">
        <f>iferror(IF(SUM($BD112:$BF112)=0,"",SUM($BD112:$BF112)),"")</f>
        <v/>
      </c>
      <c r="AH112" s="124">
        <f>iferror(IF(SUM($BG112:$BI112)=0,"",SUM($BG112:$BI112)),"")</f>
        <v/>
      </c>
      <c r="AI112" s="131" t="n"/>
      <c r="AJ112" s="132" t="n"/>
      <c r="AK112" s="132" t="n"/>
      <c r="AL112" s="132" t="n"/>
      <c r="AM112" s="132" t="n"/>
      <c r="AN112" s="132" t="n"/>
      <c r="AO112" s="132" t="n"/>
      <c r="AP112" s="132" t="n"/>
      <c r="AQ112" s="132" t="n"/>
      <c r="AR112" s="132" t="n"/>
      <c r="AS112" s="132" t="n"/>
      <c r="AT112" s="132" t="n"/>
      <c r="AU112" s="132" t="n"/>
      <c r="AV112" s="132" t="n"/>
      <c r="AW112" s="132" t="n"/>
      <c r="AX112" s="132" t="n"/>
      <c r="AY112" s="132" t="n"/>
      <c r="AZ112" s="133" t="n"/>
      <c r="BA112" s="131" t="n"/>
      <c r="BB112" s="132" t="n"/>
      <c r="BC112" s="133" t="n"/>
      <c r="BD112" s="131" t="n"/>
      <c r="BE112" s="132" t="n"/>
      <c r="BF112" s="133" t="n"/>
      <c r="BG112" s="131" t="n"/>
      <c r="BH112" s="132" t="n"/>
      <c r="BI112" s="132" t="n"/>
      <c r="BJ112" s="128">
        <f>iferror(SUM($BK112,($BL112*1.2),($BM112*1.35),($BN112*0.74)),)</f>
        <v/>
      </c>
      <c r="BK112" s="128">
        <f>IFERROR(SUM($BT112:$CK112),)</f>
        <v/>
      </c>
      <c r="BL112" s="129">
        <f>IFERROR(SUM($CL112:$CN112),)</f>
        <v/>
      </c>
      <c r="BM112" s="130">
        <f>IFERROR(SUM($CO112:$CQ112),)</f>
        <v/>
      </c>
      <c r="BN112" s="128">
        <f>IFERROR(SUM($CR112:$CT112),)</f>
        <v/>
      </c>
      <c r="BO112" s="128">
        <f>iferror(SUM($BP112,($BQ112*1.2),($BR112*1.35),($BS112*0.74)),)</f>
        <v/>
      </c>
      <c r="BP112" s="128">
        <f>IFERROR(SUM($CU112:$DL112),)</f>
        <v/>
      </c>
      <c r="BQ112" s="128">
        <f>IFERROR(SUM($DM112:$DO112),)</f>
        <v/>
      </c>
      <c r="BR112" s="128">
        <f>IFERROR(SUM($DP112:$DR112),)</f>
        <v/>
      </c>
      <c r="BS112" s="128">
        <f>IFERROR(SUM($DS112:$DU112),)</f>
        <v/>
      </c>
      <c r="BT112" s="128">
        <f>IFERROR(AI112*$W112,)</f>
        <v/>
      </c>
      <c r="BU112" s="128">
        <f>IFERROR(AJ112*$W112,)</f>
        <v/>
      </c>
      <c r="BV112" s="128">
        <f>IFERROR(AK112*$W112,)</f>
        <v/>
      </c>
      <c r="BW112" s="128">
        <f>IFERROR(AL112*$W112,)</f>
        <v/>
      </c>
      <c r="BX112" s="128">
        <f>IFERROR(AM112*$W112,)</f>
        <v/>
      </c>
      <c r="BY112" s="128">
        <f>IFERROR(AN112*$W112,)</f>
        <v/>
      </c>
      <c r="BZ112" s="128">
        <f>IFERROR(AO112*$W112,)</f>
        <v/>
      </c>
      <c r="CA112" s="128">
        <f>IFERROR(AP112*$W112,)</f>
        <v/>
      </c>
      <c r="CB112" s="128">
        <f>IFERROR(AQ112*$W112,)</f>
        <v/>
      </c>
      <c r="CC112" s="128">
        <f>IFERROR(AR112*$W112,)</f>
        <v/>
      </c>
      <c r="CD112" s="128">
        <f>IFERROR(AS112*$W112,)</f>
        <v/>
      </c>
      <c r="CE112" s="128">
        <f>IFERROR(AT112*$W112,)</f>
        <v/>
      </c>
      <c r="CF112" s="128">
        <f>IFERROR(AU112*$W112,)</f>
        <v/>
      </c>
      <c r="CG112" s="128">
        <f>IFERROR(AV112*$W112,)</f>
        <v/>
      </c>
      <c r="CH112" s="128">
        <f>IFERROR(AW112*$W112,)</f>
        <v/>
      </c>
      <c r="CI112" s="128">
        <f>IFERROR(AX112*$W112,)</f>
        <v/>
      </c>
      <c r="CJ112" s="128">
        <f>IFERROR(AY112*$W112,)</f>
        <v/>
      </c>
      <c r="CK112" s="128">
        <f>IFERROR(AZ112*$W112,)</f>
        <v/>
      </c>
      <c r="CL112" s="129">
        <f>IFERROR(if($Y112=0,BA112*($W112/1.2),BA112*$Y112),"")</f>
        <v/>
      </c>
      <c r="CM112" s="129">
        <f>IFERROR(if($Y112=0,BB112*($W112/1.2),BB112*$Y112),"")</f>
        <v/>
      </c>
      <c r="CN112" s="129">
        <f>IFERROR(if($Y112=0,BC112*($W112/1.2),BC112*$Y112),"")</f>
        <v/>
      </c>
      <c r="CO112" s="130">
        <f>IFERROR(if($AA112=0,($W112/1.35)*BD112,BD112*$AA112),)</f>
        <v/>
      </c>
      <c r="CP112" s="130">
        <f>IFERROR(if($AA112=0,($W112/1.35)*BE112,BE112*$AA112),)</f>
        <v/>
      </c>
      <c r="CQ112" s="130">
        <f>IFERROR(if($AA112=0,($W112/1.35)*BF112,BF112*$AA112),)</f>
        <v/>
      </c>
      <c r="CR112" s="128">
        <f>IFERROR(if($AC112=0,($W112/0.74)*BG112,
BG112*$AC112),)</f>
        <v/>
      </c>
      <c r="CS112" s="128">
        <f>IFERROR(if($AC112=0,($W112/0.74)*BH112,
BH112*$AC112),)</f>
        <v/>
      </c>
      <c r="CT112" s="128">
        <f>IFERROR(if($AC112=0,($W112/0.74)*BI112,
BI112*$AC112),)</f>
        <v/>
      </c>
      <c r="CU112" s="128">
        <f>IFERROR(AI112*$V112,)</f>
        <v/>
      </c>
      <c r="CV112" s="128">
        <f>IFERROR(AJ112*$V112,)</f>
        <v/>
      </c>
      <c r="CW112" s="128">
        <f>IFERROR(AK112*$V112,)</f>
        <v/>
      </c>
      <c r="CX112" s="128">
        <f>IFERROR(AL112*$V112,)</f>
        <v/>
      </c>
      <c r="CY112" s="128">
        <f>IFERROR(AM112*$V112,)</f>
        <v/>
      </c>
      <c r="CZ112" s="128">
        <f>IFERROR(AN112*$V112,)</f>
        <v/>
      </c>
      <c r="DA112" s="128">
        <f>IFERROR(AO112*$V112,)</f>
        <v/>
      </c>
      <c r="DB112" s="128">
        <f>IFERROR(AP112*$V112,)</f>
        <v/>
      </c>
      <c r="DC112" s="128">
        <f>IFERROR(AQ112*$V112,)</f>
        <v/>
      </c>
      <c r="DD112" s="128">
        <f>IFERROR(AR112*$V112,)</f>
        <v/>
      </c>
      <c r="DE112" s="128">
        <f>IFERROR(AS112*$V112,)</f>
        <v/>
      </c>
      <c r="DF112" s="128">
        <f>IFERROR(AT112*$V112,)</f>
        <v/>
      </c>
      <c r="DG112" s="128">
        <f>IFERROR(AU112*$V112,)</f>
        <v/>
      </c>
      <c r="DH112" s="128">
        <f>IFERROR(AV112*$V112,)</f>
        <v/>
      </c>
      <c r="DI112" s="128">
        <f>IFERROR(AW112*$V112,)</f>
        <v/>
      </c>
      <c r="DJ112" s="128">
        <f>IFERROR(AX112*$V112,)</f>
        <v/>
      </c>
      <c r="DK112" s="128">
        <f>IFERROR(AY112*$V112,)</f>
        <v/>
      </c>
      <c r="DL112" s="128">
        <f>IFERROR(AZ112*$V112,)</f>
        <v/>
      </c>
      <c r="DM112" s="129">
        <f>IFERROR(if($X112=0,($V112/1.2)*BA112,
BA112*$X112),)</f>
        <v/>
      </c>
      <c r="DN112" s="129">
        <f>IFERROR(if($X112=0,($V112/1.2)*BB112,
BB112*$X112),)</f>
        <v/>
      </c>
      <c r="DO112" s="129">
        <f>IFERROR(if($X112=0,($V112/1.2)*BC112,
BC112*$X112),)</f>
        <v/>
      </c>
      <c r="DP112" s="130">
        <f>IFERROR(if($Z112=0,($V112/1.35)*BD112,
BD112*$Z112),)</f>
        <v/>
      </c>
      <c r="DQ112" s="130">
        <f>IFERROR(if($Z112=0,($V112/1.35)*BE112,
BE112*$Z112),)</f>
        <v/>
      </c>
      <c r="DR112" s="130">
        <f>IFERROR(if($Z112=0,($V112/1.35)*BF112,
BF112*$Z112),)</f>
        <v/>
      </c>
      <c r="DS112" s="128">
        <f>IFERROR(IF($AB112=0,($V112/0.74)*BG112,
BG112*$AB112),)</f>
        <v/>
      </c>
      <c r="DT112" s="128">
        <f>IFERROR(IF($AB112=0,($V112/0.74)*BH112,
BH112*$AB112),)</f>
        <v/>
      </c>
      <c r="DU112" s="128">
        <f>IFERROR(IF($AB112=0,($V112/0.74)*BI112,
BI112*$AB112),)</f>
        <v/>
      </c>
    </row>
    <row r="113" ht="131.25" customHeight="1" s="162">
      <c r="A113" s="115" t="n"/>
      <c r="B113" s="115" t="n"/>
      <c r="C113" s="115" t="n"/>
      <c r="D113" s="115" t="n"/>
      <c r="E113" s="115" t="n"/>
      <c r="F113" s="115" t="n"/>
      <c r="G113" s="115" t="n"/>
      <c r="H113" s="115" t="n"/>
      <c r="I113" s="115" t="n"/>
      <c r="J113" s="115" t="n"/>
      <c r="K113" s="115" t="n"/>
      <c r="L113" s="115" t="n"/>
      <c r="M113" s="115" t="n"/>
      <c r="N113" s="115" t="n"/>
      <c r="O113" s="115" t="n"/>
      <c r="P113" s="115" t="n"/>
      <c r="Q113" s="115" t="n"/>
      <c r="R113" s="115" t="n"/>
      <c r="S113" s="115" t="n"/>
      <c r="T113" s="115" t="n"/>
      <c r="U113" s="116" t="n"/>
      <c r="V113" s="116" t="n"/>
      <c r="W113" s="117" t="n"/>
      <c r="X113" s="118" t="n"/>
      <c r="Y113" s="119" t="n"/>
      <c r="Z113" s="120" t="n"/>
      <c r="AA113" s="121" t="n"/>
      <c r="AB113" s="122" t="n"/>
      <c r="AC113" s="117" t="n"/>
      <c r="AD113" s="123">
        <f>IF(SUM($AE113:$AH113)=0,"",SUM($AE113:$AH113))</f>
        <v/>
      </c>
      <c r="AE113" s="123">
        <f>iferror(IF(SUM($AI113:$AZ113)=0,"",SUM($AI113:$AZ113)),"")</f>
        <v/>
      </c>
      <c r="AF113" s="123">
        <f>iferror(IF(SUM($BA113:$BC113)=0,"",SUM($BA113:$BC113)),"")</f>
        <v/>
      </c>
      <c r="AG113" s="123">
        <f>iferror(IF(SUM($BD113:$BF113)=0,"",SUM($BD113:$BF113)),"")</f>
        <v/>
      </c>
      <c r="AH113" s="124">
        <f>iferror(IF(SUM($BG113:$BI113)=0,"",SUM($BG113:$BI113)),"")</f>
        <v/>
      </c>
      <c r="AI113" s="131" t="n"/>
      <c r="AJ113" s="132" t="n"/>
      <c r="AK113" s="132" t="n"/>
      <c r="AL113" s="132" t="n"/>
      <c r="AM113" s="132" t="n"/>
      <c r="AN113" s="132" t="n"/>
      <c r="AO113" s="132" t="n"/>
      <c r="AP113" s="132" t="n"/>
      <c r="AQ113" s="132" t="n"/>
      <c r="AR113" s="132" t="n"/>
      <c r="AS113" s="132" t="n"/>
      <c r="AT113" s="132" t="n"/>
      <c r="AU113" s="132" t="n"/>
      <c r="AV113" s="132" t="n"/>
      <c r="AW113" s="132" t="n"/>
      <c r="AX113" s="132" t="n"/>
      <c r="AY113" s="132" t="n"/>
      <c r="AZ113" s="133" t="n"/>
      <c r="BA113" s="131" t="n"/>
      <c r="BB113" s="132" t="n"/>
      <c r="BC113" s="133" t="n"/>
      <c r="BD113" s="131" t="n"/>
      <c r="BE113" s="132" t="n"/>
      <c r="BF113" s="133" t="n"/>
      <c r="BG113" s="131" t="n"/>
      <c r="BH113" s="132" t="n"/>
      <c r="BI113" s="132" t="n"/>
      <c r="BJ113" s="128">
        <f>iferror(SUM($BK113,($BL113*1.2),($BM113*1.35),($BN113*0.74)),)</f>
        <v/>
      </c>
      <c r="BK113" s="128">
        <f>IFERROR(SUM($BT113:$CK113),)</f>
        <v/>
      </c>
      <c r="BL113" s="129">
        <f>IFERROR(SUM($CL113:$CN113),)</f>
        <v/>
      </c>
      <c r="BM113" s="130">
        <f>IFERROR(SUM($CO113:$CQ113),)</f>
        <v/>
      </c>
      <c r="BN113" s="128">
        <f>IFERROR(SUM($CR113:$CT113),)</f>
        <v/>
      </c>
      <c r="BO113" s="128">
        <f>iferror(SUM($BP113,($BQ113*1.2),($BR113*1.35),($BS113*0.74)),)</f>
        <v/>
      </c>
      <c r="BP113" s="128">
        <f>IFERROR(SUM($CU113:$DL113),)</f>
        <v/>
      </c>
      <c r="BQ113" s="128">
        <f>IFERROR(SUM($DM113:$DO113),)</f>
        <v/>
      </c>
      <c r="BR113" s="128">
        <f>IFERROR(SUM($DP113:$DR113),)</f>
        <v/>
      </c>
      <c r="BS113" s="128">
        <f>IFERROR(SUM($DS113:$DU113),)</f>
        <v/>
      </c>
      <c r="BT113" s="128">
        <f>IFERROR(AI113*$W113,)</f>
        <v/>
      </c>
      <c r="BU113" s="128">
        <f>IFERROR(AJ113*$W113,)</f>
        <v/>
      </c>
      <c r="BV113" s="128">
        <f>IFERROR(AK113*$W113,)</f>
        <v/>
      </c>
      <c r="BW113" s="128">
        <f>IFERROR(AL113*$W113,)</f>
        <v/>
      </c>
      <c r="BX113" s="128">
        <f>IFERROR(AM113*$W113,)</f>
        <v/>
      </c>
      <c r="BY113" s="128">
        <f>IFERROR(AN113*$W113,)</f>
        <v/>
      </c>
      <c r="BZ113" s="128">
        <f>IFERROR(AO113*$W113,)</f>
        <v/>
      </c>
      <c r="CA113" s="128">
        <f>IFERROR(AP113*$W113,)</f>
        <v/>
      </c>
      <c r="CB113" s="128">
        <f>IFERROR(AQ113*$W113,)</f>
        <v/>
      </c>
      <c r="CC113" s="128">
        <f>IFERROR(AR113*$W113,)</f>
        <v/>
      </c>
      <c r="CD113" s="128">
        <f>IFERROR(AS113*$W113,)</f>
        <v/>
      </c>
      <c r="CE113" s="128">
        <f>IFERROR(AT113*$W113,)</f>
        <v/>
      </c>
      <c r="CF113" s="128">
        <f>IFERROR(AU113*$W113,)</f>
        <v/>
      </c>
      <c r="CG113" s="128">
        <f>IFERROR(AV113*$W113,)</f>
        <v/>
      </c>
      <c r="CH113" s="128">
        <f>IFERROR(AW113*$W113,)</f>
        <v/>
      </c>
      <c r="CI113" s="128">
        <f>IFERROR(AX113*$W113,)</f>
        <v/>
      </c>
      <c r="CJ113" s="128">
        <f>IFERROR(AY113*$W113,)</f>
        <v/>
      </c>
      <c r="CK113" s="128">
        <f>IFERROR(AZ113*$W113,)</f>
        <v/>
      </c>
      <c r="CL113" s="129">
        <f>IFERROR(if($Y113=0,BA113*($W113/1.2),BA113*$Y113),"")</f>
        <v/>
      </c>
      <c r="CM113" s="129">
        <f>IFERROR(if($Y113=0,BB113*($W113/1.2),BB113*$Y113),"")</f>
        <v/>
      </c>
      <c r="CN113" s="129">
        <f>IFERROR(if($Y113=0,BC113*($W113/1.2),BC113*$Y113),"")</f>
        <v/>
      </c>
      <c r="CO113" s="130">
        <f>IFERROR(if($AA113=0,($W113/1.35)*BD113,BD113*$AA113),)</f>
        <v/>
      </c>
      <c r="CP113" s="130">
        <f>IFERROR(if($AA113=0,($W113/1.35)*BE113,BE113*$AA113),)</f>
        <v/>
      </c>
      <c r="CQ113" s="130">
        <f>IFERROR(if($AA113=0,($W113/1.35)*BF113,BF113*$AA113),)</f>
        <v/>
      </c>
      <c r="CR113" s="128">
        <f>IFERROR(if($AC113=0,($W113/0.74)*BG113,
BG113*$AC113),)</f>
        <v/>
      </c>
      <c r="CS113" s="128">
        <f>IFERROR(if($AC113=0,($W113/0.74)*BH113,
BH113*$AC113),)</f>
        <v/>
      </c>
      <c r="CT113" s="128">
        <f>IFERROR(if($AC113=0,($W113/0.74)*BI113,
BI113*$AC113),)</f>
        <v/>
      </c>
      <c r="CU113" s="128">
        <f>IFERROR(AI113*$V113,)</f>
        <v/>
      </c>
      <c r="CV113" s="128">
        <f>IFERROR(AJ113*$V113,)</f>
        <v/>
      </c>
      <c r="CW113" s="128">
        <f>IFERROR(AK113*$V113,)</f>
        <v/>
      </c>
      <c r="CX113" s="128">
        <f>IFERROR(AL113*$V113,)</f>
        <v/>
      </c>
      <c r="CY113" s="128">
        <f>IFERROR(AM113*$V113,)</f>
        <v/>
      </c>
      <c r="CZ113" s="128">
        <f>IFERROR(AN113*$V113,)</f>
        <v/>
      </c>
      <c r="DA113" s="128">
        <f>IFERROR(AO113*$V113,)</f>
        <v/>
      </c>
      <c r="DB113" s="128">
        <f>IFERROR(AP113*$V113,)</f>
        <v/>
      </c>
      <c r="DC113" s="128">
        <f>IFERROR(AQ113*$V113,)</f>
        <v/>
      </c>
      <c r="DD113" s="128">
        <f>IFERROR(AR113*$V113,)</f>
        <v/>
      </c>
      <c r="DE113" s="128">
        <f>IFERROR(AS113*$V113,)</f>
        <v/>
      </c>
      <c r="DF113" s="128">
        <f>IFERROR(AT113*$V113,)</f>
        <v/>
      </c>
      <c r="DG113" s="128">
        <f>IFERROR(AU113*$V113,)</f>
        <v/>
      </c>
      <c r="DH113" s="128">
        <f>IFERROR(AV113*$V113,)</f>
        <v/>
      </c>
      <c r="DI113" s="128">
        <f>IFERROR(AW113*$V113,)</f>
        <v/>
      </c>
      <c r="DJ113" s="128">
        <f>IFERROR(AX113*$V113,)</f>
        <v/>
      </c>
      <c r="DK113" s="128">
        <f>IFERROR(AY113*$V113,)</f>
        <v/>
      </c>
      <c r="DL113" s="128">
        <f>IFERROR(AZ113*$V113,)</f>
        <v/>
      </c>
      <c r="DM113" s="129">
        <f>IFERROR(if($X113=0,($V113/1.2)*BA113,
BA113*$X113),)</f>
        <v/>
      </c>
      <c r="DN113" s="129">
        <f>IFERROR(if($X113=0,($V113/1.2)*BB113,
BB113*$X113),)</f>
        <v/>
      </c>
      <c r="DO113" s="129">
        <f>IFERROR(if($X113=0,($V113/1.2)*BC113,
BC113*$X113),)</f>
        <v/>
      </c>
      <c r="DP113" s="130">
        <f>IFERROR(if($Z113=0,($V113/1.35)*BD113,
BD113*$Z113),)</f>
        <v/>
      </c>
      <c r="DQ113" s="130">
        <f>IFERROR(if($Z113=0,($V113/1.35)*BE113,
BE113*$Z113),)</f>
        <v/>
      </c>
      <c r="DR113" s="130">
        <f>IFERROR(if($Z113=0,($V113/1.35)*BF113,
BF113*$Z113),)</f>
        <v/>
      </c>
      <c r="DS113" s="128">
        <f>IFERROR(IF($AB113=0,($V113/0.74)*BG113,
BG113*$AB113),)</f>
        <v/>
      </c>
      <c r="DT113" s="128">
        <f>IFERROR(IF($AB113=0,($V113/0.74)*BH113,
BH113*$AB113),)</f>
        <v/>
      </c>
      <c r="DU113" s="128">
        <f>IFERROR(IF($AB113=0,($V113/0.74)*BI113,
BI113*$AB113),)</f>
        <v/>
      </c>
    </row>
    <row r="114" ht="131.25" customHeight="1" s="162">
      <c r="A114" s="115" t="n"/>
      <c r="B114" s="115" t="n"/>
      <c r="C114" s="115" t="n"/>
      <c r="D114" s="115" t="n"/>
      <c r="E114" s="115" t="n"/>
      <c r="F114" s="115" t="n"/>
      <c r="G114" s="115" t="n"/>
      <c r="H114" s="115" t="n"/>
      <c r="I114" s="115" t="n"/>
      <c r="J114" s="115" t="n"/>
      <c r="K114" s="115" t="n"/>
      <c r="L114" s="115" t="n"/>
      <c r="M114" s="115" t="n"/>
      <c r="N114" s="115" t="n"/>
      <c r="O114" s="115" t="n"/>
      <c r="P114" s="115" t="n"/>
      <c r="Q114" s="115" t="n"/>
      <c r="R114" s="115" t="n"/>
      <c r="S114" s="115" t="n"/>
      <c r="T114" s="115" t="n"/>
      <c r="U114" s="116" t="n"/>
      <c r="V114" s="116" t="n"/>
      <c r="W114" s="117" t="n"/>
      <c r="X114" s="118" t="n"/>
      <c r="Y114" s="119" t="n"/>
      <c r="Z114" s="120" t="n"/>
      <c r="AA114" s="121" t="n"/>
      <c r="AB114" s="122" t="n"/>
      <c r="AC114" s="117" t="n"/>
      <c r="AD114" s="123">
        <f>IF(SUM($AE114:$AH114)=0,"",SUM($AE114:$AH114))</f>
        <v/>
      </c>
      <c r="AE114" s="123">
        <f>iferror(IF(SUM($AI114:$AZ114)=0,"",SUM($AI114:$AZ114)),"")</f>
        <v/>
      </c>
      <c r="AF114" s="123">
        <f>iferror(IF(SUM($BA114:$BC114)=0,"",SUM($BA114:$BC114)),"")</f>
        <v/>
      </c>
      <c r="AG114" s="123">
        <f>iferror(IF(SUM($BD114:$BF114)=0,"",SUM($BD114:$BF114)),"")</f>
        <v/>
      </c>
      <c r="AH114" s="124">
        <f>iferror(IF(SUM($BG114:$BI114)=0,"",SUM($BG114:$BI114)),"")</f>
        <v/>
      </c>
      <c r="AI114" s="131" t="n"/>
      <c r="AJ114" s="132" t="n"/>
      <c r="AK114" s="132" t="n"/>
      <c r="AL114" s="132" t="n"/>
      <c r="AM114" s="132" t="n"/>
      <c r="AN114" s="132" t="n"/>
      <c r="AO114" s="132" t="n"/>
      <c r="AP114" s="132" t="n"/>
      <c r="AQ114" s="132" t="n"/>
      <c r="AR114" s="132" t="n"/>
      <c r="AS114" s="132" t="n"/>
      <c r="AT114" s="132" t="n"/>
      <c r="AU114" s="132" t="n"/>
      <c r="AV114" s="132" t="n"/>
      <c r="AW114" s="132" t="n"/>
      <c r="AX114" s="132" t="n"/>
      <c r="AY114" s="132" t="n"/>
      <c r="AZ114" s="133" t="n"/>
      <c r="BA114" s="131" t="n"/>
      <c r="BB114" s="132" t="n"/>
      <c r="BC114" s="133" t="n"/>
      <c r="BD114" s="131" t="n"/>
      <c r="BE114" s="132" t="n"/>
      <c r="BF114" s="133" t="n"/>
      <c r="BG114" s="131" t="n"/>
      <c r="BH114" s="132" t="n"/>
      <c r="BI114" s="132" t="n"/>
      <c r="BJ114" s="128">
        <f>iferror(SUM($BK114,($BL114*1.2),($BM114*1.35),($BN114*0.74)),)</f>
        <v/>
      </c>
      <c r="BK114" s="128">
        <f>IFERROR(SUM($BT114:$CK114),)</f>
        <v/>
      </c>
      <c r="BL114" s="129">
        <f>IFERROR(SUM($CL114:$CN114),)</f>
        <v/>
      </c>
      <c r="BM114" s="130">
        <f>IFERROR(SUM($CO114:$CQ114),)</f>
        <v/>
      </c>
      <c r="BN114" s="128">
        <f>IFERROR(SUM($CR114:$CT114),)</f>
        <v/>
      </c>
      <c r="BO114" s="128">
        <f>iferror(SUM($BP114,($BQ114*1.2),($BR114*1.35),($BS114*0.74)),)</f>
        <v/>
      </c>
      <c r="BP114" s="128">
        <f>IFERROR(SUM($CU114:$DL114),)</f>
        <v/>
      </c>
      <c r="BQ114" s="128">
        <f>IFERROR(SUM($DM114:$DO114),)</f>
        <v/>
      </c>
      <c r="BR114" s="128">
        <f>IFERROR(SUM($DP114:$DR114),)</f>
        <v/>
      </c>
      <c r="BS114" s="128">
        <f>IFERROR(SUM($DS114:$DU114),)</f>
        <v/>
      </c>
      <c r="BT114" s="128">
        <f>IFERROR(AI114*$W114,)</f>
        <v/>
      </c>
      <c r="BU114" s="128">
        <f>IFERROR(AJ114*$W114,)</f>
        <v/>
      </c>
      <c r="BV114" s="128">
        <f>IFERROR(AK114*$W114,)</f>
        <v/>
      </c>
      <c r="BW114" s="128">
        <f>IFERROR(AL114*$W114,)</f>
        <v/>
      </c>
      <c r="BX114" s="128">
        <f>IFERROR(AM114*$W114,)</f>
        <v/>
      </c>
      <c r="BY114" s="128">
        <f>IFERROR(AN114*$W114,)</f>
        <v/>
      </c>
      <c r="BZ114" s="128">
        <f>IFERROR(AO114*$W114,)</f>
        <v/>
      </c>
      <c r="CA114" s="128">
        <f>IFERROR(AP114*$W114,)</f>
        <v/>
      </c>
      <c r="CB114" s="128">
        <f>IFERROR(AQ114*$W114,)</f>
        <v/>
      </c>
      <c r="CC114" s="128">
        <f>IFERROR(AR114*$W114,)</f>
        <v/>
      </c>
      <c r="CD114" s="128">
        <f>IFERROR(AS114*$W114,)</f>
        <v/>
      </c>
      <c r="CE114" s="128">
        <f>IFERROR(AT114*$W114,)</f>
        <v/>
      </c>
      <c r="CF114" s="128">
        <f>IFERROR(AU114*$W114,)</f>
        <v/>
      </c>
      <c r="CG114" s="128">
        <f>IFERROR(AV114*$W114,)</f>
        <v/>
      </c>
      <c r="CH114" s="128">
        <f>IFERROR(AW114*$W114,)</f>
        <v/>
      </c>
      <c r="CI114" s="128">
        <f>IFERROR(AX114*$W114,)</f>
        <v/>
      </c>
      <c r="CJ114" s="128">
        <f>IFERROR(AY114*$W114,)</f>
        <v/>
      </c>
      <c r="CK114" s="128">
        <f>IFERROR(AZ114*$W114,)</f>
        <v/>
      </c>
      <c r="CL114" s="129">
        <f>IFERROR(if($Y114=0,BA114*($W114/1.2),BA114*$Y114),"")</f>
        <v/>
      </c>
      <c r="CM114" s="129">
        <f>IFERROR(if($Y114=0,BB114*($W114/1.2),BB114*$Y114),"")</f>
        <v/>
      </c>
      <c r="CN114" s="129">
        <f>IFERROR(if($Y114=0,BC114*($W114/1.2),BC114*$Y114),"")</f>
        <v/>
      </c>
      <c r="CO114" s="130">
        <f>IFERROR(if($AA114=0,($W114/1.35)*BD114,BD114*$AA114),)</f>
        <v/>
      </c>
      <c r="CP114" s="130">
        <f>IFERROR(if($AA114=0,($W114/1.35)*BE114,BE114*$AA114),)</f>
        <v/>
      </c>
      <c r="CQ114" s="130">
        <f>IFERROR(if($AA114=0,($W114/1.35)*BF114,BF114*$AA114),)</f>
        <v/>
      </c>
      <c r="CR114" s="128">
        <f>IFERROR(if($AC114=0,($W114/0.74)*BG114,
BG114*$AC114),)</f>
        <v/>
      </c>
      <c r="CS114" s="128">
        <f>IFERROR(if($AC114=0,($W114/0.74)*BH114,
BH114*$AC114),)</f>
        <v/>
      </c>
      <c r="CT114" s="128">
        <f>IFERROR(if($AC114=0,($W114/0.74)*BI114,
BI114*$AC114),)</f>
        <v/>
      </c>
      <c r="CU114" s="128">
        <f>IFERROR(AI114*$V114,)</f>
        <v/>
      </c>
      <c r="CV114" s="128">
        <f>IFERROR(AJ114*$V114,)</f>
        <v/>
      </c>
      <c r="CW114" s="128">
        <f>IFERROR(AK114*$V114,)</f>
        <v/>
      </c>
      <c r="CX114" s="128">
        <f>IFERROR(AL114*$V114,)</f>
        <v/>
      </c>
      <c r="CY114" s="128">
        <f>IFERROR(AM114*$V114,)</f>
        <v/>
      </c>
      <c r="CZ114" s="128">
        <f>IFERROR(AN114*$V114,)</f>
        <v/>
      </c>
      <c r="DA114" s="128">
        <f>IFERROR(AO114*$V114,)</f>
        <v/>
      </c>
      <c r="DB114" s="128">
        <f>IFERROR(AP114*$V114,)</f>
        <v/>
      </c>
      <c r="DC114" s="128">
        <f>IFERROR(AQ114*$V114,)</f>
        <v/>
      </c>
      <c r="DD114" s="128">
        <f>IFERROR(AR114*$V114,)</f>
        <v/>
      </c>
      <c r="DE114" s="128">
        <f>IFERROR(AS114*$V114,)</f>
        <v/>
      </c>
      <c r="DF114" s="128">
        <f>IFERROR(AT114*$V114,)</f>
        <v/>
      </c>
      <c r="DG114" s="128">
        <f>IFERROR(AU114*$V114,)</f>
        <v/>
      </c>
      <c r="DH114" s="128">
        <f>IFERROR(AV114*$V114,)</f>
        <v/>
      </c>
      <c r="DI114" s="128">
        <f>IFERROR(AW114*$V114,)</f>
        <v/>
      </c>
      <c r="DJ114" s="128">
        <f>IFERROR(AX114*$V114,)</f>
        <v/>
      </c>
      <c r="DK114" s="128">
        <f>IFERROR(AY114*$V114,)</f>
        <v/>
      </c>
      <c r="DL114" s="128">
        <f>IFERROR(AZ114*$V114,)</f>
        <v/>
      </c>
      <c r="DM114" s="129">
        <f>IFERROR(if($X114=0,($V114/1.2)*BA114,
BA114*$X114),)</f>
        <v/>
      </c>
      <c r="DN114" s="129">
        <f>IFERROR(if($X114=0,($V114/1.2)*BB114,
BB114*$X114),)</f>
        <v/>
      </c>
      <c r="DO114" s="129">
        <f>IFERROR(if($X114=0,($V114/1.2)*BC114,
BC114*$X114),)</f>
        <v/>
      </c>
      <c r="DP114" s="130">
        <f>IFERROR(if($Z114=0,($V114/1.35)*BD114,
BD114*$Z114),)</f>
        <v/>
      </c>
      <c r="DQ114" s="130">
        <f>IFERROR(if($Z114=0,($V114/1.35)*BE114,
BE114*$Z114),)</f>
        <v/>
      </c>
      <c r="DR114" s="130">
        <f>IFERROR(if($Z114=0,($V114/1.35)*BF114,
BF114*$Z114),)</f>
        <v/>
      </c>
      <c r="DS114" s="128">
        <f>IFERROR(IF($AB114=0,($V114/0.74)*BG114,
BG114*$AB114),)</f>
        <v/>
      </c>
      <c r="DT114" s="128">
        <f>IFERROR(IF($AB114=0,($V114/0.74)*BH114,
BH114*$AB114),)</f>
        <v/>
      </c>
      <c r="DU114" s="128">
        <f>IFERROR(IF($AB114=0,($V114/0.74)*BI114,
BI114*$AB114),)</f>
        <v/>
      </c>
    </row>
    <row r="115" ht="131.25" customHeight="1" s="162">
      <c r="A115" s="115" t="n"/>
      <c r="B115" s="115" t="n"/>
      <c r="C115" s="115" t="n"/>
      <c r="D115" s="115" t="n"/>
      <c r="E115" s="115" t="n"/>
      <c r="F115" s="115" t="n"/>
      <c r="G115" s="115" t="n"/>
      <c r="H115" s="115" t="n"/>
      <c r="I115" s="115" t="n"/>
      <c r="J115" s="115" t="n"/>
      <c r="K115" s="115" t="n"/>
      <c r="L115" s="115" t="n"/>
      <c r="M115" s="115" t="n"/>
      <c r="N115" s="115" t="n"/>
      <c r="O115" s="115" t="n"/>
      <c r="P115" s="115" t="n"/>
      <c r="Q115" s="115" t="n"/>
      <c r="R115" s="115" t="n"/>
      <c r="S115" s="115" t="n"/>
      <c r="T115" s="115" t="n"/>
      <c r="U115" s="116" t="n"/>
      <c r="V115" s="116" t="n"/>
      <c r="W115" s="117" t="n"/>
      <c r="X115" s="118" t="n"/>
      <c r="Y115" s="119" t="n"/>
      <c r="Z115" s="120" t="n"/>
      <c r="AA115" s="121" t="n"/>
      <c r="AB115" s="122" t="n"/>
      <c r="AC115" s="117" t="n"/>
      <c r="AD115" s="123">
        <f>IF(SUM($AE115:$AH115)=0,"",SUM($AE115:$AH115))</f>
        <v/>
      </c>
      <c r="AE115" s="123">
        <f>iferror(IF(SUM($AI115:$AZ115)=0,"",SUM($AI115:$AZ115)),"")</f>
        <v/>
      </c>
      <c r="AF115" s="123">
        <f>iferror(IF(SUM($BA115:$BC115)=0,"",SUM($BA115:$BC115)),"")</f>
        <v/>
      </c>
      <c r="AG115" s="123">
        <f>iferror(IF(SUM($BD115:$BF115)=0,"",SUM($BD115:$BF115)),"")</f>
        <v/>
      </c>
      <c r="AH115" s="124">
        <f>iferror(IF(SUM($BG115:$BI115)=0,"",SUM($BG115:$BI115)),"")</f>
        <v/>
      </c>
      <c r="AI115" s="131" t="n"/>
      <c r="AJ115" s="132" t="n"/>
      <c r="AK115" s="132" t="n"/>
      <c r="AL115" s="132" t="n"/>
      <c r="AM115" s="132" t="n"/>
      <c r="AN115" s="132" t="n"/>
      <c r="AO115" s="132" t="n"/>
      <c r="AP115" s="132" t="n"/>
      <c r="AQ115" s="132" t="n"/>
      <c r="AR115" s="132" t="n"/>
      <c r="AS115" s="132" t="n"/>
      <c r="AT115" s="132" t="n"/>
      <c r="AU115" s="132" t="n"/>
      <c r="AV115" s="132" t="n"/>
      <c r="AW115" s="132" t="n"/>
      <c r="AX115" s="132" t="n"/>
      <c r="AY115" s="132" t="n"/>
      <c r="AZ115" s="133" t="n"/>
      <c r="BA115" s="131" t="n"/>
      <c r="BB115" s="132" t="n"/>
      <c r="BC115" s="133" t="n"/>
      <c r="BD115" s="131" t="n"/>
      <c r="BE115" s="132" t="n"/>
      <c r="BF115" s="133" t="n"/>
      <c r="BG115" s="131" t="n"/>
      <c r="BH115" s="132" t="n"/>
      <c r="BI115" s="132" t="n"/>
      <c r="BJ115" s="128">
        <f>iferror(SUM($BK115,($BL115*1.2),($BM115*1.35),($BN115*0.74)),)</f>
        <v/>
      </c>
      <c r="BK115" s="128">
        <f>IFERROR(SUM($BT115:$CK115),)</f>
        <v/>
      </c>
      <c r="BL115" s="129">
        <f>IFERROR(SUM($CL115:$CN115),)</f>
        <v/>
      </c>
      <c r="BM115" s="130">
        <f>IFERROR(SUM($CO115:$CQ115),)</f>
        <v/>
      </c>
      <c r="BN115" s="128">
        <f>IFERROR(SUM($CR115:$CT115),)</f>
        <v/>
      </c>
      <c r="BO115" s="128">
        <f>iferror(SUM($BP115,($BQ115*1.2),($BR115*1.35),($BS115*0.74)),)</f>
        <v/>
      </c>
      <c r="BP115" s="128">
        <f>IFERROR(SUM($CU115:$DL115),)</f>
        <v/>
      </c>
      <c r="BQ115" s="128">
        <f>IFERROR(SUM($DM115:$DO115),)</f>
        <v/>
      </c>
      <c r="BR115" s="128">
        <f>IFERROR(SUM($DP115:$DR115),)</f>
        <v/>
      </c>
      <c r="BS115" s="128">
        <f>IFERROR(SUM($DS115:$DU115),)</f>
        <v/>
      </c>
      <c r="BT115" s="128">
        <f>IFERROR(AI115*$W115,)</f>
        <v/>
      </c>
      <c r="BU115" s="128">
        <f>IFERROR(AJ115*$W115,)</f>
        <v/>
      </c>
      <c r="BV115" s="128">
        <f>IFERROR(AK115*$W115,)</f>
        <v/>
      </c>
      <c r="BW115" s="128">
        <f>IFERROR(AL115*$W115,)</f>
        <v/>
      </c>
      <c r="BX115" s="128">
        <f>IFERROR(AM115*$W115,)</f>
        <v/>
      </c>
      <c r="BY115" s="128">
        <f>IFERROR(AN115*$W115,)</f>
        <v/>
      </c>
      <c r="BZ115" s="128">
        <f>IFERROR(AO115*$W115,)</f>
        <v/>
      </c>
      <c r="CA115" s="128">
        <f>IFERROR(AP115*$W115,)</f>
        <v/>
      </c>
      <c r="CB115" s="128">
        <f>IFERROR(AQ115*$W115,)</f>
        <v/>
      </c>
      <c r="CC115" s="128">
        <f>IFERROR(AR115*$W115,)</f>
        <v/>
      </c>
      <c r="CD115" s="128">
        <f>IFERROR(AS115*$W115,)</f>
        <v/>
      </c>
      <c r="CE115" s="128">
        <f>IFERROR(AT115*$W115,)</f>
        <v/>
      </c>
      <c r="CF115" s="128">
        <f>IFERROR(AU115*$W115,)</f>
        <v/>
      </c>
      <c r="CG115" s="128">
        <f>IFERROR(AV115*$W115,)</f>
        <v/>
      </c>
      <c r="CH115" s="128">
        <f>IFERROR(AW115*$W115,)</f>
        <v/>
      </c>
      <c r="CI115" s="128">
        <f>IFERROR(AX115*$W115,)</f>
        <v/>
      </c>
      <c r="CJ115" s="128">
        <f>IFERROR(AY115*$W115,)</f>
        <v/>
      </c>
      <c r="CK115" s="128">
        <f>IFERROR(AZ115*$W115,)</f>
        <v/>
      </c>
      <c r="CL115" s="129">
        <f>IFERROR(if($Y115=0,BA115*($W115/1.2),BA115*$Y115),"")</f>
        <v/>
      </c>
      <c r="CM115" s="129">
        <f>IFERROR(if($Y115=0,BB115*($W115/1.2),BB115*$Y115),"")</f>
        <v/>
      </c>
      <c r="CN115" s="129">
        <f>IFERROR(if($Y115=0,BC115*($W115/1.2),BC115*$Y115),"")</f>
        <v/>
      </c>
      <c r="CO115" s="130">
        <f>IFERROR(if($AA115=0,($W115/1.35)*BD115,BD115*$AA115),)</f>
        <v/>
      </c>
      <c r="CP115" s="130">
        <f>IFERROR(if($AA115=0,($W115/1.35)*BE115,BE115*$AA115),)</f>
        <v/>
      </c>
      <c r="CQ115" s="130">
        <f>IFERROR(if($AA115=0,($W115/1.35)*BF115,BF115*$AA115),)</f>
        <v/>
      </c>
      <c r="CR115" s="128">
        <f>IFERROR(if($AC115=0,($W115/0.74)*BG115,
BG115*$AC115),)</f>
        <v/>
      </c>
      <c r="CS115" s="128">
        <f>IFERROR(if($AC115=0,($W115/0.74)*BH115,
BH115*$AC115),)</f>
        <v/>
      </c>
      <c r="CT115" s="128">
        <f>IFERROR(if($AC115=0,($W115/0.74)*BI115,
BI115*$AC115),)</f>
        <v/>
      </c>
      <c r="CU115" s="128">
        <f>IFERROR(AI115*$V115,)</f>
        <v/>
      </c>
      <c r="CV115" s="128">
        <f>IFERROR(AJ115*$V115,)</f>
        <v/>
      </c>
      <c r="CW115" s="128">
        <f>IFERROR(AK115*$V115,)</f>
        <v/>
      </c>
      <c r="CX115" s="128">
        <f>IFERROR(AL115*$V115,)</f>
        <v/>
      </c>
      <c r="CY115" s="128">
        <f>IFERROR(AM115*$V115,)</f>
        <v/>
      </c>
      <c r="CZ115" s="128">
        <f>IFERROR(AN115*$V115,)</f>
        <v/>
      </c>
      <c r="DA115" s="128">
        <f>IFERROR(AO115*$V115,)</f>
        <v/>
      </c>
      <c r="DB115" s="128">
        <f>IFERROR(AP115*$V115,)</f>
        <v/>
      </c>
      <c r="DC115" s="128">
        <f>IFERROR(AQ115*$V115,)</f>
        <v/>
      </c>
      <c r="DD115" s="128">
        <f>IFERROR(AR115*$V115,)</f>
        <v/>
      </c>
      <c r="DE115" s="128">
        <f>IFERROR(AS115*$V115,)</f>
        <v/>
      </c>
      <c r="DF115" s="128">
        <f>IFERROR(AT115*$V115,)</f>
        <v/>
      </c>
      <c r="DG115" s="128">
        <f>IFERROR(AU115*$V115,)</f>
        <v/>
      </c>
      <c r="DH115" s="128">
        <f>IFERROR(AV115*$V115,)</f>
        <v/>
      </c>
      <c r="DI115" s="128">
        <f>IFERROR(AW115*$V115,)</f>
        <v/>
      </c>
      <c r="DJ115" s="128">
        <f>IFERROR(AX115*$V115,)</f>
        <v/>
      </c>
      <c r="DK115" s="128">
        <f>IFERROR(AY115*$V115,)</f>
        <v/>
      </c>
      <c r="DL115" s="128">
        <f>IFERROR(AZ115*$V115,)</f>
        <v/>
      </c>
      <c r="DM115" s="129">
        <f>IFERROR(if($X115=0,($V115/1.2)*BA115,
BA115*$X115),)</f>
        <v/>
      </c>
      <c r="DN115" s="129">
        <f>IFERROR(if($X115=0,($V115/1.2)*BB115,
BB115*$X115),)</f>
        <v/>
      </c>
      <c r="DO115" s="129">
        <f>IFERROR(if($X115=0,($V115/1.2)*BC115,
BC115*$X115),)</f>
        <v/>
      </c>
      <c r="DP115" s="130">
        <f>IFERROR(if($Z115=0,($V115/1.35)*BD115,
BD115*$Z115),)</f>
        <v/>
      </c>
      <c r="DQ115" s="130">
        <f>IFERROR(if($Z115=0,($V115/1.35)*BE115,
BE115*$Z115),)</f>
        <v/>
      </c>
      <c r="DR115" s="130">
        <f>IFERROR(if($Z115=0,($V115/1.35)*BF115,
BF115*$Z115),)</f>
        <v/>
      </c>
      <c r="DS115" s="128">
        <f>IFERROR(IF($AB115=0,($V115/0.74)*BG115,
BG115*$AB115),)</f>
        <v/>
      </c>
      <c r="DT115" s="128">
        <f>IFERROR(IF($AB115=0,($V115/0.74)*BH115,
BH115*$AB115),)</f>
        <v/>
      </c>
      <c r="DU115" s="128">
        <f>IFERROR(IF($AB115=0,($V115/0.74)*BI115,
BI115*$AB115),)</f>
        <v/>
      </c>
    </row>
    <row r="116" ht="131.25" customHeight="1" s="162">
      <c r="A116" s="115" t="n"/>
      <c r="B116" s="115" t="n"/>
      <c r="C116" s="115" t="n"/>
      <c r="D116" s="115" t="n"/>
      <c r="E116" s="115" t="n"/>
      <c r="F116" s="115" t="n"/>
      <c r="G116" s="115" t="n"/>
      <c r="H116" s="115" t="n"/>
      <c r="I116" s="115" t="n"/>
      <c r="J116" s="115" t="n"/>
      <c r="K116" s="115" t="n"/>
      <c r="L116" s="115" t="n"/>
      <c r="M116" s="115" t="n"/>
      <c r="N116" s="115" t="n"/>
      <c r="O116" s="115" t="n"/>
      <c r="P116" s="115" t="n"/>
      <c r="Q116" s="115" t="n"/>
      <c r="R116" s="115" t="n"/>
      <c r="S116" s="115" t="n"/>
      <c r="T116" s="115" t="n"/>
      <c r="U116" s="116" t="n"/>
      <c r="V116" s="116" t="n"/>
      <c r="W116" s="117" t="n"/>
      <c r="X116" s="118" t="n"/>
      <c r="Y116" s="119" t="n"/>
      <c r="Z116" s="120" t="n"/>
      <c r="AA116" s="121" t="n"/>
      <c r="AB116" s="122" t="n"/>
      <c r="AC116" s="117" t="n"/>
      <c r="AD116" s="123">
        <f>IF(SUM($AE116:$AH116)=0,"",SUM($AE116:$AH116))</f>
        <v/>
      </c>
      <c r="AE116" s="123">
        <f>iferror(IF(SUM($AI116:$AZ116)=0,"",SUM($AI116:$AZ116)),"")</f>
        <v/>
      </c>
      <c r="AF116" s="123">
        <f>iferror(IF(SUM($BA116:$BC116)=0,"",SUM($BA116:$BC116)),"")</f>
        <v/>
      </c>
      <c r="AG116" s="123">
        <f>iferror(IF(SUM($BD116:$BF116)=0,"",SUM($BD116:$BF116)),"")</f>
        <v/>
      </c>
      <c r="AH116" s="124">
        <f>iferror(IF(SUM($BG116:$BI116)=0,"",SUM($BG116:$BI116)),"")</f>
        <v/>
      </c>
      <c r="AI116" s="131" t="n"/>
      <c r="AJ116" s="132" t="n"/>
      <c r="AK116" s="132" t="n"/>
      <c r="AL116" s="132" t="n"/>
      <c r="AM116" s="132" t="n"/>
      <c r="AN116" s="132" t="n"/>
      <c r="AO116" s="132" t="n"/>
      <c r="AP116" s="132" t="n"/>
      <c r="AQ116" s="132" t="n"/>
      <c r="AR116" s="132" t="n"/>
      <c r="AS116" s="132" t="n"/>
      <c r="AT116" s="132" t="n"/>
      <c r="AU116" s="132" t="n"/>
      <c r="AV116" s="132" t="n"/>
      <c r="AW116" s="132" t="n"/>
      <c r="AX116" s="132" t="n"/>
      <c r="AY116" s="132" t="n"/>
      <c r="AZ116" s="133" t="n"/>
      <c r="BA116" s="131" t="n"/>
      <c r="BB116" s="132" t="n"/>
      <c r="BC116" s="133" t="n"/>
      <c r="BD116" s="131" t="n"/>
      <c r="BE116" s="132" t="n"/>
      <c r="BF116" s="133" t="n"/>
      <c r="BG116" s="131" t="n"/>
      <c r="BH116" s="132" t="n"/>
      <c r="BI116" s="132" t="n"/>
      <c r="BJ116" s="128">
        <f>iferror(SUM($BK116,($BL116*1.2),($BM116*1.35),($BN116*0.74)),)</f>
        <v/>
      </c>
      <c r="BK116" s="128">
        <f>IFERROR(SUM($BT116:$CK116),)</f>
        <v/>
      </c>
      <c r="BL116" s="129">
        <f>IFERROR(SUM($CL116:$CN116),)</f>
        <v/>
      </c>
      <c r="BM116" s="130">
        <f>IFERROR(SUM($CO116:$CQ116),)</f>
        <v/>
      </c>
      <c r="BN116" s="128">
        <f>IFERROR(SUM($CR116:$CT116),)</f>
        <v/>
      </c>
      <c r="BO116" s="128">
        <f>iferror(SUM($BP116,($BQ116*1.2),($BR116*1.35),($BS116*0.74)),)</f>
        <v/>
      </c>
      <c r="BP116" s="128">
        <f>IFERROR(SUM($CU116:$DL116),)</f>
        <v/>
      </c>
      <c r="BQ116" s="128">
        <f>IFERROR(SUM($DM116:$DO116),)</f>
        <v/>
      </c>
      <c r="BR116" s="128">
        <f>IFERROR(SUM($DP116:$DR116),)</f>
        <v/>
      </c>
      <c r="BS116" s="128">
        <f>IFERROR(SUM($DS116:$DU116),)</f>
        <v/>
      </c>
      <c r="BT116" s="128">
        <f>IFERROR(AI116*$W116,)</f>
        <v/>
      </c>
      <c r="BU116" s="128">
        <f>IFERROR(AJ116*$W116,)</f>
        <v/>
      </c>
      <c r="BV116" s="128">
        <f>IFERROR(AK116*$W116,)</f>
        <v/>
      </c>
      <c r="BW116" s="128">
        <f>IFERROR(AL116*$W116,)</f>
        <v/>
      </c>
      <c r="BX116" s="128">
        <f>IFERROR(AM116*$W116,)</f>
        <v/>
      </c>
      <c r="BY116" s="128">
        <f>IFERROR(AN116*$W116,)</f>
        <v/>
      </c>
      <c r="BZ116" s="128">
        <f>IFERROR(AO116*$W116,)</f>
        <v/>
      </c>
      <c r="CA116" s="128">
        <f>IFERROR(AP116*$W116,)</f>
        <v/>
      </c>
      <c r="CB116" s="128">
        <f>IFERROR(AQ116*$W116,)</f>
        <v/>
      </c>
      <c r="CC116" s="128">
        <f>IFERROR(AR116*$W116,)</f>
        <v/>
      </c>
      <c r="CD116" s="128">
        <f>IFERROR(AS116*$W116,)</f>
        <v/>
      </c>
      <c r="CE116" s="128">
        <f>IFERROR(AT116*$W116,)</f>
        <v/>
      </c>
      <c r="CF116" s="128">
        <f>IFERROR(AU116*$W116,)</f>
        <v/>
      </c>
      <c r="CG116" s="128">
        <f>IFERROR(AV116*$W116,)</f>
        <v/>
      </c>
      <c r="CH116" s="128">
        <f>IFERROR(AW116*$W116,)</f>
        <v/>
      </c>
      <c r="CI116" s="128">
        <f>IFERROR(AX116*$W116,)</f>
        <v/>
      </c>
      <c r="CJ116" s="128">
        <f>IFERROR(AY116*$W116,)</f>
        <v/>
      </c>
      <c r="CK116" s="128">
        <f>IFERROR(AZ116*$W116,)</f>
        <v/>
      </c>
      <c r="CL116" s="129">
        <f>IFERROR(if($Y116=0,BA116*($W116/1.2),BA116*$Y116),"")</f>
        <v/>
      </c>
      <c r="CM116" s="129">
        <f>IFERROR(if($Y116=0,BB116*($W116/1.2),BB116*$Y116),"")</f>
        <v/>
      </c>
      <c r="CN116" s="129">
        <f>IFERROR(if($Y116=0,BC116*($W116/1.2),BC116*$Y116),"")</f>
        <v/>
      </c>
      <c r="CO116" s="130">
        <f>IFERROR(if($AA116=0,($W116/1.35)*BD116,BD116*$AA116),)</f>
        <v/>
      </c>
      <c r="CP116" s="130">
        <f>IFERROR(if($AA116=0,($W116/1.35)*BE116,BE116*$AA116),)</f>
        <v/>
      </c>
      <c r="CQ116" s="130">
        <f>IFERROR(if($AA116=0,($W116/1.35)*BF116,BF116*$AA116),)</f>
        <v/>
      </c>
      <c r="CR116" s="128">
        <f>IFERROR(if($AC116=0,($W116/0.74)*BG116,
BG116*$AC116),)</f>
        <v/>
      </c>
      <c r="CS116" s="128">
        <f>IFERROR(if($AC116=0,($W116/0.74)*BH116,
BH116*$AC116),)</f>
        <v/>
      </c>
      <c r="CT116" s="128">
        <f>IFERROR(if($AC116=0,($W116/0.74)*BI116,
BI116*$AC116),)</f>
        <v/>
      </c>
      <c r="CU116" s="128">
        <f>IFERROR(AI116*$V116,)</f>
        <v/>
      </c>
      <c r="CV116" s="128">
        <f>IFERROR(AJ116*$V116,)</f>
        <v/>
      </c>
      <c r="CW116" s="128">
        <f>IFERROR(AK116*$V116,)</f>
        <v/>
      </c>
      <c r="CX116" s="128">
        <f>IFERROR(AL116*$V116,)</f>
        <v/>
      </c>
      <c r="CY116" s="128">
        <f>IFERROR(AM116*$V116,)</f>
        <v/>
      </c>
      <c r="CZ116" s="128">
        <f>IFERROR(AN116*$V116,)</f>
        <v/>
      </c>
      <c r="DA116" s="128">
        <f>IFERROR(AO116*$V116,)</f>
        <v/>
      </c>
      <c r="DB116" s="128">
        <f>IFERROR(AP116*$V116,)</f>
        <v/>
      </c>
      <c r="DC116" s="128">
        <f>IFERROR(AQ116*$V116,)</f>
        <v/>
      </c>
      <c r="DD116" s="128">
        <f>IFERROR(AR116*$V116,)</f>
        <v/>
      </c>
      <c r="DE116" s="128">
        <f>IFERROR(AS116*$V116,)</f>
        <v/>
      </c>
      <c r="DF116" s="128">
        <f>IFERROR(AT116*$V116,)</f>
        <v/>
      </c>
      <c r="DG116" s="128">
        <f>IFERROR(AU116*$V116,)</f>
        <v/>
      </c>
      <c r="DH116" s="128">
        <f>IFERROR(AV116*$V116,)</f>
        <v/>
      </c>
      <c r="DI116" s="128">
        <f>IFERROR(AW116*$V116,)</f>
        <v/>
      </c>
      <c r="DJ116" s="128">
        <f>IFERROR(AX116*$V116,)</f>
        <v/>
      </c>
      <c r="DK116" s="128">
        <f>IFERROR(AY116*$V116,)</f>
        <v/>
      </c>
      <c r="DL116" s="128">
        <f>IFERROR(AZ116*$V116,)</f>
        <v/>
      </c>
      <c r="DM116" s="129">
        <f>IFERROR(if($X116=0,($V116/1.2)*BA116,
BA116*$X116),)</f>
        <v/>
      </c>
      <c r="DN116" s="129">
        <f>IFERROR(if($X116=0,($V116/1.2)*BB116,
BB116*$X116),)</f>
        <v/>
      </c>
      <c r="DO116" s="129">
        <f>IFERROR(if($X116=0,($V116/1.2)*BC116,
BC116*$X116),)</f>
        <v/>
      </c>
      <c r="DP116" s="130">
        <f>IFERROR(if($Z116=0,($V116/1.35)*BD116,
BD116*$Z116),)</f>
        <v/>
      </c>
      <c r="DQ116" s="130">
        <f>IFERROR(if($Z116=0,($V116/1.35)*BE116,
BE116*$Z116),)</f>
        <v/>
      </c>
      <c r="DR116" s="130">
        <f>IFERROR(if($Z116=0,($V116/1.35)*BF116,
BF116*$Z116),)</f>
        <v/>
      </c>
      <c r="DS116" s="128">
        <f>IFERROR(IF($AB116=0,($V116/0.74)*BG116,
BG116*$AB116),)</f>
        <v/>
      </c>
      <c r="DT116" s="128">
        <f>IFERROR(IF($AB116=0,($V116/0.74)*BH116,
BH116*$AB116),)</f>
        <v/>
      </c>
      <c r="DU116" s="128">
        <f>IFERROR(IF($AB116=0,($V116/0.74)*BI116,
BI116*$AB116),)</f>
        <v/>
      </c>
    </row>
    <row r="117" ht="131.25" customHeight="1" s="162">
      <c r="A117" s="115" t="n"/>
      <c r="B117" s="115" t="n"/>
      <c r="C117" s="115" t="n"/>
      <c r="D117" s="115" t="n"/>
      <c r="E117" s="115" t="n"/>
      <c r="F117" s="115" t="n"/>
      <c r="G117" s="115" t="n"/>
      <c r="H117" s="115" t="n"/>
      <c r="I117" s="115" t="n"/>
      <c r="J117" s="115" t="n"/>
      <c r="K117" s="115" t="n"/>
      <c r="L117" s="115" t="n"/>
      <c r="M117" s="115" t="n"/>
      <c r="N117" s="115" t="n"/>
      <c r="O117" s="115" t="n"/>
      <c r="P117" s="115" t="n"/>
      <c r="Q117" s="115" t="n"/>
      <c r="R117" s="115" t="n"/>
      <c r="S117" s="115" t="n"/>
      <c r="T117" s="115" t="n"/>
      <c r="U117" s="116" t="n"/>
      <c r="V117" s="116" t="n"/>
      <c r="W117" s="117" t="n"/>
      <c r="X117" s="118" t="n"/>
      <c r="Y117" s="119" t="n"/>
      <c r="Z117" s="120" t="n"/>
      <c r="AA117" s="121" t="n"/>
      <c r="AB117" s="122" t="n"/>
      <c r="AC117" s="117" t="n"/>
      <c r="AD117" s="123">
        <f>IF(SUM($AE117:$AH117)=0,"",SUM($AE117:$AH117))</f>
        <v/>
      </c>
      <c r="AE117" s="123">
        <f>iferror(IF(SUM($AI117:$AZ117)=0,"",SUM($AI117:$AZ117)),"")</f>
        <v/>
      </c>
      <c r="AF117" s="123">
        <f>iferror(IF(SUM($BA117:$BC117)=0,"",SUM($BA117:$BC117)),"")</f>
        <v/>
      </c>
      <c r="AG117" s="123">
        <f>iferror(IF(SUM($BD117:$BF117)=0,"",SUM($BD117:$BF117)),"")</f>
        <v/>
      </c>
      <c r="AH117" s="124">
        <f>iferror(IF(SUM($BG117:$BI117)=0,"",SUM($BG117:$BI117)),"")</f>
        <v/>
      </c>
      <c r="AI117" s="131" t="n"/>
      <c r="AJ117" s="132" t="n"/>
      <c r="AK117" s="132" t="n"/>
      <c r="AL117" s="132" t="n"/>
      <c r="AM117" s="132" t="n"/>
      <c r="AN117" s="132" t="n"/>
      <c r="AO117" s="132" t="n"/>
      <c r="AP117" s="132" t="n"/>
      <c r="AQ117" s="132" t="n"/>
      <c r="AR117" s="132" t="n"/>
      <c r="AS117" s="132" t="n"/>
      <c r="AT117" s="132" t="n"/>
      <c r="AU117" s="132" t="n"/>
      <c r="AV117" s="132" t="n"/>
      <c r="AW117" s="132" t="n"/>
      <c r="AX117" s="132" t="n"/>
      <c r="AY117" s="132" t="n"/>
      <c r="AZ117" s="133" t="n"/>
      <c r="BA117" s="131" t="n"/>
      <c r="BB117" s="132" t="n"/>
      <c r="BC117" s="133" t="n"/>
      <c r="BD117" s="131" t="n"/>
      <c r="BE117" s="132" t="n"/>
      <c r="BF117" s="133" t="n"/>
      <c r="BG117" s="131" t="n"/>
      <c r="BH117" s="132" t="n"/>
      <c r="BI117" s="132" t="n"/>
      <c r="BJ117" s="128">
        <f>iferror(SUM($BK117,($BL117*1.2),($BM117*1.35),($BN117*0.74)),)</f>
        <v/>
      </c>
      <c r="BK117" s="128">
        <f>IFERROR(SUM($BT117:$CK117),)</f>
        <v/>
      </c>
      <c r="BL117" s="129">
        <f>IFERROR(SUM($CL117:$CN117),)</f>
        <v/>
      </c>
      <c r="BM117" s="130">
        <f>IFERROR(SUM($CO117:$CQ117),)</f>
        <v/>
      </c>
      <c r="BN117" s="128">
        <f>IFERROR(SUM($CR117:$CT117),)</f>
        <v/>
      </c>
      <c r="BO117" s="128">
        <f>iferror(SUM($BP117,($BQ117*1.2),($BR117*1.35),($BS117*0.74)),)</f>
        <v/>
      </c>
      <c r="BP117" s="128">
        <f>IFERROR(SUM($CU117:$DL117),)</f>
        <v/>
      </c>
      <c r="BQ117" s="128">
        <f>IFERROR(SUM($DM117:$DO117),)</f>
        <v/>
      </c>
      <c r="BR117" s="128">
        <f>IFERROR(SUM($DP117:$DR117),)</f>
        <v/>
      </c>
      <c r="BS117" s="128">
        <f>IFERROR(SUM($DS117:$DU117),)</f>
        <v/>
      </c>
      <c r="BT117" s="128">
        <f>IFERROR(AI117*$W117,)</f>
        <v/>
      </c>
      <c r="BU117" s="128">
        <f>IFERROR(AJ117*$W117,)</f>
        <v/>
      </c>
      <c r="BV117" s="128">
        <f>IFERROR(AK117*$W117,)</f>
        <v/>
      </c>
      <c r="BW117" s="128">
        <f>IFERROR(AL117*$W117,)</f>
        <v/>
      </c>
      <c r="BX117" s="128">
        <f>IFERROR(AM117*$W117,)</f>
        <v/>
      </c>
      <c r="BY117" s="128">
        <f>IFERROR(AN117*$W117,)</f>
        <v/>
      </c>
      <c r="BZ117" s="128">
        <f>IFERROR(AO117*$W117,)</f>
        <v/>
      </c>
      <c r="CA117" s="128">
        <f>IFERROR(AP117*$W117,)</f>
        <v/>
      </c>
      <c r="CB117" s="128">
        <f>IFERROR(AQ117*$W117,)</f>
        <v/>
      </c>
      <c r="CC117" s="128">
        <f>IFERROR(AR117*$W117,)</f>
        <v/>
      </c>
      <c r="CD117" s="128">
        <f>IFERROR(AS117*$W117,)</f>
        <v/>
      </c>
      <c r="CE117" s="128">
        <f>IFERROR(AT117*$W117,)</f>
        <v/>
      </c>
      <c r="CF117" s="128">
        <f>IFERROR(AU117*$W117,)</f>
        <v/>
      </c>
      <c r="CG117" s="128">
        <f>IFERROR(AV117*$W117,)</f>
        <v/>
      </c>
      <c r="CH117" s="128">
        <f>IFERROR(AW117*$W117,)</f>
        <v/>
      </c>
      <c r="CI117" s="128">
        <f>IFERROR(AX117*$W117,)</f>
        <v/>
      </c>
      <c r="CJ117" s="128">
        <f>IFERROR(AY117*$W117,)</f>
        <v/>
      </c>
      <c r="CK117" s="128">
        <f>IFERROR(AZ117*$W117,)</f>
        <v/>
      </c>
      <c r="CL117" s="129">
        <f>IFERROR(if($Y117=0,BA117*($W117/1.2),BA117*$Y117),"")</f>
        <v/>
      </c>
      <c r="CM117" s="129">
        <f>IFERROR(if($Y117=0,BB117*($W117/1.2),BB117*$Y117),"")</f>
        <v/>
      </c>
      <c r="CN117" s="129">
        <f>IFERROR(if($Y117=0,BC117*($W117/1.2),BC117*$Y117),"")</f>
        <v/>
      </c>
      <c r="CO117" s="130">
        <f>IFERROR(if($AA117=0,($W117/1.35)*BD117,BD117*$AA117),)</f>
        <v/>
      </c>
      <c r="CP117" s="130">
        <f>IFERROR(if($AA117=0,($W117/1.35)*BE117,BE117*$AA117),)</f>
        <v/>
      </c>
      <c r="CQ117" s="130">
        <f>IFERROR(if($AA117=0,($W117/1.35)*BF117,BF117*$AA117),)</f>
        <v/>
      </c>
      <c r="CR117" s="128">
        <f>IFERROR(if($AC117=0,($W117/0.74)*BG117,
BG117*$AC117),)</f>
        <v/>
      </c>
      <c r="CS117" s="128">
        <f>IFERROR(if($AC117=0,($W117/0.74)*BH117,
BH117*$AC117),)</f>
        <v/>
      </c>
      <c r="CT117" s="128">
        <f>IFERROR(if($AC117=0,($W117/0.74)*BI117,
BI117*$AC117),)</f>
        <v/>
      </c>
      <c r="CU117" s="128">
        <f>IFERROR(AI117*$V117,)</f>
        <v/>
      </c>
      <c r="CV117" s="128">
        <f>IFERROR(AJ117*$V117,)</f>
        <v/>
      </c>
      <c r="CW117" s="128">
        <f>IFERROR(AK117*$V117,)</f>
        <v/>
      </c>
      <c r="CX117" s="128">
        <f>IFERROR(AL117*$V117,)</f>
        <v/>
      </c>
      <c r="CY117" s="128">
        <f>IFERROR(AM117*$V117,)</f>
        <v/>
      </c>
      <c r="CZ117" s="128">
        <f>IFERROR(AN117*$V117,)</f>
        <v/>
      </c>
      <c r="DA117" s="128">
        <f>IFERROR(AO117*$V117,)</f>
        <v/>
      </c>
      <c r="DB117" s="128">
        <f>IFERROR(AP117*$V117,)</f>
        <v/>
      </c>
      <c r="DC117" s="128">
        <f>IFERROR(AQ117*$V117,)</f>
        <v/>
      </c>
      <c r="DD117" s="128">
        <f>IFERROR(AR117*$V117,)</f>
        <v/>
      </c>
      <c r="DE117" s="128">
        <f>IFERROR(AS117*$V117,)</f>
        <v/>
      </c>
      <c r="DF117" s="128">
        <f>IFERROR(AT117*$V117,)</f>
        <v/>
      </c>
      <c r="DG117" s="128">
        <f>IFERROR(AU117*$V117,)</f>
        <v/>
      </c>
      <c r="DH117" s="128">
        <f>IFERROR(AV117*$V117,)</f>
        <v/>
      </c>
      <c r="DI117" s="128">
        <f>IFERROR(AW117*$V117,)</f>
        <v/>
      </c>
      <c r="DJ117" s="128">
        <f>IFERROR(AX117*$V117,)</f>
        <v/>
      </c>
      <c r="DK117" s="128">
        <f>IFERROR(AY117*$V117,)</f>
        <v/>
      </c>
      <c r="DL117" s="128">
        <f>IFERROR(AZ117*$V117,)</f>
        <v/>
      </c>
      <c r="DM117" s="129">
        <f>IFERROR(if($X117=0,($V117/1.2)*BA117,
BA117*$X117),)</f>
        <v/>
      </c>
      <c r="DN117" s="129">
        <f>IFERROR(if($X117=0,($V117/1.2)*BB117,
BB117*$X117),)</f>
        <v/>
      </c>
      <c r="DO117" s="129">
        <f>IFERROR(if($X117=0,($V117/1.2)*BC117,
BC117*$X117),)</f>
        <v/>
      </c>
      <c r="DP117" s="130">
        <f>IFERROR(if($Z117=0,($V117/1.35)*BD117,
BD117*$Z117),)</f>
        <v/>
      </c>
      <c r="DQ117" s="130">
        <f>IFERROR(if($Z117=0,($V117/1.35)*BE117,
BE117*$Z117),)</f>
        <v/>
      </c>
      <c r="DR117" s="130">
        <f>IFERROR(if($Z117=0,($V117/1.35)*BF117,
BF117*$Z117),)</f>
        <v/>
      </c>
      <c r="DS117" s="128">
        <f>IFERROR(IF($AB117=0,($V117/0.74)*BG117,
BG117*$AB117),)</f>
        <v/>
      </c>
      <c r="DT117" s="128">
        <f>IFERROR(IF($AB117=0,($V117/0.74)*BH117,
BH117*$AB117),)</f>
        <v/>
      </c>
      <c r="DU117" s="128">
        <f>IFERROR(IF($AB117=0,($V117/0.74)*BI117,
BI117*$AB117),)</f>
        <v/>
      </c>
    </row>
    <row r="118" ht="131.25" customHeight="1" s="162">
      <c r="A118" s="115" t="n"/>
      <c r="B118" s="115" t="n"/>
      <c r="C118" s="115" t="n"/>
      <c r="D118" s="115" t="n"/>
      <c r="E118" s="115" t="n"/>
      <c r="F118" s="115" t="n"/>
      <c r="G118" s="115" t="n"/>
      <c r="H118" s="115" t="n"/>
      <c r="I118" s="115" t="n"/>
      <c r="J118" s="115" t="n"/>
      <c r="K118" s="115" t="n"/>
      <c r="L118" s="115" t="n"/>
      <c r="M118" s="115" t="n"/>
      <c r="N118" s="115" t="n"/>
      <c r="O118" s="115" t="n"/>
      <c r="P118" s="115" t="n"/>
      <c r="Q118" s="115" t="n"/>
      <c r="R118" s="115" t="n"/>
      <c r="S118" s="115" t="n"/>
      <c r="T118" s="115" t="n"/>
      <c r="U118" s="116" t="n"/>
      <c r="V118" s="116" t="n"/>
      <c r="W118" s="117" t="n"/>
      <c r="X118" s="118" t="n"/>
      <c r="Y118" s="119" t="n"/>
      <c r="Z118" s="120" t="n"/>
      <c r="AA118" s="121" t="n"/>
      <c r="AB118" s="122" t="n"/>
      <c r="AC118" s="117" t="n"/>
      <c r="AD118" s="123">
        <f>IF(SUM($AE118:$AH118)=0,"",SUM($AE118:$AH118))</f>
        <v/>
      </c>
      <c r="AE118" s="123">
        <f>iferror(IF(SUM($AI118:$AZ118)=0,"",SUM($AI118:$AZ118)),"")</f>
        <v/>
      </c>
      <c r="AF118" s="123">
        <f>iferror(IF(SUM($BA118:$BC118)=0,"",SUM($BA118:$BC118)),"")</f>
        <v/>
      </c>
      <c r="AG118" s="123">
        <f>iferror(IF(SUM($BD118:$BF118)=0,"",SUM($BD118:$BF118)),"")</f>
        <v/>
      </c>
      <c r="AH118" s="124">
        <f>iferror(IF(SUM($BG118:$BI118)=0,"",SUM($BG118:$BI118)),"")</f>
        <v/>
      </c>
      <c r="AI118" s="131" t="n"/>
      <c r="AJ118" s="132" t="n"/>
      <c r="AK118" s="132" t="n"/>
      <c r="AL118" s="132" t="n"/>
      <c r="AM118" s="132" t="n"/>
      <c r="AN118" s="132" t="n"/>
      <c r="AO118" s="132" t="n"/>
      <c r="AP118" s="132" t="n"/>
      <c r="AQ118" s="132" t="n"/>
      <c r="AR118" s="132" t="n"/>
      <c r="AS118" s="132" t="n"/>
      <c r="AT118" s="132" t="n"/>
      <c r="AU118" s="132" t="n"/>
      <c r="AV118" s="132" t="n"/>
      <c r="AW118" s="132" t="n"/>
      <c r="AX118" s="132" t="n"/>
      <c r="AY118" s="132" t="n"/>
      <c r="AZ118" s="133" t="n"/>
      <c r="BA118" s="131" t="n"/>
      <c r="BB118" s="132" t="n"/>
      <c r="BC118" s="133" t="n"/>
      <c r="BD118" s="131" t="n"/>
      <c r="BE118" s="132" t="n"/>
      <c r="BF118" s="133" t="n"/>
      <c r="BG118" s="131" t="n"/>
      <c r="BH118" s="132" t="n"/>
      <c r="BI118" s="132" t="n"/>
      <c r="BJ118" s="128">
        <f>iferror(SUM($BK118,($BL118*1.2),($BM118*1.35),($BN118*0.74)),)</f>
        <v/>
      </c>
      <c r="BK118" s="128">
        <f>IFERROR(SUM($BT118:$CK118),)</f>
        <v/>
      </c>
      <c r="BL118" s="129">
        <f>IFERROR(SUM($CL118:$CN118),)</f>
        <v/>
      </c>
      <c r="BM118" s="130">
        <f>IFERROR(SUM($CO118:$CQ118),)</f>
        <v/>
      </c>
      <c r="BN118" s="128">
        <f>IFERROR(SUM($CR118:$CT118),)</f>
        <v/>
      </c>
      <c r="BO118" s="128">
        <f>iferror(SUM($BP118,($BQ118*1.2),($BR118*1.35),($BS118*0.74)),)</f>
        <v/>
      </c>
      <c r="BP118" s="128">
        <f>IFERROR(SUM($CU118:$DL118),)</f>
        <v/>
      </c>
      <c r="BQ118" s="128">
        <f>IFERROR(SUM($DM118:$DO118),)</f>
        <v/>
      </c>
      <c r="BR118" s="128">
        <f>IFERROR(SUM($DP118:$DR118),)</f>
        <v/>
      </c>
      <c r="BS118" s="128">
        <f>IFERROR(SUM($DS118:$DU118),)</f>
        <v/>
      </c>
      <c r="BT118" s="128">
        <f>IFERROR(AI118*$W118,)</f>
        <v/>
      </c>
      <c r="BU118" s="128">
        <f>IFERROR(AJ118*$W118,)</f>
        <v/>
      </c>
      <c r="BV118" s="128">
        <f>IFERROR(AK118*$W118,)</f>
        <v/>
      </c>
      <c r="BW118" s="128">
        <f>IFERROR(AL118*$W118,)</f>
        <v/>
      </c>
      <c r="BX118" s="128">
        <f>IFERROR(AM118*$W118,)</f>
        <v/>
      </c>
      <c r="BY118" s="128">
        <f>IFERROR(AN118*$W118,)</f>
        <v/>
      </c>
      <c r="BZ118" s="128">
        <f>IFERROR(AO118*$W118,)</f>
        <v/>
      </c>
      <c r="CA118" s="128">
        <f>IFERROR(AP118*$W118,)</f>
        <v/>
      </c>
      <c r="CB118" s="128">
        <f>IFERROR(AQ118*$W118,)</f>
        <v/>
      </c>
      <c r="CC118" s="128">
        <f>IFERROR(AR118*$W118,)</f>
        <v/>
      </c>
      <c r="CD118" s="128">
        <f>IFERROR(AS118*$W118,)</f>
        <v/>
      </c>
      <c r="CE118" s="128">
        <f>IFERROR(AT118*$W118,)</f>
        <v/>
      </c>
      <c r="CF118" s="128">
        <f>IFERROR(AU118*$W118,)</f>
        <v/>
      </c>
      <c r="CG118" s="128">
        <f>IFERROR(AV118*$W118,)</f>
        <v/>
      </c>
      <c r="CH118" s="128">
        <f>IFERROR(AW118*$W118,)</f>
        <v/>
      </c>
      <c r="CI118" s="128">
        <f>IFERROR(AX118*$W118,)</f>
        <v/>
      </c>
      <c r="CJ118" s="128">
        <f>IFERROR(AY118*$W118,)</f>
        <v/>
      </c>
      <c r="CK118" s="128">
        <f>IFERROR(AZ118*$W118,)</f>
        <v/>
      </c>
      <c r="CL118" s="129">
        <f>IFERROR(if($Y118=0,BA118*($W118/1.2),BA118*$Y118),"")</f>
        <v/>
      </c>
      <c r="CM118" s="129">
        <f>IFERROR(if($Y118=0,BB118*($W118/1.2),BB118*$Y118),"")</f>
        <v/>
      </c>
      <c r="CN118" s="129">
        <f>IFERROR(if($Y118=0,BC118*($W118/1.2),BC118*$Y118),"")</f>
        <v/>
      </c>
      <c r="CO118" s="130">
        <f>IFERROR(if($AA118=0,($W118/1.35)*BD118,BD118*$AA118),)</f>
        <v/>
      </c>
      <c r="CP118" s="130">
        <f>IFERROR(if($AA118=0,($W118/1.35)*BE118,BE118*$AA118),)</f>
        <v/>
      </c>
      <c r="CQ118" s="130">
        <f>IFERROR(if($AA118=0,($W118/1.35)*BF118,BF118*$AA118),)</f>
        <v/>
      </c>
      <c r="CR118" s="128">
        <f>IFERROR(if($AC118=0,($W118/0.74)*BG118,
BG118*$AC118),)</f>
        <v/>
      </c>
      <c r="CS118" s="128">
        <f>IFERROR(if($AC118=0,($W118/0.74)*BH118,
BH118*$AC118),)</f>
        <v/>
      </c>
      <c r="CT118" s="128">
        <f>IFERROR(if($AC118=0,($W118/0.74)*BI118,
BI118*$AC118),)</f>
        <v/>
      </c>
      <c r="CU118" s="128">
        <f>IFERROR(AI118*$V118,)</f>
        <v/>
      </c>
      <c r="CV118" s="128">
        <f>IFERROR(AJ118*$V118,)</f>
        <v/>
      </c>
      <c r="CW118" s="128">
        <f>IFERROR(AK118*$V118,)</f>
        <v/>
      </c>
      <c r="CX118" s="128">
        <f>IFERROR(AL118*$V118,)</f>
        <v/>
      </c>
      <c r="CY118" s="128">
        <f>IFERROR(AM118*$V118,)</f>
        <v/>
      </c>
      <c r="CZ118" s="128">
        <f>IFERROR(AN118*$V118,)</f>
        <v/>
      </c>
      <c r="DA118" s="128">
        <f>IFERROR(AO118*$V118,)</f>
        <v/>
      </c>
      <c r="DB118" s="128">
        <f>IFERROR(AP118*$V118,)</f>
        <v/>
      </c>
      <c r="DC118" s="128">
        <f>IFERROR(AQ118*$V118,)</f>
        <v/>
      </c>
      <c r="DD118" s="128">
        <f>IFERROR(AR118*$V118,)</f>
        <v/>
      </c>
      <c r="DE118" s="128">
        <f>IFERROR(AS118*$V118,)</f>
        <v/>
      </c>
      <c r="DF118" s="128">
        <f>IFERROR(AT118*$V118,)</f>
        <v/>
      </c>
      <c r="DG118" s="128">
        <f>IFERROR(AU118*$V118,)</f>
        <v/>
      </c>
      <c r="DH118" s="128">
        <f>IFERROR(AV118*$V118,)</f>
        <v/>
      </c>
      <c r="DI118" s="128">
        <f>IFERROR(AW118*$V118,)</f>
        <v/>
      </c>
      <c r="DJ118" s="128">
        <f>IFERROR(AX118*$V118,)</f>
        <v/>
      </c>
      <c r="DK118" s="128">
        <f>IFERROR(AY118*$V118,)</f>
        <v/>
      </c>
      <c r="DL118" s="128">
        <f>IFERROR(AZ118*$V118,)</f>
        <v/>
      </c>
      <c r="DM118" s="129">
        <f>IFERROR(if($X118=0,($V118/1.2)*BA118,
BA118*$X118),)</f>
        <v/>
      </c>
      <c r="DN118" s="129">
        <f>IFERROR(if($X118=0,($V118/1.2)*BB118,
BB118*$X118),)</f>
        <v/>
      </c>
      <c r="DO118" s="129">
        <f>IFERROR(if($X118=0,($V118/1.2)*BC118,
BC118*$X118),)</f>
        <v/>
      </c>
      <c r="DP118" s="130">
        <f>IFERROR(if($Z118=0,($V118/1.35)*BD118,
BD118*$Z118),)</f>
        <v/>
      </c>
      <c r="DQ118" s="130">
        <f>IFERROR(if($Z118=0,($V118/1.35)*BE118,
BE118*$Z118),)</f>
        <v/>
      </c>
      <c r="DR118" s="130">
        <f>IFERROR(if($Z118=0,($V118/1.35)*BF118,
BF118*$Z118),)</f>
        <v/>
      </c>
      <c r="DS118" s="128">
        <f>IFERROR(IF($AB118=0,($V118/0.74)*BG118,
BG118*$AB118),)</f>
        <v/>
      </c>
      <c r="DT118" s="128">
        <f>IFERROR(IF($AB118=0,($V118/0.74)*BH118,
BH118*$AB118),)</f>
        <v/>
      </c>
      <c r="DU118" s="128">
        <f>IFERROR(IF($AB118=0,($V118/0.74)*BI118,
BI118*$AB118),)</f>
        <v/>
      </c>
    </row>
    <row r="119" ht="131.25" customHeight="1" s="162">
      <c r="A119" s="115" t="n"/>
      <c r="B119" s="115" t="n"/>
      <c r="C119" s="115" t="n"/>
      <c r="D119" s="115" t="n"/>
      <c r="E119" s="115" t="n"/>
      <c r="F119" s="115" t="n"/>
      <c r="G119" s="115" t="n"/>
      <c r="H119" s="115" t="n"/>
      <c r="I119" s="115" t="n"/>
      <c r="J119" s="115" t="n"/>
      <c r="K119" s="115" t="n"/>
      <c r="L119" s="115" t="n"/>
      <c r="M119" s="115" t="n"/>
      <c r="N119" s="115" t="n"/>
      <c r="O119" s="115" t="n"/>
      <c r="P119" s="115" t="n"/>
      <c r="Q119" s="115" t="n"/>
      <c r="R119" s="115" t="n"/>
      <c r="S119" s="115" t="n"/>
      <c r="T119" s="115" t="n"/>
      <c r="U119" s="116" t="n"/>
      <c r="V119" s="116" t="n"/>
      <c r="W119" s="117" t="n"/>
      <c r="X119" s="118" t="n"/>
      <c r="Y119" s="119" t="n"/>
      <c r="Z119" s="120" t="n"/>
      <c r="AA119" s="121" t="n"/>
      <c r="AB119" s="122" t="n"/>
      <c r="AC119" s="117" t="n"/>
      <c r="AD119" s="123">
        <f>IF(SUM($AE119:$AH119)=0,"",SUM($AE119:$AH119))</f>
        <v/>
      </c>
      <c r="AE119" s="123">
        <f>iferror(IF(SUM($AI119:$AZ119)=0,"",SUM($AI119:$AZ119)),"")</f>
        <v/>
      </c>
      <c r="AF119" s="123">
        <f>iferror(IF(SUM($BA119:$BC119)=0,"",SUM($BA119:$BC119)),"")</f>
        <v/>
      </c>
      <c r="AG119" s="123">
        <f>iferror(IF(SUM($BD119:$BF119)=0,"",SUM($BD119:$BF119)),"")</f>
        <v/>
      </c>
      <c r="AH119" s="124">
        <f>iferror(IF(SUM($BG119:$BI119)=0,"",SUM($BG119:$BI119)),"")</f>
        <v/>
      </c>
      <c r="AI119" s="131" t="n"/>
      <c r="AJ119" s="132" t="n"/>
      <c r="AK119" s="132" t="n"/>
      <c r="AL119" s="132" t="n"/>
      <c r="AM119" s="132" t="n"/>
      <c r="AN119" s="132" t="n"/>
      <c r="AO119" s="132" t="n"/>
      <c r="AP119" s="132" t="n"/>
      <c r="AQ119" s="132" t="n"/>
      <c r="AR119" s="132" t="n"/>
      <c r="AS119" s="132" t="n"/>
      <c r="AT119" s="132" t="n"/>
      <c r="AU119" s="132" t="n"/>
      <c r="AV119" s="132" t="n"/>
      <c r="AW119" s="132" t="n"/>
      <c r="AX119" s="132" t="n"/>
      <c r="AY119" s="132" t="n"/>
      <c r="AZ119" s="133" t="n"/>
      <c r="BA119" s="131" t="n"/>
      <c r="BB119" s="132" t="n"/>
      <c r="BC119" s="133" t="n"/>
      <c r="BD119" s="131" t="n"/>
      <c r="BE119" s="132" t="n"/>
      <c r="BF119" s="133" t="n"/>
      <c r="BG119" s="131" t="n"/>
      <c r="BH119" s="132" t="n"/>
      <c r="BI119" s="132" t="n"/>
      <c r="BJ119" s="128">
        <f>iferror(SUM($BK119,($BL119*1.2),($BM119*1.35),($BN119*0.74)),)</f>
        <v/>
      </c>
      <c r="BK119" s="128">
        <f>IFERROR(SUM($BT119:$CK119),)</f>
        <v/>
      </c>
      <c r="BL119" s="129">
        <f>IFERROR(SUM($CL119:$CN119),)</f>
        <v/>
      </c>
      <c r="BM119" s="130">
        <f>IFERROR(SUM($CO119:$CQ119),)</f>
        <v/>
      </c>
      <c r="BN119" s="128">
        <f>IFERROR(SUM($CR119:$CT119),)</f>
        <v/>
      </c>
      <c r="BO119" s="128">
        <f>iferror(SUM($BP119,($BQ119*1.2),($BR119*1.35),($BS119*0.74)),)</f>
        <v/>
      </c>
      <c r="BP119" s="128">
        <f>IFERROR(SUM($CU119:$DL119),)</f>
        <v/>
      </c>
      <c r="BQ119" s="128">
        <f>IFERROR(SUM($DM119:$DO119),)</f>
        <v/>
      </c>
      <c r="BR119" s="128">
        <f>IFERROR(SUM($DP119:$DR119),)</f>
        <v/>
      </c>
      <c r="BS119" s="128">
        <f>IFERROR(SUM($DS119:$DU119),)</f>
        <v/>
      </c>
      <c r="BT119" s="128">
        <f>IFERROR(AI119*$W119,)</f>
        <v/>
      </c>
      <c r="BU119" s="128">
        <f>IFERROR(AJ119*$W119,)</f>
        <v/>
      </c>
      <c r="BV119" s="128">
        <f>IFERROR(AK119*$W119,)</f>
        <v/>
      </c>
      <c r="BW119" s="128">
        <f>IFERROR(AL119*$W119,)</f>
        <v/>
      </c>
      <c r="BX119" s="128">
        <f>IFERROR(AM119*$W119,)</f>
        <v/>
      </c>
      <c r="BY119" s="128">
        <f>IFERROR(AN119*$W119,)</f>
        <v/>
      </c>
      <c r="BZ119" s="128">
        <f>IFERROR(AO119*$W119,)</f>
        <v/>
      </c>
      <c r="CA119" s="128">
        <f>IFERROR(AP119*$W119,)</f>
        <v/>
      </c>
      <c r="CB119" s="128">
        <f>IFERROR(AQ119*$W119,)</f>
        <v/>
      </c>
      <c r="CC119" s="128">
        <f>IFERROR(AR119*$W119,)</f>
        <v/>
      </c>
      <c r="CD119" s="128">
        <f>IFERROR(AS119*$W119,)</f>
        <v/>
      </c>
      <c r="CE119" s="128">
        <f>IFERROR(AT119*$W119,)</f>
        <v/>
      </c>
      <c r="CF119" s="128">
        <f>IFERROR(AU119*$W119,)</f>
        <v/>
      </c>
      <c r="CG119" s="128">
        <f>IFERROR(AV119*$W119,)</f>
        <v/>
      </c>
      <c r="CH119" s="128">
        <f>IFERROR(AW119*$W119,)</f>
        <v/>
      </c>
      <c r="CI119" s="128">
        <f>IFERROR(AX119*$W119,)</f>
        <v/>
      </c>
      <c r="CJ119" s="128">
        <f>IFERROR(AY119*$W119,)</f>
        <v/>
      </c>
      <c r="CK119" s="128">
        <f>IFERROR(AZ119*$W119,)</f>
        <v/>
      </c>
      <c r="CL119" s="129">
        <f>IFERROR(if($Y119=0,BA119*($W119/1.2),BA119*$Y119),"")</f>
        <v/>
      </c>
      <c r="CM119" s="129">
        <f>IFERROR(if($Y119=0,BB119*($W119/1.2),BB119*$Y119),"")</f>
        <v/>
      </c>
      <c r="CN119" s="129">
        <f>IFERROR(if($Y119=0,BC119*($W119/1.2),BC119*$Y119),"")</f>
        <v/>
      </c>
      <c r="CO119" s="130">
        <f>IFERROR(if($AA119=0,($W119/1.35)*BD119,BD119*$AA119),)</f>
        <v/>
      </c>
      <c r="CP119" s="130">
        <f>IFERROR(if($AA119=0,($W119/1.35)*BE119,BE119*$AA119),)</f>
        <v/>
      </c>
      <c r="CQ119" s="130">
        <f>IFERROR(if($AA119=0,($W119/1.35)*BF119,BF119*$AA119),)</f>
        <v/>
      </c>
      <c r="CR119" s="128">
        <f>IFERROR(if($AC119=0,($W119/0.74)*BG119,
BG119*$AC119),)</f>
        <v/>
      </c>
      <c r="CS119" s="128">
        <f>IFERROR(if($AC119=0,($W119/0.74)*BH119,
BH119*$AC119),)</f>
        <v/>
      </c>
      <c r="CT119" s="128">
        <f>IFERROR(if($AC119=0,($W119/0.74)*BI119,
BI119*$AC119),)</f>
        <v/>
      </c>
      <c r="CU119" s="128">
        <f>IFERROR(AI119*$V119,)</f>
        <v/>
      </c>
      <c r="CV119" s="128">
        <f>IFERROR(AJ119*$V119,)</f>
        <v/>
      </c>
      <c r="CW119" s="128">
        <f>IFERROR(AK119*$V119,)</f>
        <v/>
      </c>
      <c r="CX119" s="128">
        <f>IFERROR(AL119*$V119,)</f>
        <v/>
      </c>
      <c r="CY119" s="128">
        <f>IFERROR(AM119*$V119,)</f>
        <v/>
      </c>
      <c r="CZ119" s="128">
        <f>IFERROR(AN119*$V119,)</f>
        <v/>
      </c>
      <c r="DA119" s="128">
        <f>IFERROR(AO119*$V119,)</f>
        <v/>
      </c>
      <c r="DB119" s="128">
        <f>IFERROR(AP119*$V119,)</f>
        <v/>
      </c>
      <c r="DC119" s="128">
        <f>IFERROR(AQ119*$V119,)</f>
        <v/>
      </c>
      <c r="DD119" s="128">
        <f>IFERROR(AR119*$V119,)</f>
        <v/>
      </c>
      <c r="DE119" s="128">
        <f>IFERROR(AS119*$V119,)</f>
        <v/>
      </c>
      <c r="DF119" s="128">
        <f>IFERROR(AT119*$V119,)</f>
        <v/>
      </c>
      <c r="DG119" s="128">
        <f>IFERROR(AU119*$V119,)</f>
        <v/>
      </c>
      <c r="DH119" s="128">
        <f>IFERROR(AV119*$V119,)</f>
        <v/>
      </c>
      <c r="DI119" s="128">
        <f>IFERROR(AW119*$V119,)</f>
        <v/>
      </c>
      <c r="DJ119" s="128">
        <f>IFERROR(AX119*$V119,)</f>
        <v/>
      </c>
      <c r="DK119" s="128">
        <f>IFERROR(AY119*$V119,)</f>
        <v/>
      </c>
      <c r="DL119" s="128">
        <f>IFERROR(AZ119*$V119,)</f>
        <v/>
      </c>
      <c r="DM119" s="129">
        <f>IFERROR(if($X119=0,($V119/1.2)*BA119,
BA119*$X119),)</f>
        <v/>
      </c>
      <c r="DN119" s="129">
        <f>IFERROR(if($X119=0,($V119/1.2)*BB119,
BB119*$X119),)</f>
        <v/>
      </c>
      <c r="DO119" s="129">
        <f>IFERROR(if($X119=0,($V119/1.2)*BC119,
BC119*$X119),)</f>
        <v/>
      </c>
      <c r="DP119" s="130">
        <f>IFERROR(if($Z119=0,($V119/1.35)*BD119,
BD119*$Z119),)</f>
        <v/>
      </c>
      <c r="DQ119" s="130">
        <f>IFERROR(if($Z119=0,($V119/1.35)*BE119,
BE119*$Z119),)</f>
        <v/>
      </c>
      <c r="DR119" s="130">
        <f>IFERROR(if($Z119=0,($V119/1.35)*BF119,
BF119*$Z119),)</f>
        <v/>
      </c>
      <c r="DS119" s="128">
        <f>IFERROR(IF($AB119=0,($V119/0.74)*BG119,
BG119*$AB119),)</f>
        <v/>
      </c>
      <c r="DT119" s="128">
        <f>IFERROR(IF($AB119=0,($V119/0.74)*BH119,
BH119*$AB119),)</f>
        <v/>
      </c>
      <c r="DU119" s="128">
        <f>IFERROR(IF($AB119=0,($V119/0.74)*BI119,
BI119*$AB119),)</f>
        <v/>
      </c>
    </row>
    <row r="120" ht="131.25" customHeight="1" s="162">
      <c r="A120" s="115" t="n"/>
      <c r="B120" s="115" t="n"/>
      <c r="C120" s="115" t="n"/>
      <c r="D120" s="115" t="n"/>
      <c r="E120" s="115" t="n"/>
      <c r="F120" s="115" t="n"/>
      <c r="G120" s="115" t="n"/>
      <c r="H120" s="115" t="n"/>
      <c r="I120" s="115" t="n"/>
      <c r="J120" s="115" t="n"/>
      <c r="K120" s="115" t="n"/>
      <c r="L120" s="115" t="n"/>
      <c r="M120" s="115" t="n"/>
      <c r="N120" s="115" t="n"/>
      <c r="O120" s="115" t="n"/>
      <c r="P120" s="115" t="n"/>
      <c r="Q120" s="115" t="n"/>
      <c r="R120" s="115" t="n"/>
      <c r="S120" s="115" t="n"/>
      <c r="T120" s="115" t="n"/>
      <c r="U120" s="116" t="n"/>
      <c r="V120" s="116" t="n"/>
      <c r="W120" s="117" t="n"/>
      <c r="X120" s="118" t="n"/>
      <c r="Y120" s="119" t="n"/>
      <c r="Z120" s="120" t="n"/>
      <c r="AA120" s="121" t="n"/>
      <c r="AB120" s="122" t="n"/>
      <c r="AC120" s="117" t="n"/>
      <c r="AD120" s="123">
        <f>IF(SUM($AE120:$AH120)=0,"",SUM($AE120:$AH120))</f>
        <v/>
      </c>
      <c r="AE120" s="123">
        <f>iferror(IF(SUM($AI120:$AZ120)=0,"",SUM($AI120:$AZ120)),"")</f>
        <v/>
      </c>
      <c r="AF120" s="123">
        <f>iferror(IF(SUM($BA120:$BC120)=0,"",SUM($BA120:$BC120)),"")</f>
        <v/>
      </c>
      <c r="AG120" s="123">
        <f>iferror(IF(SUM($BD120:$BF120)=0,"",SUM($BD120:$BF120)),"")</f>
        <v/>
      </c>
      <c r="AH120" s="124">
        <f>iferror(IF(SUM($BG120:$BI120)=0,"",SUM($BG120:$BI120)),"")</f>
        <v/>
      </c>
      <c r="AI120" s="131" t="n"/>
      <c r="AJ120" s="132" t="n"/>
      <c r="AK120" s="132" t="n"/>
      <c r="AL120" s="132" t="n"/>
      <c r="AM120" s="132" t="n"/>
      <c r="AN120" s="132" t="n"/>
      <c r="AO120" s="132" t="n"/>
      <c r="AP120" s="132" t="n"/>
      <c r="AQ120" s="132" t="n"/>
      <c r="AR120" s="132" t="n"/>
      <c r="AS120" s="132" t="n"/>
      <c r="AT120" s="132" t="n"/>
      <c r="AU120" s="132" t="n"/>
      <c r="AV120" s="132" t="n"/>
      <c r="AW120" s="132" t="n"/>
      <c r="AX120" s="132" t="n"/>
      <c r="AY120" s="132" t="n"/>
      <c r="AZ120" s="133" t="n"/>
      <c r="BA120" s="131" t="n"/>
      <c r="BB120" s="132" t="n"/>
      <c r="BC120" s="133" t="n"/>
      <c r="BD120" s="131" t="n"/>
      <c r="BE120" s="132" t="n"/>
      <c r="BF120" s="133" t="n"/>
      <c r="BG120" s="131" t="n"/>
      <c r="BH120" s="132" t="n"/>
      <c r="BI120" s="132" t="n"/>
      <c r="BJ120" s="128">
        <f>iferror(SUM($BK120,($BL120*1.2),($BM120*1.35),($BN120*0.74)),)</f>
        <v/>
      </c>
      <c r="BK120" s="128">
        <f>IFERROR(SUM($BT120:$CK120),)</f>
        <v/>
      </c>
      <c r="BL120" s="129">
        <f>IFERROR(SUM($CL120:$CN120),)</f>
        <v/>
      </c>
      <c r="BM120" s="130">
        <f>IFERROR(SUM($CO120:$CQ120),)</f>
        <v/>
      </c>
      <c r="BN120" s="128">
        <f>IFERROR(SUM($CR120:$CT120),)</f>
        <v/>
      </c>
      <c r="BO120" s="128">
        <f>iferror(SUM($BP120,($BQ120*1.2),($BR120*1.35),($BS120*0.74)),)</f>
        <v/>
      </c>
      <c r="BP120" s="128">
        <f>IFERROR(SUM($CU120:$DL120),)</f>
        <v/>
      </c>
      <c r="BQ120" s="128">
        <f>IFERROR(SUM($DM120:$DO120),)</f>
        <v/>
      </c>
      <c r="BR120" s="128">
        <f>IFERROR(SUM($DP120:$DR120),)</f>
        <v/>
      </c>
      <c r="BS120" s="128">
        <f>IFERROR(SUM($DS120:$DU120),)</f>
        <v/>
      </c>
      <c r="BT120" s="128">
        <f>IFERROR(AI120*$W120,)</f>
        <v/>
      </c>
      <c r="BU120" s="128">
        <f>IFERROR(AJ120*$W120,)</f>
        <v/>
      </c>
      <c r="BV120" s="128">
        <f>IFERROR(AK120*$W120,)</f>
        <v/>
      </c>
      <c r="BW120" s="128">
        <f>IFERROR(AL120*$W120,)</f>
        <v/>
      </c>
      <c r="BX120" s="128">
        <f>IFERROR(AM120*$W120,)</f>
        <v/>
      </c>
      <c r="BY120" s="128">
        <f>IFERROR(AN120*$W120,)</f>
        <v/>
      </c>
      <c r="BZ120" s="128">
        <f>IFERROR(AO120*$W120,)</f>
        <v/>
      </c>
      <c r="CA120" s="128">
        <f>IFERROR(AP120*$W120,)</f>
        <v/>
      </c>
      <c r="CB120" s="128">
        <f>IFERROR(AQ120*$W120,)</f>
        <v/>
      </c>
      <c r="CC120" s="128">
        <f>IFERROR(AR120*$W120,)</f>
        <v/>
      </c>
      <c r="CD120" s="128">
        <f>IFERROR(AS120*$W120,)</f>
        <v/>
      </c>
      <c r="CE120" s="128">
        <f>IFERROR(AT120*$W120,)</f>
        <v/>
      </c>
      <c r="CF120" s="128">
        <f>IFERROR(AU120*$W120,)</f>
        <v/>
      </c>
      <c r="CG120" s="128">
        <f>IFERROR(AV120*$W120,)</f>
        <v/>
      </c>
      <c r="CH120" s="128">
        <f>IFERROR(AW120*$W120,)</f>
        <v/>
      </c>
      <c r="CI120" s="128">
        <f>IFERROR(AX120*$W120,)</f>
        <v/>
      </c>
      <c r="CJ120" s="128">
        <f>IFERROR(AY120*$W120,)</f>
        <v/>
      </c>
      <c r="CK120" s="128">
        <f>IFERROR(AZ120*$W120,)</f>
        <v/>
      </c>
      <c r="CL120" s="129">
        <f>IFERROR(if($Y120=0,BA120*($W120/1.2),BA120*$Y120),"")</f>
        <v/>
      </c>
      <c r="CM120" s="129">
        <f>IFERROR(if($Y120=0,BB120*($W120/1.2),BB120*$Y120),"")</f>
        <v/>
      </c>
      <c r="CN120" s="129">
        <f>IFERROR(if($Y120=0,BC120*($W120/1.2),BC120*$Y120),"")</f>
        <v/>
      </c>
      <c r="CO120" s="130">
        <f>IFERROR(if($AA120=0,($W120/1.35)*BD120,BD120*$AA120),)</f>
        <v/>
      </c>
      <c r="CP120" s="130">
        <f>IFERROR(if($AA120=0,($W120/1.35)*BE120,BE120*$AA120),)</f>
        <v/>
      </c>
      <c r="CQ120" s="130">
        <f>IFERROR(if($AA120=0,($W120/1.35)*BF120,BF120*$AA120),)</f>
        <v/>
      </c>
      <c r="CR120" s="128">
        <f>IFERROR(if($AC120=0,($W120/0.74)*BG120,
BG120*$AC120),)</f>
        <v/>
      </c>
      <c r="CS120" s="128">
        <f>IFERROR(if($AC120=0,($W120/0.74)*BH120,
BH120*$AC120),)</f>
        <v/>
      </c>
      <c r="CT120" s="128">
        <f>IFERROR(if($AC120=0,($W120/0.74)*BI120,
BI120*$AC120),)</f>
        <v/>
      </c>
      <c r="CU120" s="128">
        <f>IFERROR(AI120*$V120,)</f>
        <v/>
      </c>
      <c r="CV120" s="128">
        <f>IFERROR(AJ120*$V120,)</f>
        <v/>
      </c>
      <c r="CW120" s="128">
        <f>IFERROR(AK120*$V120,)</f>
        <v/>
      </c>
      <c r="CX120" s="128">
        <f>IFERROR(AL120*$V120,)</f>
        <v/>
      </c>
      <c r="CY120" s="128">
        <f>IFERROR(AM120*$V120,)</f>
        <v/>
      </c>
      <c r="CZ120" s="128">
        <f>IFERROR(AN120*$V120,)</f>
        <v/>
      </c>
      <c r="DA120" s="128">
        <f>IFERROR(AO120*$V120,)</f>
        <v/>
      </c>
      <c r="DB120" s="128">
        <f>IFERROR(AP120*$V120,)</f>
        <v/>
      </c>
      <c r="DC120" s="128">
        <f>IFERROR(AQ120*$V120,)</f>
        <v/>
      </c>
      <c r="DD120" s="128">
        <f>IFERROR(AR120*$V120,)</f>
        <v/>
      </c>
      <c r="DE120" s="128">
        <f>IFERROR(AS120*$V120,)</f>
        <v/>
      </c>
      <c r="DF120" s="128">
        <f>IFERROR(AT120*$V120,)</f>
        <v/>
      </c>
      <c r="DG120" s="128">
        <f>IFERROR(AU120*$V120,)</f>
        <v/>
      </c>
      <c r="DH120" s="128">
        <f>IFERROR(AV120*$V120,)</f>
        <v/>
      </c>
      <c r="DI120" s="128">
        <f>IFERROR(AW120*$V120,)</f>
        <v/>
      </c>
      <c r="DJ120" s="128">
        <f>IFERROR(AX120*$V120,)</f>
        <v/>
      </c>
      <c r="DK120" s="128">
        <f>IFERROR(AY120*$V120,)</f>
        <v/>
      </c>
      <c r="DL120" s="128">
        <f>IFERROR(AZ120*$V120,)</f>
        <v/>
      </c>
      <c r="DM120" s="129">
        <f>IFERROR(if($X120=0,($V120/1.2)*BA120,
BA120*$X120),)</f>
        <v/>
      </c>
      <c r="DN120" s="129">
        <f>IFERROR(if($X120=0,($V120/1.2)*BB120,
BB120*$X120),)</f>
        <v/>
      </c>
      <c r="DO120" s="129">
        <f>IFERROR(if($X120=0,($V120/1.2)*BC120,
BC120*$X120),)</f>
        <v/>
      </c>
      <c r="DP120" s="130">
        <f>IFERROR(if($Z120=0,($V120/1.35)*BD120,
BD120*$Z120),)</f>
        <v/>
      </c>
      <c r="DQ120" s="130">
        <f>IFERROR(if($Z120=0,($V120/1.35)*BE120,
BE120*$Z120),)</f>
        <v/>
      </c>
      <c r="DR120" s="130">
        <f>IFERROR(if($Z120=0,($V120/1.35)*BF120,
BF120*$Z120),)</f>
        <v/>
      </c>
      <c r="DS120" s="128">
        <f>IFERROR(IF($AB120=0,($V120/0.74)*BG120,
BG120*$AB120),)</f>
        <v/>
      </c>
      <c r="DT120" s="128">
        <f>IFERROR(IF($AB120=0,($V120/0.74)*BH120,
BH120*$AB120),)</f>
        <v/>
      </c>
      <c r="DU120" s="128">
        <f>IFERROR(IF($AB120=0,($V120/0.74)*BI120,
BI120*$AB120),)</f>
        <v/>
      </c>
    </row>
    <row r="121" ht="131.25" customHeight="1" s="162">
      <c r="A121" s="115" t="n"/>
      <c r="B121" s="115" t="n"/>
      <c r="C121" s="115" t="n"/>
      <c r="D121" s="115" t="n"/>
      <c r="E121" s="115" t="n"/>
      <c r="F121" s="115" t="n"/>
      <c r="G121" s="115" t="n"/>
      <c r="H121" s="115" t="n"/>
      <c r="I121" s="115" t="n"/>
      <c r="J121" s="115" t="n"/>
      <c r="K121" s="115" t="n"/>
      <c r="L121" s="115" t="n"/>
      <c r="M121" s="115" t="n"/>
      <c r="N121" s="115" t="n"/>
      <c r="O121" s="115" t="n"/>
      <c r="P121" s="115" t="n"/>
      <c r="Q121" s="115" t="n"/>
      <c r="R121" s="115" t="n"/>
      <c r="S121" s="115" t="n"/>
      <c r="T121" s="115" t="n"/>
      <c r="U121" s="116" t="n"/>
      <c r="V121" s="116" t="n"/>
      <c r="W121" s="117" t="n"/>
      <c r="X121" s="118" t="n"/>
      <c r="Y121" s="119" t="n"/>
      <c r="Z121" s="120" t="n"/>
      <c r="AA121" s="121" t="n"/>
      <c r="AB121" s="122" t="n"/>
      <c r="AC121" s="117" t="n"/>
      <c r="AD121" s="123">
        <f>IF(SUM($AE121:$AH121)=0,"",SUM($AE121:$AH121))</f>
        <v/>
      </c>
      <c r="AE121" s="123">
        <f>iferror(IF(SUM($AI121:$AZ121)=0,"",SUM($AI121:$AZ121)),"")</f>
        <v/>
      </c>
      <c r="AF121" s="123">
        <f>iferror(IF(SUM($BA121:$BC121)=0,"",SUM($BA121:$BC121)),"")</f>
        <v/>
      </c>
      <c r="AG121" s="123">
        <f>iferror(IF(SUM($BD121:$BF121)=0,"",SUM($BD121:$BF121)),"")</f>
        <v/>
      </c>
      <c r="AH121" s="124">
        <f>iferror(IF(SUM($BG121:$BI121)=0,"",SUM($BG121:$BI121)),"")</f>
        <v/>
      </c>
      <c r="AI121" s="131" t="n"/>
      <c r="AJ121" s="132" t="n"/>
      <c r="AK121" s="132" t="n"/>
      <c r="AL121" s="132" t="n"/>
      <c r="AM121" s="132" t="n"/>
      <c r="AN121" s="132" t="n"/>
      <c r="AO121" s="132" t="n"/>
      <c r="AP121" s="132" t="n"/>
      <c r="AQ121" s="132" t="n"/>
      <c r="AR121" s="132" t="n"/>
      <c r="AS121" s="132" t="n"/>
      <c r="AT121" s="132" t="n"/>
      <c r="AU121" s="132" t="n"/>
      <c r="AV121" s="132" t="n"/>
      <c r="AW121" s="132" t="n"/>
      <c r="AX121" s="132" t="n"/>
      <c r="AY121" s="132" t="n"/>
      <c r="AZ121" s="133" t="n"/>
      <c r="BA121" s="131" t="n"/>
      <c r="BB121" s="132" t="n"/>
      <c r="BC121" s="133" t="n"/>
      <c r="BD121" s="131" t="n"/>
      <c r="BE121" s="132" t="n"/>
      <c r="BF121" s="133" t="n"/>
      <c r="BG121" s="131" t="n"/>
      <c r="BH121" s="132" t="n"/>
      <c r="BI121" s="132" t="n"/>
      <c r="BJ121" s="128">
        <f>iferror(SUM($BK121,($BL121*1.2),($BM121*1.35),($BN121*0.74)),)</f>
        <v/>
      </c>
      <c r="BK121" s="128">
        <f>IFERROR(SUM($BT121:$CK121),)</f>
        <v/>
      </c>
      <c r="BL121" s="129">
        <f>IFERROR(SUM($CL121:$CN121),)</f>
        <v/>
      </c>
      <c r="BM121" s="130">
        <f>IFERROR(SUM($CO121:$CQ121),)</f>
        <v/>
      </c>
      <c r="BN121" s="128">
        <f>IFERROR(SUM($CR121:$CT121),)</f>
        <v/>
      </c>
      <c r="BO121" s="128">
        <f>iferror(SUM($BP121,($BQ121*1.2),($BR121*1.35),($BS121*0.74)),)</f>
        <v/>
      </c>
      <c r="BP121" s="128">
        <f>IFERROR(SUM($CU121:$DL121),)</f>
        <v/>
      </c>
      <c r="BQ121" s="128">
        <f>IFERROR(SUM($DM121:$DO121),)</f>
        <v/>
      </c>
      <c r="BR121" s="128">
        <f>IFERROR(SUM($DP121:$DR121),)</f>
        <v/>
      </c>
      <c r="BS121" s="128">
        <f>IFERROR(SUM($DS121:$DU121),)</f>
        <v/>
      </c>
      <c r="BT121" s="128">
        <f>IFERROR(AI121*$W121,)</f>
        <v/>
      </c>
      <c r="BU121" s="128">
        <f>IFERROR(AJ121*$W121,)</f>
        <v/>
      </c>
      <c r="BV121" s="128">
        <f>IFERROR(AK121*$W121,)</f>
        <v/>
      </c>
      <c r="BW121" s="128">
        <f>IFERROR(AL121*$W121,)</f>
        <v/>
      </c>
      <c r="BX121" s="128">
        <f>IFERROR(AM121*$W121,)</f>
        <v/>
      </c>
      <c r="BY121" s="128">
        <f>IFERROR(AN121*$W121,)</f>
        <v/>
      </c>
      <c r="BZ121" s="128">
        <f>IFERROR(AO121*$W121,)</f>
        <v/>
      </c>
      <c r="CA121" s="128">
        <f>IFERROR(AP121*$W121,)</f>
        <v/>
      </c>
      <c r="CB121" s="128">
        <f>IFERROR(AQ121*$W121,)</f>
        <v/>
      </c>
      <c r="CC121" s="128">
        <f>IFERROR(AR121*$W121,)</f>
        <v/>
      </c>
      <c r="CD121" s="128">
        <f>IFERROR(AS121*$W121,)</f>
        <v/>
      </c>
      <c r="CE121" s="128">
        <f>IFERROR(AT121*$W121,)</f>
        <v/>
      </c>
      <c r="CF121" s="128">
        <f>IFERROR(AU121*$W121,)</f>
        <v/>
      </c>
      <c r="CG121" s="128">
        <f>IFERROR(AV121*$W121,)</f>
        <v/>
      </c>
      <c r="CH121" s="128">
        <f>IFERROR(AW121*$W121,)</f>
        <v/>
      </c>
      <c r="CI121" s="128">
        <f>IFERROR(AX121*$W121,)</f>
        <v/>
      </c>
      <c r="CJ121" s="128">
        <f>IFERROR(AY121*$W121,)</f>
        <v/>
      </c>
      <c r="CK121" s="128">
        <f>IFERROR(AZ121*$W121,)</f>
        <v/>
      </c>
      <c r="CL121" s="129">
        <f>IFERROR(if($Y121=0,BA121*($W121/1.2),BA121*$Y121),"")</f>
        <v/>
      </c>
      <c r="CM121" s="129">
        <f>IFERROR(if($Y121=0,BB121*($W121/1.2),BB121*$Y121),"")</f>
        <v/>
      </c>
      <c r="CN121" s="129">
        <f>IFERROR(if($Y121=0,BC121*($W121/1.2),BC121*$Y121),"")</f>
        <v/>
      </c>
      <c r="CO121" s="130">
        <f>IFERROR(if($AA121=0,($W121/1.35)*BD121,BD121*$AA121),)</f>
        <v/>
      </c>
      <c r="CP121" s="130">
        <f>IFERROR(if($AA121=0,($W121/1.35)*BE121,BE121*$AA121),)</f>
        <v/>
      </c>
      <c r="CQ121" s="130">
        <f>IFERROR(if($AA121=0,($W121/1.35)*BF121,BF121*$AA121),)</f>
        <v/>
      </c>
      <c r="CR121" s="128">
        <f>IFERROR(if($AC121=0,($W121/0.74)*BG121,
BG121*$AC121),)</f>
        <v/>
      </c>
      <c r="CS121" s="128">
        <f>IFERROR(if($AC121=0,($W121/0.74)*BH121,
BH121*$AC121),)</f>
        <v/>
      </c>
      <c r="CT121" s="128">
        <f>IFERROR(if($AC121=0,($W121/0.74)*BI121,
BI121*$AC121),)</f>
        <v/>
      </c>
      <c r="CU121" s="128">
        <f>IFERROR(AI121*$V121,)</f>
        <v/>
      </c>
      <c r="CV121" s="128">
        <f>IFERROR(AJ121*$V121,)</f>
        <v/>
      </c>
      <c r="CW121" s="128">
        <f>IFERROR(AK121*$V121,)</f>
        <v/>
      </c>
      <c r="CX121" s="128">
        <f>IFERROR(AL121*$V121,)</f>
        <v/>
      </c>
      <c r="CY121" s="128">
        <f>IFERROR(AM121*$V121,)</f>
        <v/>
      </c>
      <c r="CZ121" s="128">
        <f>IFERROR(AN121*$V121,)</f>
        <v/>
      </c>
      <c r="DA121" s="128">
        <f>IFERROR(AO121*$V121,)</f>
        <v/>
      </c>
      <c r="DB121" s="128">
        <f>IFERROR(AP121*$V121,)</f>
        <v/>
      </c>
      <c r="DC121" s="128">
        <f>IFERROR(AQ121*$V121,)</f>
        <v/>
      </c>
      <c r="DD121" s="128">
        <f>IFERROR(AR121*$V121,)</f>
        <v/>
      </c>
      <c r="DE121" s="128">
        <f>IFERROR(AS121*$V121,)</f>
        <v/>
      </c>
      <c r="DF121" s="128">
        <f>IFERROR(AT121*$V121,)</f>
        <v/>
      </c>
      <c r="DG121" s="128">
        <f>IFERROR(AU121*$V121,)</f>
        <v/>
      </c>
      <c r="DH121" s="128">
        <f>IFERROR(AV121*$V121,)</f>
        <v/>
      </c>
      <c r="DI121" s="128">
        <f>IFERROR(AW121*$V121,)</f>
        <v/>
      </c>
      <c r="DJ121" s="128">
        <f>IFERROR(AX121*$V121,)</f>
        <v/>
      </c>
      <c r="DK121" s="128">
        <f>IFERROR(AY121*$V121,)</f>
        <v/>
      </c>
      <c r="DL121" s="128">
        <f>IFERROR(AZ121*$V121,)</f>
        <v/>
      </c>
      <c r="DM121" s="129">
        <f>IFERROR(if($X121=0,($V121/1.2)*BA121,
BA121*$X121),)</f>
        <v/>
      </c>
      <c r="DN121" s="129">
        <f>IFERROR(if($X121=0,($V121/1.2)*BB121,
BB121*$X121),)</f>
        <v/>
      </c>
      <c r="DO121" s="129">
        <f>IFERROR(if($X121=0,($V121/1.2)*BC121,
BC121*$X121),)</f>
        <v/>
      </c>
      <c r="DP121" s="130">
        <f>IFERROR(if($Z121=0,($V121/1.35)*BD121,
BD121*$Z121),)</f>
        <v/>
      </c>
      <c r="DQ121" s="130">
        <f>IFERROR(if($Z121=0,($V121/1.35)*BE121,
BE121*$Z121),)</f>
        <v/>
      </c>
      <c r="DR121" s="130">
        <f>IFERROR(if($Z121=0,($V121/1.35)*BF121,
BF121*$Z121),)</f>
        <v/>
      </c>
      <c r="DS121" s="128">
        <f>IFERROR(IF($AB121=0,($V121/0.74)*BG121,
BG121*$AB121),)</f>
        <v/>
      </c>
      <c r="DT121" s="128">
        <f>IFERROR(IF($AB121=0,($V121/0.74)*BH121,
BH121*$AB121),)</f>
        <v/>
      </c>
      <c r="DU121" s="128">
        <f>IFERROR(IF($AB121=0,($V121/0.74)*BI121,
BI121*$AB121),)</f>
        <v/>
      </c>
    </row>
    <row r="122" ht="131.25" customHeight="1" s="162">
      <c r="A122" s="115" t="n"/>
      <c r="B122" s="115" t="n"/>
      <c r="C122" s="115" t="n"/>
      <c r="D122" s="115" t="n"/>
      <c r="E122" s="115" t="n"/>
      <c r="F122" s="115" t="n"/>
      <c r="G122" s="115" t="n"/>
      <c r="H122" s="115" t="n"/>
      <c r="I122" s="115" t="n"/>
      <c r="J122" s="115" t="n"/>
      <c r="K122" s="115" t="n"/>
      <c r="L122" s="115" t="n"/>
      <c r="M122" s="115" t="n"/>
      <c r="N122" s="115" t="n"/>
      <c r="O122" s="115" t="n"/>
      <c r="P122" s="115" t="n"/>
      <c r="Q122" s="115" t="n"/>
      <c r="R122" s="115" t="n"/>
      <c r="S122" s="115" t="n"/>
      <c r="T122" s="115" t="n"/>
      <c r="U122" s="116" t="n"/>
      <c r="V122" s="116" t="n"/>
      <c r="W122" s="117" t="n"/>
      <c r="X122" s="118" t="n"/>
      <c r="Y122" s="119" t="n"/>
      <c r="Z122" s="120" t="n"/>
      <c r="AA122" s="121" t="n"/>
      <c r="AB122" s="122" t="n"/>
      <c r="AC122" s="117" t="n"/>
      <c r="AD122" s="123">
        <f>IF(SUM($AE122:$AH122)=0,"",SUM($AE122:$AH122))</f>
        <v/>
      </c>
      <c r="AE122" s="123">
        <f>iferror(IF(SUM($AI122:$AZ122)=0,"",SUM($AI122:$AZ122)),"")</f>
        <v/>
      </c>
      <c r="AF122" s="123">
        <f>iferror(IF(SUM($BA122:$BC122)=0,"",SUM($BA122:$BC122)),"")</f>
        <v/>
      </c>
      <c r="AG122" s="123">
        <f>iferror(IF(SUM($BD122:$BF122)=0,"",SUM($BD122:$BF122)),"")</f>
        <v/>
      </c>
      <c r="AH122" s="124">
        <f>iferror(IF(SUM($BG122:$BI122)=0,"",SUM($BG122:$BI122)),"")</f>
        <v/>
      </c>
      <c r="AI122" s="131" t="n"/>
      <c r="AJ122" s="132" t="n"/>
      <c r="AK122" s="132" t="n"/>
      <c r="AL122" s="132" t="n"/>
      <c r="AM122" s="132" t="n"/>
      <c r="AN122" s="132" t="n"/>
      <c r="AO122" s="132" t="n"/>
      <c r="AP122" s="132" t="n"/>
      <c r="AQ122" s="132" t="n"/>
      <c r="AR122" s="132" t="n"/>
      <c r="AS122" s="132" t="n"/>
      <c r="AT122" s="132" t="n"/>
      <c r="AU122" s="132" t="n"/>
      <c r="AV122" s="132" t="n"/>
      <c r="AW122" s="132" t="n"/>
      <c r="AX122" s="132" t="n"/>
      <c r="AY122" s="132" t="n"/>
      <c r="AZ122" s="133" t="n"/>
      <c r="BA122" s="131" t="n"/>
      <c r="BB122" s="132" t="n"/>
      <c r="BC122" s="133" t="n"/>
      <c r="BD122" s="131" t="n"/>
      <c r="BE122" s="132" t="n"/>
      <c r="BF122" s="133" t="n"/>
      <c r="BG122" s="131" t="n"/>
      <c r="BH122" s="132" t="n"/>
      <c r="BI122" s="132" t="n"/>
      <c r="BJ122" s="128">
        <f>iferror(SUM($BK122,($BL122*1.2),($BM122*1.35),($BN122*0.74)),)</f>
        <v/>
      </c>
      <c r="BK122" s="128">
        <f>IFERROR(SUM($BT122:$CK122),)</f>
        <v/>
      </c>
      <c r="BL122" s="129">
        <f>IFERROR(SUM($CL122:$CN122),)</f>
        <v/>
      </c>
      <c r="BM122" s="130">
        <f>IFERROR(SUM($CO122:$CQ122),)</f>
        <v/>
      </c>
      <c r="BN122" s="128">
        <f>IFERROR(SUM($CR122:$CT122),)</f>
        <v/>
      </c>
      <c r="BO122" s="128">
        <f>iferror(SUM($BP122,($BQ122*1.2),($BR122*1.35),($BS122*0.74)),)</f>
        <v/>
      </c>
      <c r="BP122" s="128">
        <f>IFERROR(SUM($CU122:$DL122),)</f>
        <v/>
      </c>
      <c r="BQ122" s="128">
        <f>IFERROR(SUM($DM122:$DO122),)</f>
        <v/>
      </c>
      <c r="BR122" s="128">
        <f>IFERROR(SUM($DP122:$DR122),)</f>
        <v/>
      </c>
      <c r="BS122" s="128">
        <f>IFERROR(SUM($DS122:$DU122),)</f>
        <v/>
      </c>
      <c r="BT122" s="128">
        <f>IFERROR(AI122*$W122,)</f>
        <v/>
      </c>
      <c r="BU122" s="128">
        <f>IFERROR(AJ122*$W122,)</f>
        <v/>
      </c>
      <c r="BV122" s="128">
        <f>IFERROR(AK122*$W122,)</f>
        <v/>
      </c>
      <c r="BW122" s="128">
        <f>IFERROR(AL122*$W122,)</f>
        <v/>
      </c>
      <c r="BX122" s="128">
        <f>IFERROR(AM122*$W122,)</f>
        <v/>
      </c>
      <c r="BY122" s="128">
        <f>IFERROR(AN122*$W122,)</f>
        <v/>
      </c>
      <c r="BZ122" s="128">
        <f>IFERROR(AO122*$W122,)</f>
        <v/>
      </c>
      <c r="CA122" s="128">
        <f>IFERROR(AP122*$W122,)</f>
        <v/>
      </c>
      <c r="CB122" s="128">
        <f>IFERROR(AQ122*$W122,)</f>
        <v/>
      </c>
      <c r="CC122" s="128">
        <f>IFERROR(AR122*$W122,)</f>
        <v/>
      </c>
      <c r="CD122" s="128">
        <f>IFERROR(AS122*$W122,)</f>
        <v/>
      </c>
      <c r="CE122" s="128">
        <f>IFERROR(AT122*$W122,)</f>
        <v/>
      </c>
      <c r="CF122" s="128">
        <f>IFERROR(AU122*$W122,)</f>
        <v/>
      </c>
      <c r="CG122" s="128">
        <f>IFERROR(AV122*$W122,)</f>
        <v/>
      </c>
      <c r="CH122" s="128">
        <f>IFERROR(AW122*$W122,)</f>
        <v/>
      </c>
      <c r="CI122" s="128">
        <f>IFERROR(AX122*$W122,)</f>
        <v/>
      </c>
      <c r="CJ122" s="128">
        <f>IFERROR(AY122*$W122,)</f>
        <v/>
      </c>
      <c r="CK122" s="128">
        <f>IFERROR(AZ122*$W122,)</f>
        <v/>
      </c>
      <c r="CL122" s="129">
        <f>IFERROR(if($Y122=0,BA122*($W122/1.2),BA122*$Y122),"")</f>
        <v/>
      </c>
      <c r="CM122" s="129">
        <f>IFERROR(if($Y122=0,BB122*($W122/1.2),BB122*$Y122),"")</f>
        <v/>
      </c>
      <c r="CN122" s="129">
        <f>IFERROR(if($Y122=0,BC122*($W122/1.2),BC122*$Y122),"")</f>
        <v/>
      </c>
      <c r="CO122" s="130">
        <f>IFERROR(if($AA122=0,($W122/1.35)*BD122,BD122*$AA122),)</f>
        <v/>
      </c>
      <c r="CP122" s="130">
        <f>IFERROR(if($AA122=0,($W122/1.35)*BE122,BE122*$AA122),)</f>
        <v/>
      </c>
      <c r="CQ122" s="130">
        <f>IFERROR(if($AA122=0,($W122/1.35)*BF122,BF122*$AA122),)</f>
        <v/>
      </c>
      <c r="CR122" s="128">
        <f>IFERROR(if($AC122=0,($W122/0.74)*BG122,
BG122*$AC122),)</f>
        <v/>
      </c>
      <c r="CS122" s="128">
        <f>IFERROR(if($AC122=0,($W122/0.74)*BH122,
BH122*$AC122),)</f>
        <v/>
      </c>
      <c r="CT122" s="128">
        <f>IFERROR(if($AC122=0,($W122/0.74)*BI122,
BI122*$AC122),)</f>
        <v/>
      </c>
      <c r="CU122" s="128">
        <f>IFERROR(AI122*$V122,)</f>
        <v/>
      </c>
      <c r="CV122" s="128">
        <f>IFERROR(AJ122*$V122,)</f>
        <v/>
      </c>
      <c r="CW122" s="128">
        <f>IFERROR(AK122*$V122,)</f>
        <v/>
      </c>
      <c r="CX122" s="128">
        <f>IFERROR(AL122*$V122,)</f>
        <v/>
      </c>
      <c r="CY122" s="128">
        <f>IFERROR(AM122*$V122,)</f>
        <v/>
      </c>
      <c r="CZ122" s="128">
        <f>IFERROR(AN122*$V122,)</f>
        <v/>
      </c>
      <c r="DA122" s="128">
        <f>IFERROR(AO122*$V122,)</f>
        <v/>
      </c>
      <c r="DB122" s="128">
        <f>IFERROR(AP122*$V122,)</f>
        <v/>
      </c>
      <c r="DC122" s="128">
        <f>IFERROR(AQ122*$V122,)</f>
        <v/>
      </c>
      <c r="DD122" s="128">
        <f>IFERROR(AR122*$V122,)</f>
        <v/>
      </c>
      <c r="DE122" s="128">
        <f>IFERROR(AS122*$V122,)</f>
        <v/>
      </c>
      <c r="DF122" s="128">
        <f>IFERROR(AT122*$V122,)</f>
        <v/>
      </c>
      <c r="DG122" s="128">
        <f>IFERROR(AU122*$V122,)</f>
        <v/>
      </c>
      <c r="DH122" s="128">
        <f>IFERROR(AV122*$V122,)</f>
        <v/>
      </c>
      <c r="DI122" s="128">
        <f>IFERROR(AW122*$V122,)</f>
        <v/>
      </c>
      <c r="DJ122" s="128">
        <f>IFERROR(AX122*$V122,)</f>
        <v/>
      </c>
      <c r="DK122" s="128">
        <f>IFERROR(AY122*$V122,)</f>
        <v/>
      </c>
      <c r="DL122" s="128">
        <f>IFERROR(AZ122*$V122,)</f>
        <v/>
      </c>
      <c r="DM122" s="129">
        <f>IFERROR(if($X122=0,($V122/1.2)*BA122,
BA122*$X122),)</f>
        <v/>
      </c>
      <c r="DN122" s="129">
        <f>IFERROR(if($X122=0,($V122/1.2)*BB122,
BB122*$X122),)</f>
        <v/>
      </c>
      <c r="DO122" s="129">
        <f>IFERROR(if($X122=0,($V122/1.2)*BC122,
BC122*$X122),)</f>
        <v/>
      </c>
      <c r="DP122" s="130">
        <f>IFERROR(if($Z122=0,($V122/1.35)*BD122,
BD122*$Z122),)</f>
        <v/>
      </c>
      <c r="DQ122" s="130">
        <f>IFERROR(if($Z122=0,($V122/1.35)*BE122,
BE122*$Z122),)</f>
        <v/>
      </c>
      <c r="DR122" s="130">
        <f>IFERROR(if($Z122=0,($V122/1.35)*BF122,
BF122*$Z122),)</f>
        <v/>
      </c>
      <c r="DS122" s="128">
        <f>IFERROR(IF($AB122=0,($V122/0.74)*BG122,
BG122*$AB122),)</f>
        <v/>
      </c>
      <c r="DT122" s="128">
        <f>IFERROR(IF($AB122=0,($V122/0.74)*BH122,
BH122*$AB122),)</f>
        <v/>
      </c>
      <c r="DU122" s="128">
        <f>IFERROR(IF($AB122=0,($V122/0.74)*BI122,
BI122*$AB122),)</f>
        <v/>
      </c>
    </row>
    <row r="123" ht="131.25" customHeight="1" s="162">
      <c r="A123" s="115" t="n"/>
      <c r="B123" s="115" t="n"/>
      <c r="C123" s="115" t="n"/>
      <c r="D123" s="115" t="n"/>
      <c r="E123" s="115" t="n"/>
      <c r="F123" s="115" t="n"/>
      <c r="G123" s="115" t="n"/>
      <c r="H123" s="115" t="n"/>
      <c r="I123" s="115" t="n"/>
      <c r="J123" s="115" t="n"/>
      <c r="K123" s="115" t="n"/>
      <c r="L123" s="115" t="n"/>
      <c r="M123" s="115" t="n"/>
      <c r="N123" s="115" t="n"/>
      <c r="O123" s="115" t="n"/>
      <c r="P123" s="115" t="n"/>
      <c r="Q123" s="115" t="n"/>
      <c r="R123" s="115" t="n"/>
      <c r="S123" s="115" t="n"/>
      <c r="T123" s="115" t="n"/>
      <c r="U123" s="116" t="n"/>
      <c r="V123" s="116" t="n"/>
      <c r="W123" s="117" t="n"/>
      <c r="X123" s="118" t="n"/>
      <c r="Y123" s="119" t="n"/>
      <c r="Z123" s="120" t="n"/>
      <c r="AA123" s="121" t="n"/>
      <c r="AB123" s="122" t="n"/>
      <c r="AC123" s="117" t="n"/>
      <c r="AD123" s="123">
        <f>IF(SUM($AE123:$AH123)=0,"",SUM($AE123:$AH123))</f>
        <v/>
      </c>
      <c r="AE123" s="123">
        <f>iferror(IF(SUM($AI123:$AZ123)=0,"",SUM($AI123:$AZ123)),"")</f>
        <v/>
      </c>
      <c r="AF123" s="123">
        <f>iferror(IF(SUM($BA123:$BC123)=0,"",SUM($BA123:$BC123)),"")</f>
        <v/>
      </c>
      <c r="AG123" s="123">
        <f>iferror(IF(SUM($BD123:$BF123)=0,"",SUM($BD123:$BF123)),"")</f>
        <v/>
      </c>
      <c r="AH123" s="124">
        <f>iferror(IF(SUM($BG123:$BI123)=0,"",SUM($BG123:$BI123)),"")</f>
        <v/>
      </c>
      <c r="AI123" s="131" t="n"/>
      <c r="AJ123" s="132" t="n"/>
      <c r="AK123" s="132" t="n"/>
      <c r="AL123" s="132" t="n"/>
      <c r="AM123" s="132" t="n"/>
      <c r="AN123" s="132" t="n"/>
      <c r="AO123" s="132" t="n"/>
      <c r="AP123" s="132" t="n"/>
      <c r="AQ123" s="132" t="n"/>
      <c r="AR123" s="132" t="n"/>
      <c r="AS123" s="132" t="n"/>
      <c r="AT123" s="132" t="n"/>
      <c r="AU123" s="132" t="n"/>
      <c r="AV123" s="132" t="n"/>
      <c r="AW123" s="132" t="n"/>
      <c r="AX123" s="132" t="n"/>
      <c r="AY123" s="132" t="n"/>
      <c r="AZ123" s="133" t="n"/>
      <c r="BA123" s="131" t="n"/>
      <c r="BB123" s="132" t="n"/>
      <c r="BC123" s="133" t="n"/>
      <c r="BD123" s="131" t="n"/>
      <c r="BE123" s="132" t="n"/>
      <c r="BF123" s="133" t="n"/>
      <c r="BG123" s="131" t="n"/>
      <c r="BH123" s="132" t="n"/>
      <c r="BI123" s="132" t="n"/>
      <c r="BJ123" s="128">
        <f>iferror(SUM($BK123,($BL123*1.2),($BM123*1.35),($BN123*0.74)),)</f>
        <v/>
      </c>
      <c r="BK123" s="128">
        <f>IFERROR(SUM($BT123:$CK123),)</f>
        <v/>
      </c>
      <c r="BL123" s="129">
        <f>IFERROR(SUM($CL123:$CN123),)</f>
        <v/>
      </c>
      <c r="BM123" s="130">
        <f>IFERROR(SUM($CO123:$CQ123),)</f>
        <v/>
      </c>
      <c r="BN123" s="128">
        <f>IFERROR(SUM($CR123:$CT123),)</f>
        <v/>
      </c>
      <c r="BO123" s="128">
        <f>iferror(SUM($BP123,($BQ123*1.2),($BR123*1.35),($BS123*0.74)),)</f>
        <v/>
      </c>
      <c r="BP123" s="128">
        <f>IFERROR(SUM($CU123:$DL123),)</f>
        <v/>
      </c>
      <c r="BQ123" s="128">
        <f>IFERROR(SUM($DM123:$DO123),)</f>
        <v/>
      </c>
      <c r="BR123" s="128">
        <f>IFERROR(SUM($DP123:$DR123),)</f>
        <v/>
      </c>
      <c r="BS123" s="128">
        <f>IFERROR(SUM($DS123:$DU123),)</f>
        <v/>
      </c>
      <c r="BT123" s="128">
        <f>IFERROR(AI123*$W123,)</f>
        <v/>
      </c>
      <c r="BU123" s="128">
        <f>IFERROR(AJ123*$W123,)</f>
        <v/>
      </c>
      <c r="BV123" s="128">
        <f>IFERROR(AK123*$W123,)</f>
        <v/>
      </c>
      <c r="BW123" s="128">
        <f>IFERROR(AL123*$W123,)</f>
        <v/>
      </c>
      <c r="BX123" s="128">
        <f>IFERROR(AM123*$W123,)</f>
        <v/>
      </c>
      <c r="BY123" s="128">
        <f>IFERROR(AN123*$W123,)</f>
        <v/>
      </c>
      <c r="BZ123" s="128">
        <f>IFERROR(AO123*$W123,)</f>
        <v/>
      </c>
      <c r="CA123" s="128">
        <f>IFERROR(AP123*$W123,)</f>
        <v/>
      </c>
      <c r="CB123" s="128">
        <f>IFERROR(AQ123*$W123,)</f>
        <v/>
      </c>
      <c r="CC123" s="128">
        <f>IFERROR(AR123*$W123,)</f>
        <v/>
      </c>
      <c r="CD123" s="128">
        <f>IFERROR(AS123*$W123,)</f>
        <v/>
      </c>
      <c r="CE123" s="128">
        <f>IFERROR(AT123*$W123,)</f>
        <v/>
      </c>
      <c r="CF123" s="128">
        <f>IFERROR(AU123*$W123,)</f>
        <v/>
      </c>
      <c r="CG123" s="128">
        <f>IFERROR(AV123*$W123,)</f>
        <v/>
      </c>
      <c r="CH123" s="128">
        <f>IFERROR(AW123*$W123,)</f>
        <v/>
      </c>
      <c r="CI123" s="128">
        <f>IFERROR(AX123*$W123,)</f>
        <v/>
      </c>
      <c r="CJ123" s="128">
        <f>IFERROR(AY123*$W123,)</f>
        <v/>
      </c>
      <c r="CK123" s="128">
        <f>IFERROR(AZ123*$W123,)</f>
        <v/>
      </c>
      <c r="CL123" s="129">
        <f>IFERROR(if($Y123=0,BA123*($W123/1.2),BA123*$Y123),"")</f>
        <v/>
      </c>
      <c r="CM123" s="129">
        <f>IFERROR(if($Y123=0,BB123*($W123/1.2),BB123*$Y123),"")</f>
        <v/>
      </c>
      <c r="CN123" s="129">
        <f>IFERROR(if($Y123=0,BC123*($W123/1.2),BC123*$Y123),"")</f>
        <v/>
      </c>
      <c r="CO123" s="130">
        <f>IFERROR(if($AA123=0,($W123/1.35)*BD123,BD123*$AA123),)</f>
        <v/>
      </c>
      <c r="CP123" s="130">
        <f>IFERROR(if($AA123=0,($W123/1.35)*BE123,BE123*$AA123),)</f>
        <v/>
      </c>
      <c r="CQ123" s="130">
        <f>IFERROR(if($AA123=0,($W123/1.35)*BF123,BF123*$AA123),)</f>
        <v/>
      </c>
      <c r="CR123" s="128">
        <f>IFERROR(if($AC123=0,($W123/0.74)*BG123,
BG123*$AC123),)</f>
        <v/>
      </c>
      <c r="CS123" s="128">
        <f>IFERROR(if($AC123=0,($W123/0.74)*BH123,
BH123*$AC123),)</f>
        <v/>
      </c>
      <c r="CT123" s="128">
        <f>IFERROR(if($AC123=0,($W123/0.74)*BI123,
BI123*$AC123),)</f>
        <v/>
      </c>
      <c r="CU123" s="128">
        <f>IFERROR(AI123*$V123,)</f>
        <v/>
      </c>
      <c r="CV123" s="128">
        <f>IFERROR(AJ123*$V123,)</f>
        <v/>
      </c>
      <c r="CW123" s="128">
        <f>IFERROR(AK123*$V123,)</f>
        <v/>
      </c>
      <c r="CX123" s="128">
        <f>IFERROR(AL123*$V123,)</f>
        <v/>
      </c>
      <c r="CY123" s="128">
        <f>IFERROR(AM123*$V123,)</f>
        <v/>
      </c>
      <c r="CZ123" s="128">
        <f>IFERROR(AN123*$V123,)</f>
        <v/>
      </c>
      <c r="DA123" s="128">
        <f>IFERROR(AO123*$V123,)</f>
        <v/>
      </c>
      <c r="DB123" s="128">
        <f>IFERROR(AP123*$V123,)</f>
        <v/>
      </c>
      <c r="DC123" s="128">
        <f>IFERROR(AQ123*$V123,)</f>
        <v/>
      </c>
      <c r="DD123" s="128">
        <f>IFERROR(AR123*$V123,)</f>
        <v/>
      </c>
      <c r="DE123" s="128">
        <f>IFERROR(AS123*$V123,)</f>
        <v/>
      </c>
      <c r="DF123" s="128">
        <f>IFERROR(AT123*$V123,)</f>
        <v/>
      </c>
      <c r="DG123" s="128">
        <f>IFERROR(AU123*$V123,)</f>
        <v/>
      </c>
      <c r="DH123" s="128">
        <f>IFERROR(AV123*$V123,)</f>
        <v/>
      </c>
      <c r="DI123" s="128">
        <f>IFERROR(AW123*$V123,)</f>
        <v/>
      </c>
      <c r="DJ123" s="128">
        <f>IFERROR(AX123*$V123,)</f>
        <v/>
      </c>
      <c r="DK123" s="128">
        <f>IFERROR(AY123*$V123,)</f>
        <v/>
      </c>
      <c r="DL123" s="128">
        <f>IFERROR(AZ123*$V123,)</f>
        <v/>
      </c>
      <c r="DM123" s="129">
        <f>IFERROR(if($X123=0,($V123/1.2)*BA123,
BA123*$X123),)</f>
        <v/>
      </c>
      <c r="DN123" s="129">
        <f>IFERROR(if($X123=0,($V123/1.2)*BB123,
BB123*$X123),)</f>
        <v/>
      </c>
      <c r="DO123" s="129">
        <f>IFERROR(if($X123=0,($V123/1.2)*BC123,
BC123*$X123),)</f>
        <v/>
      </c>
      <c r="DP123" s="130">
        <f>IFERROR(if($Z123=0,($V123/1.35)*BD123,
BD123*$Z123),)</f>
        <v/>
      </c>
      <c r="DQ123" s="130">
        <f>IFERROR(if($Z123=0,($V123/1.35)*BE123,
BE123*$Z123),)</f>
        <v/>
      </c>
      <c r="DR123" s="130">
        <f>IFERROR(if($Z123=0,($V123/1.35)*BF123,
BF123*$Z123),)</f>
        <v/>
      </c>
      <c r="DS123" s="128">
        <f>IFERROR(IF($AB123=0,($V123/0.74)*BG123,
BG123*$AB123),)</f>
        <v/>
      </c>
      <c r="DT123" s="128">
        <f>IFERROR(IF($AB123=0,($V123/0.74)*BH123,
BH123*$AB123),)</f>
        <v/>
      </c>
      <c r="DU123" s="128">
        <f>IFERROR(IF($AB123=0,($V123/0.74)*BI123,
BI123*$AB123),)</f>
        <v/>
      </c>
    </row>
    <row r="124" ht="131.25" customHeight="1" s="162">
      <c r="A124" s="115" t="n"/>
      <c r="B124" s="115" t="n"/>
      <c r="C124" s="115" t="n"/>
      <c r="D124" s="115" t="n"/>
      <c r="E124" s="115" t="n"/>
      <c r="F124" s="115" t="n"/>
      <c r="G124" s="115" t="n"/>
      <c r="H124" s="115" t="n"/>
      <c r="I124" s="115" t="n"/>
      <c r="J124" s="115" t="n"/>
      <c r="K124" s="115" t="n"/>
      <c r="L124" s="115" t="n"/>
      <c r="M124" s="115" t="n"/>
      <c r="N124" s="115" t="n"/>
      <c r="O124" s="115" t="n"/>
      <c r="P124" s="115" t="n"/>
      <c r="Q124" s="115" t="n"/>
      <c r="R124" s="115" t="n"/>
      <c r="S124" s="115" t="n"/>
      <c r="T124" s="115" t="n"/>
      <c r="U124" s="116" t="n"/>
      <c r="V124" s="116" t="n"/>
      <c r="W124" s="117" t="n"/>
      <c r="X124" s="118" t="n"/>
      <c r="Y124" s="119" t="n"/>
      <c r="Z124" s="120" t="n"/>
      <c r="AA124" s="121" t="n"/>
      <c r="AB124" s="122" t="n"/>
      <c r="AC124" s="117" t="n"/>
      <c r="AD124" s="123">
        <f>IF(SUM($AE124:$AH124)=0,"",SUM($AE124:$AH124))</f>
        <v/>
      </c>
      <c r="AE124" s="123">
        <f>iferror(IF(SUM($AI124:$AZ124)=0,"",SUM($AI124:$AZ124)),"")</f>
        <v/>
      </c>
      <c r="AF124" s="123">
        <f>iferror(IF(SUM($BA124:$BC124)=0,"",SUM($BA124:$BC124)),"")</f>
        <v/>
      </c>
      <c r="AG124" s="123">
        <f>iferror(IF(SUM($BD124:$BF124)=0,"",SUM($BD124:$BF124)),"")</f>
        <v/>
      </c>
      <c r="AH124" s="124">
        <f>iferror(IF(SUM($BG124:$BI124)=0,"",SUM($BG124:$BI124)),"")</f>
        <v/>
      </c>
      <c r="AI124" s="131" t="n"/>
      <c r="AJ124" s="132" t="n"/>
      <c r="AK124" s="132" t="n"/>
      <c r="AL124" s="132" t="n"/>
      <c r="AM124" s="132" t="n"/>
      <c r="AN124" s="132" t="n"/>
      <c r="AO124" s="132" t="n"/>
      <c r="AP124" s="132" t="n"/>
      <c r="AQ124" s="132" t="n"/>
      <c r="AR124" s="132" t="n"/>
      <c r="AS124" s="132" t="n"/>
      <c r="AT124" s="132" t="n"/>
      <c r="AU124" s="132" t="n"/>
      <c r="AV124" s="132" t="n"/>
      <c r="AW124" s="132" t="n"/>
      <c r="AX124" s="132" t="n"/>
      <c r="AY124" s="132" t="n"/>
      <c r="AZ124" s="133" t="n"/>
      <c r="BA124" s="131" t="n"/>
      <c r="BB124" s="132" t="n"/>
      <c r="BC124" s="133" t="n"/>
      <c r="BD124" s="131" t="n"/>
      <c r="BE124" s="132" t="n"/>
      <c r="BF124" s="133" t="n"/>
      <c r="BG124" s="131" t="n"/>
      <c r="BH124" s="132" t="n"/>
      <c r="BI124" s="132" t="n"/>
      <c r="BJ124" s="128">
        <f>iferror(SUM($BK124,($BL124*1.2),($BM124*1.35),($BN124*0.74)),)</f>
        <v/>
      </c>
      <c r="BK124" s="128">
        <f>IFERROR(SUM($BT124:$CK124),)</f>
        <v/>
      </c>
      <c r="BL124" s="129">
        <f>IFERROR(SUM($CL124:$CN124),)</f>
        <v/>
      </c>
      <c r="BM124" s="130">
        <f>IFERROR(SUM($CO124:$CQ124),)</f>
        <v/>
      </c>
      <c r="BN124" s="128">
        <f>IFERROR(SUM($CR124:$CT124),)</f>
        <v/>
      </c>
      <c r="BO124" s="128">
        <f>iferror(SUM($BP124,($BQ124*1.2),($BR124*1.35),($BS124*0.74)),)</f>
        <v/>
      </c>
      <c r="BP124" s="128">
        <f>IFERROR(SUM($CU124:$DL124),)</f>
        <v/>
      </c>
      <c r="BQ124" s="128">
        <f>IFERROR(SUM($DM124:$DO124),)</f>
        <v/>
      </c>
      <c r="BR124" s="128">
        <f>IFERROR(SUM($DP124:$DR124),)</f>
        <v/>
      </c>
      <c r="BS124" s="128">
        <f>IFERROR(SUM($DS124:$DU124),)</f>
        <v/>
      </c>
      <c r="BT124" s="128">
        <f>IFERROR(AI124*$W124,)</f>
        <v/>
      </c>
      <c r="BU124" s="128">
        <f>IFERROR(AJ124*$W124,)</f>
        <v/>
      </c>
      <c r="BV124" s="128">
        <f>IFERROR(AK124*$W124,)</f>
        <v/>
      </c>
      <c r="BW124" s="128">
        <f>IFERROR(AL124*$W124,)</f>
        <v/>
      </c>
      <c r="BX124" s="128">
        <f>IFERROR(AM124*$W124,)</f>
        <v/>
      </c>
      <c r="BY124" s="128">
        <f>IFERROR(AN124*$W124,)</f>
        <v/>
      </c>
      <c r="BZ124" s="128">
        <f>IFERROR(AO124*$W124,)</f>
        <v/>
      </c>
      <c r="CA124" s="128">
        <f>IFERROR(AP124*$W124,)</f>
        <v/>
      </c>
      <c r="CB124" s="128">
        <f>IFERROR(AQ124*$W124,)</f>
        <v/>
      </c>
      <c r="CC124" s="128">
        <f>IFERROR(AR124*$W124,)</f>
        <v/>
      </c>
      <c r="CD124" s="128">
        <f>IFERROR(AS124*$W124,)</f>
        <v/>
      </c>
      <c r="CE124" s="128">
        <f>IFERROR(AT124*$W124,)</f>
        <v/>
      </c>
      <c r="CF124" s="128">
        <f>IFERROR(AU124*$W124,)</f>
        <v/>
      </c>
      <c r="CG124" s="128">
        <f>IFERROR(AV124*$W124,)</f>
        <v/>
      </c>
      <c r="CH124" s="128">
        <f>IFERROR(AW124*$W124,)</f>
        <v/>
      </c>
      <c r="CI124" s="128">
        <f>IFERROR(AX124*$W124,)</f>
        <v/>
      </c>
      <c r="CJ124" s="128">
        <f>IFERROR(AY124*$W124,)</f>
        <v/>
      </c>
      <c r="CK124" s="128">
        <f>IFERROR(AZ124*$W124,)</f>
        <v/>
      </c>
      <c r="CL124" s="129">
        <f>IFERROR(if($Y124=0,BA124*($W124/1.2),BA124*$Y124),"")</f>
        <v/>
      </c>
      <c r="CM124" s="129">
        <f>IFERROR(if($Y124=0,BB124*($W124/1.2),BB124*$Y124),"")</f>
        <v/>
      </c>
      <c r="CN124" s="129">
        <f>IFERROR(if($Y124=0,BC124*($W124/1.2),BC124*$Y124),"")</f>
        <v/>
      </c>
      <c r="CO124" s="130">
        <f>IFERROR(if($AA124=0,($W124/1.35)*BD124,BD124*$AA124),)</f>
        <v/>
      </c>
      <c r="CP124" s="130">
        <f>IFERROR(if($AA124=0,($W124/1.35)*BE124,BE124*$AA124),)</f>
        <v/>
      </c>
      <c r="CQ124" s="130">
        <f>IFERROR(if($AA124=0,($W124/1.35)*BF124,BF124*$AA124),)</f>
        <v/>
      </c>
      <c r="CR124" s="128">
        <f>IFERROR(if($AC124=0,($W124/0.74)*BG124,
BG124*$AC124),)</f>
        <v/>
      </c>
      <c r="CS124" s="128">
        <f>IFERROR(if($AC124=0,($W124/0.74)*BH124,
BH124*$AC124),)</f>
        <v/>
      </c>
      <c r="CT124" s="128">
        <f>IFERROR(if($AC124=0,($W124/0.74)*BI124,
BI124*$AC124),)</f>
        <v/>
      </c>
      <c r="CU124" s="128">
        <f>IFERROR(AI124*$V124,)</f>
        <v/>
      </c>
      <c r="CV124" s="128">
        <f>IFERROR(AJ124*$V124,)</f>
        <v/>
      </c>
      <c r="CW124" s="128">
        <f>IFERROR(AK124*$V124,)</f>
        <v/>
      </c>
      <c r="CX124" s="128">
        <f>IFERROR(AL124*$V124,)</f>
        <v/>
      </c>
      <c r="CY124" s="128">
        <f>IFERROR(AM124*$V124,)</f>
        <v/>
      </c>
      <c r="CZ124" s="128">
        <f>IFERROR(AN124*$V124,)</f>
        <v/>
      </c>
      <c r="DA124" s="128">
        <f>IFERROR(AO124*$V124,)</f>
        <v/>
      </c>
      <c r="DB124" s="128">
        <f>IFERROR(AP124*$V124,)</f>
        <v/>
      </c>
      <c r="DC124" s="128">
        <f>IFERROR(AQ124*$V124,)</f>
        <v/>
      </c>
      <c r="DD124" s="128">
        <f>IFERROR(AR124*$V124,)</f>
        <v/>
      </c>
      <c r="DE124" s="128">
        <f>IFERROR(AS124*$V124,)</f>
        <v/>
      </c>
      <c r="DF124" s="128">
        <f>IFERROR(AT124*$V124,)</f>
        <v/>
      </c>
      <c r="DG124" s="128">
        <f>IFERROR(AU124*$V124,)</f>
        <v/>
      </c>
      <c r="DH124" s="128">
        <f>IFERROR(AV124*$V124,)</f>
        <v/>
      </c>
      <c r="DI124" s="128">
        <f>IFERROR(AW124*$V124,)</f>
        <v/>
      </c>
      <c r="DJ124" s="128">
        <f>IFERROR(AX124*$V124,)</f>
        <v/>
      </c>
      <c r="DK124" s="128">
        <f>IFERROR(AY124*$V124,)</f>
        <v/>
      </c>
      <c r="DL124" s="128">
        <f>IFERROR(AZ124*$V124,)</f>
        <v/>
      </c>
      <c r="DM124" s="129">
        <f>IFERROR(if($X124=0,($V124/1.2)*BA124,
BA124*$X124),)</f>
        <v/>
      </c>
      <c r="DN124" s="129">
        <f>IFERROR(if($X124=0,($V124/1.2)*BB124,
BB124*$X124),)</f>
        <v/>
      </c>
      <c r="DO124" s="129">
        <f>IFERROR(if($X124=0,($V124/1.2)*BC124,
BC124*$X124),)</f>
        <v/>
      </c>
      <c r="DP124" s="130">
        <f>IFERROR(if($Z124=0,($V124/1.35)*BD124,
BD124*$Z124),)</f>
        <v/>
      </c>
      <c r="DQ124" s="130">
        <f>IFERROR(if($Z124=0,($V124/1.35)*BE124,
BE124*$Z124),)</f>
        <v/>
      </c>
      <c r="DR124" s="130">
        <f>IFERROR(if($Z124=0,($V124/1.35)*BF124,
BF124*$Z124),)</f>
        <v/>
      </c>
      <c r="DS124" s="128">
        <f>IFERROR(IF($AB124=0,($V124/0.74)*BG124,
BG124*$AB124),)</f>
        <v/>
      </c>
      <c r="DT124" s="128">
        <f>IFERROR(IF($AB124=0,($V124/0.74)*BH124,
BH124*$AB124),)</f>
        <v/>
      </c>
      <c r="DU124" s="128">
        <f>IFERROR(IF($AB124=0,($V124/0.74)*BI124,
BI124*$AB124),)</f>
        <v/>
      </c>
    </row>
    <row r="125" ht="131.25" customHeight="1" s="162">
      <c r="A125" s="115" t="n"/>
      <c r="B125" s="115" t="n"/>
      <c r="C125" s="115" t="n"/>
      <c r="D125" s="115" t="n"/>
      <c r="E125" s="115" t="n"/>
      <c r="F125" s="115" t="n"/>
      <c r="G125" s="115" t="n"/>
      <c r="H125" s="115" t="n"/>
      <c r="I125" s="115" t="n"/>
      <c r="J125" s="115" t="n"/>
      <c r="K125" s="115" t="n"/>
      <c r="L125" s="115" t="n"/>
      <c r="M125" s="115" t="n"/>
      <c r="N125" s="115" t="n"/>
      <c r="O125" s="115" t="n"/>
      <c r="P125" s="115" t="n"/>
      <c r="Q125" s="115" t="n"/>
      <c r="R125" s="115" t="n"/>
      <c r="S125" s="115" t="n"/>
      <c r="T125" s="115" t="n"/>
      <c r="U125" s="116" t="n"/>
      <c r="V125" s="116" t="n"/>
      <c r="W125" s="117" t="n"/>
      <c r="X125" s="118" t="n"/>
      <c r="Y125" s="119" t="n"/>
      <c r="Z125" s="120" t="n"/>
      <c r="AA125" s="121" t="n"/>
      <c r="AB125" s="122" t="n"/>
      <c r="AC125" s="117" t="n"/>
      <c r="AD125" s="123">
        <f>IF(SUM($AE125:$AH125)=0,"",SUM($AE125:$AH125))</f>
        <v/>
      </c>
      <c r="AE125" s="123">
        <f>iferror(IF(SUM($AI125:$AZ125)=0,"",SUM($AI125:$AZ125)),"")</f>
        <v/>
      </c>
      <c r="AF125" s="123">
        <f>iferror(IF(SUM($BA125:$BC125)=0,"",SUM($BA125:$BC125)),"")</f>
        <v/>
      </c>
      <c r="AG125" s="123">
        <f>iferror(IF(SUM($BD125:$BF125)=0,"",SUM($BD125:$BF125)),"")</f>
        <v/>
      </c>
      <c r="AH125" s="124">
        <f>iferror(IF(SUM($BG125:$BI125)=0,"",SUM($BG125:$BI125)),"")</f>
        <v/>
      </c>
      <c r="AI125" s="131" t="n"/>
      <c r="AJ125" s="132" t="n"/>
      <c r="AK125" s="132" t="n"/>
      <c r="AL125" s="132" t="n"/>
      <c r="AM125" s="132" t="n"/>
      <c r="AN125" s="132" t="n"/>
      <c r="AO125" s="132" t="n"/>
      <c r="AP125" s="132" t="n"/>
      <c r="AQ125" s="132" t="n"/>
      <c r="AR125" s="132" t="n"/>
      <c r="AS125" s="132" t="n"/>
      <c r="AT125" s="132" t="n"/>
      <c r="AU125" s="132" t="n"/>
      <c r="AV125" s="132" t="n"/>
      <c r="AW125" s="132" t="n"/>
      <c r="AX125" s="132" t="n"/>
      <c r="AY125" s="132" t="n"/>
      <c r="AZ125" s="133" t="n"/>
      <c r="BA125" s="131" t="n"/>
      <c r="BB125" s="132" t="n"/>
      <c r="BC125" s="133" t="n"/>
      <c r="BD125" s="131" t="n"/>
      <c r="BE125" s="132" t="n"/>
      <c r="BF125" s="133" t="n"/>
      <c r="BG125" s="131" t="n"/>
      <c r="BH125" s="132" t="n"/>
      <c r="BI125" s="132" t="n"/>
      <c r="BJ125" s="128">
        <f>iferror(SUM($BK125,($BL125*1.2),($BM125*1.35),($BN125*0.74)),)</f>
        <v/>
      </c>
      <c r="BK125" s="128">
        <f>IFERROR(SUM($BT125:$CK125),)</f>
        <v/>
      </c>
      <c r="BL125" s="129">
        <f>IFERROR(SUM($CL125:$CN125),)</f>
        <v/>
      </c>
      <c r="BM125" s="130">
        <f>IFERROR(SUM($CO125:$CQ125),)</f>
        <v/>
      </c>
      <c r="BN125" s="128">
        <f>IFERROR(SUM($CR125:$CT125),)</f>
        <v/>
      </c>
      <c r="BO125" s="128">
        <f>iferror(SUM($BP125,($BQ125*1.2),($BR125*1.35),($BS125*0.74)),)</f>
        <v/>
      </c>
      <c r="BP125" s="128">
        <f>IFERROR(SUM($CU125:$DL125),)</f>
        <v/>
      </c>
      <c r="BQ125" s="128">
        <f>IFERROR(SUM($DM125:$DO125),)</f>
        <v/>
      </c>
      <c r="BR125" s="128">
        <f>IFERROR(SUM($DP125:$DR125),)</f>
        <v/>
      </c>
      <c r="BS125" s="128">
        <f>IFERROR(SUM($DS125:$DU125),)</f>
        <v/>
      </c>
      <c r="BT125" s="128">
        <f>IFERROR(AI125*$W125,)</f>
        <v/>
      </c>
      <c r="BU125" s="128">
        <f>IFERROR(AJ125*$W125,)</f>
        <v/>
      </c>
      <c r="BV125" s="128">
        <f>IFERROR(AK125*$W125,)</f>
        <v/>
      </c>
      <c r="BW125" s="128">
        <f>IFERROR(AL125*$W125,)</f>
        <v/>
      </c>
      <c r="BX125" s="128">
        <f>IFERROR(AM125*$W125,)</f>
        <v/>
      </c>
      <c r="BY125" s="128">
        <f>IFERROR(AN125*$W125,)</f>
        <v/>
      </c>
      <c r="BZ125" s="128">
        <f>IFERROR(AO125*$W125,)</f>
        <v/>
      </c>
      <c r="CA125" s="128">
        <f>IFERROR(AP125*$W125,)</f>
        <v/>
      </c>
      <c r="CB125" s="128">
        <f>IFERROR(AQ125*$W125,)</f>
        <v/>
      </c>
      <c r="CC125" s="128">
        <f>IFERROR(AR125*$W125,)</f>
        <v/>
      </c>
      <c r="CD125" s="128">
        <f>IFERROR(AS125*$W125,)</f>
        <v/>
      </c>
      <c r="CE125" s="128">
        <f>IFERROR(AT125*$W125,)</f>
        <v/>
      </c>
      <c r="CF125" s="128">
        <f>IFERROR(AU125*$W125,)</f>
        <v/>
      </c>
      <c r="CG125" s="128">
        <f>IFERROR(AV125*$W125,)</f>
        <v/>
      </c>
      <c r="CH125" s="128">
        <f>IFERROR(AW125*$W125,)</f>
        <v/>
      </c>
      <c r="CI125" s="128">
        <f>IFERROR(AX125*$W125,)</f>
        <v/>
      </c>
      <c r="CJ125" s="128">
        <f>IFERROR(AY125*$W125,)</f>
        <v/>
      </c>
      <c r="CK125" s="128">
        <f>IFERROR(AZ125*$W125,)</f>
        <v/>
      </c>
      <c r="CL125" s="129">
        <f>IFERROR(if($Y125=0,BA125*($W125/1.2),BA125*$Y125),"")</f>
        <v/>
      </c>
      <c r="CM125" s="129">
        <f>IFERROR(if($Y125=0,BB125*($W125/1.2),BB125*$Y125),"")</f>
        <v/>
      </c>
      <c r="CN125" s="129">
        <f>IFERROR(if($Y125=0,BC125*($W125/1.2),BC125*$Y125),"")</f>
        <v/>
      </c>
      <c r="CO125" s="130">
        <f>IFERROR(if($AA125=0,($W125/1.35)*BD125,BD125*$AA125),)</f>
        <v/>
      </c>
      <c r="CP125" s="130">
        <f>IFERROR(if($AA125=0,($W125/1.35)*BE125,BE125*$AA125),)</f>
        <v/>
      </c>
      <c r="CQ125" s="130">
        <f>IFERROR(if($AA125=0,($W125/1.35)*BF125,BF125*$AA125),)</f>
        <v/>
      </c>
      <c r="CR125" s="128">
        <f>IFERROR(if($AC125=0,($W125/0.74)*BG125,
BG125*$AC125),)</f>
        <v/>
      </c>
      <c r="CS125" s="128">
        <f>IFERROR(if($AC125=0,($W125/0.74)*BH125,
BH125*$AC125),)</f>
        <v/>
      </c>
      <c r="CT125" s="128">
        <f>IFERROR(if($AC125=0,($W125/0.74)*BI125,
BI125*$AC125),)</f>
        <v/>
      </c>
      <c r="CU125" s="128">
        <f>IFERROR(AI125*$V125,)</f>
        <v/>
      </c>
      <c r="CV125" s="128">
        <f>IFERROR(AJ125*$V125,)</f>
        <v/>
      </c>
      <c r="CW125" s="128">
        <f>IFERROR(AK125*$V125,)</f>
        <v/>
      </c>
      <c r="CX125" s="128">
        <f>IFERROR(AL125*$V125,)</f>
        <v/>
      </c>
      <c r="CY125" s="128">
        <f>IFERROR(AM125*$V125,)</f>
        <v/>
      </c>
      <c r="CZ125" s="128">
        <f>IFERROR(AN125*$V125,)</f>
        <v/>
      </c>
      <c r="DA125" s="128">
        <f>IFERROR(AO125*$V125,)</f>
        <v/>
      </c>
      <c r="DB125" s="128">
        <f>IFERROR(AP125*$V125,)</f>
        <v/>
      </c>
      <c r="DC125" s="128">
        <f>IFERROR(AQ125*$V125,)</f>
        <v/>
      </c>
      <c r="DD125" s="128">
        <f>IFERROR(AR125*$V125,)</f>
        <v/>
      </c>
      <c r="DE125" s="128">
        <f>IFERROR(AS125*$V125,)</f>
        <v/>
      </c>
      <c r="DF125" s="128">
        <f>IFERROR(AT125*$V125,)</f>
        <v/>
      </c>
      <c r="DG125" s="128">
        <f>IFERROR(AU125*$V125,)</f>
        <v/>
      </c>
      <c r="DH125" s="128">
        <f>IFERROR(AV125*$V125,)</f>
        <v/>
      </c>
      <c r="DI125" s="128">
        <f>IFERROR(AW125*$V125,)</f>
        <v/>
      </c>
      <c r="DJ125" s="128">
        <f>IFERROR(AX125*$V125,)</f>
        <v/>
      </c>
      <c r="DK125" s="128">
        <f>IFERROR(AY125*$V125,)</f>
        <v/>
      </c>
      <c r="DL125" s="128">
        <f>IFERROR(AZ125*$V125,)</f>
        <v/>
      </c>
      <c r="DM125" s="129">
        <f>IFERROR(if($X125=0,($V125/1.2)*BA125,
BA125*$X125),)</f>
        <v/>
      </c>
      <c r="DN125" s="129">
        <f>IFERROR(if($X125=0,($V125/1.2)*BB125,
BB125*$X125),)</f>
        <v/>
      </c>
      <c r="DO125" s="129">
        <f>IFERROR(if($X125=0,($V125/1.2)*BC125,
BC125*$X125),)</f>
        <v/>
      </c>
      <c r="DP125" s="130">
        <f>IFERROR(if($Z125=0,($V125/1.35)*BD125,
BD125*$Z125),)</f>
        <v/>
      </c>
      <c r="DQ125" s="130">
        <f>IFERROR(if($Z125=0,($V125/1.35)*BE125,
BE125*$Z125),)</f>
        <v/>
      </c>
      <c r="DR125" s="130">
        <f>IFERROR(if($Z125=0,($V125/1.35)*BF125,
BF125*$Z125),)</f>
        <v/>
      </c>
      <c r="DS125" s="128">
        <f>IFERROR(IF($AB125=0,($V125/0.74)*BG125,
BG125*$AB125),)</f>
        <v/>
      </c>
      <c r="DT125" s="128">
        <f>IFERROR(IF($AB125=0,($V125/0.74)*BH125,
BH125*$AB125),)</f>
        <v/>
      </c>
      <c r="DU125" s="128">
        <f>IFERROR(IF($AB125=0,($V125/0.74)*BI125,
BI125*$AB125),)</f>
        <v/>
      </c>
    </row>
    <row r="126" ht="131.25" customHeight="1" s="162">
      <c r="A126" s="115" t="n"/>
      <c r="B126" s="115" t="n"/>
      <c r="C126" s="115" t="n"/>
      <c r="D126" s="115" t="n"/>
      <c r="E126" s="115" t="n"/>
      <c r="F126" s="115" t="n"/>
      <c r="G126" s="115" t="n"/>
      <c r="H126" s="115" t="n"/>
      <c r="I126" s="115" t="n"/>
      <c r="J126" s="115" t="n"/>
      <c r="K126" s="115" t="n"/>
      <c r="L126" s="115" t="n"/>
      <c r="M126" s="115" t="n"/>
      <c r="N126" s="115" t="n"/>
      <c r="O126" s="115" t="n"/>
      <c r="P126" s="115" t="n"/>
      <c r="Q126" s="115" t="n"/>
      <c r="R126" s="115" t="n"/>
      <c r="S126" s="115" t="n"/>
      <c r="T126" s="115" t="n"/>
      <c r="U126" s="116" t="n"/>
      <c r="V126" s="116" t="n"/>
      <c r="W126" s="117" t="n"/>
      <c r="X126" s="118" t="n"/>
      <c r="Y126" s="119" t="n"/>
      <c r="Z126" s="120" t="n"/>
      <c r="AA126" s="121" t="n"/>
      <c r="AB126" s="122" t="n"/>
      <c r="AC126" s="117" t="n"/>
      <c r="AD126" s="123">
        <f>IF(SUM($AE126:$AH126)=0,"",SUM($AE126:$AH126))</f>
        <v/>
      </c>
      <c r="AE126" s="123">
        <f>iferror(IF(SUM($AI126:$AZ126)=0,"",SUM($AI126:$AZ126)),"")</f>
        <v/>
      </c>
      <c r="AF126" s="123">
        <f>iferror(IF(SUM($BA126:$BC126)=0,"",SUM($BA126:$BC126)),"")</f>
        <v/>
      </c>
      <c r="AG126" s="123">
        <f>iferror(IF(SUM($BD126:$BF126)=0,"",SUM($BD126:$BF126)),"")</f>
        <v/>
      </c>
      <c r="AH126" s="124">
        <f>iferror(IF(SUM($BG126:$BI126)=0,"",SUM($BG126:$BI126)),"")</f>
        <v/>
      </c>
      <c r="AI126" s="131" t="n"/>
      <c r="AJ126" s="132" t="n"/>
      <c r="AK126" s="132" t="n"/>
      <c r="AL126" s="132" t="n"/>
      <c r="AM126" s="132" t="n"/>
      <c r="AN126" s="132" t="n"/>
      <c r="AO126" s="132" t="n"/>
      <c r="AP126" s="132" t="n"/>
      <c r="AQ126" s="132" t="n"/>
      <c r="AR126" s="132" t="n"/>
      <c r="AS126" s="132" t="n"/>
      <c r="AT126" s="132" t="n"/>
      <c r="AU126" s="132" t="n"/>
      <c r="AV126" s="132" t="n"/>
      <c r="AW126" s="132" t="n"/>
      <c r="AX126" s="132" t="n"/>
      <c r="AY126" s="132" t="n"/>
      <c r="AZ126" s="133" t="n"/>
      <c r="BA126" s="131" t="n"/>
      <c r="BB126" s="132" t="n"/>
      <c r="BC126" s="133" t="n"/>
      <c r="BD126" s="131" t="n"/>
      <c r="BE126" s="132" t="n"/>
      <c r="BF126" s="133" t="n"/>
      <c r="BG126" s="131" t="n"/>
      <c r="BH126" s="132" t="n"/>
      <c r="BI126" s="132" t="n"/>
      <c r="BJ126" s="128">
        <f>iferror(SUM($BK126,($BL126*1.2),($BM126*1.35),($BN126*0.74)),)</f>
        <v/>
      </c>
      <c r="BK126" s="128">
        <f>IFERROR(SUM($BT126:$CK126),)</f>
        <v/>
      </c>
      <c r="BL126" s="129">
        <f>IFERROR(SUM($CL126:$CN126),)</f>
        <v/>
      </c>
      <c r="BM126" s="130">
        <f>IFERROR(SUM($CO126:$CQ126),)</f>
        <v/>
      </c>
      <c r="BN126" s="128">
        <f>IFERROR(SUM($CR126:$CT126),)</f>
        <v/>
      </c>
      <c r="BO126" s="128">
        <f>iferror(SUM($BP126,($BQ126*1.2),($BR126*1.35),($BS126*0.74)),)</f>
        <v/>
      </c>
      <c r="BP126" s="128">
        <f>IFERROR(SUM($CU126:$DL126),)</f>
        <v/>
      </c>
      <c r="BQ126" s="128">
        <f>IFERROR(SUM($DM126:$DO126),)</f>
        <v/>
      </c>
      <c r="BR126" s="128">
        <f>IFERROR(SUM($DP126:$DR126),)</f>
        <v/>
      </c>
      <c r="BS126" s="128">
        <f>IFERROR(SUM($DS126:$DU126),)</f>
        <v/>
      </c>
      <c r="BT126" s="128">
        <f>IFERROR(AI126*$W126,)</f>
        <v/>
      </c>
      <c r="BU126" s="128">
        <f>IFERROR(AJ126*$W126,)</f>
        <v/>
      </c>
      <c r="BV126" s="128">
        <f>IFERROR(AK126*$W126,)</f>
        <v/>
      </c>
      <c r="BW126" s="128">
        <f>IFERROR(AL126*$W126,)</f>
        <v/>
      </c>
      <c r="BX126" s="128">
        <f>IFERROR(AM126*$W126,)</f>
        <v/>
      </c>
      <c r="BY126" s="128">
        <f>IFERROR(AN126*$W126,)</f>
        <v/>
      </c>
      <c r="BZ126" s="128">
        <f>IFERROR(AO126*$W126,)</f>
        <v/>
      </c>
      <c r="CA126" s="128">
        <f>IFERROR(AP126*$W126,)</f>
        <v/>
      </c>
      <c r="CB126" s="128">
        <f>IFERROR(AQ126*$W126,)</f>
        <v/>
      </c>
      <c r="CC126" s="128">
        <f>IFERROR(AR126*$W126,)</f>
        <v/>
      </c>
      <c r="CD126" s="128">
        <f>IFERROR(AS126*$W126,)</f>
        <v/>
      </c>
      <c r="CE126" s="128">
        <f>IFERROR(AT126*$W126,)</f>
        <v/>
      </c>
      <c r="CF126" s="128">
        <f>IFERROR(AU126*$W126,)</f>
        <v/>
      </c>
      <c r="CG126" s="128">
        <f>IFERROR(AV126*$W126,)</f>
        <v/>
      </c>
      <c r="CH126" s="128">
        <f>IFERROR(AW126*$W126,)</f>
        <v/>
      </c>
      <c r="CI126" s="128">
        <f>IFERROR(AX126*$W126,)</f>
        <v/>
      </c>
      <c r="CJ126" s="128">
        <f>IFERROR(AY126*$W126,)</f>
        <v/>
      </c>
      <c r="CK126" s="128">
        <f>IFERROR(AZ126*$W126,)</f>
        <v/>
      </c>
      <c r="CL126" s="129">
        <f>IFERROR(if($Y126=0,BA126*($W126/1.2),BA126*$Y126),"")</f>
        <v/>
      </c>
      <c r="CM126" s="129">
        <f>IFERROR(if($Y126=0,BB126*($W126/1.2),BB126*$Y126),"")</f>
        <v/>
      </c>
      <c r="CN126" s="129">
        <f>IFERROR(if($Y126=0,BC126*($W126/1.2),BC126*$Y126),"")</f>
        <v/>
      </c>
      <c r="CO126" s="130">
        <f>IFERROR(if($AA126=0,($W126/1.35)*BD126,BD126*$AA126),)</f>
        <v/>
      </c>
      <c r="CP126" s="130">
        <f>IFERROR(if($AA126=0,($W126/1.35)*BE126,BE126*$AA126),)</f>
        <v/>
      </c>
      <c r="CQ126" s="130">
        <f>IFERROR(if($AA126=0,($W126/1.35)*BF126,BF126*$AA126),)</f>
        <v/>
      </c>
      <c r="CR126" s="128">
        <f>IFERROR(if($AC126=0,($W126/0.74)*BG126,
BG126*$AC126),)</f>
        <v/>
      </c>
      <c r="CS126" s="128">
        <f>IFERROR(if($AC126=0,($W126/0.74)*BH126,
BH126*$AC126),)</f>
        <v/>
      </c>
      <c r="CT126" s="128">
        <f>IFERROR(if($AC126=0,($W126/0.74)*BI126,
BI126*$AC126),)</f>
        <v/>
      </c>
      <c r="CU126" s="128">
        <f>IFERROR(AI126*$V126,)</f>
        <v/>
      </c>
      <c r="CV126" s="128">
        <f>IFERROR(AJ126*$V126,)</f>
        <v/>
      </c>
      <c r="CW126" s="128">
        <f>IFERROR(AK126*$V126,)</f>
        <v/>
      </c>
      <c r="CX126" s="128">
        <f>IFERROR(AL126*$V126,)</f>
        <v/>
      </c>
      <c r="CY126" s="128">
        <f>IFERROR(AM126*$V126,)</f>
        <v/>
      </c>
      <c r="CZ126" s="128">
        <f>IFERROR(AN126*$V126,)</f>
        <v/>
      </c>
      <c r="DA126" s="128">
        <f>IFERROR(AO126*$V126,)</f>
        <v/>
      </c>
      <c r="DB126" s="128">
        <f>IFERROR(AP126*$V126,)</f>
        <v/>
      </c>
      <c r="DC126" s="128">
        <f>IFERROR(AQ126*$V126,)</f>
        <v/>
      </c>
      <c r="DD126" s="128">
        <f>IFERROR(AR126*$V126,)</f>
        <v/>
      </c>
      <c r="DE126" s="128">
        <f>IFERROR(AS126*$V126,)</f>
        <v/>
      </c>
      <c r="DF126" s="128">
        <f>IFERROR(AT126*$V126,)</f>
        <v/>
      </c>
      <c r="DG126" s="128">
        <f>IFERROR(AU126*$V126,)</f>
        <v/>
      </c>
      <c r="DH126" s="128">
        <f>IFERROR(AV126*$V126,)</f>
        <v/>
      </c>
      <c r="DI126" s="128">
        <f>IFERROR(AW126*$V126,)</f>
        <v/>
      </c>
      <c r="DJ126" s="128">
        <f>IFERROR(AX126*$V126,)</f>
        <v/>
      </c>
      <c r="DK126" s="128">
        <f>IFERROR(AY126*$V126,)</f>
        <v/>
      </c>
      <c r="DL126" s="128">
        <f>IFERROR(AZ126*$V126,)</f>
        <v/>
      </c>
      <c r="DM126" s="129">
        <f>IFERROR(if($X126=0,($V126/1.2)*BA126,
BA126*$X126),)</f>
        <v/>
      </c>
      <c r="DN126" s="129">
        <f>IFERROR(if($X126=0,($V126/1.2)*BB126,
BB126*$X126),)</f>
        <v/>
      </c>
      <c r="DO126" s="129">
        <f>IFERROR(if($X126=0,($V126/1.2)*BC126,
BC126*$X126),)</f>
        <v/>
      </c>
      <c r="DP126" s="130">
        <f>IFERROR(if($Z126=0,($V126/1.35)*BD126,
BD126*$Z126),)</f>
        <v/>
      </c>
      <c r="DQ126" s="130">
        <f>IFERROR(if($Z126=0,($V126/1.35)*BE126,
BE126*$Z126),)</f>
        <v/>
      </c>
      <c r="DR126" s="130">
        <f>IFERROR(if($Z126=0,($V126/1.35)*BF126,
BF126*$Z126),)</f>
        <v/>
      </c>
      <c r="DS126" s="128">
        <f>IFERROR(IF($AB126=0,($V126/0.74)*BG126,
BG126*$AB126),)</f>
        <v/>
      </c>
      <c r="DT126" s="128">
        <f>IFERROR(IF($AB126=0,($V126/0.74)*BH126,
BH126*$AB126),)</f>
        <v/>
      </c>
      <c r="DU126" s="128">
        <f>IFERROR(IF($AB126=0,($V126/0.74)*BI126,
BI126*$AB126),)</f>
        <v/>
      </c>
    </row>
    <row r="127" ht="131.25" customHeight="1" s="162">
      <c r="A127" s="115" t="n"/>
      <c r="B127" s="115" t="n"/>
      <c r="C127" s="115" t="n"/>
      <c r="D127" s="115" t="n"/>
      <c r="E127" s="115" t="n"/>
      <c r="F127" s="115" t="n"/>
      <c r="G127" s="115" t="n"/>
      <c r="H127" s="115" t="n"/>
      <c r="I127" s="115" t="n"/>
      <c r="J127" s="115" t="n"/>
      <c r="K127" s="115" t="n"/>
      <c r="L127" s="115" t="n"/>
      <c r="M127" s="115" t="n"/>
      <c r="N127" s="115" t="n"/>
      <c r="O127" s="115" t="n"/>
      <c r="P127" s="115" t="n"/>
      <c r="Q127" s="115" t="n"/>
      <c r="R127" s="115" t="n"/>
      <c r="S127" s="115" t="n"/>
      <c r="T127" s="115" t="n"/>
      <c r="U127" s="116" t="n"/>
      <c r="V127" s="116" t="n"/>
      <c r="W127" s="117" t="n"/>
      <c r="X127" s="118" t="n"/>
      <c r="Y127" s="119" t="n"/>
      <c r="Z127" s="120" t="n"/>
      <c r="AA127" s="121" t="n"/>
      <c r="AB127" s="122" t="n"/>
      <c r="AC127" s="117" t="n"/>
      <c r="AD127" s="123">
        <f>IF(SUM($AE127:$AH127)=0,"",SUM($AE127:$AH127))</f>
        <v/>
      </c>
      <c r="AE127" s="123">
        <f>iferror(IF(SUM($AI127:$AZ127)=0,"",SUM($AI127:$AZ127)),"")</f>
        <v/>
      </c>
      <c r="AF127" s="123">
        <f>iferror(IF(SUM($BA127:$BC127)=0,"",SUM($BA127:$BC127)),"")</f>
        <v/>
      </c>
      <c r="AG127" s="123">
        <f>iferror(IF(SUM($BD127:$BF127)=0,"",SUM($BD127:$BF127)),"")</f>
        <v/>
      </c>
      <c r="AH127" s="124">
        <f>iferror(IF(SUM($BG127:$BI127)=0,"",SUM($BG127:$BI127)),"")</f>
        <v/>
      </c>
      <c r="AI127" s="131" t="n"/>
      <c r="AJ127" s="132" t="n"/>
      <c r="AK127" s="132" t="n"/>
      <c r="AL127" s="132" t="n"/>
      <c r="AM127" s="132" t="n"/>
      <c r="AN127" s="132" t="n"/>
      <c r="AO127" s="132" t="n"/>
      <c r="AP127" s="132" t="n"/>
      <c r="AQ127" s="132" t="n"/>
      <c r="AR127" s="132" t="n"/>
      <c r="AS127" s="132" t="n"/>
      <c r="AT127" s="132" t="n"/>
      <c r="AU127" s="132" t="n"/>
      <c r="AV127" s="132" t="n"/>
      <c r="AW127" s="132" t="n"/>
      <c r="AX127" s="132" t="n"/>
      <c r="AY127" s="132" t="n"/>
      <c r="AZ127" s="133" t="n"/>
      <c r="BA127" s="131" t="n"/>
      <c r="BB127" s="132" t="n"/>
      <c r="BC127" s="133" t="n"/>
      <c r="BD127" s="131" t="n"/>
      <c r="BE127" s="132" t="n"/>
      <c r="BF127" s="133" t="n"/>
      <c r="BG127" s="131" t="n"/>
      <c r="BH127" s="132" t="n"/>
      <c r="BI127" s="132" t="n"/>
      <c r="BJ127" s="128">
        <f>iferror(SUM($BK127,($BL127*1.2),($BM127*1.35),($BN127*0.74)),)</f>
        <v/>
      </c>
      <c r="BK127" s="128">
        <f>IFERROR(SUM($BT127:$CK127),)</f>
        <v/>
      </c>
      <c r="BL127" s="129">
        <f>IFERROR(SUM($CL127:$CN127),)</f>
        <v/>
      </c>
      <c r="BM127" s="130">
        <f>IFERROR(SUM($CO127:$CQ127),)</f>
        <v/>
      </c>
      <c r="BN127" s="128">
        <f>IFERROR(SUM($CR127:$CT127),)</f>
        <v/>
      </c>
      <c r="BO127" s="128">
        <f>iferror(SUM($BP127,($BQ127*1.2),($BR127*1.35),($BS127*0.74)),)</f>
        <v/>
      </c>
      <c r="BP127" s="128">
        <f>IFERROR(SUM($CU127:$DL127),)</f>
        <v/>
      </c>
      <c r="BQ127" s="128">
        <f>IFERROR(SUM($DM127:$DO127),)</f>
        <v/>
      </c>
      <c r="BR127" s="128">
        <f>IFERROR(SUM($DP127:$DR127),)</f>
        <v/>
      </c>
      <c r="BS127" s="128">
        <f>IFERROR(SUM($DS127:$DU127),)</f>
        <v/>
      </c>
      <c r="BT127" s="128">
        <f>IFERROR(AI127*$W127,)</f>
        <v/>
      </c>
      <c r="BU127" s="128">
        <f>IFERROR(AJ127*$W127,)</f>
        <v/>
      </c>
      <c r="BV127" s="128">
        <f>IFERROR(AK127*$W127,)</f>
        <v/>
      </c>
      <c r="BW127" s="128">
        <f>IFERROR(AL127*$W127,)</f>
        <v/>
      </c>
      <c r="BX127" s="128">
        <f>IFERROR(AM127*$W127,)</f>
        <v/>
      </c>
      <c r="BY127" s="128">
        <f>IFERROR(AN127*$W127,)</f>
        <v/>
      </c>
      <c r="BZ127" s="128">
        <f>IFERROR(AO127*$W127,)</f>
        <v/>
      </c>
      <c r="CA127" s="128">
        <f>IFERROR(AP127*$W127,)</f>
        <v/>
      </c>
      <c r="CB127" s="128">
        <f>IFERROR(AQ127*$W127,)</f>
        <v/>
      </c>
      <c r="CC127" s="128">
        <f>IFERROR(AR127*$W127,)</f>
        <v/>
      </c>
      <c r="CD127" s="128">
        <f>IFERROR(AS127*$W127,)</f>
        <v/>
      </c>
      <c r="CE127" s="128">
        <f>IFERROR(AT127*$W127,)</f>
        <v/>
      </c>
      <c r="CF127" s="128">
        <f>IFERROR(AU127*$W127,)</f>
        <v/>
      </c>
      <c r="CG127" s="128">
        <f>IFERROR(AV127*$W127,)</f>
        <v/>
      </c>
      <c r="CH127" s="128">
        <f>IFERROR(AW127*$W127,)</f>
        <v/>
      </c>
      <c r="CI127" s="128">
        <f>IFERROR(AX127*$W127,)</f>
        <v/>
      </c>
      <c r="CJ127" s="128">
        <f>IFERROR(AY127*$W127,)</f>
        <v/>
      </c>
      <c r="CK127" s="128">
        <f>IFERROR(AZ127*$W127,)</f>
        <v/>
      </c>
      <c r="CL127" s="129">
        <f>IFERROR(if($Y127=0,BA127*($W127/1.2),BA127*$Y127),"")</f>
        <v/>
      </c>
      <c r="CM127" s="129">
        <f>IFERROR(if($Y127=0,BB127*($W127/1.2),BB127*$Y127),"")</f>
        <v/>
      </c>
      <c r="CN127" s="129">
        <f>IFERROR(if($Y127=0,BC127*($W127/1.2),BC127*$Y127),"")</f>
        <v/>
      </c>
      <c r="CO127" s="130">
        <f>IFERROR(if($AA127=0,($W127/1.35)*BD127,BD127*$AA127),)</f>
        <v/>
      </c>
      <c r="CP127" s="130">
        <f>IFERROR(if($AA127=0,($W127/1.35)*BE127,BE127*$AA127),)</f>
        <v/>
      </c>
      <c r="CQ127" s="130">
        <f>IFERROR(if($AA127=0,($W127/1.35)*BF127,BF127*$AA127),)</f>
        <v/>
      </c>
      <c r="CR127" s="128">
        <f>IFERROR(if($AC127=0,($W127/0.74)*BG127,
BG127*$AC127),)</f>
        <v/>
      </c>
      <c r="CS127" s="128">
        <f>IFERROR(if($AC127=0,($W127/0.74)*BH127,
BH127*$AC127),)</f>
        <v/>
      </c>
      <c r="CT127" s="128">
        <f>IFERROR(if($AC127=0,($W127/0.74)*BI127,
BI127*$AC127),)</f>
        <v/>
      </c>
      <c r="CU127" s="128">
        <f>IFERROR(AI127*$V127,)</f>
        <v/>
      </c>
      <c r="CV127" s="128">
        <f>IFERROR(AJ127*$V127,)</f>
        <v/>
      </c>
      <c r="CW127" s="128">
        <f>IFERROR(AK127*$V127,)</f>
        <v/>
      </c>
      <c r="CX127" s="128">
        <f>IFERROR(AL127*$V127,)</f>
        <v/>
      </c>
      <c r="CY127" s="128">
        <f>IFERROR(AM127*$V127,)</f>
        <v/>
      </c>
      <c r="CZ127" s="128">
        <f>IFERROR(AN127*$V127,)</f>
        <v/>
      </c>
      <c r="DA127" s="128">
        <f>IFERROR(AO127*$V127,)</f>
        <v/>
      </c>
      <c r="DB127" s="128">
        <f>IFERROR(AP127*$V127,)</f>
        <v/>
      </c>
      <c r="DC127" s="128">
        <f>IFERROR(AQ127*$V127,)</f>
        <v/>
      </c>
      <c r="DD127" s="128">
        <f>IFERROR(AR127*$V127,)</f>
        <v/>
      </c>
      <c r="DE127" s="128">
        <f>IFERROR(AS127*$V127,)</f>
        <v/>
      </c>
      <c r="DF127" s="128">
        <f>IFERROR(AT127*$V127,)</f>
        <v/>
      </c>
      <c r="DG127" s="128">
        <f>IFERROR(AU127*$V127,)</f>
        <v/>
      </c>
      <c r="DH127" s="128">
        <f>IFERROR(AV127*$V127,)</f>
        <v/>
      </c>
      <c r="DI127" s="128">
        <f>IFERROR(AW127*$V127,)</f>
        <v/>
      </c>
      <c r="DJ127" s="128">
        <f>IFERROR(AX127*$V127,)</f>
        <v/>
      </c>
      <c r="DK127" s="128">
        <f>IFERROR(AY127*$V127,)</f>
        <v/>
      </c>
      <c r="DL127" s="128">
        <f>IFERROR(AZ127*$V127,)</f>
        <v/>
      </c>
      <c r="DM127" s="129">
        <f>IFERROR(if($X127=0,($V127/1.2)*BA127,
BA127*$X127),)</f>
        <v/>
      </c>
      <c r="DN127" s="129">
        <f>IFERROR(if($X127=0,($V127/1.2)*BB127,
BB127*$X127),)</f>
        <v/>
      </c>
      <c r="DO127" s="129">
        <f>IFERROR(if($X127=0,($V127/1.2)*BC127,
BC127*$X127),)</f>
        <v/>
      </c>
      <c r="DP127" s="130">
        <f>IFERROR(if($Z127=0,($V127/1.35)*BD127,
BD127*$Z127),)</f>
        <v/>
      </c>
      <c r="DQ127" s="130">
        <f>IFERROR(if($Z127=0,($V127/1.35)*BE127,
BE127*$Z127),)</f>
        <v/>
      </c>
      <c r="DR127" s="130">
        <f>IFERROR(if($Z127=0,($V127/1.35)*BF127,
BF127*$Z127),)</f>
        <v/>
      </c>
      <c r="DS127" s="128">
        <f>IFERROR(IF($AB127=0,($V127/0.74)*BG127,
BG127*$AB127),)</f>
        <v/>
      </c>
      <c r="DT127" s="128">
        <f>IFERROR(IF($AB127=0,($V127/0.74)*BH127,
BH127*$AB127),)</f>
        <v/>
      </c>
      <c r="DU127" s="128">
        <f>IFERROR(IF($AB127=0,($V127/0.74)*BI127,
BI127*$AB127),)</f>
        <v/>
      </c>
    </row>
    <row r="128" ht="131.25" customHeight="1" s="162">
      <c r="A128" s="115" t="n"/>
      <c r="B128" s="115" t="n"/>
      <c r="C128" s="115" t="n"/>
      <c r="D128" s="115" t="n"/>
      <c r="E128" s="115" t="n"/>
      <c r="F128" s="115" t="n"/>
      <c r="G128" s="115" t="n"/>
      <c r="H128" s="115" t="n"/>
      <c r="I128" s="115" t="n"/>
      <c r="J128" s="115" t="n"/>
      <c r="K128" s="115" t="n"/>
      <c r="L128" s="115" t="n"/>
      <c r="M128" s="115" t="n"/>
      <c r="N128" s="115" t="n"/>
      <c r="O128" s="115" t="n"/>
      <c r="P128" s="115" t="n"/>
      <c r="Q128" s="115" t="n"/>
      <c r="R128" s="115" t="n"/>
      <c r="S128" s="115" t="n"/>
      <c r="T128" s="115" t="n"/>
      <c r="U128" s="116" t="n"/>
      <c r="V128" s="116" t="n"/>
      <c r="W128" s="117" t="n"/>
      <c r="X128" s="118" t="n"/>
      <c r="Y128" s="119" t="n"/>
      <c r="Z128" s="120" t="n"/>
      <c r="AA128" s="121" t="n"/>
      <c r="AB128" s="122" t="n"/>
      <c r="AC128" s="117" t="n"/>
      <c r="AD128" s="123">
        <f>IF(SUM($AE128:$AH128)=0,"",SUM($AE128:$AH128))</f>
        <v/>
      </c>
      <c r="AE128" s="123">
        <f>iferror(IF(SUM($AI128:$AZ128)=0,"",SUM($AI128:$AZ128)),"")</f>
        <v/>
      </c>
      <c r="AF128" s="123">
        <f>iferror(IF(SUM($BA128:$BC128)=0,"",SUM($BA128:$BC128)),"")</f>
        <v/>
      </c>
      <c r="AG128" s="123">
        <f>iferror(IF(SUM($BD128:$BF128)=0,"",SUM($BD128:$BF128)),"")</f>
        <v/>
      </c>
      <c r="AH128" s="124">
        <f>iferror(IF(SUM($BG128:$BI128)=0,"",SUM($BG128:$BI128)),"")</f>
        <v/>
      </c>
      <c r="AI128" s="131" t="n"/>
      <c r="AJ128" s="132" t="n"/>
      <c r="AK128" s="132" t="n"/>
      <c r="AL128" s="132" t="n"/>
      <c r="AM128" s="132" t="n"/>
      <c r="AN128" s="132" t="n"/>
      <c r="AO128" s="132" t="n"/>
      <c r="AP128" s="132" t="n"/>
      <c r="AQ128" s="132" t="n"/>
      <c r="AR128" s="132" t="n"/>
      <c r="AS128" s="132" t="n"/>
      <c r="AT128" s="132" t="n"/>
      <c r="AU128" s="132" t="n"/>
      <c r="AV128" s="132" t="n"/>
      <c r="AW128" s="132" t="n"/>
      <c r="AX128" s="132" t="n"/>
      <c r="AY128" s="132" t="n"/>
      <c r="AZ128" s="133" t="n"/>
      <c r="BA128" s="131" t="n"/>
      <c r="BB128" s="132" t="n"/>
      <c r="BC128" s="133" t="n"/>
      <c r="BD128" s="131" t="n"/>
      <c r="BE128" s="132" t="n"/>
      <c r="BF128" s="133" t="n"/>
      <c r="BG128" s="131" t="n"/>
      <c r="BH128" s="132" t="n"/>
      <c r="BI128" s="132" t="n"/>
      <c r="BJ128" s="128">
        <f>iferror(SUM($BK128,($BL128*1.2),($BM128*1.35),($BN128*0.74)),)</f>
        <v/>
      </c>
      <c r="BK128" s="128">
        <f>IFERROR(SUM($BT128:$CK128),)</f>
        <v/>
      </c>
      <c r="BL128" s="129">
        <f>IFERROR(SUM($CL128:$CN128),)</f>
        <v/>
      </c>
      <c r="BM128" s="130">
        <f>IFERROR(SUM($CO128:$CQ128),)</f>
        <v/>
      </c>
      <c r="BN128" s="128">
        <f>IFERROR(SUM($CR128:$CT128),)</f>
        <v/>
      </c>
      <c r="BO128" s="128">
        <f>iferror(SUM($BP128,($BQ128*1.2),($BR128*1.35),($BS128*0.74)),)</f>
        <v/>
      </c>
      <c r="BP128" s="128">
        <f>IFERROR(SUM($CU128:$DL128),)</f>
        <v/>
      </c>
      <c r="BQ128" s="128">
        <f>IFERROR(SUM($DM128:$DO128),)</f>
        <v/>
      </c>
      <c r="BR128" s="128">
        <f>IFERROR(SUM($DP128:$DR128),)</f>
        <v/>
      </c>
      <c r="BS128" s="128">
        <f>IFERROR(SUM($DS128:$DU128),)</f>
        <v/>
      </c>
      <c r="BT128" s="128">
        <f>IFERROR(AI128*$W128,)</f>
        <v/>
      </c>
      <c r="BU128" s="128">
        <f>IFERROR(AJ128*$W128,)</f>
        <v/>
      </c>
      <c r="BV128" s="128">
        <f>IFERROR(AK128*$W128,)</f>
        <v/>
      </c>
      <c r="BW128" s="128">
        <f>IFERROR(AL128*$W128,)</f>
        <v/>
      </c>
      <c r="BX128" s="128">
        <f>IFERROR(AM128*$W128,)</f>
        <v/>
      </c>
      <c r="BY128" s="128">
        <f>IFERROR(AN128*$W128,)</f>
        <v/>
      </c>
      <c r="BZ128" s="128">
        <f>IFERROR(AO128*$W128,)</f>
        <v/>
      </c>
      <c r="CA128" s="128">
        <f>IFERROR(AP128*$W128,)</f>
        <v/>
      </c>
      <c r="CB128" s="128">
        <f>IFERROR(AQ128*$W128,)</f>
        <v/>
      </c>
      <c r="CC128" s="128">
        <f>IFERROR(AR128*$W128,)</f>
        <v/>
      </c>
      <c r="CD128" s="128">
        <f>IFERROR(AS128*$W128,)</f>
        <v/>
      </c>
      <c r="CE128" s="128">
        <f>IFERROR(AT128*$W128,)</f>
        <v/>
      </c>
      <c r="CF128" s="128">
        <f>IFERROR(AU128*$W128,)</f>
        <v/>
      </c>
      <c r="CG128" s="128">
        <f>IFERROR(AV128*$W128,)</f>
        <v/>
      </c>
      <c r="CH128" s="128">
        <f>IFERROR(AW128*$W128,)</f>
        <v/>
      </c>
      <c r="CI128" s="128">
        <f>IFERROR(AX128*$W128,)</f>
        <v/>
      </c>
      <c r="CJ128" s="128">
        <f>IFERROR(AY128*$W128,)</f>
        <v/>
      </c>
      <c r="CK128" s="128">
        <f>IFERROR(AZ128*$W128,)</f>
        <v/>
      </c>
      <c r="CL128" s="129">
        <f>IFERROR(if($Y128=0,BA128*($W128/1.2),BA128*$Y128),"")</f>
        <v/>
      </c>
      <c r="CM128" s="129">
        <f>IFERROR(if($Y128=0,BB128*($W128/1.2),BB128*$Y128),"")</f>
        <v/>
      </c>
      <c r="CN128" s="129">
        <f>IFERROR(if($Y128=0,BC128*($W128/1.2),BC128*$Y128),"")</f>
        <v/>
      </c>
      <c r="CO128" s="130">
        <f>IFERROR(if($AA128=0,($W128/1.35)*BD128,BD128*$AA128),)</f>
        <v/>
      </c>
      <c r="CP128" s="130">
        <f>IFERROR(if($AA128=0,($W128/1.35)*BE128,BE128*$AA128),)</f>
        <v/>
      </c>
      <c r="CQ128" s="130">
        <f>IFERROR(if($AA128=0,($W128/1.35)*BF128,BF128*$AA128),)</f>
        <v/>
      </c>
      <c r="CR128" s="128">
        <f>IFERROR(if($AC128=0,($W128/0.74)*BG128,
BG128*$AC128),)</f>
        <v/>
      </c>
      <c r="CS128" s="128">
        <f>IFERROR(if($AC128=0,($W128/0.74)*BH128,
BH128*$AC128),)</f>
        <v/>
      </c>
      <c r="CT128" s="128">
        <f>IFERROR(if($AC128=0,($W128/0.74)*BI128,
BI128*$AC128),)</f>
        <v/>
      </c>
      <c r="CU128" s="128">
        <f>IFERROR(AI128*$V128,)</f>
        <v/>
      </c>
      <c r="CV128" s="128">
        <f>IFERROR(AJ128*$V128,)</f>
        <v/>
      </c>
      <c r="CW128" s="128">
        <f>IFERROR(AK128*$V128,)</f>
        <v/>
      </c>
      <c r="CX128" s="128">
        <f>IFERROR(AL128*$V128,)</f>
        <v/>
      </c>
      <c r="CY128" s="128">
        <f>IFERROR(AM128*$V128,)</f>
        <v/>
      </c>
      <c r="CZ128" s="128">
        <f>IFERROR(AN128*$V128,)</f>
        <v/>
      </c>
      <c r="DA128" s="128">
        <f>IFERROR(AO128*$V128,)</f>
        <v/>
      </c>
      <c r="DB128" s="128">
        <f>IFERROR(AP128*$V128,)</f>
        <v/>
      </c>
      <c r="DC128" s="128">
        <f>IFERROR(AQ128*$V128,)</f>
        <v/>
      </c>
      <c r="DD128" s="128">
        <f>IFERROR(AR128*$V128,)</f>
        <v/>
      </c>
      <c r="DE128" s="128">
        <f>IFERROR(AS128*$V128,)</f>
        <v/>
      </c>
      <c r="DF128" s="128">
        <f>IFERROR(AT128*$V128,)</f>
        <v/>
      </c>
      <c r="DG128" s="128">
        <f>IFERROR(AU128*$V128,)</f>
        <v/>
      </c>
      <c r="DH128" s="128">
        <f>IFERROR(AV128*$V128,)</f>
        <v/>
      </c>
      <c r="DI128" s="128">
        <f>IFERROR(AW128*$V128,)</f>
        <v/>
      </c>
      <c r="DJ128" s="128">
        <f>IFERROR(AX128*$V128,)</f>
        <v/>
      </c>
      <c r="DK128" s="128">
        <f>IFERROR(AY128*$V128,)</f>
        <v/>
      </c>
      <c r="DL128" s="128">
        <f>IFERROR(AZ128*$V128,)</f>
        <v/>
      </c>
      <c r="DM128" s="129">
        <f>IFERROR(if($X128=0,($V128/1.2)*BA128,
BA128*$X128),)</f>
        <v/>
      </c>
      <c r="DN128" s="129">
        <f>IFERROR(if($X128=0,($V128/1.2)*BB128,
BB128*$X128),)</f>
        <v/>
      </c>
      <c r="DO128" s="129">
        <f>IFERROR(if($X128=0,($V128/1.2)*BC128,
BC128*$X128),)</f>
        <v/>
      </c>
      <c r="DP128" s="130">
        <f>IFERROR(if($Z128=0,($V128/1.35)*BD128,
BD128*$Z128),)</f>
        <v/>
      </c>
      <c r="DQ128" s="130">
        <f>IFERROR(if($Z128=0,($V128/1.35)*BE128,
BE128*$Z128),)</f>
        <v/>
      </c>
      <c r="DR128" s="130">
        <f>IFERROR(if($Z128=0,($V128/1.35)*BF128,
BF128*$Z128),)</f>
        <v/>
      </c>
      <c r="DS128" s="128">
        <f>IFERROR(IF($AB128=0,($V128/0.74)*BG128,
BG128*$AB128),)</f>
        <v/>
      </c>
      <c r="DT128" s="128">
        <f>IFERROR(IF($AB128=0,($V128/0.74)*BH128,
BH128*$AB128),)</f>
        <v/>
      </c>
      <c r="DU128" s="128">
        <f>IFERROR(IF($AB128=0,($V128/0.74)*BI128,
BI128*$AB128),)</f>
        <v/>
      </c>
    </row>
    <row r="129" ht="131.25" customHeight="1" s="162">
      <c r="A129" s="115" t="n"/>
      <c r="B129" s="115" t="n"/>
      <c r="C129" s="115" t="n"/>
      <c r="D129" s="115" t="n"/>
      <c r="E129" s="115" t="n"/>
      <c r="F129" s="115" t="n"/>
      <c r="G129" s="115" t="n"/>
      <c r="H129" s="115" t="n"/>
      <c r="I129" s="115" t="n"/>
      <c r="J129" s="115" t="n"/>
      <c r="K129" s="115" t="n"/>
      <c r="L129" s="115" t="n"/>
      <c r="M129" s="115" t="n"/>
      <c r="N129" s="115" t="n"/>
      <c r="O129" s="115" t="n"/>
      <c r="P129" s="115" t="n"/>
      <c r="Q129" s="115" t="n"/>
      <c r="R129" s="115" t="n"/>
      <c r="S129" s="115" t="n"/>
      <c r="T129" s="115" t="n"/>
      <c r="U129" s="116" t="n"/>
      <c r="V129" s="116" t="n"/>
      <c r="W129" s="117" t="n"/>
      <c r="X129" s="118" t="n"/>
      <c r="Y129" s="119" t="n"/>
      <c r="Z129" s="120" t="n"/>
      <c r="AA129" s="121" t="n"/>
      <c r="AB129" s="122" t="n"/>
      <c r="AC129" s="117" t="n"/>
      <c r="AD129" s="123">
        <f>IF(SUM($AE129:$AH129)=0,"",SUM($AE129:$AH129))</f>
        <v/>
      </c>
      <c r="AE129" s="123">
        <f>iferror(IF(SUM($AI129:$AZ129)=0,"",SUM($AI129:$AZ129)),"")</f>
        <v/>
      </c>
      <c r="AF129" s="123">
        <f>iferror(IF(SUM($BA129:$BC129)=0,"",SUM($BA129:$BC129)),"")</f>
        <v/>
      </c>
      <c r="AG129" s="123">
        <f>iferror(IF(SUM($BD129:$BF129)=0,"",SUM($BD129:$BF129)),"")</f>
        <v/>
      </c>
      <c r="AH129" s="124">
        <f>iferror(IF(SUM($BG129:$BI129)=0,"",SUM($BG129:$BI129)),"")</f>
        <v/>
      </c>
      <c r="AI129" s="131" t="n"/>
      <c r="AJ129" s="132" t="n"/>
      <c r="AK129" s="132" t="n"/>
      <c r="AL129" s="132" t="n"/>
      <c r="AM129" s="132" t="n"/>
      <c r="AN129" s="132" t="n"/>
      <c r="AO129" s="132" t="n"/>
      <c r="AP129" s="132" t="n"/>
      <c r="AQ129" s="132" t="n"/>
      <c r="AR129" s="132" t="n"/>
      <c r="AS129" s="132" t="n"/>
      <c r="AT129" s="132" t="n"/>
      <c r="AU129" s="132" t="n"/>
      <c r="AV129" s="132" t="n"/>
      <c r="AW129" s="132" t="n"/>
      <c r="AX129" s="132" t="n"/>
      <c r="AY129" s="132" t="n"/>
      <c r="AZ129" s="133" t="n"/>
      <c r="BA129" s="131" t="n"/>
      <c r="BB129" s="132" t="n"/>
      <c r="BC129" s="133" t="n"/>
      <c r="BD129" s="131" t="n"/>
      <c r="BE129" s="132" t="n"/>
      <c r="BF129" s="133" t="n"/>
      <c r="BG129" s="131" t="n"/>
      <c r="BH129" s="132" t="n"/>
      <c r="BI129" s="132" t="n"/>
      <c r="BJ129" s="128">
        <f>iferror(SUM($BK129,($BL129*1.2),($BM129*1.35),($BN129*0.74)),)</f>
        <v/>
      </c>
      <c r="BK129" s="128">
        <f>IFERROR(SUM($BT129:$CK129),)</f>
        <v/>
      </c>
      <c r="BL129" s="129">
        <f>IFERROR(SUM($CL129:$CN129),)</f>
        <v/>
      </c>
      <c r="BM129" s="130">
        <f>IFERROR(SUM($CO129:$CQ129),)</f>
        <v/>
      </c>
      <c r="BN129" s="128">
        <f>IFERROR(SUM($CR129:$CT129),)</f>
        <v/>
      </c>
      <c r="BO129" s="128">
        <f>iferror(SUM($BP129,($BQ129*1.2),($BR129*1.35),($BS129*0.74)),)</f>
        <v/>
      </c>
      <c r="BP129" s="128">
        <f>IFERROR(SUM($CU129:$DL129),)</f>
        <v/>
      </c>
      <c r="BQ129" s="128">
        <f>IFERROR(SUM($DM129:$DO129),)</f>
        <v/>
      </c>
      <c r="BR129" s="128">
        <f>IFERROR(SUM($DP129:$DR129),)</f>
        <v/>
      </c>
      <c r="BS129" s="128">
        <f>IFERROR(SUM($DS129:$DU129),)</f>
        <v/>
      </c>
      <c r="BT129" s="128">
        <f>IFERROR(AI129*$W129,)</f>
        <v/>
      </c>
      <c r="BU129" s="128">
        <f>IFERROR(AJ129*$W129,)</f>
        <v/>
      </c>
      <c r="BV129" s="128">
        <f>IFERROR(AK129*$W129,)</f>
        <v/>
      </c>
      <c r="BW129" s="128">
        <f>IFERROR(AL129*$W129,)</f>
        <v/>
      </c>
      <c r="BX129" s="128">
        <f>IFERROR(AM129*$W129,)</f>
        <v/>
      </c>
      <c r="BY129" s="128">
        <f>IFERROR(AN129*$W129,)</f>
        <v/>
      </c>
      <c r="BZ129" s="128">
        <f>IFERROR(AO129*$W129,)</f>
        <v/>
      </c>
      <c r="CA129" s="128">
        <f>IFERROR(AP129*$W129,)</f>
        <v/>
      </c>
      <c r="CB129" s="128">
        <f>IFERROR(AQ129*$W129,)</f>
        <v/>
      </c>
      <c r="CC129" s="128">
        <f>IFERROR(AR129*$W129,)</f>
        <v/>
      </c>
      <c r="CD129" s="128">
        <f>IFERROR(AS129*$W129,)</f>
        <v/>
      </c>
      <c r="CE129" s="128">
        <f>IFERROR(AT129*$W129,)</f>
        <v/>
      </c>
      <c r="CF129" s="128">
        <f>IFERROR(AU129*$W129,)</f>
        <v/>
      </c>
      <c r="CG129" s="128">
        <f>IFERROR(AV129*$W129,)</f>
        <v/>
      </c>
      <c r="CH129" s="128">
        <f>IFERROR(AW129*$W129,)</f>
        <v/>
      </c>
      <c r="CI129" s="128">
        <f>IFERROR(AX129*$W129,)</f>
        <v/>
      </c>
      <c r="CJ129" s="128">
        <f>IFERROR(AY129*$W129,)</f>
        <v/>
      </c>
      <c r="CK129" s="128">
        <f>IFERROR(AZ129*$W129,)</f>
        <v/>
      </c>
      <c r="CL129" s="129">
        <f>IFERROR(if($Y129=0,BA129*($W129/1.2),BA129*$Y129),"")</f>
        <v/>
      </c>
      <c r="CM129" s="129">
        <f>IFERROR(if($Y129=0,BB129*($W129/1.2),BB129*$Y129),"")</f>
        <v/>
      </c>
      <c r="CN129" s="129">
        <f>IFERROR(if($Y129=0,BC129*($W129/1.2),BC129*$Y129),"")</f>
        <v/>
      </c>
      <c r="CO129" s="130">
        <f>IFERROR(if($AA129=0,($W129/1.35)*BD129,BD129*$AA129),)</f>
        <v/>
      </c>
      <c r="CP129" s="130">
        <f>IFERROR(if($AA129=0,($W129/1.35)*BE129,BE129*$AA129),)</f>
        <v/>
      </c>
      <c r="CQ129" s="130">
        <f>IFERROR(if($AA129=0,($W129/1.35)*BF129,BF129*$AA129),)</f>
        <v/>
      </c>
      <c r="CR129" s="128">
        <f>IFERROR(if($AC129=0,($W129/0.74)*BG129,
BG129*$AC129),)</f>
        <v/>
      </c>
      <c r="CS129" s="128">
        <f>IFERROR(if($AC129=0,($W129/0.74)*BH129,
BH129*$AC129),)</f>
        <v/>
      </c>
      <c r="CT129" s="128">
        <f>IFERROR(if($AC129=0,($W129/0.74)*BI129,
BI129*$AC129),)</f>
        <v/>
      </c>
      <c r="CU129" s="128">
        <f>IFERROR(AI129*$V129,)</f>
        <v/>
      </c>
      <c r="CV129" s="128">
        <f>IFERROR(AJ129*$V129,)</f>
        <v/>
      </c>
      <c r="CW129" s="128">
        <f>IFERROR(AK129*$V129,)</f>
        <v/>
      </c>
      <c r="CX129" s="128">
        <f>IFERROR(AL129*$V129,)</f>
        <v/>
      </c>
      <c r="CY129" s="128">
        <f>IFERROR(AM129*$V129,)</f>
        <v/>
      </c>
      <c r="CZ129" s="128">
        <f>IFERROR(AN129*$V129,)</f>
        <v/>
      </c>
      <c r="DA129" s="128">
        <f>IFERROR(AO129*$V129,)</f>
        <v/>
      </c>
      <c r="DB129" s="128">
        <f>IFERROR(AP129*$V129,)</f>
        <v/>
      </c>
      <c r="DC129" s="128">
        <f>IFERROR(AQ129*$V129,)</f>
        <v/>
      </c>
      <c r="DD129" s="128">
        <f>IFERROR(AR129*$V129,)</f>
        <v/>
      </c>
      <c r="DE129" s="128">
        <f>IFERROR(AS129*$V129,)</f>
        <v/>
      </c>
      <c r="DF129" s="128">
        <f>IFERROR(AT129*$V129,)</f>
        <v/>
      </c>
      <c r="DG129" s="128">
        <f>IFERROR(AU129*$V129,)</f>
        <v/>
      </c>
      <c r="DH129" s="128">
        <f>IFERROR(AV129*$V129,)</f>
        <v/>
      </c>
      <c r="DI129" s="128">
        <f>IFERROR(AW129*$V129,)</f>
        <v/>
      </c>
      <c r="DJ129" s="128">
        <f>IFERROR(AX129*$V129,)</f>
        <v/>
      </c>
      <c r="DK129" s="128">
        <f>IFERROR(AY129*$V129,)</f>
        <v/>
      </c>
      <c r="DL129" s="128">
        <f>IFERROR(AZ129*$V129,)</f>
        <v/>
      </c>
      <c r="DM129" s="129">
        <f>IFERROR(if($X129=0,($V129/1.2)*BA129,
BA129*$X129),)</f>
        <v/>
      </c>
      <c r="DN129" s="129">
        <f>IFERROR(if($X129=0,($V129/1.2)*BB129,
BB129*$X129),)</f>
        <v/>
      </c>
      <c r="DO129" s="129">
        <f>IFERROR(if($X129=0,($V129/1.2)*BC129,
BC129*$X129),)</f>
        <v/>
      </c>
      <c r="DP129" s="130">
        <f>IFERROR(if($Z129=0,($V129/1.35)*BD129,
BD129*$Z129),)</f>
        <v/>
      </c>
      <c r="DQ129" s="130">
        <f>IFERROR(if($Z129=0,($V129/1.35)*BE129,
BE129*$Z129),)</f>
        <v/>
      </c>
      <c r="DR129" s="130">
        <f>IFERROR(if($Z129=0,($V129/1.35)*BF129,
BF129*$Z129),)</f>
        <v/>
      </c>
      <c r="DS129" s="128">
        <f>IFERROR(IF($AB129=0,($V129/0.74)*BG129,
BG129*$AB129),)</f>
        <v/>
      </c>
      <c r="DT129" s="128">
        <f>IFERROR(IF($AB129=0,($V129/0.74)*BH129,
BH129*$AB129),)</f>
        <v/>
      </c>
      <c r="DU129" s="128">
        <f>IFERROR(IF($AB129=0,($V129/0.74)*BI129,
BI129*$AB129),)</f>
        <v/>
      </c>
    </row>
    <row r="130" ht="131.25" customHeight="1" s="162">
      <c r="A130" s="115" t="n"/>
      <c r="B130" s="115" t="n"/>
      <c r="C130" s="115" t="n"/>
      <c r="D130" s="115" t="n"/>
      <c r="E130" s="115" t="n"/>
      <c r="F130" s="115" t="n"/>
      <c r="G130" s="115" t="n"/>
      <c r="H130" s="115" t="n"/>
      <c r="I130" s="115" t="n"/>
      <c r="J130" s="115" t="n"/>
      <c r="K130" s="115" t="n"/>
      <c r="L130" s="115" t="n"/>
      <c r="M130" s="115" t="n"/>
      <c r="N130" s="115" t="n"/>
      <c r="O130" s="115" t="n"/>
      <c r="P130" s="115" t="n"/>
      <c r="Q130" s="115" t="n"/>
      <c r="R130" s="115" t="n"/>
      <c r="S130" s="115" t="n"/>
      <c r="T130" s="115" t="n"/>
      <c r="U130" s="116" t="n"/>
      <c r="V130" s="116" t="n"/>
      <c r="W130" s="117" t="n"/>
      <c r="X130" s="118" t="n"/>
      <c r="Y130" s="119" t="n"/>
      <c r="Z130" s="120" t="n"/>
      <c r="AA130" s="121" t="n"/>
      <c r="AB130" s="122" t="n"/>
      <c r="AC130" s="117" t="n"/>
      <c r="AD130" s="123">
        <f>IF(SUM($AE130:$AH130)=0,"",SUM($AE130:$AH130))</f>
        <v/>
      </c>
      <c r="AE130" s="123">
        <f>iferror(IF(SUM($AI130:$AZ130)=0,"",SUM($AI130:$AZ130)),"")</f>
        <v/>
      </c>
      <c r="AF130" s="123">
        <f>iferror(IF(SUM($BA130:$BC130)=0,"",SUM($BA130:$BC130)),"")</f>
        <v/>
      </c>
      <c r="AG130" s="123">
        <f>iferror(IF(SUM($BD130:$BF130)=0,"",SUM($BD130:$BF130)),"")</f>
        <v/>
      </c>
      <c r="AH130" s="124">
        <f>iferror(IF(SUM($BG130:$BI130)=0,"",SUM($BG130:$BI130)),"")</f>
        <v/>
      </c>
      <c r="AI130" s="131" t="n"/>
      <c r="AJ130" s="132" t="n"/>
      <c r="AK130" s="132" t="n"/>
      <c r="AL130" s="132" t="n"/>
      <c r="AM130" s="132" t="n"/>
      <c r="AN130" s="132" t="n"/>
      <c r="AO130" s="132" t="n"/>
      <c r="AP130" s="132" t="n"/>
      <c r="AQ130" s="132" t="n"/>
      <c r="AR130" s="132" t="n"/>
      <c r="AS130" s="132" t="n"/>
      <c r="AT130" s="132" t="n"/>
      <c r="AU130" s="132" t="n"/>
      <c r="AV130" s="132" t="n"/>
      <c r="AW130" s="132" t="n"/>
      <c r="AX130" s="132" t="n"/>
      <c r="AY130" s="132" t="n"/>
      <c r="AZ130" s="133" t="n"/>
      <c r="BA130" s="131" t="n"/>
      <c r="BB130" s="132" t="n"/>
      <c r="BC130" s="133" t="n"/>
      <c r="BD130" s="131" t="n"/>
      <c r="BE130" s="132" t="n"/>
      <c r="BF130" s="133" t="n"/>
      <c r="BG130" s="131" t="n"/>
      <c r="BH130" s="132" t="n"/>
      <c r="BI130" s="132" t="n"/>
      <c r="BJ130" s="128">
        <f>iferror(SUM($BK130,($BL130*1.2),($BM130*1.35),($BN130*0.74)),)</f>
        <v/>
      </c>
      <c r="BK130" s="128">
        <f>IFERROR(SUM($BT130:$CK130),)</f>
        <v/>
      </c>
      <c r="BL130" s="129">
        <f>IFERROR(SUM($CL130:$CN130),)</f>
        <v/>
      </c>
      <c r="BM130" s="130">
        <f>IFERROR(SUM($CO130:$CQ130),)</f>
        <v/>
      </c>
      <c r="BN130" s="128">
        <f>IFERROR(SUM($CR130:$CT130),)</f>
        <v/>
      </c>
      <c r="BO130" s="128">
        <f>iferror(SUM($BP130,($BQ130*1.2),($BR130*1.35),($BS130*0.74)),)</f>
        <v/>
      </c>
      <c r="BP130" s="128">
        <f>IFERROR(SUM($CU130:$DL130),)</f>
        <v/>
      </c>
      <c r="BQ130" s="128">
        <f>IFERROR(SUM($DM130:$DO130),)</f>
        <v/>
      </c>
      <c r="BR130" s="128">
        <f>IFERROR(SUM($DP130:$DR130),)</f>
        <v/>
      </c>
      <c r="BS130" s="128">
        <f>IFERROR(SUM($DS130:$DU130),)</f>
        <v/>
      </c>
      <c r="BT130" s="128">
        <f>IFERROR(AI130*$W130,)</f>
        <v/>
      </c>
      <c r="BU130" s="128">
        <f>IFERROR(AJ130*$W130,)</f>
        <v/>
      </c>
      <c r="BV130" s="128">
        <f>IFERROR(AK130*$W130,)</f>
        <v/>
      </c>
      <c r="BW130" s="128">
        <f>IFERROR(AL130*$W130,)</f>
        <v/>
      </c>
      <c r="BX130" s="128">
        <f>IFERROR(AM130*$W130,)</f>
        <v/>
      </c>
      <c r="BY130" s="128">
        <f>IFERROR(AN130*$W130,)</f>
        <v/>
      </c>
      <c r="BZ130" s="128">
        <f>IFERROR(AO130*$W130,)</f>
        <v/>
      </c>
      <c r="CA130" s="128">
        <f>IFERROR(AP130*$W130,)</f>
        <v/>
      </c>
      <c r="CB130" s="128">
        <f>IFERROR(AQ130*$W130,)</f>
        <v/>
      </c>
      <c r="CC130" s="128">
        <f>IFERROR(AR130*$W130,)</f>
        <v/>
      </c>
      <c r="CD130" s="128">
        <f>IFERROR(AS130*$W130,)</f>
        <v/>
      </c>
      <c r="CE130" s="128">
        <f>IFERROR(AT130*$W130,)</f>
        <v/>
      </c>
      <c r="CF130" s="128">
        <f>IFERROR(AU130*$W130,)</f>
        <v/>
      </c>
      <c r="CG130" s="128">
        <f>IFERROR(AV130*$W130,)</f>
        <v/>
      </c>
      <c r="CH130" s="128">
        <f>IFERROR(AW130*$W130,)</f>
        <v/>
      </c>
      <c r="CI130" s="128">
        <f>IFERROR(AX130*$W130,)</f>
        <v/>
      </c>
      <c r="CJ130" s="128">
        <f>IFERROR(AY130*$W130,)</f>
        <v/>
      </c>
      <c r="CK130" s="128">
        <f>IFERROR(AZ130*$W130,)</f>
        <v/>
      </c>
      <c r="CL130" s="129">
        <f>IFERROR(if($Y130=0,BA130*($W130/1.2),BA130*$Y130),"")</f>
        <v/>
      </c>
      <c r="CM130" s="129">
        <f>IFERROR(if($Y130=0,BB130*($W130/1.2),BB130*$Y130),"")</f>
        <v/>
      </c>
      <c r="CN130" s="129">
        <f>IFERROR(if($Y130=0,BC130*($W130/1.2),BC130*$Y130),"")</f>
        <v/>
      </c>
      <c r="CO130" s="130">
        <f>IFERROR(if($AA130=0,($W130/1.35)*BD130,BD130*$AA130),)</f>
        <v/>
      </c>
      <c r="CP130" s="130">
        <f>IFERROR(if($AA130=0,($W130/1.35)*BE130,BE130*$AA130),)</f>
        <v/>
      </c>
      <c r="CQ130" s="130">
        <f>IFERROR(if($AA130=0,($W130/1.35)*BF130,BF130*$AA130),)</f>
        <v/>
      </c>
      <c r="CR130" s="128">
        <f>IFERROR(if($AC130=0,($W130/0.74)*BG130,
BG130*$AC130),)</f>
        <v/>
      </c>
      <c r="CS130" s="128">
        <f>IFERROR(if($AC130=0,($W130/0.74)*BH130,
BH130*$AC130),)</f>
        <v/>
      </c>
      <c r="CT130" s="128">
        <f>IFERROR(if($AC130=0,($W130/0.74)*BI130,
BI130*$AC130),)</f>
        <v/>
      </c>
      <c r="CU130" s="128">
        <f>IFERROR(AI130*$V130,)</f>
        <v/>
      </c>
      <c r="CV130" s="128">
        <f>IFERROR(AJ130*$V130,)</f>
        <v/>
      </c>
      <c r="CW130" s="128">
        <f>IFERROR(AK130*$V130,)</f>
        <v/>
      </c>
      <c r="CX130" s="128">
        <f>IFERROR(AL130*$V130,)</f>
        <v/>
      </c>
      <c r="CY130" s="128">
        <f>IFERROR(AM130*$V130,)</f>
        <v/>
      </c>
      <c r="CZ130" s="128">
        <f>IFERROR(AN130*$V130,)</f>
        <v/>
      </c>
      <c r="DA130" s="128">
        <f>IFERROR(AO130*$V130,)</f>
        <v/>
      </c>
      <c r="DB130" s="128">
        <f>IFERROR(AP130*$V130,)</f>
        <v/>
      </c>
      <c r="DC130" s="128">
        <f>IFERROR(AQ130*$V130,)</f>
        <v/>
      </c>
      <c r="DD130" s="128">
        <f>IFERROR(AR130*$V130,)</f>
        <v/>
      </c>
      <c r="DE130" s="128">
        <f>IFERROR(AS130*$V130,)</f>
        <v/>
      </c>
      <c r="DF130" s="128">
        <f>IFERROR(AT130*$V130,)</f>
        <v/>
      </c>
      <c r="DG130" s="128">
        <f>IFERROR(AU130*$V130,)</f>
        <v/>
      </c>
      <c r="DH130" s="128">
        <f>IFERROR(AV130*$V130,)</f>
        <v/>
      </c>
      <c r="DI130" s="128">
        <f>IFERROR(AW130*$V130,)</f>
        <v/>
      </c>
      <c r="DJ130" s="128">
        <f>IFERROR(AX130*$V130,)</f>
        <v/>
      </c>
      <c r="DK130" s="128">
        <f>IFERROR(AY130*$V130,)</f>
        <v/>
      </c>
      <c r="DL130" s="128">
        <f>IFERROR(AZ130*$V130,)</f>
        <v/>
      </c>
      <c r="DM130" s="129">
        <f>IFERROR(if($X130=0,($V130/1.2)*BA130,
BA130*$X130),)</f>
        <v/>
      </c>
      <c r="DN130" s="129">
        <f>IFERROR(if($X130=0,($V130/1.2)*BB130,
BB130*$X130),)</f>
        <v/>
      </c>
      <c r="DO130" s="129">
        <f>IFERROR(if($X130=0,($V130/1.2)*BC130,
BC130*$X130),)</f>
        <v/>
      </c>
      <c r="DP130" s="130">
        <f>IFERROR(if($Z130=0,($V130/1.35)*BD130,
BD130*$Z130),)</f>
        <v/>
      </c>
      <c r="DQ130" s="130">
        <f>IFERROR(if($Z130=0,($V130/1.35)*BE130,
BE130*$Z130),)</f>
        <v/>
      </c>
      <c r="DR130" s="130">
        <f>IFERROR(if($Z130=0,($V130/1.35)*BF130,
BF130*$Z130),)</f>
        <v/>
      </c>
      <c r="DS130" s="128">
        <f>IFERROR(IF($AB130=0,($V130/0.74)*BG130,
BG130*$AB130),)</f>
        <v/>
      </c>
      <c r="DT130" s="128">
        <f>IFERROR(IF($AB130=0,($V130/0.74)*BH130,
BH130*$AB130),)</f>
        <v/>
      </c>
      <c r="DU130" s="128">
        <f>IFERROR(IF($AB130=0,($V130/0.74)*BI130,
BI130*$AB130),)</f>
        <v/>
      </c>
    </row>
    <row r="131" ht="131.25" customHeight="1" s="162">
      <c r="A131" s="115" t="n"/>
      <c r="B131" s="115" t="n"/>
      <c r="C131" s="115" t="n"/>
      <c r="D131" s="115" t="n"/>
      <c r="E131" s="115" t="n"/>
      <c r="F131" s="115" t="n"/>
      <c r="G131" s="115" t="n"/>
      <c r="H131" s="115" t="n"/>
      <c r="I131" s="115" t="n"/>
      <c r="J131" s="115" t="n"/>
      <c r="K131" s="115" t="n"/>
      <c r="L131" s="115" t="n"/>
      <c r="M131" s="115" t="n"/>
      <c r="N131" s="115" t="n"/>
      <c r="O131" s="115" t="n"/>
      <c r="P131" s="115" t="n"/>
      <c r="Q131" s="115" t="n"/>
      <c r="R131" s="115" t="n"/>
      <c r="S131" s="115" t="n"/>
      <c r="T131" s="115" t="n"/>
      <c r="U131" s="116" t="n"/>
      <c r="V131" s="116" t="n"/>
      <c r="W131" s="117" t="n"/>
      <c r="X131" s="118" t="n"/>
      <c r="Y131" s="119" t="n"/>
      <c r="Z131" s="120" t="n"/>
      <c r="AA131" s="121" t="n"/>
      <c r="AB131" s="122" t="n"/>
      <c r="AC131" s="117" t="n"/>
      <c r="AD131" s="123">
        <f>IF(SUM($AE131:$AH131)=0,"",SUM($AE131:$AH131))</f>
        <v/>
      </c>
      <c r="AE131" s="123">
        <f>iferror(IF(SUM($AI131:$AZ131)=0,"",SUM($AI131:$AZ131)),"")</f>
        <v/>
      </c>
      <c r="AF131" s="123">
        <f>iferror(IF(SUM($BA131:$BC131)=0,"",SUM($BA131:$BC131)),"")</f>
        <v/>
      </c>
      <c r="AG131" s="123">
        <f>iferror(IF(SUM($BD131:$BF131)=0,"",SUM($BD131:$BF131)),"")</f>
        <v/>
      </c>
      <c r="AH131" s="124">
        <f>iferror(IF(SUM($BG131:$BI131)=0,"",SUM($BG131:$BI131)),"")</f>
        <v/>
      </c>
      <c r="AI131" s="131" t="n"/>
      <c r="AJ131" s="132" t="n"/>
      <c r="AK131" s="132" t="n"/>
      <c r="AL131" s="132" t="n"/>
      <c r="AM131" s="132" t="n"/>
      <c r="AN131" s="132" t="n"/>
      <c r="AO131" s="132" t="n"/>
      <c r="AP131" s="132" t="n"/>
      <c r="AQ131" s="132" t="n"/>
      <c r="AR131" s="132" t="n"/>
      <c r="AS131" s="132" t="n"/>
      <c r="AT131" s="132" t="n"/>
      <c r="AU131" s="132" t="n"/>
      <c r="AV131" s="132" t="n"/>
      <c r="AW131" s="132" t="n"/>
      <c r="AX131" s="132" t="n"/>
      <c r="AY131" s="132" t="n"/>
      <c r="AZ131" s="133" t="n"/>
      <c r="BA131" s="131" t="n"/>
      <c r="BB131" s="132" t="n"/>
      <c r="BC131" s="133" t="n"/>
      <c r="BD131" s="131" t="n"/>
      <c r="BE131" s="132" t="n"/>
      <c r="BF131" s="133" t="n"/>
      <c r="BG131" s="131" t="n"/>
      <c r="BH131" s="132" t="n"/>
      <c r="BI131" s="132" t="n"/>
      <c r="BJ131" s="128">
        <f>iferror(SUM($BK131,($BL131*1.2),($BM131*1.35),($BN131*0.74)),)</f>
        <v/>
      </c>
      <c r="BK131" s="128">
        <f>IFERROR(SUM($BT131:$CK131),)</f>
        <v/>
      </c>
      <c r="BL131" s="129">
        <f>IFERROR(SUM($CL131:$CN131),)</f>
        <v/>
      </c>
      <c r="BM131" s="130">
        <f>IFERROR(SUM($CO131:$CQ131),)</f>
        <v/>
      </c>
      <c r="BN131" s="128">
        <f>IFERROR(SUM($CR131:$CT131),)</f>
        <v/>
      </c>
      <c r="BO131" s="128">
        <f>iferror(SUM($BP131,($BQ131*1.2),($BR131*1.35),($BS131*0.74)),)</f>
        <v/>
      </c>
      <c r="BP131" s="128">
        <f>IFERROR(SUM($CU131:$DL131),)</f>
        <v/>
      </c>
      <c r="BQ131" s="128">
        <f>IFERROR(SUM($DM131:$DO131),)</f>
        <v/>
      </c>
      <c r="BR131" s="128">
        <f>IFERROR(SUM($DP131:$DR131),)</f>
        <v/>
      </c>
      <c r="BS131" s="128">
        <f>IFERROR(SUM($DS131:$DU131),)</f>
        <v/>
      </c>
      <c r="BT131" s="128">
        <f>IFERROR(AI131*$W131,)</f>
        <v/>
      </c>
      <c r="BU131" s="128">
        <f>IFERROR(AJ131*$W131,)</f>
        <v/>
      </c>
      <c r="BV131" s="128">
        <f>IFERROR(AK131*$W131,)</f>
        <v/>
      </c>
      <c r="BW131" s="128">
        <f>IFERROR(AL131*$W131,)</f>
        <v/>
      </c>
      <c r="BX131" s="128">
        <f>IFERROR(AM131*$W131,)</f>
        <v/>
      </c>
      <c r="BY131" s="128">
        <f>IFERROR(AN131*$W131,)</f>
        <v/>
      </c>
      <c r="BZ131" s="128">
        <f>IFERROR(AO131*$W131,)</f>
        <v/>
      </c>
      <c r="CA131" s="128">
        <f>IFERROR(AP131*$W131,)</f>
        <v/>
      </c>
      <c r="CB131" s="128">
        <f>IFERROR(AQ131*$W131,)</f>
        <v/>
      </c>
      <c r="CC131" s="128">
        <f>IFERROR(AR131*$W131,)</f>
        <v/>
      </c>
      <c r="CD131" s="128">
        <f>IFERROR(AS131*$W131,)</f>
        <v/>
      </c>
      <c r="CE131" s="128">
        <f>IFERROR(AT131*$W131,)</f>
        <v/>
      </c>
      <c r="CF131" s="128">
        <f>IFERROR(AU131*$W131,)</f>
        <v/>
      </c>
      <c r="CG131" s="128">
        <f>IFERROR(AV131*$W131,)</f>
        <v/>
      </c>
      <c r="CH131" s="128">
        <f>IFERROR(AW131*$W131,)</f>
        <v/>
      </c>
      <c r="CI131" s="128">
        <f>IFERROR(AX131*$W131,)</f>
        <v/>
      </c>
      <c r="CJ131" s="128">
        <f>IFERROR(AY131*$W131,)</f>
        <v/>
      </c>
      <c r="CK131" s="128">
        <f>IFERROR(AZ131*$W131,)</f>
        <v/>
      </c>
      <c r="CL131" s="129">
        <f>IFERROR(if($Y131=0,BA131*($W131/1.2),BA131*$Y131),"")</f>
        <v/>
      </c>
      <c r="CM131" s="129">
        <f>IFERROR(if($Y131=0,BB131*($W131/1.2),BB131*$Y131),"")</f>
        <v/>
      </c>
      <c r="CN131" s="129">
        <f>IFERROR(if($Y131=0,BC131*($W131/1.2),BC131*$Y131),"")</f>
        <v/>
      </c>
      <c r="CO131" s="130">
        <f>IFERROR(if($AA131=0,($W131/1.35)*BD131,BD131*$AA131),)</f>
        <v/>
      </c>
      <c r="CP131" s="130">
        <f>IFERROR(if($AA131=0,($W131/1.35)*BE131,BE131*$AA131),)</f>
        <v/>
      </c>
      <c r="CQ131" s="130">
        <f>IFERROR(if($AA131=0,($W131/1.35)*BF131,BF131*$AA131),)</f>
        <v/>
      </c>
      <c r="CR131" s="128">
        <f>IFERROR(if($AC131=0,($W131/0.74)*BG131,
BG131*$AC131),)</f>
        <v/>
      </c>
      <c r="CS131" s="128">
        <f>IFERROR(if($AC131=0,($W131/0.74)*BH131,
BH131*$AC131),)</f>
        <v/>
      </c>
      <c r="CT131" s="128">
        <f>IFERROR(if($AC131=0,($W131/0.74)*BI131,
BI131*$AC131),)</f>
        <v/>
      </c>
      <c r="CU131" s="128">
        <f>IFERROR(AI131*$V131,)</f>
        <v/>
      </c>
      <c r="CV131" s="128">
        <f>IFERROR(AJ131*$V131,)</f>
        <v/>
      </c>
      <c r="CW131" s="128">
        <f>IFERROR(AK131*$V131,)</f>
        <v/>
      </c>
      <c r="CX131" s="128">
        <f>IFERROR(AL131*$V131,)</f>
        <v/>
      </c>
      <c r="CY131" s="128">
        <f>IFERROR(AM131*$V131,)</f>
        <v/>
      </c>
      <c r="CZ131" s="128">
        <f>IFERROR(AN131*$V131,)</f>
        <v/>
      </c>
      <c r="DA131" s="128">
        <f>IFERROR(AO131*$V131,)</f>
        <v/>
      </c>
      <c r="DB131" s="128">
        <f>IFERROR(AP131*$V131,)</f>
        <v/>
      </c>
      <c r="DC131" s="128">
        <f>IFERROR(AQ131*$V131,)</f>
        <v/>
      </c>
      <c r="DD131" s="128">
        <f>IFERROR(AR131*$V131,)</f>
        <v/>
      </c>
      <c r="DE131" s="128">
        <f>IFERROR(AS131*$V131,)</f>
        <v/>
      </c>
      <c r="DF131" s="128">
        <f>IFERROR(AT131*$V131,)</f>
        <v/>
      </c>
      <c r="DG131" s="128">
        <f>IFERROR(AU131*$V131,)</f>
        <v/>
      </c>
      <c r="DH131" s="128">
        <f>IFERROR(AV131*$V131,)</f>
        <v/>
      </c>
      <c r="DI131" s="128">
        <f>IFERROR(AW131*$V131,)</f>
        <v/>
      </c>
      <c r="DJ131" s="128">
        <f>IFERROR(AX131*$V131,)</f>
        <v/>
      </c>
      <c r="DK131" s="128">
        <f>IFERROR(AY131*$V131,)</f>
        <v/>
      </c>
      <c r="DL131" s="128">
        <f>IFERROR(AZ131*$V131,)</f>
        <v/>
      </c>
      <c r="DM131" s="129">
        <f>IFERROR(if($X131=0,($V131/1.2)*BA131,
BA131*$X131),)</f>
        <v/>
      </c>
      <c r="DN131" s="129">
        <f>IFERROR(if($X131=0,($V131/1.2)*BB131,
BB131*$X131),)</f>
        <v/>
      </c>
      <c r="DO131" s="129">
        <f>IFERROR(if($X131=0,($V131/1.2)*BC131,
BC131*$X131),)</f>
        <v/>
      </c>
      <c r="DP131" s="130">
        <f>IFERROR(if($Z131=0,($V131/1.35)*BD131,
BD131*$Z131),)</f>
        <v/>
      </c>
      <c r="DQ131" s="130">
        <f>IFERROR(if($Z131=0,($V131/1.35)*BE131,
BE131*$Z131),)</f>
        <v/>
      </c>
      <c r="DR131" s="130">
        <f>IFERROR(if($Z131=0,($V131/1.35)*BF131,
BF131*$Z131),)</f>
        <v/>
      </c>
      <c r="DS131" s="128">
        <f>IFERROR(IF($AB131=0,($V131/0.74)*BG131,
BG131*$AB131),)</f>
        <v/>
      </c>
      <c r="DT131" s="128">
        <f>IFERROR(IF($AB131=0,($V131/0.74)*BH131,
BH131*$AB131),)</f>
        <v/>
      </c>
      <c r="DU131" s="128">
        <f>IFERROR(IF($AB131=0,($V131/0.74)*BI131,
BI131*$AB131),)</f>
        <v/>
      </c>
    </row>
    <row r="132" ht="131.25" customHeight="1" s="162">
      <c r="A132" s="115" t="n"/>
      <c r="B132" s="115" t="n"/>
      <c r="C132" s="115" t="n"/>
      <c r="D132" s="115" t="n"/>
      <c r="E132" s="115" t="n"/>
      <c r="F132" s="115" t="n"/>
      <c r="G132" s="115" t="n"/>
      <c r="H132" s="115" t="n"/>
      <c r="I132" s="115" t="n"/>
      <c r="J132" s="115" t="n"/>
      <c r="K132" s="115" t="n"/>
      <c r="L132" s="115" t="n"/>
      <c r="M132" s="115" t="n"/>
      <c r="N132" s="115" t="n"/>
      <c r="O132" s="115" t="n"/>
      <c r="P132" s="115" t="n"/>
      <c r="Q132" s="115" t="n"/>
      <c r="R132" s="115" t="n"/>
      <c r="S132" s="115" t="n"/>
      <c r="T132" s="115" t="n"/>
      <c r="U132" s="116" t="n"/>
      <c r="V132" s="116" t="n"/>
      <c r="W132" s="117" t="n"/>
      <c r="X132" s="118" t="n"/>
      <c r="Y132" s="119" t="n"/>
      <c r="Z132" s="120" t="n"/>
      <c r="AA132" s="121" t="n"/>
      <c r="AB132" s="122" t="n"/>
      <c r="AC132" s="117" t="n"/>
      <c r="AD132" s="123">
        <f>IF(SUM($AE132:$AH132)=0,"",SUM($AE132:$AH132))</f>
        <v/>
      </c>
      <c r="AE132" s="123">
        <f>iferror(IF(SUM($AI132:$AZ132)=0,"",SUM($AI132:$AZ132)),"")</f>
        <v/>
      </c>
      <c r="AF132" s="123">
        <f>iferror(IF(SUM($BA132:$BC132)=0,"",SUM($BA132:$BC132)),"")</f>
        <v/>
      </c>
      <c r="AG132" s="123">
        <f>iferror(IF(SUM($BD132:$BF132)=0,"",SUM($BD132:$BF132)),"")</f>
        <v/>
      </c>
      <c r="AH132" s="124">
        <f>iferror(IF(SUM($BG132:$BI132)=0,"",SUM($BG132:$BI132)),"")</f>
        <v/>
      </c>
      <c r="AI132" s="131" t="n"/>
      <c r="AJ132" s="132" t="n"/>
      <c r="AK132" s="132" t="n"/>
      <c r="AL132" s="132" t="n"/>
      <c r="AM132" s="132" t="n"/>
      <c r="AN132" s="132" t="n"/>
      <c r="AO132" s="132" t="n"/>
      <c r="AP132" s="132" t="n"/>
      <c r="AQ132" s="132" t="n"/>
      <c r="AR132" s="132" t="n"/>
      <c r="AS132" s="132" t="n"/>
      <c r="AT132" s="132" t="n"/>
      <c r="AU132" s="132" t="n"/>
      <c r="AV132" s="132" t="n"/>
      <c r="AW132" s="132" t="n"/>
      <c r="AX132" s="132" t="n"/>
      <c r="AY132" s="132" t="n"/>
      <c r="AZ132" s="133" t="n"/>
      <c r="BA132" s="131" t="n"/>
      <c r="BB132" s="132" t="n"/>
      <c r="BC132" s="133" t="n"/>
      <c r="BD132" s="131" t="n"/>
      <c r="BE132" s="132" t="n"/>
      <c r="BF132" s="133" t="n"/>
      <c r="BG132" s="131" t="n"/>
      <c r="BH132" s="132" t="n"/>
      <c r="BI132" s="132" t="n"/>
      <c r="BJ132" s="128">
        <f>iferror(SUM($BK132,($BL132*1.2),($BM132*1.35),($BN132*0.74)),)</f>
        <v/>
      </c>
      <c r="BK132" s="128">
        <f>IFERROR(SUM($BT132:$CK132),)</f>
        <v/>
      </c>
      <c r="BL132" s="129">
        <f>IFERROR(SUM($CL132:$CN132),)</f>
        <v/>
      </c>
      <c r="BM132" s="130">
        <f>IFERROR(SUM($CO132:$CQ132),)</f>
        <v/>
      </c>
      <c r="BN132" s="128">
        <f>IFERROR(SUM($CR132:$CT132),)</f>
        <v/>
      </c>
      <c r="BO132" s="128">
        <f>iferror(SUM($BP132,($BQ132*1.2),($BR132*1.35),($BS132*0.74)),)</f>
        <v/>
      </c>
      <c r="BP132" s="128">
        <f>IFERROR(SUM($CU132:$DL132),)</f>
        <v/>
      </c>
      <c r="BQ132" s="128">
        <f>IFERROR(SUM($DM132:$DO132),)</f>
        <v/>
      </c>
      <c r="BR132" s="128">
        <f>IFERROR(SUM($DP132:$DR132),)</f>
        <v/>
      </c>
      <c r="BS132" s="128">
        <f>IFERROR(SUM($DS132:$DU132),)</f>
        <v/>
      </c>
      <c r="BT132" s="128">
        <f>IFERROR(AI132*$W132,)</f>
        <v/>
      </c>
      <c r="BU132" s="128">
        <f>IFERROR(AJ132*$W132,)</f>
        <v/>
      </c>
      <c r="BV132" s="128">
        <f>IFERROR(AK132*$W132,)</f>
        <v/>
      </c>
      <c r="BW132" s="128">
        <f>IFERROR(AL132*$W132,)</f>
        <v/>
      </c>
      <c r="BX132" s="128">
        <f>IFERROR(AM132*$W132,)</f>
        <v/>
      </c>
      <c r="BY132" s="128">
        <f>IFERROR(AN132*$W132,)</f>
        <v/>
      </c>
      <c r="BZ132" s="128">
        <f>IFERROR(AO132*$W132,)</f>
        <v/>
      </c>
      <c r="CA132" s="128">
        <f>IFERROR(AP132*$W132,)</f>
        <v/>
      </c>
      <c r="CB132" s="128">
        <f>IFERROR(AQ132*$W132,)</f>
        <v/>
      </c>
      <c r="CC132" s="128">
        <f>IFERROR(AR132*$W132,)</f>
        <v/>
      </c>
      <c r="CD132" s="128">
        <f>IFERROR(AS132*$W132,)</f>
        <v/>
      </c>
      <c r="CE132" s="128">
        <f>IFERROR(AT132*$W132,)</f>
        <v/>
      </c>
      <c r="CF132" s="128">
        <f>IFERROR(AU132*$W132,)</f>
        <v/>
      </c>
      <c r="CG132" s="128">
        <f>IFERROR(AV132*$W132,)</f>
        <v/>
      </c>
      <c r="CH132" s="128">
        <f>IFERROR(AW132*$W132,)</f>
        <v/>
      </c>
      <c r="CI132" s="128">
        <f>IFERROR(AX132*$W132,)</f>
        <v/>
      </c>
      <c r="CJ132" s="128">
        <f>IFERROR(AY132*$W132,)</f>
        <v/>
      </c>
      <c r="CK132" s="128">
        <f>IFERROR(AZ132*$W132,)</f>
        <v/>
      </c>
      <c r="CL132" s="129">
        <f>IFERROR(if($Y132=0,BA132*($W132/1.2),BA132*$Y132),"")</f>
        <v/>
      </c>
      <c r="CM132" s="129">
        <f>IFERROR(if($Y132=0,BB132*($W132/1.2),BB132*$Y132),"")</f>
        <v/>
      </c>
      <c r="CN132" s="129">
        <f>IFERROR(if($Y132=0,BC132*($W132/1.2),BC132*$Y132),"")</f>
        <v/>
      </c>
      <c r="CO132" s="130">
        <f>IFERROR(if($AA132=0,($W132/1.35)*BD132,BD132*$AA132),)</f>
        <v/>
      </c>
      <c r="CP132" s="130">
        <f>IFERROR(if($AA132=0,($W132/1.35)*BE132,BE132*$AA132),)</f>
        <v/>
      </c>
      <c r="CQ132" s="130">
        <f>IFERROR(if($AA132=0,($W132/1.35)*BF132,BF132*$AA132),)</f>
        <v/>
      </c>
      <c r="CR132" s="128">
        <f>IFERROR(if($AC132=0,($W132/0.74)*BG132,
BG132*$AC132),)</f>
        <v/>
      </c>
      <c r="CS132" s="128">
        <f>IFERROR(if($AC132=0,($W132/0.74)*BH132,
BH132*$AC132),)</f>
        <v/>
      </c>
      <c r="CT132" s="128">
        <f>IFERROR(if($AC132=0,($W132/0.74)*BI132,
BI132*$AC132),)</f>
        <v/>
      </c>
      <c r="CU132" s="128">
        <f>IFERROR(AI132*$V132,)</f>
        <v/>
      </c>
      <c r="CV132" s="128">
        <f>IFERROR(AJ132*$V132,)</f>
        <v/>
      </c>
      <c r="CW132" s="128">
        <f>IFERROR(AK132*$V132,)</f>
        <v/>
      </c>
      <c r="CX132" s="128">
        <f>IFERROR(AL132*$V132,)</f>
        <v/>
      </c>
      <c r="CY132" s="128">
        <f>IFERROR(AM132*$V132,)</f>
        <v/>
      </c>
      <c r="CZ132" s="128">
        <f>IFERROR(AN132*$V132,)</f>
        <v/>
      </c>
      <c r="DA132" s="128">
        <f>IFERROR(AO132*$V132,)</f>
        <v/>
      </c>
      <c r="DB132" s="128">
        <f>IFERROR(AP132*$V132,)</f>
        <v/>
      </c>
      <c r="DC132" s="128">
        <f>IFERROR(AQ132*$V132,)</f>
        <v/>
      </c>
      <c r="DD132" s="128">
        <f>IFERROR(AR132*$V132,)</f>
        <v/>
      </c>
      <c r="DE132" s="128">
        <f>IFERROR(AS132*$V132,)</f>
        <v/>
      </c>
      <c r="DF132" s="128">
        <f>IFERROR(AT132*$V132,)</f>
        <v/>
      </c>
      <c r="DG132" s="128">
        <f>IFERROR(AU132*$V132,)</f>
        <v/>
      </c>
      <c r="DH132" s="128">
        <f>IFERROR(AV132*$V132,)</f>
        <v/>
      </c>
      <c r="DI132" s="128">
        <f>IFERROR(AW132*$V132,)</f>
        <v/>
      </c>
      <c r="DJ132" s="128">
        <f>IFERROR(AX132*$V132,)</f>
        <v/>
      </c>
      <c r="DK132" s="128">
        <f>IFERROR(AY132*$V132,)</f>
        <v/>
      </c>
      <c r="DL132" s="128">
        <f>IFERROR(AZ132*$V132,)</f>
        <v/>
      </c>
      <c r="DM132" s="129">
        <f>IFERROR(if($X132=0,($V132/1.2)*BA132,
BA132*$X132),)</f>
        <v/>
      </c>
      <c r="DN132" s="129">
        <f>IFERROR(if($X132=0,($V132/1.2)*BB132,
BB132*$X132),)</f>
        <v/>
      </c>
      <c r="DO132" s="129">
        <f>IFERROR(if($X132=0,($V132/1.2)*BC132,
BC132*$X132),)</f>
        <v/>
      </c>
      <c r="DP132" s="130">
        <f>IFERROR(if($Z132=0,($V132/1.35)*BD132,
BD132*$Z132),)</f>
        <v/>
      </c>
      <c r="DQ132" s="130">
        <f>IFERROR(if($Z132=0,($V132/1.35)*BE132,
BE132*$Z132),)</f>
        <v/>
      </c>
      <c r="DR132" s="130">
        <f>IFERROR(if($Z132=0,($V132/1.35)*BF132,
BF132*$Z132),)</f>
        <v/>
      </c>
      <c r="DS132" s="128">
        <f>IFERROR(IF($AB132=0,($V132/0.74)*BG132,
BG132*$AB132),)</f>
        <v/>
      </c>
      <c r="DT132" s="128">
        <f>IFERROR(IF($AB132=0,($V132/0.74)*BH132,
BH132*$AB132),)</f>
        <v/>
      </c>
      <c r="DU132" s="128">
        <f>IFERROR(IF($AB132=0,($V132/0.74)*BI132,
BI132*$AB132),)</f>
        <v/>
      </c>
    </row>
    <row r="133" ht="131.25" customHeight="1" s="162">
      <c r="A133" s="115" t="n"/>
      <c r="B133" s="115" t="n"/>
      <c r="C133" s="115" t="n"/>
      <c r="D133" s="115" t="n"/>
      <c r="E133" s="115" t="n"/>
      <c r="F133" s="115" t="n"/>
      <c r="G133" s="115" t="n"/>
      <c r="H133" s="115" t="n"/>
      <c r="I133" s="115" t="n"/>
      <c r="J133" s="115" t="n"/>
      <c r="K133" s="115" t="n"/>
      <c r="L133" s="115" t="n"/>
      <c r="M133" s="115" t="n"/>
      <c r="N133" s="115" t="n"/>
      <c r="O133" s="115" t="n"/>
      <c r="P133" s="115" t="n"/>
      <c r="Q133" s="115" t="n"/>
      <c r="R133" s="115" t="n"/>
      <c r="S133" s="115" t="n"/>
      <c r="T133" s="115" t="n"/>
      <c r="U133" s="116" t="n"/>
      <c r="V133" s="116" t="n"/>
      <c r="W133" s="117" t="n"/>
      <c r="X133" s="118" t="n"/>
      <c r="Y133" s="119" t="n"/>
      <c r="Z133" s="120" t="n"/>
      <c r="AA133" s="121" t="n"/>
      <c r="AB133" s="122" t="n"/>
      <c r="AC133" s="117" t="n"/>
      <c r="AD133" s="123">
        <f>IF(SUM($AE133:$AH133)=0,"",SUM($AE133:$AH133))</f>
        <v/>
      </c>
      <c r="AE133" s="123">
        <f>iferror(IF(SUM($AI133:$AZ133)=0,"",SUM($AI133:$AZ133)),"")</f>
        <v/>
      </c>
      <c r="AF133" s="123">
        <f>iferror(IF(SUM($BA133:$BC133)=0,"",SUM($BA133:$BC133)),"")</f>
        <v/>
      </c>
      <c r="AG133" s="123">
        <f>iferror(IF(SUM($BD133:$BF133)=0,"",SUM($BD133:$BF133)),"")</f>
        <v/>
      </c>
      <c r="AH133" s="124">
        <f>iferror(IF(SUM($BG133:$BI133)=0,"",SUM($BG133:$BI133)),"")</f>
        <v/>
      </c>
      <c r="AI133" s="131" t="n"/>
      <c r="AJ133" s="132" t="n"/>
      <c r="AK133" s="132" t="n"/>
      <c r="AL133" s="132" t="n"/>
      <c r="AM133" s="132" t="n"/>
      <c r="AN133" s="132" t="n"/>
      <c r="AO133" s="132" t="n"/>
      <c r="AP133" s="132" t="n"/>
      <c r="AQ133" s="132" t="n"/>
      <c r="AR133" s="132" t="n"/>
      <c r="AS133" s="132" t="n"/>
      <c r="AT133" s="132" t="n"/>
      <c r="AU133" s="132" t="n"/>
      <c r="AV133" s="132" t="n"/>
      <c r="AW133" s="132" t="n"/>
      <c r="AX133" s="132" t="n"/>
      <c r="AY133" s="132" t="n"/>
      <c r="AZ133" s="133" t="n"/>
      <c r="BA133" s="131" t="n"/>
      <c r="BB133" s="132" t="n"/>
      <c r="BC133" s="133" t="n"/>
      <c r="BD133" s="131" t="n"/>
      <c r="BE133" s="132" t="n"/>
      <c r="BF133" s="133" t="n"/>
      <c r="BG133" s="131" t="n"/>
      <c r="BH133" s="132" t="n"/>
      <c r="BI133" s="132" t="n"/>
      <c r="BJ133" s="128">
        <f>iferror(SUM($BK133,($BL133*1.2),($BM133*1.35),($BN133*0.74)),)</f>
        <v/>
      </c>
      <c r="BK133" s="128">
        <f>IFERROR(SUM($BT133:$CK133),)</f>
        <v/>
      </c>
      <c r="BL133" s="129">
        <f>IFERROR(SUM($CL133:$CN133),)</f>
        <v/>
      </c>
      <c r="BM133" s="130">
        <f>IFERROR(SUM($CO133:$CQ133),)</f>
        <v/>
      </c>
      <c r="BN133" s="128">
        <f>IFERROR(SUM($CR133:$CT133),)</f>
        <v/>
      </c>
      <c r="BO133" s="128">
        <f>iferror(SUM($BP133,($BQ133*1.2),($BR133*1.35),($BS133*0.74)),)</f>
        <v/>
      </c>
      <c r="BP133" s="128">
        <f>IFERROR(SUM($CU133:$DL133),)</f>
        <v/>
      </c>
      <c r="BQ133" s="128">
        <f>IFERROR(SUM($DM133:$DO133),)</f>
        <v/>
      </c>
      <c r="BR133" s="128">
        <f>IFERROR(SUM($DP133:$DR133),)</f>
        <v/>
      </c>
      <c r="BS133" s="128">
        <f>IFERROR(SUM($DS133:$DU133),)</f>
        <v/>
      </c>
      <c r="BT133" s="128">
        <f>IFERROR(AI133*$W133,)</f>
        <v/>
      </c>
      <c r="BU133" s="128">
        <f>IFERROR(AJ133*$W133,)</f>
        <v/>
      </c>
      <c r="BV133" s="128">
        <f>IFERROR(AK133*$W133,)</f>
        <v/>
      </c>
      <c r="BW133" s="128">
        <f>IFERROR(AL133*$W133,)</f>
        <v/>
      </c>
      <c r="BX133" s="128">
        <f>IFERROR(AM133*$W133,)</f>
        <v/>
      </c>
      <c r="BY133" s="128">
        <f>IFERROR(AN133*$W133,)</f>
        <v/>
      </c>
      <c r="BZ133" s="128">
        <f>IFERROR(AO133*$W133,)</f>
        <v/>
      </c>
      <c r="CA133" s="128">
        <f>IFERROR(AP133*$W133,)</f>
        <v/>
      </c>
      <c r="CB133" s="128">
        <f>IFERROR(AQ133*$W133,)</f>
        <v/>
      </c>
      <c r="CC133" s="128">
        <f>IFERROR(AR133*$W133,)</f>
        <v/>
      </c>
      <c r="CD133" s="128">
        <f>IFERROR(AS133*$W133,)</f>
        <v/>
      </c>
      <c r="CE133" s="128">
        <f>IFERROR(AT133*$W133,)</f>
        <v/>
      </c>
      <c r="CF133" s="128">
        <f>IFERROR(AU133*$W133,)</f>
        <v/>
      </c>
      <c r="CG133" s="128">
        <f>IFERROR(AV133*$W133,)</f>
        <v/>
      </c>
      <c r="CH133" s="128">
        <f>IFERROR(AW133*$W133,)</f>
        <v/>
      </c>
      <c r="CI133" s="128">
        <f>IFERROR(AX133*$W133,)</f>
        <v/>
      </c>
      <c r="CJ133" s="128">
        <f>IFERROR(AY133*$W133,)</f>
        <v/>
      </c>
      <c r="CK133" s="128">
        <f>IFERROR(AZ133*$W133,)</f>
        <v/>
      </c>
      <c r="CL133" s="129">
        <f>IFERROR(if($Y133=0,BA133*($W133/1.2),BA133*$Y133),"")</f>
        <v/>
      </c>
      <c r="CM133" s="129">
        <f>IFERROR(if($Y133=0,BB133*($W133/1.2),BB133*$Y133),"")</f>
        <v/>
      </c>
      <c r="CN133" s="129">
        <f>IFERROR(if($Y133=0,BC133*($W133/1.2),BC133*$Y133),"")</f>
        <v/>
      </c>
      <c r="CO133" s="130">
        <f>IFERROR(if($AA133=0,($W133/1.35)*BD133,BD133*$AA133),)</f>
        <v/>
      </c>
      <c r="CP133" s="130">
        <f>IFERROR(if($AA133=0,($W133/1.35)*BE133,BE133*$AA133),)</f>
        <v/>
      </c>
      <c r="CQ133" s="130">
        <f>IFERROR(if($AA133=0,($W133/1.35)*BF133,BF133*$AA133),)</f>
        <v/>
      </c>
      <c r="CR133" s="128">
        <f>IFERROR(if($AC133=0,($W133/0.74)*BG133,
BG133*$AC133),)</f>
        <v/>
      </c>
      <c r="CS133" s="128">
        <f>IFERROR(if($AC133=0,($W133/0.74)*BH133,
BH133*$AC133),)</f>
        <v/>
      </c>
      <c r="CT133" s="128">
        <f>IFERROR(if($AC133=0,($W133/0.74)*BI133,
BI133*$AC133),)</f>
        <v/>
      </c>
      <c r="CU133" s="128">
        <f>IFERROR(AI133*$V133,)</f>
        <v/>
      </c>
      <c r="CV133" s="128">
        <f>IFERROR(AJ133*$V133,)</f>
        <v/>
      </c>
      <c r="CW133" s="128">
        <f>IFERROR(AK133*$V133,)</f>
        <v/>
      </c>
      <c r="CX133" s="128">
        <f>IFERROR(AL133*$V133,)</f>
        <v/>
      </c>
      <c r="CY133" s="128">
        <f>IFERROR(AM133*$V133,)</f>
        <v/>
      </c>
      <c r="CZ133" s="128">
        <f>IFERROR(AN133*$V133,)</f>
        <v/>
      </c>
      <c r="DA133" s="128">
        <f>IFERROR(AO133*$V133,)</f>
        <v/>
      </c>
      <c r="DB133" s="128">
        <f>IFERROR(AP133*$V133,)</f>
        <v/>
      </c>
      <c r="DC133" s="128">
        <f>IFERROR(AQ133*$V133,)</f>
        <v/>
      </c>
      <c r="DD133" s="128">
        <f>IFERROR(AR133*$V133,)</f>
        <v/>
      </c>
      <c r="DE133" s="128">
        <f>IFERROR(AS133*$V133,)</f>
        <v/>
      </c>
      <c r="DF133" s="128">
        <f>IFERROR(AT133*$V133,)</f>
        <v/>
      </c>
      <c r="DG133" s="128">
        <f>IFERROR(AU133*$V133,)</f>
        <v/>
      </c>
      <c r="DH133" s="128">
        <f>IFERROR(AV133*$V133,)</f>
        <v/>
      </c>
      <c r="DI133" s="128">
        <f>IFERROR(AW133*$V133,)</f>
        <v/>
      </c>
      <c r="DJ133" s="128">
        <f>IFERROR(AX133*$V133,)</f>
        <v/>
      </c>
      <c r="DK133" s="128">
        <f>IFERROR(AY133*$V133,)</f>
        <v/>
      </c>
      <c r="DL133" s="128">
        <f>IFERROR(AZ133*$V133,)</f>
        <v/>
      </c>
      <c r="DM133" s="129">
        <f>IFERROR(if($X133=0,($V133/1.2)*BA133,
BA133*$X133),)</f>
        <v/>
      </c>
      <c r="DN133" s="129">
        <f>IFERROR(if($X133=0,($V133/1.2)*BB133,
BB133*$X133),)</f>
        <v/>
      </c>
      <c r="DO133" s="129">
        <f>IFERROR(if($X133=0,($V133/1.2)*BC133,
BC133*$X133),)</f>
        <v/>
      </c>
      <c r="DP133" s="130">
        <f>IFERROR(if($Z133=0,($V133/1.35)*BD133,
BD133*$Z133),)</f>
        <v/>
      </c>
      <c r="DQ133" s="130">
        <f>IFERROR(if($Z133=0,($V133/1.35)*BE133,
BE133*$Z133),)</f>
        <v/>
      </c>
      <c r="DR133" s="130">
        <f>IFERROR(if($Z133=0,($V133/1.35)*BF133,
BF133*$Z133),)</f>
        <v/>
      </c>
      <c r="DS133" s="128">
        <f>IFERROR(IF($AB133=0,($V133/0.74)*BG133,
BG133*$AB133),)</f>
        <v/>
      </c>
      <c r="DT133" s="128">
        <f>IFERROR(IF($AB133=0,($V133/0.74)*BH133,
BH133*$AB133),)</f>
        <v/>
      </c>
      <c r="DU133" s="128">
        <f>IFERROR(IF($AB133=0,($V133/0.74)*BI133,
BI133*$AB133),)</f>
        <v/>
      </c>
    </row>
    <row r="134" ht="131.25" customHeight="1" s="162">
      <c r="A134" s="115" t="n"/>
      <c r="B134" s="115" t="n"/>
      <c r="C134" s="115" t="n"/>
      <c r="D134" s="115" t="n"/>
      <c r="E134" s="115" t="n"/>
      <c r="F134" s="115" t="n"/>
      <c r="G134" s="115" t="n"/>
      <c r="H134" s="115" t="n"/>
      <c r="I134" s="115" t="n"/>
      <c r="J134" s="115" t="n"/>
      <c r="K134" s="115" t="n"/>
      <c r="L134" s="115" t="n"/>
      <c r="M134" s="115" t="n"/>
      <c r="N134" s="115" t="n"/>
      <c r="O134" s="115" t="n"/>
      <c r="P134" s="115" t="n"/>
      <c r="Q134" s="115" t="n"/>
      <c r="R134" s="115" t="n"/>
      <c r="S134" s="115" t="n"/>
      <c r="T134" s="115" t="n"/>
      <c r="U134" s="116" t="n"/>
      <c r="V134" s="116" t="n"/>
      <c r="W134" s="117" t="n"/>
      <c r="X134" s="118" t="n"/>
      <c r="Y134" s="119" t="n"/>
      <c r="Z134" s="120" t="n"/>
      <c r="AA134" s="121" t="n"/>
      <c r="AB134" s="122" t="n"/>
      <c r="AC134" s="117" t="n"/>
      <c r="AD134" s="123">
        <f>IF(SUM($AE134:$AH134)=0,"",SUM($AE134:$AH134))</f>
        <v/>
      </c>
      <c r="AE134" s="123">
        <f>iferror(IF(SUM($AI134:$AZ134)=0,"",SUM($AI134:$AZ134)),"")</f>
        <v/>
      </c>
      <c r="AF134" s="123">
        <f>iferror(IF(SUM($BA134:$BC134)=0,"",SUM($BA134:$BC134)),"")</f>
        <v/>
      </c>
      <c r="AG134" s="123">
        <f>iferror(IF(SUM($BD134:$BF134)=0,"",SUM($BD134:$BF134)),"")</f>
        <v/>
      </c>
      <c r="AH134" s="124">
        <f>iferror(IF(SUM($BG134:$BI134)=0,"",SUM($BG134:$BI134)),"")</f>
        <v/>
      </c>
      <c r="AI134" s="131" t="n"/>
      <c r="AJ134" s="132" t="n"/>
      <c r="AK134" s="132" t="n"/>
      <c r="AL134" s="132" t="n"/>
      <c r="AM134" s="132" t="n"/>
      <c r="AN134" s="132" t="n"/>
      <c r="AO134" s="132" t="n"/>
      <c r="AP134" s="132" t="n"/>
      <c r="AQ134" s="132" t="n"/>
      <c r="AR134" s="132" t="n"/>
      <c r="AS134" s="132" t="n"/>
      <c r="AT134" s="132" t="n"/>
      <c r="AU134" s="132" t="n"/>
      <c r="AV134" s="132" t="n"/>
      <c r="AW134" s="132" t="n"/>
      <c r="AX134" s="132" t="n"/>
      <c r="AY134" s="132" t="n"/>
      <c r="AZ134" s="133" t="n"/>
      <c r="BA134" s="131" t="n"/>
      <c r="BB134" s="132" t="n"/>
      <c r="BC134" s="133" t="n"/>
      <c r="BD134" s="131" t="n"/>
      <c r="BE134" s="132" t="n"/>
      <c r="BF134" s="133" t="n"/>
      <c r="BG134" s="131" t="n"/>
      <c r="BH134" s="132" t="n"/>
      <c r="BI134" s="132" t="n"/>
      <c r="BJ134" s="128">
        <f>iferror(SUM($BK134,($BL134*1.2),($BM134*1.35),($BN134*0.74)),)</f>
        <v/>
      </c>
      <c r="BK134" s="128">
        <f>IFERROR(SUM($BT134:$CK134),)</f>
        <v/>
      </c>
      <c r="BL134" s="129">
        <f>IFERROR(SUM($CL134:$CN134),)</f>
        <v/>
      </c>
      <c r="BM134" s="130">
        <f>IFERROR(SUM($CO134:$CQ134),)</f>
        <v/>
      </c>
      <c r="BN134" s="128">
        <f>IFERROR(SUM($CR134:$CT134),)</f>
        <v/>
      </c>
      <c r="BO134" s="128">
        <f>iferror(SUM($BP134,($BQ134*1.2),($BR134*1.35),($BS134*0.74)),)</f>
        <v/>
      </c>
      <c r="BP134" s="128">
        <f>IFERROR(SUM($CU134:$DL134),)</f>
        <v/>
      </c>
      <c r="BQ134" s="128">
        <f>IFERROR(SUM($DM134:$DO134),)</f>
        <v/>
      </c>
      <c r="BR134" s="128">
        <f>IFERROR(SUM($DP134:$DR134),)</f>
        <v/>
      </c>
      <c r="BS134" s="128">
        <f>IFERROR(SUM($DS134:$DU134),)</f>
        <v/>
      </c>
      <c r="BT134" s="128">
        <f>IFERROR(AI134*$W134,)</f>
        <v/>
      </c>
      <c r="BU134" s="128">
        <f>IFERROR(AJ134*$W134,)</f>
        <v/>
      </c>
      <c r="BV134" s="128">
        <f>IFERROR(AK134*$W134,)</f>
        <v/>
      </c>
      <c r="BW134" s="128">
        <f>IFERROR(AL134*$W134,)</f>
        <v/>
      </c>
      <c r="BX134" s="128">
        <f>IFERROR(AM134*$W134,)</f>
        <v/>
      </c>
      <c r="BY134" s="128">
        <f>IFERROR(AN134*$W134,)</f>
        <v/>
      </c>
      <c r="BZ134" s="128">
        <f>IFERROR(AO134*$W134,)</f>
        <v/>
      </c>
      <c r="CA134" s="128">
        <f>IFERROR(AP134*$W134,)</f>
        <v/>
      </c>
      <c r="CB134" s="128">
        <f>IFERROR(AQ134*$W134,)</f>
        <v/>
      </c>
      <c r="CC134" s="128">
        <f>IFERROR(AR134*$W134,)</f>
        <v/>
      </c>
      <c r="CD134" s="128">
        <f>IFERROR(AS134*$W134,)</f>
        <v/>
      </c>
      <c r="CE134" s="128">
        <f>IFERROR(AT134*$W134,)</f>
        <v/>
      </c>
      <c r="CF134" s="128">
        <f>IFERROR(AU134*$W134,)</f>
        <v/>
      </c>
      <c r="CG134" s="128">
        <f>IFERROR(AV134*$W134,)</f>
        <v/>
      </c>
      <c r="CH134" s="128">
        <f>IFERROR(AW134*$W134,)</f>
        <v/>
      </c>
      <c r="CI134" s="128">
        <f>IFERROR(AX134*$W134,)</f>
        <v/>
      </c>
      <c r="CJ134" s="128">
        <f>IFERROR(AY134*$W134,)</f>
        <v/>
      </c>
      <c r="CK134" s="128">
        <f>IFERROR(AZ134*$W134,)</f>
        <v/>
      </c>
      <c r="CL134" s="129">
        <f>IFERROR(if($Y134=0,BA134*($W134/1.2),BA134*$Y134),"")</f>
        <v/>
      </c>
      <c r="CM134" s="129">
        <f>IFERROR(if($Y134=0,BB134*($W134/1.2),BB134*$Y134),"")</f>
        <v/>
      </c>
      <c r="CN134" s="129">
        <f>IFERROR(if($Y134=0,BC134*($W134/1.2),BC134*$Y134),"")</f>
        <v/>
      </c>
      <c r="CO134" s="130">
        <f>IFERROR(if($AA134=0,($W134/1.35)*BD134,BD134*$AA134),)</f>
        <v/>
      </c>
      <c r="CP134" s="130">
        <f>IFERROR(if($AA134=0,($W134/1.35)*BE134,BE134*$AA134),)</f>
        <v/>
      </c>
      <c r="CQ134" s="130">
        <f>IFERROR(if($AA134=0,($W134/1.35)*BF134,BF134*$AA134),)</f>
        <v/>
      </c>
      <c r="CR134" s="128">
        <f>IFERROR(if($AC134=0,($W134/0.74)*BG134,
BG134*$AC134),)</f>
        <v/>
      </c>
      <c r="CS134" s="128">
        <f>IFERROR(if($AC134=0,($W134/0.74)*BH134,
BH134*$AC134),)</f>
        <v/>
      </c>
      <c r="CT134" s="128">
        <f>IFERROR(if($AC134=0,($W134/0.74)*BI134,
BI134*$AC134),)</f>
        <v/>
      </c>
      <c r="CU134" s="128">
        <f>IFERROR(AI134*$V134,)</f>
        <v/>
      </c>
      <c r="CV134" s="128">
        <f>IFERROR(AJ134*$V134,)</f>
        <v/>
      </c>
      <c r="CW134" s="128">
        <f>IFERROR(AK134*$V134,)</f>
        <v/>
      </c>
      <c r="CX134" s="128">
        <f>IFERROR(AL134*$V134,)</f>
        <v/>
      </c>
      <c r="CY134" s="128">
        <f>IFERROR(AM134*$V134,)</f>
        <v/>
      </c>
      <c r="CZ134" s="128">
        <f>IFERROR(AN134*$V134,)</f>
        <v/>
      </c>
      <c r="DA134" s="128">
        <f>IFERROR(AO134*$V134,)</f>
        <v/>
      </c>
      <c r="DB134" s="128">
        <f>IFERROR(AP134*$V134,)</f>
        <v/>
      </c>
      <c r="DC134" s="128">
        <f>IFERROR(AQ134*$V134,)</f>
        <v/>
      </c>
      <c r="DD134" s="128">
        <f>IFERROR(AR134*$V134,)</f>
        <v/>
      </c>
      <c r="DE134" s="128">
        <f>IFERROR(AS134*$V134,)</f>
        <v/>
      </c>
      <c r="DF134" s="128">
        <f>IFERROR(AT134*$V134,)</f>
        <v/>
      </c>
      <c r="DG134" s="128">
        <f>IFERROR(AU134*$V134,)</f>
        <v/>
      </c>
      <c r="DH134" s="128">
        <f>IFERROR(AV134*$V134,)</f>
        <v/>
      </c>
      <c r="DI134" s="128">
        <f>IFERROR(AW134*$V134,)</f>
        <v/>
      </c>
      <c r="DJ134" s="128">
        <f>IFERROR(AX134*$V134,)</f>
        <v/>
      </c>
      <c r="DK134" s="128">
        <f>IFERROR(AY134*$V134,)</f>
        <v/>
      </c>
      <c r="DL134" s="128">
        <f>IFERROR(AZ134*$V134,)</f>
        <v/>
      </c>
      <c r="DM134" s="129">
        <f>IFERROR(if($X134=0,($V134/1.2)*BA134,
BA134*$X134),)</f>
        <v/>
      </c>
      <c r="DN134" s="129">
        <f>IFERROR(if($X134=0,($V134/1.2)*BB134,
BB134*$X134),)</f>
        <v/>
      </c>
      <c r="DO134" s="129">
        <f>IFERROR(if($X134=0,($V134/1.2)*BC134,
BC134*$X134),)</f>
        <v/>
      </c>
      <c r="DP134" s="130">
        <f>IFERROR(if($Z134=0,($V134/1.35)*BD134,
BD134*$Z134),)</f>
        <v/>
      </c>
      <c r="DQ134" s="130">
        <f>IFERROR(if($Z134=0,($V134/1.35)*BE134,
BE134*$Z134),)</f>
        <v/>
      </c>
      <c r="DR134" s="130">
        <f>IFERROR(if($Z134=0,($V134/1.35)*BF134,
BF134*$Z134),)</f>
        <v/>
      </c>
      <c r="DS134" s="128">
        <f>IFERROR(IF($AB134=0,($V134/0.74)*BG134,
BG134*$AB134),)</f>
        <v/>
      </c>
      <c r="DT134" s="128">
        <f>IFERROR(IF($AB134=0,($V134/0.74)*BH134,
BH134*$AB134),)</f>
        <v/>
      </c>
      <c r="DU134" s="128">
        <f>IFERROR(IF($AB134=0,($V134/0.74)*BI134,
BI134*$AB134),)</f>
        <v/>
      </c>
    </row>
    <row r="135" ht="131.25" customHeight="1" s="162">
      <c r="A135" s="115" t="n"/>
      <c r="B135" s="115" t="n"/>
      <c r="C135" s="115" t="n"/>
      <c r="D135" s="115" t="n"/>
      <c r="E135" s="115" t="n"/>
      <c r="F135" s="115" t="n"/>
      <c r="G135" s="115" t="n"/>
      <c r="H135" s="115" t="n"/>
      <c r="I135" s="115" t="n"/>
      <c r="J135" s="115" t="n"/>
      <c r="K135" s="115" t="n"/>
      <c r="L135" s="115" t="n"/>
      <c r="M135" s="115" t="n"/>
      <c r="N135" s="115" t="n"/>
      <c r="O135" s="115" t="n"/>
      <c r="P135" s="115" t="n"/>
      <c r="Q135" s="115" t="n"/>
      <c r="R135" s="115" t="n"/>
      <c r="S135" s="115" t="n"/>
      <c r="T135" s="115" t="n"/>
      <c r="U135" s="116" t="n"/>
      <c r="V135" s="116" t="n"/>
      <c r="W135" s="117" t="n"/>
      <c r="X135" s="118" t="n"/>
      <c r="Y135" s="119" t="n"/>
      <c r="Z135" s="120" t="n"/>
      <c r="AA135" s="121" t="n"/>
      <c r="AB135" s="122" t="n"/>
      <c r="AC135" s="117" t="n"/>
      <c r="AD135" s="123">
        <f>IF(SUM($AE135:$AH135)=0,"",SUM($AE135:$AH135))</f>
        <v/>
      </c>
      <c r="AE135" s="123">
        <f>iferror(IF(SUM($AI135:$AZ135)=0,"",SUM($AI135:$AZ135)),"")</f>
        <v/>
      </c>
      <c r="AF135" s="123">
        <f>iferror(IF(SUM($BA135:$BC135)=0,"",SUM($BA135:$BC135)),"")</f>
        <v/>
      </c>
      <c r="AG135" s="123">
        <f>iferror(IF(SUM($BD135:$BF135)=0,"",SUM($BD135:$BF135)),"")</f>
        <v/>
      </c>
      <c r="AH135" s="124">
        <f>iferror(IF(SUM($BG135:$BI135)=0,"",SUM($BG135:$BI135)),"")</f>
        <v/>
      </c>
      <c r="AI135" s="131" t="n"/>
      <c r="AJ135" s="132" t="n"/>
      <c r="AK135" s="132" t="n"/>
      <c r="AL135" s="132" t="n"/>
      <c r="AM135" s="132" t="n"/>
      <c r="AN135" s="132" t="n"/>
      <c r="AO135" s="132" t="n"/>
      <c r="AP135" s="132" t="n"/>
      <c r="AQ135" s="132" t="n"/>
      <c r="AR135" s="132" t="n"/>
      <c r="AS135" s="132" t="n"/>
      <c r="AT135" s="132" t="n"/>
      <c r="AU135" s="132" t="n"/>
      <c r="AV135" s="132" t="n"/>
      <c r="AW135" s="132" t="n"/>
      <c r="AX135" s="132" t="n"/>
      <c r="AY135" s="132" t="n"/>
      <c r="AZ135" s="133" t="n"/>
      <c r="BA135" s="131" t="n"/>
      <c r="BB135" s="132" t="n"/>
      <c r="BC135" s="133" t="n"/>
      <c r="BD135" s="131" t="n"/>
      <c r="BE135" s="132" t="n"/>
      <c r="BF135" s="133" t="n"/>
      <c r="BG135" s="131" t="n"/>
      <c r="BH135" s="132" t="n"/>
      <c r="BI135" s="132" t="n"/>
      <c r="BJ135" s="128">
        <f>iferror(SUM($BK135,($BL135*1.2),($BM135*1.35),($BN135*0.74)),)</f>
        <v/>
      </c>
      <c r="BK135" s="128">
        <f>IFERROR(SUM($BT135:$CK135),)</f>
        <v/>
      </c>
      <c r="BL135" s="129">
        <f>IFERROR(SUM($CL135:$CN135),)</f>
        <v/>
      </c>
      <c r="BM135" s="130">
        <f>IFERROR(SUM($CO135:$CQ135),)</f>
        <v/>
      </c>
      <c r="BN135" s="128">
        <f>IFERROR(SUM($CR135:$CT135),)</f>
        <v/>
      </c>
      <c r="BO135" s="128">
        <f>iferror(SUM($BP135,($BQ135*1.2),($BR135*1.35),($BS135*0.74)),)</f>
        <v/>
      </c>
      <c r="BP135" s="128">
        <f>IFERROR(SUM($CU135:$DL135),)</f>
        <v/>
      </c>
      <c r="BQ135" s="128">
        <f>IFERROR(SUM($DM135:$DO135),)</f>
        <v/>
      </c>
      <c r="BR135" s="128">
        <f>IFERROR(SUM($DP135:$DR135),)</f>
        <v/>
      </c>
      <c r="BS135" s="128">
        <f>IFERROR(SUM($DS135:$DU135),)</f>
        <v/>
      </c>
      <c r="BT135" s="128">
        <f>IFERROR(AI135*$W135,)</f>
        <v/>
      </c>
      <c r="BU135" s="128">
        <f>IFERROR(AJ135*$W135,)</f>
        <v/>
      </c>
      <c r="BV135" s="128">
        <f>IFERROR(AK135*$W135,)</f>
        <v/>
      </c>
      <c r="BW135" s="128">
        <f>IFERROR(AL135*$W135,)</f>
        <v/>
      </c>
      <c r="BX135" s="128">
        <f>IFERROR(AM135*$W135,)</f>
        <v/>
      </c>
      <c r="BY135" s="128">
        <f>IFERROR(AN135*$W135,)</f>
        <v/>
      </c>
      <c r="BZ135" s="128">
        <f>IFERROR(AO135*$W135,)</f>
        <v/>
      </c>
      <c r="CA135" s="128">
        <f>IFERROR(AP135*$W135,)</f>
        <v/>
      </c>
      <c r="CB135" s="128">
        <f>IFERROR(AQ135*$W135,)</f>
        <v/>
      </c>
      <c r="CC135" s="128">
        <f>IFERROR(AR135*$W135,)</f>
        <v/>
      </c>
      <c r="CD135" s="128">
        <f>IFERROR(AS135*$W135,)</f>
        <v/>
      </c>
      <c r="CE135" s="128">
        <f>IFERROR(AT135*$W135,)</f>
        <v/>
      </c>
      <c r="CF135" s="128">
        <f>IFERROR(AU135*$W135,)</f>
        <v/>
      </c>
      <c r="CG135" s="128">
        <f>IFERROR(AV135*$W135,)</f>
        <v/>
      </c>
      <c r="CH135" s="128">
        <f>IFERROR(AW135*$W135,)</f>
        <v/>
      </c>
      <c r="CI135" s="128">
        <f>IFERROR(AX135*$W135,)</f>
        <v/>
      </c>
      <c r="CJ135" s="128">
        <f>IFERROR(AY135*$W135,)</f>
        <v/>
      </c>
      <c r="CK135" s="128">
        <f>IFERROR(AZ135*$W135,)</f>
        <v/>
      </c>
      <c r="CL135" s="129">
        <f>IFERROR(if($Y135=0,BA135*($W135/1.2),BA135*$Y135),"")</f>
        <v/>
      </c>
      <c r="CM135" s="129">
        <f>IFERROR(if($Y135=0,BB135*($W135/1.2),BB135*$Y135),"")</f>
        <v/>
      </c>
      <c r="CN135" s="129">
        <f>IFERROR(if($Y135=0,BC135*($W135/1.2),BC135*$Y135),"")</f>
        <v/>
      </c>
      <c r="CO135" s="130">
        <f>IFERROR(if($AA135=0,($W135/1.35)*BD135,BD135*$AA135),)</f>
        <v/>
      </c>
      <c r="CP135" s="130">
        <f>IFERROR(if($AA135=0,($W135/1.35)*BE135,BE135*$AA135),)</f>
        <v/>
      </c>
      <c r="CQ135" s="130">
        <f>IFERROR(if($AA135=0,($W135/1.35)*BF135,BF135*$AA135),)</f>
        <v/>
      </c>
      <c r="CR135" s="128">
        <f>IFERROR(if($AC135=0,($W135/0.74)*BG135,
BG135*$AC135),)</f>
        <v/>
      </c>
      <c r="CS135" s="128">
        <f>IFERROR(if($AC135=0,($W135/0.74)*BH135,
BH135*$AC135),)</f>
        <v/>
      </c>
      <c r="CT135" s="128">
        <f>IFERROR(if($AC135=0,($W135/0.74)*BI135,
BI135*$AC135),)</f>
        <v/>
      </c>
      <c r="CU135" s="128">
        <f>IFERROR(AI135*$V135,)</f>
        <v/>
      </c>
      <c r="CV135" s="128">
        <f>IFERROR(AJ135*$V135,)</f>
        <v/>
      </c>
      <c r="CW135" s="128">
        <f>IFERROR(AK135*$V135,)</f>
        <v/>
      </c>
      <c r="CX135" s="128">
        <f>IFERROR(AL135*$V135,)</f>
        <v/>
      </c>
      <c r="CY135" s="128">
        <f>IFERROR(AM135*$V135,)</f>
        <v/>
      </c>
      <c r="CZ135" s="128">
        <f>IFERROR(AN135*$V135,)</f>
        <v/>
      </c>
      <c r="DA135" s="128">
        <f>IFERROR(AO135*$V135,)</f>
        <v/>
      </c>
      <c r="DB135" s="128">
        <f>IFERROR(AP135*$V135,)</f>
        <v/>
      </c>
      <c r="DC135" s="128">
        <f>IFERROR(AQ135*$V135,)</f>
        <v/>
      </c>
      <c r="DD135" s="128">
        <f>IFERROR(AR135*$V135,)</f>
        <v/>
      </c>
      <c r="DE135" s="128">
        <f>IFERROR(AS135*$V135,)</f>
        <v/>
      </c>
      <c r="DF135" s="128">
        <f>IFERROR(AT135*$V135,)</f>
        <v/>
      </c>
      <c r="DG135" s="128">
        <f>IFERROR(AU135*$V135,)</f>
        <v/>
      </c>
      <c r="DH135" s="128">
        <f>IFERROR(AV135*$V135,)</f>
        <v/>
      </c>
      <c r="DI135" s="128">
        <f>IFERROR(AW135*$V135,)</f>
        <v/>
      </c>
      <c r="DJ135" s="128">
        <f>IFERROR(AX135*$V135,)</f>
        <v/>
      </c>
      <c r="DK135" s="128">
        <f>IFERROR(AY135*$V135,)</f>
        <v/>
      </c>
      <c r="DL135" s="128">
        <f>IFERROR(AZ135*$V135,)</f>
        <v/>
      </c>
      <c r="DM135" s="129">
        <f>IFERROR(if($X135=0,($V135/1.2)*BA135,
BA135*$X135),)</f>
        <v/>
      </c>
      <c r="DN135" s="129">
        <f>IFERROR(if($X135=0,($V135/1.2)*BB135,
BB135*$X135),)</f>
        <v/>
      </c>
      <c r="DO135" s="129">
        <f>IFERROR(if($X135=0,($V135/1.2)*BC135,
BC135*$X135),)</f>
        <v/>
      </c>
      <c r="DP135" s="130">
        <f>IFERROR(if($Z135=0,($V135/1.35)*BD135,
BD135*$Z135),)</f>
        <v/>
      </c>
      <c r="DQ135" s="130">
        <f>IFERROR(if($Z135=0,($V135/1.35)*BE135,
BE135*$Z135),)</f>
        <v/>
      </c>
      <c r="DR135" s="130">
        <f>IFERROR(if($Z135=0,($V135/1.35)*BF135,
BF135*$Z135),)</f>
        <v/>
      </c>
      <c r="DS135" s="128">
        <f>IFERROR(IF($AB135=0,($V135/0.74)*BG135,
BG135*$AB135),)</f>
        <v/>
      </c>
      <c r="DT135" s="128">
        <f>IFERROR(IF($AB135=0,($V135/0.74)*BH135,
BH135*$AB135),)</f>
        <v/>
      </c>
      <c r="DU135" s="128">
        <f>IFERROR(IF($AB135=0,($V135/0.74)*BI135,
BI135*$AB135),)</f>
        <v/>
      </c>
    </row>
    <row r="136" ht="131.25" customHeight="1" s="162">
      <c r="A136" s="115" t="n"/>
      <c r="B136" s="115" t="n"/>
      <c r="C136" s="115" t="n"/>
      <c r="D136" s="115" t="n"/>
      <c r="E136" s="115" t="n"/>
      <c r="F136" s="115" t="n"/>
      <c r="G136" s="115" t="n"/>
      <c r="H136" s="115" t="n"/>
      <c r="I136" s="115" t="n"/>
      <c r="J136" s="115" t="n"/>
      <c r="K136" s="115" t="n"/>
      <c r="L136" s="115" t="n"/>
      <c r="M136" s="115" t="n"/>
      <c r="N136" s="115" t="n"/>
      <c r="O136" s="115" t="n"/>
      <c r="P136" s="115" t="n"/>
      <c r="Q136" s="115" t="n"/>
      <c r="R136" s="115" t="n"/>
      <c r="S136" s="115" t="n"/>
      <c r="T136" s="115" t="n"/>
      <c r="U136" s="116" t="n"/>
      <c r="V136" s="116" t="n"/>
      <c r="W136" s="117" t="n"/>
      <c r="X136" s="118" t="n"/>
      <c r="Y136" s="119" t="n"/>
      <c r="Z136" s="120" t="n"/>
      <c r="AA136" s="121" t="n"/>
      <c r="AB136" s="122" t="n"/>
      <c r="AC136" s="117" t="n"/>
      <c r="AD136" s="123">
        <f>IF(SUM($AE136:$AH136)=0,"",SUM($AE136:$AH136))</f>
        <v/>
      </c>
      <c r="AE136" s="123">
        <f>iferror(IF(SUM($AI136:$AZ136)=0,"",SUM($AI136:$AZ136)),"")</f>
        <v/>
      </c>
      <c r="AF136" s="123">
        <f>iferror(IF(SUM($BA136:$BC136)=0,"",SUM($BA136:$BC136)),"")</f>
        <v/>
      </c>
      <c r="AG136" s="123">
        <f>iferror(IF(SUM($BD136:$BF136)=0,"",SUM($BD136:$BF136)),"")</f>
        <v/>
      </c>
      <c r="AH136" s="124">
        <f>iferror(IF(SUM($BG136:$BI136)=0,"",SUM($BG136:$BI136)),"")</f>
        <v/>
      </c>
      <c r="AI136" s="131" t="n"/>
      <c r="AJ136" s="132" t="n"/>
      <c r="AK136" s="132" t="n"/>
      <c r="AL136" s="132" t="n"/>
      <c r="AM136" s="132" t="n"/>
      <c r="AN136" s="132" t="n"/>
      <c r="AO136" s="132" t="n"/>
      <c r="AP136" s="132" t="n"/>
      <c r="AQ136" s="132" t="n"/>
      <c r="AR136" s="132" t="n"/>
      <c r="AS136" s="132" t="n"/>
      <c r="AT136" s="132" t="n"/>
      <c r="AU136" s="132" t="n"/>
      <c r="AV136" s="132" t="n"/>
      <c r="AW136" s="132" t="n"/>
      <c r="AX136" s="132" t="n"/>
      <c r="AY136" s="132" t="n"/>
      <c r="AZ136" s="133" t="n"/>
      <c r="BA136" s="131" t="n"/>
      <c r="BB136" s="132" t="n"/>
      <c r="BC136" s="133" t="n"/>
      <c r="BD136" s="131" t="n"/>
      <c r="BE136" s="132" t="n"/>
      <c r="BF136" s="133" t="n"/>
      <c r="BG136" s="131" t="n"/>
      <c r="BH136" s="132" t="n"/>
      <c r="BI136" s="132" t="n"/>
      <c r="BJ136" s="128">
        <f>iferror(SUM($BK136,($BL136*1.2),($BM136*1.35),($BN136*0.74)),)</f>
        <v/>
      </c>
      <c r="BK136" s="128">
        <f>IFERROR(SUM($BT136:$CK136),)</f>
        <v/>
      </c>
      <c r="BL136" s="129">
        <f>IFERROR(SUM($CL136:$CN136),)</f>
        <v/>
      </c>
      <c r="BM136" s="130">
        <f>IFERROR(SUM($CO136:$CQ136),)</f>
        <v/>
      </c>
      <c r="BN136" s="128">
        <f>IFERROR(SUM($CR136:$CT136),)</f>
        <v/>
      </c>
      <c r="BO136" s="128">
        <f>iferror(SUM($BP136,($BQ136*1.2),($BR136*1.35),($BS136*0.74)),)</f>
        <v/>
      </c>
      <c r="BP136" s="128">
        <f>IFERROR(SUM($CU136:$DL136),)</f>
        <v/>
      </c>
      <c r="BQ136" s="128">
        <f>IFERROR(SUM($DM136:$DO136),)</f>
        <v/>
      </c>
      <c r="BR136" s="128">
        <f>IFERROR(SUM($DP136:$DR136),)</f>
        <v/>
      </c>
      <c r="BS136" s="128">
        <f>IFERROR(SUM($DS136:$DU136),)</f>
        <v/>
      </c>
      <c r="BT136" s="128">
        <f>IFERROR(AI136*$W136,)</f>
        <v/>
      </c>
      <c r="BU136" s="128">
        <f>IFERROR(AJ136*$W136,)</f>
        <v/>
      </c>
      <c r="BV136" s="128">
        <f>IFERROR(AK136*$W136,)</f>
        <v/>
      </c>
      <c r="BW136" s="128">
        <f>IFERROR(AL136*$W136,)</f>
        <v/>
      </c>
      <c r="BX136" s="128">
        <f>IFERROR(AM136*$W136,)</f>
        <v/>
      </c>
      <c r="BY136" s="128">
        <f>IFERROR(AN136*$W136,)</f>
        <v/>
      </c>
      <c r="BZ136" s="128">
        <f>IFERROR(AO136*$W136,)</f>
        <v/>
      </c>
      <c r="CA136" s="128">
        <f>IFERROR(AP136*$W136,)</f>
        <v/>
      </c>
      <c r="CB136" s="128">
        <f>IFERROR(AQ136*$W136,)</f>
        <v/>
      </c>
      <c r="CC136" s="128">
        <f>IFERROR(AR136*$W136,)</f>
        <v/>
      </c>
      <c r="CD136" s="128">
        <f>IFERROR(AS136*$W136,)</f>
        <v/>
      </c>
      <c r="CE136" s="128">
        <f>IFERROR(AT136*$W136,)</f>
        <v/>
      </c>
      <c r="CF136" s="128">
        <f>IFERROR(AU136*$W136,)</f>
        <v/>
      </c>
      <c r="CG136" s="128">
        <f>IFERROR(AV136*$W136,)</f>
        <v/>
      </c>
      <c r="CH136" s="128">
        <f>IFERROR(AW136*$W136,)</f>
        <v/>
      </c>
      <c r="CI136" s="128">
        <f>IFERROR(AX136*$W136,)</f>
        <v/>
      </c>
      <c r="CJ136" s="128">
        <f>IFERROR(AY136*$W136,)</f>
        <v/>
      </c>
      <c r="CK136" s="128">
        <f>IFERROR(AZ136*$W136,)</f>
        <v/>
      </c>
      <c r="CL136" s="129">
        <f>IFERROR(if($Y136=0,BA136*($W136/1.2),BA136*$Y136),"")</f>
        <v/>
      </c>
      <c r="CM136" s="129">
        <f>IFERROR(if($Y136=0,BB136*($W136/1.2),BB136*$Y136),"")</f>
        <v/>
      </c>
      <c r="CN136" s="129">
        <f>IFERROR(if($Y136=0,BC136*($W136/1.2),BC136*$Y136),"")</f>
        <v/>
      </c>
      <c r="CO136" s="130">
        <f>IFERROR(if($AA136=0,($W136/1.35)*BD136,BD136*$AA136),)</f>
        <v/>
      </c>
      <c r="CP136" s="130">
        <f>IFERROR(if($AA136=0,($W136/1.35)*BE136,BE136*$AA136),)</f>
        <v/>
      </c>
      <c r="CQ136" s="130">
        <f>IFERROR(if($AA136=0,($W136/1.35)*BF136,BF136*$AA136),)</f>
        <v/>
      </c>
      <c r="CR136" s="128">
        <f>IFERROR(if($AC136=0,($W136/0.74)*BG136,
BG136*$AC136),)</f>
        <v/>
      </c>
      <c r="CS136" s="128">
        <f>IFERROR(if($AC136=0,($W136/0.74)*BH136,
BH136*$AC136),)</f>
        <v/>
      </c>
      <c r="CT136" s="128">
        <f>IFERROR(if($AC136=0,($W136/0.74)*BI136,
BI136*$AC136),)</f>
        <v/>
      </c>
      <c r="CU136" s="128">
        <f>IFERROR(AI136*$V136,)</f>
        <v/>
      </c>
      <c r="CV136" s="128">
        <f>IFERROR(AJ136*$V136,)</f>
        <v/>
      </c>
      <c r="CW136" s="128">
        <f>IFERROR(AK136*$V136,)</f>
        <v/>
      </c>
      <c r="CX136" s="128">
        <f>IFERROR(AL136*$V136,)</f>
        <v/>
      </c>
      <c r="CY136" s="128">
        <f>IFERROR(AM136*$V136,)</f>
        <v/>
      </c>
      <c r="CZ136" s="128">
        <f>IFERROR(AN136*$V136,)</f>
        <v/>
      </c>
      <c r="DA136" s="128">
        <f>IFERROR(AO136*$V136,)</f>
        <v/>
      </c>
      <c r="DB136" s="128">
        <f>IFERROR(AP136*$V136,)</f>
        <v/>
      </c>
      <c r="DC136" s="128">
        <f>IFERROR(AQ136*$V136,)</f>
        <v/>
      </c>
      <c r="DD136" s="128">
        <f>IFERROR(AR136*$V136,)</f>
        <v/>
      </c>
      <c r="DE136" s="128">
        <f>IFERROR(AS136*$V136,)</f>
        <v/>
      </c>
      <c r="DF136" s="128">
        <f>IFERROR(AT136*$V136,)</f>
        <v/>
      </c>
      <c r="DG136" s="128">
        <f>IFERROR(AU136*$V136,)</f>
        <v/>
      </c>
      <c r="DH136" s="128">
        <f>IFERROR(AV136*$V136,)</f>
        <v/>
      </c>
      <c r="DI136" s="128">
        <f>IFERROR(AW136*$V136,)</f>
        <v/>
      </c>
      <c r="DJ136" s="128">
        <f>IFERROR(AX136*$V136,)</f>
        <v/>
      </c>
      <c r="DK136" s="128">
        <f>IFERROR(AY136*$V136,)</f>
        <v/>
      </c>
      <c r="DL136" s="128">
        <f>IFERROR(AZ136*$V136,)</f>
        <v/>
      </c>
      <c r="DM136" s="129">
        <f>IFERROR(if($X136=0,($V136/1.2)*BA136,
BA136*$X136),)</f>
        <v/>
      </c>
      <c r="DN136" s="129">
        <f>IFERROR(if($X136=0,($V136/1.2)*BB136,
BB136*$X136),)</f>
        <v/>
      </c>
      <c r="DO136" s="129">
        <f>IFERROR(if($X136=0,($V136/1.2)*BC136,
BC136*$X136),)</f>
        <v/>
      </c>
      <c r="DP136" s="130">
        <f>IFERROR(if($Z136=0,($V136/1.35)*BD136,
BD136*$Z136),)</f>
        <v/>
      </c>
      <c r="DQ136" s="130">
        <f>IFERROR(if($Z136=0,($V136/1.35)*BE136,
BE136*$Z136),)</f>
        <v/>
      </c>
      <c r="DR136" s="130">
        <f>IFERROR(if($Z136=0,($V136/1.35)*BF136,
BF136*$Z136),)</f>
        <v/>
      </c>
      <c r="DS136" s="128">
        <f>IFERROR(IF($AB136=0,($V136/0.74)*BG136,
BG136*$AB136),)</f>
        <v/>
      </c>
      <c r="DT136" s="128">
        <f>IFERROR(IF($AB136=0,($V136/0.74)*BH136,
BH136*$AB136),)</f>
        <v/>
      </c>
      <c r="DU136" s="128">
        <f>IFERROR(IF($AB136=0,($V136/0.74)*BI136,
BI136*$AB136),)</f>
        <v/>
      </c>
    </row>
    <row r="137" ht="131.25" customHeight="1" s="162">
      <c r="A137" s="115" t="n"/>
      <c r="B137" s="115" t="n"/>
      <c r="C137" s="115" t="n"/>
      <c r="D137" s="115" t="n"/>
      <c r="E137" s="115" t="n"/>
      <c r="F137" s="115" t="n"/>
      <c r="G137" s="115" t="n"/>
      <c r="H137" s="115" t="n"/>
      <c r="I137" s="115" t="n"/>
      <c r="J137" s="115" t="n"/>
      <c r="K137" s="115" t="n"/>
      <c r="L137" s="115" t="n"/>
      <c r="M137" s="115" t="n"/>
      <c r="N137" s="115" t="n"/>
      <c r="O137" s="115" t="n"/>
      <c r="P137" s="115" t="n"/>
      <c r="Q137" s="115" t="n"/>
      <c r="R137" s="115" t="n"/>
      <c r="S137" s="115" t="n"/>
      <c r="T137" s="115" t="n"/>
      <c r="U137" s="116" t="n"/>
      <c r="V137" s="116" t="n"/>
      <c r="W137" s="117" t="n"/>
      <c r="X137" s="118" t="n"/>
      <c r="Y137" s="119" t="n"/>
      <c r="Z137" s="120" t="n"/>
      <c r="AA137" s="121" t="n"/>
      <c r="AB137" s="122" t="n"/>
      <c r="AC137" s="117" t="n"/>
      <c r="AD137" s="123">
        <f>IF(SUM($AE137:$AH137)=0,"",SUM($AE137:$AH137))</f>
        <v/>
      </c>
      <c r="AE137" s="123">
        <f>iferror(IF(SUM($AI137:$AZ137)=0,"",SUM($AI137:$AZ137)),"")</f>
        <v/>
      </c>
      <c r="AF137" s="123">
        <f>iferror(IF(SUM($BA137:$BC137)=0,"",SUM($BA137:$BC137)),"")</f>
        <v/>
      </c>
      <c r="AG137" s="123">
        <f>iferror(IF(SUM($BD137:$BF137)=0,"",SUM($BD137:$BF137)),"")</f>
        <v/>
      </c>
      <c r="AH137" s="124">
        <f>iferror(IF(SUM($BG137:$BI137)=0,"",SUM($BG137:$BI137)),"")</f>
        <v/>
      </c>
      <c r="AI137" s="131" t="n"/>
      <c r="AJ137" s="132" t="n"/>
      <c r="AK137" s="132" t="n"/>
      <c r="AL137" s="132" t="n"/>
      <c r="AM137" s="132" t="n"/>
      <c r="AN137" s="132" t="n"/>
      <c r="AO137" s="132" t="n"/>
      <c r="AP137" s="132" t="n"/>
      <c r="AQ137" s="132" t="n"/>
      <c r="AR137" s="132" t="n"/>
      <c r="AS137" s="132" t="n"/>
      <c r="AT137" s="132" t="n"/>
      <c r="AU137" s="132" t="n"/>
      <c r="AV137" s="132" t="n"/>
      <c r="AW137" s="132" t="n"/>
      <c r="AX137" s="132" t="n"/>
      <c r="AY137" s="132" t="n"/>
      <c r="AZ137" s="133" t="n"/>
      <c r="BA137" s="131" t="n"/>
      <c r="BB137" s="132" t="n"/>
      <c r="BC137" s="133" t="n"/>
      <c r="BD137" s="131" t="n"/>
      <c r="BE137" s="132" t="n"/>
      <c r="BF137" s="133" t="n"/>
      <c r="BG137" s="131" t="n"/>
      <c r="BH137" s="132" t="n"/>
      <c r="BI137" s="132" t="n"/>
      <c r="BJ137" s="128">
        <f>iferror(SUM($BK137,($BL137*1.2),($BM137*1.35),($BN137*0.74)),)</f>
        <v/>
      </c>
      <c r="BK137" s="128">
        <f>IFERROR(SUM($BT137:$CK137),)</f>
        <v/>
      </c>
      <c r="BL137" s="129">
        <f>IFERROR(SUM($CL137:$CN137),)</f>
        <v/>
      </c>
      <c r="BM137" s="130">
        <f>IFERROR(SUM($CO137:$CQ137),)</f>
        <v/>
      </c>
      <c r="BN137" s="128">
        <f>IFERROR(SUM($CR137:$CT137),)</f>
        <v/>
      </c>
      <c r="BO137" s="128">
        <f>iferror(SUM($BP137,($BQ137*1.2),($BR137*1.35),($BS137*0.74)),)</f>
        <v/>
      </c>
      <c r="BP137" s="128">
        <f>IFERROR(SUM($CU137:$DL137),)</f>
        <v/>
      </c>
      <c r="BQ137" s="128">
        <f>IFERROR(SUM($DM137:$DO137),)</f>
        <v/>
      </c>
      <c r="BR137" s="128">
        <f>IFERROR(SUM($DP137:$DR137),)</f>
        <v/>
      </c>
      <c r="BS137" s="128">
        <f>IFERROR(SUM($DS137:$DU137),)</f>
        <v/>
      </c>
      <c r="BT137" s="128">
        <f>IFERROR(AI137*$W137,)</f>
        <v/>
      </c>
      <c r="BU137" s="128">
        <f>IFERROR(AJ137*$W137,)</f>
        <v/>
      </c>
      <c r="BV137" s="128">
        <f>IFERROR(AK137*$W137,)</f>
        <v/>
      </c>
      <c r="BW137" s="128">
        <f>IFERROR(AL137*$W137,)</f>
        <v/>
      </c>
      <c r="BX137" s="128">
        <f>IFERROR(AM137*$W137,)</f>
        <v/>
      </c>
      <c r="BY137" s="128">
        <f>IFERROR(AN137*$W137,)</f>
        <v/>
      </c>
      <c r="BZ137" s="128">
        <f>IFERROR(AO137*$W137,)</f>
        <v/>
      </c>
      <c r="CA137" s="128">
        <f>IFERROR(AP137*$W137,)</f>
        <v/>
      </c>
      <c r="CB137" s="128">
        <f>IFERROR(AQ137*$W137,)</f>
        <v/>
      </c>
      <c r="CC137" s="128">
        <f>IFERROR(AR137*$W137,)</f>
        <v/>
      </c>
      <c r="CD137" s="128">
        <f>IFERROR(AS137*$W137,)</f>
        <v/>
      </c>
      <c r="CE137" s="128">
        <f>IFERROR(AT137*$W137,)</f>
        <v/>
      </c>
      <c r="CF137" s="128">
        <f>IFERROR(AU137*$W137,)</f>
        <v/>
      </c>
      <c r="CG137" s="128">
        <f>IFERROR(AV137*$W137,)</f>
        <v/>
      </c>
      <c r="CH137" s="128">
        <f>IFERROR(AW137*$W137,)</f>
        <v/>
      </c>
      <c r="CI137" s="128">
        <f>IFERROR(AX137*$W137,)</f>
        <v/>
      </c>
      <c r="CJ137" s="128">
        <f>IFERROR(AY137*$W137,)</f>
        <v/>
      </c>
      <c r="CK137" s="128">
        <f>IFERROR(AZ137*$W137,)</f>
        <v/>
      </c>
      <c r="CL137" s="129">
        <f>IFERROR(if($Y137=0,BA137*($W137/1.2),BA137*$Y137),"")</f>
        <v/>
      </c>
      <c r="CM137" s="129">
        <f>IFERROR(if($Y137=0,BB137*($W137/1.2),BB137*$Y137),"")</f>
        <v/>
      </c>
      <c r="CN137" s="129">
        <f>IFERROR(if($Y137=0,BC137*($W137/1.2),BC137*$Y137),"")</f>
        <v/>
      </c>
      <c r="CO137" s="130">
        <f>IFERROR(if($AA137=0,($W137/1.35)*BD137,BD137*$AA137),)</f>
        <v/>
      </c>
      <c r="CP137" s="130">
        <f>IFERROR(if($AA137=0,($W137/1.35)*BE137,BE137*$AA137),)</f>
        <v/>
      </c>
      <c r="CQ137" s="130">
        <f>IFERROR(if($AA137=0,($W137/1.35)*BF137,BF137*$AA137),)</f>
        <v/>
      </c>
      <c r="CR137" s="128">
        <f>IFERROR(if($AC137=0,($W137/0.74)*BG137,
BG137*$AC137),)</f>
        <v/>
      </c>
      <c r="CS137" s="128">
        <f>IFERROR(if($AC137=0,($W137/0.74)*BH137,
BH137*$AC137),)</f>
        <v/>
      </c>
      <c r="CT137" s="128">
        <f>IFERROR(if($AC137=0,($W137/0.74)*BI137,
BI137*$AC137),)</f>
        <v/>
      </c>
      <c r="CU137" s="128">
        <f>IFERROR(AI137*$V137,)</f>
        <v/>
      </c>
      <c r="CV137" s="128">
        <f>IFERROR(AJ137*$V137,)</f>
        <v/>
      </c>
      <c r="CW137" s="128">
        <f>IFERROR(AK137*$V137,)</f>
        <v/>
      </c>
      <c r="CX137" s="128">
        <f>IFERROR(AL137*$V137,)</f>
        <v/>
      </c>
      <c r="CY137" s="128">
        <f>IFERROR(AM137*$V137,)</f>
        <v/>
      </c>
      <c r="CZ137" s="128">
        <f>IFERROR(AN137*$V137,)</f>
        <v/>
      </c>
      <c r="DA137" s="128">
        <f>IFERROR(AO137*$V137,)</f>
        <v/>
      </c>
      <c r="DB137" s="128">
        <f>IFERROR(AP137*$V137,)</f>
        <v/>
      </c>
      <c r="DC137" s="128">
        <f>IFERROR(AQ137*$V137,)</f>
        <v/>
      </c>
      <c r="DD137" s="128">
        <f>IFERROR(AR137*$V137,)</f>
        <v/>
      </c>
      <c r="DE137" s="128">
        <f>IFERROR(AS137*$V137,)</f>
        <v/>
      </c>
      <c r="DF137" s="128">
        <f>IFERROR(AT137*$V137,)</f>
        <v/>
      </c>
      <c r="DG137" s="128">
        <f>IFERROR(AU137*$V137,)</f>
        <v/>
      </c>
      <c r="DH137" s="128">
        <f>IFERROR(AV137*$V137,)</f>
        <v/>
      </c>
      <c r="DI137" s="128">
        <f>IFERROR(AW137*$V137,)</f>
        <v/>
      </c>
      <c r="DJ137" s="128">
        <f>IFERROR(AX137*$V137,)</f>
        <v/>
      </c>
      <c r="DK137" s="128">
        <f>IFERROR(AY137*$V137,)</f>
        <v/>
      </c>
      <c r="DL137" s="128">
        <f>IFERROR(AZ137*$V137,)</f>
        <v/>
      </c>
      <c r="DM137" s="129">
        <f>IFERROR(if($X137=0,($V137/1.2)*BA137,
BA137*$X137),)</f>
        <v/>
      </c>
      <c r="DN137" s="129">
        <f>IFERROR(if($X137=0,($V137/1.2)*BB137,
BB137*$X137),)</f>
        <v/>
      </c>
      <c r="DO137" s="129">
        <f>IFERROR(if($X137=0,($V137/1.2)*BC137,
BC137*$X137),)</f>
        <v/>
      </c>
      <c r="DP137" s="130">
        <f>IFERROR(if($Z137=0,($V137/1.35)*BD137,
BD137*$Z137),)</f>
        <v/>
      </c>
      <c r="DQ137" s="130">
        <f>IFERROR(if($Z137=0,($V137/1.35)*BE137,
BE137*$Z137),)</f>
        <v/>
      </c>
      <c r="DR137" s="130">
        <f>IFERROR(if($Z137=0,($V137/1.35)*BF137,
BF137*$Z137),)</f>
        <v/>
      </c>
      <c r="DS137" s="128">
        <f>IFERROR(IF($AB137=0,($V137/0.74)*BG137,
BG137*$AB137),)</f>
        <v/>
      </c>
      <c r="DT137" s="128">
        <f>IFERROR(IF($AB137=0,($V137/0.74)*BH137,
BH137*$AB137),)</f>
        <v/>
      </c>
      <c r="DU137" s="128">
        <f>IFERROR(IF($AB137=0,($V137/0.74)*BI137,
BI137*$AB137),)</f>
        <v/>
      </c>
    </row>
    <row r="138" ht="131.25" customHeight="1" s="162">
      <c r="A138" s="115" t="n"/>
      <c r="B138" s="115" t="n"/>
      <c r="C138" s="115" t="n"/>
      <c r="D138" s="115" t="n"/>
      <c r="E138" s="115" t="n"/>
      <c r="F138" s="115" t="n"/>
      <c r="G138" s="115" t="n"/>
      <c r="H138" s="115" t="n"/>
      <c r="I138" s="115" t="n"/>
      <c r="J138" s="115" t="n"/>
      <c r="K138" s="115" t="n"/>
      <c r="L138" s="115" t="n"/>
      <c r="M138" s="115" t="n"/>
      <c r="N138" s="115" t="n"/>
      <c r="O138" s="115" t="n"/>
      <c r="P138" s="115" t="n"/>
      <c r="Q138" s="115" t="n"/>
      <c r="R138" s="115" t="n"/>
      <c r="S138" s="115" t="n"/>
      <c r="T138" s="115" t="n"/>
      <c r="U138" s="116" t="n"/>
      <c r="V138" s="116" t="n"/>
      <c r="W138" s="117" t="n"/>
      <c r="X138" s="118" t="n"/>
      <c r="Y138" s="119" t="n"/>
      <c r="Z138" s="120" t="n"/>
      <c r="AA138" s="121" t="n"/>
      <c r="AB138" s="122" t="n"/>
      <c r="AC138" s="117" t="n"/>
      <c r="AD138" s="123">
        <f>IF(SUM($AE138:$AH138)=0,"",SUM($AE138:$AH138))</f>
        <v/>
      </c>
      <c r="AE138" s="123">
        <f>iferror(IF(SUM($AI138:$AZ138)=0,"",SUM($AI138:$AZ138)),"")</f>
        <v/>
      </c>
      <c r="AF138" s="123">
        <f>iferror(IF(SUM($BA138:$BC138)=0,"",SUM($BA138:$BC138)),"")</f>
        <v/>
      </c>
      <c r="AG138" s="123">
        <f>iferror(IF(SUM($BD138:$BF138)=0,"",SUM($BD138:$BF138)),"")</f>
        <v/>
      </c>
      <c r="AH138" s="124">
        <f>iferror(IF(SUM($BG138:$BI138)=0,"",SUM($BG138:$BI138)),"")</f>
        <v/>
      </c>
      <c r="AI138" s="131" t="n"/>
      <c r="AJ138" s="132" t="n"/>
      <c r="AK138" s="132" t="n"/>
      <c r="AL138" s="132" t="n"/>
      <c r="AM138" s="132" t="n"/>
      <c r="AN138" s="132" t="n"/>
      <c r="AO138" s="132" t="n"/>
      <c r="AP138" s="132" t="n"/>
      <c r="AQ138" s="132" t="n"/>
      <c r="AR138" s="132" t="n"/>
      <c r="AS138" s="132" t="n"/>
      <c r="AT138" s="132" t="n"/>
      <c r="AU138" s="132" t="n"/>
      <c r="AV138" s="132" t="n"/>
      <c r="AW138" s="132" t="n"/>
      <c r="AX138" s="132" t="n"/>
      <c r="AY138" s="132" t="n"/>
      <c r="AZ138" s="133" t="n"/>
      <c r="BA138" s="131" t="n"/>
      <c r="BB138" s="132" t="n"/>
      <c r="BC138" s="133" t="n"/>
      <c r="BD138" s="131" t="n"/>
      <c r="BE138" s="132" t="n"/>
      <c r="BF138" s="133" t="n"/>
      <c r="BG138" s="131" t="n"/>
      <c r="BH138" s="132" t="n"/>
      <c r="BI138" s="132" t="n"/>
      <c r="BJ138" s="128">
        <f>iferror(SUM($BK138,($BL138*1.2),($BM138*1.35),($BN138*0.74)),)</f>
        <v/>
      </c>
      <c r="BK138" s="128">
        <f>IFERROR(SUM($BT138:$CK138),)</f>
        <v/>
      </c>
      <c r="BL138" s="129">
        <f>IFERROR(SUM($CL138:$CN138),)</f>
        <v/>
      </c>
      <c r="BM138" s="130">
        <f>IFERROR(SUM($CO138:$CQ138),)</f>
        <v/>
      </c>
      <c r="BN138" s="128">
        <f>IFERROR(SUM($CR138:$CT138),)</f>
        <v/>
      </c>
      <c r="BO138" s="128">
        <f>iferror(SUM($BP138,($BQ138*1.2),($BR138*1.35),($BS138*0.74)),)</f>
        <v/>
      </c>
      <c r="BP138" s="128">
        <f>IFERROR(SUM($CU138:$DL138),)</f>
        <v/>
      </c>
      <c r="BQ138" s="128">
        <f>IFERROR(SUM($DM138:$DO138),)</f>
        <v/>
      </c>
      <c r="BR138" s="128">
        <f>IFERROR(SUM($DP138:$DR138),)</f>
        <v/>
      </c>
      <c r="BS138" s="128">
        <f>IFERROR(SUM($DS138:$DU138),)</f>
        <v/>
      </c>
      <c r="BT138" s="128">
        <f>IFERROR(AI138*$W138,)</f>
        <v/>
      </c>
      <c r="BU138" s="128">
        <f>IFERROR(AJ138*$W138,)</f>
        <v/>
      </c>
      <c r="BV138" s="128">
        <f>IFERROR(AK138*$W138,)</f>
        <v/>
      </c>
      <c r="BW138" s="128">
        <f>IFERROR(AL138*$W138,)</f>
        <v/>
      </c>
      <c r="BX138" s="128">
        <f>IFERROR(AM138*$W138,)</f>
        <v/>
      </c>
      <c r="BY138" s="128">
        <f>IFERROR(AN138*$W138,)</f>
        <v/>
      </c>
      <c r="BZ138" s="128">
        <f>IFERROR(AO138*$W138,)</f>
        <v/>
      </c>
      <c r="CA138" s="128">
        <f>IFERROR(AP138*$W138,)</f>
        <v/>
      </c>
      <c r="CB138" s="128">
        <f>IFERROR(AQ138*$W138,)</f>
        <v/>
      </c>
      <c r="CC138" s="128">
        <f>IFERROR(AR138*$W138,)</f>
        <v/>
      </c>
      <c r="CD138" s="128">
        <f>IFERROR(AS138*$W138,)</f>
        <v/>
      </c>
      <c r="CE138" s="128">
        <f>IFERROR(AT138*$W138,)</f>
        <v/>
      </c>
      <c r="CF138" s="128">
        <f>IFERROR(AU138*$W138,)</f>
        <v/>
      </c>
      <c r="CG138" s="128">
        <f>IFERROR(AV138*$W138,)</f>
        <v/>
      </c>
      <c r="CH138" s="128">
        <f>IFERROR(AW138*$W138,)</f>
        <v/>
      </c>
      <c r="CI138" s="128">
        <f>IFERROR(AX138*$W138,)</f>
        <v/>
      </c>
      <c r="CJ138" s="128">
        <f>IFERROR(AY138*$W138,)</f>
        <v/>
      </c>
      <c r="CK138" s="128">
        <f>IFERROR(AZ138*$W138,)</f>
        <v/>
      </c>
      <c r="CL138" s="129">
        <f>IFERROR(if($Y138=0,BA138*($W138/1.2),BA138*$Y138),"")</f>
        <v/>
      </c>
      <c r="CM138" s="129">
        <f>IFERROR(if($Y138=0,BB138*($W138/1.2),BB138*$Y138),"")</f>
        <v/>
      </c>
      <c r="CN138" s="129">
        <f>IFERROR(if($Y138=0,BC138*($W138/1.2),BC138*$Y138),"")</f>
        <v/>
      </c>
      <c r="CO138" s="130">
        <f>IFERROR(if($AA138=0,($W138/1.35)*BD138,BD138*$AA138),)</f>
        <v/>
      </c>
      <c r="CP138" s="130">
        <f>IFERROR(if($AA138=0,($W138/1.35)*BE138,BE138*$AA138),)</f>
        <v/>
      </c>
      <c r="CQ138" s="130">
        <f>IFERROR(if($AA138=0,($W138/1.35)*BF138,BF138*$AA138),)</f>
        <v/>
      </c>
      <c r="CR138" s="128">
        <f>IFERROR(if($AC138=0,($W138/0.74)*BG138,
BG138*$AC138),)</f>
        <v/>
      </c>
      <c r="CS138" s="128">
        <f>IFERROR(if($AC138=0,($W138/0.74)*BH138,
BH138*$AC138),)</f>
        <v/>
      </c>
      <c r="CT138" s="128">
        <f>IFERROR(if($AC138=0,($W138/0.74)*BI138,
BI138*$AC138),)</f>
        <v/>
      </c>
      <c r="CU138" s="128">
        <f>IFERROR(AI138*$V138,)</f>
        <v/>
      </c>
      <c r="CV138" s="128">
        <f>IFERROR(AJ138*$V138,)</f>
        <v/>
      </c>
      <c r="CW138" s="128">
        <f>IFERROR(AK138*$V138,)</f>
        <v/>
      </c>
      <c r="CX138" s="128">
        <f>IFERROR(AL138*$V138,)</f>
        <v/>
      </c>
      <c r="CY138" s="128">
        <f>IFERROR(AM138*$V138,)</f>
        <v/>
      </c>
      <c r="CZ138" s="128">
        <f>IFERROR(AN138*$V138,)</f>
        <v/>
      </c>
      <c r="DA138" s="128">
        <f>IFERROR(AO138*$V138,)</f>
        <v/>
      </c>
      <c r="DB138" s="128">
        <f>IFERROR(AP138*$V138,)</f>
        <v/>
      </c>
      <c r="DC138" s="128">
        <f>IFERROR(AQ138*$V138,)</f>
        <v/>
      </c>
      <c r="DD138" s="128">
        <f>IFERROR(AR138*$V138,)</f>
        <v/>
      </c>
      <c r="DE138" s="128">
        <f>IFERROR(AS138*$V138,)</f>
        <v/>
      </c>
      <c r="DF138" s="128">
        <f>IFERROR(AT138*$V138,)</f>
        <v/>
      </c>
      <c r="DG138" s="128">
        <f>IFERROR(AU138*$V138,)</f>
        <v/>
      </c>
      <c r="DH138" s="128">
        <f>IFERROR(AV138*$V138,)</f>
        <v/>
      </c>
      <c r="DI138" s="128">
        <f>IFERROR(AW138*$V138,)</f>
        <v/>
      </c>
      <c r="DJ138" s="128">
        <f>IFERROR(AX138*$V138,)</f>
        <v/>
      </c>
      <c r="DK138" s="128">
        <f>IFERROR(AY138*$V138,)</f>
        <v/>
      </c>
      <c r="DL138" s="128">
        <f>IFERROR(AZ138*$V138,)</f>
        <v/>
      </c>
      <c r="DM138" s="129">
        <f>IFERROR(if($X138=0,($V138/1.2)*BA138,
BA138*$X138),)</f>
        <v/>
      </c>
      <c r="DN138" s="129">
        <f>IFERROR(if($X138=0,($V138/1.2)*BB138,
BB138*$X138),)</f>
        <v/>
      </c>
      <c r="DO138" s="129">
        <f>IFERROR(if($X138=0,($V138/1.2)*BC138,
BC138*$X138),)</f>
        <v/>
      </c>
      <c r="DP138" s="130">
        <f>IFERROR(if($Z138=0,($V138/1.35)*BD138,
BD138*$Z138),)</f>
        <v/>
      </c>
      <c r="DQ138" s="130">
        <f>IFERROR(if($Z138=0,($V138/1.35)*BE138,
BE138*$Z138),)</f>
        <v/>
      </c>
      <c r="DR138" s="130">
        <f>IFERROR(if($Z138=0,($V138/1.35)*BF138,
BF138*$Z138),)</f>
        <v/>
      </c>
      <c r="DS138" s="128">
        <f>IFERROR(IF($AB138=0,($V138/0.74)*BG138,
BG138*$AB138),)</f>
        <v/>
      </c>
      <c r="DT138" s="128">
        <f>IFERROR(IF($AB138=0,($V138/0.74)*BH138,
BH138*$AB138),)</f>
        <v/>
      </c>
      <c r="DU138" s="128">
        <f>IFERROR(IF($AB138=0,($V138/0.74)*BI138,
BI138*$AB138),)</f>
        <v/>
      </c>
    </row>
    <row r="139" ht="131.25" customHeight="1" s="162">
      <c r="A139" s="115" t="n"/>
      <c r="B139" s="115" t="n"/>
      <c r="C139" s="115" t="n"/>
      <c r="D139" s="115" t="n"/>
      <c r="E139" s="115" t="n"/>
      <c r="F139" s="115" t="n"/>
      <c r="G139" s="115" t="n"/>
      <c r="H139" s="115" t="n"/>
      <c r="I139" s="115" t="n"/>
      <c r="J139" s="115" t="n"/>
      <c r="K139" s="115" t="n"/>
      <c r="L139" s="115" t="n"/>
      <c r="M139" s="115" t="n"/>
      <c r="N139" s="115" t="n"/>
      <c r="O139" s="115" t="n"/>
      <c r="P139" s="115" t="n"/>
      <c r="Q139" s="115" t="n"/>
      <c r="R139" s="115" t="n"/>
      <c r="S139" s="115" t="n"/>
      <c r="T139" s="115" t="n"/>
      <c r="U139" s="116" t="n"/>
      <c r="V139" s="116" t="n"/>
      <c r="W139" s="117" t="n"/>
      <c r="X139" s="118" t="n"/>
      <c r="Y139" s="119" t="n"/>
      <c r="Z139" s="120" t="n"/>
      <c r="AA139" s="121" t="n"/>
      <c r="AB139" s="122" t="n"/>
      <c r="AC139" s="117" t="n"/>
      <c r="AD139" s="123">
        <f>IF(SUM($AE139:$AH139)=0,"",SUM($AE139:$AH139))</f>
        <v/>
      </c>
      <c r="AE139" s="123">
        <f>iferror(IF(SUM($AI139:$AZ139)=0,"",SUM($AI139:$AZ139)),"")</f>
        <v/>
      </c>
      <c r="AF139" s="123">
        <f>iferror(IF(SUM($BA139:$BC139)=0,"",SUM($BA139:$BC139)),"")</f>
        <v/>
      </c>
      <c r="AG139" s="123">
        <f>iferror(IF(SUM($BD139:$BF139)=0,"",SUM($BD139:$BF139)),"")</f>
        <v/>
      </c>
      <c r="AH139" s="124">
        <f>iferror(IF(SUM($BG139:$BI139)=0,"",SUM($BG139:$BI139)),"")</f>
        <v/>
      </c>
      <c r="AI139" s="131" t="n"/>
      <c r="AJ139" s="132" t="n"/>
      <c r="AK139" s="132" t="n"/>
      <c r="AL139" s="132" t="n"/>
      <c r="AM139" s="132" t="n"/>
      <c r="AN139" s="132" t="n"/>
      <c r="AO139" s="132" t="n"/>
      <c r="AP139" s="132" t="n"/>
      <c r="AQ139" s="132" t="n"/>
      <c r="AR139" s="132" t="n"/>
      <c r="AS139" s="132" t="n"/>
      <c r="AT139" s="132" t="n"/>
      <c r="AU139" s="132" t="n"/>
      <c r="AV139" s="132" t="n"/>
      <c r="AW139" s="132" t="n"/>
      <c r="AX139" s="132" t="n"/>
      <c r="AY139" s="132" t="n"/>
      <c r="AZ139" s="133" t="n"/>
      <c r="BA139" s="131" t="n"/>
      <c r="BB139" s="132" t="n"/>
      <c r="BC139" s="133" t="n"/>
      <c r="BD139" s="131" t="n"/>
      <c r="BE139" s="132" t="n"/>
      <c r="BF139" s="133" t="n"/>
      <c r="BG139" s="131" t="n"/>
      <c r="BH139" s="132" t="n"/>
      <c r="BI139" s="132" t="n"/>
      <c r="BJ139" s="128">
        <f>iferror(SUM($BK139,($BL139*1.2),($BM139*1.35),($BN139*0.74)),)</f>
        <v/>
      </c>
      <c r="BK139" s="128">
        <f>IFERROR(SUM($BT139:$CK139),)</f>
        <v/>
      </c>
      <c r="BL139" s="129">
        <f>IFERROR(SUM($CL139:$CN139),)</f>
        <v/>
      </c>
      <c r="BM139" s="130">
        <f>IFERROR(SUM($CO139:$CQ139),)</f>
        <v/>
      </c>
      <c r="BN139" s="128">
        <f>IFERROR(SUM($CR139:$CT139),)</f>
        <v/>
      </c>
      <c r="BO139" s="128">
        <f>iferror(SUM($BP139,($BQ139*1.2),($BR139*1.35),($BS139*0.74)),)</f>
        <v/>
      </c>
      <c r="BP139" s="128">
        <f>IFERROR(SUM($CU139:$DL139),)</f>
        <v/>
      </c>
      <c r="BQ139" s="128">
        <f>IFERROR(SUM($DM139:$DO139),)</f>
        <v/>
      </c>
      <c r="BR139" s="128">
        <f>IFERROR(SUM($DP139:$DR139),)</f>
        <v/>
      </c>
      <c r="BS139" s="128">
        <f>IFERROR(SUM($DS139:$DU139),)</f>
        <v/>
      </c>
      <c r="BT139" s="128">
        <f>IFERROR(AI139*$W139,)</f>
        <v/>
      </c>
      <c r="BU139" s="128">
        <f>IFERROR(AJ139*$W139,)</f>
        <v/>
      </c>
      <c r="BV139" s="128">
        <f>IFERROR(AK139*$W139,)</f>
        <v/>
      </c>
      <c r="BW139" s="128">
        <f>IFERROR(AL139*$W139,)</f>
        <v/>
      </c>
      <c r="BX139" s="128">
        <f>IFERROR(AM139*$W139,)</f>
        <v/>
      </c>
      <c r="BY139" s="128">
        <f>IFERROR(AN139*$W139,)</f>
        <v/>
      </c>
      <c r="BZ139" s="128">
        <f>IFERROR(AO139*$W139,)</f>
        <v/>
      </c>
      <c r="CA139" s="128">
        <f>IFERROR(AP139*$W139,)</f>
        <v/>
      </c>
      <c r="CB139" s="128">
        <f>IFERROR(AQ139*$W139,)</f>
        <v/>
      </c>
      <c r="CC139" s="128">
        <f>IFERROR(AR139*$W139,)</f>
        <v/>
      </c>
      <c r="CD139" s="128">
        <f>IFERROR(AS139*$W139,)</f>
        <v/>
      </c>
      <c r="CE139" s="128">
        <f>IFERROR(AT139*$W139,)</f>
        <v/>
      </c>
      <c r="CF139" s="128">
        <f>IFERROR(AU139*$W139,)</f>
        <v/>
      </c>
      <c r="CG139" s="128">
        <f>IFERROR(AV139*$W139,)</f>
        <v/>
      </c>
      <c r="CH139" s="128">
        <f>IFERROR(AW139*$W139,)</f>
        <v/>
      </c>
      <c r="CI139" s="128">
        <f>IFERROR(AX139*$W139,)</f>
        <v/>
      </c>
      <c r="CJ139" s="128">
        <f>IFERROR(AY139*$W139,)</f>
        <v/>
      </c>
      <c r="CK139" s="128">
        <f>IFERROR(AZ139*$W139,)</f>
        <v/>
      </c>
      <c r="CL139" s="129">
        <f>IFERROR(if($Y139=0,BA139*($W139/1.2),BA139*$Y139),"")</f>
        <v/>
      </c>
      <c r="CM139" s="129">
        <f>IFERROR(if($Y139=0,BB139*($W139/1.2),BB139*$Y139),"")</f>
        <v/>
      </c>
      <c r="CN139" s="129">
        <f>IFERROR(if($Y139=0,BC139*($W139/1.2),BC139*$Y139),"")</f>
        <v/>
      </c>
      <c r="CO139" s="130">
        <f>IFERROR(if($AA139=0,($W139/1.35)*BD139,BD139*$AA139),)</f>
        <v/>
      </c>
      <c r="CP139" s="130">
        <f>IFERROR(if($AA139=0,($W139/1.35)*BE139,BE139*$AA139),)</f>
        <v/>
      </c>
      <c r="CQ139" s="130">
        <f>IFERROR(if($AA139=0,($W139/1.35)*BF139,BF139*$AA139),)</f>
        <v/>
      </c>
      <c r="CR139" s="128">
        <f>IFERROR(if($AC139=0,($W139/0.74)*BG139,
BG139*$AC139),)</f>
        <v/>
      </c>
      <c r="CS139" s="128">
        <f>IFERROR(if($AC139=0,($W139/0.74)*BH139,
BH139*$AC139),)</f>
        <v/>
      </c>
      <c r="CT139" s="128">
        <f>IFERROR(if($AC139=0,($W139/0.74)*BI139,
BI139*$AC139),)</f>
        <v/>
      </c>
      <c r="CU139" s="128">
        <f>IFERROR(AI139*$V139,)</f>
        <v/>
      </c>
      <c r="CV139" s="128">
        <f>IFERROR(AJ139*$V139,)</f>
        <v/>
      </c>
      <c r="CW139" s="128">
        <f>IFERROR(AK139*$V139,)</f>
        <v/>
      </c>
      <c r="CX139" s="128">
        <f>IFERROR(AL139*$V139,)</f>
        <v/>
      </c>
      <c r="CY139" s="128">
        <f>IFERROR(AM139*$V139,)</f>
        <v/>
      </c>
      <c r="CZ139" s="128">
        <f>IFERROR(AN139*$V139,)</f>
        <v/>
      </c>
      <c r="DA139" s="128">
        <f>IFERROR(AO139*$V139,)</f>
        <v/>
      </c>
      <c r="DB139" s="128">
        <f>IFERROR(AP139*$V139,)</f>
        <v/>
      </c>
      <c r="DC139" s="128">
        <f>IFERROR(AQ139*$V139,)</f>
        <v/>
      </c>
      <c r="DD139" s="128">
        <f>IFERROR(AR139*$V139,)</f>
        <v/>
      </c>
      <c r="DE139" s="128">
        <f>IFERROR(AS139*$V139,)</f>
        <v/>
      </c>
      <c r="DF139" s="128">
        <f>IFERROR(AT139*$V139,)</f>
        <v/>
      </c>
      <c r="DG139" s="128">
        <f>IFERROR(AU139*$V139,)</f>
        <v/>
      </c>
      <c r="DH139" s="128">
        <f>IFERROR(AV139*$V139,)</f>
        <v/>
      </c>
      <c r="DI139" s="128">
        <f>IFERROR(AW139*$V139,)</f>
        <v/>
      </c>
      <c r="DJ139" s="128">
        <f>IFERROR(AX139*$V139,)</f>
        <v/>
      </c>
      <c r="DK139" s="128">
        <f>IFERROR(AY139*$V139,)</f>
        <v/>
      </c>
      <c r="DL139" s="128">
        <f>IFERROR(AZ139*$V139,)</f>
        <v/>
      </c>
      <c r="DM139" s="129">
        <f>IFERROR(if($X139=0,($V139/1.2)*BA139,
BA139*$X139),)</f>
        <v/>
      </c>
      <c r="DN139" s="129">
        <f>IFERROR(if($X139=0,($V139/1.2)*BB139,
BB139*$X139),)</f>
        <v/>
      </c>
      <c r="DO139" s="129">
        <f>IFERROR(if($X139=0,($V139/1.2)*BC139,
BC139*$X139),)</f>
        <v/>
      </c>
      <c r="DP139" s="130">
        <f>IFERROR(if($Z139=0,($V139/1.35)*BD139,
BD139*$Z139),)</f>
        <v/>
      </c>
      <c r="DQ139" s="130">
        <f>IFERROR(if($Z139=0,($V139/1.35)*BE139,
BE139*$Z139),)</f>
        <v/>
      </c>
      <c r="DR139" s="130">
        <f>IFERROR(if($Z139=0,($V139/1.35)*BF139,
BF139*$Z139),)</f>
        <v/>
      </c>
      <c r="DS139" s="128">
        <f>IFERROR(IF($AB139=0,($V139/0.74)*BG139,
BG139*$AB139),)</f>
        <v/>
      </c>
      <c r="DT139" s="128">
        <f>IFERROR(IF($AB139=0,($V139/0.74)*BH139,
BH139*$AB139),)</f>
        <v/>
      </c>
      <c r="DU139" s="128">
        <f>IFERROR(IF($AB139=0,($V139/0.74)*BI139,
BI139*$AB139),)</f>
        <v/>
      </c>
    </row>
    <row r="140" ht="131.25" customHeight="1" s="162">
      <c r="A140" s="115" t="n"/>
      <c r="B140" s="115" t="n"/>
      <c r="C140" s="115" t="n"/>
      <c r="D140" s="115" t="n"/>
      <c r="E140" s="115" t="n"/>
      <c r="F140" s="115" t="n"/>
      <c r="G140" s="115" t="n"/>
      <c r="H140" s="115" t="n"/>
      <c r="I140" s="115" t="n"/>
      <c r="J140" s="115" t="n"/>
      <c r="K140" s="115" t="n"/>
      <c r="L140" s="115" t="n"/>
      <c r="M140" s="115" t="n"/>
      <c r="N140" s="115" t="n"/>
      <c r="O140" s="115" t="n"/>
      <c r="P140" s="115" t="n"/>
      <c r="Q140" s="115" t="n"/>
      <c r="R140" s="115" t="n"/>
      <c r="S140" s="115" t="n"/>
      <c r="T140" s="115" t="n"/>
      <c r="U140" s="116" t="n"/>
      <c r="V140" s="116" t="n"/>
      <c r="W140" s="117" t="n"/>
      <c r="X140" s="118" t="n"/>
      <c r="Y140" s="119" t="n"/>
      <c r="Z140" s="120" t="n"/>
      <c r="AA140" s="121" t="n"/>
      <c r="AB140" s="122" t="n"/>
      <c r="AC140" s="117" t="n"/>
      <c r="AD140" s="123">
        <f>IF(SUM($AE140:$AH140)=0,"",SUM($AE140:$AH140))</f>
        <v/>
      </c>
      <c r="AE140" s="123">
        <f>iferror(IF(SUM($AI140:$AZ140)=0,"",SUM($AI140:$AZ140)),"")</f>
        <v/>
      </c>
      <c r="AF140" s="123">
        <f>iferror(IF(SUM($BA140:$BC140)=0,"",SUM($BA140:$BC140)),"")</f>
        <v/>
      </c>
      <c r="AG140" s="123">
        <f>iferror(IF(SUM($BD140:$BF140)=0,"",SUM($BD140:$BF140)),"")</f>
        <v/>
      </c>
      <c r="AH140" s="124">
        <f>iferror(IF(SUM($BG140:$BI140)=0,"",SUM($BG140:$BI140)),"")</f>
        <v/>
      </c>
      <c r="AI140" s="131" t="n"/>
      <c r="AJ140" s="132" t="n"/>
      <c r="AK140" s="132" t="n"/>
      <c r="AL140" s="132" t="n"/>
      <c r="AM140" s="132" t="n"/>
      <c r="AN140" s="132" t="n"/>
      <c r="AO140" s="132" t="n"/>
      <c r="AP140" s="132" t="n"/>
      <c r="AQ140" s="132" t="n"/>
      <c r="AR140" s="132" t="n"/>
      <c r="AS140" s="132" t="n"/>
      <c r="AT140" s="132" t="n"/>
      <c r="AU140" s="132" t="n"/>
      <c r="AV140" s="132" t="n"/>
      <c r="AW140" s="132" t="n"/>
      <c r="AX140" s="132" t="n"/>
      <c r="AY140" s="132" t="n"/>
      <c r="AZ140" s="133" t="n"/>
      <c r="BA140" s="131" t="n"/>
      <c r="BB140" s="132" t="n"/>
      <c r="BC140" s="133" t="n"/>
      <c r="BD140" s="131" t="n"/>
      <c r="BE140" s="132" t="n"/>
      <c r="BF140" s="133" t="n"/>
      <c r="BG140" s="131" t="n"/>
      <c r="BH140" s="132" t="n"/>
      <c r="BI140" s="132" t="n"/>
      <c r="BJ140" s="128">
        <f>iferror(SUM($BK140,($BL140*1.2),($BM140*1.35),($BN140*0.74)),)</f>
        <v/>
      </c>
      <c r="BK140" s="128">
        <f>IFERROR(SUM($BT140:$CK140),)</f>
        <v/>
      </c>
      <c r="BL140" s="129">
        <f>IFERROR(SUM($CL140:$CN140),)</f>
        <v/>
      </c>
      <c r="BM140" s="130">
        <f>IFERROR(SUM($CO140:$CQ140),)</f>
        <v/>
      </c>
      <c r="BN140" s="128">
        <f>IFERROR(SUM($CR140:$CT140),)</f>
        <v/>
      </c>
      <c r="BO140" s="128">
        <f>iferror(SUM($BP140,($BQ140*1.2),($BR140*1.35),($BS140*0.74)),)</f>
        <v/>
      </c>
      <c r="BP140" s="128">
        <f>IFERROR(SUM($CU140:$DL140),)</f>
        <v/>
      </c>
      <c r="BQ140" s="128">
        <f>IFERROR(SUM($DM140:$DO140),)</f>
        <v/>
      </c>
      <c r="BR140" s="128">
        <f>IFERROR(SUM($DP140:$DR140),)</f>
        <v/>
      </c>
      <c r="BS140" s="128">
        <f>IFERROR(SUM($DS140:$DU140),)</f>
        <v/>
      </c>
      <c r="BT140" s="128">
        <f>IFERROR(AI140*$W140,)</f>
        <v/>
      </c>
      <c r="BU140" s="128">
        <f>IFERROR(AJ140*$W140,)</f>
        <v/>
      </c>
      <c r="BV140" s="128">
        <f>IFERROR(AK140*$W140,)</f>
        <v/>
      </c>
      <c r="BW140" s="128">
        <f>IFERROR(AL140*$W140,)</f>
        <v/>
      </c>
      <c r="BX140" s="128">
        <f>IFERROR(AM140*$W140,)</f>
        <v/>
      </c>
      <c r="BY140" s="128">
        <f>IFERROR(AN140*$W140,)</f>
        <v/>
      </c>
      <c r="BZ140" s="128">
        <f>IFERROR(AO140*$W140,)</f>
        <v/>
      </c>
      <c r="CA140" s="128">
        <f>IFERROR(AP140*$W140,)</f>
        <v/>
      </c>
      <c r="CB140" s="128">
        <f>IFERROR(AQ140*$W140,)</f>
        <v/>
      </c>
      <c r="CC140" s="128">
        <f>IFERROR(AR140*$W140,)</f>
        <v/>
      </c>
      <c r="CD140" s="128">
        <f>IFERROR(AS140*$W140,)</f>
        <v/>
      </c>
      <c r="CE140" s="128">
        <f>IFERROR(AT140*$W140,)</f>
        <v/>
      </c>
      <c r="CF140" s="128">
        <f>IFERROR(AU140*$W140,)</f>
        <v/>
      </c>
      <c r="CG140" s="128">
        <f>IFERROR(AV140*$W140,)</f>
        <v/>
      </c>
      <c r="CH140" s="128">
        <f>IFERROR(AW140*$W140,)</f>
        <v/>
      </c>
      <c r="CI140" s="128">
        <f>IFERROR(AX140*$W140,)</f>
        <v/>
      </c>
      <c r="CJ140" s="128">
        <f>IFERROR(AY140*$W140,)</f>
        <v/>
      </c>
      <c r="CK140" s="128">
        <f>IFERROR(AZ140*$W140,)</f>
        <v/>
      </c>
      <c r="CL140" s="129">
        <f>IFERROR(if($Y140=0,BA140*($W140/1.2),BA140*$Y140),"")</f>
        <v/>
      </c>
      <c r="CM140" s="129">
        <f>IFERROR(if($Y140=0,BB140*($W140/1.2),BB140*$Y140),"")</f>
        <v/>
      </c>
      <c r="CN140" s="129">
        <f>IFERROR(if($Y140=0,BC140*($W140/1.2),BC140*$Y140),"")</f>
        <v/>
      </c>
      <c r="CO140" s="130">
        <f>IFERROR(if($AA140=0,($W140/1.35)*BD140,BD140*$AA140),)</f>
        <v/>
      </c>
      <c r="CP140" s="130">
        <f>IFERROR(if($AA140=0,($W140/1.35)*BE140,BE140*$AA140),)</f>
        <v/>
      </c>
      <c r="CQ140" s="130">
        <f>IFERROR(if($AA140=0,($W140/1.35)*BF140,BF140*$AA140),)</f>
        <v/>
      </c>
      <c r="CR140" s="128">
        <f>IFERROR(if($AC140=0,($W140/0.74)*BG140,
BG140*$AC140),)</f>
        <v/>
      </c>
      <c r="CS140" s="128">
        <f>IFERROR(if($AC140=0,($W140/0.74)*BH140,
BH140*$AC140),)</f>
        <v/>
      </c>
      <c r="CT140" s="128">
        <f>IFERROR(if($AC140=0,($W140/0.74)*BI140,
BI140*$AC140),)</f>
        <v/>
      </c>
      <c r="CU140" s="128">
        <f>IFERROR(AI140*$V140,)</f>
        <v/>
      </c>
      <c r="CV140" s="128">
        <f>IFERROR(AJ140*$V140,)</f>
        <v/>
      </c>
      <c r="CW140" s="128">
        <f>IFERROR(AK140*$V140,)</f>
        <v/>
      </c>
      <c r="CX140" s="128">
        <f>IFERROR(AL140*$V140,)</f>
        <v/>
      </c>
      <c r="CY140" s="128">
        <f>IFERROR(AM140*$V140,)</f>
        <v/>
      </c>
      <c r="CZ140" s="128">
        <f>IFERROR(AN140*$V140,)</f>
        <v/>
      </c>
      <c r="DA140" s="128">
        <f>IFERROR(AO140*$V140,)</f>
        <v/>
      </c>
      <c r="DB140" s="128">
        <f>IFERROR(AP140*$V140,)</f>
        <v/>
      </c>
      <c r="DC140" s="128">
        <f>IFERROR(AQ140*$V140,)</f>
        <v/>
      </c>
      <c r="DD140" s="128">
        <f>IFERROR(AR140*$V140,)</f>
        <v/>
      </c>
      <c r="DE140" s="128">
        <f>IFERROR(AS140*$V140,)</f>
        <v/>
      </c>
      <c r="DF140" s="128">
        <f>IFERROR(AT140*$V140,)</f>
        <v/>
      </c>
      <c r="DG140" s="128">
        <f>IFERROR(AU140*$V140,)</f>
        <v/>
      </c>
      <c r="DH140" s="128">
        <f>IFERROR(AV140*$V140,)</f>
        <v/>
      </c>
      <c r="DI140" s="128">
        <f>IFERROR(AW140*$V140,)</f>
        <v/>
      </c>
      <c r="DJ140" s="128">
        <f>IFERROR(AX140*$V140,)</f>
        <v/>
      </c>
      <c r="DK140" s="128">
        <f>IFERROR(AY140*$V140,)</f>
        <v/>
      </c>
      <c r="DL140" s="128">
        <f>IFERROR(AZ140*$V140,)</f>
        <v/>
      </c>
      <c r="DM140" s="129">
        <f>IFERROR(if($X140=0,($V140/1.2)*BA140,
BA140*$X140),)</f>
        <v/>
      </c>
      <c r="DN140" s="129">
        <f>IFERROR(if($X140=0,($V140/1.2)*BB140,
BB140*$X140),)</f>
        <v/>
      </c>
      <c r="DO140" s="129">
        <f>IFERROR(if($X140=0,($V140/1.2)*BC140,
BC140*$X140),)</f>
        <v/>
      </c>
      <c r="DP140" s="130">
        <f>IFERROR(if($Z140=0,($V140/1.35)*BD140,
BD140*$Z140),)</f>
        <v/>
      </c>
      <c r="DQ140" s="130">
        <f>IFERROR(if($Z140=0,($V140/1.35)*BE140,
BE140*$Z140),)</f>
        <v/>
      </c>
      <c r="DR140" s="130">
        <f>IFERROR(if($Z140=0,($V140/1.35)*BF140,
BF140*$Z140),)</f>
        <v/>
      </c>
      <c r="DS140" s="128">
        <f>IFERROR(IF($AB140=0,($V140/0.74)*BG140,
BG140*$AB140),)</f>
        <v/>
      </c>
      <c r="DT140" s="128">
        <f>IFERROR(IF($AB140=0,($V140/0.74)*BH140,
BH140*$AB140),)</f>
        <v/>
      </c>
      <c r="DU140" s="128">
        <f>IFERROR(IF($AB140=0,($V140/0.74)*BI140,
BI140*$AB140),)</f>
        <v/>
      </c>
    </row>
    <row r="141" ht="131.25" customHeight="1" s="162">
      <c r="A141" s="115" t="n"/>
      <c r="B141" s="115" t="n"/>
      <c r="C141" s="115" t="n"/>
      <c r="D141" s="115" t="n"/>
      <c r="E141" s="115" t="n"/>
      <c r="F141" s="115" t="n"/>
      <c r="G141" s="115" t="n"/>
      <c r="H141" s="115" t="n"/>
      <c r="I141" s="115" t="n"/>
      <c r="J141" s="115" t="n"/>
      <c r="K141" s="115" t="n"/>
      <c r="L141" s="115" t="n"/>
      <c r="M141" s="115" t="n"/>
      <c r="N141" s="115" t="n"/>
      <c r="O141" s="115" t="n"/>
      <c r="P141" s="115" t="n"/>
      <c r="Q141" s="115" t="n"/>
      <c r="R141" s="115" t="n"/>
      <c r="S141" s="115" t="n"/>
      <c r="T141" s="115" t="n"/>
      <c r="U141" s="116" t="n"/>
      <c r="V141" s="116" t="n"/>
      <c r="W141" s="117" t="n"/>
      <c r="X141" s="118" t="n"/>
      <c r="Y141" s="119" t="n"/>
      <c r="Z141" s="120" t="n"/>
      <c r="AA141" s="121" t="n"/>
      <c r="AB141" s="122" t="n"/>
      <c r="AC141" s="117" t="n"/>
      <c r="AD141" s="123">
        <f>IF(SUM($AE141:$AH141)=0,"",SUM($AE141:$AH141))</f>
        <v/>
      </c>
      <c r="AE141" s="123">
        <f>iferror(IF(SUM($AI141:$AZ141)=0,"",SUM($AI141:$AZ141)),"")</f>
        <v/>
      </c>
      <c r="AF141" s="123">
        <f>iferror(IF(SUM($BA141:$BC141)=0,"",SUM($BA141:$BC141)),"")</f>
        <v/>
      </c>
      <c r="AG141" s="123">
        <f>iferror(IF(SUM($BD141:$BF141)=0,"",SUM($BD141:$BF141)),"")</f>
        <v/>
      </c>
      <c r="AH141" s="124">
        <f>iferror(IF(SUM($BG141:$BI141)=0,"",SUM($BG141:$BI141)),"")</f>
        <v/>
      </c>
      <c r="AI141" s="131" t="n"/>
      <c r="AJ141" s="132" t="n"/>
      <c r="AK141" s="132" t="n"/>
      <c r="AL141" s="132" t="n"/>
      <c r="AM141" s="132" t="n"/>
      <c r="AN141" s="132" t="n"/>
      <c r="AO141" s="132" t="n"/>
      <c r="AP141" s="132" t="n"/>
      <c r="AQ141" s="132" t="n"/>
      <c r="AR141" s="132" t="n"/>
      <c r="AS141" s="132" t="n"/>
      <c r="AT141" s="132" t="n"/>
      <c r="AU141" s="132" t="n"/>
      <c r="AV141" s="132" t="n"/>
      <c r="AW141" s="132" t="n"/>
      <c r="AX141" s="132" t="n"/>
      <c r="AY141" s="132" t="n"/>
      <c r="AZ141" s="133" t="n"/>
      <c r="BA141" s="131" t="n"/>
      <c r="BB141" s="132" t="n"/>
      <c r="BC141" s="133" t="n"/>
      <c r="BD141" s="131" t="n"/>
      <c r="BE141" s="132" t="n"/>
      <c r="BF141" s="133" t="n"/>
      <c r="BG141" s="131" t="n"/>
      <c r="BH141" s="132" t="n"/>
      <c r="BI141" s="132" t="n"/>
      <c r="BJ141" s="128">
        <f>iferror(SUM($BK141,($BL141*1.2),($BM141*1.35),($BN141*0.74)),)</f>
        <v/>
      </c>
      <c r="BK141" s="128">
        <f>IFERROR(SUM($BT141:$CK141),)</f>
        <v/>
      </c>
      <c r="BL141" s="129">
        <f>IFERROR(SUM($CL141:$CN141),)</f>
        <v/>
      </c>
      <c r="BM141" s="130">
        <f>IFERROR(SUM($CO141:$CQ141),)</f>
        <v/>
      </c>
      <c r="BN141" s="128">
        <f>IFERROR(SUM($CR141:$CT141),)</f>
        <v/>
      </c>
      <c r="BO141" s="128">
        <f>iferror(SUM($BP141,($BQ141*1.2),($BR141*1.35),($BS141*0.74)),)</f>
        <v/>
      </c>
      <c r="BP141" s="128">
        <f>IFERROR(SUM($CU141:$DL141),)</f>
        <v/>
      </c>
      <c r="BQ141" s="128">
        <f>IFERROR(SUM($DM141:$DO141),)</f>
        <v/>
      </c>
      <c r="BR141" s="128">
        <f>IFERROR(SUM($DP141:$DR141),)</f>
        <v/>
      </c>
      <c r="BS141" s="128">
        <f>IFERROR(SUM($DS141:$DU141),)</f>
        <v/>
      </c>
      <c r="BT141" s="128">
        <f>IFERROR(AI141*$W141,)</f>
        <v/>
      </c>
      <c r="BU141" s="128">
        <f>IFERROR(AJ141*$W141,)</f>
        <v/>
      </c>
      <c r="BV141" s="128">
        <f>IFERROR(AK141*$W141,)</f>
        <v/>
      </c>
      <c r="BW141" s="128">
        <f>IFERROR(AL141*$W141,)</f>
        <v/>
      </c>
      <c r="BX141" s="128">
        <f>IFERROR(AM141*$W141,)</f>
        <v/>
      </c>
      <c r="BY141" s="128">
        <f>IFERROR(AN141*$W141,)</f>
        <v/>
      </c>
      <c r="BZ141" s="128">
        <f>IFERROR(AO141*$W141,)</f>
        <v/>
      </c>
      <c r="CA141" s="128">
        <f>IFERROR(AP141*$W141,)</f>
        <v/>
      </c>
      <c r="CB141" s="128">
        <f>IFERROR(AQ141*$W141,)</f>
        <v/>
      </c>
      <c r="CC141" s="128">
        <f>IFERROR(AR141*$W141,)</f>
        <v/>
      </c>
      <c r="CD141" s="128">
        <f>IFERROR(AS141*$W141,)</f>
        <v/>
      </c>
      <c r="CE141" s="128">
        <f>IFERROR(AT141*$W141,)</f>
        <v/>
      </c>
      <c r="CF141" s="128">
        <f>IFERROR(AU141*$W141,)</f>
        <v/>
      </c>
      <c r="CG141" s="128">
        <f>IFERROR(AV141*$W141,)</f>
        <v/>
      </c>
      <c r="CH141" s="128">
        <f>IFERROR(AW141*$W141,)</f>
        <v/>
      </c>
      <c r="CI141" s="128">
        <f>IFERROR(AX141*$W141,)</f>
        <v/>
      </c>
      <c r="CJ141" s="128">
        <f>IFERROR(AY141*$W141,)</f>
        <v/>
      </c>
      <c r="CK141" s="128">
        <f>IFERROR(AZ141*$W141,)</f>
        <v/>
      </c>
      <c r="CL141" s="129">
        <f>IFERROR(if($Y141=0,BA141*($W141/1.2),BA141*$Y141),"")</f>
        <v/>
      </c>
      <c r="CM141" s="129">
        <f>IFERROR(if($Y141=0,BB141*($W141/1.2),BB141*$Y141),"")</f>
        <v/>
      </c>
      <c r="CN141" s="129">
        <f>IFERROR(if($Y141=0,BC141*($W141/1.2),BC141*$Y141),"")</f>
        <v/>
      </c>
      <c r="CO141" s="130">
        <f>IFERROR(if($AA141=0,($W141/1.35)*BD141,BD141*$AA141),)</f>
        <v/>
      </c>
      <c r="CP141" s="130">
        <f>IFERROR(if($AA141=0,($W141/1.35)*BE141,BE141*$AA141),)</f>
        <v/>
      </c>
      <c r="CQ141" s="130">
        <f>IFERROR(if($AA141=0,($W141/1.35)*BF141,BF141*$AA141),)</f>
        <v/>
      </c>
      <c r="CR141" s="128">
        <f>IFERROR(if($AC141=0,($W141/0.74)*BG141,
BG141*$AC141),)</f>
        <v/>
      </c>
      <c r="CS141" s="128">
        <f>IFERROR(if($AC141=0,($W141/0.74)*BH141,
BH141*$AC141),)</f>
        <v/>
      </c>
      <c r="CT141" s="128">
        <f>IFERROR(if($AC141=0,($W141/0.74)*BI141,
BI141*$AC141),)</f>
        <v/>
      </c>
      <c r="CU141" s="128">
        <f>IFERROR(AI141*$V141,)</f>
        <v/>
      </c>
      <c r="CV141" s="128">
        <f>IFERROR(AJ141*$V141,)</f>
        <v/>
      </c>
      <c r="CW141" s="128">
        <f>IFERROR(AK141*$V141,)</f>
        <v/>
      </c>
      <c r="CX141" s="128">
        <f>IFERROR(AL141*$V141,)</f>
        <v/>
      </c>
      <c r="CY141" s="128">
        <f>IFERROR(AM141*$V141,)</f>
        <v/>
      </c>
      <c r="CZ141" s="128">
        <f>IFERROR(AN141*$V141,)</f>
        <v/>
      </c>
      <c r="DA141" s="128">
        <f>IFERROR(AO141*$V141,)</f>
        <v/>
      </c>
      <c r="DB141" s="128">
        <f>IFERROR(AP141*$V141,)</f>
        <v/>
      </c>
      <c r="DC141" s="128">
        <f>IFERROR(AQ141*$V141,)</f>
        <v/>
      </c>
      <c r="DD141" s="128">
        <f>IFERROR(AR141*$V141,)</f>
        <v/>
      </c>
      <c r="DE141" s="128">
        <f>IFERROR(AS141*$V141,)</f>
        <v/>
      </c>
      <c r="DF141" s="128">
        <f>IFERROR(AT141*$V141,)</f>
        <v/>
      </c>
      <c r="DG141" s="128">
        <f>IFERROR(AU141*$V141,)</f>
        <v/>
      </c>
      <c r="DH141" s="128">
        <f>IFERROR(AV141*$V141,)</f>
        <v/>
      </c>
      <c r="DI141" s="128">
        <f>IFERROR(AW141*$V141,)</f>
        <v/>
      </c>
      <c r="DJ141" s="128">
        <f>IFERROR(AX141*$V141,)</f>
        <v/>
      </c>
      <c r="DK141" s="128">
        <f>IFERROR(AY141*$V141,)</f>
        <v/>
      </c>
      <c r="DL141" s="128">
        <f>IFERROR(AZ141*$V141,)</f>
        <v/>
      </c>
      <c r="DM141" s="129">
        <f>IFERROR(if($X141=0,($V141/1.2)*BA141,
BA141*$X141),)</f>
        <v/>
      </c>
      <c r="DN141" s="129">
        <f>IFERROR(if($X141=0,($V141/1.2)*BB141,
BB141*$X141),)</f>
        <v/>
      </c>
      <c r="DO141" s="129">
        <f>IFERROR(if($X141=0,($V141/1.2)*BC141,
BC141*$X141),)</f>
        <v/>
      </c>
      <c r="DP141" s="130">
        <f>IFERROR(if($Z141=0,($V141/1.35)*BD141,
BD141*$Z141),)</f>
        <v/>
      </c>
      <c r="DQ141" s="130">
        <f>IFERROR(if($Z141=0,($V141/1.35)*BE141,
BE141*$Z141),)</f>
        <v/>
      </c>
      <c r="DR141" s="130">
        <f>IFERROR(if($Z141=0,($V141/1.35)*BF141,
BF141*$Z141),)</f>
        <v/>
      </c>
      <c r="DS141" s="128">
        <f>IFERROR(IF($AB141=0,($V141/0.74)*BG141,
BG141*$AB141),)</f>
        <v/>
      </c>
      <c r="DT141" s="128">
        <f>IFERROR(IF($AB141=0,($V141/0.74)*BH141,
BH141*$AB141),)</f>
        <v/>
      </c>
      <c r="DU141" s="128">
        <f>IFERROR(IF($AB141=0,($V141/0.74)*BI141,
BI141*$AB141),)</f>
        <v/>
      </c>
    </row>
    <row r="142" ht="131.25" customHeight="1" s="162">
      <c r="A142" s="115" t="n"/>
      <c r="B142" s="115" t="n"/>
      <c r="C142" s="115" t="n"/>
      <c r="D142" s="115" t="n"/>
      <c r="E142" s="115" t="n"/>
      <c r="F142" s="115" t="n"/>
      <c r="G142" s="115" t="n"/>
      <c r="H142" s="115" t="n"/>
      <c r="I142" s="115" t="n"/>
      <c r="J142" s="115" t="n"/>
      <c r="K142" s="115" t="n"/>
      <c r="L142" s="115" t="n"/>
      <c r="M142" s="115" t="n"/>
      <c r="N142" s="115" t="n"/>
      <c r="O142" s="115" t="n"/>
      <c r="P142" s="115" t="n"/>
      <c r="Q142" s="115" t="n"/>
      <c r="R142" s="115" t="n"/>
      <c r="S142" s="115" t="n"/>
      <c r="T142" s="115" t="n"/>
      <c r="U142" s="116" t="n"/>
      <c r="V142" s="116" t="n"/>
      <c r="W142" s="117" t="n"/>
      <c r="X142" s="118" t="n"/>
      <c r="Y142" s="119" t="n"/>
      <c r="Z142" s="120" t="n"/>
      <c r="AA142" s="121" t="n"/>
      <c r="AB142" s="122" t="n"/>
      <c r="AC142" s="117" t="n"/>
      <c r="AD142" s="123">
        <f>IF(SUM($AE142:$AH142)=0,"",SUM($AE142:$AH142))</f>
        <v/>
      </c>
      <c r="AE142" s="123">
        <f>iferror(IF(SUM($AI142:$AZ142)=0,"",SUM($AI142:$AZ142)),"")</f>
        <v/>
      </c>
      <c r="AF142" s="123">
        <f>iferror(IF(SUM($BA142:$BC142)=0,"",SUM($BA142:$BC142)),"")</f>
        <v/>
      </c>
      <c r="AG142" s="123">
        <f>iferror(IF(SUM($BD142:$BF142)=0,"",SUM($BD142:$BF142)),"")</f>
        <v/>
      </c>
      <c r="AH142" s="124">
        <f>iferror(IF(SUM($BG142:$BI142)=0,"",SUM($BG142:$BI142)),"")</f>
        <v/>
      </c>
      <c r="AI142" s="131" t="n"/>
      <c r="AJ142" s="132" t="n"/>
      <c r="AK142" s="132" t="n"/>
      <c r="AL142" s="132" t="n"/>
      <c r="AM142" s="132" t="n"/>
      <c r="AN142" s="132" t="n"/>
      <c r="AO142" s="132" t="n"/>
      <c r="AP142" s="132" t="n"/>
      <c r="AQ142" s="132" t="n"/>
      <c r="AR142" s="132" t="n"/>
      <c r="AS142" s="132" t="n"/>
      <c r="AT142" s="132" t="n"/>
      <c r="AU142" s="132" t="n"/>
      <c r="AV142" s="132" t="n"/>
      <c r="AW142" s="132" t="n"/>
      <c r="AX142" s="132" t="n"/>
      <c r="AY142" s="132" t="n"/>
      <c r="AZ142" s="133" t="n"/>
      <c r="BA142" s="131" t="n"/>
      <c r="BB142" s="132" t="n"/>
      <c r="BC142" s="133" t="n"/>
      <c r="BD142" s="131" t="n"/>
      <c r="BE142" s="132" t="n"/>
      <c r="BF142" s="133" t="n"/>
      <c r="BG142" s="131" t="n"/>
      <c r="BH142" s="132" t="n"/>
      <c r="BI142" s="132" t="n"/>
      <c r="BJ142" s="128">
        <f>iferror(SUM($BK142,($BL142*1.2),($BM142*1.35),($BN142*0.74)),)</f>
        <v/>
      </c>
      <c r="BK142" s="128">
        <f>IFERROR(SUM($BT142:$CK142),)</f>
        <v/>
      </c>
      <c r="BL142" s="129">
        <f>IFERROR(SUM($CL142:$CN142),)</f>
        <v/>
      </c>
      <c r="BM142" s="130">
        <f>IFERROR(SUM($CO142:$CQ142),)</f>
        <v/>
      </c>
      <c r="BN142" s="128">
        <f>IFERROR(SUM($CR142:$CT142),)</f>
        <v/>
      </c>
      <c r="BO142" s="128">
        <f>iferror(SUM($BP142,($BQ142*1.2),($BR142*1.35),($BS142*0.74)),)</f>
        <v/>
      </c>
      <c r="BP142" s="128">
        <f>IFERROR(SUM($CU142:$DL142),)</f>
        <v/>
      </c>
      <c r="BQ142" s="128">
        <f>IFERROR(SUM($DM142:$DO142),)</f>
        <v/>
      </c>
      <c r="BR142" s="128">
        <f>IFERROR(SUM($DP142:$DR142),)</f>
        <v/>
      </c>
      <c r="BS142" s="128">
        <f>IFERROR(SUM($DS142:$DU142),)</f>
        <v/>
      </c>
      <c r="BT142" s="128">
        <f>IFERROR(AI142*$W142,)</f>
        <v/>
      </c>
      <c r="BU142" s="128">
        <f>IFERROR(AJ142*$W142,)</f>
        <v/>
      </c>
      <c r="BV142" s="128">
        <f>IFERROR(AK142*$W142,)</f>
        <v/>
      </c>
      <c r="BW142" s="128">
        <f>IFERROR(AL142*$W142,)</f>
        <v/>
      </c>
      <c r="BX142" s="128">
        <f>IFERROR(AM142*$W142,)</f>
        <v/>
      </c>
      <c r="BY142" s="128">
        <f>IFERROR(AN142*$W142,)</f>
        <v/>
      </c>
      <c r="BZ142" s="128">
        <f>IFERROR(AO142*$W142,)</f>
        <v/>
      </c>
      <c r="CA142" s="128">
        <f>IFERROR(AP142*$W142,)</f>
        <v/>
      </c>
      <c r="CB142" s="128">
        <f>IFERROR(AQ142*$W142,)</f>
        <v/>
      </c>
      <c r="CC142" s="128">
        <f>IFERROR(AR142*$W142,)</f>
        <v/>
      </c>
      <c r="CD142" s="128">
        <f>IFERROR(AS142*$W142,)</f>
        <v/>
      </c>
      <c r="CE142" s="128">
        <f>IFERROR(AT142*$W142,)</f>
        <v/>
      </c>
      <c r="CF142" s="128">
        <f>IFERROR(AU142*$W142,)</f>
        <v/>
      </c>
      <c r="CG142" s="128">
        <f>IFERROR(AV142*$W142,)</f>
        <v/>
      </c>
      <c r="CH142" s="128">
        <f>IFERROR(AW142*$W142,)</f>
        <v/>
      </c>
      <c r="CI142" s="128">
        <f>IFERROR(AX142*$W142,)</f>
        <v/>
      </c>
      <c r="CJ142" s="128">
        <f>IFERROR(AY142*$W142,)</f>
        <v/>
      </c>
      <c r="CK142" s="128">
        <f>IFERROR(AZ142*$W142,)</f>
        <v/>
      </c>
      <c r="CL142" s="129">
        <f>IFERROR(if($Y142=0,BA142*($W142/1.2),BA142*$Y142),"")</f>
        <v/>
      </c>
      <c r="CM142" s="129">
        <f>IFERROR(if($Y142=0,BB142*($W142/1.2),BB142*$Y142),"")</f>
        <v/>
      </c>
      <c r="CN142" s="129">
        <f>IFERROR(if($Y142=0,BC142*($W142/1.2),BC142*$Y142),"")</f>
        <v/>
      </c>
      <c r="CO142" s="130">
        <f>IFERROR(if($AA142=0,($W142/1.35)*BD142,BD142*$AA142),)</f>
        <v/>
      </c>
      <c r="CP142" s="130">
        <f>IFERROR(if($AA142=0,($W142/1.35)*BE142,BE142*$AA142),)</f>
        <v/>
      </c>
      <c r="CQ142" s="130">
        <f>IFERROR(if($AA142=0,($W142/1.35)*BF142,BF142*$AA142),)</f>
        <v/>
      </c>
      <c r="CR142" s="128">
        <f>IFERROR(if($AC142=0,($W142/0.74)*BG142,
BG142*$AC142),)</f>
        <v/>
      </c>
      <c r="CS142" s="128">
        <f>IFERROR(if($AC142=0,($W142/0.74)*BH142,
BH142*$AC142),)</f>
        <v/>
      </c>
      <c r="CT142" s="128">
        <f>IFERROR(if($AC142=0,($W142/0.74)*BI142,
BI142*$AC142),)</f>
        <v/>
      </c>
      <c r="CU142" s="128">
        <f>IFERROR(AI142*$V142,)</f>
        <v/>
      </c>
      <c r="CV142" s="128">
        <f>IFERROR(AJ142*$V142,)</f>
        <v/>
      </c>
      <c r="CW142" s="128">
        <f>IFERROR(AK142*$V142,)</f>
        <v/>
      </c>
      <c r="CX142" s="128">
        <f>IFERROR(AL142*$V142,)</f>
        <v/>
      </c>
      <c r="CY142" s="128">
        <f>IFERROR(AM142*$V142,)</f>
        <v/>
      </c>
      <c r="CZ142" s="128">
        <f>IFERROR(AN142*$V142,)</f>
        <v/>
      </c>
      <c r="DA142" s="128">
        <f>IFERROR(AO142*$V142,)</f>
        <v/>
      </c>
      <c r="DB142" s="128">
        <f>IFERROR(AP142*$V142,)</f>
        <v/>
      </c>
      <c r="DC142" s="128">
        <f>IFERROR(AQ142*$V142,)</f>
        <v/>
      </c>
      <c r="DD142" s="128">
        <f>IFERROR(AR142*$V142,)</f>
        <v/>
      </c>
      <c r="DE142" s="128">
        <f>IFERROR(AS142*$V142,)</f>
        <v/>
      </c>
      <c r="DF142" s="128">
        <f>IFERROR(AT142*$V142,)</f>
        <v/>
      </c>
      <c r="DG142" s="128">
        <f>IFERROR(AU142*$V142,)</f>
        <v/>
      </c>
      <c r="DH142" s="128">
        <f>IFERROR(AV142*$V142,)</f>
        <v/>
      </c>
      <c r="DI142" s="128">
        <f>IFERROR(AW142*$V142,)</f>
        <v/>
      </c>
      <c r="DJ142" s="128">
        <f>IFERROR(AX142*$V142,)</f>
        <v/>
      </c>
      <c r="DK142" s="128">
        <f>IFERROR(AY142*$V142,)</f>
        <v/>
      </c>
      <c r="DL142" s="128">
        <f>IFERROR(AZ142*$V142,)</f>
        <v/>
      </c>
      <c r="DM142" s="129">
        <f>IFERROR(if($X142=0,($V142/1.2)*BA142,
BA142*$X142),)</f>
        <v/>
      </c>
      <c r="DN142" s="129">
        <f>IFERROR(if($X142=0,($V142/1.2)*BB142,
BB142*$X142),)</f>
        <v/>
      </c>
      <c r="DO142" s="129">
        <f>IFERROR(if($X142=0,($V142/1.2)*BC142,
BC142*$X142),)</f>
        <v/>
      </c>
      <c r="DP142" s="130">
        <f>IFERROR(if($Z142=0,($V142/1.35)*BD142,
BD142*$Z142),)</f>
        <v/>
      </c>
      <c r="DQ142" s="130">
        <f>IFERROR(if($Z142=0,($V142/1.35)*BE142,
BE142*$Z142),)</f>
        <v/>
      </c>
      <c r="DR142" s="130">
        <f>IFERROR(if($Z142=0,($V142/1.35)*BF142,
BF142*$Z142),)</f>
        <v/>
      </c>
      <c r="DS142" s="128">
        <f>IFERROR(IF($AB142=0,($V142/0.74)*BG142,
BG142*$AB142),)</f>
        <v/>
      </c>
      <c r="DT142" s="128">
        <f>IFERROR(IF($AB142=0,($V142/0.74)*BH142,
BH142*$AB142),)</f>
        <v/>
      </c>
      <c r="DU142" s="128">
        <f>IFERROR(IF($AB142=0,($V142/0.74)*BI142,
BI142*$AB142),)</f>
        <v/>
      </c>
    </row>
    <row r="143" ht="131.25" customHeight="1" s="162">
      <c r="A143" s="115" t="n"/>
      <c r="B143" s="115" t="n"/>
      <c r="C143" s="115" t="n"/>
      <c r="D143" s="115" t="n"/>
      <c r="E143" s="115" t="n"/>
      <c r="F143" s="115" t="n"/>
      <c r="G143" s="115" t="n"/>
      <c r="H143" s="115" t="n"/>
      <c r="I143" s="115" t="n"/>
      <c r="J143" s="115" t="n"/>
      <c r="K143" s="115" t="n"/>
      <c r="L143" s="115" t="n"/>
      <c r="M143" s="115" t="n"/>
      <c r="N143" s="115" t="n"/>
      <c r="O143" s="115" t="n"/>
      <c r="P143" s="115" t="n"/>
      <c r="Q143" s="115" t="n"/>
      <c r="R143" s="115" t="n"/>
      <c r="S143" s="115" t="n"/>
      <c r="T143" s="115" t="n"/>
      <c r="U143" s="116" t="n"/>
      <c r="V143" s="116" t="n"/>
      <c r="W143" s="117" t="n"/>
      <c r="X143" s="118" t="n"/>
      <c r="Y143" s="119" t="n"/>
      <c r="Z143" s="120" t="n"/>
      <c r="AA143" s="121" t="n"/>
      <c r="AB143" s="122" t="n"/>
      <c r="AC143" s="117" t="n"/>
      <c r="AD143" s="123">
        <f>IF(SUM($AE143:$AH143)=0,"",SUM($AE143:$AH143))</f>
        <v/>
      </c>
      <c r="AE143" s="123">
        <f>iferror(IF(SUM($AI143:$AZ143)=0,"",SUM($AI143:$AZ143)),"")</f>
        <v/>
      </c>
      <c r="AF143" s="123">
        <f>iferror(IF(SUM($BA143:$BC143)=0,"",SUM($BA143:$BC143)),"")</f>
        <v/>
      </c>
      <c r="AG143" s="123">
        <f>iferror(IF(SUM($BD143:$BF143)=0,"",SUM($BD143:$BF143)),"")</f>
        <v/>
      </c>
      <c r="AH143" s="124">
        <f>iferror(IF(SUM($BG143:$BI143)=0,"",SUM($BG143:$BI143)),"")</f>
        <v/>
      </c>
      <c r="AI143" s="131" t="n"/>
      <c r="AJ143" s="132" t="n"/>
      <c r="AK143" s="132" t="n"/>
      <c r="AL143" s="132" t="n"/>
      <c r="AM143" s="132" t="n"/>
      <c r="AN143" s="132" t="n"/>
      <c r="AO143" s="132" t="n"/>
      <c r="AP143" s="132" t="n"/>
      <c r="AQ143" s="132" t="n"/>
      <c r="AR143" s="132" t="n"/>
      <c r="AS143" s="132" t="n"/>
      <c r="AT143" s="132" t="n"/>
      <c r="AU143" s="132" t="n"/>
      <c r="AV143" s="132" t="n"/>
      <c r="AW143" s="132" t="n"/>
      <c r="AX143" s="132" t="n"/>
      <c r="AY143" s="132" t="n"/>
      <c r="AZ143" s="133" t="n"/>
      <c r="BA143" s="131" t="n"/>
      <c r="BB143" s="132" t="n"/>
      <c r="BC143" s="133" t="n"/>
      <c r="BD143" s="131" t="n"/>
      <c r="BE143" s="132" t="n"/>
      <c r="BF143" s="133" t="n"/>
      <c r="BG143" s="131" t="n"/>
      <c r="BH143" s="132" t="n"/>
      <c r="BI143" s="132" t="n"/>
      <c r="BJ143" s="128">
        <f>iferror(SUM($BK143,($BL143*1.2),($BM143*1.35),($BN143*0.74)),)</f>
        <v/>
      </c>
      <c r="BK143" s="128">
        <f>IFERROR(SUM($BT143:$CK143),)</f>
        <v/>
      </c>
      <c r="BL143" s="129">
        <f>IFERROR(SUM($CL143:$CN143),)</f>
        <v/>
      </c>
      <c r="BM143" s="130">
        <f>IFERROR(SUM($CO143:$CQ143),)</f>
        <v/>
      </c>
      <c r="BN143" s="128">
        <f>IFERROR(SUM($CR143:$CT143),)</f>
        <v/>
      </c>
      <c r="BO143" s="128">
        <f>iferror(SUM($BP143,($BQ143*1.2),($BR143*1.35),($BS143*0.74)),)</f>
        <v/>
      </c>
      <c r="BP143" s="128">
        <f>IFERROR(SUM($CU143:$DL143),)</f>
        <v/>
      </c>
      <c r="BQ143" s="128">
        <f>IFERROR(SUM($DM143:$DO143),)</f>
        <v/>
      </c>
      <c r="BR143" s="128">
        <f>IFERROR(SUM($DP143:$DR143),)</f>
        <v/>
      </c>
      <c r="BS143" s="128">
        <f>IFERROR(SUM($DS143:$DU143),)</f>
        <v/>
      </c>
      <c r="BT143" s="128">
        <f>IFERROR(AI143*$W143,)</f>
        <v/>
      </c>
      <c r="BU143" s="128">
        <f>IFERROR(AJ143*$W143,)</f>
        <v/>
      </c>
      <c r="BV143" s="128">
        <f>IFERROR(AK143*$W143,)</f>
        <v/>
      </c>
      <c r="BW143" s="128">
        <f>IFERROR(AL143*$W143,)</f>
        <v/>
      </c>
      <c r="BX143" s="128">
        <f>IFERROR(AM143*$W143,)</f>
        <v/>
      </c>
      <c r="BY143" s="128">
        <f>IFERROR(AN143*$W143,)</f>
        <v/>
      </c>
      <c r="BZ143" s="128">
        <f>IFERROR(AO143*$W143,)</f>
        <v/>
      </c>
      <c r="CA143" s="128">
        <f>IFERROR(AP143*$W143,)</f>
        <v/>
      </c>
      <c r="CB143" s="128">
        <f>IFERROR(AQ143*$W143,)</f>
        <v/>
      </c>
      <c r="CC143" s="128">
        <f>IFERROR(AR143*$W143,)</f>
        <v/>
      </c>
      <c r="CD143" s="128">
        <f>IFERROR(AS143*$W143,)</f>
        <v/>
      </c>
      <c r="CE143" s="128">
        <f>IFERROR(AT143*$W143,)</f>
        <v/>
      </c>
      <c r="CF143" s="128">
        <f>IFERROR(AU143*$W143,)</f>
        <v/>
      </c>
      <c r="CG143" s="128">
        <f>IFERROR(AV143*$W143,)</f>
        <v/>
      </c>
      <c r="CH143" s="128">
        <f>IFERROR(AW143*$W143,)</f>
        <v/>
      </c>
      <c r="CI143" s="128">
        <f>IFERROR(AX143*$W143,)</f>
        <v/>
      </c>
      <c r="CJ143" s="128">
        <f>IFERROR(AY143*$W143,)</f>
        <v/>
      </c>
      <c r="CK143" s="128">
        <f>IFERROR(AZ143*$W143,)</f>
        <v/>
      </c>
      <c r="CL143" s="129">
        <f>IFERROR(if($Y143=0,BA143*($W143/1.2),BA143*$Y143),"")</f>
        <v/>
      </c>
      <c r="CM143" s="129">
        <f>IFERROR(if($Y143=0,BB143*($W143/1.2),BB143*$Y143),"")</f>
        <v/>
      </c>
      <c r="CN143" s="129">
        <f>IFERROR(if($Y143=0,BC143*($W143/1.2),BC143*$Y143),"")</f>
        <v/>
      </c>
      <c r="CO143" s="130">
        <f>IFERROR(if($AA143=0,($W143/1.35)*BD143,BD143*$AA143),)</f>
        <v/>
      </c>
      <c r="CP143" s="130">
        <f>IFERROR(if($AA143=0,($W143/1.35)*BE143,BE143*$AA143),)</f>
        <v/>
      </c>
      <c r="CQ143" s="130">
        <f>IFERROR(if($AA143=0,($W143/1.35)*BF143,BF143*$AA143),)</f>
        <v/>
      </c>
      <c r="CR143" s="128">
        <f>IFERROR(if($AC143=0,($W143/0.74)*BG143,
BG143*$AC143),)</f>
        <v/>
      </c>
      <c r="CS143" s="128">
        <f>IFERROR(if($AC143=0,($W143/0.74)*BH143,
BH143*$AC143),)</f>
        <v/>
      </c>
      <c r="CT143" s="128">
        <f>IFERROR(if($AC143=0,($W143/0.74)*BI143,
BI143*$AC143),)</f>
        <v/>
      </c>
      <c r="CU143" s="128">
        <f>IFERROR(AI143*$V143,)</f>
        <v/>
      </c>
      <c r="CV143" s="128">
        <f>IFERROR(AJ143*$V143,)</f>
        <v/>
      </c>
      <c r="CW143" s="128">
        <f>IFERROR(AK143*$V143,)</f>
        <v/>
      </c>
      <c r="CX143" s="128">
        <f>IFERROR(AL143*$V143,)</f>
        <v/>
      </c>
      <c r="CY143" s="128">
        <f>IFERROR(AM143*$V143,)</f>
        <v/>
      </c>
      <c r="CZ143" s="128">
        <f>IFERROR(AN143*$V143,)</f>
        <v/>
      </c>
      <c r="DA143" s="128">
        <f>IFERROR(AO143*$V143,)</f>
        <v/>
      </c>
      <c r="DB143" s="128">
        <f>IFERROR(AP143*$V143,)</f>
        <v/>
      </c>
      <c r="DC143" s="128">
        <f>IFERROR(AQ143*$V143,)</f>
        <v/>
      </c>
      <c r="DD143" s="128">
        <f>IFERROR(AR143*$V143,)</f>
        <v/>
      </c>
      <c r="DE143" s="128">
        <f>IFERROR(AS143*$V143,)</f>
        <v/>
      </c>
      <c r="DF143" s="128">
        <f>IFERROR(AT143*$V143,)</f>
        <v/>
      </c>
      <c r="DG143" s="128">
        <f>IFERROR(AU143*$V143,)</f>
        <v/>
      </c>
      <c r="DH143" s="128">
        <f>IFERROR(AV143*$V143,)</f>
        <v/>
      </c>
      <c r="DI143" s="128">
        <f>IFERROR(AW143*$V143,)</f>
        <v/>
      </c>
      <c r="DJ143" s="128">
        <f>IFERROR(AX143*$V143,)</f>
        <v/>
      </c>
      <c r="DK143" s="128">
        <f>IFERROR(AY143*$V143,)</f>
        <v/>
      </c>
      <c r="DL143" s="128">
        <f>IFERROR(AZ143*$V143,)</f>
        <v/>
      </c>
      <c r="DM143" s="129">
        <f>IFERROR(if($X143=0,($V143/1.2)*BA143,
BA143*$X143),)</f>
        <v/>
      </c>
      <c r="DN143" s="129">
        <f>IFERROR(if($X143=0,($V143/1.2)*BB143,
BB143*$X143),)</f>
        <v/>
      </c>
      <c r="DO143" s="129">
        <f>IFERROR(if($X143=0,($V143/1.2)*BC143,
BC143*$X143),)</f>
        <v/>
      </c>
      <c r="DP143" s="130">
        <f>IFERROR(if($Z143=0,($V143/1.35)*BD143,
BD143*$Z143),)</f>
        <v/>
      </c>
      <c r="DQ143" s="130">
        <f>IFERROR(if($Z143=0,($V143/1.35)*BE143,
BE143*$Z143),)</f>
        <v/>
      </c>
      <c r="DR143" s="130">
        <f>IFERROR(if($Z143=0,($V143/1.35)*BF143,
BF143*$Z143),)</f>
        <v/>
      </c>
      <c r="DS143" s="128">
        <f>IFERROR(IF($AB143=0,($V143/0.74)*BG143,
BG143*$AB143),)</f>
        <v/>
      </c>
      <c r="DT143" s="128">
        <f>IFERROR(IF($AB143=0,($V143/0.74)*BH143,
BH143*$AB143),)</f>
        <v/>
      </c>
      <c r="DU143" s="128">
        <f>IFERROR(IF($AB143=0,($V143/0.74)*BI143,
BI143*$AB143),)</f>
        <v/>
      </c>
    </row>
    <row r="144" ht="131.25" customHeight="1" s="162">
      <c r="A144" s="115" t="n"/>
      <c r="B144" s="115" t="n"/>
      <c r="C144" s="115" t="n"/>
      <c r="D144" s="115" t="n"/>
      <c r="E144" s="115" t="n"/>
      <c r="F144" s="115" t="n"/>
      <c r="G144" s="115" t="n"/>
      <c r="H144" s="115" t="n"/>
      <c r="I144" s="115" t="n"/>
      <c r="J144" s="115" t="n"/>
      <c r="K144" s="115" t="n"/>
      <c r="L144" s="115" t="n"/>
      <c r="M144" s="115" t="n"/>
      <c r="N144" s="115" t="n"/>
      <c r="O144" s="115" t="n"/>
      <c r="P144" s="115" t="n"/>
      <c r="Q144" s="115" t="n"/>
      <c r="R144" s="115" t="n"/>
      <c r="S144" s="115" t="n"/>
      <c r="T144" s="115" t="n"/>
      <c r="U144" s="116" t="n"/>
      <c r="V144" s="116" t="n"/>
      <c r="W144" s="117" t="n"/>
      <c r="X144" s="118" t="n"/>
      <c r="Y144" s="119" t="n"/>
      <c r="Z144" s="120" t="n"/>
      <c r="AA144" s="121" t="n"/>
      <c r="AB144" s="122" t="n"/>
      <c r="AC144" s="117" t="n"/>
      <c r="AD144" s="123">
        <f>IF(SUM($AE144:$AH144)=0,"",SUM($AE144:$AH144))</f>
        <v/>
      </c>
      <c r="AE144" s="123">
        <f>iferror(IF(SUM($AI144:$AZ144)=0,"",SUM($AI144:$AZ144)),"")</f>
        <v/>
      </c>
      <c r="AF144" s="123">
        <f>iferror(IF(SUM($BA144:$BC144)=0,"",SUM($BA144:$BC144)),"")</f>
        <v/>
      </c>
      <c r="AG144" s="123">
        <f>iferror(IF(SUM($BD144:$BF144)=0,"",SUM($BD144:$BF144)),"")</f>
        <v/>
      </c>
      <c r="AH144" s="124">
        <f>iferror(IF(SUM($BG144:$BI144)=0,"",SUM($BG144:$BI144)),"")</f>
        <v/>
      </c>
      <c r="AI144" s="131" t="n"/>
      <c r="AJ144" s="132" t="n"/>
      <c r="AK144" s="132" t="n"/>
      <c r="AL144" s="132" t="n"/>
      <c r="AM144" s="132" t="n"/>
      <c r="AN144" s="132" t="n"/>
      <c r="AO144" s="132" t="n"/>
      <c r="AP144" s="132" t="n"/>
      <c r="AQ144" s="132" t="n"/>
      <c r="AR144" s="132" t="n"/>
      <c r="AS144" s="132" t="n"/>
      <c r="AT144" s="132" t="n"/>
      <c r="AU144" s="132" t="n"/>
      <c r="AV144" s="132" t="n"/>
      <c r="AW144" s="132" t="n"/>
      <c r="AX144" s="132" t="n"/>
      <c r="AY144" s="132" t="n"/>
      <c r="AZ144" s="133" t="n"/>
      <c r="BA144" s="131" t="n"/>
      <c r="BB144" s="132" t="n"/>
      <c r="BC144" s="133" t="n"/>
      <c r="BD144" s="131" t="n"/>
      <c r="BE144" s="132" t="n"/>
      <c r="BF144" s="133" t="n"/>
      <c r="BG144" s="131" t="n"/>
      <c r="BH144" s="132" t="n"/>
      <c r="BI144" s="132" t="n"/>
      <c r="BJ144" s="128">
        <f>iferror(SUM($BK144,($BL144*1.2),($BM144*1.35),($BN144*0.74)),)</f>
        <v/>
      </c>
      <c r="BK144" s="128">
        <f>IFERROR(SUM($BT144:$CK144),)</f>
        <v/>
      </c>
      <c r="BL144" s="129">
        <f>IFERROR(SUM($CL144:$CN144),)</f>
        <v/>
      </c>
      <c r="BM144" s="130">
        <f>IFERROR(SUM($CO144:$CQ144),)</f>
        <v/>
      </c>
      <c r="BN144" s="128">
        <f>IFERROR(SUM($CR144:$CT144),)</f>
        <v/>
      </c>
      <c r="BO144" s="128">
        <f>iferror(SUM($BP144,($BQ144*1.2),($BR144*1.35),($BS144*0.74)),)</f>
        <v/>
      </c>
      <c r="BP144" s="128">
        <f>IFERROR(SUM($CU144:$DL144),)</f>
        <v/>
      </c>
      <c r="BQ144" s="128">
        <f>IFERROR(SUM($DM144:$DO144),)</f>
        <v/>
      </c>
      <c r="BR144" s="128">
        <f>IFERROR(SUM($DP144:$DR144),)</f>
        <v/>
      </c>
      <c r="BS144" s="128">
        <f>IFERROR(SUM($DS144:$DU144),)</f>
        <v/>
      </c>
      <c r="BT144" s="128">
        <f>IFERROR(AI144*$W144,)</f>
        <v/>
      </c>
      <c r="BU144" s="128">
        <f>IFERROR(AJ144*$W144,)</f>
        <v/>
      </c>
      <c r="BV144" s="128">
        <f>IFERROR(AK144*$W144,)</f>
        <v/>
      </c>
      <c r="BW144" s="128">
        <f>IFERROR(AL144*$W144,)</f>
        <v/>
      </c>
      <c r="BX144" s="128">
        <f>IFERROR(AM144*$W144,)</f>
        <v/>
      </c>
      <c r="BY144" s="128">
        <f>IFERROR(AN144*$W144,)</f>
        <v/>
      </c>
      <c r="BZ144" s="128">
        <f>IFERROR(AO144*$W144,)</f>
        <v/>
      </c>
      <c r="CA144" s="128">
        <f>IFERROR(AP144*$W144,)</f>
        <v/>
      </c>
      <c r="CB144" s="128">
        <f>IFERROR(AQ144*$W144,)</f>
        <v/>
      </c>
      <c r="CC144" s="128">
        <f>IFERROR(AR144*$W144,)</f>
        <v/>
      </c>
      <c r="CD144" s="128">
        <f>IFERROR(AS144*$W144,)</f>
        <v/>
      </c>
      <c r="CE144" s="128">
        <f>IFERROR(AT144*$W144,)</f>
        <v/>
      </c>
      <c r="CF144" s="128">
        <f>IFERROR(AU144*$W144,)</f>
        <v/>
      </c>
      <c r="CG144" s="128">
        <f>IFERROR(AV144*$W144,)</f>
        <v/>
      </c>
      <c r="CH144" s="128">
        <f>IFERROR(AW144*$W144,)</f>
        <v/>
      </c>
      <c r="CI144" s="128">
        <f>IFERROR(AX144*$W144,)</f>
        <v/>
      </c>
      <c r="CJ144" s="128">
        <f>IFERROR(AY144*$W144,)</f>
        <v/>
      </c>
      <c r="CK144" s="128">
        <f>IFERROR(AZ144*$W144,)</f>
        <v/>
      </c>
      <c r="CL144" s="129">
        <f>IFERROR(if($Y144=0,BA144*($W144/1.2),BA144*$Y144),"")</f>
        <v/>
      </c>
      <c r="CM144" s="129">
        <f>IFERROR(if($Y144=0,BB144*($W144/1.2),BB144*$Y144),"")</f>
        <v/>
      </c>
      <c r="CN144" s="129">
        <f>IFERROR(if($Y144=0,BC144*($W144/1.2),BC144*$Y144),"")</f>
        <v/>
      </c>
      <c r="CO144" s="130">
        <f>IFERROR(if($AA144=0,($W144/1.35)*BD144,BD144*$AA144),)</f>
        <v/>
      </c>
      <c r="CP144" s="130">
        <f>IFERROR(if($AA144=0,($W144/1.35)*BE144,BE144*$AA144),)</f>
        <v/>
      </c>
      <c r="CQ144" s="130">
        <f>IFERROR(if($AA144=0,($W144/1.35)*BF144,BF144*$AA144),)</f>
        <v/>
      </c>
      <c r="CR144" s="128">
        <f>IFERROR(if($AC144=0,($W144/0.74)*BG144,
BG144*$AC144),)</f>
        <v/>
      </c>
      <c r="CS144" s="128">
        <f>IFERROR(if($AC144=0,($W144/0.74)*BH144,
BH144*$AC144),)</f>
        <v/>
      </c>
      <c r="CT144" s="128">
        <f>IFERROR(if($AC144=0,($W144/0.74)*BI144,
BI144*$AC144),)</f>
        <v/>
      </c>
      <c r="CU144" s="128">
        <f>IFERROR(AI144*$V144,)</f>
        <v/>
      </c>
      <c r="CV144" s="128">
        <f>IFERROR(AJ144*$V144,)</f>
        <v/>
      </c>
      <c r="CW144" s="128">
        <f>IFERROR(AK144*$V144,)</f>
        <v/>
      </c>
      <c r="CX144" s="128">
        <f>IFERROR(AL144*$V144,)</f>
        <v/>
      </c>
      <c r="CY144" s="128">
        <f>IFERROR(AM144*$V144,)</f>
        <v/>
      </c>
      <c r="CZ144" s="128">
        <f>IFERROR(AN144*$V144,)</f>
        <v/>
      </c>
      <c r="DA144" s="128">
        <f>IFERROR(AO144*$V144,)</f>
        <v/>
      </c>
      <c r="DB144" s="128">
        <f>IFERROR(AP144*$V144,)</f>
        <v/>
      </c>
      <c r="DC144" s="128">
        <f>IFERROR(AQ144*$V144,)</f>
        <v/>
      </c>
      <c r="DD144" s="128">
        <f>IFERROR(AR144*$V144,)</f>
        <v/>
      </c>
      <c r="DE144" s="128">
        <f>IFERROR(AS144*$V144,)</f>
        <v/>
      </c>
      <c r="DF144" s="128">
        <f>IFERROR(AT144*$V144,)</f>
        <v/>
      </c>
      <c r="DG144" s="128">
        <f>IFERROR(AU144*$V144,)</f>
        <v/>
      </c>
      <c r="DH144" s="128">
        <f>IFERROR(AV144*$V144,)</f>
        <v/>
      </c>
      <c r="DI144" s="128">
        <f>IFERROR(AW144*$V144,)</f>
        <v/>
      </c>
      <c r="DJ144" s="128">
        <f>IFERROR(AX144*$V144,)</f>
        <v/>
      </c>
      <c r="DK144" s="128">
        <f>IFERROR(AY144*$V144,)</f>
        <v/>
      </c>
      <c r="DL144" s="128">
        <f>IFERROR(AZ144*$V144,)</f>
        <v/>
      </c>
      <c r="DM144" s="129">
        <f>IFERROR(if($X144=0,($V144/1.2)*BA144,
BA144*$X144),)</f>
        <v/>
      </c>
      <c r="DN144" s="129">
        <f>IFERROR(if($X144=0,($V144/1.2)*BB144,
BB144*$X144),)</f>
        <v/>
      </c>
      <c r="DO144" s="129">
        <f>IFERROR(if($X144=0,($V144/1.2)*BC144,
BC144*$X144),)</f>
        <v/>
      </c>
      <c r="DP144" s="130">
        <f>IFERROR(if($Z144=0,($V144/1.35)*BD144,
BD144*$Z144),)</f>
        <v/>
      </c>
      <c r="DQ144" s="130">
        <f>IFERROR(if($Z144=0,($V144/1.35)*BE144,
BE144*$Z144),)</f>
        <v/>
      </c>
      <c r="DR144" s="130">
        <f>IFERROR(if($Z144=0,($V144/1.35)*BF144,
BF144*$Z144),)</f>
        <v/>
      </c>
      <c r="DS144" s="128">
        <f>IFERROR(IF($AB144=0,($V144/0.74)*BG144,
BG144*$AB144),)</f>
        <v/>
      </c>
      <c r="DT144" s="128">
        <f>IFERROR(IF($AB144=0,($V144/0.74)*BH144,
BH144*$AB144),)</f>
        <v/>
      </c>
      <c r="DU144" s="128">
        <f>IFERROR(IF($AB144=0,($V144/0.74)*BI144,
BI144*$AB144),)</f>
        <v/>
      </c>
    </row>
    <row r="145" ht="131.25" customHeight="1" s="162">
      <c r="A145" s="115" t="n"/>
      <c r="B145" s="115" t="n"/>
      <c r="C145" s="115" t="n"/>
      <c r="D145" s="115" t="n"/>
      <c r="E145" s="115" t="n"/>
      <c r="F145" s="115" t="n"/>
      <c r="G145" s="115" t="n"/>
      <c r="H145" s="115" t="n"/>
      <c r="I145" s="115" t="n"/>
      <c r="J145" s="115" t="n"/>
      <c r="K145" s="115" t="n"/>
      <c r="L145" s="115" t="n"/>
      <c r="M145" s="115" t="n"/>
      <c r="N145" s="115" t="n"/>
      <c r="O145" s="115" t="n"/>
      <c r="P145" s="115" t="n"/>
      <c r="Q145" s="115" t="n"/>
      <c r="R145" s="115" t="n"/>
      <c r="S145" s="115" t="n"/>
      <c r="T145" s="115" t="n"/>
      <c r="U145" s="116" t="n"/>
      <c r="V145" s="116" t="n"/>
      <c r="W145" s="117" t="n"/>
      <c r="X145" s="118" t="n"/>
      <c r="Y145" s="119" t="n"/>
      <c r="Z145" s="120" t="n"/>
      <c r="AA145" s="121" t="n"/>
      <c r="AB145" s="122" t="n"/>
      <c r="AC145" s="117" t="n"/>
      <c r="AD145" s="123">
        <f>IF(SUM($AE145:$AH145)=0,"",SUM($AE145:$AH145))</f>
        <v/>
      </c>
      <c r="AE145" s="123">
        <f>iferror(IF(SUM($AI145:$AZ145)=0,"",SUM($AI145:$AZ145)),"")</f>
        <v/>
      </c>
      <c r="AF145" s="123">
        <f>iferror(IF(SUM($BA145:$BC145)=0,"",SUM($BA145:$BC145)),"")</f>
        <v/>
      </c>
      <c r="AG145" s="123">
        <f>iferror(IF(SUM($BD145:$BF145)=0,"",SUM($BD145:$BF145)),"")</f>
        <v/>
      </c>
      <c r="AH145" s="124">
        <f>iferror(IF(SUM($BG145:$BI145)=0,"",SUM($BG145:$BI145)),"")</f>
        <v/>
      </c>
      <c r="AI145" s="131" t="n"/>
      <c r="AJ145" s="132" t="n"/>
      <c r="AK145" s="132" t="n"/>
      <c r="AL145" s="132" t="n"/>
      <c r="AM145" s="132" t="n"/>
      <c r="AN145" s="132" t="n"/>
      <c r="AO145" s="132" t="n"/>
      <c r="AP145" s="132" t="n"/>
      <c r="AQ145" s="132" t="n"/>
      <c r="AR145" s="132" t="n"/>
      <c r="AS145" s="132" t="n"/>
      <c r="AT145" s="132" t="n"/>
      <c r="AU145" s="132" t="n"/>
      <c r="AV145" s="132" t="n"/>
      <c r="AW145" s="132" t="n"/>
      <c r="AX145" s="132" t="n"/>
      <c r="AY145" s="132" t="n"/>
      <c r="AZ145" s="133" t="n"/>
      <c r="BA145" s="131" t="n"/>
      <c r="BB145" s="132" t="n"/>
      <c r="BC145" s="133" t="n"/>
      <c r="BD145" s="131" t="n"/>
      <c r="BE145" s="132" t="n"/>
      <c r="BF145" s="133" t="n"/>
      <c r="BG145" s="131" t="n"/>
      <c r="BH145" s="132" t="n"/>
      <c r="BI145" s="132" t="n"/>
      <c r="BJ145" s="128">
        <f>iferror(SUM($BK145,($BL145*1.2),($BM145*1.35),($BN145*0.74)),)</f>
        <v/>
      </c>
      <c r="BK145" s="128">
        <f>IFERROR(SUM($BT145:$CK145),)</f>
        <v/>
      </c>
      <c r="BL145" s="129">
        <f>IFERROR(SUM($CL145:$CN145),)</f>
        <v/>
      </c>
      <c r="BM145" s="130">
        <f>IFERROR(SUM($CO145:$CQ145),)</f>
        <v/>
      </c>
      <c r="BN145" s="128">
        <f>IFERROR(SUM($CR145:$CT145),)</f>
        <v/>
      </c>
      <c r="BO145" s="128">
        <f>iferror(SUM($BP145,($BQ145*1.2),($BR145*1.35),($BS145*0.74)),)</f>
        <v/>
      </c>
      <c r="BP145" s="128">
        <f>IFERROR(SUM($CU145:$DL145),)</f>
        <v/>
      </c>
      <c r="BQ145" s="128">
        <f>IFERROR(SUM($DM145:$DO145),)</f>
        <v/>
      </c>
      <c r="BR145" s="128">
        <f>IFERROR(SUM($DP145:$DR145),)</f>
        <v/>
      </c>
      <c r="BS145" s="128">
        <f>IFERROR(SUM($DS145:$DU145),)</f>
        <v/>
      </c>
      <c r="BT145" s="128">
        <f>IFERROR(AI145*$W145,)</f>
        <v/>
      </c>
      <c r="BU145" s="128">
        <f>IFERROR(AJ145*$W145,)</f>
        <v/>
      </c>
      <c r="BV145" s="128">
        <f>IFERROR(AK145*$W145,)</f>
        <v/>
      </c>
      <c r="BW145" s="128">
        <f>IFERROR(AL145*$W145,)</f>
        <v/>
      </c>
      <c r="BX145" s="128">
        <f>IFERROR(AM145*$W145,)</f>
        <v/>
      </c>
      <c r="BY145" s="128">
        <f>IFERROR(AN145*$W145,)</f>
        <v/>
      </c>
      <c r="BZ145" s="128">
        <f>IFERROR(AO145*$W145,)</f>
        <v/>
      </c>
      <c r="CA145" s="128">
        <f>IFERROR(AP145*$W145,)</f>
        <v/>
      </c>
      <c r="CB145" s="128">
        <f>IFERROR(AQ145*$W145,)</f>
        <v/>
      </c>
      <c r="CC145" s="128">
        <f>IFERROR(AR145*$W145,)</f>
        <v/>
      </c>
      <c r="CD145" s="128">
        <f>IFERROR(AS145*$W145,)</f>
        <v/>
      </c>
      <c r="CE145" s="128">
        <f>IFERROR(AT145*$W145,)</f>
        <v/>
      </c>
      <c r="CF145" s="128">
        <f>IFERROR(AU145*$W145,)</f>
        <v/>
      </c>
      <c r="CG145" s="128">
        <f>IFERROR(AV145*$W145,)</f>
        <v/>
      </c>
      <c r="CH145" s="128">
        <f>IFERROR(AW145*$W145,)</f>
        <v/>
      </c>
      <c r="CI145" s="128">
        <f>IFERROR(AX145*$W145,)</f>
        <v/>
      </c>
      <c r="CJ145" s="128">
        <f>IFERROR(AY145*$W145,)</f>
        <v/>
      </c>
      <c r="CK145" s="128">
        <f>IFERROR(AZ145*$W145,)</f>
        <v/>
      </c>
      <c r="CL145" s="129">
        <f>IFERROR(if($Y145=0,BA145*($W145/1.2),BA145*$Y145),"")</f>
        <v/>
      </c>
      <c r="CM145" s="129">
        <f>IFERROR(if($Y145=0,BB145*($W145/1.2),BB145*$Y145),"")</f>
        <v/>
      </c>
      <c r="CN145" s="129">
        <f>IFERROR(if($Y145=0,BC145*($W145/1.2),BC145*$Y145),"")</f>
        <v/>
      </c>
      <c r="CO145" s="130">
        <f>IFERROR(if($AA145=0,($W145/1.35)*BD145,BD145*$AA145),)</f>
        <v/>
      </c>
      <c r="CP145" s="130">
        <f>IFERROR(if($AA145=0,($W145/1.35)*BE145,BE145*$AA145),)</f>
        <v/>
      </c>
      <c r="CQ145" s="130">
        <f>IFERROR(if($AA145=0,($W145/1.35)*BF145,BF145*$AA145),)</f>
        <v/>
      </c>
      <c r="CR145" s="128">
        <f>IFERROR(if($AC145=0,($W145/0.74)*BG145,
BG145*$AC145),)</f>
        <v/>
      </c>
      <c r="CS145" s="128">
        <f>IFERROR(if($AC145=0,($W145/0.74)*BH145,
BH145*$AC145),)</f>
        <v/>
      </c>
      <c r="CT145" s="128">
        <f>IFERROR(if($AC145=0,($W145/0.74)*BI145,
BI145*$AC145),)</f>
        <v/>
      </c>
      <c r="CU145" s="128">
        <f>IFERROR(AI145*$V145,)</f>
        <v/>
      </c>
      <c r="CV145" s="128">
        <f>IFERROR(AJ145*$V145,)</f>
        <v/>
      </c>
      <c r="CW145" s="128">
        <f>IFERROR(AK145*$V145,)</f>
        <v/>
      </c>
      <c r="CX145" s="128">
        <f>IFERROR(AL145*$V145,)</f>
        <v/>
      </c>
      <c r="CY145" s="128">
        <f>IFERROR(AM145*$V145,)</f>
        <v/>
      </c>
      <c r="CZ145" s="128">
        <f>IFERROR(AN145*$V145,)</f>
        <v/>
      </c>
      <c r="DA145" s="128">
        <f>IFERROR(AO145*$V145,)</f>
        <v/>
      </c>
      <c r="DB145" s="128">
        <f>IFERROR(AP145*$V145,)</f>
        <v/>
      </c>
      <c r="DC145" s="128">
        <f>IFERROR(AQ145*$V145,)</f>
        <v/>
      </c>
      <c r="DD145" s="128">
        <f>IFERROR(AR145*$V145,)</f>
        <v/>
      </c>
      <c r="DE145" s="128">
        <f>IFERROR(AS145*$V145,)</f>
        <v/>
      </c>
      <c r="DF145" s="128">
        <f>IFERROR(AT145*$V145,)</f>
        <v/>
      </c>
      <c r="DG145" s="128">
        <f>IFERROR(AU145*$V145,)</f>
        <v/>
      </c>
      <c r="DH145" s="128">
        <f>IFERROR(AV145*$V145,)</f>
        <v/>
      </c>
      <c r="DI145" s="128">
        <f>IFERROR(AW145*$V145,)</f>
        <v/>
      </c>
      <c r="DJ145" s="128">
        <f>IFERROR(AX145*$V145,)</f>
        <v/>
      </c>
      <c r="DK145" s="128">
        <f>IFERROR(AY145*$V145,)</f>
        <v/>
      </c>
      <c r="DL145" s="128">
        <f>IFERROR(AZ145*$V145,)</f>
        <v/>
      </c>
      <c r="DM145" s="129">
        <f>IFERROR(if($X145=0,($V145/1.2)*BA145,
BA145*$X145),)</f>
        <v/>
      </c>
      <c r="DN145" s="129">
        <f>IFERROR(if($X145=0,($V145/1.2)*BB145,
BB145*$X145),)</f>
        <v/>
      </c>
      <c r="DO145" s="129">
        <f>IFERROR(if($X145=0,($V145/1.2)*BC145,
BC145*$X145),)</f>
        <v/>
      </c>
      <c r="DP145" s="130">
        <f>IFERROR(if($Z145=0,($V145/1.35)*BD145,
BD145*$Z145),)</f>
        <v/>
      </c>
      <c r="DQ145" s="130">
        <f>IFERROR(if($Z145=0,($V145/1.35)*BE145,
BE145*$Z145),)</f>
        <v/>
      </c>
      <c r="DR145" s="130">
        <f>IFERROR(if($Z145=0,($V145/1.35)*BF145,
BF145*$Z145),)</f>
        <v/>
      </c>
      <c r="DS145" s="128">
        <f>IFERROR(IF($AB145=0,($V145/0.74)*BG145,
BG145*$AB145),)</f>
        <v/>
      </c>
      <c r="DT145" s="128">
        <f>IFERROR(IF($AB145=0,($V145/0.74)*BH145,
BH145*$AB145),)</f>
        <v/>
      </c>
      <c r="DU145" s="128">
        <f>IFERROR(IF($AB145=0,($V145/0.74)*BI145,
BI145*$AB145),)</f>
        <v/>
      </c>
    </row>
    <row r="146" ht="131.25" customHeight="1" s="162">
      <c r="A146" s="115" t="n"/>
      <c r="B146" s="115" t="n"/>
      <c r="C146" s="115" t="n"/>
      <c r="D146" s="115" t="n"/>
      <c r="E146" s="115" t="n"/>
      <c r="F146" s="115" t="n"/>
      <c r="G146" s="115" t="n"/>
      <c r="H146" s="115" t="n"/>
      <c r="I146" s="115" t="n"/>
      <c r="J146" s="115" t="n"/>
      <c r="K146" s="115" t="n"/>
      <c r="L146" s="115" t="n"/>
      <c r="M146" s="115" t="n"/>
      <c r="N146" s="115" t="n"/>
      <c r="O146" s="115" t="n"/>
      <c r="P146" s="115" t="n"/>
      <c r="Q146" s="115" t="n"/>
      <c r="R146" s="115" t="n"/>
      <c r="S146" s="115" t="n"/>
      <c r="T146" s="115" t="n"/>
      <c r="U146" s="116" t="n"/>
      <c r="V146" s="116" t="n"/>
      <c r="W146" s="117" t="n"/>
      <c r="X146" s="118" t="n"/>
      <c r="Y146" s="119" t="n"/>
      <c r="Z146" s="120" t="n"/>
      <c r="AA146" s="121" t="n"/>
      <c r="AB146" s="122" t="n"/>
      <c r="AC146" s="117" t="n"/>
      <c r="AD146" s="123">
        <f>IF(SUM($AE146:$AH146)=0,"",SUM($AE146:$AH146))</f>
        <v/>
      </c>
      <c r="AE146" s="123">
        <f>iferror(IF(SUM($AI146:$AZ146)=0,"",SUM($AI146:$AZ146)),"")</f>
        <v/>
      </c>
      <c r="AF146" s="123">
        <f>iferror(IF(SUM($BA146:$BC146)=0,"",SUM($BA146:$BC146)),"")</f>
        <v/>
      </c>
      <c r="AG146" s="123">
        <f>iferror(IF(SUM($BD146:$BF146)=0,"",SUM($BD146:$BF146)),"")</f>
        <v/>
      </c>
      <c r="AH146" s="124">
        <f>iferror(IF(SUM($BG146:$BI146)=0,"",SUM($BG146:$BI146)),"")</f>
        <v/>
      </c>
      <c r="AI146" s="131" t="n"/>
      <c r="AJ146" s="132" t="n"/>
      <c r="AK146" s="132" t="n"/>
      <c r="AL146" s="132" t="n"/>
      <c r="AM146" s="132" t="n"/>
      <c r="AN146" s="132" t="n"/>
      <c r="AO146" s="132" t="n"/>
      <c r="AP146" s="132" t="n"/>
      <c r="AQ146" s="132" t="n"/>
      <c r="AR146" s="132" t="n"/>
      <c r="AS146" s="132" t="n"/>
      <c r="AT146" s="132" t="n"/>
      <c r="AU146" s="132" t="n"/>
      <c r="AV146" s="132" t="n"/>
      <c r="AW146" s="132" t="n"/>
      <c r="AX146" s="132" t="n"/>
      <c r="AY146" s="132" t="n"/>
      <c r="AZ146" s="133" t="n"/>
      <c r="BA146" s="131" t="n"/>
      <c r="BB146" s="132" t="n"/>
      <c r="BC146" s="133" t="n"/>
      <c r="BD146" s="131" t="n"/>
      <c r="BE146" s="132" t="n"/>
      <c r="BF146" s="133" t="n"/>
      <c r="BG146" s="131" t="n"/>
      <c r="BH146" s="132" t="n"/>
      <c r="BI146" s="132" t="n"/>
      <c r="BJ146" s="128">
        <f>iferror(SUM($BK146,($BL146*1.2),($BM146*1.35),($BN146*0.74)),)</f>
        <v/>
      </c>
      <c r="BK146" s="128">
        <f>IFERROR(SUM($BT146:$CK146),)</f>
        <v/>
      </c>
      <c r="BL146" s="129">
        <f>IFERROR(SUM($CL146:$CN146),)</f>
        <v/>
      </c>
      <c r="BM146" s="130">
        <f>IFERROR(SUM($CO146:$CQ146),)</f>
        <v/>
      </c>
      <c r="BN146" s="128">
        <f>IFERROR(SUM($CR146:$CT146),)</f>
        <v/>
      </c>
      <c r="BO146" s="128">
        <f>iferror(SUM($BP146,($BQ146*1.2),($BR146*1.35),($BS146*0.74)),)</f>
        <v/>
      </c>
      <c r="BP146" s="128">
        <f>IFERROR(SUM($CU146:$DL146),)</f>
        <v/>
      </c>
      <c r="BQ146" s="128">
        <f>IFERROR(SUM($DM146:$DO146),)</f>
        <v/>
      </c>
      <c r="BR146" s="128">
        <f>IFERROR(SUM($DP146:$DR146),)</f>
        <v/>
      </c>
      <c r="BS146" s="128">
        <f>IFERROR(SUM($DS146:$DU146),)</f>
        <v/>
      </c>
      <c r="BT146" s="128">
        <f>IFERROR(AI146*$W146,)</f>
        <v/>
      </c>
      <c r="BU146" s="128">
        <f>IFERROR(AJ146*$W146,)</f>
        <v/>
      </c>
      <c r="BV146" s="128">
        <f>IFERROR(AK146*$W146,)</f>
        <v/>
      </c>
      <c r="BW146" s="128">
        <f>IFERROR(AL146*$W146,)</f>
        <v/>
      </c>
      <c r="BX146" s="128">
        <f>IFERROR(AM146*$W146,)</f>
        <v/>
      </c>
      <c r="BY146" s="128">
        <f>IFERROR(AN146*$W146,)</f>
        <v/>
      </c>
      <c r="BZ146" s="128">
        <f>IFERROR(AO146*$W146,)</f>
        <v/>
      </c>
      <c r="CA146" s="128">
        <f>IFERROR(AP146*$W146,)</f>
        <v/>
      </c>
      <c r="CB146" s="128">
        <f>IFERROR(AQ146*$W146,)</f>
        <v/>
      </c>
      <c r="CC146" s="128">
        <f>IFERROR(AR146*$W146,)</f>
        <v/>
      </c>
      <c r="CD146" s="128">
        <f>IFERROR(AS146*$W146,)</f>
        <v/>
      </c>
      <c r="CE146" s="128">
        <f>IFERROR(AT146*$W146,)</f>
        <v/>
      </c>
      <c r="CF146" s="128">
        <f>IFERROR(AU146*$W146,)</f>
        <v/>
      </c>
      <c r="CG146" s="128">
        <f>IFERROR(AV146*$W146,)</f>
        <v/>
      </c>
      <c r="CH146" s="128">
        <f>IFERROR(AW146*$W146,)</f>
        <v/>
      </c>
      <c r="CI146" s="128">
        <f>IFERROR(AX146*$W146,)</f>
        <v/>
      </c>
      <c r="CJ146" s="128">
        <f>IFERROR(AY146*$W146,)</f>
        <v/>
      </c>
      <c r="CK146" s="128">
        <f>IFERROR(AZ146*$W146,)</f>
        <v/>
      </c>
      <c r="CL146" s="129">
        <f>IFERROR(if($Y146=0,BA146*($W146/1.2),BA146*$Y146),"")</f>
        <v/>
      </c>
      <c r="CM146" s="129">
        <f>IFERROR(if($Y146=0,BB146*($W146/1.2),BB146*$Y146),"")</f>
        <v/>
      </c>
      <c r="CN146" s="129">
        <f>IFERROR(if($Y146=0,BC146*($W146/1.2),BC146*$Y146),"")</f>
        <v/>
      </c>
      <c r="CO146" s="130">
        <f>IFERROR(if($AA146=0,($W146/1.35)*BD146,BD146*$AA146),)</f>
        <v/>
      </c>
      <c r="CP146" s="130">
        <f>IFERROR(if($AA146=0,($W146/1.35)*BE146,BE146*$AA146),)</f>
        <v/>
      </c>
      <c r="CQ146" s="130">
        <f>IFERROR(if($AA146=0,($W146/1.35)*BF146,BF146*$AA146),)</f>
        <v/>
      </c>
      <c r="CR146" s="128">
        <f>IFERROR(if($AC146=0,($W146/0.74)*BG146,
BG146*$AC146),)</f>
        <v/>
      </c>
      <c r="CS146" s="128">
        <f>IFERROR(if($AC146=0,($W146/0.74)*BH146,
BH146*$AC146),)</f>
        <v/>
      </c>
      <c r="CT146" s="128">
        <f>IFERROR(if($AC146=0,($W146/0.74)*BI146,
BI146*$AC146),)</f>
        <v/>
      </c>
      <c r="CU146" s="128">
        <f>IFERROR(AI146*$V146,)</f>
        <v/>
      </c>
      <c r="CV146" s="128">
        <f>IFERROR(AJ146*$V146,)</f>
        <v/>
      </c>
      <c r="CW146" s="128">
        <f>IFERROR(AK146*$V146,)</f>
        <v/>
      </c>
      <c r="CX146" s="128">
        <f>IFERROR(AL146*$V146,)</f>
        <v/>
      </c>
      <c r="CY146" s="128">
        <f>IFERROR(AM146*$V146,)</f>
        <v/>
      </c>
      <c r="CZ146" s="128">
        <f>IFERROR(AN146*$V146,)</f>
        <v/>
      </c>
      <c r="DA146" s="128">
        <f>IFERROR(AO146*$V146,)</f>
        <v/>
      </c>
      <c r="DB146" s="128">
        <f>IFERROR(AP146*$V146,)</f>
        <v/>
      </c>
      <c r="DC146" s="128">
        <f>IFERROR(AQ146*$V146,)</f>
        <v/>
      </c>
      <c r="DD146" s="128">
        <f>IFERROR(AR146*$V146,)</f>
        <v/>
      </c>
      <c r="DE146" s="128">
        <f>IFERROR(AS146*$V146,)</f>
        <v/>
      </c>
      <c r="DF146" s="128">
        <f>IFERROR(AT146*$V146,)</f>
        <v/>
      </c>
      <c r="DG146" s="128">
        <f>IFERROR(AU146*$V146,)</f>
        <v/>
      </c>
      <c r="DH146" s="128">
        <f>IFERROR(AV146*$V146,)</f>
        <v/>
      </c>
      <c r="DI146" s="128">
        <f>IFERROR(AW146*$V146,)</f>
        <v/>
      </c>
      <c r="DJ146" s="128">
        <f>IFERROR(AX146*$V146,)</f>
        <v/>
      </c>
      <c r="DK146" s="128">
        <f>IFERROR(AY146*$V146,)</f>
        <v/>
      </c>
      <c r="DL146" s="128">
        <f>IFERROR(AZ146*$V146,)</f>
        <v/>
      </c>
      <c r="DM146" s="129">
        <f>IFERROR(if($X146=0,($V146/1.2)*BA146,
BA146*$X146),)</f>
        <v/>
      </c>
      <c r="DN146" s="129">
        <f>IFERROR(if($X146=0,($V146/1.2)*BB146,
BB146*$X146),)</f>
        <v/>
      </c>
      <c r="DO146" s="129">
        <f>IFERROR(if($X146=0,($V146/1.2)*BC146,
BC146*$X146),)</f>
        <v/>
      </c>
      <c r="DP146" s="130">
        <f>IFERROR(if($Z146=0,($V146/1.35)*BD146,
BD146*$Z146),)</f>
        <v/>
      </c>
      <c r="DQ146" s="130">
        <f>IFERROR(if($Z146=0,($V146/1.35)*BE146,
BE146*$Z146),)</f>
        <v/>
      </c>
      <c r="DR146" s="130">
        <f>IFERROR(if($Z146=0,($V146/1.35)*BF146,
BF146*$Z146),)</f>
        <v/>
      </c>
      <c r="DS146" s="128">
        <f>IFERROR(IF($AB146=0,($V146/0.74)*BG146,
BG146*$AB146),)</f>
        <v/>
      </c>
      <c r="DT146" s="128">
        <f>IFERROR(IF($AB146=0,($V146/0.74)*BH146,
BH146*$AB146),)</f>
        <v/>
      </c>
      <c r="DU146" s="128">
        <f>IFERROR(IF($AB146=0,($V146/0.74)*BI146,
BI146*$AB146),)</f>
        <v/>
      </c>
    </row>
    <row r="147" ht="131.25" customHeight="1" s="162">
      <c r="A147" s="115" t="n"/>
      <c r="B147" s="115" t="n"/>
      <c r="C147" s="115" t="n"/>
      <c r="D147" s="115" t="n"/>
      <c r="E147" s="115" t="n"/>
      <c r="F147" s="115" t="n"/>
      <c r="G147" s="115" t="n"/>
      <c r="H147" s="115" t="n"/>
      <c r="I147" s="115" t="n"/>
      <c r="J147" s="115" t="n"/>
      <c r="K147" s="115" t="n"/>
      <c r="L147" s="115" t="n"/>
      <c r="M147" s="115" t="n"/>
      <c r="N147" s="115" t="n"/>
      <c r="O147" s="115" t="n"/>
      <c r="P147" s="115" t="n"/>
      <c r="Q147" s="115" t="n"/>
      <c r="R147" s="115" t="n"/>
      <c r="S147" s="115" t="n"/>
      <c r="T147" s="115" t="n"/>
      <c r="U147" s="116" t="n"/>
      <c r="V147" s="116" t="n"/>
      <c r="W147" s="117" t="n"/>
      <c r="X147" s="118" t="n"/>
      <c r="Y147" s="119" t="n"/>
      <c r="Z147" s="120" t="n"/>
      <c r="AA147" s="121" t="n"/>
      <c r="AB147" s="122" t="n"/>
      <c r="AC147" s="117" t="n"/>
      <c r="AD147" s="123">
        <f>IF(SUM($AE147:$AH147)=0,"",SUM($AE147:$AH147))</f>
        <v/>
      </c>
      <c r="AE147" s="123">
        <f>iferror(IF(SUM($AI147:$AZ147)=0,"",SUM($AI147:$AZ147)),"")</f>
        <v/>
      </c>
      <c r="AF147" s="123">
        <f>iferror(IF(SUM($BA147:$BC147)=0,"",SUM($BA147:$BC147)),"")</f>
        <v/>
      </c>
      <c r="AG147" s="123">
        <f>iferror(IF(SUM($BD147:$BF147)=0,"",SUM($BD147:$BF147)),"")</f>
        <v/>
      </c>
      <c r="AH147" s="124">
        <f>iferror(IF(SUM($BG147:$BI147)=0,"",SUM($BG147:$BI147)),"")</f>
        <v/>
      </c>
      <c r="AI147" s="131" t="n"/>
      <c r="AJ147" s="132" t="n"/>
      <c r="AK147" s="132" t="n"/>
      <c r="AL147" s="132" t="n"/>
      <c r="AM147" s="132" t="n"/>
      <c r="AN147" s="132" t="n"/>
      <c r="AO147" s="132" t="n"/>
      <c r="AP147" s="132" t="n"/>
      <c r="AQ147" s="132" t="n"/>
      <c r="AR147" s="132" t="n"/>
      <c r="AS147" s="132" t="n"/>
      <c r="AT147" s="132" t="n"/>
      <c r="AU147" s="132" t="n"/>
      <c r="AV147" s="132" t="n"/>
      <c r="AW147" s="132" t="n"/>
      <c r="AX147" s="132" t="n"/>
      <c r="AY147" s="132" t="n"/>
      <c r="AZ147" s="133" t="n"/>
      <c r="BA147" s="131" t="n"/>
      <c r="BB147" s="132" t="n"/>
      <c r="BC147" s="133" t="n"/>
      <c r="BD147" s="131" t="n"/>
      <c r="BE147" s="132" t="n"/>
      <c r="BF147" s="133" t="n"/>
      <c r="BG147" s="131" t="n"/>
      <c r="BH147" s="132" t="n"/>
      <c r="BI147" s="132" t="n"/>
      <c r="BJ147" s="128">
        <f>iferror(SUM($BK147,($BL147*1.2),($BM147*1.35),($BN147*0.74)),)</f>
        <v/>
      </c>
      <c r="BK147" s="128">
        <f>IFERROR(SUM($BT147:$CK147),)</f>
        <v/>
      </c>
      <c r="BL147" s="129">
        <f>IFERROR(SUM($CL147:$CN147),)</f>
        <v/>
      </c>
      <c r="BM147" s="130">
        <f>IFERROR(SUM($CO147:$CQ147),)</f>
        <v/>
      </c>
      <c r="BN147" s="128">
        <f>IFERROR(SUM($CR147:$CT147),)</f>
        <v/>
      </c>
      <c r="BO147" s="128">
        <f>iferror(SUM($BP147,($BQ147*1.2),($BR147*1.35),($BS147*0.74)),)</f>
        <v/>
      </c>
      <c r="BP147" s="128">
        <f>IFERROR(SUM($CU147:$DL147),)</f>
        <v/>
      </c>
      <c r="BQ147" s="128">
        <f>IFERROR(SUM($DM147:$DO147),)</f>
        <v/>
      </c>
      <c r="BR147" s="128">
        <f>IFERROR(SUM($DP147:$DR147),)</f>
        <v/>
      </c>
      <c r="BS147" s="128">
        <f>IFERROR(SUM($DS147:$DU147),)</f>
        <v/>
      </c>
      <c r="BT147" s="128">
        <f>IFERROR(AI147*$W147,)</f>
        <v/>
      </c>
      <c r="BU147" s="128">
        <f>IFERROR(AJ147*$W147,)</f>
        <v/>
      </c>
      <c r="BV147" s="128">
        <f>IFERROR(AK147*$W147,)</f>
        <v/>
      </c>
      <c r="BW147" s="128">
        <f>IFERROR(AL147*$W147,)</f>
        <v/>
      </c>
      <c r="BX147" s="128">
        <f>IFERROR(AM147*$W147,)</f>
        <v/>
      </c>
      <c r="BY147" s="128">
        <f>IFERROR(AN147*$W147,)</f>
        <v/>
      </c>
      <c r="BZ147" s="128">
        <f>IFERROR(AO147*$W147,)</f>
        <v/>
      </c>
      <c r="CA147" s="128">
        <f>IFERROR(AP147*$W147,)</f>
        <v/>
      </c>
      <c r="CB147" s="128">
        <f>IFERROR(AQ147*$W147,)</f>
        <v/>
      </c>
      <c r="CC147" s="128">
        <f>IFERROR(AR147*$W147,)</f>
        <v/>
      </c>
      <c r="CD147" s="128">
        <f>IFERROR(AS147*$W147,)</f>
        <v/>
      </c>
      <c r="CE147" s="128">
        <f>IFERROR(AT147*$W147,)</f>
        <v/>
      </c>
      <c r="CF147" s="128">
        <f>IFERROR(AU147*$W147,)</f>
        <v/>
      </c>
      <c r="CG147" s="128">
        <f>IFERROR(AV147*$W147,)</f>
        <v/>
      </c>
      <c r="CH147" s="128">
        <f>IFERROR(AW147*$W147,)</f>
        <v/>
      </c>
      <c r="CI147" s="128">
        <f>IFERROR(AX147*$W147,)</f>
        <v/>
      </c>
      <c r="CJ147" s="128">
        <f>IFERROR(AY147*$W147,)</f>
        <v/>
      </c>
      <c r="CK147" s="128">
        <f>IFERROR(AZ147*$W147,)</f>
        <v/>
      </c>
      <c r="CL147" s="129">
        <f>IFERROR(if($Y147=0,BA147*($W147/1.2),BA147*$Y147),"")</f>
        <v/>
      </c>
      <c r="CM147" s="129">
        <f>IFERROR(if($Y147=0,BB147*($W147/1.2),BB147*$Y147),"")</f>
        <v/>
      </c>
      <c r="CN147" s="129">
        <f>IFERROR(if($Y147=0,BC147*($W147/1.2),BC147*$Y147),"")</f>
        <v/>
      </c>
      <c r="CO147" s="130">
        <f>IFERROR(if($AA147=0,($W147/1.35)*BD147,BD147*$AA147),)</f>
        <v/>
      </c>
      <c r="CP147" s="130">
        <f>IFERROR(if($AA147=0,($W147/1.35)*BE147,BE147*$AA147),)</f>
        <v/>
      </c>
      <c r="CQ147" s="130">
        <f>IFERROR(if($AA147=0,($W147/1.35)*BF147,BF147*$AA147),)</f>
        <v/>
      </c>
      <c r="CR147" s="128">
        <f>IFERROR(if($AC147=0,($W147/0.74)*BG147,
BG147*$AC147),)</f>
        <v/>
      </c>
      <c r="CS147" s="128">
        <f>IFERROR(if($AC147=0,($W147/0.74)*BH147,
BH147*$AC147),)</f>
        <v/>
      </c>
      <c r="CT147" s="128">
        <f>IFERROR(if($AC147=0,($W147/0.74)*BI147,
BI147*$AC147),)</f>
        <v/>
      </c>
      <c r="CU147" s="128">
        <f>IFERROR(AI147*$V147,)</f>
        <v/>
      </c>
      <c r="CV147" s="128">
        <f>IFERROR(AJ147*$V147,)</f>
        <v/>
      </c>
      <c r="CW147" s="128">
        <f>IFERROR(AK147*$V147,)</f>
        <v/>
      </c>
      <c r="CX147" s="128">
        <f>IFERROR(AL147*$V147,)</f>
        <v/>
      </c>
      <c r="CY147" s="128">
        <f>IFERROR(AM147*$V147,)</f>
        <v/>
      </c>
      <c r="CZ147" s="128">
        <f>IFERROR(AN147*$V147,)</f>
        <v/>
      </c>
      <c r="DA147" s="128">
        <f>IFERROR(AO147*$V147,)</f>
        <v/>
      </c>
      <c r="DB147" s="128">
        <f>IFERROR(AP147*$V147,)</f>
        <v/>
      </c>
      <c r="DC147" s="128">
        <f>IFERROR(AQ147*$V147,)</f>
        <v/>
      </c>
      <c r="DD147" s="128">
        <f>IFERROR(AR147*$V147,)</f>
        <v/>
      </c>
      <c r="DE147" s="128">
        <f>IFERROR(AS147*$V147,)</f>
        <v/>
      </c>
      <c r="DF147" s="128">
        <f>IFERROR(AT147*$V147,)</f>
        <v/>
      </c>
      <c r="DG147" s="128">
        <f>IFERROR(AU147*$V147,)</f>
        <v/>
      </c>
      <c r="DH147" s="128">
        <f>IFERROR(AV147*$V147,)</f>
        <v/>
      </c>
      <c r="DI147" s="128">
        <f>IFERROR(AW147*$V147,)</f>
        <v/>
      </c>
      <c r="DJ147" s="128">
        <f>IFERROR(AX147*$V147,)</f>
        <v/>
      </c>
      <c r="DK147" s="128">
        <f>IFERROR(AY147*$V147,)</f>
        <v/>
      </c>
      <c r="DL147" s="128">
        <f>IFERROR(AZ147*$V147,)</f>
        <v/>
      </c>
      <c r="DM147" s="129">
        <f>IFERROR(if($X147=0,($V147/1.2)*BA147,
BA147*$X147),)</f>
        <v/>
      </c>
      <c r="DN147" s="129">
        <f>IFERROR(if($X147=0,($V147/1.2)*BB147,
BB147*$X147),)</f>
        <v/>
      </c>
      <c r="DO147" s="129">
        <f>IFERROR(if($X147=0,($V147/1.2)*BC147,
BC147*$X147),)</f>
        <v/>
      </c>
      <c r="DP147" s="130">
        <f>IFERROR(if($Z147=0,($V147/1.35)*BD147,
BD147*$Z147),)</f>
        <v/>
      </c>
      <c r="DQ147" s="130">
        <f>IFERROR(if($Z147=0,($V147/1.35)*BE147,
BE147*$Z147),)</f>
        <v/>
      </c>
      <c r="DR147" s="130">
        <f>IFERROR(if($Z147=0,($V147/1.35)*BF147,
BF147*$Z147),)</f>
        <v/>
      </c>
      <c r="DS147" s="128">
        <f>IFERROR(IF($AB147=0,($V147/0.74)*BG147,
BG147*$AB147),)</f>
        <v/>
      </c>
      <c r="DT147" s="128">
        <f>IFERROR(IF($AB147=0,($V147/0.74)*BH147,
BH147*$AB147),)</f>
        <v/>
      </c>
      <c r="DU147" s="128">
        <f>IFERROR(IF($AB147=0,($V147/0.74)*BI147,
BI147*$AB147),)</f>
        <v/>
      </c>
    </row>
    <row r="148" ht="131.25" customHeight="1" s="162">
      <c r="A148" s="115" t="n"/>
      <c r="B148" s="115" t="n"/>
      <c r="C148" s="115" t="n"/>
      <c r="D148" s="115" t="n"/>
      <c r="E148" s="115" t="n"/>
      <c r="F148" s="115" t="n"/>
      <c r="G148" s="115" t="n"/>
      <c r="H148" s="115" t="n"/>
      <c r="I148" s="115" t="n"/>
      <c r="J148" s="115" t="n"/>
      <c r="K148" s="115" t="n"/>
      <c r="L148" s="115" t="n"/>
      <c r="M148" s="115" t="n"/>
      <c r="N148" s="115" t="n"/>
      <c r="O148" s="115" t="n"/>
      <c r="P148" s="115" t="n"/>
      <c r="Q148" s="115" t="n"/>
      <c r="R148" s="115" t="n"/>
      <c r="S148" s="115" t="n"/>
      <c r="T148" s="115" t="n"/>
      <c r="U148" s="116" t="n"/>
      <c r="V148" s="116" t="n"/>
      <c r="W148" s="117" t="n"/>
      <c r="X148" s="118" t="n"/>
      <c r="Y148" s="119" t="n"/>
      <c r="Z148" s="120" t="n"/>
      <c r="AA148" s="121" t="n"/>
      <c r="AB148" s="122" t="n"/>
      <c r="AC148" s="117" t="n"/>
      <c r="AD148" s="123">
        <f>IF(SUM($AE148:$AH148)=0,"",SUM($AE148:$AH148))</f>
        <v/>
      </c>
      <c r="AE148" s="123">
        <f>iferror(IF(SUM($AI148:$AZ148)=0,"",SUM($AI148:$AZ148)),"")</f>
        <v/>
      </c>
      <c r="AF148" s="123">
        <f>iferror(IF(SUM($BA148:$BC148)=0,"",SUM($BA148:$BC148)),"")</f>
        <v/>
      </c>
      <c r="AG148" s="123">
        <f>iferror(IF(SUM($BD148:$BF148)=0,"",SUM($BD148:$BF148)),"")</f>
        <v/>
      </c>
      <c r="AH148" s="124">
        <f>iferror(IF(SUM($BG148:$BI148)=0,"",SUM($BG148:$BI148)),"")</f>
        <v/>
      </c>
      <c r="AI148" s="131" t="n"/>
      <c r="AJ148" s="132" t="n"/>
      <c r="AK148" s="132" t="n"/>
      <c r="AL148" s="132" t="n"/>
      <c r="AM148" s="132" t="n"/>
      <c r="AN148" s="132" t="n"/>
      <c r="AO148" s="132" t="n"/>
      <c r="AP148" s="132" t="n"/>
      <c r="AQ148" s="132" t="n"/>
      <c r="AR148" s="132" t="n"/>
      <c r="AS148" s="132" t="n"/>
      <c r="AT148" s="132" t="n"/>
      <c r="AU148" s="132" t="n"/>
      <c r="AV148" s="132" t="n"/>
      <c r="AW148" s="132" t="n"/>
      <c r="AX148" s="132" t="n"/>
      <c r="AY148" s="132" t="n"/>
      <c r="AZ148" s="133" t="n"/>
      <c r="BA148" s="131" t="n"/>
      <c r="BB148" s="132" t="n"/>
      <c r="BC148" s="133" t="n"/>
      <c r="BD148" s="131" t="n"/>
      <c r="BE148" s="132" t="n"/>
      <c r="BF148" s="133" t="n"/>
      <c r="BG148" s="131" t="n"/>
      <c r="BH148" s="132" t="n"/>
      <c r="BI148" s="132" t="n"/>
      <c r="BJ148" s="128">
        <f>iferror(SUM($BK148,($BL148*1.2),($BM148*1.35),($BN148*0.74)),)</f>
        <v/>
      </c>
      <c r="BK148" s="128">
        <f>IFERROR(SUM($BT148:$CK148),)</f>
        <v/>
      </c>
      <c r="BL148" s="129">
        <f>IFERROR(SUM($CL148:$CN148),)</f>
        <v/>
      </c>
      <c r="BM148" s="130">
        <f>IFERROR(SUM($CO148:$CQ148),)</f>
        <v/>
      </c>
      <c r="BN148" s="128">
        <f>IFERROR(SUM($CR148:$CT148),)</f>
        <v/>
      </c>
      <c r="BO148" s="128">
        <f>iferror(SUM($BP148,($BQ148*1.2),($BR148*1.35),($BS148*0.74)),)</f>
        <v/>
      </c>
      <c r="BP148" s="128">
        <f>IFERROR(SUM($CU148:$DL148),)</f>
        <v/>
      </c>
      <c r="BQ148" s="128">
        <f>IFERROR(SUM($DM148:$DO148),)</f>
        <v/>
      </c>
      <c r="BR148" s="128">
        <f>IFERROR(SUM($DP148:$DR148),)</f>
        <v/>
      </c>
      <c r="BS148" s="128">
        <f>IFERROR(SUM($DS148:$DU148),)</f>
        <v/>
      </c>
      <c r="BT148" s="128">
        <f>IFERROR(AI148*$W148,)</f>
        <v/>
      </c>
      <c r="BU148" s="128">
        <f>IFERROR(AJ148*$W148,)</f>
        <v/>
      </c>
      <c r="BV148" s="128">
        <f>IFERROR(AK148*$W148,)</f>
        <v/>
      </c>
      <c r="BW148" s="128">
        <f>IFERROR(AL148*$W148,)</f>
        <v/>
      </c>
      <c r="BX148" s="128">
        <f>IFERROR(AM148*$W148,)</f>
        <v/>
      </c>
      <c r="BY148" s="128">
        <f>IFERROR(AN148*$W148,)</f>
        <v/>
      </c>
      <c r="BZ148" s="128">
        <f>IFERROR(AO148*$W148,)</f>
        <v/>
      </c>
      <c r="CA148" s="128">
        <f>IFERROR(AP148*$W148,)</f>
        <v/>
      </c>
      <c r="CB148" s="128">
        <f>IFERROR(AQ148*$W148,)</f>
        <v/>
      </c>
      <c r="CC148" s="128">
        <f>IFERROR(AR148*$W148,)</f>
        <v/>
      </c>
      <c r="CD148" s="128">
        <f>IFERROR(AS148*$W148,)</f>
        <v/>
      </c>
      <c r="CE148" s="128">
        <f>IFERROR(AT148*$W148,)</f>
        <v/>
      </c>
      <c r="CF148" s="128">
        <f>IFERROR(AU148*$W148,)</f>
        <v/>
      </c>
      <c r="CG148" s="128">
        <f>IFERROR(AV148*$W148,)</f>
        <v/>
      </c>
      <c r="CH148" s="128">
        <f>IFERROR(AW148*$W148,)</f>
        <v/>
      </c>
      <c r="CI148" s="128">
        <f>IFERROR(AX148*$W148,)</f>
        <v/>
      </c>
      <c r="CJ148" s="128">
        <f>IFERROR(AY148*$W148,)</f>
        <v/>
      </c>
      <c r="CK148" s="128">
        <f>IFERROR(AZ148*$W148,)</f>
        <v/>
      </c>
      <c r="CL148" s="129">
        <f>IFERROR(if($Y148=0,BA148*($W148/1.2),BA148*$Y148),"")</f>
        <v/>
      </c>
      <c r="CM148" s="129">
        <f>IFERROR(if($Y148=0,BB148*($W148/1.2),BB148*$Y148),"")</f>
        <v/>
      </c>
      <c r="CN148" s="129">
        <f>IFERROR(if($Y148=0,BC148*($W148/1.2),BC148*$Y148),"")</f>
        <v/>
      </c>
      <c r="CO148" s="130">
        <f>IFERROR(if($AA148=0,($W148/1.35)*BD148,BD148*$AA148),)</f>
        <v/>
      </c>
      <c r="CP148" s="130">
        <f>IFERROR(if($AA148=0,($W148/1.35)*BE148,BE148*$AA148),)</f>
        <v/>
      </c>
      <c r="CQ148" s="130">
        <f>IFERROR(if($AA148=0,($W148/1.35)*BF148,BF148*$AA148),)</f>
        <v/>
      </c>
      <c r="CR148" s="128">
        <f>IFERROR(if($AC148=0,($W148/0.74)*BG148,
BG148*$AC148),)</f>
        <v/>
      </c>
      <c r="CS148" s="128">
        <f>IFERROR(if($AC148=0,($W148/0.74)*BH148,
BH148*$AC148),)</f>
        <v/>
      </c>
      <c r="CT148" s="128">
        <f>IFERROR(if($AC148=0,($W148/0.74)*BI148,
BI148*$AC148),)</f>
        <v/>
      </c>
      <c r="CU148" s="128">
        <f>IFERROR(AI148*$V148,)</f>
        <v/>
      </c>
      <c r="CV148" s="128">
        <f>IFERROR(AJ148*$V148,)</f>
        <v/>
      </c>
      <c r="CW148" s="128">
        <f>IFERROR(AK148*$V148,)</f>
        <v/>
      </c>
      <c r="CX148" s="128">
        <f>IFERROR(AL148*$V148,)</f>
        <v/>
      </c>
      <c r="CY148" s="128">
        <f>IFERROR(AM148*$V148,)</f>
        <v/>
      </c>
      <c r="CZ148" s="128">
        <f>IFERROR(AN148*$V148,)</f>
        <v/>
      </c>
      <c r="DA148" s="128">
        <f>IFERROR(AO148*$V148,)</f>
        <v/>
      </c>
      <c r="DB148" s="128">
        <f>IFERROR(AP148*$V148,)</f>
        <v/>
      </c>
      <c r="DC148" s="128">
        <f>IFERROR(AQ148*$V148,)</f>
        <v/>
      </c>
      <c r="DD148" s="128">
        <f>IFERROR(AR148*$V148,)</f>
        <v/>
      </c>
      <c r="DE148" s="128">
        <f>IFERROR(AS148*$V148,)</f>
        <v/>
      </c>
      <c r="DF148" s="128">
        <f>IFERROR(AT148*$V148,)</f>
        <v/>
      </c>
      <c r="DG148" s="128">
        <f>IFERROR(AU148*$V148,)</f>
        <v/>
      </c>
      <c r="DH148" s="128">
        <f>IFERROR(AV148*$V148,)</f>
        <v/>
      </c>
      <c r="DI148" s="128">
        <f>IFERROR(AW148*$V148,)</f>
        <v/>
      </c>
      <c r="DJ148" s="128">
        <f>IFERROR(AX148*$V148,)</f>
        <v/>
      </c>
      <c r="DK148" s="128">
        <f>IFERROR(AY148*$V148,)</f>
        <v/>
      </c>
      <c r="DL148" s="128">
        <f>IFERROR(AZ148*$V148,)</f>
        <v/>
      </c>
      <c r="DM148" s="129">
        <f>IFERROR(if($X148=0,($V148/1.2)*BA148,
BA148*$X148),)</f>
        <v/>
      </c>
      <c r="DN148" s="129">
        <f>IFERROR(if($X148=0,($V148/1.2)*BB148,
BB148*$X148),)</f>
        <v/>
      </c>
      <c r="DO148" s="129">
        <f>IFERROR(if($X148=0,($V148/1.2)*BC148,
BC148*$X148),)</f>
        <v/>
      </c>
      <c r="DP148" s="130">
        <f>IFERROR(if($Z148=0,($V148/1.35)*BD148,
BD148*$Z148),)</f>
        <v/>
      </c>
      <c r="DQ148" s="130">
        <f>IFERROR(if($Z148=0,($V148/1.35)*BE148,
BE148*$Z148),)</f>
        <v/>
      </c>
      <c r="DR148" s="130">
        <f>IFERROR(if($Z148=0,($V148/1.35)*BF148,
BF148*$Z148),)</f>
        <v/>
      </c>
      <c r="DS148" s="128">
        <f>IFERROR(IF($AB148=0,($V148/0.74)*BG148,
BG148*$AB148),)</f>
        <v/>
      </c>
      <c r="DT148" s="128">
        <f>IFERROR(IF($AB148=0,($V148/0.74)*BH148,
BH148*$AB148),)</f>
        <v/>
      </c>
      <c r="DU148" s="128">
        <f>IFERROR(IF($AB148=0,($V148/0.74)*BI148,
BI148*$AB148),)</f>
        <v/>
      </c>
    </row>
    <row r="149" ht="131.25" customHeight="1" s="162">
      <c r="A149" s="115" t="n"/>
      <c r="B149" s="115" t="n"/>
      <c r="C149" s="115" t="n"/>
      <c r="D149" s="115" t="n"/>
      <c r="E149" s="115" t="n"/>
      <c r="F149" s="115" t="n"/>
      <c r="G149" s="115" t="n"/>
      <c r="H149" s="115" t="n"/>
      <c r="I149" s="115" t="n"/>
      <c r="J149" s="115" t="n"/>
      <c r="K149" s="115" t="n"/>
      <c r="L149" s="115" t="n"/>
      <c r="M149" s="115" t="n"/>
      <c r="N149" s="115" t="n"/>
      <c r="O149" s="115" t="n"/>
      <c r="P149" s="115" t="n"/>
      <c r="Q149" s="115" t="n"/>
      <c r="R149" s="115" t="n"/>
      <c r="S149" s="115" t="n"/>
      <c r="T149" s="115" t="n"/>
      <c r="U149" s="116" t="n"/>
      <c r="V149" s="116" t="n"/>
      <c r="W149" s="117" t="n"/>
      <c r="X149" s="118" t="n"/>
      <c r="Y149" s="119" t="n"/>
      <c r="Z149" s="120" t="n"/>
      <c r="AA149" s="121" t="n"/>
      <c r="AB149" s="122" t="n"/>
      <c r="AC149" s="117" t="n"/>
      <c r="AD149" s="123">
        <f>IF(SUM($AE149:$AH149)=0,"",SUM($AE149:$AH149))</f>
        <v/>
      </c>
      <c r="AE149" s="123">
        <f>iferror(IF(SUM($AI149:$AZ149)=0,"",SUM($AI149:$AZ149)),"")</f>
        <v/>
      </c>
      <c r="AF149" s="123">
        <f>iferror(IF(SUM($BA149:$BC149)=0,"",SUM($BA149:$BC149)),"")</f>
        <v/>
      </c>
      <c r="AG149" s="123">
        <f>iferror(IF(SUM($BD149:$BF149)=0,"",SUM($BD149:$BF149)),"")</f>
        <v/>
      </c>
      <c r="AH149" s="124">
        <f>iferror(IF(SUM($BG149:$BI149)=0,"",SUM($BG149:$BI149)),"")</f>
        <v/>
      </c>
      <c r="AI149" s="131" t="n"/>
      <c r="AJ149" s="132" t="n"/>
      <c r="AK149" s="132" t="n"/>
      <c r="AL149" s="132" t="n"/>
      <c r="AM149" s="132" t="n"/>
      <c r="AN149" s="132" t="n"/>
      <c r="AO149" s="132" t="n"/>
      <c r="AP149" s="132" t="n"/>
      <c r="AQ149" s="132" t="n"/>
      <c r="AR149" s="132" t="n"/>
      <c r="AS149" s="132" t="n"/>
      <c r="AT149" s="132" t="n"/>
      <c r="AU149" s="132" t="n"/>
      <c r="AV149" s="132" t="n"/>
      <c r="AW149" s="132" t="n"/>
      <c r="AX149" s="132" t="n"/>
      <c r="AY149" s="132" t="n"/>
      <c r="AZ149" s="133" t="n"/>
      <c r="BA149" s="131" t="n"/>
      <c r="BB149" s="132" t="n"/>
      <c r="BC149" s="133" t="n"/>
      <c r="BD149" s="131" t="n"/>
      <c r="BE149" s="132" t="n"/>
      <c r="BF149" s="133" t="n"/>
      <c r="BG149" s="131" t="n"/>
      <c r="BH149" s="132" t="n"/>
      <c r="BI149" s="132" t="n"/>
      <c r="BJ149" s="128">
        <f>iferror(SUM($BK149,($BL149*1.2),($BM149*1.35),($BN149*0.74)),)</f>
        <v/>
      </c>
      <c r="BK149" s="128">
        <f>IFERROR(SUM($BT149:$CK149),)</f>
        <v/>
      </c>
      <c r="BL149" s="129">
        <f>IFERROR(SUM($CL149:$CN149),)</f>
        <v/>
      </c>
      <c r="BM149" s="130">
        <f>IFERROR(SUM($CO149:$CQ149),)</f>
        <v/>
      </c>
      <c r="BN149" s="128">
        <f>IFERROR(SUM($CR149:$CT149),)</f>
        <v/>
      </c>
      <c r="BO149" s="128">
        <f>iferror(SUM($BP149,($BQ149*1.2),($BR149*1.35),($BS149*0.74)),)</f>
        <v/>
      </c>
      <c r="BP149" s="128">
        <f>IFERROR(SUM($CU149:$DL149),)</f>
        <v/>
      </c>
      <c r="BQ149" s="128">
        <f>IFERROR(SUM($DM149:$DO149),)</f>
        <v/>
      </c>
      <c r="BR149" s="128">
        <f>IFERROR(SUM($DP149:$DR149),)</f>
        <v/>
      </c>
      <c r="BS149" s="128">
        <f>IFERROR(SUM($DS149:$DU149),)</f>
        <v/>
      </c>
      <c r="BT149" s="128">
        <f>IFERROR(AI149*$W149,)</f>
        <v/>
      </c>
      <c r="BU149" s="128">
        <f>IFERROR(AJ149*$W149,)</f>
        <v/>
      </c>
      <c r="BV149" s="128">
        <f>IFERROR(AK149*$W149,)</f>
        <v/>
      </c>
      <c r="BW149" s="128">
        <f>IFERROR(AL149*$W149,)</f>
        <v/>
      </c>
      <c r="BX149" s="128">
        <f>IFERROR(AM149*$W149,)</f>
        <v/>
      </c>
      <c r="BY149" s="128">
        <f>IFERROR(AN149*$W149,)</f>
        <v/>
      </c>
      <c r="BZ149" s="128">
        <f>IFERROR(AO149*$W149,)</f>
        <v/>
      </c>
      <c r="CA149" s="128">
        <f>IFERROR(AP149*$W149,)</f>
        <v/>
      </c>
      <c r="CB149" s="128">
        <f>IFERROR(AQ149*$W149,)</f>
        <v/>
      </c>
      <c r="CC149" s="128">
        <f>IFERROR(AR149*$W149,)</f>
        <v/>
      </c>
      <c r="CD149" s="128">
        <f>IFERROR(AS149*$W149,)</f>
        <v/>
      </c>
      <c r="CE149" s="128">
        <f>IFERROR(AT149*$W149,)</f>
        <v/>
      </c>
      <c r="CF149" s="128">
        <f>IFERROR(AU149*$W149,)</f>
        <v/>
      </c>
      <c r="CG149" s="128">
        <f>IFERROR(AV149*$W149,)</f>
        <v/>
      </c>
      <c r="CH149" s="128">
        <f>IFERROR(AW149*$W149,)</f>
        <v/>
      </c>
      <c r="CI149" s="128">
        <f>IFERROR(AX149*$W149,)</f>
        <v/>
      </c>
      <c r="CJ149" s="128">
        <f>IFERROR(AY149*$W149,)</f>
        <v/>
      </c>
      <c r="CK149" s="128">
        <f>IFERROR(AZ149*$W149,)</f>
        <v/>
      </c>
      <c r="CL149" s="129">
        <f>IFERROR(if($Y149=0,BA149*($W149/1.2),BA149*$Y149),"")</f>
        <v/>
      </c>
      <c r="CM149" s="129">
        <f>IFERROR(if($Y149=0,BB149*($W149/1.2),BB149*$Y149),"")</f>
        <v/>
      </c>
      <c r="CN149" s="129">
        <f>IFERROR(if($Y149=0,BC149*($W149/1.2),BC149*$Y149),"")</f>
        <v/>
      </c>
      <c r="CO149" s="130">
        <f>IFERROR(if($AA149=0,($W149/1.35)*BD149,BD149*$AA149),)</f>
        <v/>
      </c>
      <c r="CP149" s="130">
        <f>IFERROR(if($AA149=0,($W149/1.35)*BE149,BE149*$AA149),)</f>
        <v/>
      </c>
      <c r="CQ149" s="130">
        <f>IFERROR(if($AA149=0,($W149/1.35)*BF149,BF149*$AA149),)</f>
        <v/>
      </c>
      <c r="CR149" s="128">
        <f>IFERROR(if($AC149=0,($W149/0.74)*BG149,
BG149*$AC149),)</f>
        <v/>
      </c>
      <c r="CS149" s="128">
        <f>IFERROR(if($AC149=0,($W149/0.74)*BH149,
BH149*$AC149),)</f>
        <v/>
      </c>
      <c r="CT149" s="128">
        <f>IFERROR(if($AC149=0,($W149/0.74)*BI149,
BI149*$AC149),)</f>
        <v/>
      </c>
      <c r="CU149" s="128">
        <f>IFERROR(AI149*$V149,)</f>
        <v/>
      </c>
      <c r="CV149" s="128">
        <f>IFERROR(AJ149*$V149,)</f>
        <v/>
      </c>
      <c r="CW149" s="128">
        <f>IFERROR(AK149*$V149,)</f>
        <v/>
      </c>
      <c r="CX149" s="128">
        <f>IFERROR(AL149*$V149,)</f>
        <v/>
      </c>
      <c r="CY149" s="128">
        <f>IFERROR(AM149*$V149,)</f>
        <v/>
      </c>
      <c r="CZ149" s="128">
        <f>IFERROR(AN149*$V149,)</f>
        <v/>
      </c>
      <c r="DA149" s="128">
        <f>IFERROR(AO149*$V149,)</f>
        <v/>
      </c>
      <c r="DB149" s="128">
        <f>IFERROR(AP149*$V149,)</f>
        <v/>
      </c>
      <c r="DC149" s="128">
        <f>IFERROR(AQ149*$V149,)</f>
        <v/>
      </c>
      <c r="DD149" s="128">
        <f>IFERROR(AR149*$V149,)</f>
        <v/>
      </c>
      <c r="DE149" s="128">
        <f>IFERROR(AS149*$V149,)</f>
        <v/>
      </c>
      <c r="DF149" s="128">
        <f>IFERROR(AT149*$V149,)</f>
        <v/>
      </c>
      <c r="DG149" s="128">
        <f>IFERROR(AU149*$V149,)</f>
        <v/>
      </c>
      <c r="DH149" s="128">
        <f>IFERROR(AV149*$V149,)</f>
        <v/>
      </c>
      <c r="DI149" s="128">
        <f>IFERROR(AW149*$V149,)</f>
        <v/>
      </c>
      <c r="DJ149" s="128">
        <f>IFERROR(AX149*$V149,)</f>
        <v/>
      </c>
      <c r="DK149" s="128">
        <f>IFERROR(AY149*$V149,)</f>
        <v/>
      </c>
      <c r="DL149" s="128">
        <f>IFERROR(AZ149*$V149,)</f>
        <v/>
      </c>
      <c r="DM149" s="129">
        <f>IFERROR(if($X149=0,($V149/1.2)*BA149,
BA149*$X149),)</f>
        <v/>
      </c>
      <c r="DN149" s="129">
        <f>IFERROR(if($X149=0,($V149/1.2)*BB149,
BB149*$X149),)</f>
        <v/>
      </c>
      <c r="DO149" s="129">
        <f>IFERROR(if($X149=0,($V149/1.2)*BC149,
BC149*$X149),)</f>
        <v/>
      </c>
      <c r="DP149" s="130">
        <f>IFERROR(if($Z149=0,($V149/1.35)*BD149,
BD149*$Z149),)</f>
        <v/>
      </c>
      <c r="DQ149" s="130">
        <f>IFERROR(if($Z149=0,($V149/1.35)*BE149,
BE149*$Z149),)</f>
        <v/>
      </c>
      <c r="DR149" s="130">
        <f>IFERROR(if($Z149=0,($V149/1.35)*BF149,
BF149*$Z149),)</f>
        <v/>
      </c>
      <c r="DS149" s="128">
        <f>IFERROR(IF($AB149=0,($V149/0.74)*BG149,
BG149*$AB149),)</f>
        <v/>
      </c>
      <c r="DT149" s="128">
        <f>IFERROR(IF($AB149=0,($V149/0.74)*BH149,
BH149*$AB149),)</f>
        <v/>
      </c>
      <c r="DU149" s="128">
        <f>IFERROR(IF($AB149=0,($V149/0.74)*BI149,
BI149*$AB149),)</f>
        <v/>
      </c>
    </row>
    <row r="150" ht="131.25" customHeight="1" s="162">
      <c r="A150" s="115" t="n"/>
      <c r="B150" s="115" t="n"/>
      <c r="C150" s="115" t="n"/>
      <c r="D150" s="115" t="n"/>
      <c r="E150" s="115" t="n"/>
      <c r="F150" s="115" t="n"/>
      <c r="G150" s="115" t="n"/>
      <c r="H150" s="115" t="n"/>
      <c r="I150" s="115" t="n"/>
      <c r="J150" s="115" t="n"/>
      <c r="K150" s="115" t="n"/>
      <c r="L150" s="115" t="n"/>
      <c r="M150" s="115" t="n"/>
      <c r="N150" s="115" t="n"/>
      <c r="O150" s="115" t="n"/>
      <c r="P150" s="115" t="n"/>
      <c r="Q150" s="115" t="n"/>
      <c r="R150" s="115" t="n"/>
      <c r="S150" s="115" t="n"/>
      <c r="T150" s="115" t="n"/>
      <c r="U150" s="116" t="n"/>
      <c r="V150" s="116" t="n"/>
      <c r="W150" s="117" t="n"/>
      <c r="X150" s="118" t="n"/>
      <c r="Y150" s="119" t="n"/>
      <c r="Z150" s="120" t="n"/>
      <c r="AA150" s="121" t="n"/>
      <c r="AB150" s="122" t="n"/>
      <c r="AC150" s="117" t="n"/>
      <c r="AD150" s="123">
        <f>IF(SUM($AE150:$AH150)=0,"",SUM($AE150:$AH150))</f>
        <v/>
      </c>
      <c r="AE150" s="123">
        <f>iferror(IF(SUM($AI150:$AZ150)=0,"",SUM($AI150:$AZ150)),"")</f>
        <v/>
      </c>
      <c r="AF150" s="123">
        <f>iferror(IF(SUM($BA150:$BC150)=0,"",SUM($BA150:$BC150)),"")</f>
        <v/>
      </c>
      <c r="AG150" s="123">
        <f>iferror(IF(SUM($BD150:$BF150)=0,"",SUM($BD150:$BF150)),"")</f>
        <v/>
      </c>
      <c r="AH150" s="124">
        <f>iferror(IF(SUM($BG150:$BI150)=0,"",SUM($BG150:$BI150)),"")</f>
        <v/>
      </c>
      <c r="AI150" s="131" t="n"/>
      <c r="AJ150" s="132" t="n"/>
      <c r="AK150" s="132" t="n"/>
      <c r="AL150" s="132" t="n"/>
      <c r="AM150" s="132" t="n"/>
      <c r="AN150" s="132" t="n"/>
      <c r="AO150" s="132" t="n"/>
      <c r="AP150" s="132" t="n"/>
      <c r="AQ150" s="132" t="n"/>
      <c r="AR150" s="132" t="n"/>
      <c r="AS150" s="132" t="n"/>
      <c r="AT150" s="132" t="n"/>
      <c r="AU150" s="132" t="n"/>
      <c r="AV150" s="132" t="n"/>
      <c r="AW150" s="132" t="n"/>
      <c r="AX150" s="132" t="n"/>
      <c r="AY150" s="132" t="n"/>
      <c r="AZ150" s="133" t="n"/>
      <c r="BA150" s="131" t="n"/>
      <c r="BB150" s="132" t="n"/>
      <c r="BC150" s="133" t="n"/>
      <c r="BD150" s="131" t="n"/>
      <c r="BE150" s="132" t="n"/>
      <c r="BF150" s="133" t="n"/>
      <c r="BG150" s="131" t="n"/>
      <c r="BH150" s="132" t="n"/>
      <c r="BI150" s="132" t="n"/>
      <c r="BJ150" s="128">
        <f>iferror(SUM($BK150,($BL150*1.2),($BM150*1.35),($BN150*0.74)),)</f>
        <v/>
      </c>
      <c r="BK150" s="128">
        <f>IFERROR(SUM($BT150:$CK150),)</f>
        <v/>
      </c>
      <c r="BL150" s="129">
        <f>IFERROR(SUM($CL150:$CN150),)</f>
        <v/>
      </c>
      <c r="BM150" s="130">
        <f>IFERROR(SUM($CO150:$CQ150),)</f>
        <v/>
      </c>
      <c r="BN150" s="128">
        <f>IFERROR(SUM($CR150:$CT150),)</f>
        <v/>
      </c>
      <c r="BO150" s="128">
        <f>iferror(SUM($BP150,($BQ150*1.2),($BR150*1.35),($BS150*0.74)),)</f>
        <v/>
      </c>
      <c r="BP150" s="128">
        <f>IFERROR(SUM($CU150:$DL150),)</f>
        <v/>
      </c>
      <c r="BQ150" s="128">
        <f>IFERROR(SUM($DM150:$DO150),)</f>
        <v/>
      </c>
      <c r="BR150" s="128">
        <f>IFERROR(SUM($DP150:$DR150),)</f>
        <v/>
      </c>
      <c r="BS150" s="128">
        <f>IFERROR(SUM($DS150:$DU150),)</f>
        <v/>
      </c>
      <c r="BT150" s="128">
        <f>IFERROR(AI150*$W150,)</f>
        <v/>
      </c>
      <c r="BU150" s="128">
        <f>IFERROR(AJ150*$W150,)</f>
        <v/>
      </c>
      <c r="BV150" s="128">
        <f>IFERROR(AK150*$W150,)</f>
        <v/>
      </c>
      <c r="BW150" s="128">
        <f>IFERROR(AL150*$W150,)</f>
        <v/>
      </c>
      <c r="BX150" s="128">
        <f>IFERROR(AM150*$W150,)</f>
        <v/>
      </c>
      <c r="BY150" s="128">
        <f>IFERROR(AN150*$W150,)</f>
        <v/>
      </c>
      <c r="BZ150" s="128">
        <f>IFERROR(AO150*$W150,)</f>
        <v/>
      </c>
      <c r="CA150" s="128">
        <f>IFERROR(AP150*$W150,)</f>
        <v/>
      </c>
      <c r="CB150" s="128">
        <f>IFERROR(AQ150*$W150,)</f>
        <v/>
      </c>
      <c r="CC150" s="128">
        <f>IFERROR(AR150*$W150,)</f>
        <v/>
      </c>
      <c r="CD150" s="128">
        <f>IFERROR(AS150*$W150,)</f>
        <v/>
      </c>
      <c r="CE150" s="128">
        <f>IFERROR(AT150*$W150,)</f>
        <v/>
      </c>
      <c r="CF150" s="128">
        <f>IFERROR(AU150*$W150,)</f>
        <v/>
      </c>
      <c r="CG150" s="128">
        <f>IFERROR(AV150*$W150,)</f>
        <v/>
      </c>
      <c r="CH150" s="128">
        <f>IFERROR(AW150*$W150,)</f>
        <v/>
      </c>
      <c r="CI150" s="128">
        <f>IFERROR(AX150*$W150,)</f>
        <v/>
      </c>
      <c r="CJ150" s="128">
        <f>IFERROR(AY150*$W150,)</f>
        <v/>
      </c>
      <c r="CK150" s="128">
        <f>IFERROR(AZ150*$W150,)</f>
        <v/>
      </c>
      <c r="CL150" s="129">
        <f>IFERROR(if($Y150=0,BA150*($W150/1.2),BA150*$Y150),"")</f>
        <v/>
      </c>
      <c r="CM150" s="129">
        <f>IFERROR(if($Y150=0,BB150*($W150/1.2),BB150*$Y150),"")</f>
        <v/>
      </c>
      <c r="CN150" s="129">
        <f>IFERROR(if($Y150=0,BC150*($W150/1.2),BC150*$Y150),"")</f>
        <v/>
      </c>
      <c r="CO150" s="130">
        <f>IFERROR(if($AA150=0,($W150/1.35)*BD150,BD150*$AA150),)</f>
        <v/>
      </c>
      <c r="CP150" s="130">
        <f>IFERROR(if($AA150=0,($W150/1.35)*BE150,BE150*$AA150),)</f>
        <v/>
      </c>
      <c r="CQ150" s="130">
        <f>IFERROR(if($AA150=0,($W150/1.35)*BF150,BF150*$AA150),)</f>
        <v/>
      </c>
      <c r="CR150" s="128">
        <f>IFERROR(if($AC150=0,($W150/0.74)*BG150,
BG150*$AC150),)</f>
        <v/>
      </c>
      <c r="CS150" s="128">
        <f>IFERROR(if($AC150=0,($W150/0.74)*BH150,
BH150*$AC150),)</f>
        <v/>
      </c>
      <c r="CT150" s="128">
        <f>IFERROR(if($AC150=0,($W150/0.74)*BI150,
BI150*$AC150),)</f>
        <v/>
      </c>
      <c r="CU150" s="128">
        <f>IFERROR(AI150*$V150,)</f>
        <v/>
      </c>
      <c r="CV150" s="128">
        <f>IFERROR(AJ150*$V150,)</f>
        <v/>
      </c>
      <c r="CW150" s="128">
        <f>IFERROR(AK150*$V150,)</f>
        <v/>
      </c>
      <c r="CX150" s="128">
        <f>IFERROR(AL150*$V150,)</f>
        <v/>
      </c>
      <c r="CY150" s="128">
        <f>IFERROR(AM150*$V150,)</f>
        <v/>
      </c>
      <c r="CZ150" s="128">
        <f>IFERROR(AN150*$V150,)</f>
        <v/>
      </c>
      <c r="DA150" s="128">
        <f>IFERROR(AO150*$V150,)</f>
        <v/>
      </c>
      <c r="DB150" s="128">
        <f>IFERROR(AP150*$V150,)</f>
        <v/>
      </c>
      <c r="DC150" s="128">
        <f>IFERROR(AQ150*$V150,)</f>
        <v/>
      </c>
      <c r="DD150" s="128">
        <f>IFERROR(AR150*$V150,)</f>
        <v/>
      </c>
      <c r="DE150" s="128">
        <f>IFERROR(AS150*$V150,)</f>
        <v/>
      </c>
      <c r="DF150" s="128">
        <f>IFERROR(AT150*$V150,)</f>
        <v/>
      </c>
      <c r="DG150" s="128">
        <f>IFERROR(AU150*$V150,)</f>
        <v/>
      </c>
      <c r="DH150" s="128">
        <f>IFERROR(AV150*$V150,)</f>
        <v/>
      </c>
      <c r="DI150" s="128">
        <f>IFERROR(AW150*$V150,)</f>
        <v/>
      </c>
      <c r="DJ150" s="128">
        <f>IFERROR(AX150*$V150,)</f>
        <v/>
      </c>
      <c r="DK150" s="128">
        <f>IFERROR(AY150*$V150,)</f>
        <v/>
      </c>
      <c r="DL150" s="128">
        <f>IFERROR(AZ150*$V150,)</f>
        <v/>
      </c>
      <c r="DM150" s="129">
        <f>IFERROR(if($X150=0,($V150/1.2)*BA150,
BA150*$X150),)</f>
        <v/>
      </c>
      <c r="DN150" s="129">
        <f>IFERROR(if($X150=0,($V150/1.2)*BB150,
BB150*$X150),)</f>
        <v/>
      </c>
      <c r="DO150" s="129">
        <f>IFERROR(if($X150=0,($V150/1.2)*BC150,
BC150*$X150),)</f>
        <v/>
      </c>
      <c r="DP150" s="130">
        <f>IFERROR(if($Z150=0,($V150/1.35)*BD150,
BD150*$Z150),)</f>
        <v/>
      </c>
      <c r="DQ150" s="130">
        <f>IFERROR(if($Z150=0,($V150/1.35)*BE150,
BE150*$Z150),)</f>
        <v/>
      </c>
      <c r="DR150" s="130">
        <f>IFERROR(if($Z150=0,($V150/1.35)*BF150,
BF150*$Z150),)</f>
        <v/>
      </c>
      <c r="DS150" s="128">
        <f>IFERROR(IF($AB150=0,($V150/0.74)*BG150,
BG150*$AB150),)</f>
        <v/>
      </c>
      <c r="DT150" s="128">
        <f>IFERROR(IF($AB150=0,($V150/0.74)*BH150,
BH150*$AB150),)</f>
        <v/>
      </c>
      <c r="DU150" s="128">
        <f>IFERROR(IF($AB150=0,($V150/0.74)*BI150,
BI150*$AB150),)</f>
        <v/>
      </c>
    </row>
    <row r="151" ht="131.25" customHeight="1" s="162">
      <c r="A151" s="115" t="n"/>
      <c r="B151" s="115" t="n"/>
      <c r="C151" s="115" t="n"/>
      <c r="D151" s="115" t="n"/>
      <c r="E151" s="115" t="n"/>
      <c r="F151" s="115" t="n"/>
      <c r="G151" s="115" t="n"/>
      <c r="H151" s="115" t="n"/>
      <c r="I151" s="115" t="n"/>
      <c r="J151" s="115" t="n"/>
      <c r="K151" s="115" t="n"/>
      <c r="L151" s="115" t="n"/>
      <c r="M151" s="115" t="n"/>
      <c r="N151" s="115" t="n"/>
      <c r="O151" s="115" t="n"/>
      <c r="P151" s="115" t="n"/>
      <c r="Q151" s="115" t="n"/>
      <c r="R151" s="115" t="n"/>
      <c r="S151" s="115" t="n"/>
      <c r="T151" s="115" t="n"/>
      <c r="U151" s="116" t="n"/>
      <c r="V151" s="116" t="n"/>
      <c r="W151" s="117" t="n"/>
      <c r="X151" s="118" t="n"/>
      <c r="Y151" s="119" t="n"/>
      <c r="Z151" s="120" t="n"/>
      <c r="AA151" s="121" t="n"/>
      <c r="AB151" s="122" t="n"/>
      <c r="AC151" s="117" t="n"/>
      <c r="AD151" s="123">
        <f>IF(SUM($AE151:$AH151)=0,"",SUM($AE151:$AH151))</f>
        <v/>
      </c>
      <c r="AE151" s="123">
        <f>iferror(IF(SUM($AI151:$AZ151)=0,"",SUM($AI151:$AZ151)),"")</f>
        <v/>
      </c>
      <c r="AF151" s="123">
        <f>iferror(IF(SUM($BA151:$BC151)=0,"",SUM($BA151:$BC151)),"")</f>
        <v/>
      </c>
      <c r="AG151" s="123">
        <f>iferror(IF(SUM($BD151:$BF151)=0,"",SUM($BD151:$BF151)),"")</f>
        <v/>
      </c>
      <c r="AH151" s="124">
        <f>iferror(IF(SUM($BG151:$BI151)=0,"",SUM($BG151:$BI151)),"")</f>
        <v/>
      </c>
      <c r="AI151" s="131" t="n"/>
      <c r="AJ151" s="132" t="n"/>
      <c r="AK151" s="132" t="n"/>
      <c r="AL151" s="132" t="n"/>
      <c r="AM151" s="132" t="n"/>
      <c r="AN151" s="132" t="n"/>
      <c r="AO151" s="132" t="n"/>
      <c r="AP151" s="132" t="n"/>
      <c r="AQ151" s="132" t="n"/>
      <c r="AR151" s="132" t="n"/>
      <c r="AS151" s="132" t="n"/>
      <c r="AT151" s="132" t="n"/>
      <c r="AU151" s="132" t="n"/>
      <c r="AV151" s="132" t="n"/>
      <c r="AW151" s="132" t="n"/>
      <c r="AX151" s="132" t="n"/>
      <c r="AY151" s="132" t="n"/>
      <c r="AZ151" s="133" t="n"/>
      <c r="BA151" s="131" t="n"/>
      <c r="BB151" s="132" t="n"/>
      <c r="BC151" s="133" t="n"/>
      <c r="BD151" s="131" t="n"/>
      <c r="BE151" s="132" t="n"/>
      <c r="BF151" s="133" t="n"/>
      <c r="BG151" s="131" t="n"/>
      <c r="BH151" s="132" t="n"/>
      <c r="BI151" s="132" t="n"/>
      <c r="BJ151" s="128">
        <f>iferror(SUM($BK151,($BL151*1.2),($BM151*1.35),($BN151*0.74)),)</f>
        <v/>
      </c>
      <c r="BK151" s="128">
        <f>IFERROR(SUM($BT151:$CK151),)</f>
        <v/>
      </c>
      <c r="BL151" s="129">
        <f>IFERROR(SUM($CL151:$CN151),)</f>
        <v/>
      </c>
      <c r="BM151" s="130">
        <f>IFERROR(SUM($CO151:$CQ151),)</f>
        <v/>
      </c>
      <c r="BN151" s="128">
        <f>IFERROR(SUM($CR151:$CT151),)</f>
        <v/>
      </c>
      <c r="BO151" s="128">
        <f>iferror(SUM($BP151,($BQ151*1.2),($BR151*1.35),($BS151*0.74)),)</f>
        <v/>
      </c>
      <c r="BP151" s="128">
        <f>IFERROR(SUM($CU151:$DL151),)</f>
        <v/>
      </c>
      <c r="BQ151" s="128">
        <f>IFERROR(SUM($DM151:$DO151),)</f>
        <v/>
      </c>
      <c r="BR151" s="128">
        <f>IFERROR(SUM($DP151:$DR151),)</f>
        <v/>
      </c>
      <c r="BS151" s="128">
        <f>IFERROR(SUM($DS151:$DU151),)</f>
        <v/>
      </c>
      <c r="BT151" s="128">
        <f>IFERROR(AI151*$W151,)</f>
        <v/>
      </c>
      <c r="BU151" s="128">
        <f>IFERROR(AJ151*$W151,)</f>
        <v/>
      </c>
      <c r="BV151" s="128">
        <f>IFERROR(AK151*$W151,)</f>
        <v/>
      </c>
      <c r="BW151" s="128">
        <f>IFERROR(AL151*$W151,)</f>
        <v/>
      </c>
      <c r="BX151" s="128">
        <f>IFERROR(AM151*$W151,)</f>
        <v/>
      </c>
      <c r="BY151" s="128">
        <f>IFERROR(AN151*$W151,)</f>
        <v/>
      </c>
      <c r="BZ151" s="128">
        <f>IFERROR(AO151*$W151,)</f>
        <v/>
      </c>
      <c r="CA151" s="128">
        <f>IFERROR(AP151*$W151,)</f>
        <v/>
      </c>
      <c r="CB151" s="128">
        <f>IFERROR(AQ151*$W151,)</f>
        <v/>
      </c>
      <c r="CC151" s="128">
        <f>IFERROR(AR151*$W151,)</f>
        <v/>
      </c>
      <c r="CD151" s="128">
        <f>IFERROR(AS151*$W151,)</f>
        <v/>
      </c>
      <c r="CE151" s="128">
        <f>IFERROR(AT151*$W151,)</f>
        <v/>
      </c>
      <c r="CF151" s="128">
        <f>IFERROR(AU151*$W151,)</f>
        <v/>
      </c>
      <c r="CG151" s="128">
        <f>IFERROR(AV151*$W151,)</f>
        <v/>
      </c>
      <c r="CH151" s="128">
        <f>IFERROR(AW151*$W151,)</f>
        <v/>
      </c>
      <c r="CI151" s="128">
        <f>IFERROR(AX151*$W151,)</f>
        <v/>
      </c>
      <c r="CJ151" s="128">
        <f>IFERROR(AY151*$W151,)</f>
        <v/>
      </c>
      <c r="CK151" s="128">
        <f>IFERROR(AZ151*$W151,)</f>
        <v/>
      </c>
      <c r="CL151" s="129">
        <f>IFERROR(if($Y151=0,BA151*($W151/1.2),BA151*$Y151),"")</f>
        <v/>
      </c>
      <c r="CM151" s="129">
        <f>IFERROR(if($Y151=0,BB151*($W151/1.2),BB151*$Y151),"")</f>
        <v/>
      </c>
      <c r="CN151" s="129">
        <f>IFERROR(if($Y151=0,BC151*($W151/1.2),BC151*$Y151),"")</f>
        <v/>
      </c>
      <c r="CO151" s="130">
        <f>IFERROR(if($AA151=0,($W151/1.35)*BD151,BD151*$AA151),)</f>
        <v/>
      </c>
      <c r="CP151" s="130">
        <f>IFERROR(if($AA151=0,($W151/1.35)*BE151,BE151*$AA151),)</f>
        <v/>
      </c>
      <c r="CQ151" s="130">
        <f>IFERROR(if($AA151=0,($W151/1.35)*BF151,BF151*$AA151),)</f>
        <v/>
      </c>
      <c r="CR151" s="128">
        <f>IFERROR(if($AC151=0,($W151/0.74)*BG151,
BG151*$AC151),)</f>
        <v/>
      </c>
      <c r="CS151" s="128">
        <f>IFERROR(if($AC151=0,($W151/0.74)*BH151,
BH151*$AC151),)</f>
        <v/>
      </c>
      <c r="CT151" s="128">
        <f>IFERROR(if($AC151=0,($W151/0.74)*BI151,
BI151*$AC151),)</f>
        <v/>
      </c>
      <c r="CU151" s="128">
        <f>IFERROR(AI151*$V151,)</f>
        <v/>
      </c>
      <c r="CV151" s="128">
        <f>IFERROR(AJ151*$V151,)</f>
        <v/>
      </c>
      <c r="CW151" s="128">
        <f>IFERROR(AK151*$V151,)</f>
        <v/>
      </c>
      <c r="CX151" s="128">
        <f>IFERROR(AL151*$V151,)</f>
        <v/>
      </c>
      <c r="CY151" s="128">
        <f>IFERROR(AM151*$V151,)</f>
        <v/>
      </c>
      <c r="CZ151" s="128">
        <f>IFERROR(AN151*$V151,)</f>
        <v/>
      </c>
      <c r="DA151" s="128">
        <f>IFERROR(AO151*$V151,)</f>
        <v/>
      </c>
      <c r="DB151" s="128">
        <f>IFERROR(AP151*$V151,)</f>
        <v/>
      </c>
      <c r="DC151" s="128">
        <f>IFERROR(AQ151*$V151,)</f>
        <v/>
      </c>
      <c r="DD151" s="128">
        <f>IFERROR(AR151*$V151,)</f>
        <v/>
      </c>
      <c r="DE151" s="128">
        <f>IFERROR(AS151*$V151,)</f>
        <v/>
      </c>
      <c r="DF151" s="128">
        <f>IFERROR(AT151*$V151,)</f>
        <v/>
      </c>
      <c r="DG151" s="128">
        <f>IFERROR(AU151*$V151,)</f>
        <v/>
      </c>
      <c r="DH151" s="128">
        <f>IFERROR(AV151*$V151,)</f>
        <v/>
      </c>
      <c r="DI151" s="128">
        <f>IFERROR(AW151*$V151,)</f>
        <v/>
      </c>
      <c r="DJ151" s="128">
        <f>IFERROR(AX151*$V151,)</f>
        <v/>
      </c>
      <c r="DK151" s="128">
        <f>IFERROR(AY151*$V151,)</f>
        <v/>
      </c>
      <c r="DL151" s="128">
        <f>IFERROR(AZ151*$V151,)</f>
        <v/>
      </c>
      <c r="DM151" s="129">
        <f>IFERROR(if($X151=0,($V151/1.2)*BA151,
BA151*$X151),)</f>
        <v/>
      </c>
      <c r="DN151" s="129">
        <f>IFERROR(if($X151=0,($V151/1.2)*BB151,
BB151*$X151),)</f>
        <v/>
      </c>
      <c r="DO151" s="129">
        <f>IFERROR(if($X151=0,($V151/1.2)*BC151,
BC151*$X151),)</f>
        <v/>
      </c>
      <c r="DP151" s="130">
        <f>IFERROR(if($Z151=0,($V151/1.35)*BD151,
BD151*$Z151),)</f>
        <v/>
      </c>
      <c r="DQ151" s="130">
        <f>IFERROR(if($Z151=0,($V151/1.35)*BE151,
BE151*$Z151),)</f>
        <v/>
      </c>
      <c r="DR151" s="130">
        <f>IFERROR(if($Z151=0,($V151/1.35)*BF151,
BF151*$Z151),)</f>
        <v/>
      </c>
      <c r="DS151" s="128">
        <f>IFERROR(IF($AB151=0,($V151/0.74)*BG151,
BG151*$AB151),)</f>
        <v/>
      </c>
      <c r="DT151" s="128">
        <f>IFERROR(IF($AB151=0,($V151/0.74)*BH151,
BH151*$AB151),)</f>
        <v/>
      </c>
      <c r="DU151" s="128">
        <f>IFERROR(IF($AB151=0,($V151/0.74)*BI151,
BI151*$AB151),)</f>
        <v/>
      </c>
    </row>
    <row r="152" ht="131.25" customHeight="1" s="162">
      <c r="A152" s="115" t="n"/>
      <c r="B152" s="115" t="n"/>
      <c r="C152" s="115" t="n"/>
      <c r="D152" s="115" t="n"/>
      <c r="E152" s="115" t="n"/>
      <c r="F152" s="115" t="n"/>
      <c r="G152" s="115" t="n"/>
      <c r="H152" s="115" t="n"/>
      <c r="I152" s="115" t="n"/>
      <c r="J152" s="115" t="n"/>
      <c r="K152" s="115" t="n"/>
      <c r="L152" s="115" t="n"/>
      <c r="M152" s="115" t="n"/>
      <c r="N152" s="115" t="n"/>
      <c r="O152" s="115" t="n"/>
      <c r="P152" s="115" t="n"/>
      <c r="Q152" s="115" t="n"/>
      <c r="R152" s="115" t="n"/>
      <c r="S152" s="115" t="n"/>
      <c r="T152" s="115" t="n"/>
      <c r="U152" s="116" t="n"/>
      <c r="V152" s="116" t="n"/>
      <c r="W152" s="117" t="n"/>
      <c r="X152" s="118" t="n"/>
      <c r="Y152" s="119" t="n"/>
      <c r="Z152" s="120" t="n"/>
      <c r="AA152" s="121" t="n"/>
      <c r="AB152" s="122" t="n"/>
      <c r="AC152" s="117" t="n"/>
      <c r="AD152" s="123">
        <f>IF(SUM($AE152:$AH152)=0,"",SUM($AE152:$AH152))</f>
        <v/>
      </c>
      <c r="AE152" s="123">
        <f>iferror(IF(SUM($AI152:$AZ152)=0,"",SUM($AI152:$AZ152)),"")</f>
        <v/>
      </c>
      <c r="AF152" s="123">
        <f>iferror(IF(SUM($BA152:$BC152)=0,"",SUM($BA152:$BC152)),"")</f>
        <v/>
      </c>
      <c r="AG152" s="123">
        <f>iferror(IF(SUM($BD152:$BF152)=0,"",SUM($BD152:$BF152)),"")</f>
        <v/>
      </c>
      <c r="AH152" s="124">
        <f>iferror(IF(SUM($BG152:$BI152)=0,"",SUM($BG152:$BI152)),"")</f>
        <v/>
      </c>
      <c r="AI152" s="131" t="n"/>
      <c r="AJ152" s="132" t="n"/>
      <c r="AK152" s="132" t="n"/>
      <c r="AL152" s="132" t="n"/>
      <c r="AM152" s="132" t="n"/>
      <c r="AN152" s="132" t="n"/>
      <c r="AO152" s="132" t="n"/>
      <c r="AP152" s="132" t="n"/>
      <c r="AQ152" s="132" t="n"/>
      <c r="AR152" s="132" t="n"/>
      <c r="AS152" s="132" t="n"/>
      <c r="AT152" s="132" t="n"/>
      <c r="AU152" s="132" t="n"/>
      <c r="AV152" s="132" t="n"/>
      <c r="AW152" s="132" t="n"/>
      <c r="AX152" s="132" t="n"/>
      <c r="AY152" s="132" t="n"/>
      <c r="AZ152" s="133" t="n"/>
      <c r="BA152" s="131" t="n"/>
      <c r="BB152" s="132" t="n"/>
      <c r="BC152" s="133" t="n"/>
      <c r="BD152" s="131" t="n"/>
      <c r="BE152" s="132" t="n"/>
      <c r="BF152" s="133" t="n"/>
      <c r="BG152" s="131" t="n"/>
      <c r="BH152" s="132" t="n"/>
      <c r="BI152" s="132" t="n"/>
      <c r="BJ152" s="128">
        <f>iferror(SUM($BK152,($BL152*1.2),($BM152*1.35),($BN152*0.74)),)</f>
        <v/>
      </c>
      <c r="BK152" s="128">
        <f>IFERROR(SUM($BT152:$CK152),)</f>
        <v/>
      </c>
      <c r="BL152" s="129">
        <f>IFERROR(SUM($CL152:$CN152),)</f>
        <v/>
      </c>
      <c r="BM152" s="130">
        <f>IFERROR(SUM($CO152:$CQ152),)</f>
        <v/>
      </c>
      <c r="BN152" s="128">
        <f>IFERROR(SUM($CR152:$CT152),)</f>
        <v/>
      </c>
      <c r="BO152" s="128">
        <f>iferror(SUM($BP152,($BQ152*1.2),($BR152*1.35),($BS152*0.74)),)</f>
        <v/>
      </c>
      <c r="BP152" s="128">
        <f>IFERROR(SUM($CU152:$DL152),)</f>
        <v/>
      </c>
      <c r="BQ152" s="128">
        <f>IFERROR(SUM($DM152:$DO152),)</f>
        <v/>
      </c>
      <c r="BR152" s="128">
        <f>IFERROR(SUM($DP152:$DR152),)</f>
        <v/>
      </c>
      <c r="BS152" s="128">
        <f>IFERROR(SUM($DS152:$DU152),)</f>
        <v/>
      </c>
      <c r="BT152" s="128">
        <f>IFERROR(AI152*$W152,)</f>
        <v/>
      </c>
      <c r="BU152" s="128">
        <f>IFERROR(AJ152*$W152,)</f>
        <v/>
      </c>
      <c r="BV152" s="128">
        <f>IFERROR(AK152*$W152,)</f>
        <v/>
      </c>
      <c r="BW152" s="128">
        <f>IFERROR(AL152*$W152,)</f>
        <v/>
      </c>
      <c r="BX152" s="128">
        <f>IFERROR(AM152*$W152,)</f>
        <v/>
      </c>
      <c r="BY152" s="128">
        <f>IFERROR(AN152*$W152,)</f>
        <v/>
      </c>
      <c r="BZ152" s="128">
        <f>IFERROR(AO152*$W152,)</f>
        <v/>
      </c>
      <c r="CA152" s="128">
        <f>IFERROR(AP152*$W152,)</f>
        <v/>
      </c>
      <c r="CB152" s="128">
        <f>IFERROR(AQ152*$W152,)</f>
        <v/>
      </c>
      <c r="CC152" s="128">
        <f>IFERROR(AR152*$W152,)</f>
        <v/>
      </c>
      <c r="CD152" s="128">
        <f>IFERROR(AS152*$W152,)</f>
        <v/>
      </c>
      <c r="CE152" s="128">
        <f>IFERROR(AT152*$W152,)</f>
        <v/>
      </c>
      <c r="CF152" s="128">
        <f>IFERROR(AU152*$W152,)</f>
        <v/>
      </c>
      <c r="CG152" s="128">
        <f>IFERROR(AV152*$W152,)</f>
        <v/>
      </c>
      <c r="CH152" s="128">
        <f>IFERROR(AW152*$W152,)</f>
        <v/>
      </c>
      <c r="CI152" s="128">
        <f>IFERROR(AX152*$W152,)</f>
        <v/>
      </c>
      <c r="CJ152" s="128">
        <f>IFERROR(AY152*$W152,)</f>
        <v/>
      </c>
      <c r="CK152" s="128">
        <f>IFERROR(AZ152*$W152,)</f>
        <v/>
      </c>
      <c r="CL152" s="129">
        <f>IFERROR(if($Y152=0,BA152*($W152/1.2),BA152*$Y152),"")</f>
        <v/>
      </c>
      <c r="CM152" s="129">
        <f>IFERROR(if($Y152=0,BB152*($W152/1.2),BB152*$Y152),"")</f>
        <v/>
      </c>
      <c r="CN152" s="129">
        <f>IFERROR(if($Y152=0,BC152*($W152/1.2),BC152*$Y152),"")</f>
        <v/>
      </c>
      <c r="CO152" s="130">
        <f>IFERROR(if($AA152=0,($W152/1.35)*BD152,BD152*$AA152),)</f>
        <v/>
      </c>
      <c r="CP152" s="130">
        <f>IFERROR(if($AA152=0,($W152/1.35)*BE152,BE152*$AA152),)</f>
        <v/>
      </c>
      <c r="CQ152" s="130">
        <f>IFERROR(if($AA152=0,($W152/1.35)*BF152,BF152*$AA152),)</f>
        <v/>
      </c>
      <c r="CR152" s="128">
        <f>IFERROR(if($AC152=0,($W152/0.74)*BG152,
BG152*$AC152),)</f>
        <v/>
      </c>
      <c r="CS152" s="128">
        <f>IFERROR(if($AC152=0,($W152/0.74)*BH152,
BH152*$AC152),)</f>
        <v/>
      </c>
      <c r="CT152" s="128">
        <f>IFERROR(if($AC152=0,($W152/0.74)*BI152,
BI152*$AC152),)</f>
        <v/>
      </c>
      <c r="CU152" s="128">
        <f>IFERROR(AI152*$V152,)</f>
        <v/>
      </c>
      <c r="CV152" s="128">
        <f>IFERROR(AJ152*$V152,)</f>
        <v/>
      </c>
      <c r="CW152" s="128">
        <f>IFERROR(AK152*$V152,)</f>
        <v/>
      </c>
      <c r="CX152" s="128">
        <f>IFERROR(AL152*$V152,)</f>
        <v/>
      </c>
      <c r="CY152" s="128">
        <f>IFERROR(AM152*$V152,)</f>
        <v/>
      </c>
      <c r="CZ152" s="128">
        <f>IFERROR(AN152*$V152,)</f>
        <v/>
      </c>
      <c r="DA152" s="128">
        <f>IFERROR(AO152*$V152,)</f>
        <v/>
      </c>
      <c r="DB152" s="128">
        <f>IFERROR(AP152*$V152,)</f>
        <v/>
      </c>
      <c r="DC152" s="128">
        <f>IFERROR(AQ152*$V152,)</f>
        <v/>
      </c>
      <c r="DD152" s="128">
        <f>IFERROR(AR152*$V152,)</f>
        <v/>
      </c>
      <c r="DE152" s="128">
        <f>IFERROR(AS152*$V152,)</f>
        <v/>
      </c>
      <c r="DF152" s="128">
        <f>IFERROR(AT152*$V152,)</f>
        <v/>
      </c>
      <c r="DG152" s="128">
        <f>IFERROR(AU152*$V152,)</f>
        <v/>
      </c>
      <c r="DH152" s="128">
        <f>IFERROR(AV152*$V152,)</f>
        <v/>
      </c>
      <c r="DI152" s="128">
        <f>IFERROR(AW152*$V152,)</f>
        <v/>
      </c>
      <c r="DJ152" s="128">
        <f>IFERROR(AX152*$V152,)</f>
        <v/>
      </c>
      <c r="DK152" s="128">
        <f>IFERROR(AY152*$V152,)</f>
        <v/>
      </c>
      <c r="DL152" s="128">
        <f>IFERROR(AZ152*$V152,)</f>
        <v/>
      </c>
      <c r="DM152" s="129">
        <f>IFERROR(if($X152=0,($V152/1.2)*BA152,
BA152*$X152),)</f>
        <v/>
      </c>
      <c r="DN152" s="129">
        <f>IFERROR(if($X152=0,($V152/1.2)*BB152,
BB152*$X152),)</f>
        <v/>
      </c>
      <c r="DO152" s="129">
        <f>IFERROR(if($X152=0,($V152/1.2)*BC152,
BC152*$X152),)</f>
        <v/>
      </c>
      <c r="DP152" s="130">
        <f>IFERROR(if($Z152=0,($V152/1.35)*BD152,
BD152*$Z152),)</f>
        <v/>
      </c>
      <c r="DQ152" s="130">
        <f>IFERROR(if($Z152=0,($V152/1.35)*BE152,
BE152*$Z152),)</f>
        <v/>
      </c>
      <c r="DR152" s="130">
        <f>IFERROR(if($Z152=0,($V152/1.35)*BF152,
BF152*$Z152),)</f>
        <v/>
      </c>
      <c r="DS152" s="128">
        <f>IFERROR(IF($AB152=0,($V152/0.74)*BG152,
BG152*$AB152),)</f>
        <v/>
      </c>
      <c r="DT152" s="128">
        <f>IFERROR(IF($AB152=0,($V152/0.74)*BH152,
BH152*$AB152),)</f>
        <v/>
      </c>
      <c r="DU152" s="128">
        <f>IFERROR(IF($AB152=0,($V152/0.74)*BI152,
BI152*$AB152),)</f>
        <v/>
      </c>
    </row>
    <row r="153" ht="131.25" customHeight="1" s="162">
      <c r="A153" s="115" t="n"/>
      <c r="B153" s="115" t="n"/>
      <c r="C153" s="115" t="n"/>
      <c r="D153" s="115" t="n"/>
      <c r="E153" s="115" t="n"/>
      <c r="F153" s="115" t="n"/>
      <c r="G153" s="115" t="n"/>
      <c r="H153" s="115" t="n"/>
      <c r="I153" s="115" t="n"/>
      <c r="J153" s="115" t="n"/>
      <c r="K153" s="115" t="n"/>
      <c r="L153" s="115" t="n"/>
      <c r="M153" s="115" t="n"/>
      <c r="N153" s="115" t="n"/>
      <c r="O153" s="115" t="n"/>
      <c r="P153" s="115" t="n"/>
      <c r="Q153" s="115" t="n"/>
      <c r="R153" s="115" t="n"/>
      <c r="S153" s="115" t="n"/>
      <c r="T153" s="115" t="n"/>
      <c r="U153" s="116" t="n"/>
      <c r="V153" s="116" t="n"/>
      <c r="W153" s="117" t="n"/>
      <c r="X153" s="118" t="n"/>
      <c r="Y153" s="119" t="n"/>
      <c r="Z153" s="120" t="n"/>
      <c r="AA153" s="121" t="n"/>
      <c r="AB153" s="122" t="n"/>
      <c r="AC153" s="117" t="n"/>
      <c r="AD153" s="123">
        <f>IF(SUM($AE153:$AH153)=0,"",SUM($AE153:$AH153))</f>
        <v/>
      </c>
      <c r="AE153" s="123">
        <f>iferror(IF(SUM($AI153:$AZ153)=0,"",SUM($AI153:$AZ153)),"")</f>
        <v/>
      </c>
      <c r="AF153" s="123">
        <f>iferror(IF(SUM($BA153:$BC153)=0,"",SUM($BA153:$BC153)),"")</f>
        <v/>
      </c>
      <c r="AG153" s="123">
        <f>iferror(IF(SUM($BD153:$BF153)=0,"",SUM($BD153:$BF153)),"")</f>
        <v/>
      </c>
      <c r="AH153" s="124">
        <f>iferror(IF(SUM($BG153:$BI153)=0,"",SUM($BG153:$BI153)),"")</f>
        <v/>
      </c>
      <c r="AI153" s="131" t="n"/>
      <c r="AJ153" s="132" t="n"/>
      <c r="AK153" s="132" t="n"/>
      <c r="AL153" s="132" t="n"/>
      <c r="AM153" s="132" t="n"/>
      <c r="AN153" s="132" t="n"/>
      <c r="AO153" s="132" t="n"/>
      <c r="AP153" s="132" t="n"/>
      <c r="AQ153" s="132" t="n"/>
      <c r="AR153" s="132" t="n"/>
      <c r="AS153" s="132" t="n"/>
      <c r="AT153" s="132" t="n"/>
      <c r="AU153" s="132" t="n"/>
      <c r="AV153" s="132" t="n"/>
      <c r="AW153" s="132" t="n"/>
      <c r="AX153" s="132" t="n"/>
      <c r="AY153" s="132" t="n"/>
      <c r="AZ153" s="133" t="n"/>
      <c r="BA153" s="131" t="n"/>
      <c r="BB153" s="132" t="n"/>
      <c r="BC153" s="133" t="n"/>
      <c r="BD153" s="131" t="n"/>
      <c r="BE153" s="132" t="n"/>
      <c r="BF153" s="133" t="n"/>
      <c r="BG153" s="131" t="n"/>
      <c r="BH153" s="132" t="n"/>
      <c r="BI153" s="132" t="n"/>
      <c r="BJ153" s="128">
        <f>iferror(SUM($BK153,($BL153*1.2),($BM153*1.35),($BN153*0.74)),)</f>
        <v/>
      </c>
      <c r="BK153" s="128">
        <f>IFERROR(SUM($BT153:$CK153),)</f>
        <v/>
      </c>
      <c r="BL153" s="129">
        <f>IFERROR(SUM($CL153:$CN153),)</f>
        <v/>
      </c>
      <c r="BM153" s="130">
        <f>IFERROR(SUM($CO153:$CQ153),)</f>
        <v/>
      </c>
      <c r="BN153" s="128">
        <f>IFERROR(SUM($CR153:$CT153),)</f>
        <v/>
      </c>
      <c r="BO153" s="128">
        <f>iferror(SUM($BP153,($BQ153*1.2),($BR153*1.35),($BS153*0.74)),)</f>
        <v/>
      </c>
      <c r="BP153" s="128">
        <f>IFERROR(SUM($CU153:$DL153),)</f>
        <v/>
      </c>
      <c r="BQ153" s="128">
        <f>IFERROR(SUM($DM153:$DO153),)</f>
        <v/>
      </c>
      <c r="BR153" s="128">
        <f>IFERROR(SUM($DP153:$DR153),)</f>
        <v/>
      </c>
      <c r="BS153" s="128">
        <f>IFERROR(SUM($DS153:$DU153),)</f>
        <v/>
      </c>
      <c r="BT153" s="128">
        <f>IFERROR(AI153*$W153,)</f>
        <v/>
      </c>
      <c r="BU153" s="128">
        <f>IFERROR(AJ153*$W153,)</f>
        <v/>
      </c>
      <c r="BV153" s="128">
        <f>IFERROR(AK153*$W153,)</f>
        <v/>
      </c>
      <c r="BW153" s="128">
        <f>IFERROR(AL153*$W153,)</f>
        <v/>
      </c>
      <c r="BX153" s="128">
        <f>IFERROR(AM153*$W153,)</f>
        <v/>
      </c>
      <c r="BY153" s="128">
        <f>IFERROR(AN153*$W153,)</f>
        <v/>
      </c>
      <c r="BZ153" s="128">
        <f>IFERROR(AO153*$W153,)</f>
        <v/>
      </c>
      <c r="CA153" s="128">
        <f>IFERROR(AP153*$W153,)</f>
        <v/>
      </c>
      <c r="CB153" s="128">
        <f>IFERROR(AQ153*$W153,)</f>
        <v/>
      </c>
      <c r="CC153" s="128">
        <f>IFERROR(AR153*$W153,)</f>
        <v/>
      </c>
      <c r="CD153" s="128">
        <f>IFERROR(AS153*$W153,)</f>
        <v/>
      </c>
      <c r="CE153" s="128">
        <f>IFERROR(AT153*$W153,)</f>
        <v/>
      </c>
      <c r="CF153" s="128">
        <f>IFERROR(AU153*$W153,)</f>
        <v/>
      </c>
      <c r="CG153" s="128">
        <f>IFERROR(AV153*$W153,)</f>
        <v/>
      </c>
      <c r="CH153" s="128">
        <f>IFERROR(AW153*$W153,)</f>
        <v/>
      </c>
      <c r="CI153" s="128">
        <f>IFERROR(AX153*$W153,)</f>
        <v/>
      </c>
      <c r="CJ153" s="128">
        <f>IFERROR(AY153*$W153,)</f>
        <v/>
      </c>
      <c r="CK153" s="128">
        <f>IFERROR(AZ153*$W153,)</f>
        <v/>
      </c>
      <c r="CL153" s="129">
        <f>IFERROR(if($Y153=0,BA153*($W153/1.2),BA153*$Y153),"")</f>
        <v/>
      </c>
      <c r="CM153" s="129">
        <f>IFERROR(if($Y153=0,BB153*($W153/1.2),BB153*$Y153),"")</f>
        <v/>
      </c>
      <c r="CN153" s="129">
        <f>IFERROR(if($Y153=0,BC153*($W153/1.2),BC153*$Y153),"")</f>
        <v/>
      </c>
      <c r="CO153" s="130">
        <f>IFERROR(if($AA153=0,($W153/1.35)*BD153,BD153*$AA153),)</f>
        <v/>
      </c>
      <c r="CP153" s="130">
        <f>IFERROR(if($AA153=0,($W153/1.35)*BE153,BE153*$AA153),)</f>
        <v/>
      </c>
      <c r="CQ153" s="130">
        <f>IFERROR(if($AA153=0,($W153/1.35)*BF153,BF153*$AA153),)</f>
        <v/>
      </c>
      <c r="CR153" s="128">
        <f>IFERROR(if($AC153=0,($W153/0.74)*BG153,
BG153*$AC153),)</f>
        <v/>
      </c>
      <c r="CS153" s="128">
        <f>IFERROR(if($AC153=0,($W153/0.74)*BH153,
BH153*$AC153),)</f>
        <v/>
      </c>
      <c r="CT153" s="128">
        <f>IFERROR(if($AC153=0,($W153/0.74)*BI153,
BI153*$AC153),)</f>
        <v/>
      </c>
      <c r="CU153" s="128">
        <f>IFERROR(AI153*$V153,)</f>
        <v/>
      </c>
      <c r="CV153" s="128">
        <f>IFERROR(AJ153*$V153,)</f>
        <v/>
      </c>
      <c r="CW153" s="128">
        <f>IFERROR(AK153*$V153,)</f>
        <v/>
      </c>
      <c r="CX153" s="128">
        <f>IFERROR(AL153*$V153,)</f>
        <v/>
      </c>
      <c r="CY153" s="128">
        <f>IFERROR(AM153*$V153,)</f>
        <v/>
      </c>
      <c r="CZ153" s="128">
        <f>IFERROR(AN153*$V153,)</f>
        <v/>
      </c>
      <c r="DA153" s="128">
        <f>IFERROR(AO153*$V153,)</f>
        <v/>
      </c>
      <c r="DB153" s="128">
        <f>IFERROR(AP153*$V153,)</f>
        <v/>
      </c>
      <c r="DC153" s="128">
        <f>IFERROR(AQ153*$V153,)</f>
        <v/>
      </c>
      <c r="DD153" s="128">
        <f>IFERROR(AR153*$V153,)</f>
        <v/>
      </c>
      <c r="DE153" s="128">
        <f>IFERROR(AS153*$V153,)</f>
        <v/>
      </c>
      <c r="DF153" s="128">
        <f>IFERROR(AT153*$V153,)</f>
        <v/>
      </c>
      <c r="DG153" s="128">
        <f>IFERROR(AU153*$V153,)</f>
        <v/>
      </c>
      <c r="DH153" s="128">
        <f>IFERROR(AV153*$V153,)</f>
        <v/>
      </c>
      <c r="DI153" s="128">
        <f>IFERROR(AW153*$V153,)</f>
        <v/>
      </c>
      <c r="DJ153" s="128">
        <f>IFERROR(AX153*$V153,)</f>
        <v/>
      </c>
      <c r="DK153" s="128">
        <f>IFERROR(AY153*$V153,)</f>
        <v/>
      </c>
      <c r="DL153" s="128">
        <f>IFERROR(AZ153*$V153,)</f>
        <v/>
      </c>
      <c r="DM153" s="129">
        <f>IFERROR(if($X153=0,($V153/1.2)*BA153,
BA153*$X153),)</f>
        <v/>
      </c>
      <c r="DN153" s="129">
        <f>IFERROR(if($X153=0,($V153/1.2)*BB153,
BB153*$X153),)</f>
        <v/>
      </c>
      <c r="DO153" s="129">
        <f>IFERROR(if($X153=0,($V153/1.2)*BC153,
BC153*$X153),)</f>
        <v/>
      </c>
      <c r="DP153" s="130">
        <f>IFERROR(if($Z153=0,($V153/1.35)*BD153,
BD153*$Z153),)</f>
        <v/>
      </c>
      <c r="DQ153" s="130">
        <f>IFERROR(if($Z153=0,($V153/1.35)*BE153,
BE153*$Z153),)</f>
        <v/>
      </c>
      <c r="DR153" s="130">
        <f>IFERROR(if($Z153=0,($V153/1.35)*BF153,
BF153*$Z153),)</f>
        <v/>
      </c>
      <c r="DS153" s="128">
        <f>IFERROR(IF($AB153=0,($V153/0.74)*BG153,
BG153*$AB153),)</f>
        <v/>
      </c>
      <c r="DT153" s="128">
        <f>IFERROR(IF($AB153=0,($V153/0.74)*BH153,
BH153*$AB153),)</f>
        <v/>
      </c>
      <c r="DU153" s="128">
        <f>IFERROR(IF($AB153=0,($V153/0.74)*BI153,
BI153*$AB153),)</f>
        <v/>
      </c>
    </row>
    <row r="154" ht="131.25" customHeight="1" s="162">
      <c r="A154" s="115" t="n"/>
      <c r="B154" s="115" t="n"/>
      <c r="C154" s="115" t="n"/>
      <c r="D154" s="115" t="n"/>
      <c r="E154" s="115" t="n"/>
      <c r="F154" s="115" t="n"/>
      <c r="G154" s="115" t="n"/>
      <c r="H154" s="115" t="n"/>
      <c r="I154" s="115" t="n"/>
      <c r="J154" s="115" t="n"/>
      <c r="K154" s="115" t="n"/>
      <c r="L154" s="115" t="n"/>
      <c r="M154" s="115" t="n"/>
      <c r="N154" s="115" t="n"/>
      <c r="O154" s="115" t="n"/>
      <c r="P154" s="115" t="n"/>
      <c r="Q154" s="115" t="n"/>
      <c r="R154" s="115" t="n"/>
      <c r="S154" s="115" t="n"/>
      <c r="T154" s="115" t="n"/>
      <c r="U154" s="116" t="n"/>
      <c r="V154" s="116" t="n"/>
      <c r="W154" s="117" t="n"/>
      <c r="X154" s="118" t="n"/>
      <c r="Y154" s="119" t="n"/>
      <c r="Z154" s="120" t="n"/>
      <c r="AA154" s="121" t="n"/>
      <c r="AB154" s="122" t="n"/>
      <c r="AC154" s="117" t="n"/>
      <c r="AD154" s="123">
        <f>IF(SUM($AE154:$AH154)=0,"",SUM($AE154:$AH154))</f>
        <v/>
      </c>
      <c r="AE154" s="123">
        <f>iferror(IF(SUM($AI154:$AZ154)=0,"",SUM($AI154:$AZ154)),"")</f>
        <v/>
      </c>
      <c r="AF154" s="123">
        <f>iferror(IF(SUM($BA154:$BC154)=0,"",SUM($BA154:$BC154)),"")</f>
        <v/>
      </c>
      <c r="AG154" s="123">
        <f>iferror(IF(SUM($BD154:$BF154)=0,"",SUM($BD154:$BF154)),"")</f>
        <v/>
      </c>
      <c r="AH154" s="124">
        <f>iferror(IF(SUM($BG154:$BI154)=0,"",SUM($BG154:$BI154)),"")</f>
        <v/>
      </c>
      <c r="AI154" s="131" t="n"/>
      <c r="AJ154" s="132" t="n"/>
      <c r="AK154" s="132" t="n"/>
      <c r="AL154" s="132" t="n"/>
      <c r="AM154" s="132" t="n"/>
      <c r="AN154" s="132" t="n"/>
      <c r="AO154" s="132" t="n"/>
      <c r="AP154" s="132" t="n"/>
      <c r="AQ154" s="132" t="n"/>
      <c r="AR154" s="132" t="n"/>
      <c r="AS154" s="132" t="n"/>
      <c r="AT154" s="132" t="n"/>
      <c r="AU154" s="132" t="n"/>
      <c r="AV154" s="132" t="n"/>
      <c r="AW154" s="132" t="n"/>
      <c r="AX154" s="132" t="n"/>
      <c r="AY154" s="132" t="n"/>
      <c r="AZ154" s="133" t="n"/>
      <c r="BA154" s="131" t="n"/>
      <c r="BB154" s="132" t="n"/>
      <c r="BC154" s="133" t="n"/>
      <c r="BD154" s="131" t="n"/>
      <c r="BE154" s="132" t="n"/>
      <c r="BF154" s="133" t="n"/>
      <c r="BG154" s="131" t="n"/>
      <c r="BH154" s="132" t="n"/>
      <c r="BI154" s="132" t="n"/>
      <c r="BJ154" s="128">
        <f>iferror(SUM($BK154,($BL154*1.2),($BM154*1.35),($BN154*0.74)),)</f>
        <v/>
      </c>
      <c r="BK154" s="128">
        <f>IFERROR(SUM($BT154:$CK154),)</f>
        <v/>
      </c>
      <c r="BL154" s="129">
        <f>IFERROR(SUM($CL154:$CN154),)</f>
        <v/>
      </c>
      <c r="BM154" s="130">
        <f>IFERROR(SUM($CO154:$CQ154),)</f>
        <v/>
      </c>
      <c r="BN154" s="128">
        <f>IFERROR(SUM($CR154:$CT154),)</f>
        <v/>
      </c>
      <c r="BO154" s="128">
        <f>iferror(SUM($BP154,($BQ154*1.2),($BR154*1.35),($BS154*0.74)),)</f>
        <v/>
      </c>
      <c r="BP154" s="128">
        <f>IFERROR(SUM($CU154:$DL154),)</f>
        <v/>
      </c>
      <c r="BQ154" s="128">
        <f>IFERROR(SUM($DM154:$DO154),)</f>
        <v/>
      </c>
      <c r="BR154" s="128">
        <f>IFERROR(SUM($DP154:$DR154),)</f>
        <v/>
      </c>
      <c r="BS154" s="128">
        <f>IFERROR(SUM($DS154:$DU154),)</f>
        <v/>
      </c>
      <c r="BT154" s="128">
        <f>IFERROR(AI154*$W154,)</f>
        <v/>
      </c>
      <c r="BU154" s="128">
        <f>IFERROR(AJ154*$W154,)</f>
        <v/>
      </c>
      <c r="BV154" s="128">
        <f>IFERROR(AK154*$W154,)</f>
        <v/>
      </c>
      <c r="BW154" s="128">
        <f>IFERROR(AL154*$W154,)</f>
        <v/>
      </c>
      <c r="BX154" s="128">
        <f>IFERROR(AM154*$W154,)</f>
        <v/>
      </c>
      <c r="BY154" s="128">
        <f>IFERROR(AN154*$W154,)</f>
        <v/>
      </c>
      <c r="BZ154" s="128">
        <f>IFERROR(AO154*$W154,)</f>
        <v/>
      </c>
      <c r="CA154" s="128">
        <f>IFERROR(AP154*$W154,)</f>
        <v/>
      </c>
      <c r="CB154" s="128">
        <f>IFERROR(AQ154*$W154,)</f>
        <v/>
      </c>
      <c r="CC154" s="128">
        <f>IFERROR(AR154*$W154,)</f>
        <v/>
      </c>
      <c r="CD154" s="128">
        <f>IFERROR(AS154*$W154,)</f>
        <v/>
      </c>
      <c r="CE154" s="128">
        <f>IFERROR(AT154*$W154,)</f>
        <v/>
      </c>
      <c r="CF154" s="128">
        <f>IFERROR(AU154*$W154,)</f>
        <v/>
      </c>
      <c r="CG154" s="128">
        <f>IFERROR(AV154*$W154,)</f>
        <v/>
      </c>
      <c r="CH154" s="128">
        <f>IFERROR(AW154*$W154,)</f>
        <v/>
      </c>
      <c r="CI154" s="128">
        <f>IFERROR(AX154*$W154,)</f>
        <v/>
      </c>
      <c r="CJ154" s="128">
        <f>IFERROR(AY154*$W154,)</f>
        <v/>
      </c>
      <c r="CK154" s="128">
        <f>IFERROR(AZ154*$W154,)</f>
        <v/>
      </c>
      <c r="CL154" s="129">
        <f>IFERROR(if($Y154=0,BA154*($W154/1.2),BA154*$Y154),"")</f>
        <v/>
      </c>
      <c r="CM154" s="129">
        <f>IFERROR(if($Y154=0,BB154*($W154/1.2),BB154*$Y154),"")</f>
        <v/>
      </c>
      <c r="CN154" s="129">
        <f>IFERROR(if($Y154=0,BC154*($W154/1.2),BC154*$Y154),"")</f>
        <v/>
      </c>
      <c r="CO154" s="130">
        <f>IFERROR(if($AA154=0,($W154/1.35)*BD154,BD154*$AA154),)</f>
        <v/>
      </c>
      <c r="CP154" s="130">
        <f>IFERROR(if($AA154=0,($W154/1.35)*BE154,BE154*$AA154),)</f>
        <v/>
      </c>
      <c r="CQ154" s="130">
        <f>IFERROR(if($AA154=0,($W154/1.35)*BF154,BF154*$AA154),)</f>
        <v/>
      </c>
      <c r="CR154" s="128">
        <f>IFERROR(if($AC154=0,($W154/0.74)*BG154,
BG154*$AC154),)</f>
        <v/>
      </c>
      <c r="CS154" s="128">
        <f>IFERROR(if($AC154=0,($W154/0.74)*BH154,
BH154*$AC154),)</f>
        <v/>
      </c>
      <c r="CT154" s="128">
        <f>IFERROR(if($AC154=0,($W154/0.74)*BI154,
BI154*$AC154),)</f>
        <v/>
      </c>
      <c r="CU154" s="128">
        <f>IFERROR(AI154*$V154,)</f>
        <v/>
      </c>
      <c r="CV154" s="128">
        <f>IFERROR(AJ154*$V154,)</f>
        <v/>
      </c>
      <c r="CW154" s="128">
        <f>IFERROR(AK154*$V154,)</f>
        <v/>
      </c>
      <c r="CX154" s="128">
        <f>IFERROR(AL154*$V154,)</f>
        <v/>
      </c>
      <c r="CY154" s="128">
        <f>IFERROR(AM154*$V154,)</f>
        <v/>
      </c>
      <c r="CZ154" s="128">
        <f>IFERROR(AN154*$V154,)</f>
        <v/>
      </c>
      <c r="DA154" s="128">
        <f>IFERROR(AO154*$V154,)</f>
        <v/>
      </c>
      <c r="DB154" s="128">
        <f>IFERROR(AP154*$V154,)</f>
        <v/>
      </c>
      <c r="DC154" s="128">
        <f>IFERROR(AQ154*$V154,)</f>
        <v/>
      </c>
      <c r="DD154" s="128">
        <f>IFERROR(AR154*$V154,)</f>
        <v/>
      </c>
      <c r="DE154" s="128">
        <f>IFERROR(AS154*$V154,)</f>
        <v/>
      </c>
      <c r="DF154" s="128">
        <f>IFERROR(AT154*$V154,)</f>
        <v/>
      </c>
      <c r="DG154" s="128">
        <f>IFERROR(AU154*$V154,)</f>
        <v/>
      </c>
      <c r="DH154" s="128">
        <f>IFERROR(AV154*$V154,)</f>
        <v/>
      </c>
      <c r="DI154" s="128">
        <f>IFERROR(AW154*$V154,)</f>
        <v/>
      </c>
      <c r="DJ154" s="128">
        <f>IFERROR(AX154*$V154,)</f>
        <v/>
      </c>
      <c r="DK154" s="128">
        <f>IFERROR(AY154*$V154,)</f>
        <v/>
      </c>
      <c r="DL154" s="128">
        <f>IFERROR(AZ154*$V154,)</f>
        <v/>
      </c>
      <c r="DM154" s="129">
        <f>IFERROR(if($X154=0,($V154/1.2)*BA154,
BA154*$X154),)</f>
        <v/>
      </c>
      <c r="DN154" s="129">
        <f>IFERROR(if($X154=0,($V154/1.2)*BB154,
BB154*$X154),)</f>
        <v/>
      </c>
      <c r="DO154" s="129">
        <f>IFERROR(if($X154=0,($V154/1.2)*BC154,
BC154*$X154),)</f>
        <v/>
      </c>
      <c r="DP154" s="130">
        <f>IFERROR(if($Z154=0,($V154/1.35)*BD154,
BD154*$Z154),)</f>
        <v/>
      </c>
      <c r="DQ154" s="130">
        <f>IFERROR(if($Z154=0,($V154/1.35)*BE154,
BE154*$Z154),)</f>
        <v/>
      </c>
      <c r="DR154" s="130">
        <f>IFERROR(if($Z154=0,($V154/1.35)*BF154,
BF154*$Z154),)</f>
        <v/>
      </c>
      <c r="DS154" s="128">
        <f>IFERROR(IF($AB154=0,($V154/0.74)*BG154,
BG154*$AB154),)</f>
        <v/>
      </c>
      <c r="DT154" s="128">
        <f>IFERROR(IF($AB154=0,($V154/0.74)*BH154,
BH154*$AB154),)</f>
        <v/>
      </c>
      <c r="DU154" s="128">
        <f>IFERROR(IF($AB154=0,($V154/0.74)*BI154,
BI154*$AB154),)</f>
        <v/>
      </c>
    </row>
    <row r="155" ht="131.25" customHeight="1" s="162">
      <c r="A155" s="115" t="n"/>
      <c r="B155" s="115" t="n"/>
      <c r="C155" s="115" t="n"/>
      <c r="D155" s="115" t="n"/>
      <c r="E155" s="115" t="n"/>
      <c r="F155" s="115" t="n"/>
      <c r="G155" s="115" t="n"/>
      <c r="H155" s="115" t="n"/>
      <c r="I155" s="115" t="n"/>
      <c r="J155" s="115" t="n"/>
      <c r="K155" s="115" t="n"/>
      <c r="L155" s="115" t="n"/>
      <c r="M155" s="115" t="n"/>
      <c r="N155" s="115" t="n"/>
      <c r="O155" s="115" t="n"/>
      <c r="P155" s="115" t="n"/>
      <c r="Q155" s="115" t="n"/>
      <c r="R155" s="115" t="n"/>
      <c r="S155" s="115" t="n"/>
      <c r="T155" s="115" t="n"/>
      <c r="U155" s="116" t="n"/>
      <c r="V155" s="116" t="n"/>
      <c r="W155" s="117" t="n"/>
      <c r="X155" s="118" t="n"/>
      <c r="Y155" s="119" t="n"/>
      <c r="Z155" s="120" t="n"/>
      <c r="AA155" s="121" t="n"/>
      <c r="AB155" s="122" t="n"/>
      <c r="AC155" s="117" t="n"/>
      <c r="AD155" s="123">
        <f>IF(SUM($AE155:$AH155)=0,"",SUM($AE155:$AH155))</f>
        <v/>
      </c>
      <c r="AE155" s="123">
        <f>iferror(IF(SUM($AI155:$AZ155)=0,"",SUM($AI155:$AZ155)),"")</f>
        <v/>
      </c>
      <c r="AF155" s="123">
        <f>iferror(IF(SUM($BA155:$BC155)=0,"",SUM($BA155:$BC155)),"")</f>
        <v/>
      </c>
      <c r="AG155" s="123">
        <f>iferror(IF(SUM($BD155:$BF155)=0,"",SUM($BD155:$BF155)),"")</f>
        <v/>
      </c>
      <c r="AH155" s="124">
        <f>iferror(IF(SUM($BG155:$BI155)=0,"",SUM($BG155:$BI155)),"")</f>
        <v/>
      </c>
      <c r="AI155" s="131" t="n"/>
      <c r="AJ155" s="132" t="n"/>
      <c r="AK155" s="132" t="n"/>
      <c r="AL155" s="132" t="n"/>
      <c r="AM155" s="132" t="n"/>
      <c r="AN155" s="132" t="n"/>
      <c r="AO155" s="132" t="n"/>
      <c r="AP155" s="132" t="n"/>
      <c r="AQ155" s="132" t="n"/>
      <c r="AR155" s="132" t="n"/>
      <c r="AS155" s="132" t="n"/>
      <c r="AT155" s="132" t="n"/>
      <c r="AU155" s="132" t="n"/>
      <c r="AV155" s="132" t="n"/>
      <c r="AW155" s="132" t="n"/>
      <c r="AX155" s="132" t="n"/>
      <c r="AY155" s="132" t="n"/>
      <c r="AZ155" s="133" t="n"/>
      <c r="BA155" s="131" t="n"/>
      <c r="BB155" s="132" t="n"/>
      <c r="BC155" s="133" t="n"/>
      <c r="BD155" s="131" t="n"/>
      <c r="BE155" s="132" t="n"/>
      <c r="BF155" s="133" t="n"/>
      <c r="BG155" s="131" t="n"/>
      <c r="BH155" s="132" t="n"/>
      <c r="BI155" s="132" t="n"/>
      <c r="BJ155" s="128">
        <f>iferror(SUM($BK155,($BL155*1.2),($BM155*1.35),($BN155*0.74)),)</f>
        <v/>
      </c>
      <c r="BK155" s="128">
        <f>IFERROR(SUM($BT155:$CK155),)</f>
        <v/>
      </c>
      <c r="BL155" s="129">
        <f>IFERROR(SUM($CL155:$CN155),)</f>
        <v/>
      </c>
      <c r="BM155" s="130">
        <f>IFERROR(SUM($CO155:$CQ155),)</f>
        <v/>
      </c>
      <c r="BN155" s="128">
        <f>IFERROR(SUM($CR155:$CT155),)</f>
        <v/>
      </c>
      <c r="BO155" s="128">
        <f>iferror(SUM($BP155,($BQ155*1.2),($BR155*1.35),($BS155*0.74)),)</f>
        <v/>
      </c>
      <c r="BP155" s="128">
        <f>IFERROR(SUM($CU155:$DL155),)</f>
        <v/>
      </c>
      <c r="BQ155" s="128">
        <f>IFERROR(SUM($DM155:$DO155),)</f>
        <v/>
      </c>
      <c r="BR155" s="128">
        <f>IFERROR(SUM($DP155:$DR155),)</f>
        <v/>
      </c>
      <c r="BS155" s="128">
        <f>IFERROR(SUM($DS155:$DU155),)</f>
        <v/>
      </c>
      <c r="BT155" s="128">
        <f>IFERROR(AI155*$W155,)</f>
        <v/>
      </c>
      <c r="BU155" s="128">
        <f>IFERROR(AJ155*$W155,)</f>
        <v/>
      </c>
      <c r="BV155" s="128">
        <f>IFERROR(AK155*$W155,)</f>
        <v/>
      </c>
      <c r="BW155" s="128">
        <f>IFERROR(AL155*$W155,)</f>
        <v/>
      </c>
      <c r="BX155" s="128">
        <f>IFERROR(AM155*$W155,)</f>
        <v/>
      </c>
      <c r="BY155" s="128">
        <f>IFERROR(AN155*$W155,)</f>
        <v/>
      </c>
      <c r="BZ155" s="128">
        <f>IFERROR(AO155*$W155,)</f>
        <v/>
      </c>
      <c r="CA155" s="128">
        <f>IFERROR(AP155*$W155,)</f>
        <v/>
      </c>
      <c r="CB155" s="128">
        <f>IFERROR(AQ155*$W155,)</f>
        <v/>
      </c>
      <c r="CC155" s="128">
        <f>IFERROR(AR155*$W155,)</f>
        <v/>
      </c>
      <c r="CD155" s="128">
        <f>IFERROR(AS155*$W155,)</f>
        <v/>
      </c>
      <c r="CE155" s="128">
        <f>IFERROR(AT155*$W155,)</f>
        <v/>
      </c>
      <c r="CF155" s="128">
        <f>IFERROR(AU155*$W155,)</f>
        <v/>
      </c>
      <c r="CG155" s="128">
        <f>IFERROR(AV155*$W155,)</f>
        <v/>
      </c>
      <c r="CH155" s="128">
        <f>IFERROR(AW155*$W155,)</f>
        <v/>
      </c>
      <c r="CI155" s="128">
        <f>IFERROR(AX155*$W155,)</f>
        <v/>
      </c>
      <c r="CJ155" s="128">
        <f>IFERROR(AY155*$W155,)</f>
        <v/>
      </c>
      <c r="CK155" s="128">
        <f>IFERROR(AZ155*$W155,)</f>
        <v/>
      </c>
      <c r="CL155" s="129">
        <f>IFERROR(if($Y155=0,BA155*($W155/1.2),BA155*$Y155),"")</f>
        <v/>
      </c>
      <c r="CM155" s="129">
        <f>IFERROR(if($Y155=0,BB155*($W155/1.2),BB155*$Y155),"")</f>
        <v/>
      </c>
      <c r="CN155" s="129">
        <f>IFERROR(if($Y155=0,BC155*($W155/1.2),BC155*$Y155),"")</f>
        <v/>
      </c>
      <c r="CO155" s="130">
        <f>IFERROR(if($AA155=0,($W155/1.35)*BD155,BD155*$AA155),)</f>
        <v/>
      </c>
      <c r="CP155" s="130">
        <f>IFERROR(if($AA155=0,($W155/1.35)*BE155,BE155*$AA155),)</f>
        <v/>
      </c>
      <c r="CQ155" s="130">
        <f>IFERROR(if($AA155=0,($W155/1.35)*BF155,BF155*$AA155),)</f>
        <v/>
      </c>
      <c r="CR155" s="128">
        <f>IFERROR(if($AC155=0,($W155/0.74)*BG155,
BG155*$AC155),)</f>
        <v/>
      </c>
      <c r="CS155" s="128">
        <f>IFERROR(if($AC155=0,($W155/0.74)*BH155,
BH155*$AC155),)</f>
        <v/>
      </c>
      <c r="CT155" s="128">
        <f>IFERROR(if($AC155=0,($W155/0.74)*BI155,
BI155*$AC155),)</f>
        <v/>
      </c>
      <c r="CU155" s="128">
        <f>IFERROR(AI155*$V155,)</f>
        <v/>
      </c>
      <c r="CV155" s="128">
        <f>IFERROR(AJ155*$V155,)</f>
        <v/>
      </c>
      <c r="CW155" s="128">
        <f>IFERROR(AK155*$V155,)</f>
        <v/>
      </c>
      <c r="CX155" s="128">
        <f>IFERROR(AL155*$V155,)</f>
        <v/>
      </c>
      <c r="CY155" s="128">
        <f>IFERROR(AM155*$V155,)</f>
        <v/>
      </c>
      <c r="CZ155" s="128">
        <f>IFERROR(AN155*$V155,)</f>
        <v/>
      </c>
      <c r="DA155" s="128">
        <f>IFERROR(AO155*$V155,)</f>
        <v/>
      </c>
      <c r="DB155" s="128">
        <f>IFERROR(AP155*$V155,)</f>
        <v/>
      </c>
      <c r="DC155" s="128">
        <f>IFERROR(AQ155*$V155,)</f>
        <v/>
      </c>
      <c r="DD155" s="128">
        <f>IFERROR(AR155*$V155,)</f>
        <v/>
      </c>
      <c r="DE155" s="128">
        <f>IFERROR(AS155*$V155,)</f>
        <v/>
      </c>
      <c r="DF155" s="128">
        <f>IFERROR(AT155*$V155,)</f>
        <v/>
      </c>
      <c r="DG155" s="128">
        <f>IFERROR(AU155*$V155,)</f>
        <v/>
      </c>
      <c r="DH155" s="128">
        <f>IFERROR(AV155*$V155,)</f>
        <v/>
      </c>
      <c r="DI155" s="128">
        <f>IFERROR(AW155*$V155,)</f>
        <v/>
      </c>
      <c r="DJ155" s="128">
        <f>IFERROR(AX155*$V155,)</f>
        <v/>
      </c>
      <c r="DK155" s="128">
        <f>IFERROR(AY155*$V155,)</f>
        <v/>
      </c>
      <c r="DL155" s="128">
        <f>IFERROR(AZ155*$V155,)</f>
        <v/>
      </c>
      <c r="DM155" s="129">
        <f>IFERROR(if($X155=0,($V155/1.2)*BA155,
BA155*$X155),)</f>
        <v/>
      </c>
      <c r="DN155" s="129">
        <f>IFERROR(if($X155=0,($V155/1.2)*BB155,
BB155*$X155),)</f>
        <v/>
      </c>
      <c r="DO155" s="129">
        <f>IFERROR(if($X155=0,($V155/1.2)*BC155,
BC155*$X155),)</f>
        <v/>
      </c>
      <c r="DP155" s="130">
        <f>IFERROR(if($Z155=0,($V155/1.35)*BD155,
BD155*$Z155),)</f>
        <v/>
      </c>
      <c r="DQ155" s="130">
        <f>IFERROR(if($Z155=0,($V155/1.35)*BE155,
BE155*$Z155),)</f>
        <v/>
      </c>
      <c r="DR155" s="130">
        <f>IFERROR(if($Z155=0,($V155/1.35)*BF155,
BF155*$Z155),)</f>
        <v/>
      </c>
      <c r="DS155" s="128">
        <f>IFERROR(IF($AB155=0,($V155/0.74)*BG155,
BG155*$AB155),)</f>
        <v/>
      </c>
      <c r="DT155" s="128">
        <f>IFERROR(IF($AB155=0,($V155/0.74)*BH155,
BH155*$AB155),)</f>
        <v/>
      </c>
      <c r="DU155" s="128">
        <f>IFERROR(IF($AB155=0,($V155/0.74)*BI155,
BI155*$AB155),)</f>
        <v/>
      </c>
    </row>
    <row r="156" ht="131.25" customHeight="1" s="162">
      <c r="A156" s="115" t="n"/>
      <c r="B156" s="115" t="n"/>
      <c r="C156" s="115" t="n"/>
      <c r="D156" s="115" t="n"/>
      <c r="E156" s="115" t="n"/>
      <c r="F156" s="115" t="n"/>
      <c r="G156" s="115" t="n"/>
      <c r="H156" s="115" t="n"/>
      <c r="I156" s="115" t="n"/>
      <c r="J156" s="115" t="n"/>
      <c r="K156" s="115" t="n"/>
      <c r="L156" s="115" t="n"/>
      <c r="M156" s="115" t="n"/>
      <c r="N156" s="115" t="n"/>
      <c r="O156" s="115" t="n"/>
      <c r="P156" s="115" t="n"/>
      <c r="Q156" s="115" t="n"/>
      <c r="R156" s="115" t="n"/>
      <c r="S156" s="115" t="n"/>
      <c r="T156" s="115" t="n"/>
      <c r="U156" s="116" t="n"/>
      <c r="V156" s="116" t="n"/>
      <c r="W156" s="117" t="n"/>
      <c r="X156" s="118" t="n"/>
      <c r="Y156" s="119" t="n"/>
      <c r="Z156" s="120" t="n"/>
      <c r="AA156" s="121" t="n"/>
      <c r="AB156" s="122" t="n"/>
      <c r="AC156" s="117" t="n"/>
      <c r="AD156" s="123">
        <f>IF(SUM($AE156:$AH156)=0,"",SUM($AE156:$AH156))</f>
        <v/>
      </c>
      <c r="AE156" s="123">
        <f>iferror(IF(SUM($AI156:$AZ156)=0,"",SUM($AI156:$AZ156)),"")</f>
        <v/>
      </c>
      <c r="AF156" s="123">
        <f>iferror(IF(SUM($BA156:$BC156)=0,"",SUM($BA156:$BC156)),"")</f>
        <v/>
      </c>
      <c r="AG156" s="123">
        <f>iferror(IF(SUM($BD156:$BF156)=0,"",SUM($BD156:$BF156)),"")</f>
        <v/>
      </c>
      <c r="AH156" s="124">
        <f>iferror(IF(SUM($BG156:$BI156)=0,"",SUM($BG156:$BI156)),"")</f>
        <v/>
      </c>
      <c r="AI156" s="131" t="n"/>
      <c r="AJ156" s="132" t="n"/>
      <c r="AK156" s="132" t="n"/>
      <c r="AL156" s="132" t="n"/>
      <c r="AM156" s="132" t="n"/>
      <c r="AN156" s="132" t="n"/>
      <c r="AO156" s="132" t="n"/>
      <c r="AP156" s="132" t="n"/>
      <c r="AQ156" s="132" t="n"/>
      <c r="AR156" s="132" t="n"/>
      <c r="AS156" s="132" t="n"/>
      <c r="AT156" s="132" t="n"/>
      <c r="AU156" s="132" t="n"/>
      <c r="AV156" s="132" t="n"/>
      <c r="AW156" s="132" t="n"/>
      <c r="AX156" s="132" t="n"/>
      <c r="AY156" s="132" t="n"/>
      <c r="AZ156" s="133" t="n"/>
      <c r="BA156" s="131" t="n"/>
      <c r="BB156" s="132" t="n"/>
      <c r="BC156" s="133" t="n"/>
      <c r="BD156" s="131" t="n"/>
      <c r="BE156" s="132" t="n"/>
      <c r="BF156" s="133" t="n"/>
      <c r="BG156" s="131" t="n"/>
      <c r="BH156" s="132" t="n"/>
      <c r="BI156" s="132" t="n"/>
      <c r="BJ156" s="128">
        <f>iferror(SUM($BK156,($BL156*1.2),($BM156*1.35),($BN156*0.74)),)</f>
        <v/>
      </c>
      <c r="BK156" s="128">
        <f>IFERROR(SUM($BT156:$CK156),)</f>
        <v/>
      </c>
      <c r="BL156" s="129">
        <f>IFERROR(SUM($CL156:$CN156),)</f>
        <v/>
      </c>
      <c r="BM156" s="130">
        <f>IFERROR(SUM($CO156:$CQ156),)</f>
        <v/>
      </c>
      <c r="BN156" s="128">
        <f>IFERROR(SUM($CR156:$CT156),)</f>
        <v/>
      </c>
      <c r="BO156" s="128">
        <f>iferror(SUM($BP156,($BQ156*1.2),($BR156*1.35),($BS156*0.74)),)</f>
        <v/>
      </c>
      <c r="BP156" s="128">
        <f>IFERROR(SUM($CU156:$DL156),)</f>
        <v/>
      </c>
      <c r="BQ156" s="128">
        <f>IFERROR(SUM($DM156:$DO156),)</f>
        <v/>
      </c>
      <c r="BR156" s="128">
        <f>IFERROR(SUM($DP156:$DR156),)</f>
        <v/>
      </c>
      <c r="BS156" s="128">
        <f>IFERROR(SUM($DS156:$DU156),)</f>
        <v/>
      </c>
      <c r="BT156" s="128">
        <f>IFERROR(AI156*$W156,)</f>
        <v/>
      </c>
      <c r="BU156" s="128">
        <f>IFERROR(AJ156*$W156,)</f>
        <v/>
      </c>
      <c r="BV156" s="128">
        <f>IFERROR(AK156*$W156,)</f>
        <v/>
      </c>
      <c r="BW156" s="128">
        <f>IFERROR(AL156*$W156,)</f>
        <v/>
      </c>
      <c r="BX156" s="128">
        <f>IFERROR(AM156*$W156,)</f>
        <v/>
      </c>
      <c r="BY156" s="128">
        <f>IFERROR(AN156*$W156,)</f>
        <v/>
      </c>
      <c r="BZ156" s="128">
        <f>IFERROR(AO156*$W156,)</f>
        <v/>
      </c>
      <c r="CA156" s="128">
        <f>IFERROR(AP156*$W156,)</f>
        <v/>
      </c>
      <c r="CB156" s="128">
        <f>IFERROR(AQ156*$W156,)</f>
        <v/>
      </c>
      <c r="CC156" s="128">
        <f>IFERROR(AR156*$W156,)</f>
        <v/>
      </c>
      <c r="CD156" s="128">
        <f>IFERROR(AS156*$W156,)</f>
        <v/>
      </c>
      <c r="CE156" s="128">
        <f>IFERROR(AT156*$W156,)</f>
        <v/>
      </c>
      <c r="CF156" s="128">
        <f>IFERROR(AU156*$W156,)</f>
        <v/>
      </c>
      <c r="CG156" s="128">
        <f>IFERROR(AV156*$W156,)</f>
        <v/>
      </c>
      <c r="CH156" s="128">
        <f>IFERROR(AW156*$W156,)</f>
        <v/>
      </c>
      <c r="CI156" s="128">
        <f>IFERROR(AX156*$W156,)</f>
        <v/>
      </c>
      <c r="CJ156" s="128">
        <f>IFERROR(AY156*$W156,)</f>
        <v/>
      </c>
      <c r="CK156" s="128">
        <f>IFERROR(AZ156*$W156,)</f>
        <v/>
      </c>
      <c r="CL156" s="129">
        <f>IFERROR(if($Y156=0,BA156*($W156/1.2),BA156*$Y156),"")</f>
        <v/>
      </c>
      <c r="CM156" s="129">
        <f>IFERROR(if($Y156=0,BB156*($W156/1.2),BB156*$Y156),"")</f>
        <v/>
      </c>
      <c r="CN156" s="129">
        <f>IFERROR(if($Y156=0,BC156*($W156/1.2),BC156*$Y156),"")</f>
        <v/>
      </c>
      <c r="CO156" s="130">
        <f>IFERROR(if($AA156=0,($W156/1.35)*BD156,BD156*$AA156),)</f>
        <v/>
      </c>
      <c r="CP156" s="130">
        <f>IFERROR(if($AA156=0,($W156/1.35)*BE156,BE156*$AA156),)</f>
        <v/>
      </c>
      <c r="CQ156" s="130">
        <f>IFERROR(if($AA156=0,($W156/1.35)*BF156,BF156*$AA156),)</f>
        <v/>
      </c>
      <c r="CR156" s="128">
        <f>IFERROR(if($AC156=0,($W156/0.74)*BG156,
BG156*$AC156),)</f>
        <v/>
      </c>
      <c r="CS156" s="128">
        <f>IFERROR(if($AC156=0,($W156/0.74)*BH156,
BH156*$AC156),)</f>
        <v/>
      </c>
      <c r="CT156" s="128">
        <f>IFERROR(if($AC156=0,($W156/0.74)*BI156,
BI156*$AC156),)</f>
        <v/>
      </c>
      <c r="CU156" s="128">
        <f>IFERROR(AI156*$V156,)</f>
        <v/>
      </c>
      <c r="CV156" s="128">
        <f>IFERROR(AJ156*$V156,)</f>
        <v/>
      </c>
      <c r="CW156" s="128">
        <f>IFERROR(AK156*$V156,)</f>
        <v/>
      </c>
      <c r="CX156" s="128">
        <f>IFERROR(AL156*$V156,)</f>
        <v/>
      </c>
      <c r="CY156" s="128">
        <f>IFERROR(AM156*$V156,)</f>
        <v/>
      </c>
      <c r="CZ156" s="128">
        <f>IFERROR(AN156*$V156,)</f>
        <v/>
      </c>
      <c r="DA156" s="128">
        <f>IFERROR(AO156*$V156,)</f>
        <v/>
      </c>
      <c r="DB156" s="128">
        <f>IFERROR(AP156*$V156,)</f>
        <v/>
      </c>
      <c r="DC156" s="128">
        <f>IFERROR(AQ156*$V156,)</f>
        <v/>
      </c>
      <c r="DD156" s="128">
        <f>IFERROR(AR156*$V156,)</f>
        <v/>
      </c>
      <c r="DE156" s="128">
        <f>IFERROR(AS156*$V156,)</f>
        <v/>
      </c>
      <c r="DF156" s="128">
        <f>IFERROR(AT156*$V156,)</f>
        <v/>
      </c>
      <c r="DG156" s="128">
        <f>IFERROR(AU156*$V156,)</f>
        <v/>
      </c>
      <c r="DH156" s="128">
        <f>IFERROR(AV156*$V156,)</f>
        <v/>
      </c>
      <c r="DI156" s="128">
        <f>IFERROR(AW156*$V156,)</f>
        <v/>
      </c>
      <c r="DJ156" s="128">
        <f>IFERROR(AX156*$V156,)</f>
        <v/>
      </c>
      <c r="DK156" s="128">
        <f>IFERROR(AY156*$V156,)</f>
        <v/>
      </c>
      <c r="DL156" s="128">
        <f>IFERROR(AZ156*$V156,)</f>
        <v/>
      </c>
      <c r="DM156" s="129">
        <f>IFERROR(if($X156=0,($V156/1.2)*BA156,
BA156*$X156),)</f>
        <v/>
      </c>
      <c r="DN156" s="129">
        <f>IFERROR(if($X156=0,($V156/1.2)*BB156,
BB156*$X156),)</f>
        <v/>
      </c>
      <c r="DO156" s="129">
        <f>IFERROR(if($X156=0,($V156/1.2)*BC156,
BC156*$X156),)</f>
        <v/>
      </c>
      <c r="DP156" s="130">
        <f>IFERROR(if($Z156=0,($V156/1.35)*BD156,
BD156*$Z156),)</f>
        <v/>
      </c>
      <c r="DQ156" s="130">
        <f>IFERROR(if($Z156=0,($V156/1.35)*BE156,
BE156*$Z156),)</f>
        <v/>
      </c>
      <c r="DR156" s="130">
        <f>IFERROR(if($Z156=0,($V156/1.35)*BF156,
BF156*$Z156),)</f>
        <v/>
      </c>
      <c r="DS156" s="128">
        <f>IFERROR(IF($AB156=0,($V156/0.74)*BG156,
BG156*$AB156),)</f>
        <v/>
      </c>
      <c r="DT156" s="128">
        <f>IFERROR(IF($AB156=0,($V156/0.74)*BH156,
BH156*$AB156),)</f>
        <v/>
      </c>
      <c r="DU156" s="128">
        <f>IFERROR(IF($AB156=0,($V156/0.74)*BI156,
BI156*$AB156),)</f>
        <v/>
      </c>
    </row>
    <row r="157" ht="131.25" customHeight="1" s="162">
      <c r="A157" s="115" t="n"/>
      <c r="B157" s="115" t="n"/>
      <c r="C157" s="115" t="n"/>
      <c r="D157" s="115" t="n"/>
      <c r="E157" s="115" t="n"/>
      <c r="F157" s="115" t="n"/>
      <c r="G157" s="115" t="n"/>
      <c r="H157" s="115" t="n"/>
      <c r="I157" s="115" t="n"/>
      <c r="J157" s="115" t="n"/>
      <c r="K157" s="115" t="n"/>
      <c r="L157" s="115" t="n"/>
      <c r="M157" s="115" t="n"/>
      <c r="N157" s="115" t="n"/>
      <c r="O157" s="115" t="n"/>
      <c r="P157" s="115" t="n"/>
      <c r="Q157" s="115" t="n"/>
      <c r="R157" s="115" t="n"/>
      <c r="S157" s="115" t="n"/>
      <c r="T157" s="115" t="n"/>
      <c r="U157" s="116" t="n"/>
      <c r="V157" s="116" t="n"/>
      <c r="W157" s="117" t="n"/>
      <c r="X157" s="118" t="n"/>
      <c r="Y157" s="119" t="n"/>
      <c r="Z157" s="120" t="n"/>
      <c r="AA157" s="121" t="n"/>
      <c r="AB157" s="122" t="n"/>
      <c r="AC157" s="117" t="n"/>
      <c r="AD157" s="123">
        <f>IF(SUM($AE157:$AH157)=0,"",SUM($AE157:$AH157))</f>
        <v/>
      </c>
      <c r="AE157" s="123">
        <f>iferror(IF(SUM($AI157:$AZ157)=0,"",SUM($AI157:$AZ157)),"")</f>
        <v/>
      </c>
      <c r="AF157" s="123">
        <f>iferror(IF(SUM($BA157:$BC157)=0,"",SUM($BA157:$BC157)),"")</f>
        <v/>
      </c>
      <c r="AG157" s="123">
        <f>iferror(IF(SUM($BD157:$BF157)=0,"",SUM($BD157:$BF157)),"")</f>
        <v/>
      </c>
      <c r="AH157" s="124">
        <f>iferror(IF(SUM($BG157:$BI157)=0,"",SUM($BG157:$BI157)),"")</f>
        <v/>
      </c>
      <c r="AI157" s="131" t="n"/>
      <c r="AJ157" s="132" t="n"/>
      <c r="AK157" s="132" t="n"/>
      <c r="AL157" s="132" t="n"/>
      <c r="AM157" s="132" t="n"/>
      <c r="AN157" s="132" t="n"/>
      <c r="AO157" s="132" t="n"/>
      <c r="AP157" s="132" t="n"/>
      <c r="AQ157" s="132" t="n"/>
      <c r="AR157" s="132" t="n"/>
      <c r="AS157" s="132" t="n"/>
      <c r="AT157" s="132" t="n"/>
      <c r="AU157" s="132" t="n"/>
      <c r="AV157" s="132" t="n"/>
      <c r="AW157" s="132" t="n"/>
      <c r="AX157" s="132" t="n"/>
      <c r="AY157" s="132" t="n"/>
      <c r="AZ157" s="133" t="n"/>
      <c r="BA157" s="131" t="n"/>
      <c r="BB157" s="132" t="n"/>
      <c r="BC157" s="133" t="n"/>
      <c r="BD157" s="131" t="n"/>
      <c r="BE157" s="132" t="n"/>
      <c r="BF157" s="133" t="n"/>
      <c r="BG157" s="131" t="n"/>
      <c r="BH157" s="132" t="n"/>
      <c r="BI157" s="132" t="n"/>
      <c r="BJ157" s="128">
        <f>iferror(SUM($BK157,($BL157*1.2),($BM157*1.35),($BN157*0.74)),)</f>
        <v/>
      </c>
      <c r="BK157" s="128">
        <f>IFERROR(SUM($BT157:$CK157),)</f>
        <v/>
      </c>
      <c r="BL157" s="129">
        <f>IFERROR(SUM($CL157:$CN157),)</f>
        <v/>
      </c>
      <c r="BM157" s="130">
        <f>IFERROR(SUM($CO157:$CQ157),)</f>
        <v/>
      </c>
      <c r="BN157" s="128">
        <f>IFERROR(SUM($CR157:$CT157),)</f>
        <v/>
      </c>
      <c r="BO157" s="128">
        <f>iferror(SUM($BP157,($BQ157*1.2),($BR157*1.35),($BS157*0.74)),)</f>
        <v/>
      </c>
      <c r="BP157" s="128">
        <f>IFERROR(SUM($CU157:$DL157),)</f>
        <v/>
      </c>
      <c r="BQ157" s="128">
        <f>IFERROR(SUM($DM157:$DO157),)</f>
        <v/>
      </c>
      <c r="BR157" s="128">
        <f>IFERROR(SUM($DP157:$DR157),)</f>
        <v/>
      </c>
      <c r="BS157" s="128">
        <f>IFERROR(SUM($DS157:$DU157),)</f>
        <v/>
      </c>
      <c r="BT157" s="128">
        <f>IFERROR(AI157*$W157,)</f>
        <v/>
      </c>
      <c r="BU157" s="128">
        <f>IFERROR(AJ157*$W157,)</f>
        <v/>
      </c>
      <c r="BV157" s="128">
        <f>IFERROR(AK157*$W157,)</f>
        <v/>
      </c>
      <c r="BW157" s="128">
        <f>IFERROR(AL157*$W157,)</f>
        <v/>
      </c>
      <c r="BX157" s="128">
        <f>IFERROR(AM157*$W157,)</f>
        <v/>
      </c>
      <c r="BY157" s="128">
        <f>IFERROR(AN157*$W157,)</f>
        <v/>
      </c>
      <c r="BZ157" s="128">
        <f>IFERROR(AO157*$W157,)</f>
        <v/>
      </c>
      <c r="CA157" s="128">
        <f>IFERROR(AP157*$W157,)</f>
        <v/>
      </c>
      <c r="CB157" s="128">
        <f>IFERROR(AQ157*$W157,)</f>
        <v/>
      </c>
      <c r="CC157" s="128">
        <f>IFERROR(AR157*$W157,)</f>
        <v/>
      </c>
      <c r="CD157" s="128">
        <f>IFERROR(AS157*$W157,)</f>
        <v/>
      </c>
      <c r="CE157" s="128">
        <f>IFERROR(AT157*$W157,)</f>
        <v/>
      </c>
      <c r="CF157" s="128">
        <f>IFERROR(AU157*$W157,)</f>
        <v/>
      </c>
      <c r="CG157" s="128">
        <f>IFERROR(AV157*$W157,)</f>
        <v/>
      </c>
      <c r="CH157" s="128">
        <f>IFERROR(AW157*$W157,)</f>
        <v/>
      </c>
      <c r="CI157" s="128">
        <f>IFERROR(AX157*$W157,)</f>
        <v/>
      </c>
      <c r="CJ157" s="128">
        <f>IFERROR(AY157*$W157,)</f>
        <v/>
      </c>
      <c r="CK157" s="128">
        <f>IFERROR(AZ157*$W157,)</f>
        <v/>
      </c>
      <c r="CL157" s="129">
        <f>IFERROR(if($Y157=0,BA157*($W157/1.2),BA157*$Y157),"")</f>
        <v/>
      </c>
      <c r="CM157" s="129">
        <f>IFERROR(if($Y157=0,BB157*($W157/1.2),BB157*$Y157),"")</f>
        <v/>
      </c>
      <c r="CN157" s="129">
        <f>IFERROR(if($Y157=0,BC157*($W157/1.2),BC157*$Y157),"")</f>
        <v/>
      </c>
      <c r="CO157" s="130">
        <f>IFERROR(if($AA157=0,($W157/1.35)*BD157,BD157*$AA157),)</f>
        <v/>
      </c>
      <c r="CP157" s="130">
        <f>IFERROR(if($AA157=0,($W157/1.35)*BE157,BE157*$AA157),)</f>
        <v/>
      </c>
      <c r="CQ157" s="130">
        <f>IFERROR(if($AA157=0,($W157/1.35)*BF157,BF157*$AA157),)</f>
        <v/>
      </c>
      <c r="CR157" s="128">
        <f>IFERROR(if($AC157=0,($W157/0.74)*BG157,
BG157*$AC157),)</f>
        <v/>
      </c>
      <c r="CS157" s="128">
        <f>IFERROR(if($AC157=0,($W157/0.74)*BH157,
BH157*$AC157),)</f>
        <v/>
      </c>
      <c r="CT157" s="128">
        <f>IFERROR(if($AC157=0,($W157/0.74)*BI157,
BI157*$AC157),)</f>
        <v/>
      </c>
      <c r="CU157" s="128">
        <f>IFERROR(AI157*$V157,)</f>
        <v/>
      </c>
      <c r="CV157" s="128">
        <f>IFERROR(AJ157*$V157,)</f>
        <v/>
      </c>
      <c r="CW157" s="128">
        <f>IFERROR(AK157*$V157,)</f>
        <v/>
      </c>
      <c r="CX157" s="128">
        <f>IFERROR(AL157*$V157,)</f>
        <v/>
      </c>
      <c r="CY157" s="128">
        <f>IFERROR(AM157*$V157,)</f>
        <v/>
      </c>
      <c r="CZ157" s="128">
        <f>IFERROR(AN157*$V157,)</f>
        <v/>
      </c>
      <c r="DA157" s="128">
        <f>IFERROR(AO157*$V157,)</f>
        <v/>
      </c>
      <c r="DB157" s="128">
        <f>IFERROR(AP157*$V157,)</f>
        <v/>
      </c>
      <c r="DC157" s="128">
        <f>IFERROR(AQ157*$V157,)</f>
        <v/>
      </c>
      <c r="DD157" s="128">
        <f>IFERROR(AR157*$V157,)</f>
        <v/>
      </c>
      <c r="DE157" s="128">
        <f>IFERROR(AS157*$V157,)</f>
        <v/>
      </c>
      <c r="DF157" s="128">
        <f>IFERROR(AT157*$V157,)</f>
        <v/>
      </c>
      <c r="DG157" s="128">
        <f>IFERROR(AU157*$V157,)</f>
        <v/>
      </c>
      <c r="DH157" s="128">
        <f>IFERROR(AV157*$V157,)</f>
        <v/>
      </c>
      <c r="DI157" s="128">
        <f>IFERROR(AW157*$V157,)</f>
        <v/>
      </c>
      <c r="DJ157" s="128">
        <f>IFERROR(AX157*$V157,)</f>
        <v/>
      </c>
      <c r="DK157" s="128">
        <f>IFERROR(AY157*$V157,)</f>
        <v/>
      </c>
      <c r="DL157" s="128">
        <f>IFERROR(AZ157*$V157,)</f>
        <v/>
      </c>
      <c r="DM157" s="129">
        <f>IFERROR(if($X157=0,($V157/1.2)*BA157,
BA157*$X157),)</f>
        <v/>
      </c>
      <c r="DN157" s="129">
        <f>IFERROR(if($X157=0,($V157/1.2)*BB157,
BB157*$X157),)</f>
        <v/>
      </c>
      <c r="DO157" s="129">
        <f>IFERROR(if($X157=0,($V157/1.2)*BC157,
BC157*$X157),)</f>
        <v/>
      </c>
      <c r="DP157" s="130">
        <f>IFERROR(if($Z157=0,($V157/1.35)*BD157,
BD157*$Z157),)</f>
        <v/>
      </c>
      <c r="DQ157" s="130">
        <f>IFERROR(if($Z157=0,($V157/1.35)*BE157,
BE157*$Z157),)</f>
        <v/>
      </c>
      <c r="DR157" s="130">
        <f>IFERROR(if($Z157=0,($V157/1.35)*BF157,
BF157*$Z157),)</f>
        <v/>
      </c>
      <c r="DS157" s="128">
        <f>IFERROR(IF($AB157=0,($V157/0.74)*BG157,
BG157*$AB157),)</f>
        <v/>
      </c>
      <c r="DT157" s="128">
        <f>IFERROR(IF($AB157=0,($V157/0.74)*BH157,
BH157*$AB157),)</f>
        <v/>
      </c>
      <c r="DU157" s="128">
        <f>IFERROR(IF($AB157=0,($V157/0.74)*BI157,
BI157*$AB157),)</f>
        <v/>
      </c>
    </row>
    <row r="158" ht="131.25" customHeight="1" s="162">
      <c r="A158" s="115" t="n"/>
      <c r="B158" s="115" t="n"/>
      <c r="C158" s="115" t="n"/>
      <c r="D158" s="115" t="n"/>
      <c r="E158" s="115" t="n"/>
      <c r="F158" s="115" t="n"/>
      <c r="G158" s="115" t="n"/>
      <c r="H158" s="115" t="n"/>
      <c r="I158" s="115" t="n"/>
      <c r="J158" s="115" t="n"/>
      <c r="K158" s="115" t="n"/>
      <c r="L158" s="115" t="n"/>
      <c r="M158" s="115" t="n"/>
      <c r="N158" s="115" t="n"/>
      <c r="O158" s="115" t="n"/>
      <c r="P158" s="115" t="n"/>
      <c r="Q158" s="115" t="n"/>
      <c r="R158" s="115" t="n"/>
      <c r="S158" s="115" t="n"/>
      <c r="T158" s="115" t="n"/>
      <c r="U158" s="116" t="n"/>
      <c r="V158" s="116" t="n"/>
      <c r="W158" s="117" t="n"/>
      <c r="X158" s="118" t="n"/>
      <c r="Y158" s="119" t="n"/>
      <c r="Z158" s="120" t="n"/>
      <c r="AA158" s="121" t="n"/>
      <c r="AB158" s="122" t="n"/>
      <c r="AC158" s="117" t="n"/>
      <c r="AD158" s="123">
        <f>IF(SUM($AE158:$AH158)=0,"",SUM($AE158:$AH158))</f>
        <v/>
      </c>
      <c r="AE158" s="123">
        <f>iferror(IF(SUM($AI158:$AZ158)=0,"",SUM($AI158:$AZ158)),"")</f>
        <v/>
      </c>
      <c r="AF158" s="123">
        <f>iferror(IF(SUM($BA158:$BC158)=0,"",SUM($BA158:$BC158)),"")</f>
        <v/>
      </c>
      <c r="AG158" s="123">
        <f>iferror(IF(SUM($BD158:$BF158)=0,"",SUM($BD158:$BF158)),"")</f>
        <v/>
      </c>
      <c r="AH158" s="124">
        <f>iferror(IF(SUM($BG158:$BI158)=0,"",SUM($BG158:$BI158)),"")</f>
        <v/>
      </c>
      <c r="AI158" s="131" t="n"/>
      <c r="AJ158" s="132" t="n"/>
      <c r="AK158" s="132" t="n"/>
      <c r="AL158" s="132" t="n"/>
      <c r="AM158" s="132" t="n"/>
      <c r="AN158" s="132" t="n"/>
      <c r="AO158" s="132" t="n"/>
      <c r="AP158" s="132" t="n"/>
      <c r="AQ158" s="132" t="n"/>
      <c r="AR158" s="132" t="n"/>
      <c r="AS158" s="132" t="n"/>
      <c r="AT158" s="132" t="n"/>
      <c r="AU158" s="132" t="n"/>
      <c r="AV158" s="132" t="n"/>
      <c r="AW158" s="132" t="n"/>
      <c r="AX158" s="132" t="n"/>
      <c r="AY158" s="132" t="n"/>
      <c r="AZ158" s="133" t="n"/>
      <c r="BA158" s="131" t="n"/>
      <c r="BB158" s="132" t="n"/>
      <c r="BC158" s="133" t="n"/>
      <c r="BD158" s="131" t="n"/>
      <c r="BE158" s="132" t="n"/>
      <c r="BF158" s="133" t="n"/>
      <c r="BG158" s="131" t="n"/>
      <c r="BH158" s="132" t="n"/>
      <c r="BI158" s="132" t="n"/>
      <c r="BJ158" s="128">
        <f>iferror(SUM($BK158,($BL158*1.2),($BM158*1.35),($BN158*0.74)),)</f>
        <v/>
      </c>
      <c r="BK158" s="128">
        <f>IFERROR(SUM($BT158:$CK158),)</f>
        <v/>
      </c>
      <c r="BL158" s="129">
        <f>IFERROR(SUM($CL158:$CN158),)</f>
        <v/>
      </c>
      <c r="BM158" s="130">
        <f>IFERROR(SUM($CO158:$CQ158),)</f>
        <v/>
      </c>
      <c r="BN158" s="128">
        <f>IFERROR(SUM($CR158:$CT158),)</f>
        <v/>
      </c>
      <c r="BO158" s="128">
        <f>iferror(SUM($BP158,($BQ158*1.2),($BR158*1.35),($BS158*0.74)),)</f>
        <v/>
      </c>
      <c r="BP158" s="128">
        <f>IFERROR(SUM($CU158:$DL158),)</f>
        <v/>
      </c>
      <c r="BQ158" s="128">
        <f>IFERROR(SUM($DM158:$DO158),)</f>
        <v/>
      </c>
      <c r="BR158" s="128">
        <f>IFERROR(SUM($DP158:$DR158),)</f>
        <v/>
      </c>
      <c r="BS158" s="128">
        <f>IFERROR(SUM($DS158:$DU158),)</f>
        <v/>
      </c>
      <c r="BT158" s="128">
        <f>IFERROR(AI158*$W158,)</f>
        <v/>
      </c>
      <c r="BU158" s="128">
        <f>IFERROR(AJ158*$W158,)</f>
        <v/>
      </c>
      <c r="BV158" s="128">
        <f>IFERROR(AK158*$W158,)</f>
        <v/>
      </c>
      <c r="BW158" s="128">
        <f>IFERROR(AL158*$W158,)</f>
        <v/>
      </c>
      <c r="BX158" s="128">
        <f>IFERROR(AM158*$W158,)</f>
        <v/>
      </c>
      <c r="BY158" s="128">
        <f>IFERROR(AN158*$W158,)</f>
        <v/>
      </c>
      <c r="BZ158" s="128">
        <f>IFERROR(AO158*$W158,)</f>
        <v/>
      </c>
      <c r="CA158" s="128">
        <f>IFERROR(AP158*$W158,)</f>
        <v/>
      </c>
      <c r="CB158" s="128">
        <f>IFERROR(AQ158*$W158,)</f>
        <v/>
      </c>
      <c r="CC158" s="128">
        <f>IFERROR(AR158*$W158,)</f>
        <v/>
      </c>
      <c r="CD158" s="128">
        <f>IFERROR(AS158*$W158,)</f>
        <v/>
      </c>
      <c r="CE158" s="128">
        <f>IFERROR(AT158*$W158,)</f>
        <v/>
      </c>
      <c r="CF158" s="128">
        <f>IFERROR(AU158*$W158,)</f>
        <v/>
      </c>
      <c r="CG158" s="128">
        <f>IFERROR(AV158*$W158,)</f>
        <v/>
      </c>
      <c r="CH158" s="128">
        <f>IFERROR(AW158*$W158,)</f>
        <v/>
      </c>
      <c r="CI158" s="128">
        <f>IFERROR(AX158*$W158,)</f>
        <v/>
      </c>
      <c r="CJ158" s="128">
        <f>IFERROR(AY158*$W158,)</f>
        <v/>
      </c>
      <c r="CK158" s="128">
        <f>IFERROR(AZ158*$W158,)</f>
        <v/>
      </c>
      <c r="CL158" s="129">
        <f>IFERROR(if($Y158=0,BA158*($W158/1.2),BA158*$Y158),"")</f>
        <v/>
      </c>
      <c r="CM158" s="129">
        <f>IFERROR(if($Y158=0,BB158*($W158/1.2),BB158*$Y158),"")</f>
        <v/>
      </c>
      <c r="CN158" s="129">
        <f>IFERROR(if($Y158=0,BC158*($W158/1.2),BC158*$Y158),"")</f>
        <v/>
      </c>
      <c r="CO158" s="130">
        <f>IFERROR(if($AA158=0,($W158/1.35)*BD158,BD158*$AA158),)</f>
        <v/>
      </c>
      <c r="CP158" s="130">
        <f>IFERROR(if($AA158=0,($W158/1.35)*BE158,BE158*$AA158),)</f>
        <v/>
      </c>
      <c r="CQ158" s="130">
        <f>IFERROR(if($AA158=0,($W158/1.35)*BF158,BF158*$AA158),)</f>
        <v/>
      </c>
      <c r="CR158" s="128">
        <f>IFERROR(if($AC158=0,($W158/0.74)*BG158,
BG158*$AC158),)</f>
        <v/>
      </c>
      <c r="CS158" s="128">
        <f>IFERROR(if($AC158=0,($W158/0.74)*BH158,
BH158*$AC158),)</f>
        <v/>
      </c>
      <c r="CT158" s="128">
        <f>IFERROR(if($AC158=0,($W158/0.74)*BI158,
BI158*$AC158),)</f>
        <v/>
      </c>
      <c r="CU158" s="128">
        <f>IFERROR(AI158*$V158,)</f>
        <v/>
      </c>
      <c r="CV158" s="128">
        <f>IFERROR(AJ158*$V158,)</f>
        <v/>
      </c>
      <c r="CW158" s="128">
        <f>IFERROR(AK158*$V158,)</f>
        <v/>
      </c>
      <c r="CX158" s="128">
        <f>IFERROR(AL158*$V158,)</f>
        <v/>
      </c>
      <c r="CY158" s="128">
        <f>IFERROR(AM158*$V158,)</f>
        <v/>
      </c>
      <c r="CZ158" s="128">
        <f>IFERROR(AN158*$V158,)</f>
        <v/>
      </c>
      <c r="DA158" s="128">
        <f>IFERROR(AO158*$V158,)</f>
        <v/>
      </c>
      <c r="DB158" s="128">
        <f>IFERROR(AP158*$V158,)</f>
        <v/>
      </c>
      <c r="DC158" s="128">
        <f>IFERROR(AQ158*$V158,)</f>
        <v/>
      </c>
      <c r="DD158" s="128">
        <f>IFERROR(AR158*$V158,)</f>
        <v/>
      </c>
      <c r="DE158" s="128">
        <f>IFERROR(AS158*$V158,)</f>
        <v/>
      </c>
      <c r="DF158" s="128">
        <f>IFERROR(AT158*$V158,)</f>
        <v/>
      </c>
      <c r="DG158" s="128">
        <f>IFERROR(AU158*$V158,)</f>
        <v/>
      </c>
      <c r="DH158" s="128">
        <f>IFERROR(AV158*$V158,)</f>
        <v/>
      </c>
      <c r="DI158" s="128">
        <f>IFERROR(AW158*$V158,)</f>
        <v/>
      </c>
      <c r="DJ158" s="128">
        <f>IFERROR(AX158*$V158,)</f>
        <v/>
      </c>
      <c r="DK158" s="128">
        <f>IFERROR(AY158*$V158,)</f>
        <v/>
      </c>
      <c r="DL158" s="128">
        <f>IFERROR(AZ158*$V158,)</f>
        <v/>
      </c>
      <c r="DM158" s="129">
        <f>IFERROR(if($X158=0,($V158/1.2)*BA158,
BA158*$X158),)</f>
        <v/>
      </c>
      <c r="DN158" s="129">
        <f>IFERROR(if($X158=0,($V158/1.2)*BB158,
BB158*$X158),)</f>
        <v/>
      </c>
      <c r="DO158" s="129">
        <f>IFERROR(if($X158=0,($V158/1.2)*BC158,
BC158*$X158),)</f>
        <v/>
      </c>
      <c r="DP158" s="130">
        <f>IFERROR(if($Z158=0,($V158/1.35)*BD158,
BD158*$Z158),)</f>
        <v/>
      </c>
      <c r="DQ158" s="130">
        <f>IFERROR(if($Z158=0,($V158/1.35)*BE158,
BE158*$Z158),)</f>
        <v/>
      </c>
      <c r="DR158" s="130">
        <f>IFERROR(if($Z158=0,($V158/1.35)*BF158,
BF158*$Z158),)</f>
        <v/>
      </c>
      <c r="DS158" s="128">
        <f>IFERROR(IF($AB158=0,($V158/0.74)*BG158,
BG158*$AB158),)</f>
        <v/>
      </c>
      <c r="DT158" s="128">
        <f>IFERROR(IF($AB158=0,($V158/0.74)*BH158,
BH158*$AB158),)</f>
        <v/>
      </c>
      <c r="DU158" s="128">
        <f>IFERROR(IF($AB158=0,($V158/0.74)*BI158,
BI158*$AB158),)</f>
        <v/>
      </c>
    </row>
    <row r="159" ht="131.25" customHeight="1" s="162">
      <c r="A159" s="115" t="n"/>
      <c r="B159" s="115" t="n"/>
      <c r="C159" s="115" t="n"/>
      <c r="D159" s="115" t="n"/>
      <c r="E159" s="115" t="n"/>
      <c r="F159" s="115" t="n"/>
      <c r="G159" s="115" t="n"/>
      <c r="H159" s="115" t="n"/>
      <c r="I159" s="115" t="n"/>
      <c r="J159" s="115" t="n"/>
      <c r="K159" s="115" t="n"/>
      <c r="L159" s="115" t="n"/>
      <c r="M159" s="115" t="n"/>
      <c r="N159" s="115" t="n"/>
      <c r="O159" s="115" t="n"/>
      <c r="P159" s="115" t="n"/>
      <c r="Q159" s="115" t="n"/>
      <c r="R159" s="115" t="n"/>
      <c r="S159" s="115" t="n"/>
      <c r="T159" s="115" t="n"/>
      <c r="U159" s="116" t="n"/>
      <c r="V159" s="116" t="n"/>
      <c r="W159" s="117" t="n"/>
      <c r="X159" s="118" t="n"/>
      <c r="Y159" s="119" t="n"/>
      <c r="Z159" s="120" t="n"/>
      <c r="AA159" s="121" t="n"/>
      <c r="AB159" s="122" t="n"/>
      <c r="AC159" s="117" t="n"/>
      <c r="AD159" s="123">
        <f>IF(SUM($AE159:$AH159)=0,"",SUM($AE159:$AH159))</f>
        <v/>
      </c>
      <c r="AE159" s="123">
        <f>iferror(IF(SUM($AI159:$AZ159)=0,"",SUM($AI159:$AZ159)),"")</f>
        <v/>
      </c>
      <c r="AF159" s="123">
        <f>iferror(IF(SUM($BA159:$BC159)=0,"",SUM($BA159:$BC159)),"")</f>
        <v/>
      </c>
      <c r="AG159" s="123">
        <f>iferror(IF(SUM($BD159:$BF159)=0,"",SUM($BD159:$BF159)),"")</f>
        <v/>
      </c>
      <c r="AH159" s="124">
        <f>iferror(IF(SUM($BG159:$BI159)=0,"",SUM($BG159:$BI159)),"")</f>
        <v/>
      </c>
      <c r="AI159" s="131" t="n"/>
      <c r="AJ159" s="132" t="n"/>
      <c r="AK159" s="132" t="n"/>
      <c r="AL159" s="132" t="n"/>
      <c r="AM159" s="132" t="n"/>
      <c r="AN159" s="132" t="n"/>
      <c r="AO159" s="132" t="n"/>
      <c r="AP159" s="132" t="n"/>
      <c r="AQ159" s="132" t="n"/>
      <c r="AR159" s="132" t="n"/>
      <c r="AS159" s="132" t="n"/>
      <c r="AT159" s="132" t="n"/>
      <c r="AU159" s="132" t="n"/>
      <c r="AV159" s="132" t="n"/>
      <c r="AW159" s="132" t="n"/>
      <c r="AX159" s="132" t="n"/>
      <c r="AY159" s="132" t="n"/>
      <c r="AZ159" s="133" t="n"/>
      <c r="BA159" s="131" t="n"/>
      <c r="BB159" s="132" t="n"/>
      <c r="BC159" s="133" t="n"/>
      <c r="BD159" s="131" t="n"/>
      <c r="BE159" s="132" t="n"/>
      <c r="BF159" s="133" t="n"/>
      <c r="BG159" s="131" t="n"/>
      <c r="BH159" s="132" t="n"/>
      <c r="BI159" s="132" t="n"/>
      <c r="BJ159" s="128">
        <f>iferror(SUM($BK159,($BL159*1.2),($BM159*1.35),($BN159*0.74)),)</f>
        <v/>
      </c>
      <c r="BK159" s="128">
        <f>IFERROR(SUM($BT159:$CK159),)</f>
        <v/>
      </c>
      <c r="BL159" s="129">
        <f>IFERROR(SUM($CL159:$CN159),)</f>
        <v/>
      </c>
      <c r="BM159" s="130">
        <f>IFERROR(SUM($CO159:$CQ159),)</f>
        <v/>
      </c>
      <c r="BN159" s="128">
        <f>IFERROR(SUM($CR159:$CT159),)</f>
        <v/>
      </c>
      <c r="BO159" s="128">
        <f>iferror(SUM($BP159,($BQ159*1.2),($BR159*1.35),($BS159*0.74)),)</f>
        <v/>
      </c>
      <c r="BP159" s="128">
        <f>IFERROR(SUM($CU159:$DL159),)</f>
        <v/>
      </c>
      <c r="BQ159" s="128">
        <f>IFERROR(SUM($DM159:$DO159),)</f>
        <v/>
      </c>
      <c r="BR159" s="128">
        <f>IFERROR(SUM($DP159:$DR159),)</f>
        <v/>
      </c>
      <c r="BS159" s="128">
        <f>IFERROR(SUM($DS159:$DU159),)</f>
        <v/>
      </c>
      <c r="BT159" s="128">
        <f>IFERROR(AI159*$W159,)</f>
        <v/>
      </c>
      <c r="BU159" s="128">
        <f>IFERROR(AJ159*$W159,)</f>
        <v/>
      </c>
      <c r="BV159" s="128">
        <f>IFERROR(AK159*$W159,)</f>
        <v/>
      </c>
      <c r="BW159" s="128">
        <f>IFERROR(AL159*$W159,)</f>
        <v/>
      </c>
      <c r="BX159" s="128">
        <f>IFERROR(AM159*$W159,)</f>
        <v/>
      </c>
      <c r="BY159" s="128">
        <f>IFERROR(AN159*$W159,)</f>
        <v/>
      </c>
      <c r="BZ159" s="128">
        <f>IFERROR(AO159*$W159,)</f>
        <v/>
      </c>
      <c r="CA159" s="128">
        <f>IFERROR(AP159*$W159,)</f>
        <v/>
      </c>
      <c r="CB159" s="128">
        <f>IFERROR(AQ159*$W159,)</f>
        <v/>
      </c>
      <c r="CC159" s="128">
        <f>IFERROR(AR159*$W159,)</f>
        <v/>
      </c>
      <c r="CD159" s="128">
        <f>IFERROR(AS159*$W159,)</f>
        <v/>
      </c>
      <c r="CE159" s="128">
        <f>IFERROR(AT159*$W159,)</f>
        <v/>
      </c>
      <c r="CF159" s="128">
        <f>IFERROR(AU159*$W159,)</f>
        <v/>
      </c>
      <c r="CG159" s="128">
        <f>IFERROR(AV159*$W159,)</f>
        <v/>
      </c>
      <c r="CH159" s="128">
        <f>IFERROR(AW159*$W159,)</f>
        <v/>
      </c>
      <c r="CI159" s="128">
        <f>IFERROR(AX159*$W159,)</f>
        <v/>
      </c>
      <c r="CJ159" s="128">
        <f>IFERROR(AY159*$W159,)</f>
        <v/>
      </c>
      <c r="CK159" s="128">
        <f>IFERROR(AZ159*$W159,)</f>
        <v/>
      </c>
      <c r="CL159" s="129">
        <f>IFERROR(if($Y159=0,BA159*($W159/1.2),BA159*$Y159),"")</f>
        <v/>
      </c>
      <c r="CM159" s="129">
        <f>IFERROR(if($Y159=0,BB159*($W159/1.2),BB159*$Y159),"")</f>
        <v/>
      </c>
      <c r="CN159" s="129">
        <f>IFERROR(if($Y159=0,BC159*($W159/1.2),BC159*$Y159),"")</f>
        <v/>
      </c>
      <c r="CO159" s="130">
        <f>IFERROR(if($AA159=0,($W159/1.35)*BD159,BD159*$AA159),)</f>
        <v/>
      </c>
      <c r="CP159" s="130">
        <f>IFERROR(if($AA159=0,($W159/1.35)*BE159,BE159*$AA159),)</f>
        <v/>
      </c>
      <c r="CQ159" s="130">
        <f>IFERROR(if($AA159=0,($W159/1.35)*BF159,BF159*$AA159),)</f>
        <v/>
      </c>
      <c r="CR159" s="128">
        <f>IFERROR(if($AC159=0,($W159/0.74)*BG159,
BG159*$AC159),)</f>
        <v/>
      </c>
      <c r="CS159" s="128">
        <f>IFERROR(if($AC159=0,($W159/0.74)*BH159,
BH159*$AC159),)</f>
        <v/>
      </c>
      <c r="CT159" s="128">
        <f>IFERROR(if($AC159=0,($W159/0.74)*BI159,
BI159*$AC159),)</f>
        <v/>
      </c>
      <c r="CU159" s="128">
        <f>IFERROR(AI159*$V159,)</f>
        <v/>
      </c>
      <c r="CV159" s="128">
        <f>IFERROR(AJ159*$V159,)</f>
        <v/>
      </c>
      <c r="CW159" s="128">
        <f>IFERROR(AK159*$V159,)</f>
        <v/>
      </c>
      <c r="CX159" s="128">
        <f>IFERROR(AL159*$V159,)</f>
        <v/>
      </c>
      <c r="CY159" s="128">
        <f>IFERROR(AM159*$V159,)</f>
        <v/>
      </c>
      <c r="CZ159" s="128">
        <f>IFERROR(AN159*$V159,)</f>
        <v/>
      </c>
      <c r="DA159" s="128">
        <f>IFERROR(AO159*$V159,)</f>
        <v/>
      </c>
      <c r="DB159" s="128">
        <f>IFERROR(AP159*$V159,)</f>
        <v/>
      </c>
      <c r="DC159" s="128">
        <f>IFERROR(AQ159*$V159,)</f>
        <v/>
      </c>
      <c r="DD159" s="128">
        <f>IFERROR(AR159*$V159,)</f>
        <v/>
      </c>
      <c r="DE159" s="128">
        <f>IFERROR(AS159*$V159,)</f>
        <v/>
      </c>
      <c r="DF159" s="128">
        <f>IFERROR(AT159*$V159,)</f>
        <v/>
      </c>
      <c r="DG159" s="128">
        <f>IFERROR(AU159*$V159,)</f>
        <v/>
      </c>
      <c r="DH159" s="128">
        <f>IFERROR(AV159*$V159,)</f>
        <v/>
      </c>
      <c r="DI159" s="128">
        <f>IFERROR(AW159*$V159,)</f>
        <v/>
      </c>
      <c r="DJ159" s="128">
        <f>IFERROR(AX159*$V159,)</f>
        <v/>
      </c>
      <c r="DK159" s="128">
        <f>IFERROR(AY159*$V159,)</f>
        <v/>
      </c>
      <c r="DL159" s="128">
        <f>IFERROR(AZ159*$V159,)</f>
        <v/>
      </c>
      <c r="DM159" s="129">
        <f>IFERROR(if($X159=0,($V159/1.2)*BA159,
BA159*$X159),)</f>
        <v/>
      </c>
      <c r="DN159" s="129">
        <f>IFERROR(if($X159=0,($V159/1.2)*BB159,
BB159*$X159),)</f>
        <v/>
      </c>
      <c r="DO159" s="129">
        <f>IFERROR(if($X159=0,($V159/1.2)*BC159,
BC159*$X159),)</f>
        <v/>
      </c>
      <c r="DP159" s="130">
        <f>IFERROR(if($Z159=0,($V159/1.35)*BD159,
BD159*$Z159),)</f>
        <v/>
      </c>
      <c r="DQ159" s="130">
        <f>IFERROR(if($Z159=0,($V159/1.35)*BE159,
BE159*$Z159),)</f>
        <v/>
      </c>
      <c r="DR159" s="130">
        <f>IFERROR(if($Z159=0,($V159/1.35)*BF159,
BF159*$Z159),)</f>
        <v/>
      </c>
      <c r="DS159" s="128">
        <f>IFERROR(IF($AB159=0,($V159/0.74)*BG159,
BG159*$AB159),)</f>
        <v/>
      </c>
      <c r="DT159" s="128">
        <f>IFERROR(IF($AB159=0,($V159/0.74)*BH159,
BH159*$AB159),)</f>
        <v/>
      </c>
      <c r="DU159" s="128">
        <f>IFERROR(IF($AB159=0,($V159/0.74)*BI159,
BI159*$AB159),)</f>
        <v/>
      </c>
    </row>
    <row r="160" ht="131.25" customHeight="1" s="162">
      <c r="A160" s="115" t="n"/>
      <c r="B160" s="115" t="n"/>
      <c r="C160" s="115" t="n"/>
      <c r="D160" s="115" t="n"/>
      <c r="E160" s="115" t="n"/>
      <c r="F160" s="115" t="n"/>
      <c r="G160" s="115" t="n"/>
      <c r="H160" s="115" t="n"/>
      <c r="I160" s="115" t="n"/>
      <c r="J160" s="115" t="n"/>
      <c r="K160" s="115" t="n"/>
      <c r="L160" s="115" t="n"/>
      <c r="M160" s="115" t="n"/>
      <c r="N160" s="115" t="n"/>
      <c r="O160" s="115" t="n"/>
      <c r="P160" s="115" t="n"/>
      <c r="Q160" s="115" t="n"/>
      <c r="R160" s="115" t="n"/>
      <c r="S160" s="115" t="n"/>
      <c r="T160" s="115" t="n"/>
      <c r="U160" s="116" t="n"/>
      <c r="V160" s="116" t="n"/>
      <c r="W160" s="117" t="n"/>
      <c r="X160" s="118" t="n"/>
      <c r="Y160" s="119" t="n"/>
      <c r="Z160" s="120" t="n"/>
      <c r="AA160" s="121" t="n"/>
      <c r="AB160" s="122" t="n"/>
      <c r="AC160" s="117" t="n"/>
      <c r="AD160" s="123">
        <f>IF(SUM($AE160:$AH160)=0,"",SUM($AE160:$AH160))</f>
        <v/>
      </c>
      <c r="AE160" s="123">
        <f>iferror(IF(SUM($AI160:$AZ160)=0,"",SUM($AI160:$AZ160)),"")</f>
        <v/>
      </c>
      <c r="AF160" s="123">
        <f>iferror(IF(SUM($BA160:$BC160)=0,"",SUM($BA160:$BC160)),"")</f>
        <v/>
      </c>
      <c r="AG160" s="123">
        <f>iferror(IF(SUM($BD160:$BF160)=0,"",SUM($BD160:$BF160)),"")</f>
        <v/>
      </c>
      <c r="AH160" s="124">
        <f>iferror(IF(SUM($BG160:$BI160)=0,"",SUM($BG160:$BI160)),"")</f>
        <v/>
      </c>
      <c r="AI160" s="131" t="n"/>
      <c r="AJ160" s="132" t="n"/>
      <c r="AK160" s="132" t="n"/>
      <c r="AL160" s="132" t="n"/>
      <c r="AM160" s="132" t="n"/>
      <c r="AN160" s="132" t="n"/>
      <c r="AO160" s="132" t="n"/>
      <c r="AP160" s="132" t="n"/>
      <c r="AQ160" s="132" t="n"/>
      <c r="AR160" s="132" t="n"/>
      <c r="AS160" s="132" t="n"/>
      <c r="AT160" s="132" t="n"/>
      <c r="AU160" s="132" t="n"/>
      <c r="AV160" s="132" t="n"/>
      <c r="AW160" s="132" t="n"/>
      <c r="AX160" s="132" t="n"/>
      <c r="AY160" s="132" t="n"/>
      <c r="AZ160" s="133" t="n"/>
      <c r="BA160" s="131" t="n"/>
      <c r="BB160" s="132" t="n"/>
      <c r="BC160" s="133" t="n"/>
      <c r="BD160" s="131" t="n"/>
      <c r="BE160" s="132" t="n"/>
      <c r="BF160" s="133" t="n"/>
      <c r="BG160" s="131" t="n"/>
      <c r="BH160" s="132" t="n"/>
      <c r="BI160" s="132" t="n"/>
      <c r="BJ160" s="128">
        <f>iferror(SUM($BK160,($BL160*1.2),($BM160*1.35),($BN160*0.74)),)</f>
        <v/>
      </c>
      <c r="BK160" s="128">
        <f>IFERROR(SUM($BT160:$CK160),)</f>
        <v/>
      </c>
      <c r="BL160" s="129">
        <f>IFERROR(SUM($CL160:$CN160),)</f>
        <v/>
      </c>
      <c r="BM160" s="130">
        <f>IFERROR(SUM($CO160:$CQ160),)</f>
        <v/>
      </c>
      <c r="BN160" s="128">
        <f>IFERROR(SUM($CR160:$CT160),)</f>
        <v/>
      </c>
      <c r="BO160" s="128">
        <f>iferror(SUM($BP160,($BQ160*1.2),($BR160*1.35),($BS160*0.74)),)</f>
        <v/>
      </c>
      <c r="BP160" s="128">
        <f>IFERROR(SUM($CU160:$DL160),)</f>
        <v/>
      </c>
      <c r="BQ160" s="128">
        <f>IFERROR(SUM($DM160:$DO160),)</f>
        <v/>
      </c>
      <c r="BR160" s="128">
        <f>IFERROR(SUM($DP160:$DR160),)</f>
        <v/>
      </c>
      <c r="BS160" s="128">
        <f>IFERROR(SUM($DS160:$DU160),)</f>
        <v/>
      </c>
      <c r="BT160" s="128">
        <f>IFERROR(AI160*$W160,)</f>
        <v/>
      </c>
      <c r="BU160" s="128">
        <f>IFERROR(AJ160*$W160,)</f>
        <v/>
      </c>
      <c r="BV160" s="128">
        <f>IFERROR(AK160*$W160,)</f>
        <v/>
      </c>
      <c r="BW160" s="128">
        <f>IFERROR(AL160*$W160,)</f>
        <v/>
      </c>
      <c r="BX160" s="128">
        <f>IFERROR(AM160*$W160,)</f>
        <v/>
      </c>
      <c r="BY160" s="128">
        <f>IFERROR(AN160*$W160,)</f>
        <v/>
      </c>
      <c r="BZ160" s="128">
        <f>IFERROR(AO160*$W160,)</f>
        <v/>
      </c>
      <c r="CA160" s="128">
        <f>IFERROR(AP160*$W160,)</f>
        <v/>
      </c>
      <c r="CB160" s="128">
        <f>IFERROR(AQ160*$W160,)</f>
        <v/>
      </c>
      <c r="CC160" s="128">
        <f>IFERROR(AR160*$W160,)</f>
        <v/>
      </c>
      <c r="CD160" s="128">
        <f>IFERROR(AS160*$W160,)</f>
        <v/>
      </c>
      <c r="CE160" s="128">
        <f>IFERROR(AT160*$W160,)</f>
        <v/>
      </c>
      <c r="CF160" s="128">
        <f>IFERROR(AU160*$W160,)</f>
        <v/>
      </c>
      <c r="CG160" s="128">
        <f>IFERROR(AV160*$W160,)</f>
        <v/>
      </c>
      <c r="CH160" s="128">
        <f>IFERROR(AW160*$W160,)</f>
        <v/>
      </c>
      <c r="CI160" s="128">
        <f>IFERROR(AX160*$W160,)</f>
        <v/>
      </c>
      <c r="CJ160" s="128">
        <f>IFERROR(AY160*$W160,)</f>
        <v/>
      </c>
      <c r="CK160" s="128">
        <f>IFERROR(AZ160*$W160,)</f>
        <v/>
      </c>
      <c r="CL160" s="129">
        <f>IFERROR(if($Y160=0,BA160*($W160/1.2),BA160*$Y160),"")</f>
        <v/>
      </c>
      <c r="CM160" s="129">
        <f>IFERROR(if($Y160=0,BB160*($W160/1.2),BB160*$Y160),"")</f>
        <v/>
      </c>
      <c r="CN160" s="129">
        <f>IFERROR(if($Y160=0,BC160*($W160/1.2),BC160*$Y160),"")</f>
        <v/>
      </c>
      <c r="CO160" s="130">
        <f>IFERROR(if($AA160=0,($W160/1.35)*BD160,BD160*$AA160),)</f>
        <v/>
      </c>
      <c r="CP160" s="130">
        <f>IFERROR(if($AA160=0,($W160/1.35)*BE160,BE160*$AA160),)</f>
        <v/>
      </c>
      <c r="CQ160" s="130">
        <f>IFERROR(if($AA160=0,($W160/1.35)*BF160,BF160*$AA160),)</f>
        <v/>
      </c>
      <c r="CR160" s="128">
        <f>IFERROR(if($AC160=0,($W160/0.74)*BG160,
BG160*$AC160),)</f>
        <v/>
      </c>
      <c r="CS160" s="128">
        <f>IFERROR(if($AC160=0,($W160/0.74)*BH160,
BH160*$AC160),)</f>
        <v/>
      </c>
      <c r="CT160" s="128">
        <f>IFERROR(if($AC160=0,($W160/0.74)*BI160,
BI160*$AC160),)</f>
        <v/>
      </c>
      <c r="CU160" s="128">
        <f>IFERROR(AI160*$V160,)</f>
        <v/>
      </c>
      <c r="CV160" s="128">
        <f>IFERROR(AJ160*$V160,)</f>
        <v/>
      </c>
      <c r="CW160" s="128">
        <f>IFERROR(AK160*$V160,)</f>
        <v/>
      </c>
      <c r="CX160" s="128">
        <f>IFERROR(AL160*$V160,)</f>
        <v/>
      </c>
      <c r="CY160" s="128">
        <f>IFERROR(AM160*$V160,)</f>
        <v/>
      </c>
      <c r="CZ160" s="128">
        <f>IFERROR(AN160*$V160,)</f>
        <v/>
      </c>
      <c r="DA160" s="128">
        <f>IFERROR(AO160*$V160,)</f>
        <v/>
      </c>
      <c r="DB160" s="128">
        <f>IFERROR(AP160*$V160,)</f>
        <v/>
      </c>
      <c r="DC160" s="128">
        <f>IFERROR(AQ160*$V160,)</f>
        <v/>
      </c>
      <c r="DD160" s="128">
        <f>IFERROR(AR160*$V160,)</f>
        <v/>
      </c>
      <c r="DE160" s="128">
        <f>IFERROR(AS160*$V160,)</f>
        <v/>
      </c>
      <c r="DF160" s="128">
        <f>IFERROR(AT160*$V160,)</f>
        <v/>
      </c>
      <c r="DG160" s="128">
        <f>IFERROR(AU160*$V160,)</f>
        <v/>
      </c>
      <c r="DH160" s="128">
        <f>IFERROR(AV160*$V160,)</f>
        <v/>
      </c>
      <c r="DI160" s="128">
        <f>IFERROR(AW160*$V160,)</f>
        <v/>
      </c>
      <c r="DJ160" s="128">
        <f>IFERROR(AX160*$V160,)</f>
        <v/>
      </c>
      <c r="DK160" s="128">
        <f>IFERROR(AY160*$V160,)</f>
        <v/>
      </c>
      <c r="DL160" s="128">
        <f>IFERROR(AZ160*$V160,)</f>
        <v/>
      </c>
      <c r="DM160" s="129">
        <f>IFERROR(if($X160=0,($V160/1.2)*BA160,
BA160*$X160),)</f>
        <v/>
      </c>
      <c r="DN160" s="129">
        <f>IFERROR(if($X160=0,($V160/1.2)*BB160,
BB160*$X160),)</f>
        <v/>
      </c>
      <c r="DO160" s="129">
        <f>IFERROR(if($X160=0,($V160/1.2)*BC160,
BC160*$X160),)</f>
        <v/>
      </c>
      <c r="DP160" s="130">
        <f>IFERROR(if($Z160=0,($V160/1.35)*BD160,
BD160*$Z160),)</f>
        <v/>
      </c>
      <c r="DQ160" s="130">
        <f>IFERROR(if($Z160=0,($V160/1.35)*BE160,
BE160*$Z160),)</f>
        <v/>
      </c>
      <c r="DR160" s="130">
        <f>IFERROR(if($Z160=0,($V160/1.35)*BF160,
BF160*$Z160),)</f>
        <v/>
      </c>
      <c r="DS160" s="128">
        <f>IFERROR(IF($AB160=0,($V160/0.74)*BG160,
BG160*$AB160),)</f>
        <v/>
      </c>
      <c r="DT160" s="128">
        <f>IFERROR(IF($AB160=0,($V160/0.74)*BH160,
BH160*$AB160),)</f>
        <v/>
      </c>
      <c r="DU160" s="128">
        <f>IFERROR(IF($AB160=0,($V160/0.74)*BI160,
BI160*$AB160),)</f>
        <v/>
      </c>
    </row>
    <row r="161" ht="131.25" customHeight="1" s="162">
      <c r="A161" s="115" t="n"/>
      <c r="B161" s="115" t="n"/>
      <c r="C161" s="115" t="n"/>
      <c r="D161" s="115" t="n"/>
      <c r="E161" s="115" t="n"/>
      <c r="F161" s="115" t="n"/>
      <c r="G161" s="115" t="n"/>
      <c r="H161" s="115" t="n"/>
      <c r="I161" s="115" t="n"/>
      <c r="J161" s="115" t="n"/>
      <c r="K161" s="115" t="n"/>
      <c r="L161" s="115" t="n"/>
      <c r="M161" s="115" t="n"/>
      <c r="N161" s="115" t="n"/>
      <c r="O161" s="115" t="n"/>
      <c r="P161" s="115" t="n"/>
      <c r="Q161" s="115" t="n"/>
      <c r="R161" s="115" t="n"/>
      <c r="S161" s="115" t="n"/>
      <c r="T161" s="115" t="n"/>
      <c r="U161" s="116" t="n"/>
      <c r="V161" s="116" t="n"/>
      <c r="W161" s="117" t="n"/>
      <c r="X161" s="118" t="n"/>
      <c r="Y161" s="119" t="n"/>
      <c r="Z161" s="120" t="n"/>
      <c r="AA161" s="121" t="n"/>
      <c r="AB161" s="122" t="n"/>
      <c r="AC161" s="117" t="n"/>
      <c r="AD161" s="123">
        <f>IF(SUM($AE161:$AH161)=0,"",SUM($AE161:$AH161))</f>
        <v/>
      </c>
      <c r="AE161" s="123">
        <f>iferror(IF(SUM($AI161:$AZ161)=0,"",SUM($AI161:$AZ161)),"")</f>
        <v/>
      </c>
      <c r="AF161" s="123">
        <f>iferror(IF(SUM($BA161:$BC161)=0,"",SUM($BA161:$BC161)),"")</f>
        <v/>
      </c>
      <c r="AG161" s="123">
        <f>iferror(IF(SUM($BD161:$BF161)=0,"",SUM($BD161:$BF161)),"")</f>
        <v/>
      </c>
      <c r="AH161" s="124">
        <f>iferror(IF(SUM($BG161:$BI161)=0,"",SUM($BG161:$BI161)),"")</f>
        <v/>
      </c>
      <c r="AI161" s="131" t="n"/>
      <c r="AJ161" s="132" t="n"/>
      <c r="AK161" s="132" t="n"/>
      <c r="AL161" s="132" t="n"/>
      <c r="AM161" s="132" t="n"/>
      <c r="AN161" s="132" t="n"/>
      <c r="AO161" s="132" t="n"/>
      <c r="AP161" s="132" t="n"/>
      <c r="AQ161" s="132" t="n"/>
      <c r="AR161" s="132" t="n"/>
      <c r="AS161" s="132" t="n"/>
      <c r="AT161" s="132" t="n"/>
      <c r="AU161" s="132" t="n"/>
      <c r="AV161" s="132" t="n"/>
      <c r="AW161" s="132" t="n"/>
      <c r="AX161" s="132" t="n"/>
      <c r="AY161" s="132" t="n"/>
      <c r="AZ161" s="133" t="n"/>
      <c r="BA161" s="131" t="n"/>
      <c r="BB161" s="132" t="n"/>
      <c r="BC161" s="133" t="n"/>
      <c r="BD161" s="131" t="n"/>
      <c r="BE161" s="132" t="n"/>
      <c r="BF161" s="133" t="n"/>
      <c r="BG161" s="131" t="n"/>
      <c r="BH161" s="132" t="n"/>
      <c r="BI161" s="132" t="n"/>
      <c r="BJ161" s="128">
        <f>iferror(SUM($BK161,($BL161*1.2),($BM161*1.35),($BN161*0.74)),)</f>
        <v/>
      </c>
      <c r="BK161" s="128">
        <f>IFERROR(SUM($BT161:$CK161),)</f>
        <v/>
      </c>
      <c r="BL161" s="129">
        <f>IFERROR(SUM($CL161:$CN161),)</f>
        <v/>
      </c>
      <c r="BM161" s="130">
        <f>IFERROR(SUM($CO161:$CQ161),)</f>
        <v/>
      </c>
      <c r="BN161" s="128">
        <f>IFERROR(SUM($CR161:$CT161),)</f>
        <v/>
      </c>
      <c r="BO161" s="128">
        <f>iferror(SUM($BP161,($BQ161*1.2),($BR161*1.35),($BS161*0.74)),)</f>
        <v/>
      </c>
      <c r="BP161" s="128">
        <f>IFERROR(SUM($CU161:$DL161),)</f>
        <v/>
      </c>
      <c r="BQ161" s="128">
        <f>IFERROR(SUM($DM161:$DO161),)</f>
        <v/>
      </c>
      <c r="BR161" s="128">
        <f>IFERROR(SUM($DP161:$DR161),)</f>
        <v/>
      </c>
      <c r="BS161" s="128">
        <f>IFERROR(SUM($DS161:$DU161),)</f>
        <v/>
      </c>
      <c r="BT161" s="128">
        <f>IFERROR(AI161*$W161,)</f>
        <v/>
      </c>
      <c r="BU161" s="128">
        <f>IFERROR(AJ161*$W161,)</f>
        <v/>
      </c>
      <c r="BV161" s="128">
        <f>IFERROR(AK161*$W161,)</f>
        <v/>
      </c>
      <c r="BW161" s="128">
        <f>IFERROR(AL161*$W161,)</f>
        <v/>
      </c>
      <c r="BX161" s="128">
        <f>IFERROR(AM161*$W161,)</f>
        <v/>
      </c>
      <c r="BY161" s="128">
        <f>IFERROR(AN161*$W161,)</f>
        <v/>
      </c>
      <c r="BZ161" s="128">
        <f>IFERROR(AO161*$W161,)</f>
        <v/>
      </c>
      <c r="CA161" s="128">
        <f>IFERROR(AP161*$W161,)</f>
        <v/>
      </c>
      <c r="CB161" s="128">
        <f>IFERROR(AQ161*$W161,)</f>
        <v/>
      </c>
      <c r="CC161" s="128">
        <f>IFERROR(AR161*$W161,)</f>
        <v/>
      </c>
      <c r="CD161" s="128">
        <f>IFERROR(AS161*$W161,)</f>
        <v/>
      </c>
      <c r="CE161" s="128">
        <f>IFERROR(AT161*$W161,)</f>
        <v/>
      </c>
      <c r="CF161" s="128">
        <f>IFERROR(AU161*$W161,)</f>
        <v/>
      </c>
      <c r="CG161" s="128">
        <f>IFERROR(AV161*$W161,)</f>
        <v/>
      </c>
      <c r="CH161" s="128">
        <f>IFERROR(AW161*$W161,)</f>
        <v/>
      </c>
      <c r="CI161" s="128">
        <f>IFERROR(AX161*$W161,)</f>
        <v/>
      </c>
      <c r="CJ161" s="128">
        <f>IFERROR(AY161*$W161,)</f>
        <v/>
      </c>
      <c r="CK161" s="128">
        <f>IFERROR(AZ161*$W161,)</f>
        <v/>
      </c>
      <c r="CL161" s="129">
        <f>IFERROR(if($Y161=0,BA161*($W161/1.2),BA161*$Y161),"")</f>
        <v/>
      </c>
      <c r="CM161" s="129">
        <f>IFERROR(if($Y161=0,BB161*($W161/1.2),BB161*$Y161),"")</f>
        <v/>
      </c>
      <c r="CN161" s="129">
        <f>IFERROR(if($Y161=0,BC161*($W161/1.2),BC161*$Y161),"")</f>
        <v/>
      </c>
      <c r="CO161" s="130">
        <f>IFERROR(if($AA161=0,($W161/1.35)*BD161,BD161*$AA161),)</f>
        <v/>
      </c>
      <c r="CP161" s="130">
        <f>IFERROR(if($AA161=0,($W161/1.35)*BE161,BE161*$AA161),)</f>
        <v/>
      </c>
      <c r="CQ161" s="130">
        <f>IFERROR(if($AA161=0,($W161/1.35)*BF161,BF161*$AA161),)</f>
        <v/>
      </c>
      <c r="CR161" s="128">
        <f>IFERROR(if($AC161=0,($W161/0.74)*BG161,
BG161*$AC161),)</f>
        <v/>
      </c>
      <c r="CS161" s="128">
        <f>IFERROR(if($AC161=0,($W161/0.74)*BH161,
BH161*$AC161),)</f>
        <v/>
      </c>
      <c r="CT161" s="128">
        <f>IFERROR(if($AC161=0,($W161/0.74)*BI161,
BI161*$AC161),)</f>
        <v/>
      </c>
      <c r="CU161" s="128">
        <f>IFERROR(AI161*$V161,)</f>
        <v/>
      </c>
      <c r="CV161" s="128">
        <f>IFERROR(AJ161*$V161,)</f>
        <v/>
      </c>
      <c r="CW161" s="128">
        <f>IFERROR(AK161*$V161,)</f>
        <v/>
      </c>
      <c r="CX161" s="128">
        <f>IFERROR(AL161*$V161,)</f>
        <v/>
      </c>
      <c r="CY161" s="128">
        <f>IFERROR(AM161*$V161,)</f>
        <v/>
      </c>
      <c r="CZ161" s="128">
        <f>IFERROR(AN161*$V161,)</f>
        <v/>
      </c>
      <c r="DA161" s="128">
        <f>IFERROR(AO161*$V161,)</f>
        <v/>
      </c>
      <c r="DB161" s="128">
        <f>IFERROR(AP161*$V161,)</f>
        <v/>
      </c>
      <c r="DC161" s="128">
        <f>IFERROR(AQ161*$V161,)</f>
        <v/>
      </c>
      <c r="DD161" s="128">
        <f>IFERROR(AR161*$V161,)</f>
        <v/>
      </c>
      <c r="DE161" s="128">
        <f>IFERROR(AS161*$V161,)</f>
        <v/>
      </c>
      <c r="DF161" s="128">
        <f>IFERROR(AT161*$V161,)</f>
        <v/>
      </c>
      <c r="DG161" s="128">
        <f>IFERROR(AU161*$V161,)</f>
        <v/>
      </c>
      <c r="DH161" s="128">
        <f>IFERROR(AV161*$V161,)</f>
        <v/>
      </c>
      <c r="DI161" s="128">
        <f>IFERROR(AW161*$V161,)</f>
        <v/>
      </c>
      <c r="DJ161" s="128">
        <f>IFERROR(AX161*$V161,)</f>
        <v/>
      </c>
      <c r="DK161" s="128">
        <f>IFERROR(AY161*$V161,)</f>
        <v/>
      </c>
      <c r="DL161" s="128">
        <f>IFERROR(AZ161*$V161,)</f>
        <v/>
      </c>
      <c r="DM161" s="129">
        <f>IFERROR(if($X161=0,($V161/1.2)*BA161,
BA161*$X161),)</f>
        <v/>
      </c>
      <c r="DN161" s="129">
        <f>IFERROR(if($X161=0,($V161/1.2)*BB161,
BB161*$X161),)</f>
        <v/>
      </c>
      <c r="DO161" s="129">
        <f>IFERROR(if($X161=0,($V161/1.2)*BC161,
BC161*$X161),)</f>
        <v/>
      </c>
      <c r="DP161" s="130">
        <f>IFERROR(if($Z161=0,($V161/1.35)*BD161,
BD161*$Z161),)</f>
        <v/>
      </c>
      <c r="DQ161" s="130">
        <f>IFERROR(if($Z161=0,($V161/1.35)*BE161,
BE161*$Z161),)</f>
        <v/>
      </c>
      <c r="DR161" s="130">
        <f>IFERROR(if($Z161=0,($V161/1.35)*BF161,
BF161*$Z161),)</f>
        <v/>
      </c>
      <c r="DS161" s="128">
        <f>IFERROR(IF($AB161=0,($V161/0.74)*BG161,
BG161*$AB161),)</f>
        <v/>
      </c>
      <c r="DT161" s="128">
        <f>IFERROR(IF($AB161=0,($V161/0.74)*BH161,
BH161*$AB161),)</f>
        <v/>
      </c>
      <c r="DU161" s="128">
        <f>IFERROR(IF($AB161=0,($V161/0.74)*BI161,
BI161*$AB161),)</f>
        <v/>
      </c>
    </row>
    <row r="162" ht="131.25" customHeight="1" s="162">
      <c r="A162" s="115" t="n"/>
      <c r="B162" s="115" t="n"/>
      <c r="C162" s="115" t="n"/>
      <c r="D162" s="115" t="n"/>
      <c r="E162" s="115" t="n"/>
      <c r="F162" s="115" t="n"/>
      <c r="G162" s="115" t="n"/>
      <c r="H162" s="115" t="n"/>
      <c r="I162" s="115" t="n"/>
      <c r="J162" s="115" t="n"/>
      <c r="K162" s="115" t="n"/>
      <c r="L162" s="115" t="n"/>
      <c r="M162" s="115" t="n"/>
      <c r="N162" s="115" t="n"/>
      <c r="O162" s="115" t="n"/>
      <c r="P162" s="115" t="n"/>
      <c r="Q162" s="115" t="n"/>
      <c r="R162" s="115" t="n"/>
      <c r="S162" s="115" t="n"/>
      <c r="T162" s="115" t="n"/>
      <c r="U162" s="116" t="n"/>
      <c r="V162" s="116" t="n"/>
      <c r="W162" s="117" t="n"/>
      <c r="X162" s="118" t="n"/>
      <c r="Y162" s="119" t="n"/>
      <c r="Z162" s="120" t="n"/>
      <c r="AA162" s="121" t="n"/>
      <c r="AB162" s="122" t="n"/>
      <c r="AC162" s="117" t="n"/>
      <c r="AD162" s="123">
        <f>IF(SUM($AE162:$AH162)=0,"",SUM($AE162:$AH162))</f>
        <v/>
      </c>
      <c r="AE162" s="123">
        <f>iferror(IF(SUM($AI162:$AZ162)=0,"",SUM($AI162:$AZ162)),"")</f>
        <v/>
      </c>
      <c r="AF162" s="123">
        <f>iferror(IF(SUM($BA162:$BC162)=0,"",SUM($BA162:$BC162)),"")</f>
        <v/>
      </c>
      <c r="AG162" s="123">
        <f>iferror(IF(SUM($BD162:$BF162)=0,"",SUM($BD162:$BF162)),"")</f>
        <v/>
      </c>
      <c r="AH162" s="124">
        <f>iferror(IF(SUM($BG162:$BI162)=0,"",SUM($BG162:$BI162)),"")</f>
        <v/>
      </c>
      <c r="AI162" s="131" t="n"/>
      <c r="AJ162" s="132" t="n"/>
      <c r="AK162" s="132" t="n"/>
      <c r="AL162" s="132" t="n"/>
      <c r="AM162" s="132" t="n"/>
      <c r="AN162" s="132" t="n"/>
      <c r="AO162" s="132" t="n"/>
      <c r="AP162" s="132" t="n"/>
      <c r="AQ162" s="132" t="n"/>
      <c r="AR162" s="132" t="n"/>
      <c r="AS162" s="132" t="n"/>
      <c r="AT162" s="132" t="n"/>
      <c r="AU162" s="132" t="n"/>
      <c r="AV162" s="132" t="n"/>
      <c r="AW162" s="132" t="n"/>
      <c r="AX162" s="132" t="n"/>
      <c r="AY162" s="132" t="n"/>
      <c r="AZ162" s="133" t="n"/>
      <c r="BA162" s="131" t="n"/>
      <c r="BB162" s="132" t="n"/>
      <c r="BC162" s="133" t="n"/>
      <c r="BD162" s="131" t="n"/>
      <c r="BE162" s="132" t="n"/>
      <c r="BF162" s="133" t="n"/>
      <c r="BG162" s="131" t="n"/>
      <c r="BH162" s="132" t="n"/>
      <c r="BI162" s="132" t="n"/>
      <c r="BJ162" s="128">
        <f>iferror(SUM($BK162,($BL162*1.2),($BM162*1.35),($BN162*0.74)),)</f>
        <v/>
      </c>
      <c r="BK162" s="128">
        <f>IFERROR(SUM($BT162:$CK162),)</f>
        <v/>
      </c>
      <c r="BL162" s="129">
        <f>IFERROR(SUM($CL162:$CN162),)</f>
        <v/>
      </c>
      <c r="BM162" s="130">
        <f>IFERROR(SUM($CO162:$CQ162),)</f>
        <v/>
      </c>
      <c r="BN162" s="128">
        <f>IFERROR(SUM($CR162:$CT162),)</f>
        <v/>
      </c>
      <c r="BO162" s="128">
        <f>iferror(SUM($BP162,($BQ162*1.2),($BR162*1.35),($BS162*0.74)),)</f>
        <v/>
      </c>
      <c r="BP162" s="128">
        <f>IFERROR(SUM($CU162:$DL162),)</f>
        <v/>
      </c>
      <c r="BQ162" s="128">
        <f>IFERROR(SUM($DM162:$DO162),)</f>
        <v/>
      </c>
      <c r="BR162" s="128">
        <f>IFERROR(SUM($DP162:$DR162),)</f>
        <v/>
      </c>
      <c r="BS162" s="128">
        <f>IFERROR(SUM($DS162:$DU162),)</f>
        <v/>
      </c>
      <c r="BT162" s="128">
        <f>IFERROR(AI162*$W162,)</f>
        <v/>
      </c>
      <c r="BU162" s="128">
        <f>IFERROR(AJ162*$W162,)</f>
        <v/>
      </c>
      <c r="BV162" s="128">
        <f>IFERROR(AK162*$W162,)</f>
        <v/>
      </c>
      <c r="BW162" s="128">
        <f>IFERROR(AL162*$W162,)</f>
        <v/>
      </c>
      <c r="BX162" s="128">
        <f>IFERROR(AM162*$W162,)</f>
        <v/>
      </c>
      <c r="BY162" s="128">
        <f>IFERROR(AN162*$W162,)</f>
        <v/>
      </c>
      <c r="BZ162" s="128">
        <f>IFERROR(AO162*$W162,)</f>
        <v/>
      </c>
      <c r="CA162" s="128">
        <f>IFERROR(AP162*$W162,)</f>
        <v/>
      </c>
      <c r="CB162" s="128">
        <f>IFERROR(AQ162*$W162,)</f>
        <v/>
      </c>
      <c r="CC162" s="128">
        <f>IFERROR(AR162*$W162,)</f>
        <v/>
      </c>
      <c r="CD162" s="128">
        <f>IFERROR(AS162*$W162,)</f>
        <v/>
      </c>
      <c r="CE162" s="128">
        <f>IFERROR(AT162*$W162,)</f>
        <v/>
      </c>
      <c r="CF162" s="128">
        <f>IFERROR(AU162*$W162,)</f>
        <v/>
      </c>
      <c r="CG162" s="128">
        <f>IFERROR(AV162*$W162,)</f>
        <v/>
      </c>
      <c r="CH162" s="128">
        <f>IFERROR(AW162*$W162,)</f>
        <v/>
      </c>
      <c r="CI162" s="128">
        <f>IFERROR(AX162*$W162,)</f>
        <v/>
      </c>
      <c r="CJ162" s="128">
        <f>IFERROR(AY162*$W162,)</f>
        <v/>
      </c>
      <c r="CK162" s="128">
        <f>IFERROR(AZ162*$W162,)</f>
        <v/>
      </c>
      <c r="CL162" s="129">
        <f>IFERROR(if($Y162=0,BA162*($W162/1.2),BA162*$Y162),"")</f>
        <v/>
      </c>
      <c r="CM162" s="129">
        <f>IFERROR(if($Y162=0,BB162*($W162/1.2),BB162*$Y162),"")</f>
        <v/>
      </c>
      <c r="CN162" s="129">
        <f>IFERROR(if($Y162=0,BC162*($W162/1.2),BC162*$Y162),"")</f>
        <v/>
      </c>
      <c r="CO162" s="130">
        <f>IFERROR(if($AA162=0,($W162/1.35)*BD162,BD162*$AA162),)</f>
        <v/>
      </c>
      <c r="CP162" s="130">
        <f>IFERROR(if($AA162=0,($W162/1.35)*BE162,BE162*$AA162),)</f>
        <v/>
      </c>
      <c r="CQ162" s="130">
        <f>IFERROR(if($AA162=0,($W162/1.35)*BF162,BF162*$AA162),)</f>
        <v/>
      </c>
      <c r="CR162" s="128">
        <f>IFERROR(if($AC162=0,($W162/0.74)*BG162,
BG162*$AC162),)</f>
        <v/>
      </c>
      <c r="CS162" s="128">
        <f>IFERROR(if($AC162=0,($W162/0.74)*BH162,
BH162*$AC162),)</f>
        <v/>
      </c>
      <c r="CT162" s="128">
        <f>IFERROR(if($AC162=0,($W162/0.74)*BI162,
BI162*$AC162),)</f>
        <v/>
      </c>
      <c r="CU162" s="128">
        <f>IFERROR(AI162*$V162,)</f>
        <v/>
      </c>
      <c r="CV162" s="128">
        <f>IFERROR(AJ162*$V162,)</f>
        <v/>
      </c>
      <c r="CW162" s="128">
        <f>IFERROR(AK162*$V162,)</f>
        <v/>
      </c>
      <c r="CX162" s="128">
        <f>IFERROR(AL162*$V162,)</f>
        <v/>
      </c>
      <c r="CY162" s="128">
        <f>IFERROR(AM162*$V162,)</f>
        <v/>
      </c>
      <c r="CZ162" s="128">
        <f>IFERROR(AN162*$V162,)</f>
        <v/>
      </c>
      <c r="DA162" s="128">
        <f>IFERROR(AO162*$V162,)</f>
        <v/>
      </c>
      <c r="DB162" s="128">
        <f>IFERROR(AP162*$V162,)</f>
        <v/>
      </c>
      <c r="DC162" s="128">
        <f>IFERROR(AQ162*$V162,)</f>
        <v/>
      </c>
      <c r="DD162" s="128">
        <f>IFERROR(AR162*$V162,)</f>
        <v/>
      </c>
      <c r="DE162" s="128">
        <f>IFERROR(AS162*$V162,)</f>
        <v/>
      </c>
      <c r="DF162" s="128">
        <f>IFERROR(AT162*$V162,)</f>
        <v/>
      </c>
      <c r="DG162" s="128">
        <f>IFERROR(AU162*$V162,)</f>
        <v/>
      </c>
      <c r="DH162" s="128">
        <f>IFERROR(AV162*$V162,)</f>
        <v/>
      </c>
      <c r="DI162" s="128">
        <f>IFERROR(AW162*$V162,)</f>
        <v/>
      </c>
      <c r="DJ162" s="128">
        <f>IFERROR(AX162*$V162,)</f>
        <v/>
      </c>
      <c r="DK162" s="128">
        <f>IFERROR(AY162*$V162,)</f>
        <v/>
      </c>
      <c r="DL162" s="128">
        <f>IFERROR(AZ162*$V162,)</f>
        <v/>
      </c>
      <c r="DM162" s="129">
        <f>IFERROR(if($X162=0,($V162/1.2)*BA162,
BA162*$X162),)</f>
        <v/>
      </c>
      <c r="DN162" s="129">
        <f>IFERROR(if($X162=0,($V162/1.2)*BB162,
BB162*$X162),)</f>
        <v/>
      </c>
      <c r="DO162" s="129">
        <f>IFERROR(if($X162=0,($V162/1.2)*BC162,
BC162*$X162),)</f>
        <v/>
      </c>
      <c r="DP162" s="130">
        <f>IFERROR(if($Z162=0,($V162/1.35)*BD162,
BD162*$Z162),)</f>
        <v/>
      </c>
      <c r="DQ162" s="130">
        <f>IFERROR(if($Z162=0,($V162/1.35)*BE162,
BE162*$Z162),)</f>
        <v/>
      </c>
      <c r="DR162" s="130">
        <f>IFERROR(if($Z162=0,($V162/1.35)*BF162,
BF162*$Z162),)</f>
        <v/>
      </c>
      <c r="DS162" s="128">
        <f>IFERROR(IF($AB162=0,($V162/0.74)*BG162,
BG162*$AB162),)</f>
        <v/>
      </c>
      <c r="DT162" s="128">
        <f>IFERROR(IF($AB162=0,($V162/0.74)*BH162,
BH162*$AB162),)</f>
        <v/>
      </c>
      <c r="DU162" s="128">
        <f>IFERROR(IF($AB162=0,($V162/0.74)*BI162,
BI162*$AB162),)</f>
        <v/>
      </c>
    </row>
    <row r="163" ht="131.25" customHeight="1" s="162">
      <c r="A163" s="115" t="n"/>
      <c r="B163" s="115" t="n"/>
      <c r="C163" s="115" t="n"/>
      <c r="D163" s="115" t="n"/>
      <c r="E163" s="115" t="n"/>
      <c r="F163" s="115" t="n"/>
      <c r="G163" s="115" t="n"/>
      <c r="H163" s="115" t="n"/>
      <c r="I163" s="115" t="n"/>
      <c r="J163" s="115" t="n"/>
      <c r="K163" s="115" t="n"/>
      <c r="L163" s="115" t="n"/>
      <c r="M163" s="115" t="n"/>
      <c r="N163" s="115" t="n"/>
      <c r="O163" s="115" t="n"/>
      <c r="P163" s="115" t="n"/>
      <c r="Q163" s="115" t="n"/>
      <c r="R163" s="115" t="n"/>
      <c r="S163" s="115" t="n"/>
      <c r="T163" s="115" t="n"/>
      <c r="U163" s="116" t="n"/>
      <c r="V163" s="116" t="n"/>
      <c r="W163" s="117" t="n"/>
      <c r="X163" s="118" t="n"/>
      <c r="Y163" s="119" t="n"/>
      <c r="Z163" s="120" t="n"/>
      <c r="AA163" s="121" t="n"/>
      <c r="AB163" s="122" t="n"/>
      <c r="AC163" s="117" t="n"/>
      <c r="AD163" s="123">
        <f>IF(SUM($AE163:$AH163)=0,"",SUM($AE163:$AH163))</f>
        <v/>
      </c>
      <c r="AE163" s="123">
        <f>iferror(IF(SUM($AI163:$AZ163)=0,"",SUM($AI163:$AZ163)),"")</f>
        <v/>
      </c>
      <c r="AF163" s="123">
        <f>iferror(IF(SUM($BA163:$BC163)=0,"",SUM($BA163:$BC163)),"")</f>
        <v/>
      </c>
      <c r="AG163" s="123">
        <f>iferror(IF(SUM($BD163:$BF163)=0,"",SUM($BD163:$BF163)),"")</f>
        <v/>
      </c>
      <c r="AH163" s="124">
        <f>iferror(IF(SUM($BG163:$BI163)=0,"",SUM($BG163:$BI163)),"")</f>
        <v/>
      </c>
      <c r="AI163" s="131" t="n"/>
      <c r="AJ163" s="132" t="n"/>
      <c r="AK163" s="132" t="n"/>
      <c r="AL163" s="132" t="n"/>
      <c r="AM163" s="132" t="n"/>
      <c r="AN163" s="132" t="n"/>
      <c r="AO163" s="132" t="n"/>
      <c r="AP163" s="132" t="n"/>
      <c r="AQ163" s="132" t="n"/>
      <c r="AR163" s="132" t="n"/>
      <c r="AS163" s="132" t="n"/>
      <c r="AT163" s="132" t="n"/>
      <c r="AU163" s="132" t="n"/>
      <c r="AV163" s="132" t="n"/>
      <c r="AW163" s="132" t="n"/>
      <c r="AX163" s="132" t="n"/>
      <c r="AY163" s="132" t="n"/>
      <c r="AZ163" s="133" t="n"/>
      <c r="BA163" s="131" t="n"/>
      <c r="BB163" s="132" t="n"/>
      <c r="BC163" s="133" t="n"/>
      <c r="BD163" s="131" t="n"/>
      <c r="BE163" s="132" t="n"/>
      <c r="BF163" s="133" t="n"/>
      <c r="BG163" s="131" t="n"/>
      <c r="BH163" s="132" t="n"/>
      <c r="BI163" s="132" t="n"/>
      <c r="BJ163" s="128">
        <f>iferror(SUM($BK163,($BL163*1.2),($BM163*1.35),($BN163*0.74)),)</f>
        <v/>
      </c>
      <c r="BK163" s="128">
        <f>IFERROR(SUM($BT163:$CK163),)</f>
        <v/>
      </c>
      <c r="BL163" s="129">
        <f>IFERROR(SUM($CL163:$CN163),)</f>
        <v/>
      </c>
      <c r="BM163" s="130">
        <f>IFERROR(SUM($CO163:$CQ163),)</f>
        <v/>
      </c>
      <c r="BN163" s="128">
        <f>IFERROR(SUM($CR163:$CT163),)</f>
        <v/>
      </c>
      <c r="BO163" s="128">
        <f>iferror(SUM($BP163,($BQ163*1.2),($BR163*1.35),($BS163*0.74)),)</f>
        <v/>
      </c>
      <c r="BP163" s="128">
        <f>IFERROR(SUM($CU163:$DL163),)</f>
        <v/>
      </c>
      <c r="BQ163" s="128">
        <f>IFERROR(SUM($DM163:$DO163),)</f>
        <v/>
      </c>
      <c r="BR163" s="128">
        <f>IFERROR(SUM($DP163:$DR163),)</f>
        <v/>
      </c>
      <c r="BS163" s="128">
        <f>IFERROR(SUM($DS163:$DU163),)</f>
        <v/>
      </c>
      <c r="BT163" s="128">
        <f>IFERROR(AI163*$W163,)</f>
        <v/>
      </c>
      <c r="BU163" s="128">
        <f>IFERROR(AJ163*$W163,)</f>
        <v/>
      </c>
      <c r="BV163" s="128">
        <f>IFERROR(AK163*$W163,)</f>
        <v/>
      </c>
      <c r="BW163" s="128">
        <f>IFERROR(AL163*$W163,)</f>
        <v/>
      </c>
      <c r="BX163" s="128">
        <f>IFERROR(AM163*$W163,)</f>
        <v/>
      </c>
      <c r="BY163" s="128">
        <f>IFERROR(AN163*$W163,)</f>
        <v/>
      </c>
      <c r="BZ163" s="128">
        <f>IFERROR(AO163*$W163,)</f>
        <v/>
      </c>
      <c r="CA163" s="128">
        <f>IFERROR(AP163*$W163,)</f>
        <v/>
      </c>
      <c r="CB163" s="128">
        <f>IFERROR(AQ163*$W163,)</f>
        <v/>
      </c>
      <c r="CC163" s="128">
        <f>IFERROR(AR163*$W163,)</f>
        <v/>
      </c>
      <c r="CD163" s="128">
        <f>IFERROR(AS163*$W163,)</f>
        <v/>
      </c>
      <c r="CE163" s="128">
        <f>IFERROR(AT163*$W163,)</f>
        <v/>
      </c>
      <c r="CF163" s="128">
        <f>IFERROR(AU163*$W163,)</f>
        <v/>
      </c>
      <c r="CG163" s="128">
        <f>IFERROR(AV163*$W163,)</f>
        <v/>
      </c>
      <c r="CH163" s="128">
        <f>IFERROR(AW163*$W163,)</f>
        <v/>
      </c>
      <c r="CI163" s="128">
        <f>IFERROR(AX163*$W163,)</f>
        <v/>
      </c>
      <c r="CJ163" s="128">
        <f>IFERROR(AY163*$W163,)</f>
        <v/>
      </c>
      <c r="CK163" s="128">
        <f>IFERROR(AZ163*$W163,)</f>
        <v/>
      </c>
      <c r="CL163" s="129">
        <f>IFERROR(if($Y163=0,BA163*($W163/1.2),BA163*$Y163),"")</f>
        <v/>
      </c>
      <c r="CM163" s="129">
        <f>IFERROR(if($Y163=0,BB163*($W163/1.2),BB163*$Y163),"")</f>
        <v/>
      </c>
      <c r="CN163" s="129">
        <f>IFERROR(if($Y163=0,BC163*($W163/1.2),BC163*$Y163),"")</f>
        <v/>
      </c>
      <c r="CO163" s="130">
        <f>IFERROR(if($AA163=0,($W163/1.35)*BD163,BD163*$AA163),)</f>
        <v/>
      </c>
      <c r="CP163" s="130">
        <f>IFERROR(if($AA163=0,($W163/1.35)*BE163,BE163*$AA163),)</f>
        <v/>
      </c>
      <c r="CQ163" s="130">
        <f>IFERROR(if($AA163=0,($W163/1.35)*BF163,BF163*$AA163),)</f>
        <v/>
      </c>
      <c r="CR163" s="128">
        <f>IFERROR(if($AC163=0,($W163/0.74)*BG163,
BG163*$AC163),)</f>
        <v/>
      </c>
      <c r="CS163" s="128">
        <f>IFERROR(if($AC163=0,($W163/0.74)*BH163,
BH163*$AC163),)</f>
        <v/>
      </c>
      <c r="CT163" s="128">
        <f>IFERROR(if($AC163=0,($W163/0.74)*BI163,
BI163*$AC163),)</f>
        <v/>
      </c>
      <c r="CU163" s="128">
        <f>IFERROR(AI163*$V163,)</f>
        <v/>
      </c>
      <c r="CV163" s="128">
        <f>IFERROR(AJ163*$V163,)</f>
        <v/>
      </c>
      <c r="CW163" s="128">
        <f>IFERROR(AK163*$V163,)</f>
        <v/>
      </c>
      <c r="CX163" s="128">
        <f>IFERROR(AL163*$V163,)</f>
        <v/>
      </c>
      <c r="CY163" s="128">
        <f>IFERROR(AM163*$V163,)</f>
        <v/>
      </c>
      <c r="CZ163" s="128">
        <f>IFERROR(AN163*$V163,)</f>
        <v/>
      </c>
      <c r="DA163" s="128">
        <f>IFERROR(AO163*$V163,)</f>
        <v/>
      </c>
      <c r="DB163" s="128">
        <f>IFERROR(AP163*$V163,)</f>
        <v/>
      </c>
      <c r="DC163" s="128">
        <f>IFERROR(AQ163*$V163,)</f>
        <v/>
      </c>
      <c r="DD163" s="128">
        <f>IFERROR(AR163*$V163,)</f>
        <v/>
      </c>
      <c r="DE163" s="128">
        <f>IFERROR(AS163*$V163,)</f>
        <v/>
      </c>
      <c r="DF163" s="128">
        <f>IFERROR(AT163*$V163,)</f>
        <v/>
      </c>
      <c r="DG163" s="128">
        <f>IFERROR(AU163*$V163,)</f>
        <v/>
      </c>
      <c r="DH163" s="128">
        <f>IFERROR(AV163*$V163,)</f>
        <v/>
      </c>
      <c r="DI163" s="128">
        <f>IFERROR(AW163*$V163,)</f>
        <v/>
      </c>
      <c r="DJ163" s="128">
        <f>IFERROR(AX163*$V163,)</f>
        <v/>
      </c>
      <c r="DK163" s="128">
        <f>IFERROR(AY163*$V163,)</f>
        <v/>
      </c>
      <c r="DL163" s="128">
        <f>IFERROR(AZ163*$V163,)</f>
        <v/>
      </c>
      <c r="DM163" s="129">
        <f>IFERROR(if($X163=0,($V163/1.2)*BA163,
BA163*$X163),)</f>
        <v/>
      </c>
      <c r="DN163" s="129">
        <f>IFERROR(if($X163=0,($V163/1.2)*BB163,
BB163*$X163),)</f>
        <v/>
      </c>
      <c r="DO163" s="129">
        <f>IFERROR(if($X163=0,($V163/1.2)*BC163,
BC163*$X163),)</f>
        <v/>
      </c>
      <c r="DP163" s="130">
        <f>IFERROR(if($Z163=0,($V163/1.35)*BD163,
BD163*$Z163),)</f>
        <v/>
      </c>
      <c r="DQ163" s="130">
        <f>IFERROR(if($Z163=0,($V163/1.35)*BE163,
BE163*$Z163),)</f>
        <v/>
      </c>
      <c r="DR163" s="130">
        <f>IFERROR(if($Z163=0,($V163/1.35)*BF163,
BF163*$Z163),)</f>
        <v/>
      </c>
      <c r="DS163" s="128">
        <f>IFERROR(IF($AB163=0,($V163/0.74)*BG163,
BG163*$AB163),)</f>
        <v/>
      </c>
      <c r="DT163" s="128">
        <f>IFERROR(IF($AB163=0,($V163/0.74)*BH163,
BH163*$AB163),)</f>
        <v/>
      </c>
      <c r="DU163" s="128">
        <f>IFERROR(IF($AB163=0,($V163/0.74)*BI163,
BI163*$AB163),)</f>
        <v/>
      </c>
    </row>
    <row r="164" ht="131.25" customHeight="1" s="162">
      <c r="A164" s="115" t="n"/>
      <c r="B164" s="115" t="n"/>
      <c r="C164" s="115" t="n"/>
      <c r="D164" s="115" t="n"/>
      <c r="E164" s="115" t="n"/>
      <c r="F164" s="115" t="n"/>
      <c r="G164" s="115" t="n"/>
      <c r="H164" s="115" t="n"/>
      <c r="I164" s="115" t="n"/>
      <c r="J164" s="115" t="n"/>
      <c r="K164" s="115" t="n"/>
      <c r="L164" s="115" t="n"/>
      <c r="M164" s="115" t="n"/>
      <c r="N164" s="115" t="n"/>
      <c r="O164" s="115" t="n"/>
      <c r="P164" s="115" t="n"/>
      <c r="Q164" s="115" t="n"/>
      <c r="R164" s="115" t="n"/>
      <c r="S164" s="115" t="n"/>
      <c r="T164" s="115" t="n"/>
      <c r="U164" s="116" t="n"/>
      <c r="V164" s="116" t="n"/>
      <c r="W164" s="117" t="n"/>
      <c r="X164" s="118" t="n"/>
      <c r="Y164" s="119" t="n"/>
      <c r="Z164" s="120" t="n"/>
      <c r="AA164" s="121" t="n"/>
      <c r="AB164" s="122" t="n"/>
      <c r="AC164" s="117" t="n"/>
      <c r="AD164" s="123">
        <f>IF(SUM($AE164:$AH164)=0,"",SUM($AE164:$AH164))</f>
        <v/>
      </c>
      <c r="AE164" s="123">
        <f>iferror(IF(SUM($AI164:$AZ164)=0,"",SUM($AI164:$AZ164)),"")</f>
        <v/>
      </c>
      <c r="AF164" s="123">
        <f>iferror(IF(SUM($BA164:$BC164)=0,"",SUM($BA164:$BC164)),"")</f>
        <v/>
      </c>
      <c r="AG164" s="123">
        <f>iferror(IF(SUM($BD164:$BF164)=0,"",SUM($BD164:$BF164)),"")</f>
        <v/>
      </c>
      <c r="AH164" s="124">
        <f>iferror(IF(SUM($BG164:$BI164)=0,"",SUM($BG164:$BI164)),"")</f>
        <v/>
      </c>
      <c r="AI164" s="131" t="n"/>
      <c r="AJ164" s="132" t="n"/>
      <c r="AK164" s="132" t="n"/>
      <c r="AL164" s="132" t="n"/>
      <c r="AM164" s="132" t="n"/>
      <c r="AN164" s="132" t="n"/>
      <c r="AO164" s="132" t="n"/>
      <c r="AP164" s="132" t="n"/>
      <c r="AQ164" s="132" t="n"/>
      <c r="AR164" s="132" t="n"/>
      <c r="AS164" s="132" t="n"/>
      <c r="AT164" s="132" t="n"/>
      <c r="AU164" s="132" t="n"/>
      <c r="AV164" s="132" t="n"/>
      <c r="AW164" s="132" t="n"/>
      <c r="AX164" s="132" t="n"/>
      <c r="AY164" s="132" t="n"/>
      <c r="AZ164" s="133" t="n"/>
      <c r="BA164" s="131" t="n"/>
      <c r="BB164" s="132" t="n"/>
      <c r="BC164" s="133" t="n"/>
      <c r="BD164" s="131" t="n"/>
      <c r="BE164" s="132" t="n"/>
      <c r="BF164" s="133" t="n"/>
      <c r="BG164" s="131" t="n"/>
      <c r="BH164" s="132" t="n"/>
      <c r="BI164" s="132" t="n"/>
      <c r="BJ164" s="128">
        <f>iferror(SUM($BK164,($BL164*1.2),($BM164*1.35),($BN164*0.74)),)</f>
        <v/>
      </c>
      <c r="BK164" s="128">
        <f>IFERROR(SUM($BT164:$CK164),)</f>
        <v/>
      </c>
      <c r="BL164" s="129">
        <f>IFERROR(SUM($CL164:$CN164),)</f>
        <v/>
      </c>
      <c r="BM164" s="130">
        <f>IFERROR(SUM($CO164:$CQ164),)</f>
        <v/>
      </c>
      <c r="BN164" s="128">
        <f>IFERROR(SUM($CR164:$CT164),)</f>
        <v/>
      </c>
      <c r="BO164" s="128">
        <f>iferror(SUM($BP164,($BQ164*1.2),($BR164*1.35),($BS164*0.74)),)</f>
        <v/>
      </c>
      <c r="BP164" s="128">
        <f>IFERROR(SUM($CU164:$DL164),)</f>
        <v/>
      </c>
      <c r="BQ164" s="128">
        <f>IFERROR(SUM($DM164:$DO164),)</f>
        <v/>
      </c>
      <c r="BR164" s="128">
        <f>IFERROR(SUM($DP164:$DR164),)</f>
        <v/>
      </c>
      <c r="BS164" s="128">
        <f>IFERROR(SUM($DS164:$DU164),)</f>
        <v/>
      </c>
      <c r="BT164" s="128">
        <f>IFERROR(AI164*$W164,)</f>
        <v/>
      </c>
      <c r="BU164" s="128">
        <f>IFERROR(AJ164*$W164,)</f>
        <v/>
      </c>
      <c r="BV164" s="128">
        <f>IFERROR(AK164*$W164,)</f>
        <v/>
      </c>
      <c r="BW164" s="128">
        <f>IFERROR(AL164*$W164,)</f>
        <v/>
      </c>
      <c r="BX164" s="128">
        <f>IFERROR(AM164*$W164,)</f>
        <v/>
      </c>
      <c r="BY164" s="128">
        <f>IFERROR(AN164*$W164,)</f>
        <v/>
      </c>
      <c r="BZ164" s="128">
        <f>IFERROR(AO164*$W164,)</f>
        <v/>
      </c>
      <c r="CA164" s="128">
        <f>IFERROR(AP164*$W164,)</f>
        <v/>
      </c>
      <c r="CB164" s="128">
        <f>IFERROR(AQ164*$W164,)</f>
        <v/>
      </c>
      <c r="CC164" s="128">
        <f>IFERROR(AR164*$W164,)</f>
        <v/>
      </c>
      <c r="CD164" s="128">
        <f>IFERROR(AS164*$W164,)</f>
        <v/>
      </c>
      <c r="CE164" s="128">
        <f>IFERROR(AT164*$W164,)</f>
        <v/>
      </c>
      <c r="CF164" s="128">
        <f>IFERROR(AU164*$W164,)</f>
        <v/>
      </c>
      <c r="CG164" s="128">
        <f>IFERROR(AV164*$W164,)</f>
        <v/>
      </c>
      <c r="CH164" s="128">
        <f>IFERROR(AW164*$W164,)</f>
        <v/>
      </c>
      <c r="CI164" s="128">
        <f>IFERROR(AX164*$W164,)</f>
        <v/>
      </c>
      <c r="CJ164" s="128">
        <f>IFERROR(AY164*$W164,)</f>
        <v/>
      </c>
      <c r="CK164" s="128">
        <f>IFERROR(AZ164*$W164,)</f>
        <v/>
      </c>
      <c r="CL164" s="129">
        <f>IFERROR(if($Y164=0,BA164*($W164/1.2),BA164*$Y164),"")</f>
        <v/>
      </c>
      <c r="CM164" s="129">
        <f>IFERROR(if($Y164=0,BB164*($W164/1.2),BB164*$Y164),"")</f>
        <v/>
      </c>
      <c r="CN164" s="129">
        <f>IFERROR(if($Y164=0,BC164*($W164/1.2),BC164*$Y164),"")</f>
        <v/>
      </c>
      <c r="CO164" s="130">
        <f>IFERROR(if($AA164=0,($W164/1.35)*BD164,BD164*$AA164),)</f>
        <v/>
      </c>
      <c r="CP164" s="130">
        <f>IFERROR(if($AA164=0,($W164/1.35)*BE164,BE164*$AA164),)</f>
        <v/>
      </c>
      <c r="CQ164" s="130">
        <f>IFERROR(if($AA164=0,($W164/1.35)*BF164,BF164*$AA164),)</f>
        <v/>
      </c>
      <c r="CR164" s="128">
        <f>IFERROR(if($AC164=0,($W164/0.74)*BG164,
BG164*$AC164),)</f>
        <v/>
      </c>
      <c r="CS164" s="128">
        <f>IFERROR(if($AC164=0,($W164/0.74)*BH164,
BH164*$AC164),)</f>
        <v/>
      </c>
      <c r="CT164" s="128">
        <f>IFERROR(if($AC164=0,($W164/0.74)*BI164,
BI164*$AC164),)</f>
        <v/>
      </c>
      <c r="CU164" s="128">
        <f>IFERROR(AI164*$V164,)</f>
        <v/>
      </c>
      <c r="CV164" s="128">
        <f>IFERROR(AJ164*$V164,)</f>
        <v/>
      </c>
      <c r="CW164" s="128">
        <f>IFERROR(AK164*$V164,)</f>
        <v/>
      </c>
      <c r="CX164" s="128">
        <f>IFERROR(AL164*$V164,)</f>
        <v/>
      </c>
      <c r="CY164" s="128">
        <f>IFERROR(AM164*$V164,)</f>
        <v/>
      </c>
      <c r="CZ164" s="128">
        <f>IFERROR(AN164*$V164,)</f>
        <v/>
      </c>
      <c r="DA164" s="128">
        <f>IFERROR(AO164*$V164,)</f>
        <v/>
      </c>
      <c r="DB164" s="128">
        <f>IFERROR(AP164*$V164,)</f>
        <v/>
      </c>
      <c r="DC164" s="128">
        <f>IFERROR(AQ164*$V164,)</f>
        <v/>
      </c>
      <c r="DD164" s="128">
        <f>IFERROR(AR164*$V164,)</f>
        <v/>
      </c>
      <c r="DE164" s="128">
        <f>IFERROR(AS164*$V164,)</f>
        <v/>
      </c>
      <c r="DF164" s="128">
        <f>IFERROR(AT164*$V164,)</f>
        <v/>
      </c>
      <c r="DG164" s="128">
        <f>IFERROR(AU164*$V164,)</f>
        <v/>
      </c>
      <c r="DH164" s="128">
        <f>IFERROR(AV164*$V164,)</f>
        <v/>
      </c>
      <c r="DI164" s="128">
        <f>IFERROR(AW164*$V164,)</f>
        <v/>
      </c>
      <c r="DJ164" s="128">
        <f>IFERROR(AX164*$V164,)</f>
        <v/>
      </c>
      <c r="DK164" s="128">
        <f>IFERROR(AY164*$V164,)</f>
        <v/>
      </c>
      <c r="DL164" s="128">
        <f>IFERROR(AZ164*$V164,)</f>
        <v/>
      </c>
      <c r="DM164" s="129">
        <f>IFERROR(if($X164=0,($V164/1.2)*BA164,
BA164*$X164),)</f>
        <v/>
      </c>
      <c r="DN164" s="129">
        <f>IFERROR(if($X164=0,($V164/1.2)*BB164,
BB164*$X164),)</f>
        <v/>
      </c>
      <c r="DO164" s="129">
        <f>IFERROR(if($X164=0,($V164/1.2)*BC164,
BC164*$X164),)</f>
        <v/>
      </c>
      <c r="DP164" s="130">
        <f>IFERROR(if($Z164=0,($V164/1.35)*BD164,
BD164*$Z164),)</f>
        <v/>
      </c>
      <c r="DQ164" s="130">
        <f>IFERROR(if($Z164=0,($V164/1.35)*BE164,
BE164*$Z164),)</f>
        <v/>
      </c>
      <c r="DR164" s="130">
        <f>IFERROR(if($Z164=0,($V164/1.35)*BF164,
BF164*$Z164),)</f>
        <v/>
      </c>
      <c r="DS164" s="128">
        <f>IFERROR(IF($AB164=0,($V164/0.74)*BG164,
BG164*$AB164),)</f>
        <v/>
      </c>
      <c r="DT164" s="128">
        <f>IFERROR(IF($AB164=0,($V164/0.74)*BH164,
BH164*$AB164),)</f>
        <v/>
      </c>
      <c r="DU164" s="128">
        <f>IFERROR(IF($AB164=0,($V164/0.74)*BI164,
BI164*$AB164),)</f>
        <v/>
      </c>
    </row>
    <row r="165" ht="131.25" customHeight="1" s="162">
      <c r="A165" s="115" t="n"/>
      <c r="B165" s="115" t="n"/>
      <c r="C165" s="115" t="n"/>
      <c r="D165" s="115" t="n"/>
      <c r="E165" s="115" t="n"/>
      <c r="F165" s="115" t="n"/>
      <c r="G165" s="115" t="n"/>
      <c r="H165" s="115" t="n"/>
      <c r="I165" s="115" t="n"/>
      <c r="J165" s="115" t="n"/>
      <c r="K165" s="115" t="n"/>
      <c r="L165" s="115" t="n"/>
      <c r="M165" s="115" t="n"/>
      <c r="N165" s="115" t="n"/>
      <c r="O165" s="115" t="n"/>
      <c r="P165" s="115" t="n"/>
      <c r="Q165" s="115" t="n"/>
      <c r="R165" s="115" t="n"/>
      <c r="S165" s="115" t="n"/>
      <c r="T165" s="115" t="n"/>
      <c r="U165" s="116" t="n"/>
      <c r="V165" s="116" t="n"/>
      <c r="W165" s="117" t="n"/>
      <c r="X165" s="118" t="n"/>
      <c r="Y165" s="119" t="n"/>
      <c r="Z165" s="120" t="n"/>
      <c r="AA165" s="121" t="n"/>
      <c r="AB165" s="122" t="n"/>
      <c r="AC165" s="117" t="n"/>
      <c r="AD165" s="123">
        <f>IF(SUM($AE165:$AH165)=0,"",SUM($AE165:$AH165))</f>
        <v/>
      </c>
      <c r="AE165" s="123">
        <f>iferror(IF(SUM($AI165:$AZ165)=0,"",SUM($AI165:$AZ165)),"")</f>
        <v/>
      </c>
      <c r="AF165" s="123">
        <f>iferror(IF(SUM($BA165:$BC165)=0,"",SUM($BA165:$BC165)),"")</f>
        <v/>
      </c>
      <c r="AG165" s="123">
        <f>iferror(IF(SUM($BD165:$BF165)=0,"",SUM($BD165:$BF165)),"")</f>
        <v/>
      </c>
      <c r="AH165" s="124">
        <f>iferror(IF(SUM($BG165:$BI165)=0,"",SUM($BG165:$BI165)),"")</f>
        <v/>
      </c>
      <c r="AI165" s="131" t="n"/>
      <c r="AJ165" s="132" t="n"/>
      <c r="AK165" s="132" t="n"/>
      <c r="AL165" s="132" t="n"/>
      <c r="AM165" s="132" t="n"/>
      <c r="AN165" s="132" t="n"/>
      <c r="AO165" s="132" t="n"/>
      <c r="AP165" s="132" t="n"/>
      <c r="AQ165" s="132" t="n"/>
      <c r="AR165" s="132" t="n"/>
      <c r="AS165" s="132" t="n"/>
      <c r="AT165" s="132" t="n"/>
      <c r="AU165" s="132" t="n"/>
      <c r="AV165" s="132" t="n"/>
      <c r="AW165" s="132" t="n"/>
      <c r="AX165" s="132" t="n"/>
      <c r="AY165" s="132" t="n"/>
      <c r="AZ165" s="133" t="n"/>
      <c r="BA165" s="131" t="n"/>
      <c r="BB165" s="132" t="n"/>
      <c r="BC165" s="133" t="n"/>
      <c r="BD165" s="131" t="n"/>
      <c r="BE165" s="132" t="n"/>
      <c r="BF165" s="133" t="n"/>
      <c r="BG165" s="131" t="n"/>
      <c r="BH165" s="132" t="n"/>
      <c r="BI165" s="132" t="n"/>
      <c r="BJ165" s="128">
        <f>iferror(SUM($BK165,($BL165*1.2),($BM165*1.35),($BN165*0.74)),)</f>
        <v/>
      </c>
      <c r="BK165" s="128">
        <f>IFERROR(SUM($BT165:$CK165),)</f>
        <v/>
      </c>
      <c r="BL165" s="129">
        <f>IFERROR(SUM($CL165:$CN165),)</f>
        <v/>
      </c>
      <c r="BM165" s="130">
        <f>IFERROR(SUM($CO165:$CQ165),)</f>
        <v/>
      </c>
      <c r="BN165" s="128">
        <f>IFERROR(SUM($CR165:$CT165),)</f>
        <v/>
      </c>
      <c r="BO165" s="128">
        <f>iferror(SUM($BP165,($BQ165*1.2),($BR165*1.35),($BS165*0.74)),)</f>
        <v/>
      </c>
      <c r="BP165" s="128">
        <f>IFERROR(SUM($CU165:$DL165),)</f>
        <v/>
      </c>
      <c r="BQ165" s="128">
        <f>IFERROR(SUM($DM165:$DO165),)</f>
        <v/>
      </c>
      <c r="BR165" s="128">
        <f>IFERROR(SUM($DP165:$DR165),)</f>
        <v/>
      </c>
      <c r="BS165" s="128">
        <f>IFERROR(SUM($DS165:$DU165),)</f>
        <v/>
      </c>
      <c r="BT165" s="128">
        <f>IFERROR(AI165*$W165,)</f>
        <v/>
      </c>
      <c r="BU165" s="128">
        <f>IFERROR(AJ165*$W165,)</f>
        <v/>
      </c>
      <c r="BV165" s="128">
        <f>IFERROR(AK165*$W165,)</f>
        <v/>
      </c>
      <c r="BW165" s="128">
        <f>IFERROR(AL165*$W165,)</f>
        <v/>
      </c>
      <c r="BX165" s="128">
        <f>IFERROR(AM165*$W165,)</f>
        <v/>
      </c>
      <c r="BY165" s="128">
        <f>IFERROR(AN165*$W165,)</f>
        <v/>
      </c>
      <c r="BZ165" s="128">
        <f>IFERROR(AO165*$W165,)</f>
        <v/>
      </c>
      <c r="CA165" s="128">
        <f>IFERROR(AP165*$W165,)</f>
        <v/>
      </c>
      <c r="CB165" s="128">
        <f>IFERROR(AQ165*$W165,)</f>
        <v/>
      </c>
      <c r="CC165" s="128">
        <f>IFERROR(AR165*$W165,)</f>
        <v/>
      </c>
      <c r="CD165" s="128">
        <f>IFERROR(AS165*$W165,)</f>
        <v/>
      </c>
      <c r="CE165" s="128">
        <f>IFERROR(AT165*$W165,)</f>
        <v/>
      </c>
      <c r="CF165" s="128">
        <f>IFERROR(AU165*$W165,)</f>
        <v/>
      </c>
      <c r="CG165" s="128">
        <f>IFERROR(AV165*$W165,)</f>
        <v/>
      </c>
      <c r="CH165" s="128">
        <f>IFERROR(AW165*$W165,)</f>
        <v/>
      </c>
      <c r="CI165" s="128">
        <f>IFERROR(AX165*$W165,)</f>
        <v/>
      </c>
      <c r="CJ165" s="128">
        <f>IFERROR(AY165*$W165,)</f>
        <v/>
      </c>
      <c r="CK165" s="128">
        <f>IFERROR(AZ165*$W165,)</f>
        <v/>
      </c>
      <c r="CL165" s="129">
        <f>IFERROR(if($Y165=0,BA165*($W165/1.2),BA165*$Y165),"")</f>
        <v/>
      </c>
      <c r="CM165" s="129">
        <f>IFERROR(if($Y165=0,BB165*($W165/1.2),BB165*$Y165),"")</f>
        <v/>
      </c>
      <c r="CN165" s="129">
        <f>IFERROR(if($Y165=0,BC165*($W165/1.2),BC165*$Y165),"")</f>
        <v/>
      </c>
      <c r="CO165" s="130">
        <f>IFERROR(if($AA165=0,($W165/1.35)*BD165,BD165*$AA165),)</f>
        <v/>
      </c>
      <c r="CP165" s="130">
        <f>IFERROR(if($AA165=0,($W165/1.35)*BE165,BE165*$AA165),)</f>
        <v/>
      </c>
      <c r="CQ165" s="130">
        <f>IFERROR(if($AA165=0,($W165/1.35)*BF165,BF165*$AA165),)</f>
        <v/>
      </c>
      <c r="CR165" s="128">
        <f>IFERROR(if($AC165=0,($W165/0.74)*BG165,
BG165*$AC165),)</f>
        <v/>
      </c>
      <c r="CS165" s="128">
        <f>IFERROR(if($AC165=0,($W165/0.74)*BH165,
BH165*$AC165),)</f>
        <v/>
      </c>
      <c r="CT165" s="128">
        <f>IFERROR(if($AC165=0,($W165/0.74)*BI165,
BI165*$AC165),)</f>
        <v/>
      </c>
      <c r="CU165" s="128">
        <f>IFERROR(AI165*$V165,)</f>
        <v/>
      </c>
      <c r="CV165" s="128">
        <f>IFERROR(AJ165*$V165,)</f>
        <v/>
      </c>
      <c r="CW165" s="128">
        <f>IFERROR(AK165*$V165,)</f>
        <v/>
      </c>
      <c r="CX165" s="128">
        <f>IFERROR(AL165*$V165,)</f>
        <v/>
      </c>
      <c r="CY165" s="128">
        <f>IFERROR(AM165*$V165,)</f>
        <v/>
      </c>
      <c r="CZ165" s="128">
        <f>IFERROR(AN165*$V165,)</f>
        <v/>
      </c>
      <c r="DA165" s="128">
        <f>IFERROR(AO165*$V165,)</f>
        <v/>
      </c>
      <c r="DB165" s="128">
        <f>IFERROR(AP165*$V165,)</f>
        <v/>
      </c>
      <c r="DC165" s="128">
        <f>IFERROR(AQ165*$V165,)</f>
        <v/>
      </c>
      <c r="DD165" s="128">
        <f>IFERROR(AR165*$V165,)</f>
        <v/>
      </c>
      <c r="DE165" s="128">
        <f>IFERROR(AS165*$V165,)</f>
        <v/>
      </c>
      <c r="DF165" s="128">
        <f>IFERROR(AT165*$V165,)</f>
        <v/>
      </c>
      <c r="DG165" s="128">
        <f>IFERROR(AU165*$V165,)</f>
        <v/>
      </c>
      <c r="DH165" s="128">
        <f>IFERROR(AV165*$V165,)</f>
        <v/>
      </c>
      <c r="DI165" s="128">
        <f>IFERROR(AW165*$V165,)</f>
        <v/>
      </c>
      <c r="DJ165" s="128">
        <f>IFERROR(AX165*$V165,)</f>
        <v/>
      </c>
      <c r="DK165" s="128">
        <f>IFERROR(AY165*$V165,)</f>
        <v/>
      </c>
      <c r="DL165" s="128">
        <f>IFERROR(AZ165*$V165,)</f>
        <v/>
      </c>
      <c r="DM165" s="129">
        <f>IFERROR(if($X165=0,($V165/1.2)*BA165,
BA165*$X165),)</f>
        <v/>
      </c>
      <c r="DN165" s="129">
        <f>IFERROR(if($X165=0,($V165/1.2)*BB165,
BB165*$X165),)</f>
        <v/>
      </c>
      <c r="DO165" s="129">
        <f>IFERROR(if($X165=0,($V165/1.2)*BC165,
BC165*$X165),)</f>
        <v/>
      </c>
      <c r="DP165" s="130">
        <f>IFERROR(if($Z165=0,($V165/1.35)*BD165,
BD165*$Z165),)</f>
        <v/>
      </c>
      <c r="DQ165" s="130">
        <f>IFERROR(if($Z165=0,($V165/1.35)*BE165,
BE165*$Z165),)</f>
        <v/>
      </c>
      <c r="DR165" s="130">
        <f>IFERROR(if($Z165=0,($V165/1.35)*BF165,
BF165*$Z165),)</f>
        <v/>
      </c>
      <c r="DS165" s="128">
        <f>IFERROR(IF($AB165=0,($V165/0.74)*BG165,
BG165*$AB165),)</f>
        <v/>
      </c>
      <c r="DT165" s="128">
        <f>IFERROR(IF($AB165=0,($V165/0.74)*BH165,
BH165*$AB165),)</f>
        <v/>
      </c>
      <c r="DU165" s="128">
        <f>IFERROR(IF($AB165=0,($V165/0.74)*BI165,
BI165*$AB165),)</f>
        <v/>
      </c>
    </row>
    <row r="166" ht="131.25" customHeight="1" s="162">
      <c r="A166" s="115" t="n"/>
      <c r="B166" s="115" t="n"/>
      <c r="C166" s="115" t="n"/>
      <c r="D166" s="115" t="n"/>
      <c r="E166" s="115" t="n"/>
      <c r="F166" s="115" t="n"/>
      <c r="G166" s="115" t="n"/>
      <c r="H166" s="115" t="n"/>
      <c r="I166" s="115" t="n"/>
      <c r="J166" s="115" t="n"/>
      <c r="K166" s="115" t="n"/>
      <c r="L166" s="115" t="n"/>
      <c r="M166" s="115" t="n"/>
      <c r="N166" s="115" t="n"/>
      <c r="O166" s="115" t="n"/>
      <c r="P166" s="115" t="n"/>
      <c r="Q166" s="115" t="n"/>
      <c r="R166" s="115" t="n"/>
      <c r="S166" s="115" t="n"/>
      <c r="T166" s="115" t="n"/>
      <c r="U166" s="116" t="n"/>
      <c r="V166" s="116" t="n"/>
      <c r="W166" s="117" t="n"/>
      <c r="X166" s="118" t="n"/>
      <c r="Y166" s="119" t="n"/>
      <c r="Z166" s="120" t="n"/>
      <c r="AA166" s="121" t="n"/>
      <c r="AB166" s="122" t="n"/>
      <c r="AC166" s="117" t="n"/>
      <c r="AD166" s="123">
        <f>IF(SUM($AE166:$AH166)=0,"",SUM($AE166:$AH166))</f>
        <v/>
      </c>
      <c r="AE166" s="123">
        <f>iferror(IF(SUM($AI166:$AZ166)=0,"",SUM($AI166:$AZ166)),"")</f>
        <v/>
      </c>
      <c r="AF166" s="123">
        <f>iferror(IF(SUM($BA166:$BC166)=0,"",SUM($BA166:$BC166)),"")</f>
        <v/>
      </c>
      <c r="AG166" s="123">
        <f>iferror(IF(SUM($BD166:$BF166)=0,"",SUM($BD166:$BF166)),"")</f>
        <v/>
      </c>
      <c r="AH166" s="124">
        <f>iferror(IF(SUM($BG166:$BI166)=0,"",SUM($BG166:$BI166)),"")</f>
        <v/>
      </c>
      <c r="AI166" s="131" t="n"/>
      <c r="AJ166" s="132" t="n"/>
      <c r="AK166" s="132" t="n"/>
      <c r="AL166" s="132" t="n"/>
      <c r="AM166" s="132" t="n"/>
      <c r="AN166" s="132" t="n"/>
      <c r="AO166" s="132" t="n"/>
      <c r="AP166" s="132" t="n"/>
      <c r="AQ166" s="132" t="n"/>
      <c r="AR166" s="132" t="n"/>
      <c r="AS166" s="132" t="n"/>
      <c r="AT166" s="132" t="n"/>
      <c r="AU166" s="132" t="n"/>
      <c r="AV166" s="132" t="n"/>
      <c r="AW166" s="132" t="n"/>
      <c r="AX166" s="132" t="n"/>
      <c r="AY166" s="132" t="n"/>
      <c r="AZ166" s="133" t="n"/>
      <c r="BA166" s="131" t="n"/>
      <c r="BB166" s="132" t="n"/>
      <c r="BC166" s="133" t="n"/>
      <c r="BD166" s="131" t="n"/>
      <c r="BE166" s="132" t="n"/>
      <c r="BF166" s="133" t="n"/>
      <c r="BG166" s="131" t="n"/>
      <c r="BH166" s="132" t="n"/>
      <c r="BI166" s="132" t="n"/>
      <c r="BJ166" s="128">
        <f>iferror(SUM($BK166,($BL166*1.2),($BM166*1.35),($BN166*0.74)),)</f>
        <v/>
      </c>
      <c r="BK166" s="128">
        <f>IFERROR(SUM($BT166:$CK166),)</f>
        <v/>
      </c>
      <c r="BL166" s="129">
        <f>IFERROR(SUM($CL166:$CN166),)</f>
        <v/>
      </c>
      <c r="BM166" s="130">
        <f>IFERROR(SUM($CO166:$CQ166),)</f>
        <v/>
      </c>
      <c r="BN166" s="128">
        <f>IFERROR(SUM($CR166:$CT166),)</f>
        <v/>
      </c>
      <c r="BO166" s="128">
        <f>iferror(SUM($BP166,($BQ166*1.2),($BR166*1.35),($BS166*0.74)),)</f>
        <v/>
      </c>
      <c r="BP166" s="128">
        <f>IFERROR(SUM($CU166:$DL166),)</f>
        <v/>
      </c>
      <c r="BQ166" s="128">
        <f>IFERROR(SUM($DM166:$DO166),)</f>
        <v/>
      </c>
      <c r="BR166" s="128">
        <f>IFERROR(SUM($DP166:$DR166),)</f>
        <v/>
      </c>
      <c r="BS166" s="128">
        <f>IFERROR(SUM($DS166:$DU166),)</f>
        <v/>
      </c>
      <c r="BT166" s="128">
        <f>IFERROR(AI166*$W166,)</f>
        <v/>
      </c>
      <c r="BU166" s="128">
        <f>IFERROR(AJ166*$W166,)</f>
        <v/>
      </c>
      <c r="BV166" s="128">
        <f>IFERROR(AK166*$W166,)</f>
        <v/>
      </c>
      <c r="BW166" s="128">
        <f>IFERROR(AL166*$W166,)</f>
        <v/>
      </c>
      <c r="BX166" s="128">
        <f>IFERROR(AM166*$W166,)</f>
        <v/>
      </c>
      <c r="BY166" s="128">
        <f>IFERROR(AN166*$W166,)</f>
        <v/>
      </c>
      <c r="BZ166" s="128">
        <f>IFERROR(AO166*$W166,)</f>
        <v/>
      </c>
      <c r="CA166" s="128">
        <f>IFERROR(AP166*$W166,)</f>
        <v/>
      </c>
      <c r="CB166" s="128">
        <f>IFERROR(AQ166*$W166,)</f>
        <v/>
      </c>
      <c r="CC166" s="128">
        <f>IFERROR(AR166*$W166,)</f>
        <v/>
      </c>
      <c r="CD166" s="128">
        <f>IFERROR(AS166*$W166,)</f>
        <v/>
      </c>
      <c r="CE166" s="128">
        <f>IFERROR(AT166*$W166,)</f>
        <v/>
      </c>
      <c r="CF166" s="128">
        <f>IFERROR(AU166*$W166,)</f>
        <v/>
      </c>
      <c r="CG166" s="128">
        <f>IFERROR(AV166*$W166,)</f>
        <v/>
      </c>
      <c r="CH166" s="128">
        <f>IFERROR(AW166*$W166,)</f>
        <v/>
      </c>
      <c r="CI166" s="128">
        <f>IFERROR(AX166*$W166,)</f>
        <v/>
      </c>
      <c r="CJ166" s="128">
        <f>IFERROR(AY166*$W166,)</f>
        <v/>
      </c>
      <c r="CK166" s="128">
        <f>IFERROR(AZ166*$W166,)</f>
        <v/>
      </c>
      <c r="CL166" s="129">
        <f>IFERROR(if($Y166=0,BA166*($W166/1.2),BA166*$Y166),"")</f>
        <v/>
      </c>
      <c r="CM166" s="129">
        <f>IFERROR(if($Y166=0,BB166*($W166/1.2),BB166*$Y166),"")</f>
        <v/>
      </c>
      <c r="CN166" s="129">
        <f>IFERROR(if($Y166=0,BC166*($W166/1.2),BC166*$Y166),"")</f>
        <v/>
      </c>
      <c r="CO166" s="130">
        <f>IFERROR(if($AA166=0,($W166/1.35)*BD166,BD166*$AA166),)</f>
        <v/>
      </c>
      <c r="CP166" s="130">
        <f>IFERROR(if($AA166=0,($W166/1.35)*BE166,BE166*$AA166),)</f>
        <v/>
      </c>
      <c r="CQ166" s="130">
        <f>IFERROR(if($AA166=0,($W166/1.35)*BF166,BF166*$AA166),)</f>
        <v/>
      </c>
      <c r="CR166" s="128">
        <f>IFERROR(if($AC166=0,($W166/0.74)*BG166,
BG166*$AC166),)</f>
        <v/>
      </c>
      <c r="CS166" s="128">
        <f>IFERROR(if($AC166=0,($W166/0.74)*BH166,
BH166*$AC166),)</f>
        <v/>
      </c>
      <c r="CT166" s="128">
        <f>IFERROR(if($AC166=0,($W166/0.74)*BI166,
BI166*$AC166),)</f>
        <v/>
      </c>
      <c r="CU166" s="128">
        <f>IFERROR(AI166*$V166,)</f>
        <v/>
      </c>
      <c r="CV166" s="128">
        <f>IFERROR(AJ166*$V166,)</f>
        <v/>
      </c>
      <c r="CW166" s="128">
        <f>IFERROR(AK166*$V166,)</f>
        <v/>
      </c>
      <c r="CX166" s="128">
        <f>IFERROR(AL166*$V166,)</f>
        <v/>
      </c>
      <c r="CY166" s="128">
        <f>IFERROR(AM166*$V166,)</f>
        <v/>
      </c>
      <c r="CZ166" s="128">
        <f>IFERROR(AN166*$V166,)</f>
        <v/>
      </c>
      <c r="DA166" s="128">
        <f>IFERROR(AO166*$V166,)</f>
        <v/>
      </c>
      <c r="DB166" s="128">
        <f>IFERROR(AP166*$V166,)</f>
        <v/>
      </c>
      <c r="DC166" s="128">
        <f>IFERROR(AQ166*$V166,)</f>
        <v/>
      </c>
      <c r="DD166" s="128">
        <f>IFERROR(AR166*$V166,)</f>
        <v/>
      </c>
      <c r="DE166" s="128">
        <f>IFERROR(AS166*$V166,)</f>
        <v/>
      </c>
      <c r="DF166" s="128">
        <f>IFERROR(AT166*$V166,)</f>
        <v/>
      </c>
      <c r="DG166" s="128">
        <f>IFERROR(AU166*$V166,)</f>
        <v/>
      </c>
      <c r="DH166" s="128">
        <f>IFERROR(AV166*$V166,)</f>
        <v/>
      </c>
      <c r="DI166" s="128">
        <f>IFERROR(AW166*$V166,)</f>
        <v/>
      </c>
      <c r="DJ166" s="128">
        <f>IFERROR(AX166*$V166,)</f>
        <v/>
      </c>
      <c r="DK166" s="128">
        <f>IFERROR(AY166*$V166,)</f>
        <v/>
      </c>
      <c r="DL166" s="128">
        <f>IFERROR(AZ166*$V166,)</f>
        <v/>
      </c>
      <c r="DM166" s="129">
        <f>IFERROR(if($X166=0,($V166/1.2)*BA166,
BA166*$X166),)</f>
        <v/>
      </c>
      <c r="DN166" s="129">
        <f>IFERROR(if($X166=0,($V166/1.2)*BB166,
BB166*$X166),)</f>
        <v/>
      </c>
      <c r="DO166" s="129">
        <f>IFERROR(if($X166=0,($V166/1.2)*BC166,
BC166*$X166),)</f>
        <v/>
      </c>
      <c r="DP166" s="130">
        <f>IFERROR(if($Z166=0,($V166/1.35)*BD166,
BD166*$Z166),)</f>
        <v/>
      </c>
      <c r="DQ166" s="130">
        <f>IFERROR(if($Z166=0,($V166/1.35)*BE166,
BE166*$Z166),)</f>
        <v/>
      </c>
      <c r="DR166" s="130">
        <f>IFERROR(if($Z166=0,($V166/1.35)*BF166,
BF166*$Z166),)</f>
        <v/>
      </c>
      <c r="DS166" s="128">
        <f>IFERROR(IF($AB166=0,($V166/0.74)*BG166,
BG166*$AB166),)</f>
        <v/>
      </c>
      <c r="DT166" s="128">
        <f>IFERROR(IF($AB166=0,($V166/0.74)*BH166,
BH166*$AB166),)</f>
        <v/>
      </c>
      <c r="DU166" s="128">
        <f>IFERROR(IF($AB166=0,($V166/0.74)*BI166,
BI166*$AB166),)</f>
        <v/>
      </c>
    </row>
    <row r="167" ht="131.25" customHeight="1" s="162">
      <c r="A167" s="115" t="n"/>
      <c r="B167" s="115" t="n"/>
      <c r="C167" s="115" t="n"/>
      <c r="D167" s="115" t="n"/>
      <c r="E167" s="115" t="n"/>
      <c r="F167" s="115" t="n"/>
      <c r="G167" s="115" t="n"/>
      <c r="H167" s="115" t="n"/>
      <c r="I167" s="115" t="n"/>
      <c r="J167" s="115" t="n"/>
      <c r="K167" s="115" t="n"/>
      <c r="L167" s="115" t="n"/>
      <c r="M167" s="115" t="n"/>
      <c r="N167" s="115" t="n"/>
      <c r="O167" s="115" t="n"/>
      <c r="P167" s="115" t="n"/>
      <c r="Q167" s="115" t="n"/>
      <c r="R167" s="115" t="n"/>
      <c r="S167" s="115" t="n"/>
      <c r="T167" s="115" t="n"/>
      <c r="U167" s="116" t="n"/>
      <c r="V167" s="116" t="n"/>
      <c r="W167" s="117" t="n"/>
      <c r="X167" s="118" t="n"/>
      <c r="Y167" s="119" t="n"/>
      <c r="Z167" s="120" t="n"/>
      <c r="AA167" s="121" t="n"/>
      <c r="AB167" s="122" t="n"/>
      <c r="AC167" s="117" t="n"/>
      <c r="AD167" s="123">
        <f>IF(SUM($AE167:$AH167)=0,"",SUM($AE167:$AH167))</f>
        <v/>
      </c>
      <c r="AE167" s="123">
        <f>iferror(IF(SUM($AI167:$AZ167)=0,"",SUM($AI167:$AZ167)),"")</f>
        <v/>
      </c>
      <c r="AF167" s="123">
        <f>iferror(IF(SUM($BA167:$BC167)=0,"",SUM($BA167:$BC167)),"")</f>
        <v/>
      </c>
      <c r="AG167" s="123">
        <f>iferror(IF(SUM($BD167:$BF167)=0,"",SUM($BD167:$BF167)),"")</f>
        <v/>
      </c>
      <c r="AH167" s="124">
        <f>iferror(IF(SUM($BG167:$BI167)=0,"",SUM($BG167:$BI167)),"")</f>
        <v/>
      </c>
      <c r="AI167" s="131" t="n"/>
      <c r="AJ167" s="132" t="n"/>
      <c r="AK167" s="132" t="n"/>
      <c r="AL167" s="132" t="n"/>
      <c r="AM167" s="132" t="n"/>
      <c r="AN167" s="132" t="n"/>
      <c r="AO167" s="132" t="n"/>
      <c r="AP167" s="132" t="n"/>
      <c r="AQ167" s="132" t="n"/>
      <c r="AR167" s="132" t="n"/>
      <c r="AS167" s="132" t="n"/>
      <c r="AT167" s="132" t="n"/>
      <c r="AU167" s="132" t="n"/>
      <c r="AV167" s="132" t="n"/>
      <c r="AW167" s="132" t="n"/>
      <c r="AX167" s="132" t="n"/>
      <c r="AY167" s="132" t="n"/>
      <c r="AZ167" s="133" t="n"/>
      <c r="BA167" s="131" t="n"/>
      <c r="BB167" s="132" t="n"/>
      <c r="BC167" s="133" t="n"/>
      <c r="BD167" s="131" t="n"/>
      <c r="BE167" s="132" t="n"/>
      <c r="BF167" s="133" t="n"/>
      <c r="BG167" s="131" t="n"/>
      <c r="BH167" s="132" t="n"/>
      <c r="BI167" s="132" t="n"/>
      <c r="BJ167" s="128">
        <f>iferror(SUM($BK167,($BL167*1.2),($BM167*1.35),($BN167*0.74)),)</f>
        <v/>
      </c>
      <c r="BK167" s="128">
        <f>IFERROR(SUM($BT167:$CK167),)</f>
        <v/>
      </c>
      <c r="BL167" s="129">
        <f>IFERROR(SUM($CL167:$CN167),)</f>
        <v/>
      </c>
      <c r="BM167" s="130">
        <f>IFERROR(SUM($CO167:$CQ167),)</f>
        <v/>
      </c>
      <c r="BN167" s="128">
        <f>IFERROR(SUM($CR167:$CT167),)</f>
        <v/>
      </c>
      <c r="BO167" s="128">
        <f>iferror(SUM($BP167,($BQ167*1.2),($BR167*1.35),($BS167*0.74)),)</f>
        <v/>
      </c>
      <c r="BP167" s="128">
        <f>IFERROR(SUM($CU167:$DL167),)</f>
        <v/>
      </c>
      <c r="BQ167" s="128">
        <f>IFERROR(SUM($DM167:$DO167),)</f>
        <v/>
      </c>
      <c r="BR167" s="128">
        <f>IFERROR(SUM($DP167:$DR167),)</f>
        <v/>
      </c>
      <c r="BS167" s="128">
        <f>IFERROR(SUM($DS167:$DU167),)</f>
        <v/>
      </c>
      <c r="BT167" s="128">
        <f>IFERROR(AI167*$W167,)</f>
        <v/>
      </c>
      <c r="BU167" s="128">
        <f>IFERROR(AJ167*$W167,)</f>
        <v/>
      </c>
      <c r="BV167" s="128">
        <f>IFERROR(AK167*$W167,)</f>
        <v/>
      </c>
      <c r="BW167" s="128">
        <f>IFERROR(AL167*$W167,)</f>
        <v/>
      </c>
      <c r="BX167" s="128">
        <f>IFERROR(AM167*$W167,)</f>
        <v/>
      </c>
      <c r="BY167" s="128">
        <f>IFERROR(AN167*$W167,)</f>
        <v/>
      </c>
      <c r="BZ167" s="128">
        <f>IFERROR(AO167*$W167,)</f>
        <v/>
      </c>
      <c r="CA167" s="128">
        <f>IFERROR(AP167*$W167,)</f>
        <v/>
      </c>
      <c r="CB167" s="128">
        <f>IFERROR(AQ167*$W167,)</f>
        <v/>
      </c>
      <c r="CC167" s="128">
        <f>IFERROR(AR167*$W167,)</f>
        <v/>
      </c>
      <c r="CD167" s="128">
        <f>IFERROR(AS167*$W167,)</f>
        <v/>
      </c>
      <c r="CE167" s="128">
        <f>IFERROR(AT167*$W167,)</f>
        <v/>
      </c>
      <c r="CF167" s="128">
        <f>IFERROR(AU167*$W167,)</f>
        <v/>
      </c>
      <c r="CG167" s="128">
        <f>IFERROR(AV167*$W167,)</f>
        <v/>
      </c>
      <c r="CH167" s="128">
        <f>IFERROR(AW167*$W167,)</f>
        <v/>
      </c>
      <c r="CI167" s="128">
        <f>IFERROR(AX167*$W167,)</f>
        <v/>
      </c>
      <c r="CJ167" s="128">
        <f>IFERROR(AY167*$W167,)</f>
        <v/>
      </c>
      <c r="CK167" s="128">
        <f>IFERROR(AZ167*$W167,)</f>
        <v/>
      </c>
      <c r="CL167" s="129">
        <f>IFERROR(if($Y167=0,BA167*($W167/1.2),BA167*$Y167),"")</f>
        <v/>
      </c>
      <c r="CM167" s="129">
        <f>IFERROR(if($Y167=0,BB167*($W167/1.2),BB167*$Y167),"")</f>
        <v/>
      </c>
      <c r="CN167" s="129">
        <f>IFERROR(if($Y167=0,BC167*($W167/1.2),BC167*$Y167),"")</f>
        <v/>
      </c>
      <c r="CO167" s="130">
        <f>IFERROR(if($AA167=0,($W167/1.35)*BD167,BD167*$AA167),)</f>
        <v/>
      </c>
      <c r="CP167" s="130">
        <f>IFERROR(if($AA167=0,($W167/1.35)*BE167,BE167*$AA167),)</f>
        <v/>
      </c>
      <c r="CQ167" s="130">
        <f>IFERROR(if($AA167=0,($W167/1.35)*BF167,BF167*$AA167),)</f>
        <v/>
      </c>
      <c r="CR167" s="128">
        <f>IFERROR(if($AC167=0,($W167/0.74)*BG167,
BG167*$AC167),)</f>
        <v/>
      </c>
      <c r="CS167" s="128">
        <f>IFERROR(if($AC167=0,($W167/0.74)*BH167,
BH167*$AC167),)</f>
        <v/>
      </c>
      <c r="CT167" s="128">
        <f>IFERROR(if($AC167=0,($W167/0.74)*BI167,
BI167*$AC167),)</f>
        <v/>
      </c>
      <c r="CU167" s="128">
        <f>IFERROR(AI167*$V167,)</f>
        <v/>
      </c>
      <c r="CV167" s="128">
        <f>IFERROR(AJ167*$V167,)</f>
        <v/>
      </c>
      <c r="CW167" s="128">
        <f>IFERROR(AK167*$V167,)</f>
        <v/>
      </c>
      <c r="CX167" s="128">
        <f>IFERROR(AL167*$V167,)</f>
        <v/>
      </c>
      <c r="CY167" s="128">
        <f>IFERROR(AM167*$V167,)</f>
        <v/>
      </c>
      <c r="CZ167" s="128">
        <f>IFERROR(AN167*$V167,)</f>
        <v/>
      </c>
      <c r="DA167" s="128">
        <f>IFERROR(AO167*$V167,)</f>
        <v/>
      </c>
      <c r="DB167" s="128">
        <f>IFERROR(AP167*$V167,)</f>
        <v/>
      </c>
      <c r="DC167" s="128">
        <f>IFERROR(AQ167*$V167,)</f>
        <v/>
      </c>
      <c r="DD167" s="128">
        <f>IFERROR(AR167*$V167,)</f>
        <v/>
      </c>
      <c r="DE167" s="128">
        <f>IFERROR(AS167*$V167,)</f>
        <v/>
      </c>
      <c r="DF167" s="128">
        <f>IFERROR(AT167*$V167,)</f>
        <v/>
      </c>
      <c r="DG167" s="128">
        <f>IFERROR(AU167*$V167,)</f>
        <v/>
      </c>
      <c r="DH167" s="128">
        <f>IFERROR(AV167*$V167,)</f>
        <v/>
      </c>
      <c r="DI167" s="128">
        <f>IFERROR(AW167*$V167,)</f>
        <v/>
      </c>
      <c r="DJ167" s="128">
        <f>IFERROR(AX167*$V167,)</f>
        <v/>
      </c>
      <c r="DK167" s="128">
        <f>IFERROR(AY167*$V167,)</f>
        <v/>
      </c>
      <c r="DL167" s="128">
        <f>IFERROR(AZ167*$V167,)</f>
        <v/>
      </c>
      <c r="DM167" s="129">
        <f>IFERROR(if($X167=0,($V167/1.2)*BA167,
BA167*$X167),)</f>
        <v/>
      </c>
      <c r="DN167" s="129">
        <f>IFERROR(if($X167=0,($V167/1.2)*BB167,
BB167*$X167),)</f>
        <v/>
      </c>
      <c r="DO167" s="129">
        <f>IFERROR(if($X167=0,($V167/1.2)*BC167,
BC167*$X167),)</f>
        <v/>
      </c>
      <c r="DP167" s="130">
        <f>IFERROR(if($Z167=0,($V167/1.35)*BD167,
BD167*$Z167),)</f>
        <v/>
      </c>
      <c r="DQ167" s="130">
        <f>IFERROR(if($Z167=0,($V167/1.35)*BE167,
BE167*$Z167),)</f>
        <v/>
      </c>
      <c r="DR167" s="130">
        <f>IFERROR(if($Z167=0,($V167/1.35)*BF167,
BF167*$Z167),)</f>
        <v/>
      </c>
      <c r="DS167" s="128">
        <f>IFERROR(IF($AB167=0,($V167/0.74)*BG167,
BG167*$AB167),)</f>
        <v/>
      </c>
      <c r="DT167" s="128">
        <f>IFERROR(IF($AB167=0,($V167/0.74)*BH167,
BH167*$AB167),)</f>
        <v/>
      </c>
      <c r="DU167" s="128">
        <f>IFERROR(IF($AB167=0,($V167/0.74)*BI167,
BI167*$AB167),)</f>
        <v/>
      </c>
    </row>
    <row r="168" ht="131.25" customHeight="1" s="162">
      <c r="A168" s="115" t="n"/>
      <c r="B168" s="115" t="n"/>
      <c r="C168" s="115" t="n"/>
      <c r="D168" s="115" t="n"/>
      <c r="E168" s="115" t="n"/>
      <c r="F168" s="115" t="n"/>
      <c r="G168" s="115" t="n"/>
      <c r="H168" s="115" t="n"/>
      <c r="I168" s="115" t="n"/>
      <c r="J168" s="115" t="n"/>
      <c r="K168" s="115" t="n"/>
      <c r="L168" s="115" t="n"/>
      <c r="M168" s="115" t="n"/>
      <c r="N168" s="115" t="n"/>
      <c r="O168" s="115" t="n"/>
      <c r="P168" s="115" t="n"/>
      <c r="Q168" s="115" t="n"/>
      <c r="R168" s="115" t="n"/>
      <c r="S168" s="115" t="n"/>
      <c r="T168" s="115" t="n"/>
      <c r="U168" s="116" t="n"/>
      <c r="V168" s="116" t="n"/>
      <c r="W168" s="117" t="n"/>
      <c r="X168" s="118" t="n"/>
      <c r="Y168" s="119" t="n"/>
      <c r="Z168" s="120" t="n"/>
      <c r="AA168" s="121" t="n"/>
      <c r="AB168" s="122" t="n"/>
      <c r="AC168" s="117" t="n"/>
      <c r="AD168" s="123">
        <f>IF(SUM($AE168:$AH168)=0,"",SUM($AE168:$AH168))</f>
        <v/>
      </c>
      <c r="AE168" s="123">
        <f>iferror(IF(SUM($AI168:$AZ168)=0,"",SUM($AI168:$AZ168)),"")</f>
        <v/>
      </c>
      <c r="AF168" s="123">
        <f>iferror(IF(SUM($BA168:$BC168)=0,"",SUM($BA168:$BC168)),"")</f>
        <v/>
      </c>
      <c r="AG168" s="123">
        <f>iferror(IF(SUM($BD168:$BF168)=0,"",SUM($BD168:$BF168)),"")</f>
        <v/>
      </c>
      <c r="AH168" s="124">
        <f>iferror(IF(SUM($BG168:$BI168)=0,"",SUM($BG168:$BI168)),"")</f>
        <v/>
      </c>
      <c r="AI168" s="131" t="n"/>
      <c r="AJ168" s="132" t="n"/>
      <c r="AK168" s="132" t="n"/>
      <c r="AL168" s="132" t="n"/>
      <c r="AM168" s="132" t="n"/>
      <c r="AN168" s="132" t="n"/>
      <c r="AO168" s="132" t="n"/>
      <c r="AP168" s="132" t="n"/>
      <c r="AQ168" s="132" t="n"/>
      <c r="AR168" s="132" t="n"/>
      <c r="AS168" s="132" t="n"/>
      <c r="AT168" s="132" t="n"/>
      <c r="AU168" s="132" t="n"/>
      <c r="AV168" s="132" t="n"/>
      <c r="AW168" s="132" t="n"/>
      <c r="AX168" s="132" t="n"/>
      <c r="AY168" s="132" t="n"/>
      <c r="AZ168" s="133" t="n"/>
      <c r="BA168" s="131" t="n"/>
      <c r="BB168" s="132" t="n"/>
      <c r="BC168" s="133" t="n"/>
      <c r="BD168" s="131" t="n"/>
      <c r="BE168" s="132" t="n"/>
      <c r="BF168" s="133" t="n"/>
      <c r="BG168" s="131" t="n"/>
      <c r="BH168" s="132" t="n"/>
      <c r="BI168" s="132" t="n"/>
      <c r="BJ168" s="128">
        <f>iferror(SUM($BK168,($BL168*1.2),($BM168*1.35),($BN168*0.74)),)</f>
        <v/>
      </c>
      <c r="BK168" s="128">
        <f>IFERROR(SUM($BT168:$CK168),)</f>
        <v/>
      </c>
      <c r="BL168" s="129">
        <f>IFERROR(SUM($CL168:$CN168),)</f>
        <v/>
      </c>
      <c r="BM168" s="130">
        <f>IFERROR(SUM($CO168:$CQ168),)</f>
        <v/>
      </c>
      <c r="BN168" s="128">
        <f>IFERROR(SUM($CR168:$CT168),)</f>
        <v/>
      </c>
      <c r="BO168" s="128">
        <f>iferror(SUM($BP168,($BQ168*1.2),($BR168*1.35),($BS168*0.74)),)</f>
        <v/>
      </c>
      <c r="BP168" s="128">
        <f>IFERROR(SUM($CU168:$DL168),)</f>
        <v/>
      </c>
      <c r="BQ168" s="128">
        <f>IFERROR(SUM($DM168:$DO168),)</f>
        <v/>
      </c>
      <c r="BR168" s="128">
        <f>IFERROR(SUM($DP168:$DR168),)</f>
        <v/>
      </c>
      <c r="BS168" s="128">
        <f>IFERROR(SUM($DS168:$DU168),)</f>
        <v/>
      </c>
      <c r="BT168" s="128">
        <f>IFERROR(AI168*$W168,)</f>
        <v/>
      </c>
      <c r="BU168" s="128">
        <f>IFERROR(AJ168*$W168,)</f>
        <v/>
      </c>
      <c r="BV168" s="128">
        <f>IFERROR(AK168*$W168,)</f>
        <v/>
      </c>
      <c r="BW168" s="128">
        <f>IFERROR(AL168*$W168,)</f>
        <v/>
      </c>
      <c r="BX168" s="128">
        <f>IFERROR(AM168*$W168,)</f>
        <v/>
      </c>
      <c r="BY168" s="128">
        <f>IFERROR(AN168*$W168,)</f>
        <v/>
      </c>
      <c r="BZ168" s="128">
        <f>IFERROR(AO168*$W168,)</f>
        <v/>
      </c>
      <c r="CA168" s="128">
        <f>IFERROR(AP168*$W168,)</f>
        <v/>
      </c>
      <c r="CB168" s="128">
        <f>IFERROR(AQ168*$W168,)</f>
        <v/>
      </c>
      <c r="CC168" s="128">
        <f>IFERROR(AR168*$W168,)</f>
        <v/>
      </c>
      <c r="CD168" s="128">
        <f>IFERROR(AS168*$W168,)</f>
        <v/>
      </c>
      <c r="CE168" s="128">
        <f>IFERROR(AT168*$W168,)</f>
        <v/>
      </c>
      <c r="CF168" s="128">
        <f>IFERROR(AU168*$W168,)</f>
        <v/>
      </c>
      <c r="CG168" s="128">
        <f>IFERROR(AV168*$W168,)</f>
        <v/>
      </c>
      <c r="CH168" s="128">
        <f>IFERROR(AW168*$W168,)</f>
        <v/>
      </c>
      <c r="CI168" s="128">
        <f>IFERROR(AX168*$W168,)</f>
        <v/>
      </c>
      <c r="CJ168" s="128">
        <f>IFERROR(AY168*$W168,)</f>
        <v/>
      </c>
      <c r="CK168" s="128">
        <f>IFERROR(AZ168*$W168,)</f>
        <v/>
      </c>
      <c r="CL168" s="129">
        <f>IFERROR(if($Y168=0,BA168*($W168/1.2),BA168*$Y168),"")</f>
        <v/>
      </c>
      <c r="CM168" s="129">
        <f>IFERROR(if($Y168=0,BB168*($W168/1.2),BB168*$Y168),"")</f>
        <v/>
      </c>
      <c r="CN168" s="129">
        <f>IFERROR(if($Y168=0,BC168*($W168/1.2),BC168*$Y168),"")</f>
        <v/>
      </c>
      <c r="CO168" s="130">
        <f>IFERROR(if($AA168=0,($W168/1.35)*BD168,BD168*$AA168),)</f>
        <v/>
      </c>
      <c r="CP168" s="130">
        <f>IFERROR(if($AA168=0,($W168/1.35)*BE168,BE168*$AA168),)</f>
        <v/>
      </c>
      <c r="CQ168" s="130">
        <f>IFERROR(if($AA168=0,($W168/1.35)*BF168,BF168*$AA168),)</f>
        <v/>
      </c>
      <c r="CR168" s="128">
        <f>IFERROR(if($AC168=0,($W168/0.74)*BG168,
BG168*$AC168),)</f>
        <v/>
      </c>
      <c r="CS168" s="128">
        <f>IFERROR(if($AC168=0,($W168/0.74)*BH168,
BH168*$AC168),)</f>
        <v/>
      </c>
      <c r="CT168" s="128">
        <f>IFERROR(if($AC168=0,($W168/0.74)*BI168,
BI168*$AC168),)</f>
        <v/>
      </c>
      <c r="CU168" s="128">
        <f>IFERROR(AI168*$V168,)</f>
        <v/>
      </c>
      <c r="CV168" s="128">
        <f>IFERROR(AJ168*$V168,)</f>
        <v/>
      </c>
      <c r="CW168" s="128">
        <f>IFERROR(AK168*$V168,)</f>
        <v/>
      </c>
      <c r="CX168" s="128">
        <f>IFERROR(AL168*$V168,)</f>
        <v/>
      </c>
      <c r="CY168" s="128">
        <f>IFERROR(AM168*$V168,)</f>
        <v/>
      </c>
      <c r="CZ168" s="128">
        <f>IFERROR(AN168*$V168,)</f>
        <v/>
      </c>
      <c r="DA168" s="128">
        <f>IFERROR(AO168*$V168,)</f>
        <v/>
      </c>
      <c r="DB168" s="128">
        <f>IFERROR(AP168*$V168,)</f>
        <v/>
      </c>
      <c r="DC168" s="128">
        <f>IFERROR(AQ168*$V168,)</f>
        <v/>
      </c>
      <c r="DD168" s="128">
        <f>IFERROR(AR168*$V168,)</f>
        <v/>
      </c>
      <c r="DE168" s="128">
        <f>IFERROR(AS168*$V168,)</f>
        <v/>
      </c>
      <c r="DF168" s="128">
        <f>IFERROR(AT168*$V168,)</f>
        <v/>
      </c>
      <c r="DG168" s="128">
        <f>IFERROR(AU168*$V168,)</f>
        <v/>
      </c>
      <c r="DH168" s="128">
        <f>IFERROR(AV168*$V168,)</f>
        <v/>
      </c>
      <c r="DI168" s="128">
        <f>IFERROR(AW168*$V168,)</f>
        <v/>
      </c>
      <c r="DJ168" s="128">
        <f>IFERROR(AX168*$V168,)</f>
        <v/>
      </c>
      <c r="DK168" s="128">
        <f>IFERROR(AY168*$V168,)</f>
        <v/>
      </c>
      <c r="DL168" s="128">
        <f>IFERROR(AZ168*$V168,)</f>
        <v/>
      </c>
      <c r="DM168" s="129">
        <f>IFERROR(if($X168=0,($V168/1.2)*BA168,
BA168*$X168),)</f>
        <v/>
      </c>
      <c r="DN168" s="129">
        <f>IFERROR(if($X168=0,($V168/1.2)*BB168,
BB168*$X168),)</f>
        <v/>
      </c>
      <c r="DO168" s="129">
        <f>IFERROR(if($X168=0,($V168/1.2)*BC168,
BC168*$X168),)</f>
        <v/>
      </c>
      <c r="DP168" s="130">
        <f>IFERROR(if($Z168=0,($V168/1.35)*BD168,
BD168*$Z168),)</f>
        <v/>
      </c>
      <c r="DQ168" s="130">
        <f>IFERROR(if($Z168=0,($V168/1.35)*BE168,
BE168*$Z168),)</f>
        <v/>
      </c>
      <c r="DR168" s="130">
        <f>IFERROR(if($Z168=0,($V168/1.35)*BF168,
BF168*$Z168),)</f>
        <v/>
      </c>
      <c r="DS168" s="128">
        <f>IFERROR(IF($AB168=0,($V168/0.74)*BG168,
BG168*$AB168),)</f>
        <v/>
      </c>
      <c r="DT168" s="128">
        <f>IFERROR(IF($AB168=0,($V168/0.74)*BH168,
BH168*$AB168),)</f>
        <v/>
      </c>
      <c r="DU168" s="128">
        <f>IFERROR(IF($AB168=0,($V168/0.74)*BI168,
BI168*$AB168),)</f>
        <v/>
      </c>
    </row>
    <row r="169" ht="131.25" customHeight="1" s="162">
      <c r="A169" s="115" t="n"/>
      <c r="B169" s="115" t="n"/>
      <c r="C169" s="115" t="n"/>
      <c r="D169" s="115" t="n"/>
      <c r="E169" s="115" t="n"/>
      <c r="F169" s="115" t="n"/>
      <c r="G169" s="115" t="n"/>
      <c r="H169" s="115" t="n"/>
      <c r="I169" s="115" t="n"/>
      <c r="J169" s="115" t="n"/>
      <c r="K169" s="115" t="n"/>
      <c r="L169" s="115" t="n"/>
      <c r="M169" s="115" t="n"/>
      <c r="N169" s="115" t="n"/>
      <c r="O169" s="115" t="n"/>
      <c r="P169" s="115" t="n"/>
      <c r="Q169" s="115" t="n"/>
      <c r="R169" s="115" t="n"/>
      <c r="S169" s="115" t="n"/>
      <c r="T169" s="115" t="n"/>
      <c r="U169" s="116" t="n"/>
      <c r="V169" s="116" t="n"/>
      <c r="W169" s="117" t="n"/>
      <c r="X169" s="118" t="n"/>
      <c r="Y169" s="119" t="n"/>
      <c r="Z169" s="120" t="n"/>
      <c r="AA169" s="121" t="n"/>
      <c r="AB169" s="122" t="n"/>
      <c r="AC169" s="117" t="n"/>
      <c r="AD169" s="123">
        <f>IF(SUM($AE169:$AH169)=0,"",SUM($AE169:$AH169))</f>
        <v/>
      </c>
      <c r="AE169" s="123">
        <f>iferror(IF(SUM($AI169:$AZ169)=0,"",SUM($AI169:$AZ169)),"")</f>
        <v/>
      </c>
      <c r="AF169" s="123">
        <f>iferror(IF(SUM($BA169:$BC169)=0,"",SUM($BA169:$BC169)),"")</f>
        <v/>
      </c>
      <c r="AG169" s="123">
        <f>iferror(IF(SUM($BD169:$BF169)=0,"",SUM($BD169:$BF169)),"")</f>
        <v/>
      </c>
      <c r="AH169" s="124">
        <f>iferror(IF(SUM($BG169:$BI169)=0,"",SUM($BG169:$BI169)),"")</f>
        <v/>
      </c>
      <c r="AI169" s="131" t="n"/>
      <c r="AJ169" s="132" t="n"/>
      <c r="AK169" s="132" t="n"/>
      <c r="AL169" s="132" t="n"/>
      <c r="AM169" s="132" t="n"/>
      <c r="AN169" s="132" t="n"/>
      <c r="AO169" s="132" t="n"/>
      <c r="AP169" s="132" t="n"/>
      <c r="AQ169" s="132" t="n"/>
      <c r="AR169" s="132" t="n"/>
      <c r="AS169" s="132" t="n"/>
      <c r="AT169" s="132" t="n"/>
      <c r="AU169" s="132" t="n"/>
      <c r="AV169" s="132" t="n"/>
      <c r="AW169" s="132" t="n"/>
      <c r="AX169" s="132" t="n"/>
      <c r="AY169" s="132" t="n"/>
      <c r="AZ169" s="133" t="n"/>
      <c r="BA169" s="131" t="n"/>
      <c r="BB169" s="132" t="n"/>
      <c r="BC169" s="133" t="n"/>
      <c r="BD169" s="131" t="n"/>
      <c r="BE169" s="132" t="n"/>
      <c r="BF169" s="133" t="n"/>
      <c r="BG169" s="131" t="n"/>
      <c r="BH169" s="132" t="n"/>
      <c r="BI169" s="132" t="n"/>
      <c r="BJ169" s="128">
        <f>iferror(SUM($BK169,($BL169*1.2),($BM169*1.35),($BN169*0.74)),)</f>
        <v/>
      </c>
      <c r="BK169" s="128">
        <f>IFERROR(SUM($BT169:$CK169),)</f>
        <v/>
      </c>
      <c r="BL169" s="129">
        <f>IFERROR(SUM($CL169:$CN169),)</f>
        <v/>
      </c>
      <c r="BM169" s="130">
        <f>IFERROR(SUM($CO169:$CQ169),)</f>
        <v/>
      </c>
      <c r="BN169" s="128">
        <f>IFERROR(SUM($CR169:$CT169),)</f>
        <v/>
      </c>
      <c r="BO169" s="128">
        <f>iferror(SUM($BP169,($BQ169*1.2),($BR169*1.35),($BS169*0.74)),)</f>
        <v/>
      </c>
      <c r="BP169" s="128">
        <f>IFERROR(SUM($CU169:$DL169),)</f>
        <v/>
      </c>
      <c r="BQ169" s="128">
        <f>IFERROR(SUM($DM169:$DO169),)</f>
        <v/>
      </c>
      <c r="BR169" s="128">
        <f>IFERROR(SUM($DP169:$DR169),)</f>
        <v/>
      </c>
      <c r="BS169" s="128">
        <f>IFERROR(SUM($DS169:$DU169),)</f>
        <v/>
      </c>
      <c r="BT169" s="128">
        <f>IFERROR(AI169*$W169,)</f>
        <v/>
      </c>
      <c r="BU169" s="128">
        <f>IFERROR(AJ169*$W169,)</f>
        <v/>
      </c>
      <c r="BV169" s="128">
        <f>IFERROR(AK169*$W169,)</f>
        <v/>
      </c>
      <c r="BW169" s="128">
        <f>IFERROR(AL169*$W169,)</f>
        <v/>
      </c>
      <c r="BX169" s="128">
        <f>IFERROR(AM169*$W169,)</f>
        <v/>
      </c>
      <c r="BY169" s="128">
        <f>IFERROR(AN169*$W169,)</f>
        <v/>
      </c>
      <c r="BZ169" s="128">
        <f>IFERROR(AO169*$W169,)</f>
        <v/>
      </c>
      <c r="CA169" s="128">
        <f>IFERROR(AP169*$W169,)</f>
        <v/>
      </c>
      <c r="CB169" s="128">
        <f>IFERROR(AQ169*$W169,)</f>
        <v/>
      </c>
      <c r="CC169" s="128">
        <f>IFERROR(AR169*$W169,)</f>
        <v/>
      </c>
      <c r="CD169" s="128">
        <f>IFERROR(AS169*$W169,)</f>
        <v/>
      </c>
      <c r="CE169" s="128">
        <f>IFERROR(AT169*$W169,)</f>
        <v/>
      </c>
      <c r="CF169" s="128">
        <f>IFERROR(AU169*$W169,)</f>
        <v/>
      </c>
      <c r="CG169" s="128">
        <f>IFERROR(AV169*$W169,)</f>
        <v/>
      </c>
      <c r="CH169" s="128">
        <f>IFERROR(AW169*$W169,)</f>
        <v/>
      </c>
      <c r="CI169" s="128">
        <f>IFERROR(AX169*$W169,)</f>
        <v/>
      </c>
      <c r="CJ169" s="128">
        <f>IFERROR(AY169*$W169,)</f>
        <v/>
      </c>
      <c r="CK169" s="128">
        <f>IFERROR(AZ169*$W169,)</f>
        <v/>
      </c>
      <c r="CL169" s="129">
        <f>IFERROR(if($Y169=0,BA169*($W169/1.2),BA169*$Y169),"")</f>
        <v/>
      </c>
      <c r="CM169" s="129">
        <f>IFERROR(if($Y169=0,BB169*($W169/1.2),BB169*$Y169),"")</f>
        <v/>
      </c>
      <c r="CN169" s="129">
        <f>IFERROR(if($Y169=0,BC169*($W169/1.2),BC169*$Y169),"")</f>
        <v/>
      </c>
      <c r="CO169" s="130">
        <f>IFERROR(if($AA169=0,($W169/1.35)*BD169,BD169*$AA169),)</f>
        <v/>
      </c>
      <c r="CP169" s="130">
        <f>IFERROR(if($AA169=0,($W169/1.35)*BE169,BE169*$AA169),)</f>
        <v/>
      </c>
      <c r="CQ169" s="130">
        <f>IFERROR(if($AA169=0,($W169/1.35)*BF169,BF169*$AA169),)</f>
        <v/>
      </c>
      <c r="CR169" s="128">
        <f>IFERROR(if($AC169=0,($W169/0.74)*BG169,
BG169*$AC169),)</f>
        <v/>
      </c>
      <c r="CS169" s="128">
        <f>IFERROR(if($AC169=0,($W169/0.74)*BH169,
BH169*$AC169),)</f>
        <v/>
      </c>
      <c r="CT169" s="128">
        <f>IFERROR(if($AC169=0,($W169/0.74)*BI169,
BI169*$AC169),)</f>
        <v/>
      </c>
      <c r="CU169" s="128">
        <f>IFERROR(AI169*$V169,)</f>
        <v/>
      </c>
      <c r="CV169" s="128">
        <f>IFERROR(AJ169*$V169,)</f>
        <v/>
      </c>
      <c r="CW169" s="128">
        <f>IFERROR(AK169*$V169,)</f>
        <v/>
      </c>
      <c r="CX169" s="128">
        <f>IFERROR(AL169*$V169,)</f>
        <v/>
      </c>
      <c r="CY169" s="128">
        <f>IFERROR(AM169*$V169,)</f>
        <v/>
      </c>
      <c r="CZ169" s="128">
        <f>IFERROR(AN169*$V169,)</f>
        <v/>
      </c>
      <c r="DA169" s="128">
        <f>IFERROR(AO169*$V169,)</f>
        <v/>
      </c>
      <c r="DB169" s="128">
        <f>IFERROR(AP169*$V169,)</f>
        <v/>
      </c>
      <c r="DC169" s="128">
        <f>IFERROR(AQ169*$V169,)</f>
        <v/>
      </c>
      <c r="DD169" s="128">
        <f>IFERROR(AR169*$V169,)</f>
        <v/>
      </c>
      <c r="DE169" s="128">
        <f>IFERROR(AS169*$V169,)</f>
        <v/>
      </c>
      <c r="DF169" s="128">
        <f>IFERROR(AT169*$V169,)</f>
        <v/>
      </c>
      <c r="DG169" s="128">
        <f>IFERROR(AU169*$V169,)</f>
        <v/>
      </c>
      <c r="DH169" s="128">
        <f>IFERROR(AV169*$V169,)</f>
        <v/>
      </c>
      <c r="DI169" s="128">
        <f>IFERROR(AW169*$V169,)</f>
        <v/>
      </c>
      <c r="DJ169" s="128">
        <f>IFERROR(AX169*$V169,)</f>
        <v/>
      </c>
      <c r="DK169" s="128">
        <f>IFERROR(AY169*$V169,)</f>
        <v/>
      </c>
      <c r="DL169" s="128">
        <f>IFERROR(AZ169*$V169,)</f>
        <v/>
      </c>
      <c r="DM169" s="129">
        <f>IFERROR(if($X169=0,($V169/1.2)*BA169,
BA169*$X169),)</f>
        <v/>
      </c>
      <c r="DN169" s="129">
        <f>IFERROR(if($X169=0,($V169/1.2)*BB169,
BB169*$X169),)</f>
        <v/>
      </c>
      <c r="DO169" s="129">
        <f>IFERROR(if($X169=0,($V169/1.2)*BC169,
BC169*$X169),)</f>
        <v/>
      </c>
      <c r="DP169" s="130">
        <f>IFERROR(if($Z169=0,($V169/1.35)*BD169,
BD169*$Z169),)</f>
        <v/>
      </c>
      <c r="DQ169" s="130">
        <f>IFERROR(if($Z169=0,($V169/1.35)*BE169,
BE169*$Z169),)</f>
        <v/>
      </c>
      <c r="DR169" s="130">
        <f>IFERROR(if($Z169=0,($V169/1.35)*BF169,
BF169*$Z169),)</f>
        <v/>
      </c>
      <c r="DS169" s="128">
        <f>IFERROR(IF($AB169=0,($V169/0.74)*BG169,
BG169*$AB169),)</f>
        <v/>
      </c>
      <c r="DT169" s="128">
        <f>IFERROR(IF($AB169=0,($V169/0.74)*BH169,
BH169*$AB169),)</f>
        <v/>
      </c>
      <c r="DU169" s="128">
        <f>IFERROR(IF($AB169=0,($V169/0.74)*BI169,
BI169*$AB169),)</f>
        <v/>
      </c>
    </row>
    <row r="170" ht="131.25" customHeight="1" s="162">
      <c r="A170" s="115" t="n"/>
      <c r="B170" s="115" t="n"/>
      <c r="C170" s="115" t="n"/>
      <c r="D170" s="115" t="n"/>
      <c r="E170" s="115" t="n"/>
      <c r="F170" s="115" t="n"/>
      <c r="G170" s="115" t="n"/>
      <c r="H170" s="115" t="n"/>
      <c r="I170" s="115" t="n"/>
      <c r="J170" s="115" t="n"/>
      <c r="K170" s="115" t="n"/>
      <c r="L170" s="115" t="n"/>
      <c r="M170" s="115" t="n"/>
      <c r="N170" s="115" t="n"/>
      <c r="O170" s="115" t="n"/>
      <c r="P170" s="115" t="n"/>
      <c r="Q170" s="115" t="n"/>
      <c r="R170" s="115" t="n"/>
      <c r="S170" s="115" t="n"/>
      <c r="T170" s="115" t="n"/>
      <c r="U170" s="116" t="n"/>
      <c r="V170" s="116" t="n"/>
      <c r="W170" s="117" t="n"/>
      <c r="X170" s="118" t="n"/>
      <c r="Y170" s="119" t="n"/>
      <c r="Z170" s="120" t="n"/>
      <c r="AA170" s="121" t="n"/>
      <c r="AB170" s="122" t="n"/>
      <c r="AC170" s="117" t="n"/>
      <c r="AD170" s="123">
        <f>IF(SUM($AE170:$AH170)=0,"",SUM($AE170:$AH170))</f>
        <v/>
      </c>
      <c r="AE170" s="123">
        <f>iferror(IF(SUM($AI170:$AZ170)=0,"",SUM($AI170:$AZ170)),"")</f>
        <v/>
      </c>
      <c r="AF170" s="123">
        <f>iferror(IF(SUM($BA170:$BC170)=0,"",SUM($BA170:$BC170)),"")</f>
        <v/>
      </c>
      <c r="AG170" s="123">
        <f>iferror(IF(SUM($BD170:$BF170)=0,"",SUM($BD170:$BF170)),"")</f>
        <v/>
      </c>
      <c r="AH170" s="124">
        <f>iferror(IF(SUM($BG170:$BI170)=0,"",SUM($BG170:$BI170)),"")</f>
        <v/>
      </c>
      <c r="AI170" s="131" t="n"/>
      <c r="AJ170" s="132" t="n"/>
      <c r="AK170" s="132" t="n"/>
      <c r="AL170" s="132" t="n"/>
      <c r="AM170" s="132" t="n"/>
      <c r="AN170" s="132" t="n"/>
      <c r="AO170" s="132" t="n"/>
      <c r="AP170" s="132" t="n"/>
      <c r="AQ170" s="132" t="n"/>
      <c r="AR170" s="132" t="n"/>
      <c r="AS170" s="132" t="n"/>
      <c r="AT170" s="132" t="n"/>
      <c r="AU170" s="132" t="n"/>
      <c r="AV170" s="132" t="n"/>
      <c r="AW170" s="132" t="n"/>
      <c r="AX170" s="132" t="n"/>
      <c r="AY170" s="132" t="n"/>
      <c r="AZ170" s="133" t="n"/>
      <c r="BA170" s="131" t="n"/>
      <c r="BB170" s="132" t="n"/>
      <c r="BC170" s="133" t="n"/>
      <c r="BD170" s="131" t="n"/>
      <c r="BE170" s="132" t="n"/>
      <c r="BF170" s="133" t="n"/>
      <c r="BG170" s="131" t="n"/>
      <c r="BH170" s="132" t="n"/>
      <c r="BI170" s="132" t="n"/>
      <c r="BJ170" s="128">
        <f>iferror(SUM($BK170,($BL170*1.2),($BM170*1.35),($BN170*0.74)),)</f>
        <v/>
      </c>
      <c r="BK170" s="128">
        <f>IFERROR(SUM($BT170:$CK170),)</f>
        <v/>
      </c>
      <c r="BL170" s="129">
        <f>IFERROR(SUM($CL170:$CN170),)</f>
        <v/>
      </c>
      <c r="BM170" s="130">
        <f>IFERROR(SUM($CO170:$CQ170),)</f>
        <v/>
      </c>
      <c r="BN170" s="128">
        <f>IFERROR(SUM($CR170:$CT170),)</f>
        <v/>
      </c>
      <c r="BO170" s="128">
        <f>iferror(SUM($BP170,($BQ170*1.2),($BR170*1.35),($BS170*0.74)),)</f>
        <v/>
      </c>
      <c r="BP170" s="128">
        <f>IFERROR(SUM($CU170:$DL170),)</f>
        <v/>
      </c>
      <c r="BQ170" s="128">
        <f>IFERROR(SUM($DM170:$DO170),)</f>
        <v/>
      </c>
      <c r="BR170" s="128">
        <f>IFERROR(SUM($DP170:$DR170),)</f>
        <v/>
      </c>
      <c r="BS170" s="128">
        <f>IFERROR(SUM($DS170:$DU170),)</f>
        <v/>
      </c>
      <c r="BT170" s="128">
        <f>IFERROR(AI170*$W170,)</f>
        <v/>
      </c>
      <c r="BU170" s="128">
        <f>IFERROR(AJ170*$W170,)</f>
        <v/>
      </c>
      <c r="BV170" s="128">
        <f>IFERROR(AK170*$W170,)</f>
        <v/>
      </c>
      <c r="BW170" s="128">
        <f>IFERROR(AL170*$W170,)</f>
        <v/>
      </c>
      <c r="BX170" s="128">
        <f>IFERROR(AM170*$W170,)</f>
        <v/>
      </c>
      <c r="BY170" s="128">
        <f>IFERROR(AN170*$W170,)</f>
        <v/>
      </c>
      <c r="BZ170" s="128">
        <f>IFERROR(AO170*$W170,)</f>
        <v/>
      </c>
      <c r="CA170" s="128">
        <f>IFERROR(AP170*$W170,)</f>
        <v/>
      </c>
      <c r="CB170" s="128">
        <f>IFERROR(AQ170*$W170,)</f>
        <v/>
      </c>
      <c r="CC170" s="128">
        <f>IFERROR(AR170*$W170,)</f>
        <v/>
      </c>
      <c r="CD170" s="128">
        <f>IFERROR(AS170*$W170,)</f>
        <v/>
      </c>
      <c r="CE170" s="128">
        <f>IFERROR(AT170*$W170,)</f>
        <v/>
      </c>
      <c r="CF170" s="128">
        <f>IFERROR(AU170*$W170,)</f>
        <v/>
      </c>
      <c r="CG170" s="128">
        <f>IFERROR(AV170*$W170,)</f>
        <v/>
      </c>
      <c r="CH170" s="128">
        <f>IFERROR(AW170*$W170,)</f>
        <v/>
      </c>
      <c r="CI170" s="128">
        <f>IFERROR(AX170*$W170,)</f>
        <v/>
      </c>
      <c r="CJ170" s="128">
        <f>IFERROR(AY170*$W170,)</f>
        <v/>
      </c>
      <c r="CK170" s="128">
        <f>IFERROR(AZ170*$W170,)</f>
        <v/>
      </c>
      <c r="CL170" s="129">
        <f>IFERROR(if($Y170=0,BA170*($W170/1.2),BA170*$Y170),"")</f>
        <v/>
      </c>
      <c r="CM170" s="129">
        <f>IFERROR(if($Y170=0,BB170*($W170/1.2),BB170*$Y170),"")</f>
        <v/>
      </c>
      <c r="CN170" s="129">
        <f>IFERROR(if($Y170=0,BC170*($W170/1.2),BC170*$Y170),"")</f>
        <v/>
      </c>
      <c r="CO170" s="130">
        <f>IFERROR(if($AA170=0,($W170/1.35)*BD170,BD170*$AA170),)</f>
        <v/>
      </c>
      <c r="CP170" s="130">
        <f>IFERROR(if($AA170=0,($W170/1.35)*BE170,BE170*$AA170),)</f>
        <v/>
      </c>
      <c r="CQ170" s="130">
        <f>IFERROR(if($AA170=0,($W170/1.35)*BF170,BF170*$AA170),)</f>
        <v/>
      </c>
      <c r="CR170" s="128">
        <f>IFERROR(if($AC170=0,($W170/0.74)*BG170,
BG170*$AC170),)</f>
        <v/>
      </c>
      <c r="CS170" s="128">
        <f>IFERROR(if($AC170=0,($W170/0.74)*BH170,
BH170*$AC170),)</f>
        <v/>
      </c>
      <c r="CT170" s="128">
        <f>IFERROR(if($AC170=0,($W170/0.74)*BI170,
BI170*$AC170),)</f>
        <v/>
      </c>
      <c r="CU170" s="128">
        <f>IFERROR(AI170*$V170,)</f>
        <v/>
      </c>
      <c r="CV170" s="128">
        <f>IFERROR(AJ170*$V170,)</f>
        <v/>
      </c>
      <c r="CW170" s="128">
        <f>IFERROR(AK170*$V170,)</f>
        <v/>
      </c>
      <c r="CX170" s="128">
        <f>IFERROR(AL170*$V170,)</f>
        <v/>
      </c>
      <c r="CY170" s="128">
        <f>IFERROR(AM170*$V170,)</f>
        <v/>
      </c>
      <c r="CZ170" s="128">
        <f>IFERROR(AN170*$V170,)</f>
        <v/>
      </c>
      <c r="DA170" s="128">
        <f>IFERROR(AO170*$V170,)</f>
        <v/>
      </c>
      <c r="DB170" s="128">
        <f>IFERROR(AP170*$V170,)</f>
        <v/>
      </c>
      <c r="DC170" s="128">
        <f>IFERROR(AQ170*$V170,)</f>
        <v/>
      </c>
      <c r="DD170" s="128">
        <f>IFERROR(AR170*$V170,)</f>
        <v/>
      </c>
      <c r="DE170" s="128">
        <f>IFERROR(AS170*$V170,)</f>
        <v/>
      </c>
      <c r="DF170" s="128">
        <f>IFERROR(AT170*$V170,)</f>
        <v/>
      </c>
      <c r="DG170" s="128">
        <f>IFERROR(AU170*$V170,)</f>
        <v/>
      </c>
      <c r="DH170" s="128">
        <f>IFERROR(AV170*$V170,)</f>
        <v/>
      </c>
      <c r="DI170" s="128">
        <f>IFERROR(AW170*$V170,)</f>
        <v/>
      </c>
      <c r="DJ170" s="128">
        <f>IFERROR(AX170*$V170,)</f>
        <v/>
      </c>
      <c r="DK170" s="128">
        <f>IFERROR(AY170*$V170,)</f>
        <v/>
      </c>
      <c r="DL170" s="128">
        <f>IFERROR(AZ170*$V170,)</f>
        <v/>
      </c>
      <c r="DM170" s="129">
        <f>IFERROR(if($X170=0,($V170/1.2)*BA170,
BA170*$X170),)</f>
        <v/>
      </c>
      <c r="DN170" s="129">
        <f>IFERROR(if($X170=0,($V170/1.2)*BB170,
BB170*$X170),)</f>
        <v/>
      </c>
      <c r="DO170" s="129">
        <f>IFERROR(if($X170=0,($V170/1.2)*BC170,
BC170*$X170),)</f>
        <v/>
      </c>
      <c r="DP170" s="130">
        <f>IFERROR(if($Z170=0,($V170/1.35)*BD170,
BD170*$Z170),)</f>
        <v/>
      </c>
      <c r="DQ170" s="130">
        <f>IFERROR(if($Z170=0,($V170/1.35)*BE170,
BE170*$Z170),)</f>
        <v/>
      </c>
      <c r="DR170" s="130">
        <f>IFERROR(if($Z170=0,($V170/1.35)*BF170,
BF170*$Z170),)</f>
        <v/>
      </c>
      <c r="DS170" s="128">
        <f>IFERROR(IF($AB170=0,($V170/0.74)*BG170,
BG170*$AB170),)</f>
        <v/>
      </c>
      <c r="DT170" s="128">
        <f>IFERROR(IF($AB170=0,($V170/0.74)*BH170,
BH170*$AB170),)</f>
        <v/>
      </c>
      <c r="DU170" s="128">
        <f>IFERROR(IF($AB170=0,($V170/0.74)*BI170,
BI170*$AB170),)</f>
        <v/>
      </c>
    </row>
    <row r="171" ht="131.25" customHeight="1" s="162">
      <c r="A171" s="115" t="n"/>
      <c r="B171" s="115" t="n"/>
      <c r="C171" s="115" t="n"/>
      <c r="D171" s="115" t="n"/>
      <c r="E171" s="115" t="n"/>
      <c r="F171" s="115" t="n"/>
      <c r="G171" s="115" t="n"/>
      <c r="H171" s="115" t="n"/>
      <c r="I171" s="115" t="n"/>
      <c r="J171" s="115" t="n"/>
      <c r="K171" s="115" t="n"/>
      <c r="L171" s="115" t="n"/>
      <c r="M171" s="115" t="n"/>
      <c r="N171" s="115" t="n"/>
      <c r="O171" s="115" t="n"/>
      <c r="P171" s="115" t="n"/>
      <c r="Q171" s="115" t="n"/>
      <c r="R171" s="115" t="n"/>
      <c r="S171" s="115" t="n"/>
      <c r="T171" s="115" t="n"/>
      <c r="U171" s="116" t="n"/>
      <c r="V171" s="116" t="n"/>
      <c r="W171" s="117" t="n"/>
      <c r="X171" s="118" t="n"/>
      <c r="Y171" s="119" t="n"/>
      <c r="Z171" s="120" t="n"/>
      <c r="AA171" s="121" t="n"/>
      <c r="AB171" s="122" t="n"/>
      <c r="AC171" s="117" t="n"/>
      <c r="AD171" s="123">
        <f>IF(SUM($AE171:$AH171)=0,"",SUM($AE171:$AH171))</f>
        <v/>
      </c>
      <c r="AE171" s="123">
        <f>iferror(IF(SUM($AI171:$AZ171)=0,"",SUM($AI171:$AZ171)),"")</f>
        <v/>
      </c>
      <c r="AF171" s="123">
        <f>iferror(IF(SUM($BA171:$BC171)=0,"",SUM($BA171:$BC171)),"")</f>
        <v/>
      </c>
      <c r="AG171" s="123">
        <f>iferror(IF(SUM($BD171:$BF171)=0,"",SUM($BD171:$BF171)),"")</f>
        <v/>
      </c>
      <c r="AH171" s="124">
        <f>iferror(IF(SUM($BG171:$BI171)=0,"",SUM($BG171:$BI171)),"")</f>
        <v/>
      </c>
      <c r="AI171" s="131" t="n"/>
      <c r="AJ171" s="132" t="n"/>
      <c r="AK171" s="132" t="n"/>
      <c r="AL171" s="132" t="n"/>
      <c r="AM171" s="132" t="n"/>
      <c r="AN171" s="132" t="n"/>
      <c r="AO171" s="132" t="n"/>
      <c r="AP171" s="132" t="n"/>
      <c r="AQ171" s="132" t="n"/>
      <c r="AR171" s="132" t="n"/>
      <c r="AS171" s="132" t="n"/>
      <c r="AT171" s="132" t="n"/>
      <c r="AU171" s="132" t="n"/>
      <c r="AV171" s="132" t="n"/>
      <c r="AW171" s="132" t="n"/>
      <c r="AX171" s="132" t="n"/>
      <c r="AY171" s="132" t="n"/>
      <c r="AZ171" s="133" t="n"/>
      <c r="BA171" s="131" t="n"/>
      <c r="BB171" s="132" t="n"/>
      <c r="BC171" s="133" t="n"/>
      <c r="BD171" s="131" t="n"/>
      <c r="BE171" s="132" t="n"/>
      <c r="BF171" s="133" t="n"/>
      <c r="BG171" s="131" t="n"/>
      <c r="BH171" s="132" t="n"/>
      <c r="BI171" s="132" t="n"/>
      <c r="BJ171" s="128">
        <f>iferror(SUM($BK171,($BL171*1.2),($BM171*1.35),($BN171*0.74)),)</f>
        <v/>
      </c>
      <c r="BK171" s="128">
        <f>IFERROR(SUM($BT171:$CK171),)</f>
        <v/>
      </c>
      <c r="BL171" s="129">
        <f>IFERROR(SUM($CL171:$CN171),)</f>
        <v/>
      </c>
      <c r="BM171" s="130">
        <f>IFERROR(SUM($CO171:$CQ171),)</f>
        <v/>
      </c>
      <c r="BN171" s="128">
        <f>IFERROR(SUM($CR171:$CT171),)</f>
        <v/>
      </c>
      <c r="BO171" s="128">
        <f>iferror(SUM($BP171,($BQ171*1.2),($BR171*1.35),($BS171*0.74)),)</f>
        <v/>
      </c>
      <c r="BP171" s="128">
        <f>IFERROR(SUM($CU171:$DL171),)</f>
        <v/>
      </c>
      <c r="BQ171" s="128">
        <f>IFERROR(SUM($DM171:$DO171),)</f>
        <v/>
      </c>
      <c r="BR171" s="128">
        <f>IFERROR(SUM($DP171:$DR171),)</f>
        <v/>
      </c>
      <c r="BS171" s="128">
        <f>IFERROR(SUM($DS171:$DU171),)</f>
        <v/>
      </c>
      <c r="BT171" s="128">
        <f>IFERROR(AI171*$W171,)</f>
        <v/>
      </c>
      <c r="BU171" s="128">
        <f>IFERROR(AJ171*$W171,)</f>
        <v/>
      </c>
      <c r="BV171" s="128">
        <f>IFERROR(AK171*$W171,)</f>
        <v/>
      </c>
      <c r="BW171" s="128">
        <f>IFERROR(AL171*$W171,)</f>
        <v/>
      </c>
      <c r="BX171" s="128">
        <f>IFERROR(AM171*$W171,)</f>
        <v/>
      </c>
      <c r="BY171" s="128">
        <f>IFERROR(AN171*$W171,)</f>
        <v/>
      </c>
      <c r="BZ171" s="128">
        <f>IFERROR(AO171*$W171,)</f>
        <v/>
      </c>
      <c r="CA171" s="128">
        <f>IFERROR(AP171*$W171,)</f>
        <v/>
      </c>
      <c r="CB171" s="128">
        <f>IFERROR(AQ171*$W171,)</f>
        <v/>
      </c>
      <c r="CC171" s="128">
        <f>IFERROR(AR171*$W171,)</f>
        <v/>
      </c>
      <c r="CD171" s="128">
        <f>IFERROR(AS171*$W171,)</f>
        <v/>
      </c>
      <c r="CE171" s="128">
        <f>IFERROR(AT171*$W171,)</f>
        <v/>
      </c>
      <c r="CF171" s="128">
        <f>IFERROR(AU171*$W171,)</f>
        <v/>
      </c>
      <c r="CG171" s="128">
        <f>IFERROR(AV171*$W171,)</f>
        <v/>
      </c>
      <c r="CH171" s="128">
        <f>IFERROR(AW171*$W171,)</f>
        <v/>
      </c>
      <c r="CI171" s="128">
        <f>IFERROR(AX171*$W171,)</f>
        <v/>
      </c>
      <c r="CJ171" s="128">
        <f>IFERROR(AY171*$W171,)</f>
        <v/>
      </c>
      <c r="CK171" s="128">
        <f>IFERROR(AZ171*$W171,)</f>
        <v/>
      </c>
      <c r="CL171" s="129">
        <f>IFERROR(if($Y171=0,BA171*($W171/1.2),BA171*$Y171),"")</f>
        <v/>
      </c>
      <c r="CM171" s="129">
        <f>IFERROR(if($Y171=0,BB171*($W171/1.2),BB171*$Y171),"")</f>
        <v/>
      </c>
      <c r="CN171" s="129">
        <f>IFERROR(if($Y171=0,BC171*($W171/1.2),BC171*$Y171),"")</f>
        <v/>
      </c>
      <c r="CO171" s="130">
        <f>IFERROR(if($AA171=0,($W171/1.35)*BD171,BD171*$AA171),)</f>
        <v/>
      </c>
      <c r="CP171" s="130">
        <f>IFERROR(if($AA171=0,($W171/1.35)*BE171,BE171*$AA171),)</f>
        <v/>
      </c>
      <c r="CQ171" s="130">
        <f>IFERROR(if($AA171=0,($W171/1.35)*BF171,BF171*$AA171),)</f>
        <v/>
      </c>
      <c r="CR171" s="128">
        <f>IFERROR(if($AC171=0,($W171/0.74)*BG171,
BG171*$AC171),)</f>
        <v/>
      </c>
      <c r="CS171" s="128">
        <f>IFERROR(if($AC171=0,($W171/0.74)*BH171,
BH171*$AC171),)</f>
        <v/>
      </c>
      <c r="CT171" s="128">
        <f>IFERROR(if($AC171=0,($W171/0.74)*BI171,
BI171*$AC171),)</f>
        <v/>
      </c>
      <c r="CU171" s="128">
        <f>IFERROR(AI171*$V171,)</f>
        <v/>
      </c>
      <c r="CV171" s="128">
        <f>IFERROR(AJ171*$V171,)</f>
        <v/>
      </c>
      <c r="CW171" s="128">
        <f>IFERROR(AK171*$V171,)</f>
        <v/>
      </c>
      <c r="CX171" s="128">
        <f>IFERROR(AL171*$V171,)</f>
        <v/>
      </c>
      <c r="CY171" s="128">
        <f>IFERROR(AM171*$V171,)</f>
        <v/>
      </c>
      <c r="CZ171" s="128">
        <f>IFERROR(AN171*$V171,)</f>
        <v/>
      </c>
      <c r="DA171" s="128">
        <f>IFERROR(AO171*$V171,)</f>
        <v/>
      </c>
      <c r="DB171" s="128">
        <f>IFERROR(AP171*$V171,)</f>
        <v/>
      </c>
      <c r="DC171" s="128">
        <f>IFERROR(AQ171*$V171,)</f>
        <v/>
      </c>
      <c r="DD171" s="128">
        <f>IFERROR(AR171*$V171,)</f>
        <v/>
      </c>
      <c r="DE171" s="128">
        <f>IFERROR(AS171*$V171,)</f>
        <v/>
      </c>
      <c r="DF171" s="128">
        <f>IFERROR(AT171*$V171,)</f>
        <v/>
      </c>
      <c r="DG171" s="128">
        <f>IFERROR(AU171*$V171,)</f>
        <v/>
      </c>
      <c r="DH171" s="128">
        <f>IFERROR(AV171*$V171,)</f>
        <v/>
      </c>
      <c r="DI171" s="128">
        <f>IFERROR(AW171*$V171,)</f>
        <v/>
      </c>
      <c r="DJ171" s="128">
        <f>IFERROR(AX171*$V171,)</f>
        <v/>
      </c>
      <c r="DK171" s="128">
        <f>IFERROR(AY171*$V171,)</f>
        <v/>
      </c>
      <c r="DL171" s="128">
        <f>IFERROR(AZ171*$V171,)</f>
        <v/>
      </c>
      <c r="DM171" s="129">
        <f>IFERROR(if($X171=0,($V171/1.2)*BA171,
BA171*$X171),)</f>
        <v/>
      </c>
      <c r="DN171" s="129">
        <f>IFERROR(if($X171=0,($V171/1.2)*BB171,
BB171*$X171),)</f>
        <v/>
      </c>
      <c r="DO171" s="129">
        <f>IFERROR(if($X171=0,($V171/1.2)*BC171,
BC171*$X171),)</f>
        <v/>
      </c>
      <c r="DP171" s="130">
        <f>IFERROR(if($Z171=0,($V171/1.35)*BD171,
BD171*$Z171),)</f>
        <v/>
      </c>
      <c r="DQ171" s="130">
        <f>IFERROR(if($Z171=0,($V171/1.35)*BE171,
BE171*$Z171),)</f>
        <v/>
      </c>
      <c r="DR171" s="130">
        <f>IFERROR(if($Z171=0,($V171/1.35)*BF171,
BF171*$Z171),)</f>
        <v/>
      </c>
      <c r="DS171" s="128">
        <f>IFERROR(IF($AB171=0,($V171/0.74)*BG171,
BG171*$AB171),)</f>
        <v/>
      </c>
      <c r="DT171" s="128">
        <f>IFERROR(IF($AB171=0,($V171/0.74)*BH171,
BH171*$AB171),)</f>
        <v/>
      </c>
      <c r="DU171" s="128">
        <f>IFERROR(IF($AB171=0,($V171/0.74)*BI171,
BI171*$AB171),)</f>
        <v/>
      </c>
    </row>
    <row r="172" ht="131.25" customHeight="1" s="162">
      <c r="A172" s="115" t="n"/>
      <c r="B172" s="115" t="n"/>
      <c r="C172" s="115" t="n"/>
      <c r="D172" s="115" t="n"/>
      <c r="E172" s="115" t="n"/>
      <c r="F172" s="115" t="n"/>
      <c r="G172" s="115" t="n"/>
      <c r="H172" s="115" t="n"/>
      <c r="I172" s="115" t="n"/>
      <c r="J172" s="115" t="n"/>
      <c r="K172" s="115" t="n"/>
      <c r="L172" s="115" t="n"/>
      <c r="M172" s="115" t="n"/>
      <c r="N172" s="115" t="n"/>
      <c r="O172" s="115" t="n"/>
      <c r="P172" s="115" t="n"/>
      <c r="Q172" s="115" t="n"/>
      <c r="R172" s="115" t="n"/>
      <c r="S172" s="115" t="n"/>
      <c r="T172" s="115" t="n"/>
      <c r="U172" s="116" t="n"/>
      <c r="V172" s="116" t="n"/>
      <c r="W172" s="117" t="n"/>
      <c r="X172" s="118" t="n"/>
      <c r="Y172" s="119" t="n"/>
      <c r="Z172" s="120" t="n"/>
      <c r="AA172" s="121" t="n"/>
      <c r="AB172" s="122" t="n"/>
      <c r="AC172" s="117" t="n"/>
      <c r="AD172" s="123">
        <f>IF(SUM($AE172:$AH172)=0,"",SUM($AE172:$AH172))</f>
        <v/>
      </c>
      <c r="AE172" s="123">
        <f>iferror(IF(SUM($AI172:$AZ172)=0,"",SUM($AI172:$AZ172)),"")</f>
        <v/>
      </c>
      <c r="AF172" s="123">
        <f>iferror(IF(SUM($BA172:$BC172)=0,"",SUM($BA172:$BC172)),"")</f>
        <v/>
      </c>
      <c r="AG172" s="123">
        <f>iferror(IF(SUM($BD172:$BF172)=0,"",SUM($BD172:$BF172)),"")</f>
        <v/>
      </c>
      <c r="AH172" s="124">
        <f>iferror(IF(SUM($BG172:$BI172)=0,"",SUM($BG172:$BI172)),"")</f>
        <v/>
      </c>
      <c r="AI172" s="131" t="n"/>
      <c r="AJ172" s="132" t="n"/>
      <c r="AK172" s="132" t="n"/>
      <c r="AL172" s="132" t="n"/>
      <c r="AM172" s="132" t="n"/>
      <c r="AN172" s="132" t="n"/>
      <c r="AO172" s="132" t="n"/>
      <c r="AP172" s="132" t="n"/>
      <c r="AQ172" s="132" t="n"/>
      <c r="AR172" s="132" t="n"/>
      <c r="AS172" s="132" t="n"/>
      <c r="AT172" s="132" t="n"/>
      <c r="AU172" s="132" t="n"/>
      <c r="AV172" s="132" t="n"/>
      <c r="AW172" s="132" t="n"/>
      <c r="AX172" s="132" t="n"/>
      <c r="AY172" s="132" t="n"/>
      <c r="AZ172" s="133" t="n"/>
      <c r="BA172" s="131" t="n"/>
      <c r="BB172" s="132" t="n"/>
      <c r="BC172" s="133" t="n"/>
      <c r="BD172" s="131" t="n"/>
      <c r="BE172" s="132" t="n"/>
      <c r="BF172" s="133" t="n"/>
      <c r="BG172" s="131" t="n"/>
      <c r="BH172" s="132" t="n"/>
      <c r="BI172" s="132" t="n"/>
      <c r="BJ172" s="128">
        <f>iferror(SUM($BK172,($BL172*1.2),($BM172*1.35),($BN172*0.74)),)</f>
        <v/>
      </c>
      <c r="BK172" s="128">
        <f>IFERROR(SUM($BT172:$CK172),)</f>
        <v/>
      </c>
      <c r="BL172" s="129">
        <f>IFERROR(SUM($CL172:$CN172),)</f>
        <v/>
      </c>
      <c r="BM172" s="130">
        <f>IFERROR(SUM($CO172:$CQ172),)</f>
        <v/>
      </c>
      <c r="BN172" s="128">
        <f>IFERROR(SUM($CR172:$CT172),)</f>
        <v/>
      </c>
      <c r="BO172" s="128">
        <f>iferror(SUM($BP172,($BQ172*1.2),($BR172*1.35),($BS172*0.74)),)</f>
        <v/>
      </c>
      <c r="BP172" s="128">
        <f>IFERROR(SUM($CU172:$DL172),)</f>
        <v/>
      </c>
      <c r="BQ172" s="128">
        <f>IFERROR(SUM($DM172:$DO172),)</f>
        <v/>
      </c>
      <c r="BR172" s="128">
        <f>IFERROR(SUM($DP172:$DR172),)</f>
        <v/>
      </c>
      <c r="BS172" s="128">
        <f>IFERROR(SUM($DS172:$DU172),)</f>
        <v/>
      </c>
      <c r="BT172" s="128">
        <f>IFERROR(AI172*$W172,)</f>
        <v/>
      </c>
      <c r="BU172" s="128">
        <f>IFERROR(AJ172*$W172,)</f>
        <v/>
      </c>
      <c r="BV172" s="128">
        <f>IFERROR(AK172*$W172,)</f>
        <v/>
      </c>
      <c r="BW172" s="128">
        <f>IFERROR(AL172*$W172,)</f>
        <v/>
      </c>
      <c r="BX172" s="128">
        <f>IFERROR(AM172*$W172,)</f>
        <v/>
      </c>
      <c r="BY172" s="128">
        <f>IFERROR(AN172*$W172,)</f>
        <v/>
      </c>
      <c r="BZ172" s="128">
        <f>IFERROR(AO172*$W172,)</f>
        <v/>
      </c>
      <c r="CA172" s="128">
        <f>IFERROR(AP172*$W172,)</f>
        <v/>
      </c>
      <c r="CB172" s="128">
        <f>IFERROR(AQ172*$W172,)</f>
        <v/>
      </c>
      <c r="CC172" s="128">
        <f>IFERROR(AR172*$W172,)</f>
        <v/>
      </c>
      <c r="CD172" s="128">
        <f>IFERROR(AS172*$W172,)</f>
        <v/>
      </c>
      <c r="CE172" s="128">
        <f>IFERROR(AT172*$W172,)</f>
        <v/>
      </c>
      <c r="CF172" s="128">
        <f>IFERROR(AU172*$W172,)</f>
        <v/>
      </c>
      <c r="CG172" s="128">
        <f>IFERROR(AV172*$W172,)</f>
        <v/>
      </c>
      <c r="CH172" s="128">
        <f>IFERROR(AW172*$W172,)</f>
        <v/>
      </c>
      <c r="CI172" s="128">
        <f>IFERROR(AX172*$W172,)</f>
        <v/>
      </c>
      <c r="CJ172" s="128">
        <f>IFERROR(AY172*$W172,)</f>
        <v/>
      </c>
      <c r="CK172" s="128">
        <f>IFERROR(AZ172*$W172,)</f>
        <v/>
      </c>
      <c r="CL172" s="129">
        <f>IFERROR(if($Y172=0,BA172*($W172/1.2),BA172*$Y172),"")</f>
        <v/>
      </c>
      <c r="CM172" s="129">
        <f>IFERROR(if($Y172=0,BB172*($W172/1.2),BB172*$Y172),"")</f>
        <v/>
      </c>
      <c r="CN172" s="129">
        <f>IFERROR(if($Y172=0,BC172*($W172/1.2),BC172*$Y172),"")</f>
        <v/>
      </c>
      <c r="CO172" s="130">
        <f>IFERROR(if($AA172=0,($W172/1.35)*BD172,BD172*$AA172),)</f>
        <v/>
      </c>
      <c r="CP172" s="130">
        <f>IFERROR(if($AA172=0,($W172/1.35)*BE172,BE172*$AA172),)</f>
        <v/>
      </c>
      <c r="CQ172" s="130">
        <f>IFERROR(if($AA172=0,($W172/1.35)*BF172,BF172*$AA172),)</f>
        <v/>
      </c>
      <c r="CR172" s="128">
        <f>IFERROR(if($AC172=0,($W172/0.74)*BG172,
BG172*$AC172),)</f>
        <v/>
      </c>
      <c r="CS172" s="128">
        <f>IFERROR(if($AC172=0,($W172/0.74)*BH172,
BH172*$AC172),)</f>
        <v/>
      </c>
      <c r="CT172" s="128">
        <f>IFERROR(if($AC172=0,($W172/0.74)*BI172,
BI172*$AC172),)</f>
        <v/>
      </c>
      <c r="CU172" s="128">
        <f>IFERROR(AI172*$V172,)</f>
        <v/>
      </c>
      <c r="CV172" s="128">
        <f>IFERROR(AJ172*$V172,)</f>
        <v/>
      </c>
      <c r="CW172" s="128">
        <f>IFERROR(AK172*$V172,)</f>
        <v/>
      </c>
      <c r="CX172" s="128">
        <f>IFERROR(AL172*$V172,)</f>
        <v/>
      </c>
      <c r="CY172" s="128">
        <f>IFERROR(AM172*$V172,)</f>
        <v/>
      </c>
      <c r="CZ172" s="128">
        <f>IFERROR(AN172*$V172,)</f>
        <v/>
      </c>
      <c r="DA172" s="128">
        <f>IFERROR(AO172*$V172,)</f>
        <v/>
      </c>
      <c r="DB172" s="128">
        <f>IFERROR(AP172*$V172,)</f>
        <v/>
      </c>
      <c r="DC172" s="128">
        <f>IFERROR(AQ172*$V172,)</f>
        <v/>
      </c>
      <c r="DD172" s="128">
        <f>IFERROR(AR172*$V172,)</f>
        <v/>
      </c>
      <c r="DE172" s="128">
        <f>IFERROR(AS172*$V172,)</f>
        <v/>
      </c>
      <c r="DF172" s="128">
        <f>IFERROR(AT172*$V172,)</f>
        <v/>
      </c>
      <c r="DG172" s="128">
        <f>IFERROR(AU172*$V172,)</f>
        <v/>
      </c>
      <c r="DH172" s="128">
        <f>IFERROR(AV172*$V172,)</f>
        <v/>
      </c>
      <c r="DI172" s="128">
        <f>IFERROR(AW172*$V172,)</f>
        <v/>
      </c>
      <c r="DJ172" s="128">
        <f>IFERROR(AX172*$V172,)</f>
        <v/>
      </c>
      <c r="DK172" s="128">
        <f>IFERROR(AY172*$V172,)</f>
        <v/>
      </c>
      <c r="DL172" s="128">
        <f>IFERROR(AZ172*$V172,)</f>
        <v/>
      </c>
      <c r="DM172" s="129">
        <f>IFERROR(if($X172=0,($V172/1.2)*BA172,
BA172*$X172),)</f>
        <v/>
      </c>
      <c r="DN172" s="129">
        <f>IFERROR(if($X172=0,($V172/1.2)*BB172,
BB172*$X172),)</f>
        <v/>
      </c>
      <c r="DO172" s="129">
        <f>IFERROR(if($X172=0,($V172/1.2)*BC172,
BC172*$X172),)</f>
        <v/>
      </c>
      <c r="DP172" s="130">
        <f>IFERROR(if($Z172=0,($V172/1.35)*BD172,
BD172*$Z172),)</f>
        <v/>
      </c>
      <c r="DQ172" s="130">
        <f>IFERROR(if($Z172=0,($V172/1.35)*BE172,
BE172*$Z172),)</f>
        <v/>
      </c>
      <c r="DR172" s="130">
        <f>IFERROR(if($Z172=0,($V172/1.35)*BF172,
BF172*$Z172),)</f>
        <v/>
      </c>
      <c r="DS172" s="128">
        <f>IFERROR(IF($AB172=0,($V172/0.74)*BG172,
BG172*$AB172),)</f>
        <v/>
      </c>
      <c r="DT172" s="128">
        <f>IFERROR(IF($AB172=0,($V172/0.74)*BH172,
BH172*$AB172),)</f>
        <v/>
      </c>
      <c r="DU172" s="128">
        <f>IFERROR(IF($AB172=0,($V172/0.74)*BI172,
BI172*$AB172),)</f>
        <v/>
      </c>
    </row>
    <row r="173" ht="131.25" customHeight="1" s="162">
      <c r="A173" s="115" t="n"/>
      <c r="B173" s="115" t="n"/>
      <c r="C173" s="115" t="n"/>
      <c r="D173" s="115" t="n"/>
      <c r="E173" s="115" t="n"/>
      <c r="F173" s="115" t="n"/>
      <c r="G173" s="115" t="n"/>
      <c r="H173" s="115" t="n"/>
      <c r="I173" s="115" t="n"/>
      <c r="J173" s="115" t="n"/>
      <c r="K173" s="115" t="n"/>
      <c r="L173" s="115" t="n"/>
      <c r="M173" s="115" t="n"/>
      <c r="N173" s="115" t="n"/>
      <c r="O173" s="115" t="n"/>
      <c r="P173" s="115" t="n"/>
      <c r="Q173" s="115" t="n"/>
      <c r="R173" s="115" t="n"/>
      <c r="S173" s="115" t="n"/>
      <c r="T173" s="115" t="n"/>
      <c r="U173" s="116" t="n"/>
      <c r="V173" s="116" t="n"/>
      <c r="W173" s="117" t="n"/>
      <c r="X173" s="118" t="n"/>
      <c r="Y173" s="119" t="n"/>
      <c r="Z173" s="120" t="n"/>
      <c r="AA173" s="121" t="n"/>
      <c r="AB173" s="122" t="n"/>
      <c r="AC173" s="117" t="n"/>
      <c r="AD173" s="123">
        <f>IF(SUM($AE173:$AH173)=0,"",SUM($AE173:$AH173))</f>
        <v/>
      </c>
      <c r="AE173" s="123">
        <f>iferror(IF(SUM($AI173:$AZ173)=0,"",SUM($AI173:$AZ173)),"")</f>
        <v/>
      </c>
      <c r="AF173" s="123">
        <f>iferror(IF(SUM($BA173:$BC173)=0,"",SUM($BA173:$BC173)),"")</f>
        <v/>
      </c>
      <c r="AG173" s="123">
        <f>iferror(IF(SUM($BD173:$BF173)=0,"",SUM($BD173:$BF173)),"")</f>
        <v/>
      </c>
      <c r="AH173" s="124">
        <f>iferror(IF(SUM($BG173:$BI173)=0,"",SUM($BG173:$BI173)),"")</f>
        <v/>
      </c>
      <c r="AI173" s="131" t="n"/>
      <c r="AJ173" s="132" t="n"/>
      <c r="AK173" s="132" t="n"/>
      <c r="AL173" s="132" t="n"/>
      <c r="AM173" s="132" t="n"/>
      <c r="AN173" s="132" t="n"/>
      <c r="AO173" s="132" t="n"/>
      <c r="AP173" s="132" t="n"/>
      <c r="AQ173" s="132" t="n"/>
      <c r="AR173" s="132" t="n"/>
      <c r="AS173" s="132" t="n"/>
      <c r="AT173" s="132" t="n"/>
      <c r="AU173" s="132" t="n"/>
      <c r="AV173" s="132" t="n"/>
      <c r="AW173" s="132" t="n"/>
      <c r="AX173" s="132" t="n"/>
      <c r="AY173" s="132" t="n"/>
      <c r="AZ173" s="133" t="n"/>
      <c r="BA173" s="131" t="n"/>
      <c r="BB173" s="132" t="n"/>
      <c r="BC173" s="133" t="n"/>
      <c r="BD173" s="131" t="n"/>
      <c r="BE173" s="132" t="n"/>
      <c r="BF173" s="133" t="n"/>
      <c r="BG173" s="131" t="n"/>
      <c r="BH173" s="132" t="n"/>
      <c r="BI173" s="132" t="n"/>
      <c r="BJ173" s="128">
        <f>iferror(SUM($BK173,($BL173*1.2),($BM173*1.35),($BN173*0.74)),)</f>
        <v/>
      </c>
      <c r="BK173" s="128">
        <f>IFERROR(SUM($BT173:$CK173),)</f>
        <v/>
      </c>
      <c r="BL173" s="129">
        <f>IFERROR(SUM($CL173:$CN173),)</f>
        <v/>
      </c>
      <c r="BM173" s="130">
        <f>IFERROR(SUM($CO173:$CQ173),)</f>
        <v/>
      </c>
      <c r="BN173" s="128">
        <f>IFERROR(SUM($CR173:$CT173),)</f>
        <v/>
      </c>
      <c r="BO173" s="128">
        <f>iferror(SUM($BP173,($BQ173*1.2),($BR173*1.35),($BS173*0.74)),)</f>
        <v/>
      </c>
      <c r="BP173" s="128">
        <f>IFERROR(SUM($CU173:$DL173),)</f>
        <v/>
      </c>
      <c r="BQ173" s="128">
        <f>IFERROR(SUM($DM173:$DO173),)</f>
        <v/>
      </c>
      <c r="BR173" s="128">
        <f>IFERROR(SUM($DP173:$DR173),)</f>
        <v/>
      </c>
      <c r="BS173" s="128">
        <f>IFERROR(SUM($DS173:$DU173),)</f>
        <v/>
      </c>
      <c r="BT173" s="128">
        <f>IFERROR(AI173*$W173,)</f>
        <v/>
      </c>
      <c r="BU173" s="128">
        <f>IFERROR(AJ173*$W173,)</f>
        <v/>
      </c>
      <c r="BV173" s="128">
        <f>IFERROR(AK173*$W173,)</f>
        <v/>
      </c>
      <c r="BW173" s="128">
        <f>IFERROR(AL173*$W173,)</f>
        <v/>
      </c>
      <c r="BX173" s="128">
        <f>IFERROR(AM173*$W173,)</f>
        <v/>
      </c>
      <c r="BY173" s="128">
        <f>IFERROR(AN173*$W173,)</f>
        <v/>
      </c>
      <c r="BZ173" s="128">
        <f>IFERROR(AO173*$W173,)</f>
        <v/>
      </c>
      <c r="CA173" s="128">
        <f>IFERROR(AP173*$W173,)</f>
        <v/>
      </c>
      <c r="CB173" s="128">
        <f>IFERROR(AQ173*$W173,)</f>
        <v/>
      </c>
      <c r="CC173" s="128">
        <f>IFERROR(AR173*$W173,)</f>
        <v/>
      </c>
      <c r="CD173" s="128">
        <f>IFERROR(AS173*$W173,)</f>
        <v/>
      </c>
      <c r="CE173" s="128">
        <f>IFERROR(AT173*$W173,)</f>
        <v/>
      </c>
      <c r="CF173" s="128">
        <f>IFERROR(AU173*$W173,)</f>
        <v/>
      </c>
      <c r="CG173" s="128">
        <f>IFERROR(AV173*$W173,)</f>
        <v/>
      </c>
      <c r="CH173" s="128">
        <f>IFERROR(AW173*$W173,)</f>
        <v/>
      </c>
      <c r="CI173" s="128">
        <f>IFERROR(AX173*$W173,)</f>
        <v/>
      </c>
      <c r="CJ173" s="128">
        <f>IFERROR(AY173*$W173,)</f>
        <v/>
      </c>
      <c r="CK173" s="128">
        <f>IFERROR(AZ173*$W173,)</f>
        <v/>
      </c>
      <c r="CL173" s="129">
        <f>IFERROR(if($Y173=0,BA173*($W173/1.2),BA173*$Y173),"")</f>
        <v/>
      </c>
      <c r="CM173" s="129">
        <f>IFERROR(if($Y173=0,BB173*($W173/1.2),BB173*$Y173),"")</f>
        <v/>
      </c>
      <c r="CN173" s="129">
        <f>IFERROR(if($Y173=0,BC173*($W173/1.2),BC173*$Y173),"")</f>
        <v/>
      </c>
      <c r="CO173" s="130">
        <f>IFERROR(if($AA173=0,($W173/1.35)*BD173,BD173*$AA173),)</f>
        <v/>
      </c>
      <c r="CP173" s="130">
        <f>IFERROR(if($AA173=0,($W173/1.35)*BE173,BE173*$AA173),)</f>
        <v/>
      </c>
      <c r="CQ173" s="130">
        <f>IFERROR(if($AA173=0,($W173/1.35)*BF173,BF173*$AA173),)</f>
        <v/>
      </c>
      <c r="CR173" s="128">
        <f>IFERROR(if($AC173=0,($W173/0.74)*BG173,
BG173*$AC173),)</f>
        <v/>
      </c>
      <c r="CS173" s="128">
        <f>IFERROR(if($AC173=0,($W173/0.74)*BH173,
BH173*$AC173),)</f>
        <v/>
      </c>
      <c r="CT173" s="128">
        <f>IFERROR(if($AC173=0,($W173/0.74)*BI173,
BI173*$AC173),)</f>
        <v/>
      </c>
      <c r="CU173" s="128">
        <f>IFERROR(AI173*$V173,)</f>
        <v/>
      </c>
      <c r="CV173" s="128">
        <f>IFERROR(AJ173*$V173,)</f>
        <v/>
      </c>
      <c r="CW173" s="128">
        <f>IFERROR(AK173*$V173,)</f>
        <v/>
      </c>
      <c r="CX173" s="128">
        <f>IFERROR(AL173*$V173,)</f>
        <v/>
      </c>
      <c r="CY173" s="128">
        <f>IFERROR(AM173*$V173,)</f>
        <v/>
      </c>
      <c r="CZ173" s="128">
        <f>IFERROR(AN173*$V173,)</f>
        <v/>
      </c>
      <c r="DA173" s="128">
        <f>IFERROR(AO173*$V173,)</f>
        <v/>
      </c>
      <c r="DB173" s="128">
        <f>IFERROR(AP173*$V173,)</f>
        <v/>
      </c>
      <c r="DC173" s="128">
        <f>IFERROR(AQ173*$V173,)</f>
        <v/>
      </c>
      <c r="DD173" s="128">
        <f>IFERROR(AR173*$V173,)</f>
        <v/>
      </c>
      <c r="DE173" s="128">
        <f>IFERROR(AS173*$V173,)</f>
        <v/>
      </c>
      <c r="DF173" s="128">
        <f>IFERROR(AT173*$V173,)</f>
        <v/>
      </c>
      <c r="DG173" s="128">
        <f>IFERROR(AU173*$V173,)</f>
        <v/>
      </c>
      <c r="DH173" s="128">
        <f>IFERROR(AV173*$V173,)</f>
        <v/>
      </c>
      <c r="DI173" s="128">
        <f>IFERROR(AW173*$V173,)</f>
        <v/>
      </c>
      <c r="DJ173" s="128">
        <f>IFERROR(AX173*$V173,)</f>
        <v/>
      </c>
      <c r="DK173" s="128">
        <f>IFERROR(AY173*$V173,)</f>
        <v/>
      </c>
      <c r="DL173" s="128">
        <f>IFERROR(AZ173*$V173,)</f>
        <v/>
      </c>
      <c r="DM173" s="129">
        <f>IFERROR(if($X173=0,($V173/1.2)*BA173,
BA173*$X173),)</f>
        <v/>
      </c>
      <c r="DN173" s="129">
        <f>IFERROR(if($X173=0,($V173/1.2)*BB173,
BB173*$X173),)</f>
        <v/>
      </c>
      <c r="DO173" s="129">
        <f>IFERROR(if($X173=0,($V173/1.2)*BC173,
BC173*$X173),)</f>
        <v/>
      </c>
      <c r="DP173" s="130">
        <f>IFERROR(if($Z173=0,($V173/1.35)*BD173,
BD173*$Z173),)</f>
        <v/>
      </c>
      <c r="DQ173" s="130">
        <f>IFERROR(if($Z173=0,($V173/1.35)*BE173,
BE173*$Z173),)</f>
        <v/>
      </c>
      <c r="DR173" s="130">
        <f>IFERROR(if($Z173=0,($V173/1.35)*BF173,
BF173*$Z173),)</f>
        <v/>
      </c>
      <c r="DS173" s="128">
        <f>IFERROR(IF($AB173=0,($V173/0.74)*BG173,
BG173*$AB173),)</f>
        <v/>
      </c>
      <c r="DT173" s="128">
        <f>IFERROR(IF($AB173=0,($V173/0.74)*BH173,
BH173*$AB173),)</f>
        <v/>
      </c>
      <c r="DU173" s="128">
        <f>IFERROR(IF($AB173=0,($V173/0.74)*BI173,
BI173*$AB173),)</f>
        <v/>
      </c>
    </row>
    <row r="174" ht="131.25" customHeight="1" s="162">
      <c r="A174" s="115" t="n"/>
      <c r="B174" s="115" t="n"/>
      <c r="C174" s="115" t="n"/>
      <c r="D174" s="115" t="n"/>
      <c r="E174" s="115" t="n"/>
      <c r="F174" s="115" t="n"/>
      <c r="G174" s="115" t="n"/>
      <c r="H174" s="115" t="n"/>
      <c r="I174" s="115" t="n"/>
      <c r="J174" s="115" t="n"/>
      <c r="K174" s="115" t="n"/>
      <c r="L174" s="115" t="n"/>
      <c r="M174" s="115" t="n"/>
      <c r="N174" s="115" t="n"/>
      <c r="O174" s="115" t="n"/>
      <c r="P174" s="115" t="n"/>
      <c r="Q174" s="115" t="n"/>
      <c r="R174" s="115" t="n"/>
      <c r="S174" s="115" t="n"/>
      <c r="T174" s="115" t="n"/>
      <c r="U174" s="116" t="n"/>
      <c r="V174" s="116" t="n"/>
      <c r="W174" s="117" t="n"/>
      <c r="X174" s="118" t="n"/>
      <c r="Y174" s="119" t="n"/>
      <c r="Z174" s="120" t="n"/>
      <c r="AA174" s="121" t="n"/>
      <c r="AB174" s="122" t="n"/>
      <c r="AC174" s="117" t="n"/>
      <c r="AD174" s="123">
        <f>IF(SUM($AE174:$AH174)=0,"",SUM($AE174:$AH174))</f>
        <v/>
      </c>
      <c r="AE174" s="123">
        <f>iferror(IF(SUM($AI174:$AZ174)=0,"",SUM($AI174:$AZ174)),"")</f>
        <v/>
      </c>
      <c r="AF174" s="123">
        <f>iferror(IF(SUM($BA174:$BC174)=0,"",SUM($BA174:$BC174)),"")</f>
        <v/>
      </c>
      <c r="AG174" s="123">
        <f>iferror(IF(SUM($BD174:$BF174)=0,"",SUM($BD174:$BF174)),"")</f>
        <v/>
      </c>
      <c r="AH174" s="124">
        <f>iferror(IF(SUM($BG174:$BI174)=0,"",SUM($BG174:$BI174)),"")</f>
        <v/>
      </c>
      <c r="AI174" s="131" t="n"/>
      <c r="AJ174" s="132" t="n"/>
      <c r="AK174" s="132" t="n"/>
      <c r="AL174" s="132" t="n"/>
      <c r="AM174" s="132" t="n"/>
      <c r="AN174" s="132" t="n"/>
      <c r="AO174" s="132" t="n"/>
      <c r="AP174" s="132" t="n"/>
      <c r="AQ174" s="132" t="n"/>
      <c r="AR174" s="132" t="n"/>
      <c r="AS174" s="132" t="n"/>
      <c r="AT174" s="132" t="n"/>
      <c r="AU174" s="132" t="n"/>
      <c r="AV174" s="132" t="n"/>
      <c r="AW174" s="132" t="n"/>
      <c r="AX174" s="132" t="n"/>
      <c r="AY174" s="132" t="n"/>
      <c r="AZ174" s="133" t="n"/>
      <c r="BA174" s="131" t="n"/>
      <c r="BB174" s="132" t="n"/>
      <c r="BC174" s="133" t="n"/>
      <c r="BD174" s="131" t="n"/>
      <c r="BE174" s="132" t="n"/>
      <c r="BF174" s="133" t="n"/>
      <c r="BG174" s="131" t="n"/>
      <c r="BH174" s="132" t="n"/>
      <c r="BI174" s="132" t="n"/>
      <c r="BJ174" s="128">
        <f>iferror(SUM($BK174,($BL174*1.2),($BM174*1.35),($BN174*0.74)),)</f>
        <v/>
      </c>
      <c r="BK174" s="128">
        <f>IFERROR(SUM($BT174:$CK174),)</f>
        <v/>
      </c>
      <c r="BL174" s="129">
        <f>IFERROR(SUM($CL174:$CN174),)</f>
        <v/>
      </c>
      <c r="BM174" s="130">
        <f>IFERROR(SUM($CO174:$CQ174),)</f>
        <v/>
      </c>
      <c r="BN174" s="128">
        <f>IFERROR(SUM($CR174:$CT174),)</f>
        <v/>
      </c>
      <c r="BO174" s="128">
        <f>iferror(SUM($BP174,($BQ174*1.2),($BR174*1.35),($BS174*0.74)),)</f>
        <v/>
      </c>
      <c r="BP174" s="128">
        <f>IFERROR(SUM($CU174:$DL174),)</f>
        <v/>
      </c>
      <c r="BQ174" s="128">
        <f>IFERROR(SUM($DM174:$DO174),)</f>
        <v/>
      </c>
      <c r="BR174" s="128">
        <f>IFERROR(SUM($DP174:$DR174),)</f>
        <v/>
      </c>
      <c r="BS174" s="128">
        <f>IFERROR(SUM($DS174:$DU174),)</f>
        <v/>
      </c>
      <c r="BT174" s="128">
        <f>IFERROR(AI174*$W174,)</f>
        <v/>
      </c>
      <c r="BU174" s="128">
        <f>IFERROR(AJ174*$W174,)</f>
        <v/>
      </c>
      <c r="BV174" s="128">
        <f>IFERROR(AK174*$W174,)</f>
        <v/>
      </c>
      <c r="BW174" s="128">
        <f>IFERROR(AL174*$W174,)</f>
        <v/>
      </c>
      <c r="BX174" s="128">
        <f>IFERROR(AM174*$W174,)</f>
        <v/>
      </c>
      <c r="BY174" s="128">
        <f>IFERROR(AN174*$W174,)</f>
        <v/>
      </c>
      <c r="BZ174" s="128">
        <f>IFERROR(AO174*$W174,)</f>
        <v/>
      </c>
      <c r="CA174" s="128">
        <f>IFERROR(AP174*$W174,)</f>
        <v/>
      </c>
      <c r="CB174" s="128">
        <f>IFERROR(AQ174*$W174,)</f>
        <v/>
      </c>
      <c r="CC174" s="128">
        <f>IFERROR(AR174*$W174,)</f>
        <v/>
      </c>
      <c r="CD174" s="128">
        <f>IFERROR(AS174*$W174,)</f>
        <v/>
      </c>
      <c r="CE174" s="128">
        <f>IFERROR(AT174*$W174,)</f>
        <v/>
      </c>
      <c r="CF174" s="128">
        <f>IFERROR(AU174*$W174,)</f>
        <v/>
      </c>
      <c r="CG174" s="128">
        <f>IFERROR(AV174*$W174,)</f>
        <v/>
      </c>
      <c r="CH174" s="128">
        <f>IFERROR(AW174*$W174,)</f>
        <v/>
      </c>
      <c r="CI174" s="128">
        <f>IFERROR(AX174*$W174,)</f>
        <v/>
      </c>
      <c r="CJ174" s="128">
        <f>IFERROR(AY174*$W174,)</f>
        <v/>
      </c>
      <c r="CK174" s="128">
        <f>IFERROR(AZ174*$W174,)</f>
        <v/>
      </c>
      <c r="CL174" s="129">
        <f>IFERROR(if($Y174=0,BA174*($W174/1.2),BA174*$Y174),"")</f>
        <v/>
      </c>
      <c r="CM174" s="129">
        <f>IFERROR(if($Y174=0,BB174*($W174/1.2),BB174*$Y174),"")</f>
        <v/>
      </c>
      <c r="CN174" s="129">
        <f>IFERROR(if($Y174=0,BC174*($W174/1.2),BC174*$Y174),"")</f>
        <v/>
      </c>
      <c r="CO174" s="130">
        <f>IFERROR(if($AA174=0,($W174/1.35)*BD174,BD174*$AA174),)</f>
        <v/>
      </c>
      <c r="CP174" s="130">
        <f>IFERROR(if($AA174=0,($W174/1.35)*BE174,BE174*$AA174),)</f>
        <v/>
      </c>
      <c r="CQ174" s="130">
        <f>IFERROR(if($AA174=0,($W174/1.35)*BF174,BF174*$AA174),)</f>
        <v/>
      </c>
      <c r="CR174" s="128">
        <f>IFERROR(if($AC174=0,($W174/0.74)*BG174,
BG174*$AC174),)</f>
        <v/>
      </c>
      <c r="CS174" s="128">
        <f>IFERROR(if($AC174=0,($W174/0.74)*BH174,
BH174*$AC174),)</f>
        <v/>
      </c>
      <c r="CT174" s="128">
        <f>IFERROR(if($AC174=0,($W174/0.74)*BI174,
BI174*$AC174),)</f>
        <v/>
      </c>
      <c r="CU174" s="128">
        <f>IFERROR(AI174*$V174,)</f>
        <v/>
      </c>
      <c r="CV174" s="128">
        <f>IFERROR(AJ174*$V174,)</f>
        <v/>
      </c>
      <c r="CW174" s="128">
        <f>IFERROR(AK174*$V174,)</f>
        <v/>
      </c>
      <c r="CX174" s="128">
        <f>IFERROR(AL174*$V174,)</f>
        <v/>
      </c>
      <c r="CY174" s="128">
        <f>IFERROR(AM174*$V174,)</f>
        <v/>
      </c>
      <c r="CZ174" s="128">
        <f>IFERROR(AN174*$V174,)</f>
        <v/>
      </c>
      <c r="DA174" s="128">
        <f>IFERROR(AO174*$V174,)</f>
        <v/>
      </c>
      <c r="DB174" s="128">
        <f>IFERROR(AP174*$V174,)</f>
        <v/>
      </c>
      <c r="DC174" s="128">
        <f>IFERROR(AQ174*$V174,)</f>
        <v/>
      </c>
      <c r="DD174" s="128">
        <f>IFERROR(AR174*$V174,)</f>
        <v/>
      </c>
      <c r="DE174" s="128">
        <f>IFERROR(AS174*$V174,)</f>
        <v/>
      </c>
      <c r="DF174" s="128">
        <f>IFERROR(AT174*$V174,)</f>
        <v/>
      </c>
      <c r="DG174" s="128">
        <f>IFERROR(AU174*$V174,)</f>
        <v/>
      </c>
      <c r="DH174" s="128">
        <f>IFERROR(AV174*$V174,)</f>
        <v/>
      </c>
      <c r="DI174" s="128">
        <f>IFERROR(AW174*$V174,)</f>
        <v/>
      </c>
      <c r="DJ174" s="128">
        <f>IFERROR(AX174*$V174,)</f>
        <v/>
      </c>
      <c r="DK174" s="128">
        <f>IFERROR(AY174*$V174,)</f>
        <v/>
      </c>
      <c r="DL174" s="128">
        <f>IFERROR(AZ174*$V174,)</f>
        <v/>
      </c>
      <c r="DM174" s="129">
        <f>IFERROR(if($X174=0,($V174/1.2)*BA174,
BA174*$X174),)</f>
        <v/>
      </c>
      <c r="DN174" s="129">
        <f>IFERROR(if($X174=0,($V174/1.2)*BB174,
BB174*$X174),)</f>
        <v/>
      </c>
      <c r="DO174" s="129">
        <f>IFERROR(if($X174=0,($V174/1.2)*BC174,
BC174*$X174),)</f>
        <v/>
      </c>
      <c r="DP174" s="130">
        <f>IFERROR(if($Z174=0,($V174/1.35)*BD174,
BD174*$Z174),)</f>
        <v/>
      </c>
      <c r="DQ174" s="130">
        <f>IFERROR(if($Z174=0,($V174/1.35)*BE174,
BE174*$Z174),)</f>
        <v/>
      </c>
      <c r="DR174" s="130">
        <f>IFERROR(if($Z174=0,($V174/1.35)*BF174,
BF174*$Z174),)</f>
        <v/>
      </c>
      <c r="DS174" s="128">
        <f>IFERROR(IF($AB174=0,($V174/0.74)*BG174,
BG174*$AB174),)</f>
        <v/>
      </c>
      <c r="DT174" s="128">
        <f>IFERROR(IF($AB174=0,($V174/0.74)*BH174,
BH174*$AB174),)</f>
        <v/>
      </c>
      <c r="DU174" s="128">
        <f>IFERROR(IF($AB174=0,($V174/0.74)*BI174,
BI174*$AB174),)</f>
        <v/>
      </c>
    </row>
    <row r="175" ht="131.25" customHeight="1" s="162">
      <c r="A175" s="115" t="n"/>
      <c r="B175" s="115" t="n"/>
      <c r="C175" s="115" t="n"/>
      <c r="D175" s="115" t="n"/>
      <c r="E175" s="115" t="n"/>
      <c r="F175" s="115" t="n"/>
      <c r="G175" s="115" t="n"/>
      <c r="H175" s="115" t="n"/>
      <c r="I175" s="115" t="n"/>
      <c r="J175" s="115" t="n"/>
      <c r="K175" s="115" t="n"/>
      <c r="L175" s="115" t="n"/>
      <c r="M175" s="115" t="n"/>
      <c r="N175" s="115" t="n"/>
      <c r="O175" s="115" t="n"/>
      <c r="P175" s="115" t="n"/>
      <c r="Q175" s="115" t="n"/>
      <c r="R175" s="115" t="n"/>
      <c r="S175" s="115" t="n"/>
      <c r="T175" s="115" t="n"/>
      <c r="U175" s="116" t="n"/>
      <c r="V175" s="116" t="n"/>
      <c r="W175" s="117" t="n"/>
      <c r="X175" s="118" t="n"/>
      <c r="Y175" s="119" t="n"/>
      <c r="Z175" s="120" t="n"/>
      <c r="AA175" s="121" t="n"/>
      <c r="AB175" s="122" t="n"/>
      <c r="AC175" s="117" t="n"/>
      <c r="AD175" s="123">
        <f>IF(SUM($AE175:$AH175)=0,"",SUM($AE175:$AH175))</f>
        <v/>
      </c>
      <c r="AE175" s="123">
        <f>iferror(IF(SUM($AI175:$AZ175)=0,"",SUM($AI175:$AZ175)),"")</f>
        <v/>
      </c>
      <c r="AF175" s="123">
        <f>iferror(IF(SUM($BA175:$BC175)=0,"",SUM($BA175:$BC175)),"")</f>
        <v/>
      </c>
      <c r="AG175" s="123">
        <f>iferror(IF(SUM($BD175:$BF175)=0,"",SUM($BD175:$BF175)),"")</f>
        <v/>
      </c>
      <c r="AH175" s="124">
        <f>iferror(IF(SUM($BG175:$BI175)=0,"",SUM($BG175:$BI175)),"")</f>
        <v/>
      </c>
      <c r="AI175" s="131" t="n"/>
      <c r="AJ175" s="132" t="n"/>
      <c r="AK175" s="132" t="n"/>
      <c r="AL175" s="132" t="n"/>
      <c r="AM175" s="132" t="n"/>
      <c r="AN175" s="132" t="n"/>
      <c r="AO175" s="132" t="n"/>
      <c r="AP175" s="132" t="n"/>
      <c r="AQ175" s="132" t="n"/>
      <c r="AR175" s="132" t="n"/>
      <c r="AS175" s="132" t="n"/>
      <c r="AT175" s="132" t="n"/>
      <c r="AU175" s="132" t="n"/>
      <c r="AV175" s="132" t="n"/>
      <c r="AW175" s="132" t="n"/>
      <c r="AX175" s="132" t="n"/>
      <c r="AY175" s="132" t="n"/>
      <c r="AZ175" s="133" t="n"/>
      <c r="BA175" s="131" t="n"/>
      <c r="BB175" s="132" t="n"/>
      <c r="BC175" s="133" t="n"/>
      <c r="BD175" s="131" t="n"/>
      <c r="BE175" s="132" t="n"/>
      <c r="BF175" s="133" t="n"/>
      <c r="BG175" s="131" t="n"/>
      <c r="BH175" s="132" t="n"/>
      <c r="BI175" s="132" t="n"/>
      <c r="BJ175" s="128">
        <f>iferror(SUM($BK175,($BL175*1.2),($BM175*1.35),($BN175*0.74)),)</f>
        <v/>
      </c>
      <c r="BK175" s="128">
        <f>IFERROR(SUM($BT175:$CK175),)</f>
        <v/>
      </c>
      <c r="BL175" s="129">
        <f>IFERROR(SUM($CL175:$CN175),)</f>
        <v/>
      </c>
      <c r="BM175" s="130">
        <f>IFERROR(SUM($CO175:$CQ175),)</f>
        <v/>
      </c>
      <c r="BN175" s="128">
        <f>IFERROR(SUM($CR175:$CT175),)</f>
        <v/>
      </c>
      <c r="BO175" s="128">
        <f>iferror(SUM($BP175,($BQ175*1.2),($BR175*1.35),($BS175*0.74)),)</f>
        <v/>
      </c>
      <c r="BP175" s="128">
        <f>IFERROR(SUM($CU175:$DL175),)</f>
        <v/>
      </c>
      <c r="BQ175" s="128">
        <f>IFERROR(SUM($DM175:$DO175),)</f>
        <v/>
      </c>
      <c r="BR175" s="128">
        <f>IFERROR(SUM($DP175:$DR175),)</f>
        <v/>
      </c>
      <c r="BS175" s="128">
        <f>IFERROR(SUM($DS175:$DU175),)</f>
        <v/>
      </c>
      <c r="BT175" s="128">
        <f>IFERROR(AI175*$W175,)</f>
        <v/>
      </c>
      <c r="BU175" s="128">
        <f>IFERROR(AJ175*$W175,)</f>
        <v/>
      </c>
      <c r="BV175" s="128">
        <f>IFERROR(AK175*$W175,)</f>
        <v/>
      </c>
      <c r="BW175" s="128">
        <f>IFERROR(AL175*$W175,)</f>
        <v/>
      </c>
      <c r="BX175" s="128">
        <f>IFERROR(AM175*$W175,)</f>
        <v/>
      </c>
      <c r="BY175" s="128">
        <f>IFERROR(AN175*$W175,)</f>
        <v/>
      </c>
      <c r="BZ175" s="128">
        <f>IFERROR(AO175*$W175,)</f>
        <v/>
      </c>
      <c r="CA175" s="128">
        <f>IFERROR(AP175*$W175,)</f>
        <v/>
      </c>
      <c r="CB175" s="128">
        <f>IFERROR(AQ175*$W175,)</f>
        <v/>
      </c>
      <c r="CC175" s="128">
        <f>IFERROR(AR175*$W175,)</f>
        <v/>
      </c>
      <c r="CD175" s="128">
        <f>IFERROR(AS175*$W175,)</f>
        <v/>
      </c>
      <c r="CE175" s="128">
        <f>IFERROR(AT175*$W175,)</f>
        <v/>
      </c>
      <c r="CF175" s="128">
        <f>IFERROR(AU175*$W175,)</f>
        <v/>
      </c>
      <c r="CG175" s="128">
        <f>IFERROR(AV175*$W175,)</f>
        <v/>
      </c>
      <c r="CH175" s="128">
        <f>IFERROR(AW175*$W175,)</f>
        <v/>
      </c>
      <c r="CI175" s="128">
        <f>IFERROR(AX175*$W175,)</f>
        <v/>
      </c>
      <c r="CJ175" s="128">
        <f>IFERROR(AY175*$W175,)</f>
        <v/>
      </c>
      <c r="CK175" s="128">
        <f>IFERROR(AZ175*$W175,)</f>
        <v/>
      </c>
      <c r="CL175" s="129">
        <f>IFERROR(if($Y175=0,BA175*($W175/1.2),BA175*$Y175),"")</f>
        <v/>
      </c>
      <c r="CM175" s="129">
        <f>IFERROR(if($Y175=0,BB175*($W175/1.2),BB175*$Y175),"")</f>
        <v/>
      </c>
      <c r="CN175" s="129">
        <f>IFERROR(if($Y175=0,BC175*($W175/1.2),BC175*$Y175),"")</f>
        <v/>
      </c>
      <c r="CO175" s="130">
        <f>IFERROR(if($AA175=0,($W175/1.35)*BD175,BD175*$AA175),)</f>
        <v/>
      </c>
      <c r="CP175" s="130">
        <f>IFERROR(if($AA175=0,($W175/1.35)*BE175,BE175*$AA175),)</f>
        <v/>
      </c>
      <c r="CQ175" s="130">
        <f>IFERROR(if($AA175=0,($W175/1.35)*BF175,BF175*$AA175),)</f>
        <v/>
      </c>
      <c r="CR175" s="128">
        <f>IFERROR(if($AC175=0,($W175/0.74)*BG175,
BG175*$AC175),)</f>
        <v/>
      </c>
      <c r="CS175" s="128">
        <f>IFERROR(if($AC175=0,($W175/0.74)*BH175,
BH175*$AC175),)</f>
        <v/>
      </c>
      <c r="CT175" s="128">
        <f>IFERROR(if($AC175=0,($W175/0.74)*BI175,
BI175*$AC175),)</f>
        <v/>
      </c>
      <c r="CU175" s="128">
        <f>IFERROR(AI175*$V175,)</f>
        <v/>
      </c>
      <c r="CV175" s="128">
        <f>IFERROR(AJ175*$V175,)</f>
        <v/>
      </c>
      <c r="CW175" s="128">
        <f>IFERROR(AK175*$V175,)</f>
        <v/>
      </c>
      <c r="CX175" s="128">
        <f>IFERROR(AL175*$V175,)</f>
        <v/>
      </c>
      <c r="CY175" s="128">
        <f>IFERROR(AM175*$V175,)</f>
        <v/>
      </c>
      <c r="CZ175" s="128">
        <f>IFERROR(AN175*$V175,)</f>
        <v/>
      </c>
      <c r="DA175" s="128">
        <f>IFERROR(AO175*$V175,)</f>
        <v/>
      </c>
      <c r="DB175" s="128">
        <f>IFERROR(AP175*$V175,)</f>
        <v/>
      </c>
      <c r="DC175" s="128">
        <f>IFERROR(AQ175*$V175,)</f>
        <v/>
      </c>
      <c r="DD175" s="128">
        <f>IFERROR(AR175*$V175,)</f>
        <v/>
      </c>
      <c r="DE175" s="128">
        <f>IFERROR(AS175*$V175,)</f>
        <v/>
      </c>
      <c r="DF175" s="128">
        <f>IFERROR(AT175*$V175,)</f>
        <v/>
      </c>
      <c r="DG175" s="128">
        <f>IFERROR(AU175*$V175,)</f>
        <v/>
      </c>
      <c r="DH175" s="128">
        <f>IFERROR(AV175*$V175,)</f>
        <v/>
      </c>
      <c r="DI175" s="128">
        <f>IFERROR(AW175*$V175,)</f>
        <v/>
      </c>
      <c r="DJ175" s="128">
        <f>IFERROR(AX175*$V175,)</f>
        <v/>
      </c>
      <c r="DK175" s="128">
        <f>IFERROR(AY175*$V175,)</f>
        <v/>
      </c>
      <c r="DL175" s="128">
        <f>IFERROR(AZ175*$V175,)</f>
        <v/>
      </c>
      <c r="DM175" s="129">
        <f>IFERROR(if($X175=0,($V175/1.2)*BA175,
BA175*$X175),)</f>
        <v/>
      </c>
      <c r="DN175" s="129">
        <f>IFERROR(if($X175=0,($V175/1.2)*BB175,
BB175*$X175),)</f>
        <v/>
      </c>
      <c r="DO175" s="129">
        <f>IFERROR(if($X175=0,($V175/1.2)*BC175,
BC175*$X175),)</f>
        <v/>
      </c>
      <c r="DP175" s="130">
        <f>IFERROR(if($Z175=0,($V175/1.35)*BD175,
BD175*$Z175),)</f>
        <v/>
      </c>
      <c r="DQ175" s="130">
        <f>IFERROR(if($Z175=0,($V175/1.35)*BE175,
BE175*$Z175),)</f>
        <v/>
      </c>
      <c r="DR175" s="130">
        <f>IFERROR(if($Z175=0,($V175/1.35)*BF175,
BF175*$Z175),)</f>
        <v/>
      </c>
      <c r="DS175" s="128">
        <f>IFERROR(IF($AB175=0,($V175/0.74)*BG175,
BG175*$AB175),)</f>
        <v/>
      </c>
      <c r="DT175" s="128">
        <f>IFERROR(IF($AB175=0,($V175/0.74)*BH175,
BH175*$AB175),)</f>
        <v/>
      </c>
      <c r="DU175" s="128">
        <f>IFERROR(IF($AB175=0,($V175/0.74)*BI175,
BI175*$AB175),)</f>
        <v/>
      </c>
    </row>
    <row r="176" ht="131.25" customHeight="1" s="162">
      <c r="A176" s="115" t="n"/>
      <c r="B176" s="115" t="n"/>
      <c r="C176" s="115" t="n"/>
      <c r="D176" s="115" t="n"/>
      <c r="E176" s="115" t="n"/>
      <c r="F176" s="115" t="n"/>
      <c r="G176" s="115" t="n"/>
      <c r="H176" s="115" t="n"/>
      <c r="I176" s="115" t="n"/>
      <c r="J176" s="115" t="n"/>
      <c r="K176" s="115" t="n"/>
      <c r="L176" s="115" t="n"/>
      <c r="M176" s="115" t="n"/>
      <c r="N176" s="115" t="n"/>
      <c r="O176" s="115" t="n"/>
      <c r="P176" s="115" t="n"/>
      <c r="Q176" s="115" t="n"/>
      <c r="R176" s="115" t="n"/>
      <c r="S176" s="115" t="n"/>
      <c r="T176" s="115" t="n"/>
      <c r="U176" s="116" t="n"/>
      <c r="V176" s="116" t="n"/>
      <c r="W176" s="117" t="n"/>
      <c r="X176" s="118" t="n"/>
      <c r="Y176" s="119" t="n"/>
      <c r="Z176" s="120" t="n"/>
      <c r="AA176" s="121" t="n"/>
      <c r="AB176" s="122" t="n"/>
      <c r="AC176" s="117" t="n"/>
      <c r="AD176" s="123">
        <f>IF(SUM($AE176:$AH176)=0,"",SUM($AE176:$AH176))</f>
        <v/>
      </c>
      <c r="AE176" s="123">
        <f>iferror(IF(SUM($AI176:$AZ176)=0,"",SUM($AI176:$AZ176)),"")</f>
        <v/>
      </c>
      <c r="AF176" s="123">
        <f>iferror(IF(SUM($BA176:$BC176)=0,"",SUM($BA176:$BC176)),"")</f>
        <v/>
      </c>
      <c r="AG176" s="123">
        <f>iferror(IF(SUM($BD176:$BF176)=0,"",SUM($BD176:$BF176)),"")</f>
        <v/>
      </c>
      <c r="AH176" s="124">
        <f>iferror(IF(SUM($BG176:$BI176)=0,"",SUM($BG176:$BI176)),"")</f>
        <v/>
      </c>
      <c r="AI176" s="131" t="n"/>
      <c r="AJ176" s="132" t="n"/>
      <c r="AK176" s="132" t="n"/>
      <c r="AL176" s="132" t="n"/>
      <c r="AM176" s="132" t="n"/>
      <c r="AN176" s="132" t="n"/>
      <c r="AO176" s="132" t="n"/>
      <c r="AP176" s="132" t="n"/>
      <c r="AQ176" s="132" t="n"/>
      <c r="AR176" s="132" t="n"/>
      <c r="AS176" s="132" t="n"/>
      <c r="AT176" s="132" t="n"/>
      <c r="AU176" s="132" t="n"/>
      <c r="AV176" s="132" t="n"/>
      <c r="AW176" s="132" t="n"/>
      <c r="AX176" s="132" t="n"/>
      <c r="AY176" s="132" t="n"/>
      <c r="AZ176" s="133" t="n"/>
      <c r="BA176" s="131" t="n"/>
      <c r="BB176" s="132" t="n"/>
      <c r="BC176" s="133" t="n"/>
      <c r="BD176" s="131" t="n"/>
      <c r="BE176" s="132" t="n"/>
      <c r="BF176" s="133" t="n"/>
      <c r="BG176" s="131" t="n"/>
      <c r="BH176" s="132" t="n"/>
      <c r="BI176" s="132" t="n"/>
      <c r="BJ176" s="128">
        <f>iferror(SUM($BK176,($BL176*1.2),($BM176*1.35),($BN176*0.74)),)</f>
        <v/>
      </c>
      <c r="BK176" s="128">
        <f>IFERROR(SUM($BT176:$CK176),)</f>
        <v/>
      </c>
      <c r="BL176" s="129">
        <f>IFERROR(SUM($CL176:$CN176),)</f>
        <v/>
      </c>
      <c r="BM176" s="130">
        <f>IFERROR(SUM($CO176:$CQ176),)</f>
        <v/>
      </c>
      <c r="BN176" s="128">
        <f>IFERROR(SUM($CR176:$CT176),)</f>
        <v/>
      </c>
      <c r="BO176" s="128">
        <f>iferror(SUM($BP176,($BQ176*1.2),($BR176*1.35),($BS176*0.74)),)</f>
        <v/>
      </c>
      <c r="BP176" s="128">
        <f>IFERROR(SUM($CU176:$DL176),)</f>
        <v/>
      </c>
      <c r="BQ176" s="128">
        <f>IFERROR(SUM($DM176:$DO176),)</f>
        <v/>
      </c>
      <c r="BR176" s="128">
        <f>IFERROR(SUM($DP176:$DR176),)</f>
        <v/>
      </c>
      <c r="BS176" s="128">
        <f>IFERROR(SUM($DS176:$DU176),)</f>
        <v/>
      </c>
      <c r="BT176" s="128">
        <f>IFERROR(AI176*$W176,)</f>
        <v/>
      </c>
      <c r="BU176" s="128">
        <f>IFERROR(AJ176*$W176,)</f>
        <v/>
      </c>
      <c r="BV176" s="128">
        <f>IFERROR(AK176*$W176,)</f>
        <v/>
      </c>
      <c r="BW176" s="128">
        <f>IFERROR(AL176*$W176,)</f>
        <v/>
      </c>
      <c r="BX176" s="128">
        <f>IFERROR(AM176*$W176,)</f>
        <v/>
      </c>
      <c r="BY176" s="128">
        <f>IFERROR(AN176*$W176,)</f>
        <v/>
      </c>
      <c r="BZ176" s="128">
        <f>IFERROR(AO176*$W176,)</f>
        <v/>
      </c>
      <c r="CA176" s="128">
        <f>IFERROR(AP176*$W176,)</f>
        <v/>
      </c>
      <c r="CB176" s="128">
        <f>IFERROR(AQ176*$W176,)</f>
        <v/>
      </c>
      <c r="CC176" s="128">
        <f>IFERROR(AR176*$W176,)</f>
        <v/>
      </c>
      <c r="CD176" s="128">
        <f>IFERROR(AS176*$W176,)</f>
        <v/>
      </c>
      <c r="CE176" s="128">
        <f>IFERROR(AT176*$W176,)</f>
        <v/>
      </c>
      <c r="CF176" s="128">
        <f>IFERROR(AU176*$W176,)</f>
        <v/>
      </c>
      <c r="CG176" s="128">
        <f>IFERROR(AV176*$W176,)</f>
        <v/>
      </c>
      <c r="CH176" s="128">
        <f>IFERROR(AW176*$W176,)</f>
        <v/>
      </c>
      <c r="CI176" s="128">
        <f>IFERROR(AX176*$W176,)</f>
        <v/>
      </c>
      <c r="CJ176" s="128">
        <f>IFERROR(AY176*$W176,)</f>
        <v/>
      </c>
      <c r="CK176" s="128">
        <f>IFERROR(AZ176*$W176,)</f>
        <v/>
      </c>
      <c r="CL176" s="129">
        <f>IFERROR(if($Y176=0,BA176*($W176/1.2),BA176*$Y176),"")</f>
        <v/>
      </c>
      <c r="CM176" s="129">
        <f>IFERROR(if($Y176=0,BB176*($W176/1.2),BB176*$Y176),"")</f>
        <v/>
      </c>
      <c r="CN176" s="129">
        <f>IFERROR(if($Y176=0,BC176*($W176/1.2),BC176*$Y176),"")</f>
        <v/>
      </c>
      <c r="CO176" s="130">
        <f>IFERROR(if($AA176=0,($W176/1.35)*BD176,BD176*$AA176),)</f>
        <v/>
      </c>
      <c r="CP176" s="130">
        <f>IFERROR(if($AA176=0,($W176/1.35)*BE176,BE176*$AA176),)</f>
        <v/>
      </c>
      <c r="CQ176" s="130">
        <f>IFERROR(if($AA176=0,($W176/1.35)*BF176,BF176*$AA176),)</f>
        <v/>
      </c>
      <c r="CR176" s="128">
        <f>IFERROR(if($AC176=0,($W176/0.74)*BG176,
BG176*$AC176),)</f>
        <v/>
      </c>
      <c r="CS176" s="128">
        <f>IFERROR(if($AC176=0,($W176/0.74)*BH176,
BH176*$AC176),)</f>
        <v/>
      </c>
      <c r="CT176" s="128">
        <f>IFERROR(if($AC176=0,($W176/0.74)*BI176,
BI176*$AC176),)</f>
        <v/>
      </c>
      <c r="CU176" s="128">
        <f>IFERROR(AI176*$V176,)</f>
        <v/>
      </c>
      <c r="CV176" s="128">
        <f>IFERROR(AJ176*$V176,)</f>
        <v/>
      </c>
      <c r="CW176" s="128">
        <f>IFERROR(AK176*$V176,)</f>
        <v/>
      </c>
      <c r="CX176" s="128">
        <f>IFERROR(AL176*$V176,)</f>
        <v/>
      </c>
      <c r="CY176" s="128">
        <f>IFERROR(AM176*$V176,)</f>
        <v/>
      </c>
      <c r="CZ176" s="128">
        <f>IFERROR(AN176*$V176,)</f>
        <v/>
      </c>
      <c r="DA176" s="128">
        <f>IFERROR(AO176*$V176,)</f>
        <v/>
      </c>
      <c r="DB176" s="128">
        <f>IFERROR(AP176*$V176,)</f>
        <v/>
      </c>
      <c r="DC176" s="128">
        <f>IFERROR(AQ176*$V176,)</f>
        <v/>
      </c>
      <c r="DD176" s="128">
        <f>IFERROR(AR176*$V176,)</f>
        <v/>
      </c>
      <c r="DE176" s="128">
        <f>IFERROR(AS176*$V176,)</f>
        <v/>
      </c>
      <c r="DF176" s="128">
        <f>IFERROR(AT176*$V176,)</f>
        <v/>
      </c>
      <c r="DG176" s="128">
        <f>IFERROR(AU176*$V176,)</f>
        <v/>
      </c>
      <c r="DH176" s="128">
        <f>IFERROR(AV176*$V176,)</f>
        <v/>
      </c>
      <c r="DI176" s="128">
        <f>IFERROR(AW176*$V176,)</f>
        <v/>
      </c>
      <c r="DJ176" s="128">
        <f>IFERROR(AX176*$V176,)</f>
        <v/>
      </c>
      <c r="DK176" s="128">
        <f>IFERROR(AY176*$V176,)</f>
        <v/>
      </c>
      <c r="DL176" s="128">
        <f>IFERROR(AZ176*$V176,)</f>
        <v/>
      </c>
      <c r="DM176" s="129">
        <f>IFERROR(if($X176=0,($V176/1.2)*BA176,
BA176*$X176),)</f>
        <v/>
      </c>
      <c r="DN176" s="129">
        <f>IFERROR(if($X176=0,($V176/1.2)*BB176,
BB176*$X176),)</f>
        <v/>
      </c>
      <c r="DO176" s="129">
        <f>IFERROR(if($X176=0,($V176/1.2)*BC176,
BC176*$X176),)</f>
        <v/>
      </c>
      <c r="DP176" s="130">
        <f>IFERROR(if($Z176=0,($V176/1.35)*BD176,
BD176*$Z176),)</f>
        <v/>
      </c>
      <c r="DQ176" s="130">
        <f>IFERROR(if($Z176=0,($V176/1.35)*BE176,
BE176*$Z176),)</f>
        <v/>
      </c>
      <c r="DR176" s="130">
        <f>IFERROR(if($Z176=0,($V176/1.35)*BF176,
BF176*$Z176),)</f>
        <v/>
      </c>
      <c r="DS176" s="128">
        <f>IFERROR(IF($AB176=0,($V176/0.74)*BG176,
BG176*$AB176),)</f>
        <v/>
      </c>
      <c r="DT176" s="128">
        <f>IFERROR(IF($AB176=0,($V176/0.74)*BH176,
BH176*$AB176),)</f>
        <v/>
      </c>
      <c r="DU176" s="128">
        <f>IFERROR(IF($AB176=0,($V176/0.74)*BI176,
BI176*$AB176),)</f>
        <v/>
      </c>
    </row>
    <row r="177" ht="131.25" customHeight="1" s="162">
      <c r="A177" s="115" t="n"/>
      <c r="B177" s="115" t="n"/>
      <c r="C177" s="115" t="n"/>
      <c r="D177" s="115" t="n"/>
      <c r="E177" s="115" t="n"/>
      <c r="F177" s="115" t="n"/>
      <c r="G177" s="115" t="n"/>
      <c r="H177" s="115" t="n"/>
      <c r="I177" s="115" t="n"/>
      <c r="J177" s="115" t="n"/>
      <c r="K177" s="115" t="n"/>
      <c r="L177" s="115" t="n"/>
      <c r="M177" s="115" t="n"/>
      <c r="N177" s="115" t="n"/>
      <c r="O177" s="115" t="n"/>
      <c r="P177" s="115" t="n"/>
      <c r="Q177" s="115" t="n"/>
      <c r="R177" s="115" t="n"/>
      <c r="S177" s="115" t="n"/>
      <c r="T177" s="115" t="n"/>
      <c r="U177" s="116" t="n"/>
      <c r="V177" s="116" t="n"/>
      <c r="W177" s="117" t="n"/>
      <c r="X177" s="118" t="n"/>
      <c r="Y177" s="119" t="n"/>
      <c r="Z177" s="120" t="n"/>
      <c r="AA177" s="121" t="n"/>
      <c r="AB177" s="122" t="n"/>
      <c r="AC177" s="117" t="n"/>
      <c r="AD177" s="123">
        <f>IF(SUM($AE177:$AH177)=0,"",SUM($AE177:$AH177))</f>
        <v/>
      </c>
      <c r="AE177" s="123">
        <f>iferror(IF(SUM($AI177:$AZ177)=0,"",SUM($AI177:$AZ177)),"")</f>
        <v/>
      </c>
      <c r="AF177" s="123">
        <f>iferror(IF(SUM($BA177:$BC177)=0,"",SUM($BA177:$BC177)),"")</f>
        <v/>
      </c>
      <c r="AG177" s="123">
        <f>iferror(IF(SUM($BD177:$BF177)=0,"",SUM($BD177:$BF177)),"")</f>
        <v/>
      </c>
      <c r="AH177" s="124">
        <f>iferror(IF(SUM($BG177:$BI177)=0,"",SUM($BG177:$BI177)),"")</f>
        <v/>
      </c>
      <c r="AI177" s="131" t="n"/>
      <c r="AJ177" s="132" t="n"/>
      <c r="AK177" s="132" t="n"/>
      <c r="AL177" s="132" t="n"/>
      <c r="AM177" s="132" t="n"/>
      <c r="AN177" s="132" t="n"/>
      <c r="AO177" s="132" t="n"/>
      <c r="AP177" s="132" t="n"/>
      <c r="AQ177" s="132" t="n"/>
      <c r="AR177" s="132" t="n"/>
      <c r="AS177" s="132" t="n"/>
      <c r="AT177" s="132" t="n"/>
      <c r="AU177" s="132" t="n"/>
      <c r="AV177" s="132" t="n"/>
      <c r="AW177" s="132" t="n"/>
      <c r="AX177" s="132" t="n"/>
      <c r="AY177" s="132" t="n"/>
      <c r="AZ177" s="133" t="n"/>
      <c r="BA177" s="131" t="n"/>
      <c r="BB177" s="132" t="n"/>
      <c r="BC177" s="133" t="n"/>
      <c r="BD177" s="131" t="n"/>
      <c r="BE177" s="132" t="n"/>
      <c r="BF177" s="133" t="n"/>
      <c r="BG177" s="131" t="n"/>
      <c r="BH177" s="132" t="n"/>
      <c r="BI177" s="132" t="n"/>
      <c r="BJ177" s="128">
        <f>iferror(SUM($BK177,($BL177*1.2),($BM177*1.35),($BN177*0.74)),)</f>
        <v/>
      </c>
      <c r="BK177" s="128">
        <f>IFERROR(SUM($BT177:$CK177),)</f>
        <v/>
      </c>
      <c r="BL177" s="129">
        <f>IFERROR(SUM($CL177:$CN177),)</f>
        <v/>
      </c>
      <c r="BM177" s="130">
        <f>IFERROR(SUM($CO177:$CQ177),)</f>
        <v/>
      </c>
      <c r="BN177" s="128">
        <f>IFERROR(SUM($CR177:$CT177),)</f>
        <v/>
      </c>
      <c r="BO177" s="128">
        <f>iferror(SUM($BP177,($BQ177*1.2),($BR177*1.35),($BS177*0.74)),)</f>
        <v/>
      </c>
      <c r="BP177" s="128">
        <f>IFERROR(SUM($CU177:$DL177),)</f>
        <v/>
      </c>
      <c r="BQ177" s="128">
        <f>IFERROR(SUM($DM177:$DO177),)</f>
        <v/>
      </c>
      <c r="BR177" s="128">
        <f>IFERROR(SUM($DP177:$DR177),)</f>
        <v/>
      </c>
      <c r="BS177" s="128">
        <f>IFERROR(SUM($DS177:$DU177),)</f>
        <v/>
      </c>
      <c r="BT177" s="128">
        <f>IFERROR(AI177*$W177,)</f>
        <v/>
      </c>
      <c r="BU177" s="128">
        <f>IFERROR(AJ177*$W177,)</f>
        <v/>
      </c>
      <c r="BV177" s="128">
        <f>IFERROR(AK177*$W177,)</f>
        <v/>
      </c>
      <c r="BW177" s="128">
        <f>IFERROR(AL177*$W177,)</f>
        <v/>
      </c>
      <c r="BX177" s="128">
        <f>IFERROR(AM177*$W177,)</f>
        <v/>
      </c>
      <c r="BY177" s="128">
        <f>IFERROR(AN177*$W177,)</f>
        <v/>
      </c>
      <c r="BZ177" s="128">
        <f>IFERROR(AO177*$W177,)</f>
        <v/>
      </c>
      <c r="CA177" s="128">
        <f>IFERROR(AP177*$W177,)</f>
        <v/>
      </c>
      <c r="CB177" s="128">
        <f>IFERROR(AQ177*$W177,)</f>
        <v/>
      </c>
      <c r="CC177" s="128">
        <f>IFERROR(AR177*$W177,)</f>
        <v/>
      </c>
      <c r="CD177" s="128">
        <f>IFERROR(AS177*$W177,)</f>
        <v/>
      </c>
      <c r="CE177" s="128">
        <f>IFERROR(AT177*$W177,)</f>
        <v/>
      </c>
      <c r="CF177" s="128">
        <f>IFERROR(AU177*$W177,)</f>
        <v/>
      </c>
      <c r="CG177" s="128">
        <f>IFERROR(AV177*$W177,)</f>
        <v/>
      </c>
      <c r="CH177" s="128">
        <f>IFERROR(AW177*$W177,)</f>
        <v/>
      </c>
      <c r="CI177" s="128">
        <f>IFERROR(AX177*$W177,)</f>
        <v/>
      </c>
      <c r="CJ177" s="128">
        <f>IFERROR(AY177*$W177,)</f>
        <v/>
      </c>
      <c r="CK177" s="128">
        <f>IFERROR(AZ177*$W177,)</f>
        <v/>
      </c>
      <c r="CL177" s="129">
        <f>IFERROR(if($Y177=0,BA177*($W177/1.2),BA177*$Y177),"")</f>
        <v/>
      </c>
      <c r="CM177" s="129">
        <f>IFERROR(if($Y177=0,BB177*($W177/1.2),BB177*$Y177),"")</f>
        <v/>
      </c>
      <c r="CN177" s="129">
        <f>IFERROR(if($Y177=0,BC177*($W177/1.2),BC177*$Y177),"")</f>
        <v/>
      </c>
      <c r="CO177" s="130">
        <f>IFERROR(if($AA177=0,($W177/1.35)*BD177,BD177*$AA177),)</f>
        <v/>
      </c>
      <c r="CP177" s="130">
        <f>IFERROR(if($AA177=0,($W177/1.35)*BE177,BE177*$AA177),)</f>
        <v/>
      </c>
      <c r="CQ177" s="130">
        <f>IFERROR(if($AA177=0,($W177/1.35)*BF177,BF177*$AA177),)</f>
        <v/>
      </c>
      <c r="CR177" s="128">
        <f>IFERROR(if($AC177=0,($W177/0.74)*BG177,
BG177*$AC177),)</f>
        <v/>
      </c>
      <c r="CS177" s="128">
        <f>IFERROR(if($AC177=0,($W177/0.74)*BH177,
BH177*$AC177),)</f>
        <v/>
      </c>
      <c r="CT177" s="128">
        <f>IFERROR(if($AC177=0,($W177/0.74)*BI177,
BI177*$AC177),)</f>
        <v/>
      </c>
      <c r="CU177" s="128">
        <f>IFERROR(AI177*$V177,)</f>
        <v/>
      </c>
      <c r="CV177" s="128">
        <f>IFERROR(AJ177*$V177,)</f>
        <v/>
      </c>
      <c r="CW177" s="128">
        <f>IFERROR(AK177*$V177,)</f>
        <v/>
      </c>
      <c r="CX177" s="128">
        <f>IFERROR(AL177*$V177,)</f>
        <v/>
      </c>
      <c r="CY177" s="128">
        <f>IFERROR(AM177*$V177,)</f>
        <v/>
      </c>
      <c r="CZ177" s="128">
        <f>IFERROR(AN177*$V177,)</f>
        <v/>
      </c>
      <c r="DA177" s="128">
        <f>IFERROR(AO177*$V177,)</f>
        <v/>
      </c>
      <c r="DB177" s="128">
        <f>IFERROR(AP177*$V177,)</f>
        <v/>
      </c>
      <c r="DC177" s="128">
        <f>IFERROR(AQ177*$V177,)</f>
        <v/>
      </c>
      <c r="DD177" s="128">
        <f>IFERROR(AR177*$V177,)</f>
        <v/>
      </c>
      <c r="DE177" s="128">
        <f>IFERROR(AS177*$V177,)</f>
        <v/>
      </c>
      <c r="DF177" s="128">
        <f>IFERROR(AT177*$V177,)</f>
        <v/>
      </c>
      <c r="DG177" s="128">
        <f>IFERROR(AU177*$V177,)</f>
        <v/>
      </c>
      <c r="DH177" s="128">
        <f>IFERROR(AV177*$V177,)</f>
        <v/>
      </c>
      <c r="DI177" s="128">
        <f>IFERROR(AW177*$V177,)</f>
        <v/>
      </c>
      <c r="DJ177" s="128">
        <f>IFERROR(AX177*$V177,)</f>
        <v/>
      </c>
      <c r="DK177" s="128">
        <f>IFERROR(AY177*$V177,)</f>
        <v/>
      </c>
      <c r="DL177" s="128">
        <f>IFERROR(AZ177*$V177,)</f>
        <v/>
      </c>
      <c r="DM177" s="129">
        <f>IFERROR(if($X177=0,($V177/1.2)*BA177,
BA177*$X177),)</f>
        <v/>
      </c>
      <c r="DN177" s="129">
        <f>IFERROR(if($X177=0,($V177/1.2)*BB177,
BB177*$X177),)</f>
        <v/>
      </c>
      <c r="DO177" s="129">
        <f>IFERROR(if($X177=0,($V177/1.2)*BC177,
BC177*$X177),)</f>
        <v/>
      </c>
      <c r="DP177" s="130">
        <f>IFERROR(if($Z177=0,($V177/1.35)*BD177,
BD177*$Z177),)</f>
        <v/>
      </c>
      <c r="DQ177" s="130">
        <f>IFERROR(if($Z177=0,($V177/1.35)*BE177,
BE177*$Z177),)</f>
        <v/>
      </c>
      <c r="DR177" s="130">
        <f>IFERROR(if($Z177=0,($V177/1.35)*BF177,
BF177*$Z177),)</f>
        <v/>
      </c>
      <c r="DS177" s="128">
        <f>IFERROR(IF($AB177=0,($V177/0.74)*BG177,
BG177*$AB177),)</f>
        <v/>
      </c>
      <c r="DT177" s="128">
        <f>IFERROR(IF($AB177=0,($V177/0.74)*BH177,
BH177*$AB177),)</f>
        <v/>
      </c>
      <c r="DU177" s="128">
        <f>IFERROR(IF($AB177=0,($V177/0.74)*BI177,
BI177*$AB177),)</f>
        <v/>
      </c>
    </row>
    <row r="178" ht="131.25" customHeight="1" s="162">
      <c r="A178" s="115" t="n"/>
      <c r="B178" s="115" t="n"/>
      <c r="C178" s="115" t="n"/>
      <c r="D178" s="115" t="n"/>
      <c r="E178" s="115" t="n"/>
      <c r="F178" s="115" t="n"/>
      <c r="G178" s="115" t="n"/>
      <c r="H178" s="115" t="n"/>
      <c r="I178" s="115" t="n"/>
      <c r="J178" s="115" t="n"/>
      <c r="K178" s="115" t="n"/>
      <c r="L178" s="115" t="n"/>
      <c r="M178" s="115" t="n"/>
      <c r="N178" s="115" t="n"/>
      <c r="O178" s="115" t="n"/>
      <c r="P178" s="115" t="n"/>
      <c r="Q178" s="115" t="n"/>
      <c r="R178" s="115" t="n"/>
      <c r="S178" s="115" t="n"/>
      <c r="T178" s="115" t="n"/>
      <c r="U178" s="116" t="n"/>
      <c r="V178" s="116" t="n"/>
      <c r="W178" s="117" t="n"/>
      <c r="X178" s="118" t="n"/>
      <c r="Y178" s="119" t="n"/>
      <c r="Z178" s="120" t="n"/>
      <c r="AA178" s="121" t="n"/>
      <c r="AB178" s="122" t="n"/>
      <c r="AC178" s="117" t="n"/>
      <c r="AD178" s="123">
        <f>IF(SUM($AE178:$AH178)=0,"",SUM($AE178:$AH178))</f>
        <v/>
      </c>
      <c r="AE178" s="123">
        <f>iferror(IF(SUM($AI178:$AZ178)=0,"",SUM($AI178:$AZ178)),"")</f>
        <v/>
      </c>
      <c r="AF178" s="123">
        <f>iferror(IF(SUM($BA178:$BC178)=0,"",SUM($BA178:$BC178)),"")</f>
        <v/>
      </c>
      <c r="AG178" s="123">
        <f>iferror(IF(SUM($BD178:$BF178)=0,"",SUM($BD178:$BF178)),"")</f>
        <v/>
      </c>
      <c r="AH178" s="124">
        <f>iferror(IF(SUM($BG178:$BI178)=0,"",SUM($BG178:$BI178)),"")</f>
        <v/>
      </c>
      <c r="AI178" s="131" t="n"/>
      <c r="AJ178" s="132" t="n"/>
      <c r="AK178" s="132" t="n"/>
      <c r="AL178" s="132" t="n"/>
      <c r="AM178" s="132" t="n"/>
      <c r="AN178" s="132" t="n"/>
      <c r="AO178" s="132" t="n"/>
      <c r="AP178" s="132" t="n"/>
      <c r="AQ178" s="132" t="n"/>
      <c r="AR178" s="132" t="n"/>
      <c r="AS178" s="132" t="n"/>
      <c r="AT178" s="132" t="n"/>
      <c r="AU178" s="132" t="n"/>
      <c r="AV178" s="132" t="n"/>
      <c r="AW178" s="132" t="n"/>
      <c r="AX178" s="132" t="n"/>
      <c r="AY178" s="132" t="n"/>
      <c r="AZ178" s="133" t="n"/>
      <c r="BA178" s="131" t="n"/>
      <c r="BB178" s="132" t="n"/>
      <c r="BC178" s="133" t="n"/>
      <c r="BD178" s="131" t="n"/>
      <c r="BE178" s="132" t="n"/>
      <c r="BF178" s="133" t="n"/>
      <c r="BG178" s="131" t="n"/>
      <c r="BH178" s="132" t="n"/>
      <c r="BI178" s="132" t="n"/>
      <c r="BJ178" s="128">
        <f>iferror(SUM($BK178,($BL178*1.2),($BM178*1.35),($BN178*0.74)),)</f>
        <v/>
      </c>
      <c r="BK178" s="128">
        <f>IFERROR(SUM($BT178:$CK178),)</f>
        <v/>
      </c>
      <c r="BL178" s="129">
        <f>IFERROR(SUM($CL178:$CN178),)</f>
        <v/>
      </c>
      <c r="BM178" s="130">
        <f>IFERROR(SUM($CO178:$CQ178),)</f>
        <v/>
      </c>
      <c r="BN178" s="128">
        <f>IFERROR(SUM($CR178:$CT178),)</f>
        <v/>
      </c>
      <c r="BO178" s="128">
        <f>iferror(SUM($BP178,($BQ178*1.2),($BR178*1.35),($BS178*0.74)),)</f>
        <v/>
      </c>
      <c r="BP178" s="128">
        <f>IFERROR(SUM($CU178:$DL178),)</f>
        <v/>
      </c>
      <c r="BQ178" s="128">
        <f>IFERROR(SUM($DM178:$DO178),)</f>
        <v/>
      </c>
      <c r="BR178" s="128">
        <f>IFERROR(SUM($DP178:$DR178),)</f>
        <v/>
      </c>
      <c r="BS178" s="128">
        <f>IFERROR(SUM($DS178:$DU178),)</f>
        <v/>
      </c>
      <c r="BT178" s="128">
        <f>IFERROR(AI178*$W178,)</f>
        <v/>
      </c>
      <c r="BU178" s="128">
        <f>IFERROR(AJ178*$W178,)</f>
        <v/>
      </c>
      <c r="BV178" s="128">
        <f>IFERROR(AK178*$W178,)</f>
        <v/>
      </c>
      <c r="BW178" s="128">
        <f>IFERROR(AL178*$W178,)</f>
        <v/>
      </c>
      <c r="BX178" s="128">
        <f>IFERROR(AM178*$W178,)</f>
        <v/>
      </c>
      <c r="BY178" s="128">
        <f>IFERROR(AN178*$W178,)</f>
        <v/>
      </c>
      <c r="BZ178" s="128">
        <f>IFERROR(AO178*$W178,)</f>
        <v/>
      </c>
      <c r="CA178" s="128">
        <f>IFERROR(AP178*$W178,)</f>
        <v/>
      </c>
      <c r="CB178" s="128">
        <f>IFERROR(AQ178*$W178,)</f>
        <v/>
      </c>
      <c r="CC178" s="128">
        <f>IFERROR(AR178*$W178,)</f>
        <v/>
      </c>
      <c r="CD178" s="128">
        <f>IFERROR(AS178*$W178,)</f>
        <v/>
      </c>
      <c r="CE178" s="128">
        <f>IFERROR(AT178*$W178,)</f>
        <v/>
      </c>
      <c r="CF178" s="128">
        <f>IFERROR(AU178*$W178,)</f>
        <v/>
      </c>
      <c r="CG178" s="128">
        <f>IFERROR(AV178*$W178,)</f>
        <v/>
      </c>
      <c r="CH178" s="128">
        <f>IFERROR(AW178*$W178,)</f>
        <v/>
      </c>
      <c r="CI178" s="128">
        <f>IFERROR(AX178*$W178,)</f>
        <v/>
      </c>
      <c r="CJ178" s="128">
        <f>IFERROR(AY178*$W178,)</f>
        <v/>
      </c>
      <c r="CK178" s="128">
        <f>IFERROR(AZ178*$W178,)</f>
        <v/>
      </c>
      <c r="CL178" s="129">
        <f>IFERROR(if($Y178=0,BA178*($W178/1.2),BA178*$Y178),"")</f>
        <v/>
      </c>
      <c r="CM178" s="129">
        <f>IFERROR(if($Y178=0,BB178*($W178/1.2),BB178*$Y178),"")</f>
        <v/>
      </c>
      <c r="CN178" s="129">
        <f>IFERROR(if($Y178=0,BC178*($W178/1.2),BC178*$Y178),"")</f>
        <v/>
      </c>
      <c r="CO178" s="130">
        <f>IFERROR(if($AA178=0,($W178/1.35)*BD178,BD178*$AA178),)</f>
        <v/>
      </c>
      <c r="CP178" s="130">
        <f>IFERROR(if($AA178=0,($W178/1.35)*BE178,BE178*$AA178),)</f>
        <v/>
      </c>
      <c r="CQ178" s="130">
        <f>IFERROR(if($AA178=0,($W178/1.35)*BF178,BF178*$AA178),)</f>
        <v/>
      </c>
      <c r="CR178" s="128">
        <f>IFERROR(if($AC178=0,($W178/0.74)*BG178,
BG178*$AC178),)</f>
        <v/>
      </c>
      <c r="CS178" s="128">
        <f>IFERROR(if($AC178=0,($W178/0.74)*BH178,
BH178*$AC178),)</f>
        <v/>
      </c>
      <c r="CT178" s="128">
        <f>IFERROR(if($AC178=0,($W178/0.74)*BI178,
BI178*$AC178),)</f>
        <v/>
      </c>
      <c r="CU178" s="128">
        <f>IFERROR(AI178*$V178,)</f>
        <v/>
      </c>
      <c r="CV178" s="128">
        <f>IFERROR(AJ178*$V178,)</f>
        <v/>
      </c>
      <c r="CW178" s="128">
        <f>IFERROR(AK178*$V178,)</f>
        <v/>
      </c>
      <c r="CX178" s="128">
        <f>IFERROR(AL178*$V178,)</f>
        <v/>
      </c>
      <c r="CY178" s="128">
        <f>IFERROR(AM178*$V178,)</f>
        <v/>
      </c>
      <c r="CZ178" s="128">
        <f>IFERROR(AN178*$V178,)</f>
        <v/>
      </c>
      <c r="DA178" s="128">
        <f>IFERROR(AO178*$V178,)</f>
        <v/>
      </c>
      <c r="DB178" s="128">
        <f>IFERROR(AP178*$V178,)</f>
        <v/>
      </c>
      <c r="DC178" s="128">
        <f>IFERROR(AQ178*$V178,)</f>
        <v/>
      </c>
      <c r="DD178" s="128">
        <f>IFERROR(AR178*$V178,)</f>
        <v/>
      </c>
      <c r="DE178" s="128">
        <f>IFERROR(AS178*$V178,)</f>
        <v/>
      </c>
      <c r="DF178" s="128">
        <f>IFERROR(AT178*$V178,)</f>
        <v/>
      </c>
      <c r="DG178" s="128">
        <f>IFERROR(AU178*$V178,)</f>
        <v/>
      </c>
      <c r="DH178" s="128">
        <f>IFERROR(AV178*$V178,)</f>
        <v/>
      </c>
      <c r="DI178" s="128">
        <f>IFERROR(AW178*$V178,)</f>
        <v/>
      </c>
      <c r="DJ178" s="128">
        <f>IFERROR(AX178*$V178,)</f>
        <v/>
      </c>
      <c r="DK178" s="128">
        <f>IFERROR(AY178*$V178,)</f>
        <v/>
      </c>
      <c r="DL178" s="128">
        <f>IFERROR(AZ178*$V178,)</f>
        <v/>
      </c>
      <c r="DM178" s="129">
        <f>IFERROR(if($X178=0,($V178/1.2)*BA178,
BA178*$X178),)</f>
        <v/>
      </c>
      <c r="DN178" s="129">
        <f>IFERROR(if($X178=0,($V178/1.2)*BB178,
BB178*$X178),)</f>
        <v/>
      </c>
      <c r="DO178" s="129">
        <f>IFERROR(if($X178=0,($V178/1.2)*BC178,
BC178*$X178),)</f>
        <v/>
      </c>
      <c r="DP178" s="130">
        <f>IFERROR(if($Z178=0,($V178/1.35)*BD178,
BD178*$Z178),)</f>
        <v/>
      </c>
      <c r="DQ178" s="130">
        <f>IFERROR(if($Z178=0,($V178/1.35)*BE178,
BE178*$Z178),)</f>
        <v/>
      </c>
      <c r="DR178" s="130">
        <f>IFERROR(if($Z178=0,($V178/1.35)*BF178,
BF178*$Z178),)</f>
        <v/>
      </c>
      <c r="DS178" s="128">
        <f>IFERROR(IF($AB178=0,($V178/0.74)*BG178,
BG178*$AB178),)</f>
        <v/>
      </c>
      <c r="DT178" s="128">
        <f>IFERROR(IF($AB178=0,($V178/0.74)*BH178,
BH178*$AB178),)</f>
        <v/>
      </c>
      <c r="DU178" s="128">
        <f>IFERROR(IF($AB178=0,($V178/0.74)*BI178,
BI178*$AB178),)</f>
        <v/>
      </c>
    </row>
    <row r="179" ht="131.25" customHeight="1" s="162">
      <c r="A179" s="115" t="n"/>
      <c r="B179" s="115" t="n"/>
      <c r="C179" s="115" t="n"/>
      <c r="D179" s="115" t="n"/>
      <c r="E179" s="115" t="n"/>
      <c r="F179" s="115" t="n"/>
      <c r="G179" s="115" t="n"/>
      <c r="H179" s="115" t="n"/>
      <c r="I179" s="115" t="n"/>
      <c r="J179" s="115" t="n"/>
      <c r="K179" s="115" t="n"/>
      <c r="L179" s="115" t="n"/>
      <c r="M179" s="115" t="n"/>
      <c r="N179" s="115" t="n"/>
      <c r="O179" s="115" t="n"/>
      <c r="P179" s="115" t="n"/>
      <c r="Q179" s="115" t="n"/>
      <c r="R179" s="115" t="n"/>
      <c r="S179" s="115" t="n"/>
      <c r="T179" s="115" t="n"/>
      <c r="U179" s="116" t="n"/>
      <c r="V179" s="116" t="n"/>
      <c r="W179" s="117" t="n"/>
      <c r="X179" s="118" t="n"/>
      <c r="Y179" s="119" t="n"/>
      <c r="Z179" s="120" t="n"/>
      <c r="AA179" s="121" t="n"/>
      <c r="AB179" s="122" t="n"/>
      <c r="AC179" s="117" t="n"/>
      <c r="AD179" s="123">
        <f>IF(SUM($AE179:$AH179)=0,"",SUM($AE179:$AH179))</f>
        <v/>
      </c>
      <c r="AE179" s="123">
        <f>iferror(IF(SUM($AI179:$AZ179)=0,"",SUM($AI179:$AZ179)),"")</f>
        <v/>
      </c>
      <c r="AF179" s="123">
        <f>iferror(IF(SUM($BA179:$BC179)=0,"",SUM($BA179:$BC179)),"")</f>
        <v/>
      </c>
      <c r="AG179" s="123">
        <f>iferror(IF(SUM($BD179:$BF179)=0,"",SUM($BD179:$BF179)),"")</f>
        <v/>
      </c>
      <c r="AH179" s="124">
        <f>iferror(IF(SUM($BG179:$BI179)=0,"",SUM($BG179:$BI179)),"")</f>
        <v/>
      </c>
      <c r="AI179" s="131" t="n"/>
      <c r="AJ179" s="132" t="n"/>
      <c r="AK179" s="132" t="n"/>
      <c r="AL179" s="132" t="n"/>
      <c r="AM179" s="132" t="n"/>
      <c r="AN179" s="132" t="n"/>
      <c r="AO179" s="132" t="n"/>
      <c r="AP179" s="132" t="n"/>
      <c r="AQ179" s="132" t="n"/>
      <c r="AR179" s="132" t="n"/>
      <c r="AS179" s="132" t="n"/>
      <c r="AT179" s="132" t="n"/>
      <c r="AU179" s="132" t="n"/>
      <c r="AV179" s="132" t="n"/>
      <c r="AW179" s="132" t="n"/>
      <c r="AX179" s="132" t="n"/>
      <c r="AY179" s="132" t="n"/>
      <c r="AZ179" s="133" t="n"/>
      <c r="BA179" s="131" t="n"/>
      <c r="BB179" s="132" t="n"/>
      <c r="BC179" s="133" t="n"/>
      <c r="BD179" s="131" t="n"/>
      <c r="BE179" s="132" t="n"/>
      <c r="BF179" s="133" t="n"/>
      <c r="BG179" s="131" t="n"/>
      <c r="BH179" s="132" t="n"/>
      <c r="BI179" s="132" t="n"/>
      <c r="BJ179" s="128">
        <f>iferror(SUM($BK179,($BL179*1.2),($BM179*1.35),($BN179*0.74)),)</f>
        <v/>
      </c>
      <c r="BK179" s="128">
        <f>IFERROR(SUM($BT179:$CK179),)</f>
        <v/>
      </c>
      <c r="BL179" s="129">
        <f>IFERROR(SUM($CL179:$CN179),)</f>
        <v/>
      </c>
      <c r="BM179" s="130">
        <f>IFERROR(SUM($CO179:$CQ179),)</f>
        <v/>
      </c>
      <c r="BN179" s="128">
        <f>IFERROR(SUM($CR179:$CT179),)</f>
        <v/>
      </c>
      <c r="BO179" s="128">
        <f>iferror(SUM($BP179,($BQ179*1.2),($BR179*1.35),($BS179*0.74)),)</f>
        <v/>
      </c>
      <c r="BP179" s="128">
        <f>IFERROR(SUM($CU179:$DL179),)</f>
        <v/>
      </c>
      <c r="BQ179" s="128">
        <f>IFERROR(SUM($DM179:$DO179),)</f>
        <v/>
      </c>
      <c r="BR179" s="128">
        <f>IFERROR(SUM($DP179:$DR179),)</f>
        <v/>
      </c>
      <c r="BS179" s="128">
        <f>IFERROR(SUM($DS179:$DU179),)</f>
        <v/>
      </c>
      <c r="BT179" s="128">
        <f>IFERROR(AI179*$W179,)</f>
        <v/>
      </c>
      <c r="BU179" s="128">
        <f>IFERROR(AJ179*$W179,)</f>
        <v/>
      </c>
      <c r="BV179" s="128">
        <f>IFERROR(AK179*$W179,)</f>
        <v/>
      </c>
      <c r="BW179" s="128">
        <f>IFERROR(AL179*$W179,)</f>
        <v/>
      </c>
      <c r="BX179" s="128">
        <f>IFERROR(AM179*$W179,)</f>
        <v/>
      </c>
      <c r="BY179" s="128">
        <f>IFERROR(AN179*$W179,)</f>
        <v/>
      </c>
      <c r="BZ179" s="128">
        <f>IFERROR(AO179*$W179,)</f>
        <v/>
      </c>
      <c r="CA179" s="128">
        <f>IFERROR(AP179*$W179,)</f>
        <v/>
      </c>
      <c r="CB179" s="128">
        <f>IFERROR(AQ179*$W179,)</f>
        <v/>
      </c>
      <c r="CC179" s="128">
        <f>IFERROR(AR179*$W179,)</f>
        <v/>
      </c>
      <c r="CD179" s="128">
        <f>IFERROR(AS179*$W179,)</f>
        <v/>
      </c>
      <c r="CE179" s="128">
        <f>IFERROR(AT179*$W179,)</f>
        <v/>
      </c>
      <c r="CF179" s="128">
        <f>IFERROR(AU179*$W179,)</f>
        <v/>
      </c>
      <c r="CG179" s="128">
        <f>IFERROR(AV179*$W179,)</f>
        <v/>
      </c>
      <c r="CH179" s="128">
        <f>IFERROR(AW179*$W179,)</f>
        <v/>
      </c>
      <c r="CI179" s="128">
        <f>IFERROR(AX179*$W179,)</f>
        <v/>
      </c>
      <c r="CJ179" s="128">
        <f>IFERROR(AY179*$W179,)</f>
        <v/>
      </c>
      <c r="CK179" s="128">
        <f>IFERROR(AZ179*$W179,)</f>
        <v/>
      </c>
      <c r="CL179" s="129">
        <f>IFERROR(if($Y179=0,BA179*($W179/1.2),BA179*$Y179),"")</f>
        <v/>
      </c>
      <c r="CM179" s="129">
        <f>IFERROR(if($Y179=0,BB179*($W179/1.2),BB179*$Y179),"")</f>
        <v/>
      </c>
      <c r="CN179" s="129">
        <f>IFERROR(if($Y179=0,BC179*($W179/1.2),BC179*$Y179),"")</f>
        <v/>
      </c>
      <c r="CO179" s="130">
        <f>IFERROR(if($AA179=0,($W179/1.35)*BD179,BD179*$AA179),)</f>
        <v/>
      </c>
      <c r="CP179" s="130">
        <f>IFERROR(if($AA179=0,($W179/1.35)*BE179,BE179*$AA179),)</f>
        <v/>
      </c>
      <c r="CQ179" s="130">
        <f>IFERROR(if($AA179=0,($W179/1.35)*BF179,BF179*$AA179),)</f>
        <v/>
      </c>
      <c r="CR179" s="128">
        <f>IFERROR(if($AC179=0,($W179/0.74)*BG179,
BG179*$AC179),)</f>
        <v/>
      </c>
      <c r="CS179" s="128">
        <f>IFERROR(if($AC179=0,($W179/0.74)*BH179,
BH179*$AC179),)</f>
        <v/>
      </c>
      <c r="CT179" s="128">
        <f>IFERROR(if($AC179=0,($W179/0.74)*BI179,
BI179*$AC179),)</f>
        <v/>
      </c>
      <c r="CU179" s="128">
        <f>IFERROR(AI179*$V179,)</f>
        <v/>
      </c>
      <c r="CV179" s="128">
        <f>IFERROR(AJ179*$V179,)</f>
        <v/>
      </c>
      <c r="CW179" s="128">
        <f>IFERROR(AK179*$V179,)</f>
        <v/>
      </c>
      <c r="CX179" s="128">
        <f>IFERROR(AL179*$V179,)</f>
        <v/>
      </c>
      <c r="CY179" s="128">
        <f>IFERROR(AM179*$V179,)</f>
        <v/>
      </c>
      <c r="CZ179" s="128">
        <f>IFERROR(AN179*$V179,)</f>
        <v/>
      </c>
      <c r="DA179" s="128">
        <f>IFERROR(AO179*$V179,)</f>
        <v/>
      </c>
      <c r="DB179" s="128">
        <f>IFERROR(AP179*$V179,)</f>
        <v/>
      </c>
      <c r="DC179" s="128">
        <f>IFERROR(AQ179*$V179,)</f>
        <v/>
      </c>
      <c r="DD179" s="128">
        <f>IFERROR(AR179*$V179,)</f>
        <v/>
      </c>
      <c r="DE179" s="128">
        <f>IFERROR(AS179*$V179,)</f>
        <v/>
      </c>
      <c r="DF179" s="128">
        <f>IFERROR(AT179*$V179,)</f>
        <v/>
      </c>
      <c r="DG179" s="128">
        <f>IFERROR(AU179*$V179,)</f>
        <v/>
      </c>
      <c r="DH179" s="128">
        <f>IFERROR(AV179*$V179,)</f>
        <v/>
      </c>
      <c r="DI179" s="128">
        <f>IFERROR(AW179*$V179,)</f>
        <v/>
      </c>
      <c r="DJ179" s="128">
        <f>IFERROR(AX179*$V179,)</f>
        <v/>
      </c>
      <c r="DK179" s="128">
        <f>IFERROR(AY179*$V179,)</f>
        <v/>
      </c>
      <c r="DL179" s="128">
        <f>IFERROR(AZ179*$V179,)</f>
        <v/>
      </c>
      <c r="DM179" s="129">
        <f>IFERROR(if($X179=0,($V179/1.2)*BA179,
BA179*$X179),)</f>
        <v/>
      </c>
      <c r="DN179" s="129">
        <f>IFERROR(if($X179=0,($V179/1.2)*BB179,
BB179*$X179),)</f>
        <v/>
      </c>
      <c r="DO179" s="129">
        <f>IFERROR(if($X179=0,($V179/1.2)*BC179,
BC179*$X179),)</f>
        <v/>
      </c>
      <c r="DP179" s="130">
        <f>IFERROR(if($Z179=0,($V179/1.35)*BD179,
BD179*$Z179),)</f>
        <v/>
      </c>
      <c r="DQ179" s="130">
        <f>IFERROR(if($Z179=0,($V179/1.35)*BE179,
BE179*$Z179),)</f>
        <v/>
      </c>
      <c r="DR179" s="130">
        <f>IFERROR(if($Z179=0,($V179/1.35)*BF179,
BF179*$Z179),)</f>
        <v/>
      </c>
      <c r="DS179" s="128">
        <f>IFERROR(IF($AB179=0,($V179/0.74)*BG179,
BG179*$AB179),)</f>
        <v/>
      </c>
      <c r="DT179" s="128">
        <f>IFERROR(IF($AB179=0,($V179/0.74)*BH179,
BH179*$AB179),)</f>
        <v/>
      </c>
      <c r="DU179" s="128">
        <f>IFERROR(IF($AB179=0,($V179/0.74)*BI179,
BI179*$AB179),)</f>
        <v/>
      </c>
    </row>
    <row r="180" ht="131.25" customHeight="1" s="162">
      <c r="A180" s="115" t="n"/>
      <c r="B180" s="115" t="n"/>
      <c r="C180" s="115" t="n"/>
      <c r="D180" s="115" t="n"/>
      <c r="E180" s="115" t="n"/>
      <c r="F180" s="115" t="n"/>
      <c r="G180" s="115" t="n"/>
      <c r="H180" s="115" t="n"/>
      <c r="I180" s="115" t="n"/>
      <c r="J180" s="115" t="n"/>
      <c r="K180" s="115" t="n"/>
      <c r="L180" s="115" t="n"/>
      <c r="M180" s="115" t="n"/>
      <c r="N180" s="115" t="n"/>
      <c r="O180" s="115" t="n"/>
      <c r="P180" s="115" t="n"/>
      <c r="Q180" s="115" t="n"/>
      <c r="R180" s="115" t="n"/>
      <c r="S180" s="115" t="n"/>
      <c r="T180" s="115" t="n"/>
      <c r="U180" s="116" t="n"/>
      <c r="V180" s="116" t="n"/>
      <c r="W180" s="117" t="n"/>
      <c r="X180" s="118" t="n"/>
      <c r="Y180" s="119" t="n"/>
      <c r="Z180" s="120" t="n"/>
      <c r="AA180" s="121" t="n"/>
      <c r="AB180" s="122" t="n"/>
      <c r="AC180" s="117" t="n"/>
      <c r="AD180" s="123">
        <f>IF(SUM($AE180:$AH180)=0,"",SUM($AE180:$AH180))</f>
        <v/>
      </c>
      <c r="AE180" s="123">
        <f>iferror(IF(SUM($AI180:$AZ180)=0,"",SUM($AI180:$AZ180)),"")</f>
        <v/>
      </c>
      <c r="AF180" s="123">
        <f>iferror(IF(SUM($BA180:$BC180)=0,"",SUM($BA180:$BC180)),"")</f>
        <v/>
      </c>
      <c r="AG180" s="123">
        <f>iferror(IF(SUM($BD180:$BF180)=0,"",SUM($BD180:$BF180)),"")</f>
        <v/>
      </c>
      <c r="AH180" s="124">
        <f>iferror(IF(SUM($BG180:$BI180)=0,"",SUM($BG180:$BI180)),"")</f>
        <v/>
      </c>
      <c r="AI180" s="131" t="n"/>
      <c r="AJ180" s="132" t="n"/>
      <c r="AK180" s="132" t="n"/>
      <c r="AL180" s="132" t="n"/>
      <c r="AM180" s="132" t="n"/>
      <c r="AN180" s="132" t="n"/>
      <c r="AO180" s="132" t="n"/>
      <c r="AP180" s="132" t="n"/>
      <c r="AQ180" s="132" t="n"/>
      <c r="AR180" s="132" t="n"/>
      <c r="AS180" s="132" t="n"/>
      <c r="AT180" s="132" t="n"/>
      <c r="AU180" s="132" t="n"/>
      <c r="AV180" s="132" t="n"/>
      <c r="AW180" s="132" t="n"/>
      <c r="AX180" s="132" t="n"/>
      <c r="AY180" s="132" t="n"/>
      <c r="AZ180" s="133" t="n"/>
      <c r="BA180" s="131" t="n"/>
      <c r="BB180" s="132" t="n"/>
      <c r="BC180" s="133" t="n"/>
      <c r="BD180" s="131" t="n"/>
      <c r="BE180" s="132" t="n"/>
      <c r="BF180" s="133" t="n"/>
      <c r="BG180" s="131" t="n"/>
      <c r="BH180" s="132" t="n"/>
      <c r="BI180" s="132" t="n"/>
      <c r="BJ180" s="128">
        <f>iferror(SUM($BK180,($BL180*1.2),($BM180*1.35),($BN180*0.74)),)</f>
        <v/>
      </c>
      <c r="BK180" s="128">
        <f>IFERROR(SUM($BT180:$CK180),)</f>
        <v/>
      </c>
      <c r="BL180" s="129">
        <f>IFERROR(SUM($CL180:$CN180),)</f>
        <v/>
      </c>
      <c r="BM180" s="130">
        <f>IFERROR(SUM($CO180:$CQ180),)</f>
        <v/>
      </c>
      <c r="BN180" s="128">
        <f>IFERROR(SUM($CR180:$CT180),)</f>
        <v/>
      </c>
      <c r="BO180" s="128">
        <f>iferror(SUM($BP180,($BQ180*1.2),($BR180*1.35),($BS180*0.74)),)</f>
        <v/>
      </c>
      <c r="BP180" s="128">
        <f>IFERROR(SUM($CU180:$DL180),)</f>
        <v/>
      </c>
      <c r="BQ180" s="128">
        <f>IFERROR(SUM($DM180:$DO180),)</f>
        <v/>
      </c>
      <c r="BR180" s="128">
        <f>IFERROR(SUM($DP180:$DR180),)</f>
        <v/>
      </c>
      <c r="BS180" s="128">
        <f>IFERROR(SUM($DS180:$DU180),)</f>
        <v/>
      </c>
      <c r="BT180" s="128">
        <f>IFERROR(AI180*$W180,)</f>
        <v/>
      </c>
      <c r="BU180" s="128">
        <f>IFERROR(AJ180*$W180,)</f>
        <v/>
      </c>
      <c r="BV180" s="128">
        <f>IFERROR(AK180*$W180,)</f>
        <v/>
      </c>
      <c r="BW180" s="128">
        <f>IFERROR(AL180*$W180,)</f>
        <v/>
      </c>
      <c r="BX180" s="128">
        <f>IFERROR(AM180*$W180,)</f>
        <v/>
      </c>
      <c r="BY180" s="128">
        <f>IFERROR(AN180*$W180,)</f>
        <v/>
      </c>
      <c r="BZ180" s="128">
        <f>IFERROR(AO180*$W180,)</f>
        <v/>
      </c>
      <c r="CA180" s="128">
        <f>IFERROR(AP180*$W180,)</f>
        <v/>
      </c>
      <c r="CB180" s="128">
        <f>IFERROR(AQ180*$W180,)</f>
        <v/>
      </c>
      <c r="CC180" s="128">
        <f>IFERROR(AR180*$W180,)</f>
        <v/>
      </c>
      <c r="CD180" s="128">
        <f>IFERROR(AS180*$W180,)</f>
        <v/>
      </c>
      <c r="CE180" s="128">
        <f>IFERROR(AT180*$W180,)</f>
        <v/>
      </c>
      <c r="CF180" s="128">
        <f>IFERROR(AU180*$W180,)</f>
        <v/>
      </c>
      <c r="CG180" s="128">
        <f>IFERROR(AV180*$W180,)</f>
        <v/>
      </c>
      <c r="CH180" s="128">
        <f>IFERROR(AW180*$W180,)</f>
        <v/>
      </c>
      <c r="CI180" s="128">
        <f>IFERROR(AX180*$W180,)</f>
        <v/>
      </c>
      <c r="CJ180" s="128">
        <f>IFERROR(AY180*$W180,)</f>
        <v/>
      </c>
      <c r="CK180" s="128">
        <f>IFERROR(AZ180*$W180,)</f>
        <v/>
      </c>
      <c r="CL180" s="129">
        <f>IFERROR(if($Y180=0,BA180*($W180/1.2),BA180*$Y180),"")</f>
        <v/>
      </c>
      <c r="CM180" s="129">
        <f>IFERROR(if($Y180=0,BB180*($W180/1.2),BB180*$Y180),"")</f>
        <v/>
      </c>
      <c r="CN180" s="129">
        <f>IFERROR(if($Y180=0,BC180*($W180/1.2),BC180*$Y180),"")</f>
        <v/>
      </c>
      <c r="CO180" s="130">
        <f>IFERROR(if($AA180=0,($W180/1.35)*BD180,BD180*$AA180),)</f>
        <v/>
      </c>
      <c r="CP180" s="130">
        <f>IFERROR(if($AA180=0,($W180/1.35)*BE180,BE180*$AA180),)</f>
        <v/>
      </c>
      <c r="CQ180" s="130">
        <f>IFERROR(if($AA180=0,($W180/1.35)*BF180,BF180*$AA180),)</f>
        <v/>
      </c>
      <c r="CR180" s="128">
        <f>IFERROR(if($AC180=0,($W180/0.74)*BG180,
BG180*$AC180),)</f>
        <v/>
      </c>
      <c r="CS180" s="128">
        <f>IFERROR(if($AC180=0,($W180/0.74)*BH180,
BH180*$AC180),)</f>
        <v/>
      </c>
      <c r="CT180" s="128">
        <f>IFERROR(if($AC180=0,($W180/0.74)*BI180,
BI180*$AC180),)</f>
        <v/>
      </c>
      <c r="CU180" s="128">
        <f>IFERROR(AI180*$V180,)</f>
        <v/>
      </c>
      <c r="CV180" s="128">
        <f>IFERROR(AJ180*$V180,)</f>
        <v/>
      </c>
      <c r="CW180" s="128">
        <f>IFERROR(AK180*$V180,)</f>
        <v/>
      </c>
      <c r="CX180" s="128">
        <f>IFERROR(AL180*$V180,)</f>
        <v/>
      </c>
      <c r="CY180" s="128">
        <f>IFERROR(AM180*$V180,)</f>
        <v/>
      </c>
      <c r="CZ180" s="128">
        <f>IFERROR(AN180*$V180,)</f>
        <v/>
      </c>
      <c r="DA180" s="128">
        <f>IFERROR(AO180*$V180,)</f>
        <v/>
      </c>
      <c r="DB180" s="128">
        <f>IFERROR(AP180*$V180,)</f>
        <v/>
      </c>
      <c r="DC180" s="128">
        <f>IFERROR(AQ180*$V180,)</f>
        <v/>
      </c>
      <c r="DD180" s="128">
        <f>IFERROR(AR180*$V180,)</f>
        <v/>
      </c>
      <c r="DE180" s="128">
        <f>IFERROR(AS180*$V180,)</f>
        <v/>
      </c>
      <c r="DF180" s="128">
        <f>IFERROR(AT180*$V180,)</f>
        <v/>
      </c>
      <c r="DG180" s="128">
        <f>IFERROR(AU180*$V180,)</f>
        <v/>
      </c>
      <c r="DH180" s="128">
        <f>IFERROR(AV180*$V180,)</f>
        <v/>
      </c>
      <c r="DI180" s="128">
        <f>IFERROR(AW180*$V180,)</f>
        <v/>
      </c>
      <c r="DJ180" s="128">
        <f>IFERROR(AX180*$V180,)</f>
        <v/>
      </c>
      <c r="DK180" s="128">
        <f>IFERROR(AY180*$V180,)</f>
        <v/>
      </c>
      <c r="DL180" s="128">
        <f>IFERROR(AZ180*$V180,)</f>
        <v/>
      </c>
      <c r="DM180" s="129">
        <f>IFERROR(if($X180=0,($V180/1.2)*BA180,
BA180*$X180),)</f>
        <v/>
      </c>
      <c r="DN180" s="129">
        <f>IFERROR(if($X180=0,($V180/1.2)*BB180,
BB180*$X180),)</f>
        <v/>
      </c>
      <c r="DO180" s="129">
        <f>IFERROR(if($X180=0,($V180/1.2)*BC180,
BC180*$X180),)</f>
        <v/>
      </c>
      <c r="DP180" s="130">
        <f>IFERROR(if($Z180=0,($V180/1.35)*BD180,
BD180*$Z180),)</f>
        <v/>
      </c>
      <c r="DQ180" s="130">
        <f>IFERROR(if($Z180=0,($V180/1.35)*BE180,
BE180*$Z180),)</f>
        <v/>
      </c>
      <c r="DR180" s="130">
        <f>IFERROR(if($Z180=0,($V180/1.35)*BF180,
BF180*$Z180),)</f>
        <v/>
      </c>
      <c r="DS180" s="128">
        <f>IFERROR(IF($AB180=0,($V180/0.74)*BG180,
BG180*$AB180),)</f>
        <v/>
      </c>
      <c r="DT180" s="128">
        <f>IFERROR(IF($AB180=0,($V180/0.74)*BH180,
BH180*$AB180),)</f>
        <v/>
      </c>
      <c r="DU180" s="128">
        <f>IFERROR(IF($AB180=0,($V180/0.74)*BI180,
BI180*$AB180),)</f>
        <v/>
      </c>
    </row>
    <row r="181" ht="131.25" customHeight="1" s="162">
      <c r="A181" s="115" t="n"/>
      <c r="B181" s="115" t="n"/>
      <c r="C181" s="115" t="n"/>
      <c r="D181" s="115" t="n"/>
      <c r="E181" s="115" t="n"/>
      <c r="F181" s="115" t="n"/>
      <c r="G181" s="115" t="n"/>
      <c r="H181" s="115" t="n"/>
      <c r="I181" s="115" t="n"/>
      <c r="J181" s="115" t="n"/>
      <c r="K181" s="115" t="n"/>
      <c r="L181" s="115" t="n"/>
      <c r="M181" s="115" t="n"/>
      <c r="N181" s="115" t="n"/>
      <c r="O181" s="115" t="n"/>
      <c r="P181" s="115" t="n"/>
      <c r="Q181" s="115" t="n"/>
      <c r="R181" s="115" t="n"/>
      <c r="S181" s="115" t="n"/>
      <c r="T181" s="115" t="n"/>
      <c r="U181" s="116" t="n"/>
      <c r="V181" s="116" t="n"/>
      <c r="W181" s="117" t="n"/>
      <c r="X181" s="118" t="n"/>
      <c r="Y181" s="119" t="n"/>
      <c r="Z181" s="120" t="n"/>
      <c r="AA181" s="121" t="n"/>
      <c r="AB181" s="122" t="n"/>
      <c r="AC181" s="117" t="n"/>
      <c r="AD181" s="123">
        <f>IF(SUM($AE181:$AH181)=0,"",SUM($AE181:$AH181))</f>
        <v/>
      </c>
      <c r="AE181" s="123">
        <f>iferror(IF(SUM($AI181:$AZ181)=0,"",SUM($AI181:$AZ181)),"")</f>
        <v/>
      </c>
      <c r="AF181" s="123">
        <f>iferror(IF(SUM($BA181:$BC181)=0,"",SUM($BA181:$BC181)),"")</f>
        <v/>
      </c>
      <c r="AG181" s="123">
        <f>iferror(IF(SUM($BD181:$BF181)=0,"",SUM($BD181:$BF181)),"")</f>
        <v/>
      </c>
      <c r="AH181" s="124">
        <f>iferror(IF(SUM($BG181:$BI181)=0,"",SUM($BG181:$BI181)),"")</f>
        <v/>
      </c>
      <c r="AI181" s="131" t="n"/>
      <c r="AJ181" s="132" t="n"/>
      <c r="AK181" s="132" t="n"/>
      <c r="AL181" s="132" t="n"/>
      <c r="AM181" s="132" t="n"/>
      <c r="AN181" s="132" t="n"/>
      <c r="AO181" s="132" t="n"/>
      <c r="AP181" s="132" t="n"/>
      <c r="AQ181" s="132" t="n"/>
      <c r="AR181" s="132" t="n"/>
      <c r="AS181" s="132" t="n"/>
      <c r="AT181" s="132" t="n"/>
      <c r="AU181" s="132" t="n"/>
      <c r="AV181" s="132" t="n"/>
      <c r="AW181" s="132" t="n"/>
      <c r="AX181" s="132" t="n"/>
      <c r="AY181" s="132" t="n"/>
      <c r="AZ181" s="133" t="n"/>
      <c r="BA181" s="131" t="n"/>
      <c r="BB181" s="132" t="n"/>
      <c r="BC181" s="133" t="n"/>
      <c r="BD181" s="131" t="n"/>
      <c r="BE181" s="132" t="n"/>
      <c r="BF181" s="133" t="n"/>
      <c r="BG181" s="131" t="n"/>
      <c r="BH181" s="132" t="n"/>
      <c r="BI181" s="132" t="n"/>
      <c r="BJ181" s="128">
        <f>iferror(SUM($BK181,($BL181*1.2),($BM181*1.35),($BN181*0.74)),)</f>
        <v/>
      </c>
      <c r="BK181" s="128">
        <f>IFERROR(SUM($BT181:$CK181),)</f>
        <v/>
      </c>
      <c r="BL181" s="129">
        <f>IFERROR(SUM($CL181:$CN181),)</f>
        <v/>
      </c>
      <c r="BM181" s="130">
        <f>IFERROR(SUM($CO181:$CQ181),)</f>
        <v/>
      </c>
      <c r="BN181" s="128">
        <f>IFERROR(SUM($CR181:$CT181),)</f>
        <v/>
      </c>
      <c r="BO181" s="128">
        <f>iferror(SUM($BP181,($BQ181*1.2),($BR181*1.35),($BS181*0.74)),)</f>
        <v/>
      </c>
      <c r="BP181" s="128">
        <f>IFERROR(SUM($CU181:$DL181),)</f>
        <v/>
      </c>
      <c r="BQ181" s="128">
        <f>IFERROR(SUM($DM181:$DO181),)</f>
        <v/>
      </c>
      <c r="BR181" s="128">
        <f>IFERROR(SUM($DP181:$DR181),)</f>
        <v/>
      </c>
      <c r="BS181" s="128">
        <f>IFERROR(SUM($DS181:$DU181),)</f>
        <v/>
      </c>
      <c r="BT181" s="128">
        <f>IFERROR(AI181*$W181,)</f>
        <v/>
      </c>
      <c r="BU181" s="128">
        <f>IFERROR(AJ181*$W181,)</f>
        <v/>
      </c>
      <c r="BV181" s="128">
        <f>IFERROR(AK181*$W181,)</f>
        <v/>
      </c>
      <c r="BW181" s="128">
        <f>IFERROR(AL181*$W181,)</f>
        <v/>
      </c>
      <c r="BX181" s="128">
        <f>IFERROR(AM181*$W181,)</f>
        <v/>
      </c>
      <c r="BY181" s="128">
        <f>IFERROR(AN181*$W181,)</f>
        <v/>
      </c>
      <c r="BZ181" s="128">
        <f>IFERROR(AO181*$W181,)</f>
        <v/>
      </c>
      <c r="CA181" s="128">
        <f>IFERROR(AP181*$W181,)</f>
        <v/>
      </c>
      <c r="CB181" s="128">
        <f>IFERROR(AQ181*$W181,)</f>
        <v/>
      </c>
      <c r="CC181" s="128">
        <f>IFERROR(AR181*$W181,)</f>
        <v/>
      </c>
      <c r="CD181" s="128">
        <f>IFERROR(AS181*$W181,)</f>
        <v/>
      </c>
      <c r="CE181" s="128">
        <f>IFERROR(AT181*$W181,)</f>
        <v/>
      </c>
      <c r="CF181" s="128">
        <f>IFERROR(AU181*$W181,)</f>
        <v/>
      </c>
      <c r="CG181" s="128">
        <f>IFERROR(AV181*$W181,)</f>
        <v/>
      </c>
      <c r="CH181" s="128">
        <f>IFERROR(AW181*$W181,)</f>
        <v/>
      </c>
      <c r="CI181" s="128">
        <f>IFERROR(AX181*$W181,)</f>
        <v/>
      </c>
      <c r="CJ181" s="128">
        <f>IFERROR(AY181*$W181,)</f>
        <v/>
      </c>
      <c r="CK181" s="128">
        <f>IFERROR(AZ181*$W181,)</f>
        <v/>
      </c>
      <c r="CL181" s="129">
        <f>IFERROR(if($Y181=0,BA181*($W181/1.2),BA181*$Y181),"")</f>
        <v/>
      </c>
      <c r="CM181" s="129">
        <f>IFERROR(if($Y181=0,BB181*($W181/1.2),BB181*$Y181),"")</f>
        <v/>
      </c>
      <c r="CN181" s="129">
        <f>IFERROR(if($Y181=0,BC181*($W181/1.2),BC181*$Y181),"")</f>
        <v/>
      </c>
      <c r="CO181" s="130">
        <f>IFERROR(if($AA181=0,($W181/1.35)*BD181,BD181*$AA181),)</f>
        <v/>
      </c>
      <c r="CP181" s="130">
        <f>IFERROR(if($AA181=0,($W181/1.35)*BE181,BE181*$AA181),)</f>
        <v/>
      </c>
      <c r="CQ181" s="130">
        <f>IFERROR(if($AA181=0,($W181/1.35)*BF181,BF181*$AA181),)</f>
        <v/>
      </c>
      <c r="CR181" s="128">
        <f>IFERROR(if($AC181=0,($W181/0.74)*BG181,
BG181*$AC181),)</f>
        <v/>
      </c>
      <c r="CS181" s="128">
        <f>IFERROR(if($AC181=0,($W181/0.74)*BH181,
BH181*$AC181),)</f>
        <v/>
      </c>
      <c r="CT181" s="128">
        <f>IFERROR(if($AC181=0,($W181/0.74)*BI181,
BI181*$AC181),)</f>
        <v/>
      </c>
      <c r="CU181" s="128">
        <f>IFERROR(AI181*$V181,)</f>
        <v/>
      </c>
      <c r="CV181" s="128">
        <f>IFERROR(AJ181*$V181,)</f>
        <v/>
      </c>
      <c r="CW181" s="128">
        <f>IFERROR(AK181*$V181,)</f>
        <v/>
      </c>
      <c r="CX181" s="128">
        <f>IFERROR(AL181*$V181,)</f>
        <v/>
      </c>
      <c r="CY181" s="128">
        <f>IFERROR(AM181*$V181,)</f>
        <v/>
      </c>
      <c r="CZ181" s="128">
        <f>IFERROR(AN181*$V181,)</f>
        <v/>
      </c>
      <c r="DA181" s="128">
        <f>IFERROR(AO181*$V181,)</f>
        <v/>
      </c>
      <c r="DB181" s="128">
        <f>IFERROR(AP181*$V181,)</f>
        <v/>
      </c>
      <c r="DC181" s="128">
        <f>IFERROR(AQ181*$V181,)</f>
        <v/>
      </c>
      <c r="DD181" s="128">
        <f>IFERROR(AR181*$V181,)</f>
        <v/>
      </c>
      <c r="DE181" s="128">
        <f>IFERROR(AS181*$V181,)</f>
        <v/>
      </c>
      <c r="DF181" s="128">
        <f>IFERROR(AT181*$V181,)</f>
        <v/>
      </c>
      <c r="DG181" s="128">
        <f>IFERROR(AU181*$V181,)</f>
        <v/>
      </c>
      <c r="DH181" s="128">
        <f>IFERROR(AV181*$V181,)</f>
        <v/>
      </c>
      <c r="DI181" s="128">
        <f>IFERROR(AW181*$V181,)</f>
        <v/>
      </c>
      <c r="DJ181" s="128">
        <f>IFERROR(AX181*$V181,)</f>
        <v/>
      </c>
      <c r="DK181" s="128">
        <f>IFERROR(AY181*$V181,)</f>
        <v/>
      </c>
      <c r="DL181" s="128">
        <f>IFERROR(AZ181*$V181,)</f>
        <v/>
      </c>
      <c r="DM181" s="129">
        <f>IFERROR(if($X181=0,($V181/1.2)*BA181,
BA181*$X181),)</f>
        <v/>
      </c>
      <c r="DN181" s="129">
        <f>IFERROR(if($X181=0,($V181/1.2)*BB181,
BB181*$X181),)</f>
        <v/>
      </c>
      <c r="DO181" s="129">
        <f>IFERROR(if($X181=0,($V181/1.2)*BC181,
BC181*$X181),)</f>
        <v/>
      </c>
      <c r="DP181" s="130">
        <f>IFERROR(if($Z181=0,($V181/1.35)*BD181,
BD181*$Z181),)</f>
        <v/>
      </c>
      <c r="DQ181" s="130">
        <f>IFERROR(if($Z181=0,($V181/1.35)*BE181,
BE181*$Z181),)</f>
        <v/>
      </c>
      <c r="DR181" s="130">
        <f>IFERROR(if($Z181=0,($V181/1.35)*BF181,
BF181*$Z181),)</f>
        <v/>
      </c>
      <c r="DS181" s="128">
        <f>IFERROR(IF($AB181=0,($V181/0.74)*BG181,
BG181*$AB181),)</f>
        <v/>
      </c>
      <c r="DT181" s="128">
        <f>IFERROR(IF($AB181=0,($V181/0.74)*BH181,
BH181*$AB181),)</f>
        <v/>
      </c>
      <c r="DU181" s="128">
        <f>IFERROR(IF($AB181=0,($V181/0.74)*BI181,
BI181*$AB181),)</f>
        <v/>
      </c>
    </row>
    <row r="182" ht="131.25" customHeight="1" s="162">
      <c r="A182" s="115" t="n"/>
      <c r="B182" s="115" t="n"/>
      <c r="C182" s="115" t="n"/>
      <c r="D182" s="115" t="n"/>
      <c r="E182" s="115" t="n"/>
      <c r="F182" s="115" t="n"/>
      <c r="G182" s="115" t="n"/>
      <c r="H182" s="115" t="n"/>
      <c r="I182" s="115" t="n"/>
      <c r="J182" s="115" t="n"/>
      <c r="K182" s="115" t="n"/>
      <c r="L182" s="115" t="n"/>
      <c r="M182" s="115" t="n"/>
      <c r="N182" s="115" t="n"/>
      <c r="O182" s="115" t="n"/>
      <c r="P182" s="115" t="n"/>
      <c r="Q182" s="115" t="n"/>
      <c r="R182" s="115" t="n"/>
      <c r="S182" s="115" t="n"/>
      <c r="T182" s="115" t="n"/>
      <c r="U182" s="116" t="n"/>
      <c r="V182" s="116" t="n"/>
      <c r="W182" s="117" t="n"/>
      <c r="X182" s="118" t="n"/>
      <c r="Y182" s="119" t="n"/>
      <c r="Z182" s="120" t="n"/>
      <c r="AA182" s="121" t="n"/>
      <c r="AB182" s="122" t="n"/>
      <c r="AC182" s="117" t="n"/>
      <c r="AD182" s="123">
        <f>IF(SUM($AE182:$AH182)=0,"",SUM($AE182:$AH182))</f>
        <v/>
      </c>
      <c r="AE182" s="123">
        <f>iferror(IF(SUM($AI182:$AZ182)=0,"",SUM($AI182:$AZ182)),"")</f>
        <v/>
      </c>
      <c r="AF182" s="123">
        <f>iferror(IF(SUM($BA182:$BC182)=0,"",SUM($BA182:$BC182)),"")</f>
        <v/>
      </c>
      <c r="AG182" s="123">
        <f>iferror(IF(SUM($BD182:$BF182)=0,"",SUM($BD182:$BF182)),"")</f>
        <v/>
      </c>
      <c r="AH182" s="124">
        <f>iferror(IF(SUM($BG182:$BI182)=0,"",SUM($BG182:$BI182)),"")</f>
        <v/>
      </c>
      <c r="AI182" s="131" t="n"/>
      <c r="AJ182" s="132" t="n"/>
      <c r="AK182" s="132" t="n"/>
      <c r="AL182" s="132" t="n"/>
      <c r="AM182" s="132" t="n"/>
      <c r="AN182" s="132" t="n"/>
      <c r="AO182" s="132" t="n"/>
      <c r="AP182" s="132" t="n"/>
      <c r="AQ182" s="132" t="n"/>
      <c r="AR182" s="132" t="n"/>
      <c r="AS182" s="132" t="n"/>
      <c r="AT182" s="132" t="n"/>
      <c r="AU182" s="132" t="n"/>
      <c r="AV182" s="132" t="n"/>
      <c r="AW182" s="132" t="n"/>
      <c r="AX182" s="132" t="n"/>
      <c r="AY182" s="132" t="n"/>
      <c r="AZ182" s="133" t="n"/>
      <c r="BA182" s="131" t="n"/>
      <c r="BB182" s="132" t="n"/>
      <c r="BC182" s="133" t="n"/>
      <c r="BD182" s="131" t="n"/>
      <c r="BE182" s="132" t="n"/>
      <c r="BF182" s="133" t="n"/>
      <c r="BG182" s="131" t="n"/>
      <c r="BH182" s="132" t="n"/>
      <c r="BI182" s="132" t="n"/>
      <c r="BJ182" s="128">
        <f>iferror(SUM($BK182,($BL182*1.2),($BM182*1.35),($BN182*0.74)),)</f>
        <v/>
      </c>
      <c r="BK182" s="128">
        <f>IFERROR(SUM($BT182:$CK182),)</f>
        <v/>
      </c>
      <c r="BL182" s="129">
        <f>IFERROR(SUM($CL182:$CN182),)</f>
        <v/>
      </c>
      <c r="BM182" s="130">
        <f>IFERROR(SUM($CO182:$CQ182),)</f>
        <v/>
      </c>
      <c r="BN182" s="128">
        <f>IFERROR(SUM($CR182:$CT182),)</f>
        <v/>
      </c>
      <c r="BO182" s="128">
        <f>iferror(SUM($BP182,($BQ182*1.2),($BR182*1.35),($BS182*0.74)),)</f>
        <v/>
      </c>
      <c r="BP182" s="128">
        <f>IFERROR(SUM($CU182:$DL182),)</f>
        <v/>
      </c>
      <c r="BQ182" s="128">
        <f>IFERROR(SUM($DM182:$DO182),)</f>
        <v/>
      </c>
      <c r="BR182" s="128">
        <f>IFERROR(SUM($DP182:$DR182),)</f>
        <v/>
      </c>
      <c r="BS182" s="128">
        <f>IFERROR(SUM($DS182:$DU182),)</f>
        <v/>
      </c>
      <c r="BT182" s="128">
        <f>IFERROR(AI182*$W182,)</f>
        <v/>
      </c>
      <c r="BU182" s="128">
        <f>IFERROR(AJ182*$W182,)</f>
        <v/>
      </c>
      <c r="BV182" s="128">
        <f>IFERROR(AK182*$W182,)</f>
        <v/>
      </c>
      <c r="BW182" s="128">
        <f>IFERROR(AL182*$W182,)</f>
        <v/>
      </c>
      <c r="BX182" s="128">
        <f>IFERROR(AM182*$W182,)</f>
        <v/>
      </c>
      <c r="BY182" s="128">
        <f>IFERROR(AN182*$W182,)</f>
        <v/>
      </c>
      <c r="BZ182" s="128">
        <f>IFERROR(AO182*$W182,)</f>
        <v/>
      </c>
      <c r="CA182" s="128">
        <f>IFERROR(AP182*$W182,)</f>
        <v/>
      </c>
      <c r="CB182" s="128">
        <f>IFERROR(AQ182*$W182,)</f>
        <v/>
      </c>
      <c r="CC182" s="128">
        <f>IFERROR(AR182*$W182,)</f>
        <v/>
      </c>
      <c r="CD182" s="128">
        <f>IFERROR(AS182*$W182,)</f>
        <v/>
      </c>
      <c r="CE182" s="128">
        <f>IFERROR(AT182*$W182,)</f>
        <v/>
      </c>
      <c r="CF182" s="128">
        <f>IFERROR(AU182*$W182,)</f>
        <v/>
      </c>
      <c r="CG182" s="128">
        <f>IFERROR(AV182*$W182,)</f>
        <v/>
      </c>
      <c r="CH182" s="128">
        <f>IFERROR(AW182*$W182,)</f>
        <v/>
      </c>
      <c r="CI182" s="128">
        <f>IFERROR(AX182*$W182,)</f>
        <v/>
      </c>
      <c r="CJ182" s="128">
        <f>IFERROR(AY182*$W182,)</f>
        <v/>
      </c>
      <c r="CK182" s="128">
        <f>IFERROR(AZ182*$W182,)</f>
        <v/>
      </c>
      <c r="CL182" s="129">
        <f>IFERROR(if($Y182=0,BA182*($W182/1.2),BA182*$Y182),"")</f>
        <v/>
      </c>
      <c r="CM182" s="129">
        <f>IFERROR(if($Y182=0,BB182*($W182/1.2),BB182*$Y182),"")</f>
        <v/>
      </c>
      <c r="CN182" s="129">
        <f>IFERROR(if($Y182=0,BC182*($W182/1.2),BC182*$Y182),"")</f>
        <v/>
      </c>
      <c r="CO182" s="130">
        <f>IFERROR(if($AA182=0,($W182/1.35)*BD182,BD182*$AA182),)</f>
        <v/>
      </c>
      <c r="CP182" s="130">
        <f>IFERROR(if($AA182=0,($W182/1.35)*BE182,BE182*$AA182),)</f>
        <v/>
      </c>
      <c r="CQ182" s="130">
        <f>IFERROR(if($AA182=0,($W182/1.35)*BF182,BF182*$AA182),)</f>
        <v/>
      </c>
      <c r="CR182" s="128">
        <f>IFERROR(if($AC182=0,($W182/0.74)*BG182,
BG182*$AC182),)</f>
        <v/>
      </c>
      <c r="CS182" s="128">
        <f>IFERROR(if($AC182=0,($W182/0.74)*BH182,
BH182*$AC182),)</f>
        <v/>
      </c>
      <c r="CT182" s="128">
        <f>IFERROR(if($AC182=0,($W182/0.74)*BI182,
BI182*$AC182),)</f>
        <v/>
      </c>
      <c r="CU182" s="128">
        <f>IFERROR(AI182*$V182,)</f>
        <v/>
      </c>
      <c r="CV182" s="128">
        <f>IFERROR(AJ182*$V182,)</f>
        <v/>
      </c>
      <c r="CW182" s="128">
        <f>IFERROR(AK182*$V182,)</f>
        <v/>
      </c>
      <c r="CX182" s="128">
        <f>IFERROR(AL182*$V182,)</f>
        <v/>
      </c>
      <c r="CY182" s="128">
        <f>IFERROR(AM182*$V182,)</f>
        <v/>
      </c>
      <c r="CZ182" s="128">
        <f>IFERROR(AN182*$V182,)</f>
        <v/>
      </c>
      <c r="DA182" s="128">
        <f>IFERROR(AO182*$V182,)</f>
        <v/>
      </c>
      <c r="DB182" s="128">
        <f>IFERROR(AP182*$V182,)</f>
        <v/>
      </c>
      <c r="DC182" s="128">
        <f>IFERROR(AQ182*$V182,)</f>
        <v/>
      </c>
      <c r="DD182" s="128">
        <f>IFERROR(AR182*$V182,)</f>
        <v/>
      </c>
      <c r="DE182" s="128">
        <f>IFERROR(AS182*$V182,)</f>
        <v/>
      </c>
      <c r="DF182" s="128">
        <f>IFERROR(AT182*$V182,)</f>
        <v/>
      </c>
      <c r="DG182" s="128">
        <f>IFERROR(AU182*$V182,)</f>
        <v/>
      </c>
      <c r="DH182" s="128">
        <f>IFERROR(AV182*$V182,)</f>
        <v/>
      </c>
      <c r="DI182" s="128">
        <f>IFERROR(AW182*$V182,)</f>
        <v/>
      </c>
      <c r="DJ182" s="128">
        <f>IFERROR(AX182*$V182,)</f>
        <v/>
      </c>
      <c r="DK182" s="128">
        <f>IFERROR(AY182*$V182,)</f>
        <v/>
      </c>
      <c r="DL182" s="128">
        <f>IFERROR(AZ182*$V182,)</f>
        <v/>
      </c>
      <c r="DM182" s="129">
        <f>IFERROR(if($X182=0,($V182/1.2)*BA182,
BA182*$X182),)</f>
        <v/>
      </c>
      <c r="DN182" s="129">
        <f>IFERROR(if($X182=0,($V182/1.2)*BB182,
BB182*$X182),)</f>
        <v/>
      </c>
      <c r="DO182" s="129">
        <f>IFERROR(if($X182=0,($V182/1.2)*BC182,
BC182*$X182),)</f>
        <v/>
      </c>
      <c r="DP182" s="130">
        <f>IFERROR(if($Z182=0,($V182/1.35)*BD182,
BD182*$Z182),)</f>
        <v/>
      </c>
      <c r="DQ182" s="130">
        <f>IFERROR(if($Z182=0,($V182/1.35)*BE182,
BE182*$Z182),)</f>
        <v/>
      </c>
      <c r="DR182" s="130">
        <f>IFERROR(if($Z182=0,($V182/1.35)*BF182,
BF182*$Z182),)</f>
        <v/>
      </c>
      <c r="DS182" s="128">
        <f>IFERROR(IF($AB182=0,($V182/0.74)*BG182,
BG182*$AB182),)</f>
        <v/>
      </c>
      <c r="DT182" s="128">
        <f>IFERROR(IF($AB182=0,($V182/0.74)*BH182,
BH182*$AB182),)</f>
        <v/>
      </c>
      <c r="DU182" s="128">
        <f>IFERROR(IF($AB182=0,($V182/0.74)*BI182,
BI182*$AB182),)</f>
        <v/>
      </c>
    </row>
    <row r="183" ht="131.25" customHeight="1" s="162">
      <c r="A183" s="115" t="n"/>
      <c r="B183" s="115" t="n"/>
      <c r="C183" s="115" t="n"/>
      <c r="D183" s="115" t="n"/>
      <c r="E183" s="115" t="n"/>
      <c r="F183" s="115" t="n"/>
      <c r="G183" s="115" t="n"/>
      <c r="H183" s="115" t="n"/>
      <c r="I183" s="115" t="n"/>
      <c r="J183" s="115" t="n"/>
      <c r="K183" s="115" t="n"/>
      <c r="L183" s="115" t="n"/>
      <c r="M183" s="115" t="n"/>
      <c r="N183" s="115" t="n"/>
      <c r="O183" s="115" t="n"/>
      <c r="P183" s="115" t="n"/>
      <c r="Q183" s="115" t="n"/>
      <c r="R183" s="115" t="n"/>
      <c r="S183" s="115" t="n"/>
      <c r="T183" s="115" t="n"/>
      <c r="U183" s="116" t="n"/>
      <c r="V183" s="116" t="n"/>
      <c r="W183" s="117" t="n"/>
      <c r="X183" s="118" t="n"/>
      <c r="Y183" s="119" t="n"/>
      <c r="Z183" s="120" t="n"/>
      <c r="AA183" s="121" t="n"/>
      <c r="AB183" s="122" t="n"/>
      <c r="AC183" s="117" t="n"/>
      <c r="AD183" s="123">
        <f>IF(SUM($AE183:$AH183)=0,"",SUM($AE183:$AH183))</f>
        <v/>
      </c>
      <c r="AE183" s="123">
        <f>iferror(IF(SUM($AI183:$AZ183)=0,"",SUM($AI183:$AZ183)),"")</f>
        <v/>
      </c>
      <c r="AF183" s="123">
        <f>iferror(IF(SUM($BA183:$BC183)=0,"",SUM($BA183:$BC183)),"")</f>
        <v/>
      </c>
      <c r="AG183" s="123">
        <f>iferror(IF(SUM($BD183:$BF183)=0,"",SUM($BD183:$BF183)),"")</f>
        <v/>
      </c>
      <c r="AH183" s="124">
        <f>iferror(IF(SUM($BG183:$BI183)=0,"",SUM($BG183:$BI183)),"")</f>
        <v/>
      </c>
      <c r="AI183" s="131" t="n"/>
      <c r="AJ183" s="132" t="n"/>
      <c r="AK183" s="132" t="n"/>
      <c r="AL183" s="132" t="n"/>
      <c r="AM183" s="132" t="n"/>
      <c r="AN183" s="132" t="n"/>
      <c r="AO183" s="132" t="n"/>
      <c r="AP183" s="132" t="n"/>
      <c r="AQ183" s="132" t="n"/>
      <c r="AR183" s="132" t="n"/>
      <c r="AS183" s="132" t="n"/>
      <c r="AT183" s="132" t="n"/>
      <c r="AU183" s="132" t="n"/>
      <c r="AV183" s="132" t="n"/>
      <c r="AW183" s="132" t="n"/>
      <c r="AX183" s="132" t="n"/>
      <c r="AY183" s="132" t="n"/>
      <c r="AZ183" s="133" t="n"/>
      <c r="BA183" s="131" t="n"/>
      <c r="BB183" s="132" t="n"/>
      <c r="BC183" s="133" t="n"/>
      <c r="BD183" s="131" t="n"/>
      <c r="BE183" s="132" t="n"/>
      <c r="BF183" s="133" t="n"/>
      <c r="BG183" s="131" t="n"/>
      <c r="BH183" s="132" t="n"/>
      <c r="BI183" s="132" t="n"/>
      <c r="BJ183" s="128">
        <f>iferror(SUM($BK183,($BL183*1.2),($BM183*1.35),($BN183*0.74)),)</f>
        <v/>
      </c>
      <c r="BK183" s="128">
        <f>IFERROR(SUM($BT183:$CK183),)</f>
        <v/>
      </c>
      <c r="BL183" s="129">
        <f>IFERROR(SUM($CL183:$CN183),)</f>
        <v/>
      </c>
      <c r="BM183" s="130">
        <f>IFERROR(SUM($CO183:$CQ183),)</f>
        <v/>
      </c>
      <c r="BN183" s="128">
        <f>IFERROR(SUM($CR183:$CT183),)</f>
        <v/>
      </c>
      <c r="BO183" s="128">
        <f>iferror(SUM($BP183,($BQ183*1.2),($BR183*1.35),($BS183*0.74)),)</f>
        <v/>
      </c>
      <c r="BP183" s="128">
        <f>IFERROR(SUM($CU183:$DL183),)</f>
        <v/>
      </c>
      <c r="BQ183" s="128">
        <f>IFERROR(SUM($DM183:$DO183),)</f>
        <v/>
      </c>
      <c r="BR183" s="128">
        <f>IFERROR(SUM($DP183:$DR183),)</f>
        <v/>
      </c>
      <c r="BS183" s="128">
        <f>IFERROR(SUM($DS183:$DU183),)</f>
        <v/>
      </c>
      <c r="BT183" s="128">
        <f>IFERROR(AI183*$W183,)</f>
        <v/>
      </c>
      <c r="BU183" s="128">
        <f>IFERROR(AJ183*$W183,)</f>
        <v/>
      </c>
      <c r="BV183" s="128">
        <f>IFERROR(AK183*$W183,)</f>
        <v/>
      </c>
      <c r="BW183" s="128">
        <f>IFERROR(AL183*$W183,)</f>
        <v/>
      </c>
      <c r="BX183" s="128">
        <f>IFERROR(AM183*$W183,)</f>
        <v/>
      </c>
      <c r="BY183" s="128">
        <f>IFERROR(AN183*$W183,)</f>
        <v/>
      </c>
      <c r="BZ183" s="128">
        <f>IFERROR(AO183*$W183,)</f>
        <v/>
      </c>
      <c r="CA183" s="128">
        <f>IFERROR(AP183*$W183,)</f>
        <v/>
      </c>
      <c r="CB183" s="128">
        <f>IFERROR(AQ183*$W183,)</f>
        <v/>
      </c>
      <c r="CC183" s="128">
        <f>IFERROR(AR183*$W183,)</f>
        <v/>
      </c>
      <c r="CD183" s="128">
        <f>IFERROR(AS183*$W183,)</f>
        <v/>
      </c>
      <c r="CE183" s="128">
        <f>IFERROR(AT183*$W183,)</f>
        <v/>
      </c>
      <c r="CF183" s="128">
        <f>IFERROR(AU183*$W183,)</f>
        <v/>
      </c>
      <c r="CG183" s="128">
        <f>IFERROR(AV183*$W183,)</f>
        <v/>
      </c>
      <c r="CH183" s="128">
        <f>IFERROR(AW183*$W183,)</f>
        <v/>
      </c>
      <c r="CI183" s="128">
        <f>IFERROR(AX183*$W183,)</f>
        <v/>
      </c>
      <c r="CJ183" s="128">
        <f>IFERROR(AY183*$W183,)</f>
        <v/>
      </c>
      <c r="CK183" s="128">
        <f>IFERROR(AZ183*$W183,)</f>
        <v/>
      </c>
      <c r="CL183" s="129">
        <f>IFERROR(if($Y183=0,BA183*($W183/1.2),BA183*$Y183),"")</f>
        <v/>
      </c>
      <c r="CM183" s="129">
        <f>IFERROR(if($Y183=0,BB183*($W183/1.2),BB183*$Y183),"")</f>
        <v/>
      </c>
      <c r="CN183" s="129">
        <f>IFERROR(if($Y183=0,BC183*($W183/1.2),BC183*$Y183),"")</f>
        <v/>
      </c>
      <c r="CO183" s="130">
        <f>IFERROR(if($AA183=0,($W183/1.35)*BD183,BD183*$AA183),)</f>
        <v/>
      </c>
      <c r="CP183" s="130">
        <f>IFERROR(if($AA183=0,($W183/1.35)*BE183,BE183*$AA183),)</f>
        <v/>
      </c>
      <c r="CQ183" s="130">
        <f>IFERROR(if($AA183=0,($W183/1.35)*BF183,BF183*$AA183),)</f>
        <v/>
      </c>
      <c r="CR183" s="128">
        <f>IFERROR(if($AC183=0,($W183/0.74)*BG183,
BG183*$AC183),)</f>
        <v/>
      </c>
      <c r="CS183" s="128">
        <f>IFERROR(if($AC183=0,($W183/0.74)*BH183,
BH183*$AC183),)</f>
        <v/>
      </c>
      <c r="CT183" s="128">
        <f>IFERROR(if($AC183=0,($W183/0.74)*BI183,
BI183*$AC183),)</f>
        <v/>
      </c>
      <c r="CU183" s="128">
        <f>IFERROR(AI183*$V183,)</f>
        <v/>
      </c>
      <c r="CV183" s="128">
        <f>IFERROR(AJ183*$V183,)</f>
        <v/>
      </c>
      <c r="CW183" s="128">
        <f>IFERROR(AK183*$V183,)</f>
        <v/>
      </c>
      <c r="CX183" s="128">
        <f>IFERROR(AL183*$V183,)</f>
        <v/>
      </c>
      <c r="CY183" s="128">
        <f>IFERROR(AM183*$V183,)</f>
        <v/>
      </c>
      <c r="CZ183" s="128">
        <f>IFERROR(AN183*$V183,)</f>
        <v/>
      </c>
      <c r="DA183" s="128">
        <f>IFERROR(AO183*$V183,)</f>
        <v/>
      </c>
      <c r="DB183" s="128">
        <f>IFERROR(AP183*$V183,)</f>
        <v/>
      </c>
      <c r="DC183" s="128">
        <f>IFERROR(AQ183*$V183,)</f>
        <v/>
      </c>
      <c r="DD183" s="128">
        <f>IFERROR(AR183*$V183,)</f>
        <v/>
      </c>
      <c r="DE183" s="128">
        <f>IFERROR(AS183*$V183,)</f>
        <v/>
      </c>
      <c r="DF183" s="128">
        <f>IFERROR(AT183*$V183,)</f>
        <v/>
      </c>
      <c r="DG183" s="128">
        <f>IFERROR(AU183*$V183,)</f>
        <v/>
      </c>
      <c r="DH183" s="128">
        <f>IFERROR(AV183*$V183,)</f>
        <v/>
      </c>
      <c r="DI183" s="128">
        <f>IFERROR(AW183*$V183,)</f>
        <v/>
      </c>
      <c r="DJ183" s="128">
        <f>IFERROR(AX183*$V183,)</f>
        <v/>
      </c>
      <c r="DK183" s="128">
        <f>IFERROR(AY183*$V183,)</f>
        <v/>
      </c>
      <c r="DL183" s="128">
        <f>IFERROR(AZ183*$V183,)</f>
        <v/>
      </c>
      <c r="DM183" s="129">
        <f>IFERROR(if($X183=0,($V183/1.2)*BA183,
BA183*$X183),)</f>
        <v/>
      </c>
      <c r="DN183" s="129">
        <f>IFERROR(if($X183=0,($V183/1.2)*BB183,
BB183*$X183),)</f>
        <v/>
      </c>
      <c r="DO183" s="129">
        <f>IFERROR(if($X183=0,($V183/1.2)*BC183,
BC183*$X183),)</f>
        <v/>
      </c>
      <c r="DP183" s="130">
        <f>IFERROR(if($Z183=0,($V183/1.35)*BD183,
BD183*$Z183),)</f>
        <v/>
      </c>
      <c r="DQ183" s="130">
        <f>IFERROR(if($Z183=0,($V183/1.35)*BE183,
BE183*$Z183),)</f>
        <v/>
      </c>
      <c r="DR183" s="130">
        <f>IFERROR(if($Z183=0,($V183/1.35)*BF183,
BF183*$Z183),)</f>
        <v/>
      </c>
      <c r="DS183" s="128">
        <f>IFERROR(IF($AB183=0,($V183/0.74)*BG183,
BG183*$AB183),)</f>
        <v/>
      </c>
      <c r="DT183" s="128">
        <f>IFERROR(IF($AB183=0,($V183/0.74)*BH183,
BH183*$AB183),)</f>
        <v/>
      </c>
      <c r="DU183" s="128">
        <f>IFERROR(IF($AB183=0,($V183/0.74)*BI183,
BI183*$AB183),)</f>
        <v/>
      </c>
    </row>
    <row r="184" ht="131.25" customHeight="1" s="162">
      <c r="A184" s="115" t="n"/>
      <c r="B184" s="115" t="n"/>
      <c r="C184" s="115" t="n"/>
      <c r="D184" s="115" t="n"/>
      <c r="E184" s="115" t="n"/>
      <c r="F184" s="115" t="n"/>
      <c r="G184" s="115" t="n"/>
      <c r="H184" s="115" t="n"/>
      <c r="I184" s="115" t="n"/>
      <c r="J184" s="115" t="n"/>
      <c r="K184" s="115" t="n"/>
      <c r="L184" s="115" t="n"/>
      <c r="M184" s="115" t="n"/>
      <c r="N184" s="115" t="n"/>
      <c r="O184" s="115" t="n"/>
      <c r="P184" s="115" t="n"/>
      <c r="Q184" s="115" t="n"/>
      <c r="R184" s="115" t="n"/>
      <c r="S184" s="115" t="n"/>
      <c r="T184" s="115" t="n"/>
      <c r="U184" s="116" t="n"/>
      <c r="V184" s="116" t="n"/>
      <c r="W184" s="117" t="n"/>
      <c r="X184" s="118" t="n"/>
      <c r="Y184" s="119" t="n"/>
      <c r="Z184" s="120" t="n"/>
      <c r="AA184" s="121" t="n"/>
      <c r="AB184" s="122" t="n"/>
      <c r="AC184" s="117" t="n"/>
      <c r="AD184" s="123">
        <f>IF(SUM($AE184:$AH184)=0,"",SUM($AE184:$AH184))</f>
        <v/>
      </c>
      <c r="AE184" s="123">
        <f>iferror(IF(SUM($AI184:$AZ184)=0,"",SUM($AI184:$AZ184)),"")</f>
        <v/>
      </c>
      <c r="AF184" s="123">
        <f>iferror(IF(SUM($BA184:$BC184)=0,"",SUM($BA184:$BC184)),"")</f>
        <v/>
      </c>
      <c r="AG184" s="123">
        <f>iferror(IF(SUM($BD184:$BF184)=0,"",SUM($BD184:$BF184)),"")</f>
        <v/>
      </c>
      <c r="AH184" s="124">
        <f>iferror(IF(SUM($BG184:$BI184)=0,"",SUM($BG184:$BI184)),"")</f>
        <v/>
      </c>
      <c r="AI184" s="131" t="n"/>
      <c r="AJ184" s="132" t="n"/>
      <c r="AK184" s="132" t="n"/>
      <c r="AL184" s="132" t="n"/>
      <c r="AM184" s="132" t="n"/>
      <c r="AN184" s="132" t="n"/>
      <c r="AO184" s="132" t="n"/>
      <c r="AP184" s="132" t="n"/>
      <c r="AQ184" s="132" t="n"/>
      <c r="AR184" s="132" t="n"/>
      <c r="AS184" s="132" t="n"/>
      <c r="AT184" s="132" t="n"/>
      <c r="AU184" s="132" t="n"/>
      <c r="AV184" s="132" t="n"/>
      <c r="AW184" s="132" t="n"/>
      <c r="AX184" s="132" t="n"/>
      <c r="AY184" s="132" t="n"/>
      <c r="AZ184" s="133" t="n"/>
      <c r="BA184" s="131" t="n"/>
      <c r="BB184" s="132" t="n"/>
      <c r="BC184" s="133" t="n"/>
      <c r="BD184" s="131" t="n"/>
      <c r="BE184" s="132" t="n"/>
      <c r="BF184" s="133" t="n"/>
      <c r="BG184" s="131" t="n"/>
      <c r="BH184" s="132" t="n"/>
      <c r="BI184" s="132" t="n"/>
      <c r="BJ184" s="128">
        <f>iferror(SUM($BK184,($BL184*1.2),($BM184*1.35),($BN184*0.74)),)</f>
        <v/>
      </c>
      <c r="BK184" s="128">
        <f>IFERROR(SUM($BT184:$CK184),)</f>
        <v/>
      </c>
      <c r="BL184" s="129">
        <f>IFERROR(SUM($CL184:$CN184),)</f>
        <v/>
      </c>
      <c r="BM184" s="130">
        <f>IFERROR(SUM($CO184:$CQ184),)</f>
        <v/>
      </c>
      <c r="BN184" s="128">
        <f>IFERROR(SUM($CR184:$CT184),)</f>
        <v/>
      </c>
      <c r="BO184" s="128">
        <f>iferror(SUM($BP184,($BQ184*1.2),($BR184*1.35),($BS184*0.74)),)</f>
        <v/>
      </c>
      <c r="BP184" s="128">
        <f>IFERROR(SUM($CU184:$DL184),)</f>
        <v/>
      </c>
      <c r="BQ184" s="128">
        <f>IFERROR(SUM($DM184:$DO184),)</f>
        <v/>
      </c>
      <c r="BR184" s="128">
        <f>IFERROR(SUM($DP184:$DR184),)</f>
        <v/>
      </c>
      <c r="BS184" s="128">
        <f>IFERROR(SUM($DS184:$DU184),)</f>
        <v/>
      </c>
      <c r="BT184" s="128">
        <f>IFERROR(AI184*$W184,)</f>
        <v/>
      </c>
      <c r="BU184" s="128">
        <f>IFERROR(AJ184*$W184,)</f>
        <v/>
      </c>
      <c r="BV184" s="128">
        <f>IFERROR(AK184*$W184,)</f>
        <v/>
      </c>
      <c r="BW184" s="128">
        <f>IFERROR(AL184*$W184,)</f>
        <v/>
      </c>
      <c r="BX184" s="128">
        <f>IFERROR(AM184*$W184,)</f>
        <v/>
      </c>
      <c r="BY184" s="128">
        <f>IFERROR(AN184*$W184,)</f>
        <v/>
      </c>
      <c r="BZ184" s="128">
        <f>IFERROR(AO184*$W184,)</f>
        <v/>
      </c>
      <c r="CA184" s="128">
        <f>IFERROR(AP184*$W184,)</f>
        <v/>
      </c>
      <c r="CB184" s="128">
        <f>IFERROR(AQ184*$W184,)</f>
        <v/>
      </c>
      <c r="CC184" s="128">
        <f>IFERROR(AR184*$W184,)</f>
        <v/>
      </c>
      <c r="CD184" s="128">
        <f>IFERROR(AS184*$W184,)</f>
        <v/>
      </c>
      <c r="CE184" s="128">
        <f>IFERROR(AT184*$W184,)</f>
        <v/>
      </c>
      <c r="CF184" s="128">
        <f>IFERROR(AU184*$W184,)</f>
        <v/>
      </c>
      <c r="CG184" s="128">
        <f>IFERROR(AV184*$W184,)</f>
        <v/>
      </c>
      <c r="CH184" s="128">
        <f>IFERROR(AW184*$W184,)</f>
        <v/>
      </c>
      <c r="CI184" s="128">
        <f>IFERROR(AX184*$W184,)</f>
        <v/>
      </c>
      <c r="CJ184" s="128">
        <f>IFERROR(AY184*$W184,)</f>
        <v/>
      </c>
      <c r="CK184" s="128">
        <f>IFERROR(AZ184*$W184,)</f>
        <v/>
      </c>
      <c r="CL184" s="129">
        <f>IFERROR(if($Y184=0,BA184*($W184/1.2),BA184*$Y184),"")</f>
        <v/>
      </c>
      <c r="CM184" s="129">
        <f>IFERROR(if($Y184=0,BB184*($W184/1.2),BB184*$Y184),"")</f>
        <v/>
      </c>
      <c r="CN184" s="129">
        <f>IFERROR(if($Y184=0,BC184*($W184/1.2),BC184*$Y184),"")</f>
        <v/>
      </c>
      <c r="CO184" s="130">
        <f>IFERROR(if($AA184=0,($W184/1.35)*BD184,BD184*$AA184),)</f>
        <v/>
      </c>
      <c r="CP184" s="130">
        <f>IFERROR(if($AA184=0,($W184/1.35)*BE184,BE184*$AA184),)</f>
        <v/>
      </c>
      <c r="CQ184" s="130">
        <f>IFERROR(if($AA184=0,($W184/1.35)*BF184,BF184*$AA184),)</f>
        <v/>
      </c>
      <c r="CR184" s="128">
        <f>IFERROR(if($AC184=0,($W184/0.74)*BG184,
BG184*$AC184),)</f>
        <v/>
      </c>
      <c r="CS184" s="128">
        <f>IFERROR(if($AC184=0,($W184/0.74)*BH184,
BH184*$AC184),)</f>
        <v/>
      </c>
      <c r="CT184" s="128">
        <f>IFERROR(if($AC184=0,($W184/0.74)*BI184,
BI184*$AC184),)</f>
        <v/>
      </c>
      <c r="CU184" s="128">
        <f>IFERROR(AI184*$V184,)</f>
        <v/>
      </c>
      <c r="CV184" s="128">
        <f>IFERROR(AJ184*$V184,)</f>
        <v/>
      </c>
      <c r="CW184" s="128">
        <f>IFERROR(AK184*$V184,)</f>
        <v/>
      </c>
      <c r="CX184" s="128">
        <f>IFERROR(AL184*$V184,)</f>
        <v/>
      </c>
      <c r="CY184" s="128">
        <f>IFERROR(AM184*$V184,)</f>
        <v/>
      </c>
      <c r="CZ184" s="128">
        <f>IFERROR(AN184*$V184,)</f>
        <v/>
      </c>
      <c r="DA184" s="128">
        <f>IFERROR(AO184*$V184,)</f>
        <v/>
      </c>
      <c r="DB184" s="128">
        <f>IFERROR(AP184*$V184,)</f>
        <v/>
      </c>
      <c r="DC184" s="128">
        <f>IFERROR(AQ184*$V184,)</f>
        <v/>
      </c>
      <c r="DD184" s="128">
        <f>IFERROR(AR184*$V184,)</f>
        <v/>
      </c>
      <c r="DE184" s="128">
        <f>IFERROR(AS184*$V184,)</f>
        <v/>
      </c>
      <c r="DF184" s="128">
        <f>IFERROR(AT184*$V184,)</f>
        <v/>
      </c>
      <c r="DG184" s="128">
        <f>IFERROR(AU184*$V184,)</f>
        <v/>
      </c>
      <c r="DH184" s="128">
        <f>IFERROR(AV184*$V184,)</f>
        <v/>
      </c>
      <c r="DI184" s="128">
        <f>IFERROR(AW184*$V184,)</f>
        <v/>
      </c>
      <c r="DJ184" s="128">
        <f>IFERROR(AX184*$V184,)</f>
        <v/>
      </c>
      <c r="DK184" s="128">
        <f>IFERROR(AY184*$V184,)</f>
        <v/>
      </c>
      <c r="DL184" s="128">
        <f>IFERROR(AZ184*$V184,)</f>
        <v/>
      </c>
      <c r="DM184" s="129">
        <f>IFERROR(if($X184=0,($V184/1.2)*BA184,
BA184*$X184),)</f>
        <v/>
      </c>
      <c r="DN184" s="129">
        <f>IFERROR(if($X184=0,($V184/1.2)*BB184,
BB184*$X184),)</f>
        <v/>
      </c>
      <c r="DO184" s="129">
        <f>IFERROR(if($X184=0,($V184/1.2)*BC184,
BC184*$X184),)</f>
        <v/>
      </c>
      <c r="DP184" s="130">
        <f>IFERROR(if($Z184=0,($V184/1.35)*BD184,
BD184*$Z184),)</f>
        <v/>
      </c>
      <c r="DQ184" s="130">
        <f>IFERROR(if($Z184=0,($V184/1.35)*BE184,
BE184*$Z184),)</f>
        <v/>
      </c>
      <c r="DR184" s="130">
        <f>IFERROR(if($Z184=0,($V184/1.35)*BF184,
BF184*$Z184),)</f>
        <v/>
      </c>
      <c r="DS184" s="128">
        <f>IFERROR(IF($AB184=0,($V184/0.74)*BG184,
BG184*$AB184),)</f>
        <v/>
      </c>
      <c r="DT184" s="128">
        <f>IFERROR(IF($AB184=0,($V184/0.74)*BH184,
BH184*$AB184),)</f>
        <v/>
      </c>
      <c r="DU184" s="128">
        <f>IFERROR(IF($AB184=0,($V184/0.74)*BI184,
BI184*$AB184),)</f>
        <v/>
      </c>
    </row>
    <row r="185" ht="131.25" customHeight="1" s="162">
      <c r="A185" s="115" t="n"/>
      <c r="B185" s="115" t="n"/>
      <c r="C185" s="115" t="n"/>
      <c r="D185" s="115" t="n"/>
      <c r="E185" s="115" t="n"/>
      <c r="F185" s="115" t="n"/>
      <c r="G185" s="115" t="n"/>
      <c r="H185" s="115" t="n"/>
      <c r="I185" s="115" t="n"/>
      <c r="J185" s="115" t="n"/>
      <c r="K185" s="115" t="n"/>
      <c r="L185" s="115" t="n"/>
      <c r="M185" s="115" t="n"/>
      <c r="N185" s="115" t="n"/>
      <c r="O185" s="115" t="n"/>
      <c r="P185" s="115" t="n"/>
      <c r="Q185" s="115" t="n"/>
      <c r="R185" s="115" t="n"/>
      <c r="S185" s="115" t="n"/>
      <c r="T185" s="115" t="n"/>
      <c r="U185" s="116" t="n"/>
      <c r="V185" s="116" t="n"/>
      <c r="W185" s="117" t="n"/>
      <c r="X185" s="118" t="n"/>
      <c r="Y185" s="119" t="n"/>
      <c r="Z185" s="120" t="n"/>
      <c r="AA185" s="121" t="n"/>
      <c r="AB185" s="122" t="n"/>
      <c r="AC185" s="117" t="n"/>
      <c r="AD185" s="123">
        <f>IF(SUM($AE185:$AH185)=0,"",SUM($AE185:$AH185))</f>
        <v/>
      </c>
      <c r="AE185" s="123">
        <f>iferror(IF(SUM($AI185:$AZ185)=0,"",SUM($AI185:$AZ185)),"")</f>
        <v/>
      </c>
      <c r="AF185" s="123">
        <f>iferror(IF(SUM($BA185:$BC185)=0,"",SUM($BA185:$BC185)),"")</f>
        <v/>
      </c>
      <c r="AG185" s="123">
        <f>iferror(IF(SUM($BD185:$BF185)=0,"",SUM($BD185:$BF185)),"")</f>
        <v/>
      </c>
      <c r="AH185" s="124">
        <f>iferror(IF(SUM($BG185:$BI185)=0,"",SUM($BG185:$BI185)),"")</f>
        <v/>
      </c>
      <c r="AI185" s="131" t="n"/>
      <c r="AJ185" s="132" t="n"/>
      <c r="AK185" s="132" t="n"/>
      <c r="AL185" s="132" t="n"/>
      <c r="AM185" s="132" t="n"/>
      <c r="AN185" s="132" t="n"/>
      <c r="AO185" s="132" t="n"/>
      <c r="AP185" s="132" t="n"/>
      <c r="AQ185" s="132" t="n"/>
      <c r="AR185" s="132" t="n"/>
      <c r="AS185" s="132" t="n"/>
      <c r="AT185" s="132" t="n"/>
      <c r="AU185" s="132" t="n"/>
      <c r="AV185" s="132" t="n"/>
      <c r="AW185" s="132" t="n"/>
      <c r="AX185" s="132" t="n"/>
      <c r="AY185" s="132" t="n"/>
      <c r="AZ185" s="133" t="n"/>
      <c r="BA185" s="131" t="n"/>
      <c r="BB185" s="132" t="n"/>
      <c r="BC185" s="133" t="n"/>
      <c r="BD185" s="131" t="n"/>
      <c r="BE185" s="132" t="n"/>
      <c r="BF185" s="133" t="n"/>
      <c r="BG185" s="131" t="n"/>
      <c r="BH185" s="132" t="n"/>
      <c r="BI185" s="132" t="n"/>
      <c r="BJ185" s="128">
        <f>iferror(SUM($BK185,($BL185*1.2),($BM185*1.35),($BN185*0.74)),)</f>
        <v/>
      </c>
      <c r="BK185" s="128">
        <f>IFERROR(SUM($BT185:$CK185),)</f>
        <v/>
      </c>
      <c r="BL185" s="129">
        <f>IFERROR(SUM($CL185:$CN185),)</f>
        <v/>
      </c>
      <c r="BM185" s="130">
        <f>IFERROR(SUM($CO185:$CQ185),)</f>
        <v/>
      </c>
      <c r="BN185" s="128">
        <f>IFERROR(SUM($CR185:$CT185),)</f>
        <v/>
      </c>
      <c r="BO185" s="128">
        <f>iferror(SUM($BP185,($BQ185*1.2),($BR185*1.35),($BS185*0.74)),)</f>
        <v/>
      </c>
      <c r="BP185" s="128">
        <f>IFERROR(SUM($CU185:$DL185),)</f>
        <v/>
      </c>
      <c r="BQ185" s="128">
        <f>IFERROR(SUM($DM185:$DO185),)</f>
        <v/>
      </c>
      <c r="BR185" s="128">
        <f>IFERROR(SUM($DP185:$DR185),)</f>
        <v/>
      </c>
      <c r="BS185" s="128">
        <f>IFERROR(SUM($DS185:$DU185),)</f>
        <v/>
      </c>
      <c r="BT185" s="128">
        <f>IFERROR(AI185*$W185,)</f>
        <v/>
      </c>
      <c r="BU185" s="128">
        <f>IFERROR(AJ185*$W185,)</f>
        <v/>
      </c>
      <c r="BV185" s="128">
        <f>IFERROR(AK185*$W185,)</f>
        <v/>
      </c>
      <c r="BW185" s="128">
        <f>IFERROR(AL185*$W185,)</f>
        <v/>
      </c>
      <c r="BX185" s="128">
        <f>IFERROR(AM185*$W185,)</f>
        <v/>
      </c>
      <c r="BY185" s="128">
        <f>IFERROR(AN185*$W185,)</f>
        <v/>
      </c>
      <c r="BZ185" s="128">
        <f>IFERROR(AO185*$W185,)</f>
        <v/>
      </c>
      <c r="CA185" s="128">
        <f>IFERROR(AP185*$W185,)</f>
        <v/>
      </c>
      <c r="CB185" s="128">
        <f>IFERROR(AQ185*$W185,)</f>
        <v/>
      </c>
      <c r="CC185" s="128">
        <f>IFERROR(AR185*$W185,)</f>
        <v/>
      </c>
      <c r="CD185" s="128">
        <f>IFERROR(AS185*$W185,)</f>
        <v/>
      </c>
      <c r="CE185" s="128">
        <f>IFERROR(AT185*$W185,)</f>
        <v/>
      </c>
      <c r="CF185" s="128">
        <f>IFERROR(AU185*$W185,)</f>
        <v/>
      </c>
      <c r="CG185" s="128">
        <f>IFERROR(AV185*$W185,)</f>
        <v/>
      </c>
      <c r="CH185" s="128">
        <f>IFERROR(AW185*$W185,)</f>
        <v/>
      </c>
      <c r="CI185" s="128">
        <f>IFERROR(AX185*$W185,)</f>
        <v/>
      </c>
      <c r="CJ185" s="128">
        <f>IFERROR(AY185*$W185,)</f>
        <v/>
      </c>
      <c r="CK185" s="128">
        <f>IFERROR(AZ185*$W185,)</f>
        <v/>
      </c>
      <c r="CL185" s="129">
        <f>IFERROR(if($Y185=0,BA185*($W185/1.2),BA185*$Y185),"")</f>
        <v/>
      </c>
      <c r="CM185" s="129">
        <f>IFERROR(if($Y185=0,BB185*($W185/1.2),BB185*$Y185),"")</f>
        <v/>
      </c>
      <c r="CN185" s="129">
        <f>IFERROR(if($Y185=0,BC185*($W185/1.2),BC185*$Y185),"")</f>
        <v/>
      </c>
      <c r="CO185" s="130">
        <f>IFERROR(if($AA185=0,($W185/1.35)*BD185,BD185*$AA185),)</f>
        <v/>
      </c>
      <c r="CP185" s="130">
        <f>IFERROR(if($AA185=0,($W185/1.35)*BE185,BE185*$AA185),)</f>
        <v/>
      </c>
      <c r="CQ185" s="130">
        <f>IFERROR(if($AA185=0,($W185/1.35)*BF185,BF185*$AA185),)</f>
        <v/>
      </c>
      <c r="CR185" s="128">
        <f>IFERROR(if($AC185=0,($W185/0.74)*BG185,
BG185*$AC185),)</f>
        <v/>
      </c>
      <c r="CS185" s="128">
        <f>IFERROR(if($AC185=0,($W185/0.74)*BH185,
BH185*$AC185),)</f>
        <v/>
      </c>
      <c r="CT185" s="128">
        <f>IFERROR(if($AC185=0,($W185/0.74)*BI185,
BI185*$AC185),)</f>
        <v/>
      </c>
      <c r="CU185" s="128">
        <f>IFERROR(AI185*$V185,)</f>
        <v/>
      </c>
      <c r="CV185" s="128">
        <f>IFERROR(AJ185*$V185,)</f>
        <v/>
      </c>
      <c r="CW185" s="128">
        <f>IFERROR(AK185*$V185,)</f>
        <v/>
      </c>
      <c r="CX185" s="128">
        <f>IFERROR(AL185*$V185,)</f>
        <v/>
      </c>
      <c r="CY185" s="128">
        <f>IFERROR(AM185*$V185,)</f>
        <v/>
      </c>
      <c r="CZ185" s="128">
        <f>IFERROR(AN185*$V185,)</f>
        <v/>
      </c>
      <c r="DA185" s="128">
        <f>IFERROR(AO185*$V185,)</f>
        <v/>
      </c>
      <c r="DB185" s="128">
        <f>IFERROR(AP185*$V185,)</f>
        <v/>
      </c>
      <c r="DC185" s="128">
        <f>IFERROR(AQ185*$V185,)</f>
        <v/>
      </c>
      <c r="DD185" s="128">
        <f>IFERROR(AR185*$V185,)</f>
        <v/>
      </c>
      <c r="DE185" s="128">
        <f>IFERROR(AS185*$V185,)</f>
        <v/>
      </c>
      <c r="DF185" s="128">
        <f>IFERROR(AT185*$V185,)</f>
        <v/>
      </c>
      <c r="DG185" s="128">
        <f>IFERROR(AU185*$V185,)</f>
        <v/>
      </c>
      <c r="DH185" s="128">
        <f>IFERROR(AV185*$V185,)</f>
        <v/>
      </c>
      <c r="DI185" s="128">
        <f>IFERROR(AW185*$V185,)</f>
        <v/>
      </c>
      <c r="DJ185" s="128">
        <f>IFERROR(AX185*$V185,)</f>
        <v/>
      </c>
      <c r="DK185" s="128">
        <f>IFERROR(AY185*$V185,)</f>
        <v/>
      </c>
      <c r="DL185" s="128">
        <f>IFERROR(AZ185*$V185,)</f>
        <v/>
      </c>
      <c r="DM185" s="129">
        <f>IFERROR(if($X185=0,($V185/1.2)*BA185,
BA185*$X185),)</f>
        <v/>
      </c>
      <c r="DN185" s="129">
        <f>IFERROR(if($X185=0,($V185/1.2)*BB185,
BB185*$X185),)</f>
        <v/>
      </c>
      <c r="DO185" s="129">
        <f>IFERROR(if($X185=0,($V185/1.2)*BC185,
BC185*$X185),)</f>
        <v/>
      </c>
      <c r="DP185" s="130">
        <f>IFERROR(if($Z185=0,($V185/1.35)*BD185,
BD185*$Z185),)</f>
        <v/>
      </c>
      <c r="DQ185" s="130">
        <f>IFERROR(if($Z185=0,($V185/1.35)*BE185,
BE185*$Z185),)</f>
        <v/>
      </c>
      <c r="DR185" s="130">
        <f>IFERROR(if($Z185=0,($V185/1.35)*BF185,
BF185*$Z185),)</f>
        <v/>
      </c>
      <c r="DS185" s="128">
        <f>IFERROR(IF($AB185=0,($V185/0.74)*BG185,
BG185*$AB185),)</f>
        <v/>
      </c>
      <c r="DT185" s="128">
        <f>IFERROR(IF($AB185=0,($V185/0.74)*BH185,
BH185*$AB185),)</f>
        <v/>
      </c>
      <c r="DU185" s="128">
        <f>IFERROR(IF($AB185=0,($V185/0.74)*BI185,
BI185*$AB185),)</f>
        <v/>
      </c>
    </row>
    <row r="186" ht="131.25" customHeight="1" s="162">
      <c r="A186" s="115" t="n"/>
      <c r="B186" s="115" t="n"/>
      <c r="C186" s="115" t="n"/>
      <c r="D186" s="115" t="n"/>
      <c r="E186" s="115" t="n"/>
      <c r="F186" s="115" t="n"/>
      <c r="G186" s="115" t="n"/>
      <c r="H186" s="115" t="n"/>
      <c r="I186" s="115" t="n"/>
      <c r="J186" s="115" t="n"/>
      <c r="K186" s="115" t="n"/>
      <c r="L186" s="115" t="n"/>
      <c r="M186" s="115" t="n"/>
      <c r="N186" s="115" t="n"/>
      <c r="O186" s="115" t="n"/>
      <c r="P186" s="115" t="n"/>
      <c r="Q186" s="115" t="n"/>
      <c r="R186" s="115" t="n"/>
      <c r="S186" s="115" t="n"/>
      <c r="T186" s="115" t="n"/>
      <c r="U186" s="116" t="n"/>
      <c r="V186" s="116" t="n"/>
      <c r="W186" s="117" t="n"/>
      <c r="X186" s="118" t="n"/>
      <c r="Y186" s="119" t="n"/>
      <c r="Z186" s="120" t="n"/>
      <c r="AA186" s="121" t="n"/>
      <c r="AB186" s="122" t="n"/>
      <c r="AC186" s="117" t="n"/>
      <c r="AD186" s="123">
        <f>IF(SUM($AE186:$AH186)=0,"",SUM($AE186:$AH186))</f>
        <v/>
      </c>
      <c r="AE186" s="123">
        <f>iferror(IF(SUM($AI186:$AZ186)=0,"",SUM($AI186:$AZ186)),"")</f>
        <v/>
      </c>
      <c r="AF186" s="123">
        <f>iferror(IF(SUM($BA186:$BC186)=0,"",SUM($BA186:$BC186)),"")</f>
        <v/>
      </c>
      <c r="AG186" s="123">
        <f>iferror(IF(SUM($BD186:$BF186)=0,"",SUM($BD186:$BF186)),"")</f>
        <v/>
      </c>
      <c r="AH186" s="124">
        <f>iferror(IF(SUM($BG186:$BI186)=0,"",SUM($BG186:$BI186)),"")</f>
        <v/>
      </c>
      <c r="AI186" s="131" t="n"/>
      <c r="AJ186" s="132" t="n"/>
      <c r="AK186" s="132" t="n"/>
      <c r="AL186" s="132" t="n"/>
      <c r="AM186" s="132" t="n"/>
      <c r="AN186" s="132" t="n"/>
      <c r="AO186" s="132" t="n"/>
      <c r="AP186" s="132" t="n"/>
      <c r="AQ186" s="132" t="n"/>
      <c r="AR186" s="132" t="n"/>
      <c r="AS186" s="132" t="n"/>
      <c r="AT186" s="132" t="n"/>
      <c r="AU186" s="132" t="n"/>
      <c r="AV186" s="132" t="n"/>
      <c r="AW186" s="132" t="n"/>
      <c r="AX186" s="132" t="n"/>
      <c r="AY186" s="132" t="n"/>
      <c r="AZ186" s="133" t="n"/>
      <c r="BA186" s="131" t="n"/>
      <c r="BB186" s="132" t="n"/>
      <c r="BC186" s="133" t="n"/>
      <c r="BD186" s="131" t="n"/>
      <c r="BE186" s="132" t="n"/>
      <c r="BF186" s="133" t="n"/>
      <c r="BG186" s="131" t="n"/>
      <c r="BH186" s="132" t="n"/>
      <c r="BI186" s="132" t="n"/>
      <c r="BJ186" s="128">
        <f>iferror(SUM($BK186,($BL186*1.2),($BM186*1.35),($BN186*0.74)),)</f>
        <v/>
      </c>
      <c r="BK186" s="128">
        <f>IFERROR(SUM($BT186:$CK186),)</f>
        <v/>
      </c>
      <c r="BL186" s="129">
        <f>IFERROR(SUM($CL186:$CN186),)</f>
        <v/>
      </c>
      <c r="BM186" s="130">
        <f>IFERROR(SUM($CO186:$CQ186),)</f>
        <v/>
      </c>
      <c r="BN186" s="128">
        <f>IFERROR(SUM($CR186:$CT186),)</f>
        <v/>
      </c>
      <c r="BO186" s="128">
        <f>iferror(SUM($BP186,($BQ186*1.2),($BR186*1.35),($BS186*0.74)),)</f>
        <v/>
      </c>
      <c r="BP186" s="128">
        <f>IFERROR(SUM($CU186:$DL186),)</f>
        <v/>
      </c>
      <c r="BQ186" s="128">
        <f>IFERROR(SUM($DM186:$DO186),)</f>
        <v/>
      </c>
      <c r="BR186" s="128">
        <f>IFERROR(SUM($DP186:$DR186),)</f>
        <v/>
      </c>
      <c r="BS186" s="128">
        <f>IFERROR(SUM($DS186:$DU186),)</f>
        <v/>
      </c>
      <c r="BT186" s="128">
        <f>IFERROR(AI186*$W186,)</f>
        <v/>
      </c>
      <c r="BU186" s="128">
        <f>IFERROR(AJ186*$W186,)</f>
        <v/>
      </c>
      <c r="BV186" s="128">
        <f>IFERROR(AK186*$W186,)</f>
        <v/>
      </c>
      <c r="BW186" s="128">
        <f>IFERROR(AL186*$W186,)</f>
        <v/>
      </c>
      <c r="BX186" s="128">
        <f>IFERROR(AM186*$W186,)</f>
        <v/>
      </c>
      <c r="BY186" s="128">
        <f>IFERROR(AN186*$W186,)</f>
        <v/>
      </c>
      <c r="BZ186" s="128">
        <f>IFERROR(AO186*$W186,)</f>
        <v/>
      </c>
      <c r="CA186" s="128">
        <f>IFERROR(AP186*$W186,)</f>
        <v/>
      </c>
      <c r="CB186" s="128">
        <f>IFERROR(AQ186*$W186,)</f>
        <v/>
      </c>
      <c r="CC186" s="128">
        <f>IFERROR(AR186*$W186,)</f>
        <v/>
      </c>
      <c r="CD186" s="128">
        <f>IFERROR(AS186*$W186,)</f>
        <v/>
      </c>
      <c r="CE186" s="128">
        <f>IFERROR(AT186*$W186,)</f>
        <v/>
      </c>
      <c r="CF186" s="128">
        <f>IFERROR(AU186*$W186,)</f>
        <v/>
      </c>
      <c r="CG186" s="128">
        <f>IFERROR(AV186*$W186,)</f>
        <v/>
      </c>
      <c r="CH186" s="128">
        <f>IFERROR(AW186*$W186,)</f>
        <v/>
      </c>
      <c r="CI186" s="128">
        <f>IFERROR(AX186*$W186,)</f>
        <v/>
      </c>
      <c r="CJ186" s="128">
        <f>IFERROR(AY186*$W186,)</f>
        <v/>
      </c>
      <c r="CK186" s="128">
        <f>IFERROR(AZ186*$W186,)</f>
        <v/>
      </c>
      <c r="CL186" s="129">
        <f>IFERROR(if($Y186=0,BA186*($W186/1.2),BA186*$Y186),"")</f>
        <v/>
      </c>
      <c r="CM186" s="129">
        <f>IFERROR(if($Y186=0,BB186*($W186/1.2),BB186*$Y186),"")</f>
        <v/>
      </c>
      <c r="CN186" s="129">
        <f>IFERROR(if($Y186=0,BC186*($W186/1.2),BC186*$Y186),"")</f>
        <v/>
      </c>
      <c r="CO186" s="130">
        <f>IFERROR(if($AA186=0,($W186/1.35)*BD186,BD186*$AA186),)</f>
        <v/>
      </c>
      <c r="CP186" s="130">
        <f>IFERROR(if($AA186=0,($W186/1.35)*BE186,BE186*$AA186),)</f>
        <v/>
      </c>
      <c r="CQ186" s="130">
        <f>IFERROR(if($AA186=0,($W186/1.35)*BF186,BF186*$AA186),)</f>
        <v/>
      </c>
      <c r="CR186" s="128">
        <f>IFERROR(if($AC186=0,($W186/0.74)*BG186,
BG186*$AC186),)</f>
        <v/>
      </c>
      <c r="CS186" s="128">
        <f>IFERROR(if($AC186=0,($W186/0.74)*BH186,
BH186*$AC186),)</f>
        <v/>
      </c>
      <c r="CT186" s="128">
        <f>IFERROR(if($AC186=0,($W186/0.74)*BI186,
BI186*$AC186),)</f>
        <v/>
      </c>
      <c r="CU186" s="128">
        <f>IFERROR(AI186*$V186,)</f>
        <v/>
      </c>
      <c r="CV186" s="128">
        <f>IFERROR(AJ186*$V186,)</f>
        <v/>
      </c>
      <c r="CW186" s="128">
        <f>IFERROR(AK186*$V186,)</f>
        <v/>
      </c>
      <c r="CX186" s="128">
        <f>IFERROR(AL186*$V186,)</f>
        <v/>
      </c>
      <c r="CY186" s="128">
        <f>IFERROR(AM186*$V186,)</f>
        <v/>
      </c>
      <c r="CZ186" s="128">
        <f>IFERROR(AN186*$V186,)</f>
        <v/>
      </c>
      <c r="DA186" s="128">
        <f>IFERROR(AO186*$V186,)</f>
        <v/>
      </c>
      <c r="DB186" s="128">
        <f>IFERROR(AP186*$V186,)</f>
        <v/>
      </c>
      <c r="DC186" s="128">
        <f>IFERROR(AQ186*$V186,)</f>
        <v/>
      </c>
      <c r="DD186" s="128">
        <f>IFERROR(AR186*$V186,)</f>
        <v/>
      </c>
      <c r="DE186" s="128">
        <f>IFERROR(AS186*$V186,)</f>
        <v/>
      </c>
      <c r="DF186" s="128">
        <f>IFERROR(AT186*$V186,)</f>
        <v/>
      </c>
      <c r="DG186" s="128">
        <f>IFERROR(AU186*$V186,)</f>
        <v/>
      </c>
      <c r="DH186" s="128">
        <f>IFERROR(AV186*$V186,)</f>
        <v/>
      </c>
      <c r="DI186" s="128">
        <f>IFERROR(AW186*$V186,)</f>
        <v/>
      </c>
      <c r="DJ186" s="128">
        <f>IFERROR(AX186*$V186,)</f>
        <v/>
      </c>
      <c r="DK186" s="128">
        <f>IFERROR(AY186*$V186,)</f>
        <v/>
      </c>
      <c r="DL186" s="128">
        <f>IFERROR(AZ186*$V186,)</f>
        <v/>
      </c>
      <c r="DM186" s="129">
        <f>IFERROR(if($X186=0,($V186/1.2)*BA186,
BA186*$X186),)</f>
        <v/>
      </c>
      <c r="DN186" s="129">
        <f>IFERROR(if($X186=0,($V186/1.2)*BB186,
BB186*$X186),)</f>
        <v/>
      </c>
      <c r="DO186" s="129">
        <f>IFERROR(if($X186=0,($V186/1.2)*BC186,
BC186*$X186),)</f>
        <v/>
      </c>
      <c r="DP186" s="130">
        <f>IFERROR(if($Z186=0,($V186/1.35)*BD186,
BD186*$Z186),)</f>
        <v/>
      </c>
      <c r="DQ186" s="130">
        <f>IFERROR(if($Z186=0,($V186/1.35)*BE186,
BE186*$Z186),)</f>
        <v/>
      </c>
      <c r="DR186" s="130">
        <f>IFERROR(if($Z186=0,($V186/1.35)*BF186,
BF186*$Z186),)</f>
        <v/>
      </c>
      <c r="DS186" s="128">
        <f>IFERROR(IF($AB186=0,($V186/0.74)*BG186,
BG186*$AB186),)</f>
        <v/>
      </c>
      <c r="DT186" s="128">
        <f>IFERROR(IF($AB186=0,($V186/0.74)*BH186,
BH186*$AB186),)</f>
        <v/>
      </c>
      <c r="DU186" s="128">
        <f>IFERROR(IF($AB186=0,($V186/0.74)*BI186,
BI186*$AB186),)</f>
        <v/>
      </c>
    </row>
    <row r="187" ht="131.25" customHeight="1" s="162">
      <c r="A187" s="115" t="n"/>
      <c r="B187" s="115" t="n"/>
      <c r="C187" s="115" t="n"/>
      <c r="D187" s="115" t="n"/>
      <c r="E187" s="115" t="n"/>
      <c r="F187" s="115" t="n"/>
      <c r="G187" s="115" t="n"/>
      <c r="H187" s="115" t="n"/>
      <c r="I187" s="115" t="n"/>
      <c r="J187" s="115" t="n"/>
      <c r="K187" s="115" t="n"/>
      <c r="L187" s="115" t="n"/>
      <c r="M187" s="115" t="n"/>
      <c r="N187" s="115" t="n"/>
      <c r="O187" s="115" t="n"/>
      <c r="P187" s="115" t="n"/>
      <c r="Q187" s="115" t="n"/>
      <c r="R187" s="115" t="n"/>
      <c r="S187" s="115" t="n"/>
      <c r="T187" s="115" t="n"/>
      <c r="U187" s="116" t="n"/>
      <c r="V187" s="116" t="n"/>
      <c r="W187" s="117" t="n"/>
      <c r="X187" s="118" t="n"/>
      <c r="Y187" s="119" t="n"/>
      <c r="Z187" s="120" t="n"/>
      <c r="AA187" s="121" t="n"/>
      <c r="AB187" s="122" t="n"/>
      <c r="AC187" s="117" t="n"/>
      <c r="AD187" s="123">
        <f>IF(SUM($AE187:$AH187)=0,"",SUM($AE187:$AH187))</f>
        <v/>
      </c>
      <c r="AE187" s="123">
        <f>iferror(IF(SUM($AI187:$AZ187)=0,"",SUM($AI187:$AZ187)),"")</f>
        <v/>
      </c>
      <c r="AF187" s="123">
        <f>iferror(IF(SUM($BA187:$BC187)=0,"",SUM($BA187:$BC187)),"")</f>
        <v/>
      </c>
      <c r="AG187" s="123">
        <f>iferror(IF(SUM($BD187:$BF187)=0,"",SUM($BD187:$BF187)),"")</f>
        <v/>
      </c>
      <c r="AH187" s="124">
        <f>iferror(IF(SUM($BG187:$BI187)=0,"",SUM($BG187:$BI187)),"")</f>
        <v/>
      </c>
      <c r="AI187" s="131" t="n"/>
      <c r="AJ187" s="132" t="n"/>
      <c r="AK187" s="132" t="n"/>
      <c r="AL187" s="132" t="n"/>
      <c r="AM187" s="132" t="n"/>
      <c r="AN187" s="132" t="n"/>
      <c r="AO187" s="132" t="n"/>
      <c r="AP187" s="132" t="n"/>
      <c r="AQ187" s="132" t="n"/>
      <c r="AR187" s="132" t="n"/>
      <c r="AS187" s="132" t="n"/>
      <c r="AT187" s="132" t="n"/>
      <c r="AU187" s="132" t="n"/>
      <c r="AV187" s="132" t="n"/>
      <c r="AW187" s="132" t="n"/>
      <c r="AX187" s="132" t="n"/>
      <c r="AY187" s="132" t="n"/>
      <c r="AZ187" s="133" t="n"/>
      <c r="BA187" s="131" t="n"/>
      <c r="BB187" s="132" t="n"/>
      <c r="BC187" s="133" t="n"/>
      <c r="BD187" s="131" t="n"/>
      <c r="BE187" s="132" t="n"/>
      <c r="BF187" s="133" t="n"/>
      <c r="BG187" s="131" t="n"/>
      <c r="BH187" s="132" t="n"/>
      <c r="BI187" s="132" t="n"/>
      <c r="BJ187" s="128">
        <f>iferror(SUM($BK187,($BL187*1.2),($BM187*1.35),($BN187*0.74)),)</f>
        <v/>
      </c>
      <c r="BK187" s="128">
        <f>IFERROR(SUM($BT187:$CK187),)</f>
        <v/>
      </c>
      <c r="BL187" s="129">
        <f>IFERROR(SUM($CL187:$CN187),)</f>
        <v/>
      </c>
      <c r="BM187" s="130">
        <f>IFERROR(SUM($CO187:$CQ187),)</f>
        <v/>
      </c>
      <c r="BN187" s="128">
        <f>IFERROR(SUM($CR187:$CT187),)</f>
        <v/>
      </c>
      <c r="BO187" s="128">
        <f>iferror(SUM($BP187,($BQ187*1.2),($BR187*1.35),($BS187*0.74)),)</f>
        <v/>
      </c>
      <c r="BP187" s="128">
        <f>IFERROR(SUM($CU187:$DL187),)</f>
        <v/>
      </c>
      <c r="BQ187" s="128">
        <f>IFERROR(SUM($DM187:$DO187),)</f>
        <v/>
      </c>
      <c r="BR187" s="128">
        <f>IFERROR(SUM($DP187:$DR187),)</f>
        <v/>
      </c>
      <c r="BS187" s="128">
        <f>IFERROR(SUM($DS187:$DU187),)</f>
        <v/>
      </c>
      <c r="BT187" s="128">
        <f>IFERROR(AI187*$W187,)</f>
        <v/>
      </c>
      <c r="BU187" s="128">
        <f>IFERROR(AJ187*$W187,)</f>
        <v/>
      </c>
      <c r="BV187" s="128">
        <f>IFERROR(AK187*$W187,)</f>
        <v/>
      </c>
      <c r="BW187" s="128">
        <f>IFERROR(AL187*$W187,)</f>
        <v/>
      </c>
      <c r="BX187" s="128">
        <f>IFERROR(AM187*$W187,)</f>
        <v/>
      </c>
      <c r="BY187" s="128">
        <f>IFERROR(AN187*$W187,)</f>
        <v/>
      </c>
      <c r="BZ187" s="128">
        <f>IFERROR(AO187*$W187,)</f>
        <v/>
      </c>
      <c r="CA187" s="128">
        <f>IFERROR(AP187*$W187,)</f>
        <v/>
      </c>
      <c r="CB187" s="128">
        <f>IFERROR(AQ187*$W187,)</f>
        <v/>
      </c>
      <c r="CC187" s="128">
        <f>IFERROR(AR187*$W187,)</f>
        <v/>
      </c>
      <c r="CD187" s="128">
        <f>IFERROR(AS187*$W187,)</f>
        <v/>
      </c>
      <c r="CE187" s="128">
        <f>IFERROR(AT187*$W187,)</f>
        <v/>
      </c>
      <c r="CF187" s="128">
        <f>IFERROR(AU187*$W187,)</f>
        <v/>
      </c>
      <c r="CG187" s="128">
        <f>IFERROR(AV187*$W187,)</f>
        <v/>
      </c>
      <c r="CH187" s="128">
        <f>IFERROR(AW187*$W187,)</f>
        <v/>
      </c>
      <c r="CI187" s="128">
        <f>IFERROR(AX187*$W187,)</f>
        <v/>
      </c>
      <c r="CJ187" s="128">
        <f>IFERROR(AY187*$W187,)</f>
        <v/>
      </c>
      <c r="CK187" s="128">
        <f>IFERROR(AZ187*$W187,)</f>
        <v/>
      </c>
      <c r="CL187" s="129">
        <f>IFERROR(if($Y187=0,BA187*($W187/1.2),BA187*$Y187),"")</f>
        <v/>
      </c>
      <c r="CM187" s="129">
        <f>IFERROR(if($Y187=0,BB187*($W187/1.2),BB187*$Y187),"")</f>
        <v/>
      </c>
      <c r="CN187" s="129">
        <f>IFERROR(if($Y187=0,BC187*($W187/1.2),BC187*$Y187),"")</f>
        <v/>
      </c>
      <c r="CO187" s="130">
        <f>IFERROR(if($AA187=0,($W187/1.35)*BD187,BD187*$AA187),)</f>
        <v/>
      </c>
      <c r="CP187" s="130">
        <f>IFERROR(if($AA187=0,($W187/1.35)*BE187,BE187*$AA187),)</f>
        <v/>
      </c>
      <c r="CQ187" s="130">
        <f>IFERROR(if($AA187=0,($W187/1.35)*BF187,BF187*$AA187),)</f>
        <v/>
      </c>
      <c r="CR187" s="128">
        <f>IFERROR(if($AC187=0,($W187/0.74)*BG187,
BG187*$AC187),)</f>
        <v/>
      </c>
      <c r="CS187" s="128">
        <f>IFERROR(if($AC187=0,($W187/0.74)*BH187,
BH187*$AC187),)</f>
        <v/>
      </c>
      <c r="CT187" s="128">
        <f>IFERROR(if($AC187=0,($W187/0.74)*BI187,
BI187*$AC187),)</f>
        <v/>
      </c>
      <c r="CU187" s="128">
        <f>IFERROR(AI187*$V187,)</f>
        <v/>
      </c>
      <c r="CV187" s="128">
        <f>IFERROR(AJ187*$V187,)</f>
        <v/>
      </c>
      <c r="CW187" s="128">
        <f>IFERROR(AK187*$V187,)</f>
        <v/>
      </c>
      <c r="CX187" s="128">
        <f>IFERROR(AL187*$V187,)</f>
        <v/>
      </c>
      <c r="CY187" s="128">
        <f>IFERROR(AM187*$V187,)</f>
        <v/>
      </c>
      <c r="CZ187" s="128">
        <f>IFERROR(AN187*$V187,)</f>
        <v/>
      </c>
      <c r="DA187" s="128">
        <f>IFERROR(AO187*$V187,)</f>
        <v/>
      </c>
      <c r="DB187" s="128">
        <f>IFERROR(AP187*$V187,)</f>
        <v/>
      </c>
      <c r="DC187" s="128">
        <f>IFERROR(AQ187*$V187,)</f>
        <v/>
      </c>
      <c r="DD187" s="128">
        <f>IFERROR(AR187*$V187,)</f>
        <v/>
      </c>
      <c r="DE187" s="128">
        <f>IFERROR(AS187*$V187,)</f>
        <v/>
      </c>
      <c r="DF187" s="128">
        <f>IFERROR(AT187*$V187,)</f>
        <v/>
      </c>
      <c r="DG187" s="128">
        <f>IFERROR(AU187*$V187,)</f>
        <v/>
      </c>
      <c r="DH187" s="128">
        <f>IFERROR(AV187*$V187,)</f>
        <v/>
      </c>
      <c r="DI187" s="128">
        <f>IFERROR(AW187*$V187,)</f>
        <v/>
      </c>
      <c r="DJ187" s="128">
        <f>IFERROR(AX187*$V187,)</f>
        <v/>
      </c>
      <c r="DK187" s="128">
        <f>IFERROR(AY187*$V187,)</f>
        <v/>
      </c>
      <c r="DL187" s="128">
        <f>IFERROR(AZ187*$V187,)</f>
        <v/>
      </c>
      <c r="DM187" s="129">
        <f>IFERROR(if($X187=0,($V187/1.2)*BA187,
BA187*$X187),)</f>
        <v/>
      </c>
      <c r="DN187" s="129">
        <f>IFERROR(if($X187=0,($V187/1.2)*BB187,
BB187*$X187),)</f>
        <v/>
      </c>
      <c r="DO187" s="129">
        <f>IFERROR(if($X187=0,($V187/1.2)*BC187,
BC187*$X187),)</f>
        <v/>
      </c>
      <c r="DP187" s="130">
        <f>IFERROR(if($Z187=0,($V187/1.35)*BD187,
BD187*$Z187),)</f>
        <v/>
      </c>
      <c r="DQ187" s="130">
        <f>IFERROR(if($Z187=0,($V187/1.35)*BE187,
BE187*$Z187),)</f>
        <v/>
      </c>
      <c r="DR187" s="130">
        <f>IFERROR(if($Z187=0,($V187/1.35)*BF187,
BF187*$Z187),)</f>
        <v/>
      </c>
      <c r="DS187" s="128">
        <f>IFERROR(IF($AB187=0,($V187/0.74)*BG187,
BG187*$AB187),)</f>
        <v/>
      </c>
      <c r="DT187" s="128">
        <f>IFERROR(IF($AB187=0,($V187/0.74)*BH187,
BH187*$AB187),)</f>
        <v/>
      </c>
      <c r="DU187" s="128">
        <f>IFERROR(IF($AB187=0,($V187/0.74)*BI187,
BI187*$AB187),)</f>
        <v/>
      </c>
    </row>
    <row r="188" ht="131.25" customHeight="1" s="162">
      <c r="A188" s="115" t="n"/>
      <c r="B188" s="115" t="n"/>
      <c r="C188" s="115" t="n"/>
      <c r="D188" s="115" t="n"/>
      <c r="E188" s="115" t="n"/>
      <c r="F188" s="115" t="n"/>
      <c r="G188" s="115" t="n"/>
      <c r="H188" s="115" t="n"/>
      <c r="I188" s="115" t="n"/>
      <c r="J188" s="115" t="n"/>
      <c r="K188" s="115" t="n"/>
      <c r="L188" s="115" t="n"/>
      <c r="M188" s="115" t="n"/>
      <c r="N188" s="115" t="n"/>
      <c r="O188" s="115" t="n"/>
      <c r="P188" s="115" t="n"/>
      <c r="Q188" s="115" t="n"/>
      <c r="R188" s="115" t="n"/>
      <c r="S188" s="115" t="n"/>
      <c r="T188" s="115" t="n"/>
      <c r="U188" s="116" t="n"/>
      <c r="V188" s="116" t="n"/>
      <c r="W188" s="117" t="n"/>
      <c r="X188" s="118" t="n"/>
      <c r="Y188" s="119" t="n"/>
      <c r="Z188" s="120" t="n"/>
      <c r="AA188" s="121" t="n"/>
      <c r="AB188" s="122" t="n"/>
      <c r="AC188" s="117" t="n"/>
      <c r="AD188" s="123">
        <f>IF(SUM($AE188:$AH188)=0,"",SUM($AE188:$AH188))</f>
        <v/>
      </c>
      <c r="AE188" s="123">
        <f>iferror(IF(SUM($AI188:$AZ188)=0,"",SUM($AI188:$AZ188)),"")</f>
        <v/>
      </c>
      <c r="AF188" s="123">
        <f>iferror(IF(SUM($BA188:$BC188)=0,"",SUM($BA188:$BC188)),"")</f>
        <v/>
      </c>
      <c r="AG188" s="123">
        <f>iferror(IF(SUM($BD188:$BF188)=0,"",SUM($BD188:$BF188)),"")</f>
        <v/>
      </c>
      <c r="AH188" s="124">
        <f>iferror(IF(SUM($BG188:$BI188)=0,"",SUM($BG188:$BI188)),"")</f>
        <v/>
      </c>
      <c r="AI188" s="131" t="n"/>
      <c r="AJ188" s="132" t="n"/>
      <c r="AK188" s="132" t="n"/>
      <c r="AL188" s="132" t="n"/>
      <c r="AM188" s="132" t="n"/>
      <c r="AN188" s="132" t="n"/>
      <c r="AO188" s="132" t="n"/>
      <c r="AP188" s="132" t="n"/>
      <c r="AQ188" s="132" t="n"/>
      <c r="AR188" s="132" t="n"/>
      <c r="AS188" s="132" t="n"/>
      <c r="AT188" s="132" t="n"/>
      <c r="AU188" s="132" t="n"/>
      <c r="AV188" s="132" t="n"/>
      <c r="AW188" s="132" t="n"/>
      <c r="AX188" s="132" t="n"/>
      <c r="AY188" s="132" t="n"/>
      <c r="AZ188" s="133" t="n"/>
      <c r="BA188" s="131" t="n"/>
      <c r="BB188" s="132" t="n"/>
      <c r="BC188" s="133" t="n"/>
      <c r="BD188" s="131" t="n"/>
      <c r="BE188" s="132" t="n"/>
      <c r="BF188" s="133" t="n"/>
      <c r="BG188" s="131" t="n"/>
      <c r="BH188" s="132" t="n"/>
      <c r="BI188" s="132" t="n"/>
      <c r="BJ188" s="128">
        <f>iferror(SUM($BK188,($BL188*1.2),($BM188*1.35),($BN188*0.74)),)</f>
        <v/>
      </c>
      <c r="BK188" s="128">
        <f>IFERROR(SUM($BT188:$CK188),)</f>
        <v/>
      </c>
      <c r="BL188" s="129">
        <f>IFERROR(SUM($CL188:$CN188),)</f>
        <v/>
      </c>
      <c r="BM188" s="130">
        <f>IFERROR(SUM($CO188:$CQ188),)</f>
        <v/>
      </c>
      <c r="BN188" s="128">
        <f>IFERROR(SUM($CR188:$CT188),)</f>
        <v/>
      </c>
      <c r="BO188" s="128">
        <f>iferror(SUM($BP188,($BQ188*1.2),($BR188*1.35),($BS188*0.74)),)</f>
        <v/>
      </c>
      <c r="BP188" s="128">
        <f>IFERROR(SUM($CU188:$DL188),)</f>
        <v/>
      </c>
      <c r="BQ188" s="128">
        <f>IFERROR(SUM($DM188:$DO188),)</f>
        <v/>
      </c>
      <c r="BR188" s="128">
        <f>IFERROR(SUM($DP188:$DR188),)</f>
        <v/>
      </c>
      <c r="BS188" s="128">
        <f>IFERROR(SUM($DS188:$DU188),)</f>
        <v/>
      </c>
      <c r="BT188" s="128">
        <f>IFERROR(AI188*$W188,)</f>
        <v/>
      </c>
      <c r="BU188" s="128">
        <f>IFERROR(AJ188*$W188,)</f>
        <v/>
      </c>
      <c r="BV188" s="128">
        <f>IFERROR(AK188*$W188,)</f>
        <v/>
      </c>
      <c r="BW188" s="128">
        <f>IFERROR(AL188*$W188,)</f>
        <v/>
      </c>
      <c r="BX188" s="128">
        <f>IFERROR(AM188*$W188,)</f>
        <v/>
      </c>
      <c r="BY188" s="128">
        <f>IFERROR(AN188*$W188,)</f>
        <v/>
      </c>
      <c r="BZ188" s="128">
        <f>IFERROR(AO188*$W188,)</f>
        <v/>
      </c>
      <c r="CA188" s="128">
        <f>IFERROR(AP188*$W188,)</f>
        <v/>
      </c>
      <c r="CB188" s="128">
        <f>IFERROR(AQ188*$W188,)</f>
        <v/>
      </c>
      <c r="CC188" s="128">
        <f>IFERROR(AR188*$W188,)</f>
        <v/>
      </c>
      <c r="CD188" s="128">
        <f>IFERROR(AS188*$W188,)</f>
        <v/>
      </c>
      <c r="CE188" s="128">
        <f>IFERROR(AT188*$W188,)</f>
        <v/>
      </c>
      <c r="CF188" s="128">
        <f>IFERROR(AU188*$W188,)</f>
        <v/>
      </c>
      <c r="CG188" s="128">
        <f>IFERROR(AV188*$W188,)</f>
        <v/>
      </c>
      <c r="CH188" s="128">
        <f>IFERROR(AW188*$W188,)</f>
        <v/>
      </c>
      <c r="CI188" s="128">
        <f>IFERROR(AX188*$W188,)</f>
        <v/>
      </c>
      <c r="CJ188" s="128">
        <f>IFERROR(AY188*$W188,)</f>
        <v/>
      </c>
      <c r="CK188" s="128">
        <f>IFERROR(AZ188*$W188,)</f>
        <v/>
      </c>
      <c r="CL188" s="129">
        <f>IFERROR(if($Y188=0,BA188*($W188/1.2),BA188*$Y188),"")</f>
        <v/>
      </c>
      <c r="CM188" s="129">
        <f>IFERROR(if($Y188=0,BB188*($W188/1.2),BB188*$Y188),"")</f>
        <v/>
      </c>
      <c r="CN188" s="129">
        <f>IFERROR(if($Y188=0,BC188*($W188/1.2),BC188*$Y188),"")</f>
        <v/>
      </c>
      <c r="CO188" s="130">
        <f>IFERROR(if($AA188=0,($W188/1.35)*BD188,BD188*$AA188),)</f>
        <v/>
      </c>
      <c r="CP188" s="130">
        <f>IFERROR(if($AA188=0,($W188/1.35)*BE188,BE188*$AA188),)</f>
        <v/>
      </c>
      <c r="CQ188" s="130">
        <f>IFERROR(if($AA188=0,($W188/1.35)*BF188,BF188*$AA188),)</f>
        <v/>
      </c>
      <c r="CR188" s="128">
        <f>IFERROR(if($AC188=0,($W188/0.74)*BG188,
BG188*$AC188),)</f>
        <v/>
      </c>
      <c r="CS188" s="128">
        <f>IFERROR(if($AC188=0,($W188/0.74)*BH188,
BH188*$AC188),)</f>
        <v/>
      </c>
      <c r="CT188" s="128">
        <f>IFERROR(if($AC188=0,($W188/0.74)*BI188,
BI188*$AC188),)</f>
        <v/>
      </c>
      <c r="CU188" s="128">
        <f>IFERROR(AI188*$V188,)</f>
        <v/>
      </c>
      <c r="CV188" s="128">
        <f>IFERROR(AJ188*$V188,)</f>
        <v/>
      </c>
      <c r="CW188" s="128">
        <f>IFERROR(AK188*$V188,)</f>
        <v/>
      </c>
      <c r="CX188" s="128">
        <f>IFERROR(AL188*$V188,)</f>
        <v/>
      </c>
      <c r="CY188" s="128">
        <f>IFERROR(AM188*$V188,)</f>
        <v/>
      </c>
      <c r="CZ188" s="128">
        <f>IFERROR(AN188*$V188,)</f>
        <v/>
      </c>
      <c r="DA188" s="128">
        <f>IFERROR(AO188*$V188,)</f>
        <v/>
      </c>
      <c r="DB188" s="128">
        <f>IFERROR(AP188*$V188,)</f>
        <v/>
      </c>
      <c r="DC188" s="128">
        <f>IFERROR(AQ188*$V188,)</f>
        <v/>
      </c>
      <c r="DD188" s="128">
        <f>IFERROR(AR188*$V188,)</f>
        <v/>
      </c>
      <c r="DE188" s="128">
        <f>IFERROR(AS188*$V188,)</f>
        <v/>
      </c>
      <c r="DF188" s="128">
        <f>IFERROR(AT188*$V188,)</f>
        <v/>
      </c>
      <c r="DG188" s="128">
        <f>IFERROR(AU188*$V188,)</f>
        <v/>
      </c>
      <c r="DH188" s="128">
        <f>IFERROR(AV188*$V188,)</f>
        <v/>
      </c>
      <c r="DI188" s="128">
        <f>IFERROR(AW188*$V188,)</f>
        <v/>
      </c>
      <c r="DJ188" s="128">
        <f>IFERROR(AX188*$V188,)</f>
        <v/>
      </c>
      <c r="DK188" s="128">
        <f>IFERROR(AY188*$V188,)</f>
        <v/>
      </c>
      <c r="DL188" s="128">
        <f>IFERROR(AZ188*$V188,)</f>
        <v/>
      </c>
      <c r="DM188" s="129">
        <f>IFERROR(if($X188=0,($V188/1.2)*BA188,
BA188*$X188),)</f>
        <v/>
      </c>
      <c r="DN188" s="129">
        <f>IFERROR(if($X188=0,($V188/1.2)*BB188,
BB188*$X188),)</f>
        <v/>
      </c>
      <c r="DO188" s="129">
        <f>IFERROR(if($X188=0,($V188/1.2)*BC188,
BC188*$X188),)</f>
        <v/>
      </c>
      <c r="DP188" s="130">
        <f>IFERROR(if($Z188=0,($V188/1.35)*BD188,
BD188*$Z188),)</f>
        <v/>
      </c>
      <c r="DQ188" s="130">
        <f>IFERROR(if($Z188=0,($V188/1.35)*BE188,
BE188*$Z188),)</f>
        <v/>
      </c>
      <c r="DR188" s="130">
        <f>IFERROR(if($Z188=0,($V188/1.35)*BF188,
BF188*$Z188),)</f>
        <v/>
      </c>
      <c r="DS188" s="128">
        <f>IFERROR(IF($AB188=0,($V188/0.74)*BG188,
BG188*$AB188),)</f>
        <v/>
      </c>
      <c r="DT188" s="128">
        <f>IFERROR(IF($AB188=0,($V188/0.74)*BH188,
BH188*$AB188),)</f>
        <v/>
      </c>
      <c r="DU188" s="128">
        <f>IFERROR(IF($AB188=0,($V188/0.74)*BI188,
BI188*$AB188),)</f>
        <v/>
      </c>
    </row>
    <row r="189" ht="131.25" customHeight="1" s="162">
      <c r="A189" s="115" t="n"/>
      <c r="B189" s="115" t="n"/>
      <c r="C189" s="115" t="n"/>
      <c r="D189" s="115" t="n"/>
      <c r="E189" s="115" t="n"/>
      <c r="F189" s="115" t="n"/>
      <c r="G189" s="115" t="n"/>
      <c r="H189" s="115" t="n"/>
      <c r="I189" s="115" t="n"/>
      <c r="J189" s="115" t="n"/>
      <c r="K189" s="115" t="n"/>
      <c r="L189" s="115" t="n"/>
      <c r="M189" s="115" t="n"/>
      <c r="N189" s="115" t="n"/>
      <c r="O189" s="115" t="n"/>
      <c r="P189" s="115" t="n"/>
      <c r="Q189" s="115" t="n"/>
      <c r="R189" s="115" t="n"/>
      <c r="S189" s="115" t="n"/>
      <c r="T189" s="115" t="n"/>
      <c r="U189" s="116" t="n"/>
      <c r="V189" s="116" t="n"/>
      <c r="W189" s="117" t="n"/>
      <c r="X189" s="118" t="n"/>
      <c r="Y189" s="119" t="n"/>
      <c r="Z189" s="120" t="n"/>
      <c r="AA189" s="121" t="n"/>
      <c r="AB189" s="122" t="n"/>
      <c r="AC189" s="117" t="n"/>
      <c r="AD189" s="123">
        <f>IF(SUM($AE189:$AH189)=0,"",SUM($AE189:$AH189))</f>
        <v/>
      </c>
      <c r="AE189" s="123">
        <f>iferror(IF(SUM($AI189:$AZ189)=0,"",SUM($AI189:$AZ189)),"")</f>
        <v/>
      </c>
      <c r="AF189" s="123">
        <f>iferror(IF(SUM($BA189:$BC189)=0,"",SUM($BA189:$BC189)),"")</f>
        <v/>
      </c>
      <c r="AG189" s="123">
        <f>iferror(IF(SUM($BD189:$BF189)=0,"",SUM($BD189:$BF189)),"")</f>
        <v/>
      </c>
      <c r="AH189" s="124">
        <f>iferror(IF(SUM($BG189:$BI189)=0,"",SUM($BG189:$BI189)),"")</f>
        <v/>
      </c>
      <c r="AI189" s="131" t="n"/>
      <c r="AJ189" s="132" t="n"/>
      <c r="AK189" s="132" t="n"/>
      <c r="AL189" s="132" t="n"/>
      <c r="AM189" s="132" t="n"/>
      <c r="AN189" s="132" t="n"/>
      <c r="AO189" s="132" t="n"/>
      <c r="AP189" s="132" t="n"/>
      <c r="AQ189" s="132" t="n"/>
      <c r="AR189" s="132" t="n"/>
      <c r="AS189" s="132" t="n"/>
      <c r="AT189" s="132" t="n"/>
      <c r="AU189" s="132" t="n"/>
      <c r="AV189" s="132" t="n"/>
      <c r="AW189" s="132" t="n"/>
      <c r="AX189" s="132" t="n"/>
      <c r="AY189" s="132" t="n"/>
      <c r="AZ189" s="133" t="n"/>
      <c r="BA189" s="131" t="n"/>
      <c r="BB189" s="132" t="n"/>
      <c r="BC189" s="133" t="n"/>
      <c r="BD189" s="131" t="n"/>
      <c r="BE189" s="132" t="n"/>
      <c r="BF189" s="133" t="n"/>
      <c r="BG189" s="131" t="n"/>
      <c r="BH189" s="132" t="n"/>
      <c r="BI189" s="132" t="n"/>
      <c r="BJ189" s="128">
        <f>iferror(SUM($BK189,($BL189*1.2),($BM189*1.35),($BN189*0.74)),)</f>
        <v/>
      </c>
      <c r="BK189" s="128">
        <f>IFERROR(SUM($BT189:$CK189),)</f>
        <v/>
      </c>
      <c r="BL189" s="129">
        <f>IFERROR(SUM($CL189:$CN189),)</f>
        <v/>
      </c>
      <c r="BM189" s="130">
        <f>IFERROR(SUM($CO189:$CQ189),)</f>
        <v/>
      </c>
      <c r="BN189" s="128">
        <f>IFERROR(SUM($CR189:$CT189),)</f>
        <v/>
      </c>
      <c r="BO189" s="128">
        <f>iferror(SUM($BP189,($BQ189*1.2),($BR189*1.35),($BS189*0.74)),)</f>
        <v/>
      </c>
      <c r="BP189" s="128">
        <f>IFERROR(SUM($CU189:$DL189),)</f>
        <v/>
      </c>
      <c r="BQ189" s="128">
        <f>IFERROR(SUM($DM189:$DO189),)</f>
        <v/>
      </c>
      <c r="BR189" s="128">
        <f>IFERROR(SUM($DP189:$DR189),)</f>
        <v/>
      </c>
      <c r="BS189" s="128">
        <f>IFERROR(SUM($DS189:$DU189),)</f>
        <v/>
      </c>
      <c r="BT189" s="128">
        <f>IFERROR(AI189*$W189,)</f>
        <v/>
      </c>
      <c r="BU189" s="128">
        <f>IFERROR(AJ189*$W189,)</f>
        <v/>
      </c>
      <c r="BV189" s="128">
        <f>IFERROR(AK189*$W189,)</f>
        <v/>
      </c>
      <c r="BW189" s="128">
        <f>IFERROR(AL189*$W189,)</f>
        <v/>
      </c>
      <c r="BX189" s="128">
        <f>IFERROR(AM189*$W189,)</f>
        <v/>
      </c>
      <c r="BY189" s="128">
        <f>IFERROR(AN189*$W189,)</f>
        <v/>
      </c>
      <c r="BZ189" s="128">
        <f>IFERROR(AO189*$W189,)</f>
        <v/>
      </c>
      <c r="CA189" s="128">
        <f>IFERROR(AP189*$W189,)</f>
        <v/>
      </c>
      <c r="CB189" s="128">
        <f>IFERROR(AQ189*$W189,)</f>
        <v/>
      </c>
      <c r="CC189" s="128">
        <f>IFERROR(AR189*$W189,)</f>
        <v/>
      </c>
      <c r="CD189" s="128">
        <f>IFERROR(AS189*$W189,)</f>
        <v/>
      </c>
      <c r="CE189" s="128">
        <f>IFERROR(AT189*$W189,)</f>
        <v/>
      </c>
      <c r="CF189" s="128">
        <f>IFERROR(AU189*$W189,)</f>
        <v/>
      </c>
      <c r="CG189" s="128">
        <f>IFERROR(AV189*$W189,)</f>
        <v/>
      </c>
      <c r="CH189" s="128">
        <f>IFERROR(AW189*$W189,)</f>
        <v/>
      </c>
      <c r="CI189" s="128">
        <f>IFERROR(AX189*$W189,)</f>
        <v/>
      </c>
      <c r="CJ189" s="128">
        <f>IFERROR(AY189*$W189,)</f>
        <v/>
      </c>
      <c r="CK189" s="128">
        <f>IFERROR(AZ189*$W189,)</f>
        <v/>
      </c>
      <c r="CL189" s="129">
        <f>IFERROR(if($Y189=0,BA189*($W189/1.2),BA189*$Y189),"")</f>
        <v/>
      </c>
      <c r="CM189" s="129">
        <f>IFERROR(if($Y189=0,BB189*($W189/1.2),BB189*$Y189),"")</f>
        <v/>
      </c>
      <c r="CN189" s="129">
        <f>IFERROR(if($Y189=0,BC189*($W189/1.2),BC189*$Y189),"")</f>
        <v/>
      </c>
      <c r="CO189" s="130">
        <f>IFERROR(if($AA189=0,($W189/1.35)*BD189,BD189*$AA189),)</f>
        <v/>
      </c>
      <c r="CP189" s="130">
        <f>IFERROR(if($AA189=0,($W189/1.35)*BE189,BE189*$AA189),)</f>
        <v/>
      </c>
      <c r="CQ189" s="130">
        <f>IFERROR(if($AA189=0,($W189/1.35)*BF189,BF189*$AA189),)</f>
        <v/>
      </c>
      <c r="CR189" s="128">
        <f>IFERROR(if($AC189=0,($W189/0.74)*BG189,
BG189*$AC189),)</f>
        <v/>
      </c>
      <c r="CS189" s="128">
        <f>IFERROR(if($AC189=0,($W189/0.74)*BH189,
BH189*$AC189),)</f>
        <v/>
      </c>
      <c r="CT189" s="128">
        <f>IFERROR(if($AC189=0,($W189/0.74)*BI189,
BI189*$AC189),)</f>
        <v/>
      </c>
      <c r="CU189" s="128">
        <f>IFERROR(AI189*$V189,)</f>
        <v/>
      </c>
      <c r="CV189" s="128">
        <f>IFERROR(AJ189*$V189,)</f>
        <v/>
      </c>
      <c r="CW189" s="128">
        <f>IFERROR(AK189*$V189,)</f>
        <v/>
      </c>
      <c r="CX189" s="128">
        <f>IFERROR(AL189*$V189,)</f>
        <v/>
      </c>
      <c r="CY189" s="128">
        <f>IFERROR(AM189*$V189,)</f>
        <v/>
      </c>
      <c r="CZ189" s="128">
        <f>IFERROR(AN189*$V189,)</f>
        <v/>
      </c>
      <c r="DA189" s="128">
        <f>IFERROR(AO189*$V189,)</f>
        <v/>
      </c>
      <c r="DB189" s="128">
        <f>IFERROR(AP189*$V189,)</f>
        <v/>
      </c>
      <c r="DC189" s="128">
        <f>IFERROR(AQ189*$V189,)</f>
        <v/>
      </c>
      <c r="DD189" s="128">
        <f>IFERROR(AR189*$V189,)</f>
        <v/>
      </c>
      <c r="DE189" s="128">
        <f>IFERROR(AS189*$V189,)</f>
        <v/>
      </c>
      <c r="DF189" s="128">
        <f>IFERROR(AT189*$V189,)</f>
        <v/>
      </c>
      <c r="DG189" s="128">
        <f>IFERROR(AU189*$V189,)</f>
        <v/>
      </c>
      <c r="DH189" s="128">
        <f>IFERROR(AV189*$V189,)</f>
        <v/>
      </c>
      <c r="DI189" s="128">
        <f>IFERROR(AW189*$V189,)</f>
        <v/>
      </c>
      <c r="DJ189" s="128">
        <f>IFERROR(AX189*$V189,)</f>
        <v/>
      </c>
      <c r="DK189" s="128">
        <f>IFERROR(AY189*$V189,)</f>
        <v/>
      </c>
      <c r="DL189" s="128">
        <f>IFERROR(AZ189*$V189,)</f>
        <v/>
      </c>
      <c r="DM189" s="129">
        <f>IFERROR(if($X189=0,($V189/1.2)*BA189,
BA189*$X189),)</f>
        <v/>
      </c>
      <c r="DN189" s="129">
        <f>IFERROR(if($X189=0,($V189/1.2)*BB189,
BB189*$X189),)</f>
        <v/>
      </c>
      <c r="DO189" s="129">
        <f>IFERROR(if($X189=0,($V189/1.2)*BC189,
BC189*$X189),)</f>
        <v/>
      </c>
      <c r="DP189" s="130">
        <f>IFERROR(if($Z189=0,($V189/1.35)*BD189,
BD189*$Z189),)</f>
        <v/>
      </c>
      <c r="DQ189" s="130">
        <f>IFERROR(if($Z189=0,($V189/1.35)*BE189,
BE189*$Z189),)</f>
        <v/>
      </c>
      <c r="DR189" s="130">
        <f>IFERROR(if($Z189=0,($V189/1.35)*BF189,
BF189*$Z189),)</f>
        <v/>
      </c>
      <c r="DS189" s="128">
        <f>IFERROR(IF($AB189=0,($V189/0.74)*BG189,
BG189*$AB189),)</f>
        <v/>
      </c>
      <c r="DT189" s="128">
        <f>IFERROR(IF($AB189=0,($V189/0.74)*BH189,
BH189*$AB189),)</f>
        <v/>
      </c>
      <c r="DU189" s="128">
        <f>IFERROR(IF($AB189=0,($V189/0.74)*BI189,
BI189*$AB189),)</f>
        <v/>
      </c>
    </row>
    <row r="190" ht="131.25" customHeight="1" s="162">
      <c r="A190" s="115" t="n"/>
      <c r="B190" s="115" t="n"/>
      <c r="C190" s="115" t="n"/>
      <c r="D190" s="115" t="n"/>
      <c r="E190" s="115" t="n"/>
      <c r="F190" s="115" t="n"/>
      <c r="G190" s="115" t="n"/>
      <c r="H190" s="115" t="n"/>
      <c r="I190" s="115" t="n"/>
      <c r="J190" s="115" t="n"/>
      <c r="K190" s="115" t="n"/>
      <c r="L190" s="115" t="n"/>
      <c r="M190" s="115" t="n"/>
      <c r="N190" s="115" t="n"/>
      <c r="O190" s="115" t="n"/>
      <c r="P190" s="115" t="n"/>
      <c r="Q190" s="115" t="n"/>
      <c r="R190" s="115" t="n"/>
      <c r="S190" s="115" t="n"/>
      <c r="T190" s="115" t="n"/>
      <c r="U190" s="116" t="n"/>
      <c r="V190" s="116" t="n"/>
      <c r="W190" s="117" t="n"/>
      <c r="X190" s="118" t="n"/>
      <c r="Y190" s="119" t="n"/>
      <c r="Z190" s="120" t="n"/>
      <c r="AA190" s="121" t="n"/>
      <c r="AB190" s="122" t="n"/>
      <c r="AC190" s="117" t="n"/>
      <c r="AD190" s="123">
        <f>IF(SUM($AE190:$AH190)=0,"",SUM($AE190:$AH190))</f>
        <v/>
      </c>
      <c r="AE190" s="123">
        <f>iferror(IF(SUM($AI190:$AZ190)=0,"",SUM($AI190:$AZ190)),"")</f>
        <v/>
      </c>
      <c r="AF190" s="123">
        <f>iferror(IF(SUM($BA190:$BC190)=0,"",SUM($BA190:$BC190)),"")</f>
        <v/>
      </c>
      <c r="AG190" s="123">
        <f>iferror(IF(SUM($BD190:$BF190)=0,"",SUM($BD190:$BF190)),"")</f>
        <v/>
      </c>
      <c r="AH190" s="124">
        <f>iferror(IF(SUM($BG190:$BI190)=0,"",SUM($BG190:$BI190)),"")</f>
        <v/>
      </c>
      <c r="AI190" s="131" t="n"/>
      <c r="AJ190" s="132" t="n"/>
      <c r="AK190" s="132" t="n"/>
      <c r="AL190" s="132" t="n"/>
      <c r="AM190" s="132" t="n"/>
      <c r="AN190" s="132" t="n"/>
      <c r="AO190" s="132" t="n"/>
      <c r="AP190" s="132" t="n"/>
      <c r="AQ190" s="132" t="n"/>
      <c r="AR190" s="132" t="n"/>
      <c r="AS190" s="132" t="n"/>
      <c r="AT190" s="132" t="n"/>
      <c r="AU190" s="132" t="n"/>
      <c r="AV190" s="132" t="n"/>
      <c r="AW190" s="132" t="n"/>
      <c r="AX190" s="132" t="n"/>
      <c r="AY190" s="132" t="n"/>
      <c r="AZ190" s="133" t="n"/>
      <c r="BA190" s="131" t="n"/>
      <c r="BB190" s="132" t="n"/>
      <c r="BC190" s="133" t="n"/>
      <c r="BD190" s="131" t="n"/>
      <c r="BE190" s="132" t="n"/>
      <c r="BF190" s="133" t="n"/>
      <c r="BG190" s="131" t="n"/>
      <c r="BH190" s="132" t="n"/>
      <c r="BI190" s="132" t="n"/>
      <c r="BJ190" s="128">
        <f>iferror(SUM($BK190,($BL190*1.2),($BM190*1.35),($BN190*0.74)),)</f>
        <v/>
      </c>
      <c r="BK190" s="128">
        <f>IFERROR(SUM($BT190:$CK190),)</f>
        <v/>
      </c>
      <c r="BL190" s="129">
        <f>IFERROR(SUM($CL190:$CN190),)</f>
        <v/>
      </c>
      <c r="BM190" s="130">
        <f>IFERROR(SUM($CO190:$CQ190),)</f>
        <v/>
      </c>
      <c r="BN190" s="128">
        <f>IFERROR(SUM($CR190:$CT190),)</f>
        <v/>
      </c>
      <c r="BO190" s="128">
        <f>iferror(SUM($BP190,($BQ190*1.2),($BR190*1.35),($BS190*0.74)),)</f>
        <v/>
      </c>
      <c r="BP190" s="128">
        <f>IFERROR(SUM($CU190:$DL190),)</f>
        <v/>
      </c>
      <c r="BQ190" s="128">
        <f>IFERROR(SUM($DM190:$DO190),)</f>
        <v/>
      </c>
      <c r="BR190" s="128">
        <f>IFERROR(SUM($DP190:$DR190),)</f>
        <v/>
      </c>
      <c r="BS190" s="128">
        <f>IFERROR(SUM($DS190:$DU190),)</f>
        <v/>
      </c>
      <c r="BT190" s="128">
        <f>IFERROR(AI190*$W190,)</f>
        <v/>
      </c>
      <c r="BU190" s="128">
        <f>IFERROR(AJ190*$W190,)</f>
        <v/>
      </c>
      <c r="BV190" s="128">
        <f>IFERROR(AK190*$W190,)</f>
        <v/>
      </c>
      <c r="BW190" s="128">
        <f>IFERROR(AL190*$W190,)</f>
        <v/>
      </c>
      <c r="BX190" s="128">
        <f>IFERROR(AM190*$W190,)</f>
        <v/>
      </c>
      <c r="BY190" s="128">
        <f>IFERROR(AN190*$W190,)</f>
        <v/>
      </c>
      <c r="BZ190" s="128">
        <f>IFERROR(AO190*$W190,)</f>
        <v/>
      </c>
      <c r="CA190" s="128">
        <f>IFERROR(AP190*$W190,)</f>
        <v/>
      </c>
      <c r="CB190" s="128">
        <f>IFERROR(AQ190*$W190,)</f>
        <v/>
      </c>
      <c r="CC190" s="128">
        <f>IFERROR(AR190*$W190,)</f>
        <v/>
      </c>
      <c r="CD190" s="128">
        <f>IFERROR(AS190*$W190,)</f>
        <v/>
      </c>
      <c r="CE190" s="128">
        <f>IFERROR(AT190*$W190,)</f>
        <v/>
      </c>
      <c r="CF190" s="128">
        <f>IFERROR(AU190*$W190,)</f>
        <v/>
      </c>
      <c r="CG190" s="128">
        <f>IFERROR(AV190*$W190,)</f>
        <v/>
      </c>
      <c r="CH190" s="128">
        <f>IFERROR(AW190*$W190,)</f>
        <v/>
      </c>
      <c r="CI190" s="128">
        <f>IFERROR(AX190*$W190,)</f>
        <v/>
      </c>
      <c r="CJ190" s="128">
        <f>IFERROR(AY190*$W190,)</f>
        <v/>
      </c>
      <c r="CK190" s="128">
        <f>IFERROR(AZ190*$W190,)</f>
        <v/>
      </c>
      <c r="CL190" s="129">
        <f>IFERROR(if($Y190=0,BA190*($W190/1.2),BA190*$Y190),"")</f>
        <v/>
      </c>
      <c r="CM190" s="129">
        <f>IFERROR(if($Y190=0,BB190*($W190/1.2),BB190*$Y190),"")</f>
        <v/>
      </c>
      <c r="CN190" s="129">
        <f>IFERROR(if($Y190=0,BC190*($W190/1.2),BC190*$Y190),"")</f>
        <v/>
      </c>
      <c r="CO190" s="130">
        <f>IFERROR(if($AA190=0,($W190/1.35)*BD190,BD190*$AA190),)</f>
        <v/>
      </c>
      <c r="CP190" s="130">
        <f>IFERROR(if($AA190=0,($W190/1.35)*BE190,BE190*$AA190),)</f>
        <v/>
      </c>
      <c r="CQ190" s="130">
        <f>IFERROR(if($AA190=0,($W190/1.35)*BF190,BF190*$AA190),)</f>
        <v/>
      </c>
      <c r="CR190" s="128">
        <f>IFERROR(if($AC190=0,($W190/0.74)*BG190,
BG190*$AC190),)</f>
        <v/>
      </c>
      <c r="CS190" s="128">
        <f>IFERROR(if($AC190=0,($W190/0.74)*BH190,
BH190*$AC190),)</f>
        <v/>
      </c>
      <c r="CT190" s="128">
        <f>IFERROR(if($AC190=0,($W190/0.74)*BI190,
BI190*$AC190),)</f>
        <v/>
      </c>
      <c r="CU190" s="128">
        <f>IFERROR(AI190*$V190,)</f>
        <v/>
      </c>
      <c r="CV190" s="128">
        <f>IFERROR(AJ190*$V190,)</f>
        <v/>
      </c>
      <c r="CW190" s="128">
        <f>IFERROR(AK190*$V190,)</f>
        <v/>
      </c>
      <c r="CX190" s="128">
        <f>IFERROR(AL190*$V190,)</f>
        <v/>
      </c>
      <c r="CY190" s="128">
        <f>IFERROR(AM190*$V190,)</f>
        <v/>
      </c>
      <c r="CZ190" s="128">
        <f>IFERROR(AN190*$V190,)</f>
        <v/>
      </c>
      <c r="DA190" s="128">
        <f>IFERROR(AO190*$V190,)</f>
        <v/>
      </c>
      <c r="DB190" s="128">
        <f>IFERROR(AP190*$V190,)</f>
        <v/>
      </c>
      <c r="DC190" s="128">
        <f>IFERROR(AQ190*$V190,)</f>
        <v/>
      </c>
      <c r="DD190" s="128">
        <f>IFERROR(AR190*$V190,)</f>
        <v/>
      </c>
      <c r="DE190" s="128">
        <f>IFERROR(AS190*$V190,)</f>
        <v/>
      </c>
      <c r="DF190" s="128">
        <f>IFERROR(AT190*$V190,)</f>
        <v/>
      </c>
      <c r="DG190" s="128">
        <f>IFERROR(AU190*$V190,)</f>
        <v/>
      </c>
      <c r="DH190" s="128">
        <f>IFERROR(AV190*$V190,)</f>
        <v/>
      </c>
      <c r="DI190" s="128">
        <f>IFERROR(AW190*$V190,)</f>
        <v/>
      </c>
      <c r="DJ190" s="128">
        <f>IFERROR(AX190*$V190,)</f>
        <v/>
      </c>
      <c r="DK190" s="128">
        <f>IFERROR(AY190*$V190,)</f>
        <v/>
      </c>
      <c r="DL190" s="128">
        <f>IFERROR(AZ190*$V190,)</f>
        <v/>
      </c>
      <c r="DM190" s="129">
        <f>IFERROR(if($X190=0,($V190/1.2)*BA190,
BA190*$X190),)</f>
        <v/>
      </c>
      <c r="DN190" s="129">
        <f>IFERROR(if($X190=0,($V190/1.2)*BB190,
BB190*$X190),)</f>
        <v/>
      </c>
      <c r="DO190" s="129">
        <f>IFERROR(if($X190=0,($V190/1.2)*BC190,
BC190*$X190),)</f>
        <v/>
      </c>
      <c r="DP190" s="130">
        <f>IFERROR(if($Z190=0,($V190/1.35)*BD190,
BD190*$Z190),)</f>
        <v/>
      </c>
      <c r="DQ190" s="130">
        <f>IFERROR(if($Z190=0,($V190/1.35)*BE190,
BE190*$Z190),)</f>
        <v/>
      </c>
      <c r="DR190" s="130">
        <f>IFERROR(if($Z190=0,($V190/1.35)*BF190,
BF190*$Z190),)</f>
        <v/>
      </c>
      <c r="DS190" s="128">
        <f>IFERROR(IF($AB190=0,($V190/0.74)*BG190,
BG190*$AB190),)</f>
        <v/>
      </c>
      <c r="DT190" s="128">
        <f>IFERROR(IF($AB190=0,($V190/0.74)*BH190,
BH190*$AB190),)</f>
        <v/>
      </c>
      <c r="DU190" s="128">
        <f>IFERROR(IF($AB190=0,($V190/0.74)*BI190,
BI190*$AB190),)</f>
        <v/>
      </c>
    </row>
    <row r="191" ht="131.25" customHeight="1" s="162">
      <c r="A191" s="115" t="n"/>
      <c r="B191" s="115" t="n"/>
      <c r="C191" s="115" t="n"/>
      <c r="D191" s="115" t="n"/>
      <c r="E191" s="115" t="n"/>
      <c r="F191" s="115" t="n"/>
      <c r="G191" s="115" t="n"/>
      <c r="H191" s="115" t="n"/>
      <c r="I191" s="115" t="n"/>
      <c r="J191" s="115" t="n"/>
      <c r="K191" s="115" t="n"/>
      <c r="L191" s="115" t="n"/>
      <c r="M191" s="115" t="n"/>
      <c r="N191" s="115" t="n"/>
      <c r="O191" s="115" t="n"/>
      <c r="P191" s="115" t="n"/>
      <c r="Q191" s="115" t="n"/>
      <c r="R191" s="115" t="n"/>
      <c r="S191" s="115" t="n"/>
      <c r="T191" s="115" t="n"/>
      <c r="U191" s="116" t="n"/>
      <c r="V191" s="116" t="n"/>
      <c r="W191" s="117" t="n"/>
      <c r="X191" s="118" t="n"/>
      <c r="Y191" s="119" t="n"/>
      <c r="Z191" s="120" t="n"/>
      <c r="AA191" s="121" t="n"/>
      <c r="AB191" s="122" t="n"/>
      <c r="AC191" s="117" t="n"/>
      <c r="AD191" s="123">
        <f>IF(SUM($AE191:$AH191)=0,"",SUM($AE191:$AH191))</f>
        <v/>
      </c>
      <c r="AE191" s="123">
        <f>iferror(IF(SUM($AI191:$AZ191)=0,"",SUM($AI191:$AZ191)),"")</f>
        <v/>
      </c>
      <c r="AF191" s="123">
        <f>iferror(IF(SUM($BA191:$BC191)=0,"",SUM($BA191:$BC191)),"")</f>
        <v/>
      </c>
      <c r="AG191" s="123">
        <f>iferror(IF(SUM($BD191:$BF191)=0,"",SUM($BD191:$BF191)),"")</f>
        <v/>
      </c>
      <c r="AH191" s="124">
        <f>iferror(IF(SUM($BG191:$BI191)=0,"",SUM($BG191:$BI191)),"")</f>
        <v/>
      </c>
      <c r="AI191" s="131" t="n"/>
      <c r="AJ191" s="132" t="n"/>
      <c r="AK191" s="132" t="n"/>
      <c r="AL191" s="132" t="n"/>
      <c r="AM191" s="132" t="n"/>
      <c r="AN191" s="132" t="n"/>
      <c r="AO191" s="132" t="n"/>
      <c r="AP191" s="132" t="n"/>
      <c r="AQ191" s="132" t="n"/>
      <c r="AR191" s="132" t="n"/>
      <c r="AS191" s="132" t="n"/>
      <c r="AT191" s="132" t="n"/>
      <c r="AU191" s="132" t="n"/>
      <c r="AV191" s="132" t="n"/>
      <c r="AW191" s="132" t="n"/>
      <c r="AX191" s="132" t="n"/>
      <c r="AY191" s="132" t="n"/>
      <c r="AZ191" s="133" t="n"/>
      <c r="BA191" s="131" t="n"/>
      <c r="BB191" s="132" t="n"/>
      <c r="BC191" s="133" t="n"/>
      <c r="BD191" s="131" t="n"/>
      <c r="BE191" s="132" t="n"/>
      <c r="BF191" s="133" t="n"/>
      <c r="BG191" s="131" t="n"/>
      <c r="BH191" s="132" t="n"/>
      <c r="BI191" s="132" t="n"/>
      <c r="BJ191" s="128">
        <f>iferror(SUM($BK191,($BL191*1.2),($BM191*1.35),($BN191*0.74)),)</f>
        <v/>
      </c>
      <c r="BK191" s="128">
        <f>IFERROR(SUM($BT191:$CK191),)</f>
        <v/>
      </c>
      <c r="BL191" s="129">
        <f>IFERROR(SUM($CL191:$CN191),)</f>
        <v/>
      </c>
      <c r="BM191" s="130">
        <f>IFERROR(SUM($CO191:$CQ191),)</f>
        <v/>
      </c>
      <c r="BN191" s="128">
        <f>IFERROR(SUM($CR191:$CT191),)</f>
        <v/>
      </c>
      <c r="BO191" s="128">
        <f>iferror(SUM($BP191,($BQ191*1.2),($BR191*1.35),($BS191*0.74)),)</f>
        <v/>
      </c>
      <c r="BP191" s="128">
        <f>IFERROR(SUM($CU191:$DL191),)</f>
        <v/>
      </c>
      <c r="BQ191" s="128">
        <f>IFERROR(SUM($DM191:$DO191),)</f>
        <v/>
      </c>
      <c r="BR191" s="128">
        <f>IFERROR(SUM($DP191:$DR191),)</f>
        <v/>
      </c>
      <c r="BS191" s="128">
        <f>IFERROR(SUM($DS191:$DU191),)</f>
        <v/>
      </c>
      <c r="BT191" s="128">
        <f>IFERROR(AI191*$W191,)</f>
        <v/>
      </c>
      <c r="BU191" s="128">
        <f>IFERROR(AJ191*$W191,)</f>
        <v/>
      </c>
      <c r="BV191" s="128">
        <f>IFERROR(AK191*$W191,)</f>
        <v/>
      </c>
      <c r="BW191" s="128">
        <f>IFERROR(AL191*$W191,)</f>
        <v/>
      </c>
      <c r="BX191" s="128">
        <f>IFERROR(AM191*$W191,)</f>
        <v/>
      </c>
      <c r="BY191" s="128">
        <f>IFERROR(AN191*$W191,)</f>
        <v/>
      </c>
      <c r="BZ191" s="128">
        <f>IFERROR(AO191*$W191,)</f>
        <v/>
      </c>
      <c r="CA191" s="128">
        <f>IFERROR(AP191*$W191,)</f>
        <v/>
      </c>
      <c r="CB191" s="128">
        <f>IFERROR(AQ191*$W191,)</f>
        <v/>
      </c>
      <c r="CC191" s="128">
        <f>IFERROR(AR191*$W191,)</f>
        <v/>
      </c>
      <c r="CD191" s="128">
        <f>IFERROR(AS191*$W191,)</f>
        <v/>
      </c>
      <c r="CE191" s="128">
        <f>IFERROR(AT191*$W191,)</f>
        <v/>
      </c>
      <c r="CF191" s="128">
        <f>IFERROR(AU191*$W191,)</f>
        <v/>
      </c>
      <c r="CG191" s="128">
        <f>IFERROR(AV191*$W191,)</f>
        <v/>
      </c>
      <c r="CH191" s="128">
        <f>IFERROR(AW191*$W191,)</f>
        <v/>
      </c>
      <c r="CI191" s="128">
        <f>IFERROR(AX191*$W191,)</f>
        <v/>
      </c>
      <c r="CJ191" s="128">
        <f>IFERROR(AY191*$W191,)</f>
        <v/>
      </c>
      <c r="CK191" s="128">
        <f>IFERROR(AZ191*$W191,)</f>
        <v/>
      </c>
      <c r="CL191" s="129">
        <f>IFERROR(if($Y191=0,BA191*($W191/1.2),BA191*$Y191),"")</f>
        <v/>
      </c>
      <c r="CM191" s="129">
        <f>IFERROR(if($Y191=0,BB191*($W191/1.2),BB191*$Y191),"")</f>
        <v/>
      </c>
      <c r="CN191" s="129">
        <f>IFERROR(if($Y191=0,BC191*($W191/1.2),BC191*$Y191),"")</f>
        <v/>
      </c>
      <c r="CO191" s="130">
        <f>IFERROR(if($AA191=0,($W191/1.35)*BD191,BD191*$AA191),)</f>
        <v/>
      </c>
      <c r="CP191" s="130">
        <f>IFERROR(if($AA191=0,($W191/1.35)*BE191,BE191*$AA191),)</f>
        <v/>
      </c>
      <c r="CQ191" s="130">
        <f>IFERROR(if($AA191=0,($W191/1.35)*BF191,BF191*$AA191),)</f>
        <v/>
      </c>
      <c r="CR191" s="128">
        <f>IFERROR(if($AC191=0,($W191/0.74)*BG191,
BG191*$AC191),)</f>
        <v/>
      </c>
      <c r="CS191" s="128">
        <f>IFERROR(if($AC191=0,($W191/0.74)*BH191,
BH191*$AC191),)</f>
        <v/>
      </c>
      <c r="CT191" s="128">
        <f>IFERROR(if($AC191=0,($W191/0.74)*BI191,
BI191*$AC191),)</f>
        <v/>
      </c>
      <c r="CU191" s="128">
        <f>IFERROR(AI191*$V191,)</f>
        <v/>
      </c>
      <c r="CV191" s="128">
        <f>IFERROR(AJ191*$V191,)</f>
        <v/>
      </c>
      <c r="CW191" s="128">
        <f>IFERROR(AK191*$V191,)</f>
        <v/>
      </c>
      <c r="CX191" s="128">
        <f>IFERROR(AL191*$V191,)</f>
        <v/>
      </c>
      <c r="CY191" s="128">
        <f>IFERROR(AM191*$V191,)</f>
        <v/>
      </c>
      <c r="CZ191" s="128">
        <f>IFERROR(AN191*$V191,)</f>
        <v/>
      </c>
      <c r="DA191" s="128">
        <f>IFERROR(AO191*$V191,)</f>
        <v/>
      </c>
      <c r="DB191" s="128">
        <f>IFERROR(AP191*$V191,)</f>
        <v/>
      </c>
      <c r="DC191" s="128">
        <f>IFERROR(AQ191*$V191,)</f>
        <v/>
      </c>
      <c r="DD191" s="128">
        <f>IFERROR(AR191*$V191,)</f>
        <v/>
      </c>
      <c r="DE191" s="128">
        <f>IFERROR(AS191*$V191,)</f>
        <v/>
      </c>
      <c r="DF191" s="128">
        <f>IFERROR(AT191*$V191,)</f>
        <v/>
      </c>
      <c r="DG191" s="128">
        <f>IFERROR(AU191*$V191,)</f>
        <v/>
      </c>
      <c r="DH191" s="128">
        <f>IFERROR(AV191*$V191,)</f>
        <v/>
      </c>
      <c r="DI191" s="128">
        <f>IFERROR(AW191*$V191,)</f>
        <v/>
      </c>
      <c r="DJ191" s="128">
        <f>IFERROR(AX191*$V191,)</f>
        <v/>
      </c>
      <c r="DK191" s="128">
        <f>IFERROR(AY191*$V191,)</f>
        <v/>
      </c>
      <c r="DL191" s="128">
        <f>IFERROR(AZ191*$V191,)</f>
        <v/>
      </c>
      <c r="DM191" s="129">
        <f>IFERROR(if($X191=0,($V191/1.2)*BA191,
BA191*$X191),)</f>
        <v/>
      </c>
      <c r="DN191" s="129">
        <f>IFERROR(if($X191=0,($V191/1.2)*BB191,
BB191*$X191),)</f>
        <v/>
      </c>
      <c r="DO191" s="129">
        <f>IFERROR(if($X191=0,($V191/1.2)*BC191,
BC191*$X191),)</f>
        <v/>
      </c>
      <c r="DP191" s="130">
        <f>IFERROR(if($Z191=0,($V191/1.35)*BD191,
BD191*$Z191),)</f>
        <v/>
      </c>
      <c r="DQ191" s="130">
        <f>IFERROR(if($Z191=0,($V191/1.35)*BE191,
BE191*$Z191),)</f>
        <v/>
      </c>
      <c r="DR191" s="130">
        <f>IFERROR(if($Z191=0,($V191/1.35)*BF191,
BF191*$Z191),)</f>
        <v/>
      </c>
      <c r="DS191" s="128">
        <f>IFERROR(IF($AB191=0,($V191/0.74)*BG191,
BG191*$AB191),)</f>
        <v/>
      </c>
      <c r="DT191" s="128">
        <f>IFERROR(IF($AB191=0,($V191/0.74)*BH191,
BH191*$AB191),)</f>
        <v/>
      </c>
      <c r="DU191" s="128">
        <f>IFERROR(IF($AB191=0,($V191/0.74)*BI191,
BI191*$AB191),)</f>
        <v/>
      </c>
    </row>
    <row r="192" ht="131.25" customHeight="1" s="162">
      <c r="A192" s="115" t="n"/>
      <c r="B192" s="115" t="n"/>
      <c r="C192" s="115" t="n"/>
      <c r="D192" s="115" t="n"/>
      <c r="E192" s="115" t="n"/>
      <c r="F192" s="115" t="n"/>
      <c r="G192" s="115" t="n"/>
      <c r="H192" s="115" t="n"/>
      <c r="I192" s="115" t="n"/>
      <c r="J192" s="115" t="n"/>
      <c r="K192" s="115" t="n"/>
      <c r="L192" s="115" t="n"/>
      <c r="M192" s="115" t="n"/>
      <c r="N192" s="115" t="n"/>
      <c r="O192" s="115" t="n"/>
      <c r="P192" s="115" t="n"/>
      <c r="Q192" s="115" t="n"/>
      <c r="R192" s="115" t="n"/>
      <c r="S192" s="115" t="n"/>
      <c r="T192" s="115" t="n"/>
      <c r="U192" s="116" t="n"/>
      <c r="V192" s="116" t="n"/>
      <c r="W192" s="117" t="n"/>
      <c r="X192" s="118" t="n"/>
      <c r="Y192" s="119" t="n"/>
      <c r="Z192" s="120" t="n"/>
      <c r="AA192" s="121" t="n"/>
      <c r="AB192" s="122" t="n"/>
      <c r="AC192" s="117" t="n"/>
      <c r="AD192" s="123">
        <f>IF(SUM($AE192:$AH192)=0,"",SUM($AE192:$AH192))</f>
        <v/>
      </c>
      <c r="AE192" s="123">
        <f>iferror(IF(SUM($AI192:$AZ192)=0,"",SUM($AI192:$AZ192)),"")</f>
        <v/>
      </c>
      <c r="AF192" s="123">
        <f>iferror(IF(SUM($BA192:$BC192)=0,"",SUM($BA192:$BC192)),"")</f>
        <v/>
      </c>
      <c r="AG192" s="123">
        <f>iferror(IF(SUM($BD192:$BF192)=0,"",SUM($BD192:$BF192)),"")</f>
        <v/>
      </c>
      <c r="AH192" s="124">
        <f>iferror(IF(SUM($BG192:$BI192)=0,"",SUM($BG192:$BI192)),"")</f>
        <v/>
      </c>
      <c r="AI192" s="131" t="n"/>
      <c r="AJ192" s="132" t="n"/>
      <c r="AK192" s="132" t="n"/>
      <c r="AL192" s="132" t="n"/>
      <c r="AM192" s="132" t="n"/>
      <c r="AN192" s="132" t="n"/>
      <c r="AO192" s="132" t="n"/>
      <c r="AP192" s="132" t="n"/>
      <c r="AQ192" s="132" t="n"/>
      <c r="AR192" s="132" t="n"/>
      <c r="AS192" s="132" t="n"/>
      <c r="AT192" s="132" t="n"/>
      <c r="AU192" s="132" t="n"/>
      <c r="AV192" s="132" t="n"/>
      <c r="AW192" s="132" t="n"/>
      <c r="AX192" s="132" t="n"/>
      <c r="AY192" s="132" t="n"/>
      <c r="AZ192" s="133" t="n"/>
      <c r="BA192" s="131" t="n"/>
      <c r="BB192" s="132" t="n"/>
      <c r="BC192" s="133" t="n"/>
      <c r="BD192" s="131" t="n"/>
      <c r="BE192" s="132" t="n"/>
      <c r="BF192" s="133" t="n"/>
      <c r="BG192" s="131" t="n"/>
      <c r="BH192" s="132" t="n"/>
      <c r="BI192" s="132" t="n"/>
      <c r="BJ192" s="128">
        <f>iferror(SUM($BK192,($BL192*1.2),($BM192*1.35),($BN192*0.74)),)</f>
        <v/>
      </c>
      <c r="BK192" s="128">
        <f>IFERROR(SUM($BT192:$CK192),)</f>
        <v/>
      </c>
      <c r="BL192" s="129">
        <f>IFERROR(SUM($CL192:$CN192),)</f>
        <v/>
      </c>
      <c r="BM192" s="130">
        <f>IFERROR(SUM($CO192:$CQ192),)</f>
        <v/>
      </c>
      <c r="BN192" s="128">
        <f>IFERROR(SUM($CR192:$CT192),)</f>
        <v/>
      </c>
      <c r="BO192" s="128">
        <f>iferror(SUM($BP192,($BQ192*1.2),($BR192*1.35),($BS192*0.74)),)</f>
        <v/>
      </c>
      <c r="BP192" s="128">
        <f>IFERROR(SUM($CU192:$DL192),)</f>
        <v/>
      </c>
      <c r="BQ192" s="128">
        <f>IFERROR(SUM($DM192:$DO192),)</f>
        <v/>
      </c>
      <c r="BR192" s="128">
        <f>IFERROR(SUM($DP192:$DR192),)</f>
        <v/>
      </c>
      <c r="BS192" s="128">
        <f>IFERROR(SUM($DS192:$DU192),)</f>
        <v/>
      </c>
      <c r="BT192" s="128">
        <f>IFERROR(AI192*$W192,)</f>
        <v/>
      </c>
      <c r="BU192" s="128">
        <f>IFERROR(AJ192*$W192,)</f>
        <v/>
      </c>
      <c r="BV192" s="128">
        <f>IFERROR(AK192*$W192,)</f>
        <v/>
      </c>
      <c r="BW192" s="128">
        <f>IFERROR(AL192*$W192,)</f>
        <v/>
      </c>
      <c r="BX192" s="128">
        <f>IFERROR(AM192*$W192,)</f>
        <v/>
      </c>
      <c r="BY192" s="128">
        <f>IFERROR(AN192*$W192,)</f>
        <v/>
      </c>
      <c r="BZ192" s="128">
        <f>IFERROR(AO192*$W192,)</f>
        <v/>
      </c>
      <c r="CA192" s="128">
        <f>IFERROR(AP192*$W192,)</f>
        <v/>
      </c>
      <c r="CB192" s="128">
        <f>IFERROR(AQ192*$W192,)</f>
        <v/>
      </c>
      <c r="CC192" s="128">
        <f>IFERROR(AR192*$W192,)</f>
        <v/>
      </c>
      <c r="CD192" s="128">
        <f>IFERROR(AS192*$W192,)</f>
        <v/>
      </c>
      <c r="CE192" s="128">
        <f>IFERROR(AT192*$W192,)</f>
        <v/>
      </c>
      <c r="CF192" s="128">
        <f>IFERROR(AU192*$W192,)</f>
        <v/>
      </c>
      <c r="CG192" s="128">
        <f>IFERROR(AV192*$W192,)</f>
        <v/>
      </c>
      <c r="CH192" s="128">
        <f>IFERROR(AW192*$W192,)</f>
        <v/>
      </c>
      <c r="CI192" s="128">
        <f>IFERROR(AX192*$W192,)</f>
        <v/>
      </c>
      <c r="CJ192" s="128">
        <f>IFERROR(AY192*$W192,)</f>
        <v/>
      </c>
      <c r="CK192" s="128">
        <f>IFERROR(AZ192*$W192,)</f>
        <v/>
      </c>
      <c r="CL192" s="129">
        <f>IFERROR(if($Y192=0,BA192*($W192/1.2),BA192*$Y192),"")</f>
        <v/>
      </c>
      <c r="CM192" s="129">
        <f>IFERROR(if($Y192=0,BB192*($W192/1.2),BB192*$Y192),"")</f>
        <v/>
      </c>
      <c r="CN192" s="129">
        <f>IFERROR(if($Y192=0,BC192*($W192/1.2),BC192*$Y192),"")</f>
        <v/>
      </c>
      <c r="CO192" s="130">
        <f>IFERROR(if($AA192=0,($W192/1.35)*BD192,BD192*$AA192),)</f>
        <v/>
      </c>
      <c r="CP192" s="130">
        <f>IFERROR(if($AA192=0,($W192/1.35)*BE192,BE192*$AA192),)</f>
        <v/>
      </c>
      <c r="CQ192" s="130">
        <f>IFERROR(if($AA192=0,($W192/1.35)*BF192,BF192*$AA192),)</f>
        <v/>
      </c>
      <c r="CR192" s="128">
        <f>IFERROR(if($AC192=0,($W192/0.74)*BG192,
BG192*$AC192),)</f>
        <v/>
      </c>
      <c r="CS192" s="128">
        <f>IFERROR(if($AC192=0,($W192/0.74)*BH192,
BH192*$AC192),)</f>
        <v/>
      </c>
      <c r="CT192" s="128">
        <f>IFERROR(if($AC192=0,($W192/0.74)*BI192,
BI192*$AC192),)</f>
        <v/>
      </c>
      <c r="CU192" s="128">
        <f>IFERROR(AI192*$V192,)</f>
        <v/>
      </c>
      <c r="CV192" s="128">
        <f>IFERROR(AJ192*$V192,)</f>
        <v/>
      </c>
      <c r="CW192" s="128">
        <f>IFERROR(AK192*$V192,)</f>
        <v/>
      </c>
      <c r="CX192" s="128">
        <f>IFERROR(AL192*$V192,)</f>
        <v/>
      </c>
      <c r="CY192" s="128">
        <f>IFERROR(AM192*$V192,)</f>
        <v/>
      </c>
      <c r="CZ192" s="128">
        <f>IFERROR(AN192*$V192,)</f>
        <v/>
      </c>
      <c r="DA192" s="128">
        <f>IFERROR(AO192*$V192,)</f>
        <v/>
      </c>
      <c r="DB192" s="128">
        <f>IFERROR(AP192*$V192,)</f>
        <v/>
      </c>
      <c r="DC192" s="128">
        <f>IFERROR(AQ192*$V192,)</f>
        <v/>
      </c>
      <c r="DD192" s="128">
        <f>IFERROR(AR192*$V192,)</f>
        <v/>
      </c>
      <c r="DE192" s="128">
        <f>IFERROR(AS192*$V192,)</f>
        <v/>
      </c>
      <c r="DF192" s="128">
        <f>IFERROR(AT192*$V192,)</f>
        <v/>
      </c>
      <c r="DG192" s="128">
        <f>IFERROR(AU192*$V192,)</f>
        <v/>
      </c>
      <c r="DH192" s="128">
        <f>IFERROR(AV192*$V192,)</f>
        <v/>
      </c>
      <c r="DI192" s="128">
        <f>IFERROR(AW192*$V192,)</f>
        <v/>
      </c>
      <c r="DJ192" s="128">
        <f>IFERROR(AX192*$V192,)</f>
        <v/>
      </c>
      <c r="DK192" s="128">
        <f>IFERROR(AY192*$V192,)</f>
        <v/>
      </c>
      <c r="DL192" s="128">
        <f>IFERROR(AZ192*$V192,)</f>
        <v/>
      </c>
      <c r="DM192" s="129">
        <f>IFERROR(if($X192=0,($V192/1.2)*BA192,
BA192*$X192),)</f>
        <v/>
      </c>
      <c r="DN192" s="129">
        <f>IFERROR(if($X192=0,($V192/1.2)*BB192,
BB192*$X192),)</f>
        <v/>
      </c>
      <c r="DO192" s="129">
        <f>IFERROR(if($X192=0,($V192/1.2)*BC192,
BC192*$X192),)</f>
        <v/>
      </c>
      <c r="DP192" s="130">
        <f>IFERROR(if($Z192=0,($V192/1.35)*BD192,
BD192*$Z192),)</f>
        <v/>
      </c>
      <c r="DQ192" s="130">
        <f>IFERROR(if($Z192=0,($V192/1.35)*BE192,
BE192*$Z192),)</f>
        <v/>
      </c>
      <c r="DR192" s="130">
        <f>IFERROR(if($Z192=0,($V192/1.35)*BF192,
BF192*$Z192),)</f>
        <v/>
      </c>
      <c r="DS192" s="128">
        <f>IFERROR(IF($AB192=0,($V192/0.74)*BG192,
BG192*$AB192),)</f>
        <v/>
      </c>
      <c r="DT192" s="128">
        <f>IFERROR(IF($AB192=0,($V192/0.74)*BH192,
BH192*$AB192),)</f>
        <v/>
      </c>
      <c r="DU192" s="128">
        <f>IFERROR(IF($AB192=0,($V192/0.74)*BI192,
BI192*$AB192),)</f>
        <v/>
      </c>
    </row>
    <row r="193" ht="131.25" customHeight="1" s="162">
      <c r="A193" s="115" t="n"/>
      <c r="B193" s="115" t="n"/>
      <c r="C193" s="115" t="n"/>
      <c r="D193" s="115" t="n"/>
      <c r="E193" s="115" t="n"/>
      <c r="F193" s="115" t="n"/>
      <c r="G193" s="115" t="n"/>
      <c r="H193" s="115" t="n"/>
      <c r="I193" s="115" t="n"/>
      <c r="J193" s="115" t="n"/>
      <c r="K193" s="115" t="n"/>
      <c r="L193" s="115" t="n"/>
      <c r="M193" s="115" t="n"/>
      <c r="N193" s="115" t="n"/>
      <c r="O193" s="115" t="n"/>
      <c r="P193" s="115" t="n"/>
      <c r="Q193" s="115" t="n"/>
      <c r="R193" s="115" t="n"/>
      <c r="S193" s="115" t="n"/>
      <c r="T193" s="115" t="n"/>
      <c r="U193" s="116" t="n"/>
      <c r="V193" s="116" t="n"/>
      <c r="W193" s="117" t="n"/>
      <c r="X193" s="118" t="n"/>
      <c r="Y193" s="119" t="n"/>
      <c r="Z193" s="120" t="n"/>
      <c r="AA193" s="121" t="n"/>
      <c r="AB193" s="122" t="n"/>
      <c r="AC193" s="117" t="n"/>
      <c r="AD193" s="123">
        <f>IF(SUM($AE193:$AH193)=0,"",SUM($AE193:$AH193))</f>
        <v/>
      </c>
      <c r="AE193" s="123">
        <f>iferror(IF(SUM($AI193:$AZ193)=0,"",SUM($AI193:$AZ193)),"")</f>
        <v/>
      </c>
      <c r="AF193" s="123">
        <f>iferror(IF(SUM($BA193:$BC193)=0,"",SUM($BA193:$BC193)),"")</f>
        <v/>
      </c>
      <c r="AG193" s="123">
        <f>iferror(IF(SUM($BD193:$BF193)=0,"",SUM($BD193:$BF193)),"")</f>
        <v/>
      </c>
      <c r="AH193" s="124">
        <f>iferror(IF(SUM($BG193:$BI193)=0,"",SUM($BG193:$BI193)),"")</f>
        <v/>
      </c>
      <c r="AI193" s="131" t="n"/>
      <c r="AJ193" s="132" t="n"/>
      <c r="AK193" s="132" t="n"/>
      <c r="AL193" s="132" t="n"/>
      <c r="AM193" s="132" t="n"/>
      <c r="AN193" s="132" t="n"/>
      <c r="AO193" s="132" t="n"/>
      <c r="AP193" s="132" t="n"/>
      <c r="AQ193" s="132" t="n"/>
      <c r="AR193" s="132" t="n"/>
      <c r="AS193" s="132" t="n"/>
      <c r="AT193" s="132" t="n"/>
      <c r="AU193" s="132" t="n"/>
      <c r="AV193" s="132" t="n"/>
      <c r="AW193" s="132" t="n"/>
      <c r="AX193" s="132" t="n"/>
      <c r="AY193" s="132" t="n"/>
      <c r="AZ193" s="133" t="n"/>
      <c r="BA193" s="131" t="n"/>
      <c r="BB193" s="132" t="n"/>
      <c r="BC193" s="133" t="n"/>
      <c r="BD193" s="131" t="n"/>
      <c r="BE193" s="132" t="n"/>
      <c r="BF193" s="133" t="n"/>
      <c r="BG193" s="131" t="n"/>
      <c r="BH193" s="132" t="n"/>
      <c r="BI193" s="132" t="n"/>
      <c r="BJ193" s="128">
        <f>iferror(SUM($BK193,($BL193*1.2),($BM193*1.35),($BN193*0.74)),)</f>
        <v/>
      </c>
      <c r="BK193" s="128">
        <f>IFERROR(SUM($BT193:$CK193),)</f>
        <v/>
      </c>
      <c r="BL193" s="129">
        <f>IFERROR(SUM($CL193:$CN193),)</f>
        <v/>
      </c>
      <c r="BM193" s="130">
        <f>IFERROR(SUM($CO193:$CQ193),)</f>
        <v/>
      </c>
      <c r="BN193" s="128">
        <f>IFERROR(SUM($CR193:$CT193),)</f>
        <v/>
      </c>
      <c r="BO193" s="128">
        <f>iferror(SUM($BP193,($BQ193*1.2),($BR193*1.35),($BS193*0.74)),)</f>
        <v/>
      </c>
      <c r="BP193" s="128">
        <f>IFERROR(SUM($CU193:$DL193),)</f>
        <v/>
      </c>
      <c r="BQ193" s="128">
        <f>IFERROR(SUM($DM193:$DO193),)</f>
        <v/>
      </c>
      <c r="BR193" s="128">
        <f>IFERROR(SUM($DP193:$DR193),)</f>
        <v/>
      </c>
      <c r="BS193" s="128">
        <f>IFERROR(SUM($DS193:$DU193),)</f>
        <v/>
      </c>
      <c r="BT193" s="128">
        <f>IFERROR(AI193*$W193,)</f>
        <v/>
      </c>
      <c r="BU193" s="128">
        <f>IFERROR(AJ193*$W193,)</f>
        <v/>
      </c>
      <c r="BV193" s="128">
        <f>IFERROR(AK193*$W193,)</f>
        <v/>
      </c>
      <c r="BW193" s="128">
        <f>IFERROR(AL193*$W193,)</f>
        <v/>
      </c>
      <c r="BX193" s="128">
        <f>IFERROR(AM193*$W193,)</f>
        <v/>
      </c>
      <c r="BY193" s="128">
        <f>IFERROR(AN193*$W193,)</f>
        <v/>
      </c>
      <c r="BZ193" s="128">
        <f>IFERROR(AO193*$W193,)</f>
        <v/>
      </c>
      <c r="CA193" s="128">
        <f>IFERROR(AP193*$W193,)</f>
        <v/>
      </c>
      <c r="CB193" s="128">
        <f>IFERROR(AQ193*$W193,)</f>
        <v/>
      </c>
      <c r="CC193" s="128">
        <f>IFERROR(AR193*$W193,)</f>
        <v/>
      </c>
      <c r="CD193" s="128">
        <f>IFERROR(AS193*$W193,)</f>
        <v/>
      </c>
      <c r="CE193" s="128">
        <f>IFERROR(AT193*$W193,)</f>
        <v/>
      </c>
      <c r="CF193" s="128">
        <f>IFERROR(AU193*$W193,)</f>
        <v/>
      </c>
      <c r="CG193" s="128">
        <f>IFERROR(AV193*$W193,)</f>
        <v/>
      </c>
      <c r="CH193" s="128">
        <f>IFERROR(AW193*$W193,)</f>
        <v/>
      </c>
      <c r="CI193" s="128">
        <f>IFERROR(AX193*$W193,)</f>
        <v/>
      </c>
      <c r="CJ193" s="128">
        <f>IFERROR(AY193*$W193,)</f>
        <v/>
      </c>
      <c r="CK193" s="128">
        <f>IFERROR(AZ193*$W193,)</f>
        <v/>
      </c>
      <c r="CL193" s="129">
        <f>IFERROR(if($Y193=0,BA193*($W193/1.2),BA193*$Y193),"")</f>
        <v/>
      </c>
      <c r="CM193" s="129">
        <f>IFERROR(if($Y193=0,BB193*($W193/1.2),BB193*$Y193),"")</f>
        <v/>
      </c>
      <c r="CN193" s="129">
        <f>IFERROR(if($Y193=0,BC193*($W193/1.2),BC193*$Y193),"")</f>
        <v/>
      </c>
      <c r="CO193" s="130">
        <f>IFERROR(if($AA193=0,($W193/1.35)*BD193,BD193*$AA193),)</f>
        <v/>
      </c>
      <c r="CP193" s="130">
        <f>IFERROR(if($AA193=0,($W193/1.35)*BE193,BE193*$AA193),)</f>
        <v/>
      </c>
      <c r="CQ193" s="130">
        <f>IFERROR(if($AA193=0,($W193/1.35)*BF193,BF193*$AA193),)</f>
        <v/>
      </c>
      <c r="CR193" s="128">
        <f>IFERROR(if($AC193=0,($W193/0.74)*BG193,
BG193*$AC193),)</f>
        <v/>
      </c>
      <c r="CS193" s="128">
        <f>IFERROR(if($AC193=0,($W193/0.74)*BH193,
BH193*$AC193),)</f>
        <v/>
      </c>
      <c r="CT193" s="128">
        <f>IFERROR(if($AC193=0,($W193/0.74)*BI193,
BI193*$AC193),)</f>
        <v/>
      </c>
      <c r="CU193" s="128">
        <f>IFERROR(AI193*$V193,)</f>
        <v/>
      </c>
      <c r="CV193" s="128">
        <f>IFERROR(AJ193*$V193,)</f>
        <v/>
      </c>
      <c r="CW193" s="128">
        <f>IFERROR(AK193*$V193,)</f>
        <v/>
      </c>
      <c r="CX193" s="128">
        <f>IFERROR(AL193*$V193,)</f>
        <v/>
      </c>
      <c r="CY193" s="128">
        <f>IFERROR(AM193*$V193,)</f>
        <v/>
      </c>
      <c r="CZ193" s="128">
        <f>IFERROR(AN193*$V193,)</f>
        <v/>
      </c>
      <c r="DA193" s="128">
        <f>IFERROR(AO193*$V193,)</f>
        <v/>
      </c>
      <c r="DB193" s="128">
        <f>IFERROR(AP193*$V193,)</f>
        <v/>
      </c>
      <c r="DC193" s="128">
        <f>IFERROR(AQ193*$V193,)</f>
        <v/>
      </c>
      <c r="DD193" s="128">
        <f>IFERROR(AR193*$V193,)</f>
        <v/>
      </c>
      <c r="DE193" s="128">
        <f>IFERROR(AS193*$V193,)</f>
        <v/>
      </c>
      <c r="DF193" s="128">
        <f>IFERROR(AT193*$V193,)</f>
        <v/>
      </c>
      <c r="DG193" s="128">
        <f>IFERROR(AU193*$V193,)</f>
        <v/>
      </c>
      <c r="DH193" s="128">
        <f>IFERROR(AV193*$V193,)</f>
        <v/>
      </c>
      <c r="DI193" s="128">
        <f>IFERROR(AW193*$V193,)</f>
        <v/>
      </c>
      <c r="DJ193" s="128">
        <f>IFERROR(AX193*$V193,)</f>
        <v/>
      </c>
      <c r="DK193" s="128">
        <f>IFERROR(AY193*$V193,)</f>
        <v/>
      </c>
      <c r="DL193" s="128">
        <f>IFERROR(AZ193*$V193,)</f>
        <v/>
      </c>
      <c r="DM193" s="129">
        <f>IFERROR(if($X193=0,($V193/1.2)*BA193,
BA193*$X193),)</f>
        <v/>
      </c>
      <c r="DN193" s="129">
        <f>IFERROR(if($X193=0,($V193/1.2)*BB193,
BB193*$X193),)</f>
        <v/>
      </c>
      <c r="DO193" s="129">
        <f>IFERROR(if($X193=0,($V193/1.2)*BC193,
BC193*$X193),)</f>
        <v/>
      </c>
      <c r="DP193" s="130">
        <f>IFERROR(if($Z193=0,($V193/1.35)*BD193,
BD193*$Z193),)</f>
        <v/>
      </c>
      <c r="DQ193" s="130">
        <f>IFERROR(if($Z193=0,($V193/1.35)*BE193,
BE193*$Z193),)</f>
        <v/>
      </c>
      <c r="DR193" s="130">
        <f>IFERROR(if($Z193=0,($V193/1.35)*BF193,
BF193*$Z193),)</f>
        <v/>
      </c>
      <c r="DS193" s="128">
        <f>IFERROR(IF($AB193=0,($V193/0.74)*BG193,
BG193*$AB193),)</f>
        <v/>
      </c>
      <c r="DT193" s="128">
        <f>IFERROR(IF($AB193=0,($V193/0.74)*BH193,
BH193*$AB193),)</f>
        <v/>
      </c>
      <c r="DU193" s="128">
        <f>IFERROR(IF($AB193=0,($V193/0.74)*BI193,
BI193*$AB193),)</f>
        <v/>
      </c>
    </row>
    <row r="194" ht="131.25" customHeight="1" s="162">
      <c r="A194" s="115" t="n"/>
      <c r="B194" s="115" t="n"/>
      <c r="C194" s="115" t="n"/>
      <c r="D194" s="115" t="n"/>
      <c r="E194" s="115" t="n"/>
      <c r="F194" s="115" t="n"/>
      <c r="G194" s="115" t="n"/>
      <c r="H194" s="115" t="n"/>
      <c r="I194" s="115" t="n"/>
      <c r="J194" s="115" t="n"/>
      <c r="K194" s="115" t="n"/>
      <c r="L194" s="115" t="n"/>
      <c r="M194" s="115" t="n"/>
      <c r="N194" s="115" t="n"/>
      <c r="O194" s="115" t="n"/>
      <c r="P194" s="115" t="n"/>
      <c r="Q194" s="115" t="n"/>
      <c r="R194" s="115" t="n"/>
      <c r="S194" s="115" t="n"/>
      <c r="T194" s="115" t="n"/>
      <c r="U194" s="116" t="n"/>
      <c r="V194" s="116" t="n"/>
      <c r="W194" s="117" t="n"/>
      <c r="X194" s="118" t="n"/>
      <c r="Y194" s="119" t="n"/>
      <c r="Z194" s="120" t="n"/>
      <c r="AA194" s="121" t="n"/>
      <c r="AB194" s="122" t="n"/>
      <c r="AC194" s="117" t="n"/>
      <c r="AD194" s="123">
        <f>IF(SUM($AE194:$AH194)=0,"",SUM($AE194:$AH194))</f>
        <v/>
      </c>
      <c r="AE194" s="123">
        <f>iferror(IF(SUM($AI194:$AZ194)=0,"",SUM($AI194:$AZ194)),"")</f>
        <v/>
      </c>
      <c r="AF194" s="123">
        <f>iferror(IF(SUM($BA194:$BC194)=0,"",SUM($BA194:$BC194)),"")</f>
        <v/>
      </c>
      <c r="AG194" s="123">
        <f>iferror(IF(SUM($BD194:$BF194)=0,"",SUM($BD194:$BF194)),"")</f>
        <v/>
      </c>
      <c r="AH194" s="124">
        <f>iferror(IF(SUM($BG194:$BI194)=0,"",SUM($BG194:$BI194)),"")</f>
        <v/>
      </c>
      <c r="AI194" s="131" t="n"/>
      <c r="AJ194" s="132" t="n"/>
      <c r="AK194" s="132" t="n"/>
      <c r="AL194" s="132" t="n"/>
      <c r="AM194" s="132" t="n"/>
      <c r="AN194" s="132" t="n"/>
      <c r="AO194" s="132" t="n"/>
      <c r="AP194" s="132" t="n"/>
      <c r="AQ194" s="132" t="n"/>
      <c r="AR194" s="132" t="n"/>
      <c r="AS194" s="132" t="n"/>
      <c r="AT194" s="132" t="n"/>
      <c r="AU194" s="132" t="n"/>
      <c r="AV194" s="132" t="n"/>
      <c r="AW194" s="132" t="n"/>
      <c r="AX194" s="132" t="n"/>
      <c r="AY194" s="132" t="n"/>
      <c r="AZ194" s="133" t="n"/>
      <c r="BA194" s="131" t="n"/>
      <c r="BB194" s="132" t="n"/>
      <c r="BC194" s="133" t="n"/>
      <c r="BD194" s="131" t="n"/>
      <c r="BE194" s="132" t="n"/>
      <c r="BF194" s="133" t="n"/>
      <c r="BG194" s="131" t="n"/>
      <c r="BH194" s="132" t="n"/>
      <c r="BI194" s="132" t="n"/>
      <c r="BJ194" s="128">
        <f>iferror(SUM($BK194,($BL194*1.2),($BM194*1.35),($BN194*0.74)),)</f>
        <v/>
      </c>
      <c r="BK194" s="128">
        <f>IFERROR(SUM($BT194:$CK194),)</f>
        <v/>
      </c>
      <c r="BL194" s="129">
        <f>IFERROR(SUM($CL194:$CN194),)</f>
        <v/>
      </c>
      <c r="BM194" s="130">
        <f>IFERROR(SUM($CO194:$CQ194),)</f>
        <v/>
      </c>
      <c r="BN194" s="128">
        <f>IFERROR(SUM($CR194:$CT194),)</f>
        <v/>
      </c>
      <c r="BO194" s="128">
        <f>iferror(SUM($BP194,($BQ194*1.2),($BR194*1.35),($BS194*0.74)),)</f>
        <v/>
      </c>
      <c r="BP194" s="128">
        <f>IFERROR(SUM($CU194:$DL194),)</f>
        <v/>
      </c>
      <c r="BQ194" s="128">
        <f>IFERROR(SUM($DM194:$DO194),)</f>
        <v/>
      </c>
      <c r="BR194" s="128">
        <f>IFERROR(SUM($DP194:$DR194),)</f>
        <v/>
      </c>
      <c r="BS194" s="128">
        <f>IFERROR(SUM($DS194:$DU194),)</f>
        <v/>
      </c>
      <c r="BT194" s="128">
        <f>IFERROR(AI194*$W194,)</f>
        <v/>
      </c>
      <c r="BU194" s="128">
        <f>IFERROR(AJ194*$W194,)</f>
        <v/>
      </c>
      <c r="BV194" s="128">
        <f>IFERROR(AK194*$W194,)</f>
        <v/>
      </c>
      <c r="BW194" s="128">
        <f>IFERROR(AL194*$W194,)</f>
        <v/>
      </c>
      <c r="BX194" s="128">
        <f>IFERROR(AM194*$W194,)</f>
        <v/>
      </c>
      <c r="BY194" s="128">
        <f>IFERROR(AN194*$W194,)</f>
        <v/>
      </c>
      <c r="BZ194" s="128">
        <f>IFERROR(AO194*$W194,)</f>
        <v/>
      </c>
      <c r="CA194" s="128">
        <f>IFERROR(AP194*$W194,)</f>
        <v/>
      </c>
      <c r="CB194" s="128">
        <f>IFERROR(AQ194*$W194,)</f>
        <v/>
      </c>
      <c r="CC194" s="128">
        <f>IFERROR(AR194*$W194,)</f>
        <v/>
      </c>
      <c r="CD194" s="128">
        <f>IFERROR(AS194*$W194,)</f>
        <v/>
      </c>
      <c r="CE194" s="128">
        <f>IFERROR(AT194*$W194,)</f>
        <v/>
      </c>
      <c r="CF194" s="128">
        <f>IFERROR(AU194*$W194,)</f>
        <v/>
      </c>
      <c r="CG194" s="128">
        <f>IFERROR(AV194*$W194,)</f>
        <v/>
      </c>
      <c r="CH194" s="128">
        <f>IFERROR(AW194*$W194,)</f>
        <v/>
      </c>
      <c r="CI194" s="128">
        <f>IFERROR(AX194*$W194,)</f>
        <v/>
      </c>
      <c r="CJ194" s="128">
        <f>IFERROR(AY194*$W194,)</f>
        <v/>
      </c>
      <c r="CK194" s="128">
        <f>IFERROR(AZ194*$W194,)</f>
        <v/>
      </c>
      <c r="CL194" s="129">
        <f>IFERROR(if($Y194=0,BA194*($W194/1.2),BA194*$Y194),"")</f>
        <v/>
      </c>
      <c r="CM194" s="129">
        <f>IFERROR(if($Y194=0,BB194*($W194/1.2),BB194*$Y194),"")</f>
        <v/>
      </c>
      <c r="CN194" s="129">
        <f>IFERROR(if($Y194=0,BC194*($W194/1.2),BC194*$Y194),"")</f>
        <v/>
      </c>
      <c r="CO194" s="130">
        <f>IFERROR(if($AA194=0,($W194/1.35)*BD194,BD194*$AA194),)</f>
        <v/>
      </c>
      <c r="CP194" s="130">
        <f>IFERROR(if($AA194=0,($W194/1.35)*BE194,BE194*$AA194),)</f>
        <v/>
      </c>
      <c r="CQ194" s="130">
        <f>IFERROR(if($AA194=0,($W194/1.35)*BF194,BF194*$AA194),)</f>
        <v/>
      </c>
      <c r="CR194" s="128">
        <f>IFERROR(if($AC194=0,($W194/0.74)*BG194,
BG194*$AC194),)</f>
        <v/>
      </c>
      <c r="CS194" s="128">
        <f>IFERROR(if($AC194=0,($W194/0.74)*BH194,
BH194*$AC194),)</f>
        <v/>
      </c>
      <c r="CT194" s="128">
        <f>IFERROR(if($AC194=0,($W194/0.74)*BI194,
BI194*$AC194),)</f>
        <v/>
      </c>
      <c r="CU194" s="128">
        <f>IFERROR(AI194*$V194,)</f>
        <v/>
      </c>
      <c r="CV194" s="128">
        <f>IFERROR(AJ194*$V194,)</f>
        <v/>
      </c>
      <c r="CW194" s="128">
        <f>IFERROR(AK194*$V194,)</f>
        <v/>
      </c>
      <c r="CX194" s="128">
        <f>IFERROR(AL194*$V194,)</f>
        <v/>
      </c>
      <c r="CY194" s="128">
        <f>IFERROR(AM194*$V194,)</f>
        <v/>
      </c>
      <c r="CZ194" s="128">
        <f>IFERROR(AN194*$V194,)</f>
        <v/>
      </c>
      <c r="DA194" s="128">
        <f>IFERROR(AO194*$V194,)</f>
        <v/>
      </c>
      <c r="DB194" s="128">
        <f>IFERROR(AP194*$V194,)</f>
        <v/>
      </c>
      <c r="DC194" s="128">
        <f>IFERROR(AQ194*$V194,)</f>
        <v/>
      </c>
      <c r="DD194" s="128">
        <f>IFERROR(AR194*$V194,)</f>
        <v/>
      </c>
      <c r="DE194" s="128">
        <f>IFERROR(AS194*$V194,)</f>
        <v/>
      </c>
      <c r="DF194" s="128">
        <f>IFERROR(AT194*$V194,)</f>
        <v/>
      </c>
      <c r="DG194" s="128">
        <f>IFERROR(AU194*$V194,)</f>
        <v/>
      </c>
      <c r="DH194" s="128">
        <f>IFERROR(AV194*$V194,)</f>
        <v/>
      </c>
      <c r="DI194" s="128">
        <f>IFERROR(AW194*$V194,)</f>
        <v/>
      </c>
      <c r="DJ194" s="128">
        <f>IFERROR(AX194*$V194,)</f>
        <v/>
      </c>
      <c r="DK194" s="128">
        <f>IFERROR(AY194*$V194,)</f>
        <v/>
      </c>
      <c r="DL194" s="128">
        <f>IFERROR(AZ194*$V194,)</f>
        <v/>
      </c>
      <c r="DM194" s="129">
        <f>IFERROR(if($X194=0,($V194/1.2)*BA194,
BA194*$X194),)</f>
        <v/>
      </c>
      <c r="DN194" s="129">
        <f>IFERROR(if($X194=0,($V194/1.2)*BB194,
BB194*$X194),)</f>
        <v/>
      </c>
      <c r="DO194" s="129">
        <f>IFERROR(if($X194=0,($V194/1.2)*BC194,
BC194*$X194),)</f>
        <v/>
      </c>
      <c r="DP194" s="130">
        <f>IFERROR(if($Z194=0,($V194/1.35)*BD194,
BD194*$Z194),)</f>
        <v/>
      </c>
      <c r="DQ194" s="130">
        <f>IFERROR(if($Z194=0,($V194/1.35)*BE194,
BE194*$Z194),)</f>
        <v/>
      </c>
      <c r="DR194" s="130">
        <f>IFERROR(if($Z194=0,($V194/1.35)*BF194,
BF194*$Z194),)</f>
        <v/>
      </c>
      <c r="DS194" s="128">
        <f>IFERROR(IF($AB194=0,($V194/0.74)*BG194,
BG194*$AB194),)</f>
        <v/>
      </c>
      <c r="DT194" s="128">
        <f>IFERROR(IF($AB194=0,($V194/0.74)*BH194,
BH194*$AB194),)</f>
        <v/>
      </c>
      <c r="DU194" s="128">
        <f>IFERROR(IF($AB194=0,($V194/0.74)*BI194,
BI194*$AB194),)</f>
        <v/>
      </c>
    </row>
    <row r="195" ht="131.25" customHeight="1" s="162">
      <c r="A195" s="115" t="n"/>
      <c r="B195" s="115" t="n"/>
      <c r="C195" s="115" t="n"/>
      <c r="D195" s="115" t="n"/>
      <c r="E195" s="115" t="n"/>
      <c r="F195" s="115" t="n"/>
      <c r="G195" s="115" t="n"/>
      <c r="H195" s="115" t="n"/>
      <c r="I195" s="115" t="n"/>
      <c r="J195" s="115" t="n"/>
      <c r="K195" s="115" t="n"/>
      <c r="L195" s="115" t="n"/>
      <c r="M195" s="115" t="n"/>
      <c r="N195" s="115" t="n"/>
      <c r="O195" s="115" t="n"/>
      <c r="P195" s="115" t="n"/>
      <c r="Q195" s="115" t="n"/>
      <c r="R195" s="115" t="n"/>
      <c r="S195" s="115" t="n"/>
      <c r="T195" s="115" t="n"/>
      <c r="U195" s="116" t="n"/>
      <c r="V195" s="116" t="n"/>
      <c r="W195" s="117" t="n"/>
      <c r="X195" s="118" t="n"/>
      <c r="Y195" s="119" t="n"/>
      <c r="Z195" s="120" t="n"/>
      <c r="AA195" s="121" t="n"/>
      <c r="AB195" s="122" t="n"/>
      <c r="AC195" s="117" t="n"/>
      <c r="AD195" s="123">
        <f>IF(SUM($AE195:$AH195)=0,"",SUM($AE195:$AH195))</f>
        <v/>
      </c>
      <c r="AE195" s="123">
        <f>iferror(IF(SUM($AI195:$AZ195)=0,"",SUM($AI195:$AZ195)),"")</f>
        <v/>
      </c>
      <c r="AF195" s="123">
        <f>iferror(IF(SUM($BA195:$BC195)=0,"",SUM($BA195:$BC195)),"")</f>
        <v/>
      </c>
      <c r="AG195" s="123">
        <f>iferror(IF(SUM($BD195:$BF195)=0,"",SUM($BD195:$BF195)),"")</f>
        <v/>
      </c>
      <c r="AH195" s="124">
        <f>iferror(IF(SUM($BG195:$BI195)=0,"",SUM($BG195:$BI195)),"")</f>
        <v/>
      </c>
      <c r="AI195" s="131" t="n"/>
      <c r="AJ195" s="132" t="n"/>
      <c r="AK195" s="132" t="n"/>
      <c r="AL195" s="132" t="n"/>
      <c r="AM195" s="132" t="n"/>
      <c r="AN195" s="132" t="n"/>
      <c r="AO195" s="132" t="n"/>
      <c r="AP195" s="132" t="n"/>
      <c r="AQ195" s="132" t="n"/>
      <c r="AR195" s="132" t="n"/>
      <c r="AS195" s="132" t="n"/>
      <c r="AT195" s="132" t="n"/>
      <c r="AU195" s="132" t="n"/>
      <c r="AV195" s="132" t="n"/>
      <c r="AW195" s="132" t="n"/>
      <c r="AX195" s="132" t="n"/>
      <c r="AY195" s="132" t="n"/>
      <c r="AZ195" s="133" t="n"/>
      <c r="BA195" s="131" t="n"/>
      <c r="BB195" s="132" t="n"/>
      <c r="BC195" s="133" t="n"/>
      <c r="BD195" s="131" t="n"/>
      <c r="BE195" s="132" t="n"/>
      <c r="BF195" s="133" t="n"/>
      <c r="BG195" s="131" t="n"/>
      <c r="BH195" s="132" t="n"/>
      <c r="BI195" s="132" t="n"/>
      <c r="BJ195" s="128">
        <f>iferror(SUM($BK195,($BL195*1.2),($BM195*1.35),($BN195*0.74)),)</f>
        <v/>
      </c>
      <c r="BK195" s="128">
        <f>IFERROR(SUM($BT195:$CK195),)</f>
        <v/>
      </c>
      <c r="BL195" s="129">
        <f>IFERROR(SUM($CL195:$CN195),)</f>
        <v/>
      </c>
      <c r="BM195" s="130">
        <f>IFERROR(SUM($CO195:$CQ195),)</f>
        <v/>
      </c>
      <c r="BN195" s="128">
        <f>IFERROR(SUM($CR195:$CT195),)</f>
        <v/>
      </c>
      <c r="BO195" s="128">
        <f>iferror(SUM($BP195,($BQ195*1.2),($BR195*1.35),($BS195*0.74)),)</f>
        <v/>
      </c>
      <c r="BP195" s="128">
        <f>IFERROR(SUM($CU195:$DL195),)</f>
        <v/>
      </c>
      <c r="BQ195" s="128">
        <f>IFERROR(SUM($DM195:$DO195),)</f>
        <v/>
      </c>
      <c r="BR195" s="128">
        <f>IFERROR(SUM($DP195:$DR195),)</f>
        <v/>
      </c>
      <c r="BS195" s="128">
        <f>IFERROR(SUM($DS195:$DU195),)</f>
        <v/>
      </c>
      <c r="BT195" s="128">
        <f>IFERROR(AI195*$W195,)</f>
        <v/>
      </c>
      <c r="BU195" s="128">
        <f>IFERROR(AJ195*$W195,)</f>
        <v/>
      </c>
      <c r="BV195" s="128">
        <f>IFERROR(AK195*$W195,)</f>
        <v/>
      </c>
      <c r="BW195" s="128">
        <f>IFERROR(AL195*$W195,)</f>
        <v/>
      </c>
      <c r="BX195" s="128">
        <f>IFERROR(AM195*$W195,)</f>
        <v/>
      </c>
      <c r="BY195" s="128">
        <f>IFERROR(AN195*$W195,)</f>
        <v/>
      </c>
      <c r="BZ195" s="128">
        <f>IFERROR(AO195*$W195,)</f>
        <v/>
      </c>
      <c r="CA195" s="128">
        <f>IFERROR(AP195*$W195,)</f>
        <v/>
      </c>
      <c r="CB195" s="128">
        <f>IFERROR(AQ195*$W195,)</f>
        <v/>
      </c>
      <c r="CC195" s="128">
        <f>IFERROR(AR195*$W195,)</f>
        <v/>
      </c>
      <c r="CD195" s="128">
        <f>IFERROR(AS195*$W195,)</f>
        <v/>
      </c>
      <c r="CE195" s="128">
        <f>IFERROR(AT195*$W195,)</f>
        <v/>
      </c>
      <c r="CF195" s="128">
        <f>IFERROR(AU195*$W195,)</f>
        <v/>
      </c>
      <c r="CG195" s="128">
        <f>IFERROR(AV195*$W195,)</f>
        <v/>
      </c>
      <c r="CH195" s="128">
        <f>IFERROR(AW195*$W195,)</f>
        <v/>
      </c>
      <c r="CI195" s="128">
        <f>IFERROR(AX195*$W195,)</f>
        <v/>
      </c>
      <c r="CJ195" s="128">
        <f>IFERROR(AY195*$W195,)</f>
        <v/>
      </c>
      <c r="CK195" s="128">
        <f>IFERROR(AZ195*$W195,)</f>
        <v/>
      </c>
      <c r="CL195" s="129">
        <f>IFERROR(if($Y195=0,BA195*($W195/1.2),BA195*$Y195),"")</f>
        <v/>
      </c>
      <c r="CM195" s="129">
        <f>IFERROR(if($Y195=0,BB195*($W195/1.2),BB195*$Y195),"")</f>
        <v/>
      </c>
      <c r="CN195" s="129">
        <f>IFERROR(if($Y195=0,BC195*($W195/1.2),BC195*$Y195),"")</f>
        <v/>
      </c>
      <c r="CO195" s="130">
        <f>IFERROR(if($AA195=0,($W195/1.35)*BD195,BD195*$AA195),)</f>
        <v/>
      </c>
      <c r="CP195" s="130">
        <f>IFERROR(if($AA195=0,($W195/1.35)*BE195,BE195*$AA195),)</f>
        <v/>
      </c>
      <c r="CQ195" s="130">
        <f>IFERROR(if($AA195=0,($W195/1.35)*BF195,BF195*$AA195),)</f>
        <v/>
      </c>
      <c r="CR195" s="128">
        <f>IFERROR(if($AC195=0,($W195/0.74)*BG195,
BG195*$AC195),)</f>
        <v/>
      </c>
      <c r="CS195" s="128">
        <f>IFERROR(if($AC195=0,($W195/0.74)*BH195,
BH195*$AC195),)</f>
        <v/>
      </c>
      <c r="CT195" s="128">
        <f>IFERROR(if($AC195=0,($W195/0.74)*BI195,
BI195*$AC195),)</f>
        <v/>
      </c>
      <c r="CU195" s="128">
        <f>IFERROR(AI195*$V195,)</f>
        <v/>
      </c>
      <c r="CV195" s="128">
        <f>IFERROR(AJ195*$V195,)</f>
        <v/>
      </c>
      <c r="CW195" s="128">
        <f>IFERROR(AK195*$V195,)</f>
        <v/>
      </c>
      <c r="CX195" s="128">
        <f>IFERROR(AL195*$V195,)</f>
        <v/>
      </c>
      <c r="CY195" s="128">
        <f>IFERROR(AM195*$V195,)</f>
        <v/>
      </c>
      <c r="CZ195" s="128">
        <f>IFERROR(AN195*$V195,)</f>
        <v/>
      </c>
      <c r="DA195" s="128">
        <f>IFERROR(AO195*$V195,)</f>
        <v/>
      </c>
      <c r="DB195" s="128">
        <f>IFERROR(AP195*$V195,)</f>
        <v/>
      </c>
      <c r="DC195" s="128">
        <f>IFERROR(AQ195*$V195,)</f>
        <v/>
      </c>
      <c r="DD195" s="128">
        <f>IFERROR(AR195*$V195,)</f>
        <v/>
      </c>
      <c r="DE195" s="128">
        <f>IFERROR(AS195*$V195,)</f>
        <v/>
      </c>
      <c r="DF195" s="128">
        <f>IFERROR(AT195*$V195,)</f>
        <v/>
      </c>
      <c r="DG195" s="128">
        <f>IFERROR(AU195*$V195,)</f>
        <v/>
      </c>
      <c r="DH195" s="128">
        <f>IFERROR(AV195*$V195,)</f>
        <v/>
      </c>
      <c r="DI195" s="128">
        <f>IFERROR(AW195*$V195,)</f>
        <v/>
      </c>
      <c r="DJ195" s="128">
        <f>IFERROR(AX195*$V195,)</f>
        <v/>
      </c>
      <c r="DK195" s="128">
        <f>IFERROR(AY195*$V195,)</f>
        <v/>
      </c>
      <c r="DL195" s="128">
        <f>IFERROR(AZ195*$V195,)</f>
        <v/>
      </c>
      <c r="DM195" s="129">
        <f>IFERROR(if($X195=0,($V195/1.2)*BA195,
BA195*$X195),)</f>
        <v/>
      </c>
      <c r="DN195" s="129">
        <f>IFERROR(if($X195=0,($V195/1.2)*BB195,
BB195*$X195),)</f>
        <v/>
      </c>
      <c r="DO195" s="129">
        <f>IFERROR(if($X195=0,($V195/1.2)*BC195,
BC195*$X195),)</f>
        <v/>
      </c>
      <c r="DP195" s="130">
        <f>IFERROR(if($Z195=0,($V195/1.35)*BD195,
BD195*$Z195),)</f>
        <v/>
      </c>
      <c r="DQ195" s="130">
        <f>IFERROR(if($Z195=0,($V195/1.35)*BE195,
BE195*$Z195),)</f>
        <v/>
      </c>
      <c r="DR195" s="130">
        <f>IFERROR(if($Z195=0,($V195/1.35)*BF195,
BF195*$Z195),)</f>
        <v/>
      </c>
      <c r="DS195" s="128">
        <f>IFERROR(IF($AB195=0,($V195/0.74)*BG195,
BG195*$AB195),)</f>
        <v/>
      </c>
      <c r="DT195" s="128">
        <f>IFERROR(IF($AB195=0,($V195/0.74)*BH195,
BH195*$AB195),)</f>
        <v/>
      </c>
      <c r="DU195" s="128">
        <f>IFERROR(IF($AB195=0,($V195/0.74)*BI195,
BI195*$AB195),)</f>
        <v/>
      </c>
    </row>
    <row r="196" ht="131.25" customHeight="1" s="162">
      <c r="A196" s="115" t="n"/>
      <c r="B196" s="115" t="n"/>
      <c r="C196" s="115" t="n"/>
      <c r="D196" s="115" t="n"/>
      <c r="E196" s="115" t="n"/>
      <c r="F196" s="115" t="n"/>
      <c r="G196" s="115" t="n"/>
      <c r="H196" s="115" t="n"/>
      <c r="I196" s="115" t="n"/>
      <c r="J196" s="115" t="n"/>
      <c r="K196" s="115" t="n"/>
      <c r="L196" s="115" t="n"/>
      <c r="M196" s="115" t="n"/>
      <c r="N196" s="115" t="n"/>
      <c r="O196" s="115" t="n"/>
      <c r="P196" s="115" t="n"/>
      <c r="Q196" s="115" t="n"/>
      <c r="R196" s="115" t="n"/>
      <c r="S196" s="115" t="n"/>
      <c r="T196" s="115" t="n"/>
      <c r="U196" s="116" t="n"/>
      <c r="V196" s="116" t="n"/>
      <c r="W196" s="117" t="n"/>
      <c r="X196" s="118" t="n"/>
      <c r="Y196" s="119" t="n"/>
      <c r="Z196" s="120" t="n"/>
      <c r="AA196" s="121" t="n"/>
      <c r="AB196" s="122" t="n"/>
      <c r="AC196" s="117" t="n"/>
      <c r="AD196" s="123">
        <f>IF(SUM($AE196:$AH196)=0,"",SUM($AE196:$AH196))</f>
        <v/>
      </c>
      <c r="AE196" s="123">
        <f>iferror(IF(SUM($AI196:$AZ196)=0,"",SUM($AI196:$AZ196)),"")</f>
        <v/>
      </c>
      <c r="AF196" s="123">
        <f>iferror(IF(SUM($BA196:$BC196)=0,"",SUM($BA196:$BC196)),"")</f>
        <v/>
      </c>
      <c r="AG196" s="123">
        <f>iferror(IF(SUM($BD196:$BF196)=0,"",SUM($BD196:$BF196)),"")</f>
        <v/>
      </c>
      <c r="AH196" s="124">
        <f>iferror(IF(SUM($BG196:$BI196)=0,"",SUM($BG196:$BI196)),"")</f>
        <v/>
      </c>
      <c r="AI196" s="131" t="n"/>
      <c r="AJ196" s="132" t="n"/>
      <c r="AK196" s="132" t="n"/>
      <c r="AL196" s="132" t="n"/>
      <c r="AM196" s="132" t="n"/>
      <c r="AN196" s="132" t="n"/>
      <c r="AO196" s="132" t="n"/>
      <c r="AP196" s="132" t="n"/>
      <c r="AQ196" s="132" t="n"/>
      <c r="AR196" s="132" t="n"/>
      <c r="AS196" s="132" t="n"/>
      <c r="AT196" s="132" t="n"/>
      <c r="AU196" s="132" t="n"/>
      <c r="AV196" s="132" t="n"/>
      <c r="AW196" s="132" t="n"/>
      <c r="AX196" s="132" t="n"/>
      <c r="AY196" s="132" t="n"/>
      <c r="AZ196" s="133" t="n"/>
      <c r="BA196" s="131" t="n"/>
      <c r="BB196" s="132" t="n"/>
      <c r="BC196" s="133" t="n"/>
      <c r="BD196" s="131" t="n"/>
      <c r="BE196" s="132" t="n"/>
      <c r="BF196" s="133" t="n"/>
      <c r="BG196" s="131" t="n"/>
      <c r="BH196" s="132" t="n"/>
      <c r="BI196" s="132" t="n"/>
      <c r="BJ196" s="128">
        <f>iferror(SUM($BK196,($BL196*1.2),($BM196*1.35),($BN196*0.74)),)</f>
        <v/>
      </c>
      <c r="BK196" s="128">
        <f>IFERROR(SUM($BT196:$CK196),)</f>
        <v/>
      </c>
      <c r="BL196" s="129">
        <f>IFERROR(SUM($CL196:$CN196),)</f>
        <v/>
      </c>
      <c r="BM196" s="130">
        <f>IFERROR(SUM($CO196:$CQ196),)</f>
        <v/>
      </c>
      <c r="BN196" s="128">
        <f>IFERROR(SUM($CR196:$CT196),)</f>
        <v/>
      </c>
      <c r="BO196" s="128">
        <f>iferror(SUM($BP196,($BQ196*1.2),($BR196*1.35),($BS196*0.74)),)</f>
        <v/>
      </c>
      <c r="BP196" s="128">
        <f>IFERROR(SUM($CU196:$DL196),)</f>
        <v/>
      </c>
      <c r="BQ196" s="128">
        <f>IFERROR(SUM($DM196:$DO196),)</f>
        <v/>
      </c>
      <c r="BR196" s="128">
        <f>IFERROR(SUM($DP196:$DR196),)</f>
        <v/>
      </c>
      <c r="BS196" s="128">
        <f>IFERROR(SUM($DS196:$DU196),)</f>
        <v/>
      </c>
      <c r="BT196" s="128">
        <f>IFERROR(AI196*$W196,)</f>
        <v/>
      </c>
      <c r="BU196" s="128">
        <f>IFERROR(AJ196*$W196,)</f>
        <v/>
      </c>
      <c r="BV196" s="128">
        <f>IFERROR(AK196*$W196,)</f>
        <v/>
      </c>
      <c r="BW196" s="128">
        <f>IFERROR(AL196*$W196,)</f>
        <v/>
      </c>
      <c r="BX196" s="128">
        <f>IFERROR(AM196*$W196,)</f>
        <v/>
      </c>
      <c r="BY196" s="128">
        <f>IFERROR(AN196*$W196,)</f>
        <v/>
      </c>
      <c r="BZ196" s="128">
        <f>IFERROR(AO196*$W196,)</f>
        <v/>
      </c>
      <c r="CA196" s="128">
        <f>IFERROR(AP196*$W196,)</f>
        <v/>
      </c>
      <c r="CB196" s="128">
        <f>IFERROR(AQ196*$W196,)</f>
        <v/>
      </c>
      <c r="CC196" s="128">
        <f>IFERROR(AR196*$W196,)</f>
        <v/>
      </c>
      <c r="CD196" s="128">
        <f>IFERROR(AS196*$W196,)</f>
        <v/>
      </c>
      <c r="CE196" s="128">
        <f>IFERROR(AT196*$W196,)</f>
        <v/>
      </c>
      <c r="CF196" s="128">
        <f>IFERROR(AU196*$W196,)</f>
        <v/>
      </c>
      <c r="CG196" s="128">
        <f>IFERROR(AV196*$W196,)</f>
        <v/>
      </c>
      <c r="CH196" s="128">
        <f>IFERROR(AW196*$W196,)</f>
        <v/>
      </c>
      <c r="CI196" s="128">
        <f>IFERROR(AX196*$W196,)</f>
        <v/>
      </c>
      <c r="CJ196" s="128">
        <f>IFERROR(AY196*$W196,)</f>
        <v/>
      </c>
      <c r="CK196" s="128">
        <f>IFERROR(AZ196*$W196,)</f>
        <v/>
      </c>
      <c r="CL196" s="129">
        <f>IFERROR(if($Y196=0,BA196*($W196/1.2),BA196*$Y196),"")</f>
        <v/>
      </c>
      <c r="CM196" s="129">
        <f>IFERROR(if($Y196=0,BB196*($W196/1.2),BB196*$Y196),"")</f>
        <v/>
      </c>
      <c r="CN196" s="129">
        <f>IFERROR(if($Y196=0,BC196*($W196/1.2),BC196*$Y196),"")</f>
        <v/>
      </c>
      <c r="CO196" s="130">
        <f>IFERROR(if($AA196=0,($W196/1.35)*BD196,BD196*$AA196),)</f>
        <v/>
      </c>
      <c r="CP196" s="130">
        <f>IFERROR(if($AA196=0,($W196/1.35)*BE196,BE196*$AA196),)</f>
        <v/>
      </c>
      <c r="CQ196" s="130">
        <f>IFERROR(if($AA196=0,($W196/1.35)*BF196,BF196*$AA196),)</f>
        <v/>
      </c>
      <c r="CR196" s="128">
        <f>IFERROR(if($AC196=0,($W196/0.74)*BG196,
BG196*$AC196),)</f>
        <v/>
      </c>
      <c r="CS196" s="128">
        <f>IFERROR(if($AC196=0,($W196/0.74)*BH196,
BH196*$AC196),)</f>
        <v/>
      </c>
      <c r="CT196" s="128">
        <f>IFERROR(if($AC196=0,($W196/0.74)*BI196,
BI196*$AC196),)</f>
        <v/>
      </c>
      <c r="CU196" s="128">
        <f>IFERROR(AI196*$V196,)</f>
        <v/>
      </c>
      <c r="CV196" s="128">
        <f>IFERROR(AJ196*$V196,)</f>
        <v/>
      </c>
      <c r="CW196" s="128">
        <f>IFERROR(AK196*$V196,)</f>
        <v/>
      </c>
      <c r="CX196" s="128">
        <f>IFERROR(AL196*$V196,)</f>
        <v/>
      </c>
      <c r="CY196" s="128">
        <f>IFERROR(AM196*$V196,)</f>
        <v/>
      </c>
      <c r="CZ196" s="128">
        <f>IFERROR(AN196*$V196,)</f>
        <v/>
      </c>
      <c r="DA196" s="128">
        <f>IFERROR(AO196*$V196,)</f>
        <v/>
      </c>
      <c r="DB196" s="128">
        <f>IFERROR(AP196*$V196,)</f>
        <v/>
      </c>
      <c r="DC196" s="128">
        <f>IFERROR(AQ196*$V196,)</f>
        <v/>
      </c>
      <c r="DD196" s="128">
        <f>IFERROR(AR196*$V196,)</f>
        <v/>
      </c>
      <c r="DE196" s="128">
        <f>IFERROR(AS196*$V196,)</f>
        <v/>
      </c>
      <c r="DF196" s="128">
        <f>IFERROR(AT196*$V196,)</f>
        <v/>
      </c>
      <c r="DG196" s="128">
        <f>IFERROR(AU196*$V196,)</f>
        <v/>
      </c>
      <c r="DH196" s="128">
        <f>IFERROR(AV196*$V196,)</f>
        <v/>
      </c>
      <c r="DI196" s="128">
        <f>IFERROR(AW196*$V196,)</f>
        <v/>
      </c>
      <c r="DJ196" s="128">
        <f>IFERROR(AX196*$V196,)</f>
        <v/>
      </c>
      <c r="DK196" s="128">
        <f>IFERROR(AY196*$V196,)</f>
        <v/>
      </c>
      <c r="DL196" s="128">
        <f>IFERROR(AZ196*$V196,)</f>
        <v/>
      </c>
      <c r="DM196" s="129">
        <f>IFERROR(if($X196=0,($V196/1.2)*BA196,
BA196*$X196),)</f>
        <v/>
      </c>
      <c r="DN196" s="129">
        <f>IFERROR(if($X196=0,($V196/1.2)*BB196,
BB196*$X196),)</f>
        <v/>
      </c>
      <c r="DO196" s="129">
        <f>IFERROR(if($X196=0,($V196/1.2)*BC196,
BC196*$X196),)</f>
        <v/>
      </c>
      <c r="DP196" s="130">
        <f>IFERROR(if($Z196=0,($V196/1.35)*BD196,
BD196*$Z196),)</f>
        <v/>
      </c>
      <c r="DQ196" s="130">
        <f>IFERROR(if($Z196=0,($V196/1.35)*BE196,
BE196*$Z196),)</f>
        <v/>
      </c>
      <c r="DR196" s="130">
        <f>IFERROR(if($Z196=0,($V196/1.35)*BF196,
BF196*$Z196),)</f>
        <v/>
      </c>
      <c r="DS196" s="128">
        <f>IFERROR(IF($AB196=0,($V196/0.74)*BG196,
BG196*$AB196),)</f>
        <v/>
      </c>
      <c r="DT196" s="128">
        <f>IFERROR(IF($AB196=0,($V196/0.74)*BH196,
BH196*$AB196),)</f>
        <v/>
      </c>
      <c r="DU196" s="128">
        <f>IFERROR(IF($AB196=0,($V196/0.74)*BI196,
BI196*$AB196),)</f>
        <v/>
      </c>
    </row>
    <row r="197" ht="131.25" customHeight="1" s="162">
      <c r="A197" s="115" t="n"/>
      <c r="B197" s="115" t="n"/>
      <c r="C197" s="115" t="n"/>
      <c r="D197" s="115" t="n"/>
      <c r="E197" s="115" t="n"/>
      <c r="F197" s="115" t="n"/>
      <c r="G197" s="115" t="n"/>
      <c r="H197" s="115" t="n"/>
      <c r="I197" s="115" t="n"/>
      <c r="J197" s="115" t="n"/>
      <c r="K197" s="115" t="n"/>
      <c r="L197" s="115" t="n"/>
      <c r="M197" s="115" t="n"/>
      <c r="N197" s="115" t="n"/>
      <c r="O197" s="115" t="n"/>
      <c r="P197" s="115" t="n"/>
      <c r="Q197" s="115" t="n"/>
      <c r="R197" s="115" t="n"/>
      <c r="S197" s="115" t="n"/>
      <c r="T197" s="115" t="n"/>
      <c r="U197" s="116" t="n"/>
      <c r="V197" s="116" t="n"/>
      <c r="W197" s="117" t="n"/>
      <c r="X197" s="118" t="n"/>
      <c r="Y197" s="119" t="n"/>
      <c r="Z197" s="120" t="n"/>
      <c r="AA197" s="121" t="n"/>
      <c r="AB197" s="122" t="n"/>
      <c r="AC197" s="117" t="n"/>
      <c r="AD197" s="123">
        <f>IF(SUM($AE197:$AH197)=0,"",SUM($AE197:$AH197))</f>
        <v/>
      </c>
      <c r="AE197" s="123">
        <f>iferror(IF(SUM($AI197:$AZ197)=0,"",SUM($AI197:$AZ197)),"")</f>
        <v/>
      </c>
      <c r="AF197" s="123">
        <f>iferror(IF(SUM($BA197:$BC197)=0,"",SUM($BA197:$BC197)),"")</f>
        <v/>
      </c>
      <c r="AG197" s="123">
        <f>iferror(IF(SUM($BD197:$BF197)=0,"",SUM($BD197:$BF197)),"")</f>
        <v/>
      </c>
      <c r="AH197" s="124">
        <f>iferror(IF(SUM($BG197:$BI197)=0,"",SUM($BG197:$BI197)),"")</f>
        <v/>
      </c>
      <c r="AI197" s="131" t="n"/>
      <c r="AJ197" s="132" t="n"/>
      <c r="AK197" s="132" t="n"/>
      <c r="AL197" s="132" t="n"/>
      <c r="AM197" s="132" t="n"/>
      <c r="AN197" s="132" t="n"/>
      <c r="AO197" s="132" t="n"/>
      <c r="AP197" s="132" t="n"/>
      <c r="AQ197" s="132" t="n"/>
      <c r="AR197" s="132" t="n"/>
      <c r="AS197" s="132" t="n"/>
      <c r="AT197" s="132" t="n"/>
      <c r="AU197" s="132" t="n"/>
      <c r="AV197" s="132" t="n"/>
      <c r="AW197" s="132" t="n"/>
      <c r="AX197" s="132" t="n"/>
      <c r="AY197" s="132" t="n"/>
      <c r="AZ197" s="133" t="n"/>
      <c r="BA197" s="131" t="n"/>
      <c r="BB197" s="132" t="n"/>
      <c r="BC197" s="133" t="n"/>
      <c r="BD197" s="131" t="n"/>
      <c r="BE197" s="132" t="n"/>
      <c r="BF197" s="133" t="n"/>
      <c r="BG197" s="131" t="n"/>
      <c r="BH197" s="132" t="n"/>
      <c r="BI197" s="132" t="n"/>
      <c r="BJ197" s="128">
        <f>iferror(SUM($BK197,($BL197*1.2),($BM197*1.35),($BN197*0.74)),)</f>
        <v/>
      </c>
      <c r="BK197" s="128">
        <f>IFERROR(SUM($BT197:$CK197),)</f>
        <v/>
      </c>
      <c r="BL197" s="129">
        <f>IFERROR(SUM($CL197:$CN197),)</f>
        <v/>
      </c>
      <c r="BM197" s="130">
        <f>IFERROR(SUM($CO197:$CQ197),)</f>
        <v/>
      </c>
      <c r="BN197" s="128">
        <f>IFERROR(SUM($CR197:$CT197),)</f>
        <v/>
      </c>
      <c r="BO197" s="128">
        <f>iferror(SUM($BP197,($BQ197*1.2),($BR197*1.35),($BS197*0.74)),)</f>
        <v/>
      </c>
      <c r="BP197" s="128">
        <f>IFERROR(SUM($CU197:$DL197),)</f>
        <v/>
      </c>
      <c r="BQ197" s="128">
        <f>IFERROR(SUM($DM197:$DO197),)</f>
        <v/>
      </c>
      <c r="BR197" s="128">
        <f>IFERROR(SUM($DP197:$DR197),)</f>
        <v/>
      </c>
      <c r="BS197" s="128">
        <f>IFERROR(SUM($DS197:$DU197),)</f>
        <v/>
      </c>
      <c r="BT197" s="128">
        <f>IFERROR(AI197*$W197,)</f>
        <v/>
      </c>
      <c r="BU197" s="128">
        <f>IFERROR(AJ197*$W197,)</f>
        <v/>
      </c>
      <c r="BV197" s="128">
        <f>IFERROR(AK197*$W197,)</f>
        <v/>
      </c>
      <c r="BW197" s="128">
        <f>IFERROR(AL197*$W197,)</f>
        <v/>
      </c>
      <c r="BX197" s="128">
        <f>IFERROR(AM197*$W197,)</f>
        <v/>
      </c>
      <c r="BY197" s="128">
        <f>IFERROR(AN197*$W197,)</f>
        <v/>
      </c>
      <c r="BZ197" s="128">
        <f>IFERROR(AO197*$W197,)</f>
        <v/>
      </c>
      <c r="CA197" s="128">
        <f>IFERROR(AP197*$W197,)</f>
        <v/>
      </c>
      <c r="CB197" s="128">
        <f>IFERROR(AQ197*$W197,)</f>
        <v/>
      </c>
      <c r="CC197" s="128">
        <f>IFERROR(AR197*$W197,)</f>
        <v/>
      </c>
      <c r="CD197" s="128">
        <f>IFERROR(AS197*$W197,)</f>
        <v/>
      </c>
      <c r="CE197" s="128">
        <f>IFERROR(AT197*$W197,)</f>
        <v/>
      </c>
      <c r="CF197" s="128">
        <f>IFERROR(AU197*$W197,)</f>
        <v/>
      </c>
      <c r="CG197" s="128">
        <f>IFERROR(AV197*$W197,)</f>
        <v/>
      </c>
      <c r="CH197" s="128">
        <f>IFERROR(AW197*$W197,)</f>
        <v/>
      </c>
      <c r="CI197" s="128">
        <f>IFERROR(AX197*$W197,)</f>
        <v/>
      </c>
      <c r="CJ197" s="128">
        <f>IFERROR(AY197*$W197,)</f>
        <v/>
      </c>
      <c r="CK197" s="128">
        <f>IFERROR(AZ197*$W197,)</f>
        <v/>
      </c>
      <c r="CL197" s="129">
        <f>IFERROR(if($Y197=0,BA197*($W197/1.2),BA197*$Y197),"")</f>
        <v/>
      </c>
      <c r="CM197" s="129">
        <f>IFERROR(if($Y197=0,BB197*($W197/1.2),BB197*$Y197),"")</f>
        <v/>
      </c>
      <c r="CN197" s="129">
        <f>IFERROR(if($Y197=0,BC197*($W197/1.2),BC197*$Y197),"")</f>
        <v/>
      </c>
      <c r="CO197" s="130">
        <f>IFERROR(if($AA197=0,($W197/1.35)*BD197,BD197*$AA197),)</f>
        <v/>
      </c>
      <c r="CP197" s="130">
        <f>IFERROR(if($AA197=0,($W197/1.35)*BE197,BE197*$AA197),)</f>
        <v/>
      </c>
      <c r="CQ197" s="130">
        <f>IFERROR(if($AA197=0,($W197/1.35)*BF197,BF197*$AA197),)</f>
        <v/>
      </c>
      <c r="CR197" s="128">
        <f>IFERROR(if($AC197=0,($W197/0.74)*BG197,
BG197*$AC197),)</f>
        <v/>
      </c>
      <c r="CS197" s="128">
        <f>IFERROR(if($AC197=0,($W197/0.74)*BH197,
BH197*$AC197),)</f>
        <v/>
      </c>
      <c r="CT197" s="128">
        <f>IFERROR(if($AC197=0,($W197/0.74)*BI197,
BI197*$AC197),)</f>
        <v/>
      </c>
      <c r="CU197" s="128">
        <f>IFERROR(AI197*$V197,)</f>
        <v/>
      </c>
      <c r="CV197" s="128">
        <f>IFERROR(AJ197*$V197,)</f>
        <v/>
      </c>
      <c r="CW197" s="128">
        <f>IFERROR(AK197*$V197,)</f>
        <v/>
      </c>
      <c r="CX197" s="128">
        <f>IFERROR(AL197*$V197,)</f>
        <v/>
      </c>
      <c r="CY197" s="128">
        <f>IFERROR(AM197*$V197,)</f>
        <v/>
      </c>
      <c r="CZ197" s="128">
        <f>IFERROR(AN197*$V197,)</f>
        <v/>
      </c>
      <c r="DA197" s="128">
        <f>IFERROR(AO197*$V197,)</f>
        <v/>
      </c>
      <c r="DB197" s="128">
        <f>IFERROR(AP197*$V197,)</f>
        <v/>
      </c>
      <c r="DC197" s="128">
        <f>IFERROR(AQ197*$V197,)</f>
        <v/>
      </c>
      <c r="DD197" s="128">
        <f>IFERROR(AR197*$V197,)</f>
        <v/>
      </c>
      <c r="DE197" s="128">
        <f>IFERROR(AS197*$V197,)</f>
        <v/>
      </c>
      <c r="DF197" s="128">
        <f>IFERROR(AT197*$V197,)</f>
        <v/>
      </c>
      <c r="DG197" s="128">
        <f>IFERROR(AU197*$V197,)</f>
        <v/>
      </c>
      <c r="DH197" s="128">
        <f>IFERROR(AV197*$V197,)</f>
        <v/>
      </c>
      <c r="DI197" s="128">
        <f>IFERROR(AW197*$V197,)</f>
        <v/>
      </c>
      <c r="DJ197" s="128">
        <f>IFERROR(AX197*$V197,)</f>
        <v/>
      </c>
      <c r="DK197" s="128">
        <f>IFERROR(AY197*$V197,)</f>
        <v/>
      </c>
      <c r="DL197" s="128">
        <f>IFERROR(AZ197*$V197,)</f>
        <v/>
      </c>
      <c r="DM197" s="129">
        <f>IFERROR(if($X197=0,($V197/1.2)*BA197,
BA197*$X197),)</f>
        <v/>
      </c>
      <c r="DN197" s="129">
        <f>IFERROR(if($X197=0,($V197/1.2)*BB197,
BB197*$X197),)</f>
        <v/>
      </c>
      <c r="DO197" s="129">
        <f>IFERROR(if($X197=0,($V197/1.2)*BC197,
BC197*$X197),)</f>
        <v/>
      </c>
      <c r="DP197" s="130">
        <f>IFERROR(if($Z197=0,($V197/1.35)*BD197,
BD197*$Z197),)</f>
        <v/>
      </c>
      <c r="DQ197" s="130">
        <f>IFERROR(if($Z197=0,($V197/1.35)*BE197,
BE197*$Z197),)</f>
        <v/>
      </c>
      <c r="DR197" s="130">
        <f>IFERROR(if($Z197=0,($V197/1.35)*BF197,
BF197*$Z197),)</f>
        <v/>
      </c>
      <c r="DS197" s="128">
        <f>IFERROR(IF($AB197=0,($V197/0.74)*BG197,
BG197*$AB197),)</f>
        <v/>
      </c>
      <c r="DT197" s="128">
        <f>IFERROR(IF($AB197=0,($V197/0.74)*BH197,
BH197*$AB197),)</f>
        <v/>
      </c>
      <c r="DU197" s="128">
        <f>IFERROR(IF($AB197=0,($V197/0.74)*BI197,
BI197*$AB197),)</f>
        <v/>
      </c>
    </row>
    <row r="198" ht="131.25" customHeight="1" s="162">
      <c r="A198" s="115" t="n"/>
      <c r="B198" s="115" t="n"/>
      <c r="C198" s="115" t="n"/>
      <c r="D198" s="115" t="n"/>
      <c r="E198" s="115" t="n"/>
      <c r="F198" s="115" t="n"/>
      <c r="G198" s="115" t="n"/>
      <c r="H198" s="115" t="n"/>
      <c r="I198" s="115" t="n"/>
      <c r="J198" s="115" t="n"/>
      <c r="K198" s="115" t="n"/>
      <c r="L198" s="115" t="n"/>
      <c r="M198" s="115" t="n"/>
      <c r="N198" s="115" t="n"/>
      <c r="O198" s="115" t="n"/>
      <c r="P198" s="115" t="n"/>
      <c r="Q198" s="115" t="n"/>
      <c r="R198" s="115" t="n"/>
      <c r="S198" s="115" t="n"/>
      <c r="T198" s="115" t="n"/>
      <c r="U198" s="116" t="n"/>
      <c r="V198" s="116" t="n"/>
      <c r="W198" s="117" t="n"/>
      <c r="X198" s="118" t="n"/>
      <c r="Y198" s="119" t="n"/>
      <c r="Z198" s="120" t="n"/>
      <c r="AA198" s="121" t="n"/>
      <c r="AB198" s="122" t="n"/>
      <c r="AC198" s="117" t="n"/>
      <c r="AD198" s="123">
        <f>IF(SUM($AE198:$AH198)=0,"",SUM($AE198:$AH198))</f>
        <v/>
      </c>
      <c r="AE198" s="123">
        <f>iferror(IF(SUM($AI198:$AZ198)=0,"",SUM($AI198:$AZ198)),"")</f>
        <v/>
      </c>
      <c r="AF198" s="123">
        <f>iferror(IF(SUM($BA198:$BC198)=0,"",SUM($BA198:$BC198)),"")</f>
        <v/>
      </c>
      <c r="AG198" s="123">
        <f>iferror(IF(SUM($BD198:$BF198)=0,"",SUM($BD198:$BF198)),"")</f>
        <v/>
      </c>
      <c r="AH198" s="124">
        <f>iferror(IF(SUM($BG198:$BI198)=0,"",SUM($BG198:$BI198)),"")</f>
        <v/>
      </c>
      <c r="AI198" s="131" t="n"/>
      <c r="AJ198" s="132" t="n"/>
      <c r="AK198" s="132" t="n"/>
      <c r="AL198" s="132" t="n"/>
      <c r="AM198" s="132" t="n"/>
      <c r="AN198" s="132" t="n"/>
      <c r="AO198" s="132" t="n"/>
      <c r="AP198" s="132" t="n"/>
      <c r="AQ198" s="132" t="n"/>
      <c r="AR198" s="132" t="n"/>
      <c r="AS198" s="132" t="n"/>
      <c r="AT198" s="132" t="n"/>
      <c r="AU198" s="132" t="n"/>
      <c r="AV198" s="132" t="n"/>
      <c r="AW198" s="132" t="n"/>
      <c r="AX198" s="132" t="n"/>
      <c r="AY198" s="132" t="n"/>
      <c r="AZ198" s="133" t="n"/>
      <c r="BA198" s="131" t="n"/>
      <c r="BB198" s="132" t="n"/>
      <c r="BC198" s="133" t="n"/>
      <c r="BD198" s="131" t="n"/>
      <c r="BE198" s="132" t="n"/>
      <c r="BF198" s="133" t="n"/>
      <c r="BG198" s="131" t="n"/>
      <c r="BH198" s="132" t="n"/>
      <c r="BI198" s="132" t="n"/>
      <c r="BJ198" s="128">
        <f>iferror(SUM($BK198,($BL198*1.2),($BM198*1.35),($BN198*0.74)),)</f>
        <v/>
      </c>
      <c r="BK198" s="128">
        <f>IFERROR(SUM($BT198:$CK198),)</f>
        <v/>
      </c>
      <c r="BL198" s="129">
        <f>IFERROR(SUM($CL198:$CN198),)</f>
        <v/>
      </c>
      <c r="BM198" s="130">
        <f>IFERROR(SUM($CO198:$CQ198),)</f>
        <v/>
      </c>
      <c r="BN198" s="128">
        <f>IFERROR(SUM($CR198:$CT198),)</f>
        <v/>
      </c>
      <c r="BO198" s="128">
        <f>iferror(SUM($BP198,($BQ198*1.2),($BR198*1.35),($BS198*0.74)),)</f>
        <v/>
      </c>
      <c r="BP198" s="128">
        <f>IFERROR(SUM($CU198:$DL198),)</f>
        <v/>
      </c>
      <c r="BQ198" s="128">
        <f>IFERROR(SUM($DM198:$DO198),)</f>
        <v/>
      </c>
      <c r="BR198" s="128">
        <f>IFERROR(SUM($DP198:$DR198),)</f>
        <v/>
      </c>
      <c r="BS198" s="128">
        <f>IFERROR(SUM($DS198:$DU198),)</f>
        <v/>
      </c>
      <c r="BT198" s="128">
        <f>IFERROR(AI198*$W198,)</f>
        <v/>
      </c>
      <c r="BU198" s="128">
        <f>IFERROR(AJ198*$W198,)</f>
        <v/>
      </c>
      <c r="BV198" s="128">
        <f>IFERROR(AK198*$W198,)</f>
        <v/>
      </c>
      <c r="BW198" s="128">
        <f>IFERROR(AL198*$W198,)</f>
        <v/>
      </c>
      <c r="BX198" s="128">
        <f>IFERROR(AM198*$W198,)</f>
        <v/>
      </c>
      <c r="BY198" s="128">
        <f>IFERROR(AN198*$W198,)</f>
        <v/>
      </c>
      <c r="BZ198" s="128">
        <f>IFERROR(AO198*$W198,)</f>
        <v/>
      </c>
      <c r="CA198" s="128">
        <f>IFERROR(AP198*$W198,)</f>
        <v/>
      </c>
      <c r="CB198" s="128">
        <f>IFERROR(AQ198*$W198,)</f>
        <v/>
      </c>
      <c r="CC198" s="128">
        <f>IFERROR(AR198*$W198,)</f>
        <v/>
      </c>
      <c r="CD198" s="128">
        <f>IFERROR(AS198*$W198,)</f>
        <v/>
      </c>
      <c r="CE198" s="128">
        <f>IFERROR(AT198*$W198,)</f>
        <v/>
      </c>
      <c r="CF198" s="128">
        <f>IFERROR(AU198*$W198,)</f>
        <v/>
      </c>
      <c r="CG198" s="128">
        <f>IFERROR(AV198*$W198,)</f>
        <v/>
      </c>
      <c r="CH198" s="128">
        <f>IFERROR(AW198*$W198,)</f>
        <v/>
      </c>
      <c r="CI198" s="128">
        <f>IFERROR(AX198*$W198,)</f>
        <v/>
      </c>
      <c r="CJ198" s="128">
        <f>IFERROR(AY198*$W198,)</f>
        <v/>
      </c>
      <c r="CK198" s="128">
        <f>IFERROR(AZ198*$W198,)</f>
        <v/>
      </c>
      <c r="CL198" s="129">
        <f>IFERROR(if($Y198=0,BA198*($W198/1.2),BA198*$Y198),"")</f>
        <v/>
      </c>
      <c r="CM198" s="129">
        <f>IFERROR(if($Y198=0,BB198*($W198/1.2),BB198*$Y198),"")</f>
        <v/>
      </c>
      <c r="CN198" s="129">
        <f>IFERROR(if($Y198=0,BC198*($W198/1.2),BC198*$Y198),"")</f>
        <v/>
      </c>
      <c r="CO198" s="130">
        <f>IFERROR(if($AA198=0,($W198/1.35)*BD198,BD198*$AA198),)</f>
        <v/>
      </c>
      <c r="CP198" s="130">
        <f>IFERROR(if($AA198=0,($W198/1.35)*BE198,BE198*$AA198),)</f>
        <v/>
      </c>
      <c r="CQ198" s="130">
        <f>IFERROR(if($AA198=0,($W198/1.35)*BF198,BF198*$AA198),)</f>
        <v/>
      </c>
      <c r="CR198" s="128">
        <f>IFERROR(if($AC198=0,($W198/0.74)*BG198,
BG198*$AC198),)</f>
        <v/>
      </c>
      <c r="CS198" s="128">
        <f>IFERROR(if($AC198=0,($W198/0.74)*BH198,
BH198*$AC198),)</f>
        <v/>
      </c>
      <c r="CT198" s="128">
        <f>IFERROR(if($AC198=0,($W198/0.74)*BI198,
BI198*$AC198),)</f>
        <v/>
      </c>
      <c r="CU198" s="128">
        <f>IFERROR(AI198*$V198,)</f>
        <v/>
      </c>
      <c r="CV198" s="128">
        <f>IFERROR(AJ198*$V198,)</f>
        <v/>
      </c>
      <c r="CW198" s="128">
        <f>IFERROR(AK198*$V198,)</f>
        <v/>
      </c>
      <c r="CX198" s="128">
        <f>IFERROR(AL198*$V198,)</f>
        <v/>
      </c>
      <c r="CY198" s="128">
        <f>IFERROR(AM198*$V198,)</f>
        <v/>
      </c>
      <c r="CZ198" s="128">
        <f>IFERROR(AN198*$V198,)</f>
        <v/>
      </c>
      <c r="DA198" s="128">
        <f>IFERROR(AO198*$V198,)</f>
        <v/>
      </c>
      <c r="DB198" s="128">
        <f>IFERROR(AP198*$V198,)</f>
        <v/>
      </c>
      <c r="DC198" s="128">
        <f>IFERROR(AQ198*$V198,)</f>
        <v/>
      </c>
      <c r="DD198" s="128">
        <f>IFERROR(AR198*$V198,)</f>
        <v/>
      </c>
      <c r="DE198" s="128">
        <f>IFERROR(AS198*$V198,)</f>
        <v/>
      </c>
      <c r="DF198" s="128">
        <f>IFERROR(AT198*$V198,)</f>
        <v/>
      </c>
      <c r="DG198" s="128">
        <f>IFERROR(AU198*$V198,)</f>
        <v/>
      </c>
      <c r="DH198" s="128">
        <f>IFERROR(AV198*$V198,)</f>
        <v/>
      </c>
      <c r="DI198" s="128">
        <f>IFERROR(AW198*$V198,)</f>
        <v/>
      </c>
      <c r="DJ198" s="128">
        <f>IFERROR(AX198*$V198,)</f>
        <v/>
      </c>
      <c r="DK198" s="128">
        <f>IFERROR(AY198*$V198,)</f>
        <v/>
      </c>
      <c r="DL198" s="128">
        <f>IFERROR(AZ198*$V198,)</f>
        <v/>
      </c>
      <c r="DM198" s="129">
        <f>IFERROR(if($X198=0,($V198/1.2)*BA198,
BA198*$X198),)</f>
        <v/>
      </c>
      <c r="DN198" s="129">
        <f>IFERROR(if($X198=0,($V198/1.2)*BB198,
BB198*$X198),)</f>
        <v/>
      </c>
      <c r="DO198" s="129">
        <f>IFERROR(if($X198=0,($V198/1.2)*BC198,
BC198*$X198),)</f>
        <v/>
      </c>
      <c r="DP198" s="130">
        <f>IFERROR(if($Z198=0,($V198/1.35)*BD198,
BD198*$Z198),)</f>
        <v/>
      </c>
      <c r="DQ198" s="130">
        <f>IFERROR(if($Z198=0,($V198/1.35)*BE198,
BE198*$Z198),)</f>
        <v/>
      </c>
      <c r="DR198" s="130">
        <f>IFERROR(if($Z198=0,($V198/1.35)*BF198,
BF198*$Z198),)</f>
        <v/>
      </c>
      <c r="DS198" s="128">
        <f>IFERROR(IF($AB198=0,($V198/0.74)*BG198,
BG198*$AB198),)</f>
        <v/>
      </c>
      <c r="DT198" s="128">
        <f>IFERROR(IF($AB198=0,($V198/0.74)*BH198,
BH198*$AB198),)</f>
        <v/>
      </c>
      <c r="DU198" s="128">
        <f>IFERROR(IF($AB198=0,($V198/0.74)*BI198,
BI198*$AB198),)</f>
        <v/>
      </c>
    </row>
    <row r="199" ht="131.25" customHeight="1" s="162">
      <c r="A199" s="115" t="n"/>
      <c r="B199" s="115" t="n"/>
      <c r="C199" s="115" t="n"/>
      <c r="D199" s="115" t="n"/>
      <c r="E199" s="115" t="n"/>
      <c r="F199" s="115" t="n"/>
      <c r="G199" s="115" t="n"/>
      <c r="H199" s="115" t="n"/>
      <c r="I199" s="115" t="n"/>
      <c r="J199" s="115" t="n"/>
      <c r="K199" s="115" t="n"/>
      <c r="L199" s="115" t="n"/>
      <c r="M199" s="115" t="n"/>
      <c r="N199" s="115" t="n"/>
      <c r="O199" s="115" t="n"/>
      <c r="P199" s="115" t="n"/>
      <c r="Q199" s="115" t="n"/>
      <c r="R199" s="115" t="n"/>
      <c r="S199" s="115" t="n"/>
      <c r="T199" s="115" t="n"/>
      <c r="U199" s="116" t="n"/>
      <c r="V199" s="116" t="n"/>
      <c r="W199" s="117" t="n"/>
      <c r="X199" s="118" t="n"/>
      <c r="Y199" s="119" t="n"/>
      <c r="Z199" s="120" t="n"/>
      <c r="AA199" s="121" t="n"/>
      <c r="AB199" s="122" t="n"/>
      <c r="AC199" s="117" t="n"/>
      <c r="AD199" s="123">
        <f>IF(SUM($AE199:$AH199)=0,"",SUM($AE199:$AH199))</f>
        <v/>
      </c>
      <c r="AE199" s="123">
        <f>iferror(IF(SUM($AI199:$AZ199)=0,"",SUM($AI199:$AZ199)),"")</f>
        <v/>
      </c>
      <c r="AF199" s="123">
        <f>iferror(IF(SUM($BA199:$BC199)=0,"",SUM($BA199:$BC199)),"")</f>
        <v/>
      </c>
      <c r="AG199" s="123">
        <f>iferror(IF(SUM($BD199:$BF199)=0,"",SUM($BD199:$BF199)),"")</f>
        <v/>
      </c>
      <c r="AH199" s="124">
        <f>iferror(IF(SUM($BG199:$BI199)=0,"",SUM($BG199:$BI199)),"")</f>
        <v/>
      </c>
      <c r="AI199" s="131" t="n"/>
      <c r="AJ199" s="132" t="n"/>
      <c r="AK199" s="132" t="n"/>
      <c r="AL199" s="132" t="n"/>
      <c r="AM199" s="132" t="n"/>
      <c r="AN199" s="132" t="n"/>
      <c r="AO199" s="132" t="n"/>
      <c r="AP199" s="132" t="n"/>
      <c r="AQ199" s="132" t="n"/>
      <c r="AR199" s="132" t="n"/>
      <c r="AS199" s="132" t="n"/>
      <c r="AT199" s="132" t="n"/>
      <c r="AU199" s="132" t="n"/>
      <c r="AV199" s="132" t="n"/>
      <c r="AW199" s="132" t="n"/>
      <c r="AX199" s="132" t="n"/>
      <c r="AY199" s="132" t="n"/>
      <c r="AZ199" s="133" t="n"/>
      <c r="BA199" s="131" t="n"/>
      <c r="BB199" s="132" t="n"/>
      <c r="BC199" s="133" t="n"/>
      <c r="BD199" s="131" t="n"/>
      <c r="BE199" s="132" t="n"/>
      <c r="BF199" s="133" t="n"/>
      <c r="BG199" s="131" t="n"/>
      <c r="BH199" s="132" t="n"/>
      <c r="BI199" s="132" t="n"/>
      <c r="BJ199" s="128">
        <f>iferror(SUM($BK199,($BL199*1.2),($BM199*1.35),($BN199*0.74)),)</f>
        <v/>
      </c>
      <c r="BK199" s="128">
        <f>IFERROR(SUM($BT199:$CK199),)</f>
        <v/>
      </c>
      <c r="BL199" s="129">
        <f>IFERROR(SUM($CL199:$CN199),)</f>
        <v/>
      </c>
      <c r="BM199" s="130">
        <f>IFERROR(SUM($CO199:$CQ199),)</f>
        <v/>
      </c>
      <c r="BN199" s="128">
        <f>IFERROR(SUM($CR199:$CT199),)</f>
        <v/>
      </c>
      <c r="BO199" s="128">
        <f>iferror(SUM($BP199,($BQ199*1.2),($BR199*1.35),($BS199*0.74)),)</f>
        <v/>
      </c>
      <c r="BP199" s="128">
        <f>IFERROR(SUM($CU199:$DL199),)</f>
        <v/>
      </c>
      <c r="BQ199" s="128">
        <f>IFERROR(SUM($DM199:$DO199),)</f>
        <v/>
      </c>
      <c r="BR199" s="128">
        <f>IFERROR(SUM($DP199:$DR199),)</f>
        <v/>
      </c>
      <c r="BS199" s="128">
        <f>IFERROR(SUM($DS199:$DU199),)</f>
        <v/>
      </c>
      <c r="BT199" s="128">
        <f>IFERROR(AI199*$W199,)</f>
        <v/>
      </c>
      <c r="BU199" s="128">
        <f>IFERROR(AJ199*$W199,)</f>
        <v/>
      </c>
      <c r="BV199" s="128">
        <f>IFERROR(AK199*$W199,)</f>
        <v/>
      </c>
      <c r="BW199" s="128">
        <f>IFERROR(AL199*$W199,)</f>
        <v/>
      </c>
      <c r="BX199" s="128">
        <f>IFERROR(AM199*$W199,)</f>
        <v/>
      </c>
      <c r="BY199" s="128">
        <f>IFERROR(AN199*$W199,)</f>
        <v/>
      </c>
      <c r="BZ199" s="128">
        <f>IFERROR(AO199*$W199,)</f>
        <v/>
      </c>
      <c r="CA199" s="128">
        <f>IFERROR(AP199*$W199,)</f>
        <v/>
      </c>
      <c r="CB199" s="128">
        <f>IFERROR(AQ199*$W199,)</f>
        <v/>
      </c>
      <c r="CC199" s="128">
        <f>IFERROR(AR199*$W199,)</f>
        <v/>
      </c>
      <c r="CD199" s="128">
        <f>IFERROR(AS199*$W199,)</f>
        <v/>
      </c>
      <c r="CE199" s="128">
        <f>IFERROR(AT199*$W199,)</f>
        <v/>
      </c>
      <c r="CF199" s="128">
        <f>IFERROR(AU199*$W199,)</f>
        <v/>
      </c>
      <c r="CG199" s="128">
        <f>IFERROR(AV199*$W199,)</f>
        <v/>
      </c>
      <c r="CH199" s="128">
        <f>IFERROR(AW199*$W199,)</f>
        <v/>
      </c>
      <c r="CI199" s="128">
        <f>IFERROR(AX199*$W199,)</f>
        <v/>
      </c>
      <c r="CJ199" s="128">
        <f>IFERROR(AY199*$W199,)</f>
        <v/>
      </c>
      <c r="CK199" s="128">
        <f>IFERROR(AZ199*$W199,)</f>
        <v/>
      </c>
      <c r="CL199" s="129">
        <f>IFERROR(if($Y199=0,BA199*($W199/1.2),BA199*$Y199),"")</f>
        <v/>
      </c>
      <c r="CM199" s="129">
        <f>IFERROR(if($Y199=0,BB199*($W199/1.2),BB199*$Y199),"")</f>
        <v/>
      </c>
      <c r="CN199" s="129">
        <f>IFERROR(if($Y199=0,BC199*($W199/1.2),BC199*$Y199),"")</f>
        <v/>
      </c>
      <c r="CO199" s="130">
        <f>IFERROR(if($AA199=0,($W199/1.35)*BD199,BD199*$AA199),)</f>
        <v/>
      </c>
      <c r="CP199" s="130">
        <f>IFERROR(if($AA199=0,($W199/1.35)*BE199,BE199*$AA199),)</f>
        <v/>
      </c>
      <c r="CQ199" s="130">
        <f>IFERROR(if($AA199=0,($W199/1.35)*BF199,BF199*$AA199),)</f>
        <v/>
      </c>
      <c r="CR199" s="128">
        <f>IFERROR(if($AC199=0,($W199/0.74)*BG199,
BG199*$AC199),)</f>
        <v/>
      </c>
      <c r="CS199" s="128">
        <f>IFERROR(if($AC199=0,($W199/0.74)*BH199,
BH199*$AC199),)</f>
        <v/>
      </c>
      <c r="CT199" s="128">
        <f>IFERROR(if($AC199=0,($W199/0.74)*BI199,
BI199*$AC199),)</f>
        <v/>
      </c>
      <c r="CU199" s="128">
        <f>IFERROR(AI199*$V199,)</f>
        <v/>
      </c>
      <c r="CV199" s="128">
        <f>IFERROR(AJ199*$V199,)</f>
        <v/>
      </c>
      <c r="CW199" s="128">
        <f>IFERROR(AK199*$V199,)</f>
        <v/>
      </c>
      <c r="CX199" s="128">
        <f>IFERROR(AL199*$V199,)</f>
        <v/>
      </c>
      <c r="CY199" s="128">
        <f>IFERROR(AM199*$V199,)</f>
        <v/>
      </c>
      <c r="CZ199" s="128">
        <f>IFERROR(AN199*$V199,)</f>
        <v/>
      </c>
      <c r="DA199" s="128">
        <f>IFERROR(AO199*$V199,)</f>
        <v/>
      </c>
      <c r="DB199" s="128">
        <f>IFERROR(AP199*$V199,)</f>
        <v/>
      </c>
      <c r="DC199" s="128">
        <f>IFERROR(AQ199*$V199,)</f>
        <v/>
      </c>
      <c r="DD199" s="128">
        <f>IFERROR(AR199*$V199,)</f>
        <v/>
      </c>
      <c r="DE199" s="128">
        <f>IFERROR(AS199*$V199,)</f>
        <v/>
      </c>
      <c r="DF199" s="128">
        <f>IFERROR(AT199*$V199,)</f>
        <v/>
      </c>
      <c r="DG199" s="128">
        <f>IFERROR(AU199*$V199,)</f>
        <v/>
      </c>
      <c r="DH199" s="128">
        <f>IFERROR(AV199*$V199,)</f>
        <v/>
      </c>
      <c r="DI199" s="128">
        <f>IFERROR(AW199*$V199,)</f>
        <v/>
      </c>
      <c r="DJ199" s="128">
        <f>IFERROR(AX199*$V199,)</f>
        <v/>
      </c>
      <c r="DK199" s="128">
        <f>IFERROR(AY199*$V199,)</f>
        <v/>
      </c>
      <c r="DL199" s="128">
        <f>IFERROR(AZ199*$V199,)</f>
        <v/>
      </c>
      <c r="DM199" s="129">
        <f>IFERROR(if($X199=0,($V199/1.2)*BA199,
BA199*$X199),)</f>
        <v/>
      </c>
      <c r="DN199" s="129">
        <f>IFERROR(if($X199=0,($V199/1.2)*BB199,
BB199*$X199),)</f>
        <v/>
      </c>
      <c r="DO199" s="129">
        <f>IFERROR(if($X199=0,($V199/1.2)*BC199,
BC199*$X199),)</f>
        <v/>
      </c>
      <c r="DP199" s="130">
        <f>IFERROR(if($Z199=0,($V199/1.35)*BD199,
BD199*$Z199),)</f>
        <v/>
      </c>
      <c r="DQ199" s="130">
        <f>IFERROR(if($Z199=0,($V199/1.35)*BE199,
BE199*$Z199),)</f>
        <v/>
      </c>
      <c r="DR199" s="130">
        <f>IFERROR(if($Z199=0,($V199/1.35)*BF199,
BF199*$Z199),)</f>
        <v/>
      </c>
      <c r="DS199" s="128">
        <f>IFERROR(IF($AB199=0,($V199/0.74)*BG199,
BG199*$AB199),)</f>
        <v/>
      </c>
      <c r="DT199" s="128">
        <f>IFERROR(IF($AB199=0,($V199/0.74)*BH199,
BH199*$AB199),)</f>
        <v/>
      </c>
      <c r="DU199" s="128">
        <f>IFERROR(IF($AB199=0,($V199/0.74)*BI199,
BI199*$AB199),)</f>
        <v/>
      </c>
    </row>
    <row r="200" ht="131.25" customHeight="1" s="162">
      <c r="A200" s="115" t="n"/>
      <c r="B200" s="115" t="n"/>
      <c r="C200" s="115" t="n"/>
      <c r="D200" s="115" t="n"/>
      <c r="E200" s="115" t="n"/>
      <c r="F200" s="115" t="n"/>
      <c r="G200" s="115" t="n"/>
      <c r="H200" s="115" t="n"/>
      <c r="I200" s="115" t="n"/>
      <c r="J200" s="115" t="n"/>
      <c r="K200" s="115" t="n"/>
      <c r="L200" s="115" t="n"/>
      <c r="M200" s="115" t="n"/>
      <c r="N200" s="115" t="n"/>
      <c r="O200" s="115" t="n"/>
      <c r="P200" s="115" t="n"/>
      <c r="Q200" s="115" t="n"/>
      <c r="R200" s="115" t="n"/>
      <c r="S200" s="115" t="n"/>
      <c r="T200" s="115" t="n"/>
      <c r="U200" s="116" t="n"/>
      <c r="V200" s="116" t="n"/>
      <c r="W200" s="117" t="n"/>
      <c r="X200" s="118" t="n"/>
      <c r="Y200" s="119" t="n"/>
      <c r="Z200" s="120" t="n"/>
      <c r="AA200" s="121" t="n"/>
      <c r="AB200" s="122" t="n"/>
      <c r="AC200" s="117" t="n"/>
      <c r="AD200" s="123">
        <f>IF(SUM($AE200:$AH200)=0,"",SUM($AE200:$AH200))</f>
        <v/>
      </c>
      <c r="AE200" s="123">
        <f>iferror(IF(SUM($AI200:$AZ200)=0,"",SUM($AI200:$AZ200)),"")</f>
        <v/>
      </c>
      <c r="AF200" s="123">
        <f>iferror(IF(SUM($BA200:$BC200)=0,"",SUM($BA200:$BC200)),"")</f>
        <v/>
      </c>
      <c r="AG200" s="123">
        <f>iferror(IF(SUM($BD200:$BF200)=0,"",SUM($BD200:$BF200)),"")</f>
        <v/>
      </c>
      <c r="AH200" s="124">
        <f>iferror(IF(SUM($BG200:$BI200)=0,"",SUM($BG200:$BI200)),"")</f>
        <v/>
      </c>
      <c r="AI200" s="131" t="n"/>
      <c r="AJ200" s="132" t="n"/>
      <c r="AK200" s="132" t="n"/>
      <c r="AL200" s="132" t="n"/>
      <c r="AM200" s="132" t="n"/>
      <c r="AN200" s="132" t="n"/>
      <c r="AO200" s="132" t="n"/>
      <c r="AP200" s="132" t="n"/>
      <c r="AQ200" s="132" t="n"/>
      <c r="AR200" s="132" t="n"/>
      <c r="AS200" s="132" t="n"/>
      <c r="AT200" s="132" t="n"/>
      <c r="AU200" s="132" t="n"/>
      <c r="AV200" s="132" t="n"/>
      <c r="AW200" s="132" t="n"/>
      <c r="AX200" s="132" t="n"/>
      <c r="AY200" s="132" t="n"/>
      <c r="AZ200" s="133" t="n"/>
      <c r="BA200" s="131" t="n"/>
      <c r="BB200" s="132" t="n"/>
      <c r="BC200" s="133" t="n"/>
      <c r="BD200" s="131" t="n"/>
      <c r="BE200" s="132" t="n"/>
      <c r="BF200" s="133" t="n"/>
      <c r="BG200" s="131" t="n"/>
      <c r="BH200" s="132" t="n"/>
      <c r="BI200" s="132" t="n"/>
      <c r="BJ200" s="128">
        <f>iferror(SUM($BK200,($BL200*1.2),($BM200*1.35),($BN200*0.74)),)</f>
        <v/>
      </c>
      <c r="BK200" s="128">
        <f>IFERROR(SUM($BT200:$CK200),)</f>
        <v/>
      </c>
      <c r="BL200" s="129">
        <f>IFERROR(SUM($CL200:$CN200),)</f>
        <v/>
      </c>
      <c r="BM200" s="130">
        <f>IFERROR(SUM($CO200:$CQ200),)</f>
        <v/>
      </c>
      <c r="BN200" s="128">
        <f>IFERROR(SUM($CR200:$CT200),)</f>
        <v/>
      </c>
      <c r="BO200" s="128">
        <f>iferror(SUM($BP200,($BQ200*1.2),($BR200*1.35),($BS200*0.74)),)</f>
        <v/>
      </c>
      <c r="BP200" s="128">
        <f>IFERROR(SUM($CU200:$DL200),)</f>
        <v/>
      </c>
      <c r="BQ200" s="128">
        <f>IFERROR(SUM($DM200:$DO200),)</f>
        <v/>
      </c>
      <c r="BR200" s="128">
        <f>IFERROR(SUM($DP200:$DR200),)</f>
        <v/>
      </c>
      <c r="BS200" s="128">
        <f>IFERROR(SUM($DS200:$DU200),)</f>
        <v/>
      </c>
      <c r="BT200" s="128">
        <f>IFERROR(AI200*$W200,)</f>
        <v/>
      </c>
      <c r="BU200" s="128">
        <f>IFERROR(AJ200*$W200,)</f>
        <v/>
      </c>
      <c r="BV200" s="128">
        <f>IFERROR(AK200*$W200,)</f>
        <v/>
      </c>
      <c r="BW200" s="128">
        <f>IFERROR(AL200*$W200,)</f>
        <v/>
      </c>
      <c r="BX200" s="128">
        <f>IFERROR(AM200*$W200,)</f>
        <v/>
      </c>
      <c r="BY200" s="128">
        <f>IFERROR(AN200*$W200,)</f>
        <v/>
      </c>
      <c r="BZ200" s="128">
        <f>IFERROR(AO200*$W200,)</f>
        <v/>
      </c>
      <c r="CA200" s="128">
        <f>IFERROR(AP200*$W200,)</f>
        <v/>
      </c>
      <c r="CB200" s="128">
        <f>IFERROR(AQ200*$W200,)</f>
        <v/>
      </c>
      <c r="CC200" s="128">
        <f>IFERROR(AR200*$W200,)</f>
        <v/>
      </c>
      <c r="CD200" s="128">
        <f>IFERROR(AS200*$W200,)</f>
        <v/>
      </c>
      <c r="CE200" s="128">
        <f>IFERROR(AT200*$W200,)</f>
        <v/>
      </c>
      <c r="CF200" s="128">
        <f>IFERROR(AU200*$W200,)</f>
        <v/>
      </c>
      <c r="CG200" s="128">
        <f>IFERROR(AV200*$W200,)</f>
        <v/>
      </c>
      <c r="CH200" s="128">
        <f>IFERROR(AW200*$W200,)</f>
        <v/>
      </c>
      <c r="CI200" s="128">
        <f>IFERROR(AX200*$W200,)</f>
        <v/>
      </c>
      <c r="CJ200" s="128">
        <f>IFERROR(AY200*$W200,)</f>
        <v/>
      </c>
      <c r="CK200" s="128">
        <f>IFERROR(AZ200*$W200,)</f>
        <v/>
      </c>
      <c r="CL200" s="129">
        <f>IFERROR(if($Y200=0,BA200*($W200/1.2),BA200*$Y200),"")</f>
        <v/>
      </c>
      <c r="CM200" s="129">
        <f>IFERROR(if($Y200=0,BB200*($W200/1.2),BB200*$Y200),"")</f>
        <v/>
      </c>
      <c r="CN200" s="129">
        <f>IFERROR(if($Y200=0,BC200*($W200/1.2),BC200*$Y200),"")</f>
        <v/>
      </c>
      <c r="CO200" s="130">
        <f>IFERROR(if($AA200=0,($W200/1.35)*BD200,BD200*$AA200),)</f>
        <v/>
      </c>
      <c r="CP200" s="130">
        <f>IFERROR(if($AA200=0,($W200/1.35)*BE200,BE200*$AA200),)</f>
        <v/>
      </c>
      <c r="CQ200" s="130">
        <f>IFERROR(if($AA200=0,($W200/1.35)*BF200,BF200*$AA200),)</f>
        <v/>
      </c>
      <c r="CR200" s="128">
        <f>IFERROR(if($AC200=0,($W200/0.74)*BG200,
BG200*$AC200),)</f>
        <v/>
      </c>
      <c r="CS200" s="128">
        <f>IFERROR(if($AC200=0,($W200/0.74)*BH200,
BH200*$AC200),)</f>
        <v/>
      </c>
      <c r="CT200" s="128">
        <f>IFERROR(if($AC200=0,($W200/0.74)*BI200,
BI200*$AC200),)</f>
        <v/>
      </c>
      <c r="CU200" s="128">
        <f>IFERROR(AI200*$V200,)</f>
        <v/>
      </c>
      <c r="CV200" s="128">
        <f>IFERROR(AJ200*$V200,)</f>
        <v/>
      </c>
      <c r="CW200" s="128">
        <f>IFERROR(AK200*$V200,)</f>
        <v/>
      </c>
      <c r="CX200" s="128">
        <f>IFERROR(AL200*$V200,)</f>
        <v/>
      </c>
      <c r="CY200" s="128">
        <f>IFERROR(AM200*$V200,)</f>
        <v/>
      </c>
      <c r="CZ200" s="128">
        <f>IFERROR(AN200*$V200,)</f>
        <v/>
      </c>
      <c r="DA200" s="128">
        <f>IFERROR(AO200*$V200,)</f>
        <v/>
      </c>
      <c r="DB200" s="128">
        <f>IFERROR(AP200*$V200,)</f>
        <v/>
      </c>
      <c r="DC200" s="128">
        <f>IFERROR(AQ200*$V200,)</f>
        <v/>
      </c>
      <c r="DD200" s="128">
        <f>IFERROR(AR200*$V200,)</f>
        <v/>
      </c>
      <c r="DE200" s="128">
        <f>IFERROR(AS200*$V200,)</f>
        <v/>
      </c>
      <c r="DF200" s="128">
        <f>IFERROR(AT200*$V200,)</f>
        <v/>
      </c>
      <c r="DG200" s="128">
        <f>IFERROR(AU200*$V200,)</f>
        <v/>
      </c>
      <c r="DH200" s="128">
        <f>IFERROR(AV200*$V200,)</f>
        <v/>
      </c>
      <c r="DI200" s="128">
        <f>IFERROR(AW200*$V200,)</f>
        <v/>
      </c>
      <c r="DJ200" s="128">
        <f>IFERROR(AX200*$V200,)</f>
        <v/>
      </c>
      <c r="DK200" s="128">
        <f>IFERROR(AY200*$V200,)</f>
        <v/>
      </c>
      <c r="DL200" s="128">
        <f>IFERROR(AZ200*$V200,)</f>
        <v/>
      </c>
      <c r="DM200" s="129">
        <f>IFERROR(if($X200=0,($V200/1.2)*BA200,
BA200*$X200),)</f>
        <v/>
      </c>
      <c r="DN200" s="129">
        <f>IFERROR(if($X200=0,($V200/1.2)*BB200,
BB200*$X200),)</f>
        <v/>
      </c>
      <c r="DO200" s="129">
        <f>IFERROR(if($X200=0,($V200/1.2)*BC200,
BC200*$X200),)</f>
        <v/>
      </c>
      <c r="DP200" s="130">
        <f>IFERROR(if($Z200=0,($V200/1.35)*BD200,
BD200*$Z200),)</f>
        <v/>
      </c>
      <c r="DQ200" s="130">
        <f>IFERROR(if($Z200=0,($V200/1.35)*BE200,
BE200*$Z200),)</f>
        <v/>
      </c>
      <c r="DR200" s="130">
        <f>IFERROR(if($Z200=0,($V200/1.35)*BF200,
BF200*$Z200),)</f>
        <v/>
      </c>
      <c r="DS200" s="128">
        <f>IFERROR(IF($AB200=0,($V200/0.74)*BG200,
BG200*$AB200),)</f>
        <v/>
      </c>
      <c r="DT200" s="128">
        <f>IFERROR(IF($AB200=0,($V200/0.74)*BH200,
BH200*$AB200),)</f>
        <v/>
      </c>
      <c r="DU200" s="128">
        <f>IFERROR(IF($AB200=0,($V200/0.74)*BI200,
BI200*$AB200),)</f>
        <v/>
      </c>
    </row>
    <row r="201" ht="131.25" customHeight="1" s="162">
      <c r="A201" s="115" t="n"/>
      <c r="B201" s="115" t="n"/>
      <c r="C201" s="115" t="n"/>
      <c r="D201" s="115" t="n"/>
      <c r="E201" s="115" t="n"/>
      <c r="F201" s="115" t="n"/>
      <c r="G201" s="115" t="n"/>
      <c r="H201" s="115" t="n"/>
      <c r="I201" s="115" t="n"/>
      <c r="J201" s="115" t="n"/>
      <c r="K201" s="115" t="n"/>
      <c r="L201" s="115" t="n"/>
      <c r="M201" s="115" t="n"/>
      <c r="N201" s="115" t="n"/>
      <c r="O201" s="115" t="n"/>
      <c r="P201" s="115" t="n"/>
      <c r="Q201" s="115" t="n"/>
      <c r="R201" s="115" t="n"/>
      <c r="S201" s="115" t="n"/>
      <c r="T201" s="115" t="n"/>
      <c r="U201" s="116" t="n"/>
      <c r="V201" s="116" t="n"/>
      <c r="W201" s="117" t="n"/>
      <c r="X201" s="118" t="n"/>
      <c r="Y201" s="119" t="n"/>
      <c r="Z201" s="120" t="n"/>
      <c r="AA201" s="121" t="n"/>
      <c r="AB201" s="122" t="n"/>
      <c r="AC201" s="117" t="n"/>
      <c r="AD201" s="123">
        <f>IF(SUM($AE201:$AH201)=0,"",SUM($AE201:$AH201))</f>
        <v/>
      </c>
      <c r="AE201" s="123">
        <f>iferror(IF(SUM($AI201:$AZ201)=0,"",SUM($AI201:$AZ201)),"")</f>
        <v/>
      </c>
      <c r="AF201" s="123">
        <f>iferror(IF(SUM($BA201:$BC201)=0,"",SUM($BA201:$BC201)),"")</f>
        <v/>
      </c>
      <c r="AG201" s="123">
        <f>iferror(IF(SUM($BD201:$BF201)=0,"",SUM($BD201:$BF201)),"")</f>
        <v/>
      </c>
      <c r="AH201" s="124">
        <f>iferror(IF(SUM($BG201:$BI201)=0,"",SUM($BG201:$BI201)),"")</f>
        <v/>
      </c>
      <c r="AI201" s="131" t="n"/>
      <c r="AJ201" s="132" t="n"/>
      <c r="AK201" s="132" t="n"/>
      <c r="AL201" s="132" t="n"/>
      <c r="AM201" s="132" t="n"/>
      <c r="AN201" s="132" t="n"/>
      <c r="AO201" s="132" t="n"/>
      <c r="AP201" s="132" t="n"/>
      <c r="AQ201" s="132" t="n"/>
      <c r="AR201" s="132" t="n"/>
      <c r="AS201" s="132" t="n"/>
      <c r="AT201" s="132" t="n"/>
      <c r="AU201" s="132" t="n"/>
      <c r="AV201" s="132" t="n"/>
      <c r="AW201" s="132" t="n"/>
      <c r="AX201" s="132" t="n"/>
      <c r="AY201" s="132" t="n"/>
      <c r="AZ201" s="133" t="n"/>
      <c r="BA201" s="131" t="n"/>
      <c r="BB201" s="132" t="n"/>
      <c r="BC201" s="133" t="n"/>
      <c r="BD201" s="131" t="n"/>
      <c r="BE201" s="132" t="n"/>
      <c r="BF201" s="133" t="n"/>
      <c r="BG201" s="131" t="n"/>
      <c r="BH201" s="132" t="n"/>
      <c r="BI201" s="132" t="n"/>
      <c r="BJ201" s="128">
        <f>iferror(SUM($BK201,($BL201*1.2),($BM201*1.35),($BN201*0.74)),)</f>
        <v/>
      </c>
      <c r="BK201" s="128">
        <f>IFERROR(SUM($BT201:$CK201),)</f>
        <v/>
      </c>
      <c r="BL201" s="129">
        <f>IFERROR(SUM($CL201:$CN201),)</f>
        <v/>
      </c>
      <c r="BM201" s="130">
        <f>IFERROR(SUM($CO201:$CQ201),)</f>
        <v/>
      </c>
      <c r="BN201" s="128">
        <f>IFERROR(SUM($CR201:$CT201),)</f>
        <v/>
      </c>
      <c r="BO201" s="128">
        <f>iferror(SUM($BP201,($BQ201*1.2),($BR201*1.35),($BS201*0.74)),)</f>
        <v/>
      </c>
      <c r="BP201" s="128">
        <f>IFERROR(SUM($CU201:$DL201),)</f>
        <v/>
      </c>
      <c r="BQ201" s="128">
        <f>IFERROR(SUM($DM201:$DO201),)</f>
        <v/>
      </c>
      <c r="BR201" s="128">
        <f>IFERROR(SUM($DP201:$DR201),)</f>
        <v/>
      </c>
      <c r="BS201" s="128">
        <f>IFERROR(SUM($DS201:$DU201),)</f>
        <v/>
      </c>
      <c r="BT201" s="128">
        <f>IFERROR(AI201*$W201,)</f>
        <v/>
      </c>
      <c r="BU201" s="128">
        <f>IFERROR(AJ201*$W201,)</f>
        <v/>
      </c>
      <c r="BV201" s="128">
        <f>IFERROR(AK201*$W201,)</f>
        <v/>
      </c>
      <c r="BW201" s="128">
        <f>IFERROR(AL201*$W201,)</f>
        <v/>
      </c>
      <c r="BX201" s="128">
        <f>IFERROR(AM201*$W201,)</f>
        <v/>
      </c>
      <c r="BY201" s="128">
        <f>IFERROR(AN201*$W201,)</f>
        <v/>
      </c>
      <c r="BZ201" s="128">
        <f>IFERROR(AO201*$W201,)</f>
        <v/>
      </c>
      <c r="CA201" s="128">
        <f>IFERROR(AP201*$W201,)</f>
        <v/>
      </c>
      <c r="CB201" s="128">
        <f>IFERROR(AQ201*$W201,)</f>
        <v/>
      </c>
      <c r="CC201" s="128">
        <f>IFERROR(AR201*$W201,)</f>
        <v/>
      </c>
      <c r="CD201" s="128">
        <f>IFERROR(AS201*$W201,)</f>
        <v/>
      </c>
      <c r="CE201" s="128">
        <f>IFERROR(AT201*$W201,)</f>
        <v/>
      </c>
      <c r="CF201" s="128">
        <f>IFERROR(AU201*$W201,)</f>
        <v/>
      </c>
      <c r="CG201" s="128">
        <f>IFERROR(AV201*$W201,)</f>
        <v/>
      </c>
      <c r="CH201" s="128">
        <f>IFERROR(AW201*$W201,)</f>
        <v/>
      </c>
      <c r="CI201" s="128">
        <f>IFERROR(AX201*$W201,)</f>
        <v/>
      </c>
      <c r="CJ201" s="128">
        <f>IFERROR(AY201*$W201,)</f>
        <v/>
      </c>
      <c r="CK201" s="128">
        <f>IFERROR(AZ201*$W201,)</f>
        <v/>
      </c>
      <c r="CL201" s="129">
        <f>IFERROR(if($Y201=0,BA201*($W201/1.2),BA201*$Y201),"")</f>
        <v/>
      </c>
      <c r="CM201" s="129">
        <f>IFERROR(if($Y201=0,BB201*($W201/1.2),BB201*$Y201),"")</f>
        <v/>
      </c>
      <c r="CN201" s="129">
        <f>IFERROR(if($Y201=0,BC201*($W201/1.2),BC201*$Y201),"")</f>
        <v/>
      </c>
      <c r="CO201" s="130">
        <f>IFERROR(if($AA201=0,($W201/1.35)*BD201,BD201*$AA201),)</f>
        <v/>
      </c>
      <c r="CP201" s="130">
        <f>IFERROR(if($AA201=0,($W201/1.35)*BE201,BE201*$AA201),)</f>
        <v/>
      </c>
      <c r="CQ201" s="130">
        <f>IFERROR(if($AA201=0,($W201/1.35)*BF201,BF201*$AA201),)</f>
        <v/>
      </c>
      <c r="CR201" s="128">
        <f>IFERROR(if($AC201=0,($W201/0.74)*BG201,
BG201*$AC201),)</f>
        <v/>
      </c>
      <c r="CS201" s="128">
        <f>IFERROR(if($AC201=0,($W201/0.74)*BH201,
BH201*$AC201),)</f>
        <v/>
      </c>
      <c r="CT201" s="128">
        <f>IFERROR(if($AC201=0,($W201/0.74)*BI201,
BI201*$AC201),)</f>
        <v/>
      </c>
      <c r="CU201" s="128">
        <f>IFERROR(AI201*$V201,)</f>
        <v/>
      </c>
      <c r="CV201" s="128">
        <f>IFERROR(AJ201*$V201,)</f>
        <v/>
      </c>
      <c r="CW201" s="128">
        <f>IFERROR(AK201*$V201,)</f>
        <v/>
      </c>
      <c r="CX201" s="128">
        <f>IFERROR(AL201*$V201,)</f>
        <v/>
      </c>
      <c r="CY201" s="128">
        <f>IFERROR(AM201*$V201,)</f>
        <v/>
      </c>
      <c r="CZ201" s="128">
        <f>IFERROR(AN201*$V201,)</f>
        <v/>
      </c>
      <c r="DA201" s="128">
        <f>IFERROR(AO201*$V201,)</f>
        <v/>
      </c>
      <c r="DB201" s="128">
        <f>IFERROR(AP201*$V201,)</f>
        <v/>
      </c>
      <c r="DC201" s="128">
        <f>IFERROR(AQ201*$V201,)</f>
        <v/>
      </c>
      <c r="DD201" s="128">
        <f>IFERROR(AR201*$V201,)</f>
        <v/>
      </c>
      <c r="DE201" s="128">
        <f>IFERROR(AS201*$V201,)</f>
        <v/>
      </c>
      <c r="DF201" s="128">
        <f>IFERROR(AT201*$V201,)</f>
        <v/>
      </c>
      <c r="DG201" s="128">
        <f>IFERROR(AU201*$V201,)</f>
        <v/>
      </c>
      <c r="DH201" s="128">
        <f>IFERROR(AV201*$V201,)</f>
        <v/>
      </c>
      <c r="DI201" s="128">
        <f>IFERROR(AW201*$V201,)</f>
        <v/>
      </c>
      <c r="DJ201" s="128">
        <f>IFERROR(AX201*$V201,)</f>
        <v/>
      </c>
      <c r="DK201" s="128">
        <f>IFERROR(AY201*$V201,)</f>
        <v/>
      </c>
      <c r="DL201" s="128">
        <f>IFERROR(AZ201*$V201,)</f>
        <v/>
      </c>
      <c r="DM201" s="129">
        <f>IFERROR(if($X201=0,($V201/1.2)*BA201,
BA201*$X201),)</f>
        <v/>
      </c>
      <c r="DN201" s="129">
        <f>IFERROR(if($X201=0,($V201/1.2)*BB201,
BB201*$X201),)</f>
        <v/>
      </c>
      <c r="DO201" s="129">
        <f>IFERROR(if($X201=0,($V201/1.2)*BC201,
BC201*$X201),)</f>
        <v/>
      </c>
      <c r="DP201" s="130">
        <f>IFERROR(if($Z201=0,($V201/1.35)*BD201,
BD201*$Z201),)</f>
        <v/>
      </c>
      <c r="DQ201" s="130">
        <f>IFERROR(if($Z201=0,($V201/1.35)*BE201,
BE201*$Z201),)</f>
        <v/>
      </c>
      <c r="DR201" s="130">
        <f>IFERROR(if($Z201=0,($V201/1.35)*BF201,
BF201*$Z201),)</f>
        <v/>
      </c>
      <c r="DS201" s="128">
        <f>IFERROR(IF($AB201=0,($V201/0.74)*BG201,
BG201*$AB201),)</f>
        <v/>
      </c>
      <c r="DT201" s="128">
        <f>IFERROR(IF($AB201=0,($V201/0.74)*BH201,
BH201*$AB201),)</f>
        <v/>
      </c>
      <c r="DU201" s="128">
        <f>IFERROR(IF($AB201=0,($V201/0.74)*BI201,
BI201*$AB201),)</f>
        <v/>
      </c>
    </row>
    <row r="202" ht="131.25" customHeight="1" s="162">
      <c r="A202" s="115" t="n"/>
      <c r="B202" s="115" t="n"/>
      <c r="C202" s="115" t="n"/>
      <c r="D202" s="115" t="n"/>
      <c r="E202" s="115" t="n"/>
      <c r="F202" s="115" t="n"/>
      <c r="G202" s="115" t="n"/>
      <c r="H202" s="115" t="n"/>
      <c r="I202" s="115" t="n"/>
      <c r="J202" s="115" t="n"/>
      <c r="K202" s="115" t="n"/>
      <c r="L202" s="115" t="n"/>
      <c r="M202" s="115" t="n"/>
      <c r="N202" s="115" t="n"/>
      <c r="O202" s="115" t="n"/>
      <c r="P202" s="115" t="n"/>
      <c r="Q202" s="115" t="n"/>
      <c r="R202" s="115" t="n"/>
      <c r="S202" s="115" t="n"/>
      <c r="T202" s="115" t="n"/>
      <c r="U202" s="116" t="n"/>
      <c r="V202" s="116" t="n"/>
      <c r="W202" s="117" t="n"/>
      <c r="X202" s="118" t="n"/>
      <c r="Y202" s="119" t="n"/>
      <c r="Z202" s="120" t="n"/>
      <c r="AA202" s="121" t="n"/>
      <c r="AB202" s="122" t="n"/>
      <c r="AC202" s="117" t="n"/>
      <c r="AD202" s="123">
        <f>IF(SUM($AE202:$AH202)=0,"",SUM($AE202:$AH202))</f>
        <v/>
      </c>
      <c r="AE202" s="123">
        <f>iferror(IF(SUM($AI202:$AZ202)=0,"",SUM($AI202:$AZ202)),"")</f>
        <v/>
      </c>
      <c r="AF202" s="123">
        <f>iferror(IF(SUM($BA202:$BC202)=0,"",SUM($BA202:$BC202)),"")</f>
        <v/>
      </c>
      <c r="AG202" s="123">
        <f>iferror(IF(SUM($BD202:$BF202)=0,"",SUM($BD202:$BF202)),"")</f>
        <v/>
      </c>
      <c r="AH202" s="124">
        <f>iferror(IF(SUM($BG202:$BI202)=0,"",SUM($BG202:$BI202)),"")</f>
        <v/>
      </c>
      <c r="AI202" s="131" t="n"/>
      <c r="AJ202" s="132" t="n"/>
      <c r="AK202" s="132" t="n"/>
      <c r="AL202" s="132" t="n"/>
      <c r="AM202" s="132" t="n"/>
      <c r="AN202" s="132" t="n"/>
      <c r="AO202" s="132" t="n"/>
      <c r="AP202" s="132" t="n"/>
      <c r="AQ202" s="132" t="n"/>
      <c r="AR202" s="132" t="n"/>
      <c r="AS202" s="132" t="n"/>
      <c r="AT202" s="132" t="n"/>
      <c r="AU202" s="132" t="n"/>
      <c r="AV202" s="132" t="n"/>
      <c r="AW202" s="132" t="n"/>
      <c r="AX202" s="132" t="n"/>
      <c r="AY202" s="132" t="n"/>
      <c r="AZ202" s="133" t="n"/>
      <c r="BA202" s="131" t="n"/>
      <c r="BB202" s="132" t="n"/>
      <c r="BC202" s="133" t="n"/>
      <c r="BD202" s="131" t="n"/>
      <c r="BE202" s="132" t="n"/>
      <c r="BF202" s="133" t="n"/>
      <c r="BG202" s="131" t="n"/>
      <c r="BH202" s="132" t="n"/>
      <c r="BI202" s="132" t="n"/>
      <c r="BJ202" s="128">
        <f>iferror(SUM($BK202,($BL202*1.2),($BM202*1.35),($BN202*0.74)),)</f>
        <v/>
      </c>
      <c r="BK202" s="128">
        <f>IFERROR(SUM($BT202:$CK202),)</f>
        <v/>
      </c>
      <c r="BL202" s="129">
        <f>IFERROR(SUM($CL202:$CN202),)</f>
        <v/>
      </c>
      <c r="BM202" s="130">
        <f>IFERROR(SUM($CO202:$CQ202),)</f>
        <v/>
      </c>
      <c r="BN202" s="128">
        <f>IFERROR(SUM($CR202:$CT202),)</f>
        <v/>
      </c>
      <c r="BO202" s="128">
        <f>iferror(SUM($BP202,($BQ202*1.2),($BR202*1.35),($BS202*0.74)),)</f>
        <v/>
      </c>
      <c r="BP202" s="128">
        <f>IFERROR(SUM($CU202:$DL202),)</f>
        <v/>
      </c>
      <c r="BQ202" s="128">
        <f>IFERROR(SUM($DM202:$DO202),)</f>
        <v/>
      </c>
      <c r="BR202" s="128">
        <f>IFERROR(SUM($DP202:$DR202),)</f>
        <v/>
      </c>
      <c r="BS202" s="128">
        <f>IFERROR(SUM($DS202:$DU202),)</f>
        <v/>
      </c>
      <c r="BT202" s="128">
        <f>IFERROR(AI202*$W202,)</f>
        <v/>
      </c>
      <c r="BU202" s="128">
        <f>IFERROR(AJ202*$W202,)</f>
        <v/>
      </c>
      <c r="BV202" s="128">
        <f>IFERROR(AK202*$W202,)</f>
        <v/>
      </c>
      <c r="BW202" s="128">
        <f>IFERROR(AL202*$W202,)</f>
        <v/>
      </c>
      <c r="BX202" s="128">
        <f>IFERROR(AM202*$W202,)</f>
        <v/>
      </c>
      <c r="BY202" s="128">
        <f>IFERROR(AN202*$W202,)</f>
        <v/>
      </c>
      <c r="BZ202" s="128">
        <f>IFERROR(AO202*$W202,)</f>
        <v/>
      </c>
      <c r="CA202" s="128">
        <f>IFERROR(AP202*$W202,)</f>
        <v/>
      </c>
      <c r="CB202" s="128">
        <f>IFERROR(AQ202*$W202,)</f>
        <v/>
      </c>
      <c r="CC202" s="128">
        <f>IFERROR(AR202*$W202,)</f>
        <v/>
      </c>
      <c r="CD202" s="128">
        <f>IFERROR(AS202*$W202,)</f>
        <v/>
      </c>
      <c r="CE202" s="128">
        <f>IFERROR(AT202*$W202,)</f>
        <v/>
      </c>
      <c r="CF202" s="128">
        <f>IFERROR(AU202*$W202,)</f>
        <v/>
      </c>
      <c r="CG202" s="128">
        <f>IFERROR(AV202*$W202,)</f>
        <v/>
      </c>
      <c r="CH202" s="128">
        <f>IFERROR(AW202*$W202,)</f>
        <v/>
      </c>
      <c r="CI202" s="128">
        <f>IFERROR(AX202*$W202,)</f>
        <v/>
      </c>
      <c r="CJ202" s="128">
        <f>IFERROR(AY202*$W202,)</f>
        <v/>
      </c>
      <c r="CK202" s="128">
        <f>IFERROR(AZ202*$W202,)</f>
        <v/>
      </c>
      <c r="CL202" s="129">
        <f>IFERROR(if($Y202=0,BA202*($W202/1.2),BA202*$Y202),"")</f>
        <v/>
      </c>
      <c r="CM202" s="129">
        <f>IFERROR(if($Y202=0,BB202*($W202/1.2),BB202*$Y202),"")</f>
        <v/>
      </c>
      <c r="CN202" s="129">
        <f>IFERROR(if($Y202=0,BC202*($W202/1.2),BC202*$Y202),"")</f>
        <v/>
      </c>
      <c r="CO202" s="130">
        <f>IFERROR(if($AA202=0,($W202/1.35)*BD202,BD202*$AA202),)</f>
        <v/>
      </c>
      <c r="CP202" s="130">
        <f>IFERROR(if($AA202=0,($W202/1.35)*BE202,BE202*$AA202),)</f>
        <v/>
      </c>
      <c r="CQ202" s="130">
        <f>IFERROR(if($AA202=0,($W202/1.35)*BF202,BF202*$AA202),)</f>
        <v/>
      </c>
      <c r="CR202" s="128">
        <f>IFERROR(if($AC202=0,($W202/0.74)*BG202,
BG202*$AC202),)</f>
        <v/>
      </c>
      <c r="CS202" s="128">
        <f>IFERROR(if($AC202=0,($W202/0.74)*BH202,
BH202*$AC202),)</f>
        <v/>
      </c>
      <c r="CT202" s="128">
        <f>IFERROR(if($AC202=0,($W202/0.74)*BI202,
BI202*$AC202),)</f>
        <v/>
      </c>
      <c r="CU202" s="128">
        <f>IFERROR(AI202*$V202,)</f>
        <v/>
      </c>
      <c r="CV202" s="128">
        <f>IFERROR(AJ202*$V202,)</f>
        <v/>
      </c>
      <c r="CW202" s="128">
        <f>IFERROR(AK202*$V202,)</f>
        <v/>
      </c>
      <c r="CX202" s="128">
        <f>IFERROR(AL202*$V202,)</f>
        <v/>
      </c>
      <c r="CY202" s="128">
        <f>IFERROR(AM202*$V202,)</f>
        <v/>
      </c>
      <c r="CZ202" s="128">
        <f>IFERROR(AN202*$V202,)</f>
        <v/>
      </c>
      <c r="DA202" s="128">
        <f>IFERROR(AO202*$V202,)</f>
        <v/>
      </c>
      <c r="DB202" s="128">
        <f>IFERROR(AP202*$V202,)</f>
        <v/>
      </c>
      <c r="DC202" s="128">
        <f>IFERROR(AQ202*$V202,)</f>
        <v/>
      </c>
      <c r="DD202" s="128">
        <f>IFERROR(AR202*$V202,)</f>
        <v/>
      </c>
      <c r="DE202" s="128">
        <f>IFERROR(AS202*$V202,)</f>
        <v/>
      </c>
      <c r="DF202" s="128">
        <f>IFERROR(AT202*$V202,)</f>
        <v/>
      </c>
      <c r="DG202" s="128">
        <f>IFERROR(AU202*$V202,)</f>
        <v/>
      </c>
      <c r="DH202" s="128">
        <f>IFERROR(AV202*$V202,)</f>
        <v/>
      </c>
      <c r="DI202" s="128">
        <f>IFERROR(AW202*$V202,)</f>
        <v/>
      </c>
      <c r="DJ202" s="128">
        <f>IFERROR(AX202*$V202,)</f>
        <v/>
      </c>
      <c r="DK202" s="128">
        <f>IFERROR(AY202*$V202,)</f>
        <v/>
      </c>
      <c r="DL202" s="128">
        <f>IFERROR(AZ202*$V202,)</f>
        <v/>
      </c>
      <c r="DM202" s="129">
        <f>IFERROR(if($X202=0,($V202/1.2)*BA202,
BA202*$X202),)</f>
        <v/>
      </c>
      <c r="DN202" s="129">
        <f>IFERROR(if($X202=0,($V202/1.2)*BB202,
BB202*$X202),)</f>
        <v/>
      </c>
      <c r="DO202" s="129">
        <f>IFERROR(if($X202=0,($V202/1.2)*BC202,
BC202*$X202),)</f>
        <v/>
      </c>
      <c r="DP202" s="130">
        <f>IFERROR(if($Z202=0,($V202/1.35)*BD202,
BD202*$Z202),)</f>
        <v/>
      </c>
      <c r="DQ202" s="130">
        <f>IFERROR(if($Z202=0,($V202/1.35)*BE202,
BE202*$Z202),)</f>
        <v/>
      </c>
      <c r="DR202" s="130">
        <f>IFERROR(if($Z202=0,($V202/1.35)*BF202,
BF202*$Z202),)</f>
        <v/>
      </c>
      <c r="DS202" s="128">
        <f>IFERROR(IF($AB202=0,($V202/0.74)*BG202,
BG202*$AB202),)</f>
        <v/>
      </c>
      <c r="DT202" s="128">
        <f>IFERROR(IF($AB202=0,($V202/0.74)*BH202,
BH202*$AB202),)</f>
        <v/>
      </c>
      <c r="DU202" s="128">
        <f>IFERROR(IF($AB202=0,($V202/0.74)*BI202,
BI202*$AB202),)</f>
        <v/>
      </c>
    </row>
    <row r="203" ht="131.25" customHeight="1" s="162">
      <c r="A203" s="115" t="n"/>
      <c r="B203" s="115" t="n"/>
      <c r="C203" s="115" t="n"/>
      <c r="D203" s="115" t="n"/>
      <c r="E203" s="115" t="n"/>
      <c r="F203" s="115" t="n"/>
      <c r="G203" s="115" t="n"/>
      <c r="H203" s="115" t="n"/>
      <c r="I203" s="115" t="n"/>
      <c r="J203" s="115" t="n"/>
      <c r="K203" s="115" t="n"/>
      <c r="L203" s="115" t="n"/>
      <c r="M203" s="115" t="n"/>
      <c r="N203" s="115" t="n"/>
      <c r="O203" s="115" t="n"/>
      <c r="P203" s="115" t="n"/>
      <c r="Q203" s="115" t="n"/>
      <c r="R203" s="115" t="n"/>
      <c r="S203" s="115" t="n"/>
      <c r="T203" s="115" t="n"/>
      <c r="U203" s="116" t="n"/>
      <c r="V203" s="116" t="n"/>
      <c r="W203" s="117" t="n"/>
      <c r="X203" s="118" t="n"/>
      <c r="Y203" s="119" t="n"/>
      <c r="Z203" s="120" t="n"/>
      <c r="AA203" s="121" t="n"/>
      <c r="AB203" s="122" t="n"/>
      <c r="AC203" s="117" t="n"/>
      <c r="AD203" s="123">
        <f>IF(SUM($AE203:$AH203)=0,"",SUM($AE203:$AH203))</f>
        <v/>
      </c>
      <c r="AE203" s="123">
        <f>iferror(IF(SUM($AI203:$AZ203)=0,"",SUM($AI203:$AZ203)),"")</f>
        <v/>
      </c>
      <c r="AF203" s="123">
        <f>iferror(IF(SUM($BA203:$BC203)=0,"",SUM($BA203:$BC203)),"")</f>
        <v/>
      </c>
      <c r="AG203" s="123">
        <f>iferror(IF(SUM($BD203:$BF203)=0,"",SUM($BD203:$BF203)),"")</f>
        <v/>
      </c>
      <c r="AH203" s="124">
        <f>iferror(IF(SUM($BG203:$BI203)=0,"",SUM($BG203:$BI203)),"")</f>
        <v/>
      </c>
      <c r="AI203" s="131" t="n"/>
      <c r="AJ203" s="132" t="n"/>
      <c r="AK203" s="132" t="n"/>
      <c r="AL203" s="132" t="n"/>
      <c r="AM203" s="132" t="n"/>
      <c r="AN203" s="132" t="n"/>
      <c r="AO203" s="132" t="n"/>
      <c r="AP203" s="132" t="n"/>
      <c r="AQ203" s="132" t="n"/>
      <c r="AR203" s="132" t="n"/>
      <c r="AS203" s="132" t="n"/>
      <c r="AT203" s="132" t="n"/>
      <c r="AU203" s="132" t="n"/>
      <c r="AV203" s="132" t="n"/>
      <c r="AW203" s="132" t="n"/>
      <c r="AX203" s="132" t="n"/>
      <c r="AY203" s="132" t="n"/>
      <c r="AZ203" s="133" t="n"/>
      <c r="BA203" s="131" t="n"/>
      <c r="BB203" s="132" t="n"/>
      <c r="BC203" s="133" t="n"/>
      <c r="BD203" s="131" t="n"/>
      <c r="BE203" s="132" t="n"/>
      <c r="BF203" s="133" t="n"/>
      <c r="BG203" s="131" t="n"/>
      <c r="BH203" s="132" t="n"/>
      <c r="BI203" s="132" t="n"/>
      <c r="BJ203" s="128">
        <f>iferror(SUM($BK203,($BL203*1.2),($BM203*1.35),($BN203*0.74)),)</f>
        <v/>
      </c>
      <c r="BK203" s="128">
        <f>IFERROR(SUM($BT203:$CK203),)</f>
        <v/>
      </c>
      <c r="BL203" s="129">
        <f>IFERROR(SUM($CL203:$CN203),)</f>
        <v/>
      </c>
      <c r="BM203" s="130">
        <f>IFERROR(SUM($CO203:$CQ203),)</f>
        <v/>
      </c>
      <c r="BN203" s="128">
        <f>IFERROR(SUM($CR203:$CT203),)</f>
        <v/>
      </c>
      <c r="BO203" s="128">
        <f>iferror(SUM($BP203,($BQ203*1.2),($BR203*1.35),($BS203*0.74)),)</f>
        <v/>
      </c>
      <c r="BP203" s="128">
        <f>IFERROR(SUM($CU203:$DL203),)</f>
        <v/>
      </c>
      <c r="BQ203" s="128">
        <f>IFERROR(SUM($DM203:$DO203),)</f>
        <v/>
      </c>
      <c r="BR203" s="128">
        <f>IFERROR(SUM($DP203:$DR203),)</f>
        <v/>
      </c>
      <c r="BS203" s="128">
        <f>IFERROR(SUM($DS203:$DU203),)</f>
        <v/>
      </c>
      <c r="BT203" s="128">
        <f>IFERROR(AI203*$W203,)</f>
        <v/>
      </c>
      <c r="BU203" s="128">
        <f>IFERROR(AJ203*$W203,)</f>
        <v/>
      </c>
      <c r="BV203" s="128">
        <f>IFERROR(AK203*$W203,)</f>
        <v/>
      </c>
      <c r="BW203" s="128">
        <f>IFERROR(AL203*$W203,)</f>
        <v/>
      </c>
      <c r="BX203" s="128">
        <f>IFERROR(AM203*$W203,)</f>
        <v/>
      </c>
      <c r="BY203" s="128">
        <f>IFERROR(AN203*$W203,)</f>
        <v/>
      </c>
      <c r="BZ203" s="128">
        <f>IFERROR(AO203*$W203,)</f>
        <v/>
      </c>
      <c r="CA203" s="128">
        <f>IFERROR(AP203*$W203,)</f>
        <v/>
      </c>
      <c r="CB203" s="128">
        <f>IFERROR(AQ203*$W203,)</f>
        <v/>
      </c>
      <c r="CC203" s="128">
        <f>IFERROR(AR203*$W203,)</f>
        <v/>
      </c>
      <c r="CD203" s="128">
        <f>IFERROR(AS203*$W203,)</f>
        <v/>
      </c>
      <c r="CE203" s="128">
        <f>IFERROR(AT203*$W203,)</f>
        <v/>
      </c>
      <c r="CF203" s="128">
        <f>IFERROR(AU203*$W203,)</f>
        <v/>
      </c>
      <c r="CG203" s="128">
        <f>IFERROR(AV203*$W203,)</f>
        <v/>
      </c>
      <c r="CH203" s="128">
        <f>IFERROR(AW203*$W203,)</f>
        <v/>
      </c>
      <c r="CI203" s="128">
        <f>IFERROR(AX203*$W203,)</f>
        <v/>
      </c>
      <c r="CJ203" s="128">
        <f>IFERROR(AY203*$W203,)</f>
        <v/>
      </c>
      <c r="CK203" s="128">
        <f>IFERROR(AZ203*$W203,)</f>
        <v/>
      </c>
      <c r="CL203" s="129">
        <f>IFERROR(if($Y203=0,BA203*($W203/1.2),BA203*$Y203),"")</f>
        <v/>
      </c>
      <c r="CM203" s="129">
        <f>IFERROR(if($Y203=0,BB203*($W203/1.2),BB203*$Y203),"")</f>
        <v/>
      </c>
      <c r="CN203" s="129">
        <f>IFERROR(if($Y203=0,BC203*($W203/1.2),BC203*$Y203),"")</f>
        <v/>
      </c>
      <c r="CO203" s="130">
        <f>IFERROR(if($AA203=0,($W203/1.35)*BD203,BD203*$AA203),)</f>
        <v/>
      </c>
      <c r="CP203" s="130">
        <f>IFERROR(if($AA203=0,($W203/1.35)*BE203,BE203*$AA203),)</f>
        <v/>
      </c>
      <c r="CQ203" s="130">
        <f>IFERROR(if($AA203=0,($W203/1.35)*BF203,BF203*$AA203),)</f>
        <v/>
      </c>
      <c r="CR203" s="128">
        <f>IFERROR(if($AC203=0,($W203/0.74)*BG203,
BG203*$AC203),)</f>
        <v/>
      </c>
      <c r="CS203" s="128">
        <f>IFERROR(if($AC203=0,($W203/0.74)*BH203,
BH203*$AC203),)</f>
        <v/>
      </c>
      <c r="CT203" s="128">
        <f>IFERROR(if($AC203=0,($W203/0.74)*BI203,
BI203*$AC203),)</f>
        <v/>
      </c>
      <c r="CU203" s="128">
        <f>IFERROR(AI203*$V203,)</f>
        <v/>
      </c>
      <c r="CV203" s="128">
        <f>IFERROR(AJ203*$V203,)</f>
        <v/>
      </c>
      <c r="CW203" s="128">
        <f>IFERROR(AK203*$V203,)</f>
        <v/>
      </c>
      <c r="CX203" s="128">
        <f>IFERROR(AL203*$V203,)</f>
        <v/>
      </c>
      <c r="CY203" s="128">
        <f>IFERROR(AM203*$V203,)</f>
        <v/>
      </c>
      <c r="CZ203" s="128">
        <f>IFERROR(AN203*$V203,)</f>
        <v/>
      </c>
      <c r="DA203" s="128">
        <f>IFERROR(AO203*$V203,)</f>
        <v/>
      </c>
      <c r="DB203" s="128">
        <f>IFERROR(AP203*$V203,)</f>
        <v/>
      </c>
      <c r="DC203" s="128">
        <f>IFERROR(AQ203*$V203,)</f>
        <v/>
      </c>
      <c r="DD203" s="128">
        <f>IFERROR(AR203*$V203,)</f>
        <v/>
      </c>
      <c r="DE203" s="128">
        <f>IFERROR(AS203*$V203,)</f>
        <v/>
      </c>
      <c r="DF203" s="128">
        <f>IFERROR(AT203*$V203,)</f>
        <v/>
      </c>
      <c r="DG203" s="128">
        <f>IFERROR(AU203*$V203,)</f>
        <v/>
      </c>
      <c r="DH203" s="128">
        <f>IFERROR(AV203*$V203,)</f>
        <v/>
      </c>
      <c r="DI203" s="128">
        <f>IFERROR(AW203*$V203,)</f>
        <v/>
      </c>
      <c r="DJ203" s="128">
        <f>IFERROR(AX203*$V203,)</f>
        <v/>
      </c>
      <c r="DK203" s="128">
        <f>IFERROR(AY203*$V203,)</f>
        <v/>
      </c>
      <c r="DL203" s="128">
        <f>IFERROR(AZ203*$V203,)</f>
        <v/>
      </c>
      <c r="DM203" s="129">
        <f>IFERROR(if($X203=0,($V203/1.2)*BA203,
BA203*$X203),)</f>
        <v/>
      </c>
      <c r="DN203" s="129">
        <f>IFERROR(if($X203=0,($V203/1.2)*BB203,
BB203*$X203),)</f>
        <v/>
      </c>
      <c r="DO203" s="129">
        <f>IFERROR(if($X203=0,($V203/1.2)*BC203,
BC203*$X203),)</f>
        <v/>
      </c>
      <c r="DP203" s="130">
        <f>IFERROR(if($Z203=0,($V203/1.35)*BD203,
BD203*$Z203),)</f>
        <v/>
      </c>
      <c r="DQ203" s="130">
        <f>IFERROR(if($Z203=0,($V203/1.35)*BE203,
BE203*$Z203),)</f>
        <v/>
      </c>
      <c r="DR203" s="130">
        <f>IFERROR(if($Z203=0,($V203/1.35)*BF203,
BF203*$Z203),)</f>
        <v/>
      </c>
      <c r="DS203" s="128">
        <f>IFERROR(IF($AB203=0,($V203/0.74)*BG203,
BG203*$AB203),)</f>
        <v/>
      </c>
      <c r="DT203" s="128">
        <f>IFERROR(IF($AB203=0,($V203/0.74)*BH203,
BH203*$AB203),)</f>
        <v/>
      </c>
      <c r="DU203" s="128">
        <f>IFERROR(IF($AB203=0,($V203/0.74)*BI203,
BI203*$AB203),)</f>
        <v/>
      </c>
    </row>
    <row r="204" ht="131.25" customHeight="1" s="162">
      <c r="A204" s="115" t="n"/>
      <c r="B204" s="115" t="n"/>
      <c r="C204" s="115" t="n"/>
      <c r="D204" s="115" t="n"/>
      <c r="E204" s="115" t="n"/>
      <c r="F204" s="115" t="n"/>
      <c r="G204" s="115" t="n"/>
      <c r="H204" s="115" t="n"/>
      <c r="I204" s="115" t="n"/>
      <c r="J204" s="115" t="n"/>
      <c r="K204" s="115" t="n"/>
      <c r="L204" s="115" t="n"/>
      <c r="M204" s="115" t="n"/>
      <c r="N204" s="115" t="n"/>
      <c r="O204" s="115" t="n"/>
      <c r="P204" s="115" t="n"/>
      <c r="Q204" s="115" t="n"/>
      <c r="R204" s="115" t="n"/>
      <c r="S204" s="115" t="n"/>
      <c r="T204" s="115" t="n"/>
      <c r="U204" s="116" t="n"/>
      <c r="V204" s="116" t="n"/>
      <c r="W204" s="117" t="n"/>
      <c r="X204" s="118" t="n"/>
      <c r="Y204" s="119" t="n"/>
      <c r="Z204" s="120" t="n"/>
      <c r="AA204" s="121" t="n"/>
      <c r="AB204" s="122" t="n"/>
      <c r="AC204" s="117" t="n"/>
      <c r="AD204" s="123">
        <f>IF(SUM($AE204:$AH204)=0,"",SUM($AE204:$AH204))</f>
        <v/>
      </c>
      <c r="AE204" s="123">
        <f>iferror(IF(SUM($AI204:$AZ204)=0,"",SUM($AI204:$AZ204)),"")</f>
        <v/>
      </c>
      <c r="AF204" s="123">
        <f>iferror(IF(SUM($BA204:$BC204)=0,"",SUM($BA204:$BC204)),"")</f>
        <v/>
      </c>
      <c r="AG204" s="123">
        <f>iferror(IF(SUM($BD204:$BF204)=0,"",SUM($BD204:$BF204)),"")</f>
        <v/>
      </c>
      <c r="AH204" s="124">
        <f>iferror(IF(SUM($BG204:$BI204)=0,"",SUM($BG204:$BI204)),"")</f>
        <v/>
      </c>
      <c r="AI204" s="131" t="n"/>
      <c r="AJ204" s="132" t="n"/>
      <c r="AK204" s="132" t="n"/>
      <c r="AL204" s="132" t="n"/>
      <c r="AM204" s="132" t="n"/>
      <c r="AN204" s="132" t="n"/>
      <c r="AO204" s="132" t="n"/>
      <c r="AP204" s="132" t="n"/>
      <c r="AQ204" s="132" t="n"/>
      <c r="AR204" s="132" t="n"/>
      <c r="AS204" s="132" t="n"/>
      <c r="AT204" s="132" t="n"/>
      <c r="AU204" s="132" t="n"/>
      <c r="AV204" s="132" t="n"/>
      <c r="AW204" s="132" t="n"/>
      <c r="AX204" s="132" t="n"/>
      <c r="AY204" s="132" t="n"/>
      <c r="AZ204" s="133" t="n"/>
      <c r="BA204" s="131" t="n"/>
      <c r="BB204" s="132" t="n"/>
      <c r="BC204" s="133" t="n"/>
      <c r="BD204" s="131" t="n"/>
      <c r="BE204" s="132" t="n"/>
      <c r="BF204" s="133" t="n"/>
      <c r="BG204" s="131" t="n"/>
      <c r="BH204" s="132" t="n"/>
      <c r="BI204" s="132" t="n"/>
      <c r="BJ204" s="128">
        <f>iferror(SUM($BK204,($BL204*1.2),($BM204*1.35),($BN204*0.74)),)</f>
        <v/>
      </c>
      <c r="BK204" s="128">
        <f>IFERROR(SUM($BT204:$CK204),)</f>
        <v/>
      </c>
      <c r="BL204" s="129">
        <f>IFERROR(SUM($CL204:$CN204),)</f>
        <v/>
      </c>
      <c r="BM204" s="130">
        <f>IFERROR(SUM($CO204:$CQ204),)</f>
        <v/>
      </c>
      <c r="BN204" s="128">
        <f>IFERROR(SUM($CR204:$CT204),)</f>
        <v/>
      </c>
      <c r="BO204" s="128">
        <f>iferror(SUM($BP204,($BQ204*1.2),($BR204*1.35),($BS204*0.74)),)</f>
        <v/>
      </c>
      <c r="BP204" s="128">
        <f>IFERROR(SUM($CU204:$DL204),)</f>
        <v/>
      </c>
      <c r="BQ204" s="128">
        <f>IFERROR(SUM($DM204:$DO204),)</f>
        <v/>
      </c>
      <c r="BR204" s="128">
        <f>IFERROR(SUM($DP204:$DR204),)</f>
        <v/>
      </c>
      <c r="BS204" s="128">
        <f>IFERROR(SUM($DS204:$DU204),)</f>
        <v/>
      </c>
      <c r="BT204" s="128">
        <f>IFERROR(AI204*$W204,)</f>
        <v/>
      </c>
      <c r="BU204" s="128">
        <f>IFERROR(AJ204*$W204,)</f>
        <v/>
      </c>
      <c r="BV204" s="128">
        <f>IFERROR(AK204*$W204,)</f>
        <v/>
      </c>
      <c r="BW204" s="128">
        <f>IFERROR(AL204*$W204,)</f>
        <v/>
      </c>
      <c r="BX204" s="128">
        <f>IFERROR(AM204*$W204,)</f>
        <v/>
      </c>
      <c r="BY204" s="128">
        <f>IFERROR(AN204*$W204,)</f>
        <v/>
      </c>
      <c r="BZ204" s="128">
        <f>IFERROR(AO204*$W204,)</f>
        <v/>
      </c>
      <c r="CA204" s="128">
        <f>IFERROR(AP204*$W204,)</f>
        <v/>
      </c>
      <c r="CB204" s="128">
        <f>IFERROR(AQ204*$W204,)</f>
        <v/>
      </c>
      <c r="CC204" s="128">
        <f>IFERROR(AR204*$W204,)</f>
        <v/>
      </c>
      <c r="CD204" s="128">
        <f>IFERROR(AS204*$W204,)</f>
        <v/>
      </c>
      <c r="CE204" s="128">
        <f>IFERROR(AT204*$W204,)</f>
        <v/>
      </c>
      <c r="CF204" s="128">
        <f>IFERROR(AU204*$W204,)</f>
        <v/>
      </c>
      <c r="CG204" s="128">
        <f>IFERROR(AV204*$W204,)</f>
        <v/>
      </c>
      <c r="CH204" s="128">
        <f>IFERROR(AW204*$W204,)</f>
        <v/>
      </c>
      <c r="CI204" s="128">
        <f>IFERROR(AX204*$W204,)</f>
        <v/>
      </c>
      <c r="CJ204" s="128">
        <f>IFERROR(AY204*$W204,)</f>
        <v/>
      </c>
      <c r="CK204" s="128">
        <f>IFERROR(AZ204*$W204,)</f>
        <v/>
      </c>
      <c r="CL204" s="129">
        <f>IFERROR(if($Y204=0,BA204*($W204/1.2),BA204*$Y204),"")</f>
        <v/>
      </c>
      <c r="CM204" s="129">
        <f>IFERROR(if($Y204=0,BB204*($W204/1.2),BB204*$Y204),"")</f>
        <v/>
      </c>
      <c r="CN204" s="129">
        <f>IFERROR(if($Y204=0,BC204*($W204/1.2),BC204*$Y204),"")</f>
        <v/>
      </c>
      <c r="CO204" s="130">
        <f>IFERROR(if($AA204=0,($W204/1.35)*BD204,BD204*$AA204),)</f>
        <v/>
      </c>
      <c r="CP204" s="130">
        <f>IFERROR(if($AA204=0,($W204/1.35)*BE204,BE204*$AA204),)</f>
        <v/>
      </c>
      <c r="CQ204" s="130">
        <f>IFERROR(if($AA204=0,($W204/1.35)*BF204,BF204*$AA204),)</f>
        <v/>
      </c>
      <c r="CR204" s="128">
        <f>IFERROR(if($AC204=0,($W204/0.74)*BG204,
BG204*$AC204),)</f>
        <v/>
      </c>
      <c r="CS204" s="128">
        <f>IFERROR(if($AC204=0,($W204/0.74)*BH204,
BH204*$AC204),)</f>
        <v/>
      </c>
      <c r="CT204" s="128">
        <f>IFERROR(if($AC204=0,($W204/0.74)*BI204,
BI204*$AC204),)</f>
        <v/>
      </c>
      <c r="CU204" s="128">
        <f>IFERROR(AI204*$V204,)</f>
        <v/>
      </c>
      <c r="CV204" s="128">
        <f>IFERROR(AJ204*$V204,)</f>
        <v/>
      </c>
      <c r="CW204" s="128">
        <f>IFERROR(AK204*$V204,)</f>
        <v/>
      </c>
      <c r="CX204" s="128">
        <f>IFERROR(AL204*$V204,)</f>
        <v/>
      </c>
      <c r="CY204" s="128">
        <f>IFERROR(AM204*$V204,)</f>
        <v/>
      </c>
      <c r="CZ204" s="128">
        <f>IFERROR(AN204*$V204,)</f>
        <v/>
      </c>
      <c r="DA204" s="128">
        <f>IFERROR(AO204*$V204,)</f>
        <v/>
      </c>
      <c r="DB204" s="128">
        <f>IFERROR(AP204*$V204,)</f>
        <v/>
      </c>
      <c r="DC204" s="128">
        <f>IFERROR(AQ204*$V204,)</f>
        <v/>
      </c>
      <c r="DD204" s="128">
        <f>IFERROR(AR204*$V204,)</f>
        <v/>
      </c>
      <c r="DE204" s="128">
        <f>IFERROR(AS204*$V204,)</f>
        <v/>
      </c>
      <c r="DF204" s="128">
        <f>IFERROR(AT204*$V204,)</f>
        <v/>
      </c>
      <c r="DG204" s="128">
        <f>IFERROR(AU204*$V204,)</f>
        <v/>
      </c>
      <c r="DH204" s="128">
        <f>IFERROR(AV204*$V204,)</f>
        <v/>
      </c>
      <c r="DI204" s="128">
        <f>IFERROR(AW204*$V204,)</f>
        <v/>
      </c>
      <c r="DJ204" s="128">
        <f>IFERROR(AX204*$V204,)</f>
        <v/>
      </c>
      <c r="DK204" s="128">
        <f>IFERROR(AY204*$V204,)</f>
        <v/>
      </c>
      <c r="DL204" s="128">
        <f>IFERROR(AZ204*$V204,)</f>
        <v/>
      </c>
      <c r="DM204" s="129">
        <f>IFERROR(if($X204=0,($V204/1.2)*BA204,
BA204*$X204),)</f>
        <v/>
      </c>
      <c r="DN204" s="129">
        <f>IFERROR(if($X204=0,($V204/1.2)*BB204,
BB204*$X204),)</f>
        <v/>
      </c>
      <c r="DO204" s="129">
        <f>IFERROR(if($X204=0,($V204/1.2)*BC204,
BC204*$X204),)</f>
        <v/>
      </c>
      <c r="DP204" s="130">
        <f>IFERROR(if($Z204=0,($V204/1.35)*BD204,
BD204*$Z204),)</f>
        <v/>
      </c>
      <c r="DQ204" s="130">
        <f>IFERROR(if($Z204=0,($V204/1.35)*BE204,
BE204*$Z204),)</f>
        <v/>
      </c>
      <c r="DR204" s="130">
        <f>IFERROR(if($Z204=0,($V204/1.35)*BF204,
BF204*$Z204),)</f>
        <v/>
      </c>
      <c r="DS204" s="128">
        <f>IFERROR(IF($AB204=0,($V204/0.74)*BG204,
BG204*$AB204),)</f>
        <v/>
      </c>
      <c r="DT204" s="128">
        <f>IFERROR(IF($AB204=0,($V204/0.74)*BH204,
BH204*$AB204),)</f>
        <v/>
      </c>
      <c r="DU204" s="128">
        <f>IFERROR(IF($AB204=0,($V204/0.74)*BI204,
BI204*$AB204),)</f>
        <v/>
      </c>
    </row>
    <row r="205" ht="131.25" customHeight="1" s="162">
      <c r="A205" s="115" t="n"/>
      <c r="B205" s="115" t="n"/>
      <c r="C205" s="115" t="n"/>
      <c r="D205" s="115" t="n"/>
      <c r="E205" s="115" t="n"/>
      <c r="F205" s="115" t="n"/>
      <c r="G205" s="115" t="n"/>
      <c r="H205" s="115" t="n"/>
      <c r="I205" s="115" t="n"/>
      <c r="J205" s="115" t="n"/>
      <c r="K205" s="115" t="n"/>
      <c r="L205" s="115" t="n"/>
      <c r="M205" s="115" t="n"/>
      <c r="N205" s="115" t="n"/>
      <c r="O205" s="115" t="n"/>
      <c r="P205" s="115" t="n"/>
      <c r="Q205" s="115" t="n"/>
      <c r="R205" s="115" t="n"/>
      <c r="S205" s="115" t="n"/>
      <c r="T205" s="115" t="n"/>
      <c r="U205" s="116" t="n"/>
      <c r="V205" s="116" t="n"/>
      <c r="W205" s="117" t="n"/>
      <c r="X205" s="118" t="n"/>
      <c r="Y205" s="119" t="n"/>
      <c r="Z205" s="120" t="n"/>
      <c r="AA205" s="121" t="n"/>
      <c r="AB205" s="122" t="n"/>
      <c r="AC205" s="117" t="n"/>
      <c r="AD205" s="123">
        <f>IF(SUM($AE205:$AH205)=0,"",SUM($AE205:$AH205))</f>
        <v/>
      </c>
      <c r="AE205" s="123">
        <f>iferror(IF(SUM($AI205:$AZ205)=0,"",SUM($AI205:$AZ205)),"")</f>
        <v/>
      </c>
      <c r="AF205" s="123">
        <f>iferror(IF(SUM($BA205:$BC205)=0,"",SUM($BA205:$BC205)),"")</f>
        <v/>
      </c>
      <c r="AG205" s="123">
        <f>iferror(IF(SUM($BD205:$BF205)=0,"",SUM($BD205:$BF205)),"")</f>
        <v/>
      </c>
      <c r="AH205" s="124">
        <f>iferror(IF(SUM($BG205:$BI205)=0,"",SUM($BG205:$BI205)),"")</f>
        <v/>
      </c>
      <c r="AI205" s="131" t="n"/>
      <c r="AJ205" s="132" t="n"/>
      <c r="AK205" s="132" t="n"/>
      <c r="AL205" s="132" t="n"/>
      <c r="AM205" s="132" t="n"/>
      <c r="AN205" s="132" t="n"/>
      <c r="AO205" s="132" t="n"/>
      <c r="AP205" s="132" t="n"/>
      <c r="AQ205" s="132" t="n"/>
      <c r="AR205" s="132" t="n"/>
      <c r="AS205" s="132" t="n"/>
      <c r="AT205" s="132" t="n"/>
      <c r="AU205" s="132" t="n"/>
      <c r="AV205" s="132" t="n"/>
      <c r="AW205" s="132" t="n"/>
      <c r="AX205" s="132" t="n"/>
      <c r="AY205" s="132" t="n"/>
      <c r="AZ205" s="133" t="n"/>
      <c r="BA205" s="131" t="n"/>
      <c r="BB205" s="132" t="n"/>
      <c r="BC205" s="133" t="n"/>
      <c r="BD205" s="131" t="n"/>
      <c r="BE205" s="132" t="n"/>
      <c r="BF205" s="133" t="n"/>
      <c r="BG205" s="131" t="n"/>
      <c r="BH205" s="132" t="n"/>
      <c r="BI205" s="132" t="n"/>
      <c r="BJ205" s="128">
        <f>iferror(SUM($BK205,($BL205*1.2),($BM205*1.35),($BN205*0.74)),)</f>
        <v/>
      </c>
      <c r="BK205" s="128">
        <f>IFERROR(SUM($BT205:$CK205),)</f>
        <v/>
      </c>
      <c r="BL205" s="129">
        <f>IFERROR(SUM($CL205:$CN205),)</f>
        <v/>
      </c>
      <c r="BM205" s="130">
        <f>IFERROR(SUM($CO205:$CQ205),)</f>
        <v/>
      </c>
      <c r="BN205" s="128">
        <f>IFERROR(SUM($CR205:$CT205),)</f>
        <v/>
      </c>
      <c r="BO205" s="128">
        <f>iferror(SUM($BP205,($BQ205*1.2),($BR205*1.35),($BS205*0.74)),)</f>
        <v/>
      </c>
      <c r="BP205" s="128">
        <f>IFERROR(SUM($CU205:$DL205),)</f>
        <v/>
      </c>
      <c r="BQ205" s="128">
        <f>IFERROR(SUM($DM205:$DO205),)</f>
        <v/>
      </c>
      <c r="BR205" s="128">
        <f>IFERROR(SUM($DP205:$DR205),)</f>
        <v/>
      </c>
      <c r="BS205" s="128">
        <f>IFERROR(SUM($DS205:$DU205),)</f>
        <v/>
      </c>
      <c r="BT205" s="128">
        <f>IFERROR(AI205*$W205,)</f>
        <v/>
      </c>
      <c r="BU205" s="128">
        <f>IFERROR(AJ205*$W205,)</f>
        <v/>
      </c>
      <c r="BV205" s="128">
        <f>IFERROR(AK205*$W205,)</f>
        <v/>
      </c>
      <c r="BW205" s="128">
        <f>IFERROR(AL205*$W205,)</f>
        <v/>
      </c>
      <c r="BX205" s="128">
        <f>IFERROR(AM205*$W205,)</f>
        <v/>
      </c>
      <c r="BY205" s="128">
        <f>IFERROR(AN205*$W205,)</f>
        <v/>
      </c>
      <c r="BZ205" s="128">
        <f>IFERROR(AO205*$W205,)</f>
        <v/>
      </c>
      <c r="CA205" s="128">
        <f>IFERROR(AP205*$W205,)</f>
        <v/>
      </c>
      <c r="CB205" s="128">
        <f>IFERROR(AQ205*$W205,)</f>
        <v/>
      </c>
      <c r="CC205" s="128">
        <f>IFERROR(AR205*$W205,)</f>
        <v/>
      </c>
      <c r="CD205" s="128">
        <f>IFERROR(AS205*$W205,)</f>
        <v/>
      </c>
      <c r="CE205" s="128">
        <f>IFERROR(AT205*$W205,)</f>
        <v/>
      </c>
      <c r="CF205" s="128">
        <f>IFERROR(AU205*$W205,)</f>
        <v/>
      </c>
      <c r="CG205" s="128">
        <f>IFERROR(AV205*$W205,)</f>
        <v/>
      </c>
      <c r="CH205" s="128">
        <f>IFERROR(AW205*$W205,)</f>
        <v/>
      </c>
      <c r="CI205" s="128">
        <f>IFERROR(AX205*$W205,)</f>
        <v/>
      </c>
      <c r="CJ205" s="128">
        <f>IFERROR(AY205*$W205,)</f>
        <v/>
      </c>
      <c r="CK205" s="128">
        <f>IFERROR(AZ205*$W205,)</f>
        <v/>
      </c>
      <c r="CL205" s="129">
        <f>IFERROR(if($Y205=0,BA205*($W205/1.2),BA205*$Y205),"")</f>
        <v/>
      </c>
      <c r="CM205" s="129">
        <f>IFERROR(if($Y205=0,BB205*($W205/1.2),BB205*$Y205),"")</f>
        <v/>
      </c>
      <c r="CN205" s="129">
        <f>IFERROR(if($Y205=0,BC205*($W205/1.2),BC205*$Y205),"")</f>
        <v/>
      </c>
      <c r="CO205" s="130">
        <f>IFERROR(if($AA205=0,($W205/1.35)*BD205,BD205*$AA205),)</f>
        <v/>
      </c>
      <c r="CP205" s="130">
        <f>IFERROR(if($AA205=0,($W205/1.35)*BE205,BE205*$AA205),)</f>
        <v/>
      </c>
      <c r="CQ205" s="130">
        <f>IFERROR(if($AA205=0,($W205/1.35)*BF205,BF205*$AA205),)</f>
        <v/>
      </c>
      <c r="CR205" s="128">
        <f>IFERROR(if($AC205=0,($W205/0.74)*BG205,
BG205*$AC205),)</f>
        <v/>
      </c>
      <c r="CS205" s="128">
        <f>IFERROR(if($AC205=0,($W205/0.74)*BH205,
BH205*$AC205),)</f>
        <v/>
      </c>
      <c r="CT205" s="128">
        <f>IFERROR(if($AC205=0,($W205/0.74)*BI205,
BI205*$AC205),)</f>
        <v/>
      </c>
      <c r="CU205" s="128">
        <f>IFERROR(AI205*$V205,)</f>
        <v/>
      </c>
      <c r="CV205" s="128">
        <f>IFERROR(AJ205*$V205,)</f>
        <v/>
      </c>
      <c r="CW205" s="128">
        <f>IFERROR(AK205*$V205,)</f>
        <v/>
      </c>
      <c r="CX205" s="128">
        <f>IFERROR(AL205*$V205,)</f>
        <v/>
      </c>
      <c r="CY205" s="128">
        <f>IFERROR(AM205*$V205,)</f>
        <v/>
      </c>
      <c r="CZ205" s="128">
        <f>IFERROR(AN205*$V205,)</f>
        <v/>
      </c>
      <c r="DA205" s="128">
        <f>IFERROR(AO205*$V205,)</f>
        <v/>
      </c>
      <c r="DB205" s="128">
        <f>IFERROR(AP205*$V205,)</f>
        <v/>
      </c>
      <c r="DC205" s="128">
        <f>IFERROR(AQ205*$V205,)</f>
        <v/>
      </c>
      <c r="DD205" s="128">
        <f>IFERROR(AR205*$V205,)</f>
        <v/>
      </c>
      <c r="DE205" s="128">
        <f>IFERROR(AS205*$V205,)</f>
        <v/>
      </c>
      <c r="DF205" s="128">
        <f>IFERROR(AT205*$V205,)</f>
        <v/>
      </c>
      <c r="DG205" s="128">
        <f>IFERROR(AU205*$V205,)</f>
        <v/>
      </c>
      <c r="DH205" s="128">
        <f>IFERROR(AV205*$V205,)</f>
        <v/>
      </c>
      <c r="DI205" s="128">
        <f>IFERROR(AW205*$V205,)</f>
        <v/>
      </c>
      <c r="DJ205" s="128">
        <f>IFERROR(AX205*$V205,)</f>
        <v/>
      </c>
      <c r="DK205" s="128">
        <f>IFERROR(AY205*$V205,)</f>
        <v/>
      </c>
      <c r="DL205" s="128">
        <f>IFERROR(AZ205*$V205,)</f>
        <v/>
      </c>
      <c r="DM205" s="129">
        <f>IFERROR(if($X205=0,($V205/1.2)*BA205,
BA205*$X205),)</f>
        <v/>
      </c>
      <c r="DN205" s="129">
        <f>IFERROR(if($X205=0,($V205/1.2)*BB205,
BB205*$X205),)</f>
        <v/>
      </c>
      <c r="DO205" s="129">
        <f>IFERROR(if($X205=0,($V205/1.2)*BC205,
BC205*$X205),)</f>
        <v/>
      </c>
      <c r="DP205" s="130">
        <f>IFERROR(if($Z205=0,($V205/1.35)*BD205,
BD205*$Z205),)</f>
        <v/>
      </c>
      <c r="DQ205" s="130">
        <f>IFERROR(if($Z205=0,($V205/1.35)*BE205,
BE205*$Z205),)</f>
        <v/>
      </c>
      <c r="DR205" s="130">
        <f>IFERROR(if($Z205=0,($V205/1.35)*BF205,
BF205*$Z205),)</f>
        <v/>
      </c>
      <c r="DS205" s="128">
        <f>IFERROR(IF($AB205=0,($V205/0.74)*BG205,
BG205*$AB205),)</f>
        <v/>
      </c>
      <c r="DT205" s="128">
        <f>IFERROR(IF($AB205=0,($V205/0.74)*BH205,
BH205*$AB205),)</f>
        <v/>
      </c>
      <c r="DU205" s="128">
        <f>IFERROR(IF($AB205=0,($V205/0.74)*BI205,
BI205*$AB205),)</f>
        <v/>
      </c>
    </row>
    <row r="206" ht="131.25" customHeight="1" s="162">
      <c r="A206" s="115" t="n"/>
      <c r="B206" s="115" t="n"/>
      <c r="C206" s="115" t="n"/>
      <c r="D206" s="115" t="n"/>
      <c r="E206" s="115" t="n"/>
      <c r="F206" s="115" t="n"/>
      <c r="G206" s="115" t="n"/>
      <c r="H206" s="115" t="n"/>
      <c r="I206" s="115" t="n"/>
      <c r="J206" s="115" t="n"/>
      <c r="K206" s="115" t="n"/>
      <c r="L206" s="115" t="n"/>
      <c r="M206" s="115" t="n"/>
      <c r="N206" s="115" t="n"/>
      <c r="O206" s="115" t="n"/>
      <c r="P206" s="115" t="n"/>
      <c r="Q206" s="115" t="n"/>
      <c r="R206" s="115" t="n"/>
      <c r="S206" s="115" t="n"/>
      <c r="T206" s="115" t="n"/>
      <c r="U206" s="116" t="n"/>
      <c r="V206" s="116" t="n"/>
      <c r="W206" s="117" t="n"/>
      <c r="X206" s="118" t="n"/>
      <c r="Y206" s="119" t="n"/>
      <c r="Z206" s="120" t="n"/>
      <c r="AA206" s="121" t="n"/>
      <c r="AB206" s="122" t="n"/>
      <c r="AC206" s="117" t="n"/>
      <c r="AD206" s="123">
        <f>IF(SUM($AE206:$AH206)=0,"",SUM($AE206:$AH206))</f>
        <v/>
      </c>
      <c r="AE206" s="123">
        <f>iferror(IF(SUM($AI206:$AZ206)=0,"",SUM($AI206:$AZ206)),"")</f>
        <v/>
      </c>
      <c r="AF206" s="123">
        <f>iferror(IF(SUM($BA206:$BC206)=0,"",SUM($BA206:$BC206)),"")</f>
        <v/>
      </c>
      <c r="AG206" s="123">
        <f>iferror(IF(SUM($BD206:$BF206)=0,"",SUM($BD206:$BF206)),"")</f>
        <v/>
      </c>
      <c r="AH206" s="124">
        <f>iferror(IF(SUM($BG206:$BI206)=0,"",SUM($BG206:$BI206)),"")</f>
        <v/>
      </c>
      <c r="AI206" s="131" t="n"/>
      <c r="AJ206" s="132" t="n"/>
      <c r="AK206" s="132" t="n"/>
      <c r="AL206" s="132" t="n"/>
      <c r="AM206" s="132" t="n"/>
      <c r="AN206" s="132" t="n"/>
      <c r="AO206" s="132" t="n"/>
      <c r="AP206" s="132" t="n"/>
      <c r="AQ206" s="132" t="n"/>
      <c r="AR206" s="132" t="n"/>
      <c r="AS206" s="132" t="n"/>
      <c r="AT206" s="132" t="n"/>
      <c r="AU206" s="132" t="n"/>
      <c r="AV206" s="132" t="n"/>
      <c r="AW206" s="132" t="n"/>
      <c r="AX206" s="132" t="n"/>
      <c r="AY206" s="132" t="n"/>
      <c r="AZ206" s="133" t="n"/>
      <c r="BA206" s="131" t="n"/>
      <c r="BB206" s="132" t="n"/>
      <c r="BC206" s="133" t="n"/>
      <c r="BD206" s="131" t="n"/>
      <c r="BE206" s="132" t="n"/>
      <c r="BF206" s="133" t="n"/>
      <c r="BG206" s="131" t="n"/>
      <c r="BH206" s="132" t="n"/>
      <c r="BI206" s="132" t="n"/>
      <c r="BJ206" s="128">
        <f>iferror(SUM($BK206,($BL206*1.2),($BM206*1.35),($BN206*0.74)),)</f>
        <v/>
      </c>
      <c r="BK206" s="128">
        <f>IFERROR(SUM($BT206:$CK206),)</f>
        <v/>
      </c>
      <c r="BL206" s="129">
        <f>IFERROR(SUM($CL206:$CN206),)</f>
        <v/>
      </c>
      <c r="BM206" s="130">
        <f>IFERROR(SUM($CO206:$CQ206),)</f>
        <v/>
      </c>
      <c r="BN206" s="128">
        <f>IFERROR(SUM($CR206:$CT206),)</f>
        <v/>
      </c>
      <c r="BO206" s="128">
        <f>iferror(SUM($BP206,($BQ206*1.2),($BR206*1.35),($BS206*0.74)),)</f>
        <v/>
      </c>
      <c r="BP206" s="128">
        <f>IFERROR(SUM($CU206:$DL206),)</f>
        <v/>
      </c>
      <c r="BQ206" s="128">
        <f>IFERROR(SUM($DM206:$DO206),)</f>
        <v/>
      </c>
      <c r="BR206" s="128">
        <f>IFERROR(SUM($DP206:$DR206),)</f>
        <v/>
      </c>
      <c r="BS206" s="128">
        <f>IFERROR(SUM($DS206:$DU206),)</f>
        <v/>
      </c>
      <c r="BT206" s="128">
        <f>IFERROR(AI206*$W206,)</f>
        <v/>
      </c>
      <c r="BU206" s="128">
        <f>IFERROR(AJ206*$W206,)</f>
        <v/>
      </c>
      <c r="BV206" s="128">
        <f>IFERROR(AK206*$W206,)</f>
        <v/>
      </c>
      <c r="BW206" s="128">
        <f>IFERROR(AL206*$W206,)</f>
        <v/>
      </c>
      <c r="BX206" s="128">
        <f>IFERROR(AM206*$W206,)</f>
        <v/>
      </c>
      <c r="BY206" s="128">
        <f>IFERROR(AN206*$W206,)</f>
        <v/>
      </c>
      <c r="BZ206" s="128">
        <f>IFERROR(AO206*$W206,)</f>
        <v/>
      </c>
      <c r="CA206" s="128">
        <f>IFERROR(AP206*$W206,)</f>
        <v/>
      </c>
      <c r="CB206" s="128">
        <f>IFERROR(AQ206*$W206,)</f>
        <v/>
      </c>
      <c r="CC206" s="128">
        <f>IFERROR(AR206*$W206,)</f>
        <v/>
      </c>
      <c r="CD206" s="128">
        <f>IFERROR(AS206*$W206,)</f>
        <v/>
      </c>
      <c r="CE206" s="128">
        <f>IFERROR(AT206*$W206,)</f>
        <v/>
      </c>
      <c r="CF206" s="128">
        <f>IFERROR(AU206*$W206,)</f>
        <v/>
      </c>
      <c r="CG206" s="128">
        <f>IFERROR(AV206*$W206,)</f>
        <v/>
      </c>
      <c r="CH206" s="128">
        <f>IFERROR(AW206*$W206,)</f>
        <v/>
      </c>
      <c r="CI206" s="128">
        <f>IFERROR(AX206*$W206,)</f>
        <v/>
      </c>
      <c r="CJ206" s="128">
        <f>IFERROR(AY206*$W206,)</f>
        <v/>
      </c>
      <c r="CK206" s="128">
        <f>IFERROR(AZ206*$W206,)</f>
        <v/>
      </c>
      <c r="CL206" s="129">
        <f>IFERROR(if($Y206=0,BA206*($W206/1.2),BA206*$Y206),"")</f>
        <v/>
      </c>
      <c r="CM206" s="129">
        <f>IFERROR(if($Y206=0,BB206*($W206/1.2),BB206*$Y206),"")</f>
        <v/>
      </c>
      <c r="CN206" s="129">
        <f>IFERROR(if($Y206=0,BC206*($W206/1.2),BC206*$Y206),"")</f>
        <v/>
      </c>
      <c r="CO206" s="130">
        <f>IFERROR(if($AA206=0,($W206/1.35)*BD206,BD206*$AA206),)</f>
        <v/>
      </c>
      <c r="CP206" s="130">
        <f>IFERROR(if($AA206=0,($W206/1.35)*BE206,BE206*$AA206),)</f>
        <v/>
      </c>
      <c r="CQ206" s="130">
        <f>IFERROR(if($AA206=0,($W206/1.35)*BF206,BF206*$AA206),)</f>
        <v/>
      </c>
      <c r="CR206" s="128">
        <f>IFERROR(if($AC206=0,($W206/0.74)*BG206,
BG206*$AC206),)</f>
        <v/>
      </c>
      <c r="CS206" s="128">
        <f>IFERROR(if($AC206=0,($W206/0.74)*BH206,
BH206*$AC206),)</f>
        <v/>
      </c>
      <c r="CT206" s="128">
        <f>IFERROR(if($AC206=0,($W206/0.74)*BI206,
BI206*$AC206),)</f>
        <v/>
      </c>
      <c r="CU206" s="128">
        <f>IFERROR(AI206*$V206,)</f>
        <v/>
      </c>
      <c r="CV206" s="128">
        <f>IFERROR(AJ206*$V206,)</f>
        <v/>
      </c>
      <c r="CW206" s="128">
        <f>IFERROR(AK206*$V206,)</f>
        <v/>
      </c>
      <c r="CX206" s="128">
        <f>IFERROR(AL206*$V206,)</f>
        <v/>
      </c>
      <c r="CY206" s="128">
        <f>IFERROR(AM206*$V206,)</f>
        <v/>
      </c>
      <c r="CZ206" s="128">
        <f>IFERROR(AN206*$V206,)</f>
        <v/>
      </c>
      <c r="DA206" s="128">
        <f>IFERROR(AO206*$V206,)</f>
        <v/>
      </c>
      <c r="DB206" s="128">
        <f>IFERROR(AP206*$V206,)</f>
        <v/>
      </c>
      <c r="DC206" s="128">
        <f>IFERROR(AQ206*$V206,)</f>
        <v/>
      </c>
      <c r="DD206" s="128">
        <f>IFERROR(AR206*$V206,)</f>
        <v/>
      </c>
      <c r="DE206" s="128">
        <f>IFERROR(AS206*$V206,)</f>
        <v/>
      </c>
      <c r="DF206" s="128">
        <f>IFERROR(AT206*$V206,)</f>
        <v/>
      </c>
      <c r="DG206" s="128">
        <f>IFERROR(AU206*$V206,)</f>
        <v/>
      </c>
      <c r="DH206" s="128">
        <f>IFERROR(AV206*$V206,)</f>
        <v/>
      </c>
      <c r="DI206" s="128">
        <f>IFERROR(AW206*$V206,)</f>
        <v/>
      </c>
      <c r="DJ206" s="128">
        <f>IFERROR(AX206*$V206,)</f>
        <v/>
      </c>
      <c r="DK206" s="128">
        <f>IFERROR(AY206*$V206,)</f>
        <v/>
      </c>
      <c r="DL206" s="128">
        <f>IFERROR(AZ206*$V206,)</f>
        <v/>
      </c>
      <c r="DM206" s="129">
        <f>IFERROR(if($X206=0,($V206/1.2)*BA206,
BA206*$X206),)</f>
        <v/>
      </c>
      <c r="DN206" s="129">
        <f>IFERROR(if($X206=0,($V206/1.2)*BB206,
BB206*$X206),)</f>
        <v/>
      </c>
      <c r="DO206" s="129">
        <f>IFERROR(if($X206=0,($V206/1.2)*BC206,
BC206*$X206),)</f>
        <v/>
      </c>
      <c r="DP206" s="130">
        <f>IFERROR(if($Z206=0,($V206/1.35)*BD206,
BD206*$Z206),)</f>
        <v/>
      </c>
      <c r="DQ206" s="130">
        <f>IFERROR(if($Z206=0,($V206/1.35)*BE206,
BE206*$Z206),)</f>
        <v/>
      </c>
      <c r="DR206" s="130">
        <f>IFERROR(if($Z206=0,($V206/1.35)*BF206,
BF206*$Z206),)</f>
        <v/>
      </c>
      <c r="DS206" s="128">
        <f>IFERROR(IF($AB206=0,($V206/0.74)*BG206,
BG206*$AB206),)</f>
        <v/>
      </c>
      <c r="DT206" s="128">
        <f>IFERROR(IF($AB206=0,($V206/0.74)*BH206,
BH206*$AB206),)</f>
        <v/>
      </c>
      <c r="DU206" s="128">
        <f>IFERROR(IF($AB206=0,($V206/0.74)*BI206,
BI206*$AB206),)</f>
        <v/>
      </c>
    </row>
    <row r="207" ht="131.25" customHeight="1" s="162">
      <c r="A207" s="115" t="n"/>
      <c r="B207" s="115" t="n"/>
      <c r="C207" s="115" t="n"/>
      <c r="D207" s="115" t="n"/>
      <c r="E207" s="115" t="n"/>
      <c r="F207" s="115" t="n"/>
      <c r="G207" s="115" t="n"/>
      <c r="H207" s="115" t="n"/>
      <c r="I207" s="115" t="n"/>
      <c r="J207" s="115" t="n"/>
      <c r="K207" s="115" t="n"/>
      <c r="L207" s="115" t="n"/>
      <c r="M207" s="115" t="n"/>
      <c r="N207" s="115" t="n"/>
      <c r="O207" s="115" t="n"/>
      <c r="P207" s="115" t="n"/>
      <c r="Q207" s="115" t="n"/>
      <c r="R207" s="115" t="n"/>
      <c r="S207" s="115" t="n"/>
      <c r="T207" s="115" t="n"/>
      <c r="U207" s="116" t="n"/>
      <c r="V207" s="116" t="n"/>
      <c r="W207" s="117" t="n"/>
      <c r="X207" s="118" t="n"/>
      <c r="Y207" s="119" t="n"/>
      <c r="Z207" s="120" t="n"/>
      <c r="AA207" s="121" t="n"/>
      <c r="AB207" s="122" t="n"/>
      <c r="AC207" s="117" t="n"/>
      <c r="AD207" s="123">
        <f>IF(SUM($AE207:$AH207)=0,"",SUM($AE207:$AH207))</f>
        <v/>
      </c>
      <c r="AE207" s="123">
        <f>iferror(IF(SUM($AI207:$AZ207)=0,"",SUM($AI207:$AZ207)),"")</f>
        <v/>
      </c>
      <c r="AF207" s="123">
        <f>iferror(IF(SUM($BA207:$BC207)=0,"",SUM($BA207:$BC207)),"")</f>
        <v/>
      </c>
      <c r="AG207" s="123">
        <f>iferror(IF(SUM($BD207:$BF207)=0,"",SUM($BD207:$BF207)),"")</f>
        <v/>
      </c>
      <c r="AH207" s="124">
        <f>iferror(IF(SUM($BG207:$BI207)=0,"",SUM($BG207:$BI207)),"")</f>
        <v/>
      </c>
      <c r="AI207" s="131" t="n"/>
      <c r="AJ207" s="132" t="n"/>
      <c r="AK207" s="132" t="n"/>
      <c r="AL207" s="132" t="n"/>
      <c r="AM207" s="132" t="n"/>
      <c r="AN207" s="132" t="n"/>
      <c r="AO207" s="132" t="n"/>
      <c r="AP207" s="132" t="n"/>
      <c r="AQ207" s="132" t="n"/>
      <c r="AR207" s="132" t="n"/>
      <c r="AS207" s="132" t="n"/>
      <c r="AT207" s="132" t="n"/>
      <c r="AU207" s="132" t="n"/>
      <c r="AV207" s="132" t="n"/>
      <c r="AW207" s="132" t="n"/>
      <c r="AX207" s="132" t="n"/>
      <c r="AY207" s="132" t="n"/>
      <c r="AZ207" s="133" t="n"/>
      <c r="BA207" s="131" t="n"/>
      <c r="BB207" s="132" t="n"/>
      <c r="BC207" s="133" t="n"/>
      <c r="BD207" s="131" t="n"/>
      <c r="BE207" s="132" t="n"/>
      <c r="BF207" s="133" t="n"/>
      <c r="BG207" s="131" t="n"/>
      <c r="BH207" s="132" t="n"/>
      <c r="BI207" s="132" t="n"/>
      <c r="BJ207" s="128">
        <f>iferror(SUM($BK207,($BL207*1.2),($BM207*1.35),($BN207*0.74)),)</f>
        <v/>
      </c>
      <c r="BK207" s="128">
        <f>IFERROR(SUM($BT207:$CK207),)</f>
        <v/>
      </c>
      <c r="BL207" s="129">
        <f>IFERROR(SUM($CL207:$CN207),)</f>
        <v/>
      </c>
      <c r="BM207" s="130">
        <f>IFERROR(SUM($CO207:$CQ207),)</f>
        <v/>
      </c>
      <c r="BN207" s="128">
        <f>IFERROR(SUM($CR207:$CT207),)</f>
        <v/>
      </c>
      <c r="BO207" s="128">
        <f>iferror(SUM($BP207,($BQ207*1.2),($BR207*1.35),($BS207*0.74)),)</f>
        <v/>
      </c>
      <c r="BP207" s="128">
        <f>IFERROR(SUM($CU207:$DL207),)</f>
        <v/>
      </c>
      <c r="BQ207" s="128">
        <f>IFERROR(SUM($DM207:$DO207),)</f>
        <v/>
      </c>
      <c r="BR207" s="128">
        <f>IFERROR(SUM($DP207:$DR207),)</f>
        <v/>
      </c>
      <c r="BS207" s="128">
        <f>IFERROR(SUM($DS207:$DU207),)</f>
        <v/>
      </c>
      <c r="BT207" s="128">
        <f>IFERROR(AI207*$W207,)</f>
        <v/>
      </c>
      <c r="BU207" s="128">
        <f>IFERROR(AJ207*$W207,)</f>
        <v/>
      </c>
      <c r="BV207" s="128">
        <f>IFERROR(AK207*$W207,)</f>
        <v/>
      </c>
      <c r="BW207" s="128">
        <f>IFERROR(AL207*$W207,)</f>
        <v/>
      </c>
      <c r="BX207" s="128">
        <f>IFERROR(AM207*$W207,)</f>
        <v/>
      </c>
      <c r="BY207" s="128">
        <f>IFERROR(AN207*$W207,)</f>
        <v/>
      </c>
      <c r="BZ207" s="128">
        <f>IFERROR(AO207*$W207,)</f>
        <v/>
      </c>
      <c r="CA207" s="128">
        <f>IFERROR(AP207*$W207,)</f>
        <v/>
      </c>
      <c r="CB207" s="128">
        <f>IFERROR(AQ207*$W207,)</f>
        <v/>
      </c>
      <c r="CC207" s="128">
        <f>IFERROR(AR207*$W207,)</f>
        <v/>
      </c>
      <c r="CD207" s="128">
        <f>IFERROR(AS207*$W207,)</f>
        <v/>
      </c>
      <c r="CE207" s="128">
        <f>IFERROR(AT207*$W207,)</f>
        <v/>
      </c>
      <c r="CF207" s="128">
        <f>IFERROR(AU207*$W207,)</f>
        <v/>
      </c>
      <c r="CG207" s="128">
        <f>IFERROR(AV207*$W207,)</f>
        <v/>
      </c>
      <c r="CH207" s="128">
        <f>IFERROR(AW207*$W207,)</f>
        <v/>
      </c>
      <c r="CI207" s="128">
        <f>IFERROR(AX207*$W207,)</f>
        <v/>
      </c>
      <c r="CJ207" s="128">
        <f>IFERROR(AY207*$W207,)</f>
        <v/>
      </c>
      <c r="CK207" s="128">
        <f>IFERROR(AZ207*$W207,)</f>
        <v/>
      </c>
      <c r="CL207" s="129">
        <f>IFERROR(if($Y207=0,BA207*($W207/1.2),BA207*$Y207),"")</f>
        <v/>
      </c>
      <c r="CM207" s="129">
        <f>IFERROR(if($Y207=0,BB207*($W207/1.2),BB207*$Y207),"")</f>
        <v/>
      </c>
      <c r="CN207" s="129">
        <f>IFERROR(if($Y207=0,BC207*($W207/1.2),BC207*$Y207),"")</f>
        <v/>
      </c>
      <c r="CO207" s="130">
        <f>IFERROR(if($AA207=0,($W207/1.35)*BD207,BD207*$AA207),)</f>
        <v/>
      </c>
      <c r="CP207" s="130">
        <f>IFERROR(if($AA207=0,($W207/1.35)*BE207,BE207*$AA207),)</f>
        <v/>
      </c>
      <c r="CQ207" s="130">
        <f>IFERROR(if($AA207=0,($W207/1.35)*BF207,BF207*$AA207),)</f>
        <v/>
      </c>
      <c r="CR207" s="128">
        <f>IFERROR(if($AC207=0,($W207/0.74)*BG207,
BG207*$AC207),)</f>
        <v/>
      </c>
      <c r="CS207" s="128">
        <f>IFERROR(if($AC207=0,($W207/0.74)*BH207,
BH207*$AC207),)</f>
        <v/>
      </c>
      <c r="CT207" s="128">
        <f>IFERROR(if($AC207=0,($W207/0.74)*BI207,
BI207*$AC207),)</f>
        <v/>
      </c>
      <c r="CU207" s="128">
        <f>IFERROR(AI207*$V207,)</f>
        <v/>
      </c>
      <c r="CV207" s="128">
        <f>IFERROR(AJ207*$V207,)</f>
        <v/>
      </c>
      <c r="CW207" s="128">
        <f>IFERROR(AK207*$V207,)</f>
        <v/>
      </c>
      <c r="CX207" s="128">
        <f>IFERROR(AL207*$V207,)</f>
        <v/>
      </c>
      <c r="CY207" s="128">
        <f>IFERROR(AM207*$V207,)</f>
        <v/>
      </c>
      <c r="CZ207" s="128">
        <f>IFERROR(AN207*$V207,)</f>
        <v/>
      </c>
      <c r="DA207" s="128">
        <f>IFERROR(AO207*$V207,)</f>
        <v/>
      </c>
      <c r="DB207" s="128">
        <f>IFERROR(AP207*$V207,)</f>
        <v/>
      </c>
      <c r="DC207" s="128">
        <f>IFERROR(AQ207*$V207,)</f>
        <v/>
      </c>
      <c r="DD207" s="128">
        <f>IFERROR(AR207*$V207,)</f>
        <v/>
      </c>
      <c r="DE207" s="128">
        <f>IFERROR(AS207*$V207,)</f>
        <v/>
      </c>
      <c r="DF207" s="128">
        <f>IFERROR(AT207*$V207,)</f>
        <v/>
      </c>
      <c r="DG207" s="128">
        <f>IFERROR(AU207*$V207,)</f>
        <v/>
      </c>
      <c r="DH207" s="128">
        <f>IFERROR(AV207*$V207,)</f>
        <v/>
      </c>
      <c r="DI207" s="128">
        <f>IFERROR(AW207*$V207,)</f>
        <v/>
      </c>
      <c r="DJ207" s="128">
        <f>IFERROR(AX207*$V207,)</f>
        <v/>
      </c>
      <c r="DK207" s="128">
        <f>IFERROR(AY207*$V207,)</f>
        <v/>
      </c>
      <c r="DL207" s="128">
        <f>IFERROR(AZ207*$V207,)</f>
        <v/>
      </c>
      <c r="DM207" s="129">
        <f>IFERROR(if($X207=0,($V207/1.2)*BA207,
BA207*$X207),)</f>
        <v/>
      </c>
      <c r="DN207" s="129">
        <f>IFERROR(if($X207=0,($V207/1.2)*BB207,
BB207*$X207),)</f>
        <v/>
      </c>
      <c r="DO207" s="129">
        <f>IFERROR(if($X207=0,($V207/1.2)*BC207,
BC207*$X207),)</f>
        <v/>
      </c>
      <c r="DP207" s="130">
        <f>IFERROR(if($Z207=0,($V207/1.35)*BD207,
BD207*$Z207),)</f>
        <v/>
      </c>
      <c r="DQ207" s="130">
        <f>IFERROR(if($Z207=0,($V207/1.35)*BE207,
BE207*$Z207),)</f>
        <v/>
      </c>
      <c r="DR207" s="130">
        <f>IFERROR(if($Z207=0,($V207/1.35)*BF207,
BF207*$Z207),)</f>
        <v/>
      </c>
      <c r="DS207" s="128">
        <f>IFERROR(IF($AB207=0,($V207/0.74)*BG207,
BG207*$AB207),)</f>
        <v/>
      </c>
      <c r="DT207" s="128">
        <f>IFERROR(IF($AB207=0,($V207/0.74)*BH207,
BH207*$AB207),)</f>
        <v/>
      </c>
      <c r="DU207" s="128">
        <f>IFERROR(IF($AB207=0,($V207/0.74)*BI207,
BI207*$AB207),)</f>
        <v/>
      </c>
    </row>
    <row r="208" ht="131.25" customHeight="1" s="162">
      <c r="A208" s="115" t="n"/>
      <c r="B208" s="115" t="n"/>
      <c r="C208" s="115" t="n"/>
      <c r="D208" s="115" t="n"/>
      <c r="E208" s="115" t="n"/>
      <c r="F208" s="115" t="n"/>
      <c r="G208" s="115" t="n"/>
      <c r="H208" s="115" t="n"/>
      <c r="I208" s="115" t="n"/>
      <c r="J208" s="115" t="n"/>
      <c r="K208" s="115" t="n"/>
      <c r="L208" s="115" t="n"/>
      <c r="M208" s="115" t="n"/>
      <c r="N208" s="115" t="n"/>
      <c r="O208" s="115" t="n"/>
      <c r="P208" s="115" t="n"/>
      <c r="Q208" s="115" t="n"/>
      <c r="R208" s="115" t="n"/>
      <c r="S208" s="115" t="n"/>
      <c r="T208" s="115" t="n"/>
      <c r="U208" s="116" t="n"/>
      <c r="V208" s="116" t="n"/>
      <c r="W208" s="117" t="n"/>
      <c r="X208" s="118" t="n"/>
      <c r="Y208" s="119" t="n"/>
      <c r="Z208" s="120" t="n"/>
      <c r="AA208" s="121" t="n"/>
      <c r="AB208" s="122" t="n"/>
      <c r="AC208" s="117" t="n"/>
      <c r="AD208" s="123">
        <f>IF(SUM($AE208:$AH208)=0,"",SUM($AE208:$AH208))</f>
        <v/>
      </c>
      <c r="AE208" s="123">
        <f>iferror(IF(SUM($AI208:$AZ208)=0,"",SUM($AI208:$AZ208)),"")</f>
        <v/>
      </c>
      <c r="AF208" s="123">
        <f>iferror(IF(SUM($BA208:$BC208)=0,"",SUM($BA208:$BC208)),"")</f>
        <v/>
      </c>
      <c r="AG208" s="123">
        <f>iferror(IF(SUM($BD208:$BF208)=0,"",SUM($BD208:$BF208)),"")</f>
        <v/>
      </c>
      <c r="AH208" s="124">
        <f>iferror(IF(SUM($BG208:$BI208)=0,"",SUM($BG208:$BI208)),"")</f>
        <v/>
      </c>
      <c r="AI208" s="131" t="n"/>
      <c r="AJ208" s="132" t="n"/>
      <c r="AK208" s="132" t="n"/>
      <c r="AL208" s="132" t="n"/>
      <c r="AM208" s="132" t="n"/>
      <c r="AN208" s="132" t="n"/>
      <c r="AO208" s="132" t="n"/>
      <c r="AP208" s="132" t="n"/>
      <c r="AQ208" s="132" t="n"/>
      <c r="AR208" s="132" t="n"/>
      <c r="AS208" s="132" t="n"/>
      <c r="AT208" s="132" t="n"/>
      <c r="AU208" s="132" t="n"/>
      <c r="AV208" s="132" t="n"/>
      <c r="AW208" s="132" t="n"/>
      <c r="AX208" s="132" t="n"/>
      <c r="AY208" s="132" t="n"/>
      <c r="AZ208" s="133" t="n"/>
      <c r="BA208" s="131" t="n"/>
      <c r="BB208" s="132" t="n"/>
      <c r="BC208" s="133" t="n"/>
      <c r="BD208" s="131" t="n"/>
      <c r="BE208" s="132" t="n"/>
      <c r="BF208" s="133" t="n"/>
      <c r="BG208" s="131" t="n"/>
      <c r="BH208" s="132" t="n"/>
      <c r="BI208" s="132" t="n"/>
      <c r="BJ208" s="128">
        <f>iferror(SUM($BK208,($BL208*1.2),($BM208*1.35),($BN208*0.74)),)</f>
        <v/>
      </c>
      <c r="BK208" s="128">
        <f>IFERROR(SUM($BT208:$CK208),)</f>
        <v/>
      </c>
      <c r="BL208" s="129">
        <f>IFERROR(SUM($CL208:$CN208),)</f>
        <v/>
      </c>
      <c r="BM208" s="130">
        <f>IFERROR(SUM($CO208:$CQ208),)</f>
        <v/>
      </c>
      <c r="BN208" s="128">
        <f>IFERROR(SUM($CR208:$CT208),)</f>
        <v/>
      </c>
      <c r="BO208" s="128">
        <f>iferror(SUM($BP208,($BQ208*1.2),($BR208*1.35),($BS208*0.74)),)</f>
        <v/>
      </c>
      <c r="BP208" s="128">
        <f>IFERROR(SUM($CU208:$DL208),)</f>
        <v/>
      </c>
      <c r="BQ208" s="128">
        <f>IFERROR(SUM($DM208:$DO208),)</f>
        <v/>
      </c>
      <c r="BR208" s="128">
        <f>IFERROR(SUM($DP208:$DR208),)</f>
        <v/>
      </c>
      <c r="BS208" s="128">
        <f>IFERROR(SUM($DS208:$DU208),)</f>
        <v/>
      </c>
      <c r="BT208" s="128">
        <f>IFERROR(AI208*$W208,)</f>
        <v/>
      </c>
      <c r="BU208" s="128">
        <f>IFERROR(AJ208*$W208,)</f>
        <v/>
      </c>
      <c r="BV208" s="128">
        <f>IFERROR(AK208*$W208,)</f>
        <v/>
      </c>
      <c r="BW208" s="128">
        <f>IFERROR(AL208*$W208,)</f>
        <v/>
      </c>
      <c r="BX208" s="128">
        <f>IFERROR(AM208*$W208,)</f>
        <v/>
      </c>
      <c r="BY208" s="128">
        <f>IFERROR(AN208*$W208,)</f>
        <v/>
      </c>
      <c r="BZ208" s="128">
        <f>IFERROR(AO208*$W208,)</f>
        <v/>
      </c>
      <c r="CA208" s="128">
        <f>IFERROR(AP208*$W208,)</f>
        <v/>
      </c>
      <c r="CB208" s="128">
        <f>IFERROR(AQ208*$W208,)</f>
        <v/>
      </c>
      <c r="CC208" s="128">
        <f>IFERROR(AR208*$W208,)</f>
        <v/>
      </c>
      <c r="CD208" s="128">
        <f>IFERROR(AS208*$W208,)</f>
        <v/>
      </c>
      <c r="CE208" s="128">
        <f>IFERROR(AT208*$W208,)</f>
        <v/>
      </c>
      <c r="CF208" s="128">
        <f>IFERROR(AU208*$W208,)</f>
        <v/>
      </c>
      <c r="CG208" s="128">
        <f>IFERROR(AV208*$W208,)</f>
        <v/>
      </c>
      <c r="CH208" s="128">
        <f>IFERROR(AW208*$W208,)</f>
        <v/>
      </c>
      <c r="CI208" s="128">
        <f>IFERROR(AX208*$W208,)</f>
        <v/>
      </c>
      <c r="CJ208" s="128">
        <f>IFERROR(AY208*$W208,)</f>
        <v/>
      </c>
      <c r="CK208" s="128">
        <f>IFERROR(AZ208*$W208,)</f>
        <v/>
      </c>
      <c r="CL208" s="129">
        <f>IFERROR(if($Y208=0,BA208*($W208/1.2),BA208*$Y208),"")</f>
        <v/>
      </c>
      <c r="CM208" s="129">
        <f>IFERROR(if($Y208=0,BB208*($W208/1.2),BB208*$Y208),"")</f>
        <v/>
      </c>
      <c r="CN208" s="129">
        <f>IFERROR(if($Y208=0,BC208*($W208/1.2),BC208*$Y208),"")</f>
        <v/>
      </c>
      <c r="CO208" s="130">
        <f>IFERROR(if($AA208=0,($W208/1.35)*BD208,BD208*$AA208),)</f>
        <v/>
      </c>
      <c r="CP208" s="130">
        <f>IFERROR(if($AA208=0,($W208/1.35)*BE208,BE208*$AA208),)</f>
        <v/>
      </c>
      <c r="CQ208" s="130">
        <f>IFERROR(if($AA208=0,($W208/1.35)*BF208,BF208*$AA208),)</f>
        <v/>
      </c>
      <c r="CR208" s="128">
        <f>IFERROR(if($AC208=0,($W208/0.74)*BG208,
BG208*$AC208),)</f>
        <v/>
      </c>
      <c r="CS208" s="128">
        <f>IFERROR(if($AC208=0,($W208/0.74)*BH208,
BH208*$AC208),)</f>
        <v/>
      </c>
      <c r="CT208" s="128">
        <f>IFERROR(if($AC208=0,($W208/0.74)*BI208,
BI208*$AC208),)</f>
        <v/>
      </c>
      <c r="CU208" s="128">
        <f>IFERROR(AI208*$V208,)</f>
        <v/>
      </c>
      <c r="CV208" s="128">
        <f>IFERROR(AJ208*$V208,)</f>
        <v/>
      </c>
      <c r="CW208" s="128">
        <f>IFERROR(AK208*$V208,)</f>
        <v/>
      </c>
      <c r="CX208" s="128">
        <f>IFERROR(AL208*$V208,)</f>
        <v/>
      </c>
      <c r="CY208" s="128">
        <f>IFERROR(AM208*$V208,)</f>
        <v/>
      </c>
      <c r="CZ208" s="128">
        <f>IFERROR(AN208*$V208,)</f>
        <v/>
      </c>
      <c r="DA208" s="128">
        <f>IFERROR(AO208*$V208,)</f>
        <v/>
      </c>
      <c r="DB208" s="128">
        <f>IFERROR(AP208*$V208,)</f>
        <v/>
      </c>
      <c r="DC208" s="128">
        <f>IFERROR(AQ208*$V208,)</f>
        <v/>
      </c>
      <c r="DD208" s="128">
        <f>IFERROR(AR208*$V208,)</f>
        <v/>
      </c>
      <c r="DE208" s="128">
        <f>IFERROR(AS208*$V208,)</f>
        <v/>
      </c>
      <c r="DF208" s="128">
        <f>IFERROR(AT208*$V208,)</f>
        <v/>
      </c>
      <c r="DG208" s="128">
        <f>IFERROR(AU208*$V208,)</f>
        <v/>
      </c>
      <c r="DH208" s="128">
        <f>IFERROR(AV208*$V208,)</f>
        <v/>
      </c>
      <c r="DI208" s="128">
        <f>IFERROR(AW208*$V208,)</f>
        <v/>
      </c>
      <c r="DJ208" s="128">
        <f>IFERROR(AX208*$V208,)</f>
        <v/>
      </c>
      <c r="DK208" s="128">
        <f>IFERROR(AY208*$V208,)</f>
        <v/>
      </c>
      <c r="DL208" s="128">
        <f>IFERROR(AZ208*$V208,)</f>
        <v/>
      </c>
      <c r="DM208" s="129">
        <f>IFERROR(if($X208=0,($V208/1.2)*BA208,
BA208*$X208),)</f>
        <v/>
      </c>
      <c r="DN208" s="129">
        <f>IFERROR(if($X208=0,($V208/1.2)*BB208,
BB208*$X208),)</f>
        <v/>
      </c>
      <c r="DO208" s="129">
        <f>IFERROR(if($X208=0,($V208/1.2)*BC208,
BC208*$X208),)</f>
        <v/>
      </c>
      <c r="DP208" s="130">
        <f>IFERROR(if($Z208=0,($V208/1.35)*BD208,
BD208*$Z208),)</f>
        <v/>
      </c>
      <c r="DQ208" s="130">
        <f>IFERROR(if($Z208=0,($V208/1.35)*BE208,
BE208*$Z208),)</f>
        <v/>
      </c>
      <c r="DR208" s="130">
        <f>IFERROR(if($Z208=0,($V208/1.35)*BF208,
BF208*$Z208),)</f>
        <v/>
      </c>
      <c r="DS208" s="128">
        <f>IFERROR(IF($AB208=0,($V208/0.74)*BG208,
BG208*$AB208),)</f>
        <v/>
      </c>
      <c r="DT208" s="128">
        <f>IFERROR(IF($AB208=0,($V208/0.74)*BH208,
BH208*$AB208),)</f>
        <v/>
      </c>
      <c r="DU208" s="128">
        <f>IFERROR(IF($AB208=0,($V208/0.74)*BI208,
BI208*$AB208),)</f>
        <v/>
      </c>
    </row>
    <row r="209" ht="131.25" customHeight="1" s="162">
      <c r="A209" s="115" t="n"/>
      <c r="B209" s="115" t="n"/>
      <c r="C209" s="115" t="n"/>
      <c r="D209" s="115" t="n"/>
      <c r="E209" s="115" t="n"/>
      <c r="F209" s="115" t="n"/>
      <c r="G209" s="115" t="n"/>
      <c r="H209" s="115" t="n"/>
      <c r="I209" s="115" t="n"/>
      <c r="J209" s="115" t="n"/>
      <c r="K209" s="115" t="n"/>
      <c r="L209" s="115" t="n"/>
      <c r="M209" s="115" t="n"/>
      <c r="N209" s="115" t="n"/>
      <c r="O209" s="115" t="n"/>
      <c r="P209" s="115" t="n"/>
      <c r="Q209" s="115" t="n"/>
      <c r="R209" s="115" t="n"/>
      <c r="S209" s="115" t="n"/>
      <c r="T209" s="115" t="n"/>
      <c r="U209" s="116" t="n"/>
      <c r="V209" s="116" t="n"/>
      <c r="W209" s="117" t="n"/>
      <c r="X209" s="118" t="n"/>
      <c r="Y209" s="119" t="n"/>
      <c r="Z209" s="120" t="n"/>
      <c r="AA209" s="121" t="n"/>
      <c r="AB209" s="122" t="n"/>
      <c r="AC209" s="117" t="n"/>
      <c r="AD209" s="123">
        <f>IF(SUM($AE209:$AH209)=0,"",SUM($AE209:$AH209))</f>
        <v/>
      </c>
      <c r="AE209" s="123">
        <f>iferror(IF(SUM($AI209:$AZ209)=0,"",SUM($AI209:$AZ209)),"")</f>
        <v/>
      </c>
      <c r="AF209" s="123">
        <f>iferror(IF(SUM($BA209:$BC209)=0,"",SUM($BA209:$BC209)),"")</f>
        <v/>
      </c>
      <c r="AG209" s="123">
        <f>iferror(IF(SUM($BD209:$BF209)=0,"",SUM($BD209:$BF209)),"")</f>
        <v/>
      </c>
      <c r="AH209" s="124">
        <f>iferror(IF(SUM($BG209:$BI209)=0,"",SUM($BG209:$BI209)),"")</f>
        <v/>
      </c>
      <c r="AI209" s="131" t="n"/>
      <c r="AJ209" s="132" t="n"/>
      <c r="AK209" s="132" t="n"/>
      <c r="AL209" s="132" t="n"/>
      <c r="AM209" s="132" t="n"/>
      <c r="AN209" s="132" t="n"/>
      <c r="AO209" s="132" t="n"/>
      <c r="AP209" s="132" t="n"/>
      <c r="AQ209" s="132" t="n"/>
      <c r="AR209" s="132" t="n"/>
      <c r="AS209" s="132" t="n"/>
      <c r="AT209" s="132" t="n"/>
      <c r="AU209" s="132" t="n"/>
      <c r="AV209" s="132" t="n"/>
      <c r="AW209" s="132" t="n"/>
      <c r="AX209" s="132" t="n"/>
      <c r="AY209" s="132" t="n"/>
      <c r="AZ209" s="133" t="n"/>
      <c r="BA209" s="131" t="n"/>
      <c r="BB209" s="132" t="n"/>
      <c r="BC209" s="133" t="n"/>
      <c r="BD209" s="131" t="n"/>
      <c r="BE209" s="132" t="n"/>
      <c r="BF209" s="133" t="n"/>
      <c r="BG209" s="131" t="n"/>
      <c r="BH209" s="132" t="n"/>
      <c r="BI209" s="132" t="n"/>
      <c r="BJ209" s="128">
        <f>iferror(SUM($BK209,($BL209*1.2),($BM209*1.35),($BN209*0.74)),)</f>
        <v/>
      </c>
      <c r="BK209" s="128">
        <f>IFERROR(SUM($BT209:$CK209),)</f>
        <v/>
      </c>
      <c r="BL209" s="129">
        <f>IFERROR(SUM($CL209:$CN209),)</f>
        <v/>
      </c>
      <c r="BM209" s="130">
        <f>IFERROR(SUM($CO209:$CQ209),)</f>
        <v/>
      </c>
      <c r="BN209" s="128">
        <f>IFERROR(SUM($CR209:$CT209),)</f>
        <v/>
      </c>
      <c r="BO209" s="128">
        <f>iferror(SUM($BP209,($BQ209*1.2),($BR209*1.35),($BS209*0.74)),)</f>
        <v/>
      </c>
      <c r="BP209" s="128">
        <f>IFERROR(SUM($CU209:$DL209),)</f>
        <v/>
      </c>
      <c r="BQ209" s="128">
        <f>IFERROR(SUM($DM209:$DO209),)</f>
        <v/>
      </c>
      <c r="BR209" s="128">
        <f>IFERROR(SUM($DP209:$DR209),)</f>
        <v/>
      </c>
      <c r="BS209" s="128">
        <f>IFERROR(SUM($DS209:$DU209),)</f>
        <v/>
      </c>
      <c r="BT209" s="128">
        <f>IFERROR(AI209*$W209,)</f>
        <v/>
      </c>
      <c r="BU209" s="128">
        <f>IFERROR(AJ209*$W209,)</f>
        <v/>
      </c>
      <c r="BV209" s="128">
        <f>IFERROR(AK209*$W209,)</f>
        <v/>
      </c>
      <c r="BW209" s="128">
        <f>IFERROR(AL209*$W209,)</f>
        <v/>
      </c>
      <c r="BX209" s="128">
        <f>IFERROR(AM209*$W209,)</f>
        <v/>
      </c>
      <c r="BY209" s="128">
        <f>IFERROR(AN209*$W209,)</f>
        <v/>
      </c>
      <c r="BZ209" s="128">
        <f>IFERROR(AO209*$W209,)</f>
        <v/>
      </c>
      <c r="CA209" s="128">
        <f>IFERROR(AP209*$W209,)</f>
        <v/>
      </c>
      <c r="CB209" s="128">
        <f>IFERROR(AQ209*$W209,)</f>
        <v/>
      </c>
      <c r="CC209" s="128">
        <f>IFERROR(AR209*$W209,)</f>
        <v/>
      </c>
      <c r="CD209" s="128">
        <f>IFERROR(AS209*$W209,)</f>
        <v/>
      </c>
      <c r="CE209" s="128">
        <f>IFERROR(AT209*$W209,)</f>
        <v/>
      </c>
      <c r="CF209" s="128">
        <f>IFERROR(AU209*$W209,)</f>
        <v/>
      </c>
      <c r="CG209" s="128">
        <f>IFERROR(AV209*$W209,)</f>
        <v/>
      </c>
      <c r="CH209" s="128">
        <f>IFERROR(AW209*$W209,)</f>
        <v/>
      </c>
      <c r="CI209" s="128">
        <f>IFERROR(AX209*$W209,)</f>
        <v/>
      </c>
      <c r="CJ209" s="128">
        <f>IFERROR(AY209*$W209,)</f>
        <v/>
      </c>
      <c r="CK209" s="128">
        <f>IFERROR(AZ209*$W209,)</f>
        <v/>
      </c>
      <c r="CL209" s="129">
        <f>IFERROR(if($Y209=0,BA209*($W209/1.2),BA209*$Y209),"")</f>
        <v/>
      </c>
      <c r="CM209" s="129">
        <f>IFERROR(if($Y209=0,BB209*($W209/1.2),BB209*$Y209),"")</f>
        <v/>
      </c>
      <c r="CN209" s="129">
        <f>IFERROR(if($Y209=0,BC209*($W209/1.2),BC209*$Y209),"")</f>
        <v/>
      </c>
      <c r="CO209" s="130">
        <f>IFERROR(if($AA209=0,($W209/1.35)*BD209,BD209*$AA209),)</f>
        <v/>
      </c>
      <c r="CP209" s="130">
        <f>IFERROR(if($AA209=0,($W209/1.35)*BE209,BE209*$AA209),)</f>
        <v/>
      </c>
      <c r="CQ209" s="130">
        <f>IFERROR(if($AA209=0,($W209/1.35)*BF209,BF209*$AA209),)</f>
        <v/>
      </c>
      <c r="CR209" s="128">
        <f>IFERROR(if($AC209=0,($W209/0.74)*BG209,
BG209*$AC209),)</f>
        <v/>
      </c>
      <c r="CS209" s="128">
        <f>IFERROR(if($AC209=0,($W209/0.74)*BH209,
BH209*$AC209),)</f>
        <v/>
      </c>
      <c r="CT209" s="128">
        <f>IFERROR(if($AC209=0,($W209/0.74)*BI209,
BI209*$AC209),)</f>
        <v/>
      </c>
      <c r="CU209" s="128">
        <f>IFERROR(AI209*$V209,)</f>
        <v/>
      </c>
      <c r="CV209" s="128">
        <f>IFERROR(AJ209*$V209,)</f>
        <v/>
      </c>
      <c r="CW209" s="128">
        <f>IFERROR(AK209*$V209,)</f>
        <v/>
      </c>
      <c r="CX209" s="128">
        <f>IFERROR(AL209*$V209,)</f>
        <v/>
      </c>
      <c r="CY209" s="128">
        <f>IFERROR(AM209*$V209,)</f>
        <v/>
      </c>
      <c r="CZ209" s="128">
        <f>IFERROR(AN209*$V209,)</f>
        <v/>
      </c>
      <c r="DA209" s="128">
        <f>IFERROR(AO209*$V209,)</f>
        <v/>
      </c>
      <c r="DB209" s="128">
        <f>IFERROR(AP209*$V209,)</f>
        <v/>
      </c>
      <c r="DC209" s="128">
        <f>IFERROR(AQ209*$V209,)</f>
        <v/>
      </c>
      <c r="DD209" s="128">
        <f>IFERROR(AR209*$V209,)</f>
        <v/>
      </c>
      <c r="DE209" s="128">
        <f>IFERROR(AS209*$V209,)</f>
        <v/>
      </c>
      <c r="DF209" s="128">
        <f>IFERROR(AT209*$V209,)</f>
        <v/>
      </c>
      <c r="DG209" s="128">
        <f>IFERROR(AU209*$V209,)</f>
        <v/>
      </c>
      <c r="DH209" s="128">
        <f>IFERROR(AV209*$V209,)</f>
        <v/>
      </c>
      <c r="DI209" s="128">
        <f>IFERROR(AW209*$V209,)</f>
        <v/>
      </c>
      <c r="DJ209" s="128">
        <f>IFERROR(AX209*$V209,)</f>
        <v/>
      </c>
      <c r="DK209" s="128">
        <f>IFERROR(AY209*$V209,)</f>
        <v/>
      </c>
      <c r="DL209" s="128">
        <f>IFERROR(AZ209*$V209,)</f>
        <v/>
      </c>
      <c r="DM209" s="129">
        <f>IFERROR(if($X209=0,($V209/1.2)*BA209,
BA209*$X209),)</f>
        <v/>
      </c>
      <c r="DN209" s="129">
        <f>IFERROR(if($X209=0,($V209/1.2)*BB209,
BB209*$X209),)</f>
        <v/>
      </c>
      <c r="DO209" s="129">
        <f>IFERROR(if($X209=0,($V209/1.2)*BC209,
BC209*$X209),)</f>
        <v/>
      </c>
      <c r="DP209" s="130">
        <f>IFERROR(if($Z209=0,($V209/1.35)*BD209,
BD209*$Z209),)</f>
        <v/>
      </c>
      <c r="DQ209" s="130">
        <f>IFERROR(if($Z209=0,($V209/1.35)*BE209,
BE209*$Z209),)</f>
        <v/>
      </c>
      <c r="DR209" s="130">
        <f>IFERROR(if($Z209=0,($V209/1.35)*BF209,
BF209*$Z209),)</f>
        <v/>
      </c>
      <c r="DS209" s="128">
        <f>IFERROR(IF($AB209=0,($V209/0.74)*BG209,
BG209*$AB209),)</f>
        <v/>
      </c>
      <c r="DT209" s="128">
        <f>IFERROR(IF($AB209=0,($V209/0.74)*BH209,
BH209*$AB209),)</f>
        <v/>
      </c>
      <c r="DU209" s="128">
        <f>IFERROR(IF($AB209=0,($V209/0.74)*BI209,
BI209*$AB209),)</f>
        <v/>
      </c>
    </row>
    <row r="210" ht="131.25" customHeight="1" s="162">
      <c r="A210" s="115" t="n"/>
      <c r="B210" s="115" t="n"/>
      <c r="C210" s="115" t="n"/>
      <c r="D210" s="115" t="n"/>
      <c r="E210" s="115" t="n"/>
      <c r="F210" s="115" t="n"/>
      <c r="G210" s="115" t="n"/>
      <c r="H210" s="115" t="n"/>
      <c r="I210" s="115" t="n"/>
      <c r="J210" s="115" t="n"/>
      <c r="K210" s="115" t="n"/>
      <c r="L210" s="115" t="n"/>
      <c r="M210" s="115" t="n"/>
      <c r="N210" s="115" t="n"/>
      <c r="O210" s="115" t="n"/>
      <c r="P210" s="115" t="n"/>
      <c r="Q210" s="115" t="n"/>
      <c r="R210" s="115" t="n"/>
      <c r="S210" s="115" t="n"/>
      <c r="T210" s="115" t="n"/>
      <c r="U210" s="116" t="n"/>
      <c r="V210" s="116" t="n"/>
      <c r="W210" s="117" t="n"/>
      <c r="X210" s="118" t="n"/>
      <c r="Y210" s="119" t="n"/>
      <c r="Z210" s="120" t="n"/>
      <c r="AA210" s="121" t="n"/>
      <c r="AB210" s="122" t="n"/>
      <c r="AC210" s="117" t="n"/>
      <c r="AD210" s="123">
        <f>IF(SUM($AE210:$AH210)=0,"",SUM($AE210:$AH210))</f>
        <v/>
      </c>
      <c r="AE210" s="123">
        <f>iferror(IF(SUM($AI210:$AZ210)=0,"",SUM($AI210:$AZ210)),"")</f>
        <v/>
      </c>
      <c r="AF210" s="123">
        <f>iferror(IF(SUM($BA210:$BC210)=0,"",SUM($BA210:$BC210)),"")</f>
        <v/>
      </c>
      <c r="AG210" s="123">
        <f>iferror(IF(SUM($BD210:$BF210)=0,"",SUM($BD210:$BF210)),"")</f>
        <v/>
      </c>
      <c r="AH210" s="124">
        <f>iferror(IF(SUM($BG210:$BI210)=0,"",SUM($BG210:$BI210)),"")</f>
        <v/>
      </c>
      <c r="AI210" s="131" t="n"/>
      <c r="AJ210" s="132" t="n"/>
      <c r="AK210" s="132" t="n"/>
      <c r="AL210" s="132" t="n"/>
      <c r="AM210" s="132" t="n"/>
      <c r="AN210" s="132" t="n"/>
      <c r="AO210" s="132" t="n"/>
      <c r="AP210" s="132" t="n"/>
      <c r="AQ210" s="132" t="n"/>
      <c r="AR210" s="132" t="n"/>
      <c r="AS210" s="132" t="n"/>
      <c r="AT210" s="132" t="n"/>
      <c r="AU210" s="132" t="n"/>
      <c r="AV210" s="132" t="n"/>
      <c r="AW210" s="132" t="n"/>
      <c r="AX210" s="132" t="n"/>
      <c r="AY210" s="132" t="n"/>
      <c r="AZ210" s="133" t="n"/>
      <c r="BA210" s="131" t="n"/>
      <c r="BB210" s="132" t="n"/>
      <c r="BC210" s="133" t="n"/>
      <c r="BD210" s="131" t="n"/>
      <c r="BE210" s="132" t="n"/>
      <c r="BF210" s="133" t="n"/>
      <c r="BG210" s="131" t="n"/>
      <c r="BH210" s="132" t="n"/>
      <c r="BI210" s="132" t="n"/>
      <c r="BJ210" s="128">
        <f>iferror(SUM($BK210,($BL210*1.2),($BM210*1.35),($BN210*0.74)),)</f>
        <v/>
      </c>
      <c r="BK210" s="128">
        <f>IFERROR(SUM($BT210:$CK210),)</f>
        <v/>
      </c>
      <c r="BL210" s="129">
        <f>IFERROR(SUM($CL210:$CN210),)</f>
        <v/>
      </c>
      <c r="BM210" s="130">
        <f>IFERROR(SUM($CO210:$CQ210),)</f>
        <v/>
      </c>
      <c r="BN210" s="128">
        <f>IFERROR(SUM($CR210:$CT210),)</f>
        <v/>
      </c>
      <c r="BO210" s="128">
        <f>iferror(SUM($BP210,($BQ210*1.2),($BR210*1.35),($BS210*0.74)),)</f>
        <v/>
      </c>
      <c r="BP210" s="128">
        <f>IFERROR(SUM($CU210:$DL210),)</f>
        <v/>
      </c>
      <c r="BQ210" s="128">
        <f>IFERROR(SUM($DM210:$DO210),)</f>
        <v/>
      </c>
      <c r="BR210" s="128">
        <f>IFERROR(SUM($DP210:$DR210),)</f>
        <v/>
      </c>
      <c r="BS210" s="128">
        <f>IFERROR(SUM($DS210:$DU210),)</f>
        <v/>
      </c>
      <c r="BT210" s="128">
        <f>IFERROR(AI210*$W210,)</f>
        <v/>
      </c>
      <c r="BU210" s="128">
        <f>IFERROR(AJ210*$W210,)</f>
        <v/>
      </c>
      <c r="BV210" s="128">
        <f>IFERROR(AK210*$W210,)</f>
        <v/>
      </c>
      <c r="BW210" s="128">
        <f>IFERROR(AL210*$W210,)</f>
        <v/>
      </c>
      <c r="BX210" s="128">
        <f>IFERROR(AM210*$W210,)</f>
        <v/>
      </c>
      <c r="BY210" s="128">
        <f>IFERROR(AN210*$W210,)</f>
        <v/>
      </c>
      <c r="BZ210" s="128">
        <f>IFERROR(AO210*$W210,)</f>
        <v/>
      </c>
      <c r="CA210" s="128">
        <f>IFERROR(AP210*$W210,)</f>
        <v/>
      </c>
      <c r="CB210" s="128">
        <f>IFERROR(AQ210*$W210,)</f>
        <v/>
      </c>
      <c r="CC210" s="128">
        <f>IFERROR(AR210*$W210,)</f>
        <v/>
      </c>
      <c r="CD210" s="128">
        <f>IFERROR(AS210*$W210,)</f>
        <v/>
      </c>
      <c r="CE210" s="128">
        <f>IFERROR(AT210*$W210,)</f>
        <v/>
      </c>
      <c r="CF210" s="128">
        <f>IFERROR(AU210*$W210,)</f>
        <v/>
      </c>
      <c r="CG210" s="128">
        <f>IFERROR(AV210*$W210,)</f>
        <v/>
      </c>
      <c r="CH210" s="128">
        <f>IFERROR(AW210*$W210,)</f>
        <v/>
      </c>
      <c r="CI210" s="128">
        <f>IFERROR(AX210*$W210,)</f>
        <v/>
      </c>
      <c r="CJ210" s="128">
        <f>IFERROR(AY210*$W210,)</f>
        <v/>
      </c>
      <c r="CK210" s="128">
        <f>IFERROR(AZ210*$W210,)</f>
        <v/>
      </c>
      <c r="CL210" s="129">
        <f>IFERROR(if($Y210=0,BA210*($W210/1.2),BA210*$Y210),"")</f>
        <v/>
      </c>
      <c r="CM210" s="129">
        <f>IFERROR(if($Y210=0,BB210*($W210/1.2),BB210*$Y210),"")</f>
        <v/>
      </c>
      <c r="CN210" s="129">
        <f>IFERROR(if($Y210=0,BC210*($W210/1.2),BC210*$Y210),"")</f>
        <v/>
      </c>
      <c r="CO210" s="130">
        <f>IFERROR(if($AA210=0,($W210/1.35)*BD210,BD210*$AA210),)</f>
        <v/>
      </c>
      <c r="CP210" s="130">
        <f>IFERROR(if($AA210=0,($W210/1.35)*BE210,BE210*$AA210),)</f>
        <v/>
      </c>
      <c r="CQ210" s="130">
        <f>IFERROR(if($AA210=0,($W210/1.35)*BF210,BF210*$AA210),)</f>
        <v/>
      </c>
      <c r="CR210" s="128">
        <f>IFERROR(if($AC210=0,($W210/0.74)*BG210,
BG210*$AC210),)</f>
        <v/>
      </c>
      <c r="CS210" s="128">
        <f>IFERROR(if($AC210=0,($W210/0.74)*BH210,
BH210*$AC210),)</f>
        <v/>
      </c>
      <c r="CT210" s="128">
        <f>IFERROR(if($AC210=0,($W210/0.74)*BI210,
BI210*$AC210),)</f>
        <v/>
      </c>
      <c r="CU210" s="128">
        <f>IFERROR(AI210*$V210,)</f>
        <v/>
      </c>
      <c r="CV210" s="128">
        <f>IFERROR(AJ210*$V210,)</f>
        <v/>
      </c>
      <c r="CW210" s="128">
        <f>IFERROR(AK210*$V210,)</f>
        <v/>
      </c>
      <c r="CX210" s="128">
        <f>IFERROR(AL210*$V210,)</f>
        <v/>
      </c>
      <c r="CY210" s="128">
        <f>IFERROR(AM210*$V210,)</f>
        <v/>
      </c>
      <c r="CZ210" s="128">
        <f>IFERROR(AN210*$V210,)</f>
        <v/>
      </c>
      <c r="DA210" s="128">
        <f>IFERROR(AO210*$V210,)</f>
        <v/>
      </c>
      <c r="DB210" s="128">
        <f>IFERROR(AP210*$V210,)</f>
        <v/>
      </c>
      <c r="DC210" s="128">
        <f>IFERROR(AQ210*$V210,)</f>
        <v/>
      </c>
      <c r="DD210" s="128">
        <f>IFERROR(AR210*$V210,)</f>
        <v/>
      </c>
      <c r="DE210" s="128">
        <f>IFERROR(AS210*$V210,)</f>
        <v/>
      </c>
      <c r="DF210" s="128">
        <f>IFERROR(AT210*$V210,)</f>
        <v/>
      </c>
      <c r="DG210" s="128">
        <f>IFERROR(AU210*$V210,)</f>
        <v/>
      </c>
      <c r="DH210" s="128">
        <f>IFERROR(AV210*$V210,)</f>
        <v/>
      </c>
      <c r="DI210" s="128">
        <f>IFERROR(AW210*$V210,)</f>
        <v/>
      </c>
      <c r="DJ210" s="128">
        <f>IFERROR(AX210*$V210,)</f>
        <v/>
      </c>
      <c r="DK210" s="128">
        <f>IFERROR(AY210*$V210,)</f>
        <v/>
      </c>
      <c r="DL210" s="128">
        <f>IFERROR(AZ210*$V210,)</f>
        <v/>
      </c>
      <c r="DM210" s="129">
        <f>IFERROR(if($X210=0,($V210/1.2)*BA210,
BA210*$X210),)</f>
        <v/>
      </c>
      <c r="DN210" s="129">
        <f>IFERROR(if($X210=0,($V210/1.2)*BB210,
BB210*$X210),)</f>
        <v/>
      </c>
      <c r="DO210" s="129">
        <f>IFERROR(if($X210=0,($V210/1.2)*BC210,
BC210*$X210),)</f>
        <v/>
      </c>
      <c r="DP210" s="130">
        <f>IFERROR(if($Z210=0,($V210/1.35)*BD210,
BD210*$Z210),)</f>
        <v/>
      </c>
      <c r="DQ210" s="130">
        <f>IFERROR(if($Z210=0,($V210/1.35)*BE210,
BE210*$Z210),)</f>
        <v/>
      </c>
      <c r="DR210" s="130">
        <f>IFERROR(if($Z210=0,($V210/1.35)*BF210,
BF210*$Z210),)</f>
        <v/>
      </c>
      <c r="DS210" s="128">
        <f>IFERROR(IF($AB210=0,($V210/0.74)*BG210,
BG210*$AB210),)</f>
        <v/>
      </c>
      <c r="DT210" s="128">
        <f>IFERROR(IF($AB210=0,($V210/0.74)*BH210,
BH210*$AB210),)</f>
        <v/>
      </c>
      <c r="DU210" s="128">
        <f>IFERROR(IF($AB210=0,($V210/0.74)*BI210,
BI210*$AB210),)</f>
        <v/>
      </c>
    </row>
    <row r="211" ht="131.25" customHeight="1" s="162">
      <c r="A211" s="115" t="n"/>
      <c r="B211" s="115" t="n"/>
      <c r="C211" s="115" t="n"/>
      <c r="D211" s="115" t="n"/>
      <c r="E211" s="115" t="n"/>
      <c r="F211" s="115" t="n"/>
      <c r="G211" s="115" t="n"/>
      <c r="H211" s="115" t="n"/>
      <c r="I211" s="115" t="n"/>
      <c r="J211" s="115" t="n"/>
      <c r="K211" s="115" t="n"/>
      <c r="L211" s="115" t="n"/>
      <c r="M211" s="115" t="n"/>
      <c r="N211" s="115" t="n"/>
      <c r="O211" s="115" t="n"/>
      <c r="P211" s="115" t="n"/>
      <c r="Q211" s="115" t="n"/>
      <c r="R211" s="115" t="n"/>
      <c r="S211" s="115" t="n"/>
      <c r="T211" s="115" t="n"/>
      <c r="U211" s="116" t="n"/>
      <c r="V211" s="116" t="n"/>
      <c r="W211" s="117" t="n"/>
      <c r="X211" s="118" t="n"/>
      <c r="Y211" s="119" t="n"/>
      <c r="Z211" s="120" t="n"/>
      <c r="AA211" s="121" t="n"/>
      <c r="AB211" s="122" t="n"/>
      <c r="AC211" s="117" t="n"/>
      <c r="AD211" s="123">
        <f>IF(SUM($AE211:$AH211)=0,"",SUM($AE211:$AH211))</f>
        <v/>
      </c>
      <c r="AE211" s="123">
        <f>iferror(IF(SUM($AI211:$AZ211)=0,"",SUM($AI211:$AZ211)),"")</f>
        <v/>
      </c>
      <c r="AF211" s="123">
        <f>iferror(IF(SUM($BA211:$BC211)=0,"",SUM($BA211:$BC211)),"")</f>
        <v/>
      </c>
      <c r="AG211" s="123">
        <f>iferror(IF(SUM($BD211:$BF211)=0,"",SUM($BD211:$BF211)),"")</f>
        <v/>
      </c>
      <c r="AH211" s="124">
        <f>iferror(IF(SUM($BG211:$BI211)=0,"",SUM($BG211:$BI211)),"")</f>
        <v/>
      </c>
      <c r="AI211" s="131" t="n"/>
      <c r="AJ211" s="132" t="n"/>
      <c r="AK211" s="132" t="n"/>
      <c r="AL211" s="132" t="n"/>
      <c r="AM211" s="132" t="n"/>
      <c r="AN211" s="132" t="n"/>
      <c r="AO211" s="132" t="n"/>
      <c r="AP211" s="132" t="n"/>
      <c r="AQ211" s="132" t="n"/>
      <c r="AR211" s="132" t="n"/>
      <c r="AS211" s="132" t="n"/>
      <c r="AT211" s="132" t="n"/>
      <c r="AU211" s="132" t="n"/>
      <c r="AV211" s="132" t="n"/>
      <c r="AW211" s="132" t="n"/>
      <c r="AX211" s="132" t="n"/>
      <c r="AY211" s="132" t="n"/>
      <c r="AZ211" s="133" t="n"/>
      <c r="BA211" s="131" t="n"/>
      <c r="BB211" s="132" t="n"/>
      <c r="BC211" s="133" t="n"/>
      <c r="BD211" s="131" t="n"/>
      <c r="BE211" s="132" t="n"/>
      <c r="BF211" s="133" t="n"/>
      <c r="BG211" s="131" t="n"/>
      <c r="BH211" s="132" t="n"/>
      <c r="BI211" s="132" t="n"/>
      <c r="BJ211" s="128">
        <f>iferror(SUM($BK211,($BL211*1.2),($BM211*1.35),($BN211*0.74)),)</f>
        <v/>
      </c>
      <c r="BK211" s="128">
        <f>IFERROR(SUM($BT211:$CK211),)</f>
        <v/>
      </c>
      <c r="BL211" s="129">
        <f>IFERROR(SUM($CL211:$CN211),)</f>
        <v/>
      </c>
      <c r="BM211" s="130">
        <f>IFERROR(SUM($CO211:$CQ211),)</f>
        <v/>
      </c>
      <c r="BN211" s="128">
        <f>IFERROR(SUM($CR211:$CT211),)</f>
        <v/>
      </c>
      <c r="BO211" s="128">
        <f>iferror(SUM($BP211,($BQ211*1.2),($BR211*1.35),($BS211*0.74)),)</f>
        <v/>
      </c>
      <c r="BP211" s="128">
        <f>IFERROR(SUM($CU211:$DL211),)</f>
        <v/>
      </c>
      <c r="BQ211" s="128">
        <f>IFERROR(SUM($DM211:$DO211),)</f>
        <v/>
      </c>
      <c r="BR211" s="128">
        <f>IFERROR(SUM($DP211:$DR211),)</f>
        <v/>
      </c>
      <c r="BS211" s="128">
        <f>IFERROR(SUM($DS211:$DU211),)</f>
        <v/>
      </c>
      <c r="BT211" s="128">
        <f>IFERROR(AI211*$W211,)</f>
        <v/>
      </c>
      <c r="BU211" s="128">
        <f>IFERROR(AJ211*$W211,)</f>
        <v/>
      </c>
      <c r="BV211" s="128">
        <f>IFERROR(AK211*$W211,)</f>
        <v/>
      </c>
      <c r="BW211" s="128">
        <f>IFERROR(AL211*$W211,)</f>
        <v/>
      </c>
      <c r="BX211" s="128">
        <f>IFERROR(AM211*$W211,)</f>
        <v/>
      </c>
      <c r="BY211" s="128">
        <f>IFERROR(AN211*$W211,)</f>
        <v/>
      </c>
      <c r="BZ211" s="128">
        <f>IFERROR(AO211*$W211,)</f>
        <v/>
      </c>
      <c r="CA211" s="128">
        <f>IFERROR(AP211*$W211,)</f>
        <v/>
      </c>
      <c r="CB211" s="128">
        <f>IFERROR(AQ211*$W211,)</f>
        <v/>
      </c>
      <c r="CC211" s="128">
        <f>IFERROR(AR211*$W211,)</f>
        <v/>
      </c>
      <c r="CD211" s="128">
        <f>IFERROR(AS211*$W211,)</f>
        <v/>
      </c>
      <c r="CE211" s="128">
        <f>IFERROR(AT211*$W211,)</f>
        <v/>
      </c>
      <c r="CF211" s="128">
        <f>IFERROR(AU211*$W211,)</f>
        <v/>
      </c>
      <c r="CG211" s="128">
        <f>IFERROR(AV211*$W211,)</f>
        <v/>
      </c>
      <c r="CH211" s="128">
        <f>IFERROR(AW211*$W211,)</f>
        <v/>
      </c>
      <c r="CI211" s="128">
        <f>IFERROR(AX211*$W211,)</f>
        <v/>
      </c>
      <c r="CJ211" s="128">
        <f>IFERROR(AY211*$W211,)</f>
        <v/>
      </c>
      <c r="CK211" s="128">
        <f>IFERROR(AZ211*$W211,)</f>
        <v/>
      </c>
      <c r="CL211" s="129">
        <f>IFERROR(if($Y211=0,BA211*($W211/1.2),BA211*$Y211),"")</f>
        <v/>
      </c>
      <c r="CM211" s="129">
        <f>IFERROR(if($Y211=0,BB211*($W211/1.2),BB211*$Y211),"")</f>
        <v/>
      </c>
      <c r="CN211" s="129">
        <f>IFERROR(if($Y211=0,BC211*($W211/1.2),BC211*$Y211),"")</f>
        <v/>
      </c>
      <c r="CO211" s="130">
        <f>IFERROR(if($AA211=0,($W211/1.35)*BD211,BD211*$AA211),)</f>
        <v/>
      </c>
      <c r="CP211" s="130">
        <f>IFERROR(if($AA211=0,($W211/1.35)*BE211,BE211*$AA211),)</f>
        <v/>
      </c>
      <c r="CQ211" s="130">
        <f>IFERROR(if($AA211=0,($W211/1.35)*BF211,BF211*$AA211),)</f>
        <v/>
      </c>
      <c r="CR211" s="128">
        <f>IFERROR(if($AC211=0,($W211/0.74)*BG211,
BG211*$AC211),)</f>
        <v/>
      </c>
      <c r="CS211" s="128">
        <f>IFERROR(if($AC211=0,($W211/0.74)*BH211,
BH211*$AC211),)</f>
        <v/>
      </c>
      <c r="CT211" s="128">
        <f>IFERROR(if($AC211=0,($W211/0.74)*BI211,
BI211*$AC211),)</f>
        <v/>
      </c>
      <c r="CU211" s="128">
        <f>IFERROR(AI211*$V211,)</f>
        <v/>
      </c>
      <c r="CV211" s="128">
        <f>IFERROR(AJ211*$V211,)</f>
        <v/>
      </c>
      <c r="CW211" s="128">
        <f>IFERROR(AK211*$V211,)</f>
        <v/>
      </c>
      <c r="CX211" s="128">
        <f>IFERROR(AL211*$V211,)</f>
        <v/>
      </c>
      <c r="CY211" s="128">
        <f>IFERROR(AM211*$V211,)</f>
        <v/>
      </c>
      <c r="CZ211" s="128">
        <f>IFERROR(AN211*$V211,)</f>
        <v/>
      </c>
      <c r="DA211" s="128">
        <f>IFERROR(AO211*$V211,)</f>
        <v/>
      </c>
      <c r="DB211" s="128">
        <f>IFERROR(AP211*$V211,)</f>
        <v/>
      </c>
      <c r="DC211" s="128">
        <f>IFERROR(AQ211*$V211,)</f>
        <v/>
      </c>
      <c r="DD211" s="128">
        <f>IFERROR(AR211*$V211,)</f>
        <v/>
      </c>
      <c r="DE211" s="128">
        <f>IFERROR(AS211*$V211,)</f>
        <v/>
      </c>
      <c r="DF211" s="128">
        <f>IFERROR(AT211*$V211,)</f>
        <v/>
      </c>
      <c r="DG211" s="128">
        <f>IFERROR(AU211*$V211,)</f>
        <v/>
      </c>
      <c r="DH211" s="128">
        <f>IFERROR(AV211*$V211,)</f>
        <v/>
      </c>
      <c r="DI211" s="128">
        <f>IFERROR(AW211*$V211,)</f>
        <v/>
      </c>
      <c r="DJ211" s="128">
        <f>IFERROR(AX211*$V211,)</f>
        <v/>
      </c>
      <c r="DK211" s="128">
        <f>IFERROR(AY211*$V211,)</f>
        <v/>
      </c>
      <c r="DL211" s="128">
        <f>IFERROR(AZ211*$V211,)</f>
        <v/>
      </c>
      <c r="DM211" s="129">
        <f>IFERROR(if($X211=0,($V211/1.2)*BA211,
BA211*$X211),)</f>
        <v/>
      </c>
      <c r="DN211" s="129">
        <f>IFERROR(if($X211=0,($V211/1.2)*BB211,
BB211*$X211),)</f>
        <v/>
      </c>
      <c r="DO211" s="129">
        <f>IFERROR(if($X211=0,($V211/1.2)*BC211,
BC211*$X211),)</f>
        <v/>
      </c>
      <c r="DP211" s="130">
        <f>IFERROR(if($Z211=0,($V211/1.35)*BD211,
BD211*$Z211),)</f>
        <v/>
      </c>
      <c r="DQ211" s="130">
        <f>IFERROR(if($Z211=0,($V211/1.35)*BE211,
BE211*$Z211),)</f>
        <v/>
      </c>
      <c r="DR211" s="130">
        <f>IFERROR(if($Z211=0,($V211/1.35)*BF211,
BF211*$Z211),)</f>
        <v/>
      </c>
      <c r="DS211" s="128">
        <f>IFERROR(IF($AB211=0,($V211/0.74)*BG211,
BG211*$AB211),)</f>
        <v/>
      </c>
      <c r="DT211" s="128">
        <f>IFERROR(IF($AB211=0,($V211/0.74)*BH211,
BH211*$AB211),)</f>
        <v/>
      </c>
      <c r="DU211" s="128">
        <f>IFERROR(IF($AB211=0,($V211/0.74)*BI211,
BI211*$AB211),)</f>
        <v/>
      </c>
    </row>
    <row r="212" ht="131.25" customHeight="1" s="162">
      <c r="A212" s="115" t="n"/>
      <c r="B212" s="115" t="n"/>
      <c r="C212" s="115" t="n"/>
      <c r="D212" s="115" t="n"/>
      <c r="E212" s="115" t="n"/>
      <c r="F212" s="115" t="n"/>
      <c r="G212" s="115" t="n"/>
      <c r="H212" s="115" t="n"/>
      <c r="I212" s="115" t="n"/>
      <c r="J212" s="115" t="n"/>
      <c r="K212" s="115" t="n"/>
      <c r="L212" s="115" t="n"/>
      <c r="M212" s="115" t="n"/>
      <c r="N212" s="115" t="n"/>
      <c r="O212" s="115" t="n"/>
      <c r="P212" s="115" t="n"/>
      <c r="Q212" s="115" t="n"/>
      <c r="R212" s="115" t="n"/>
      <c r="S212" s="115" t="n"/>
      <c r="T212" s="115" t="n"/>
      <c r="U212" s="116" t="n"/>
      <c r="V212" s="116" t="n"/>
      <c r="W212" s="117" t="n"/>
      <c r="X212" s="118" t="n"/>
      <c r="Y212" s="119" t="n"/>
      <c r="Z212" s="120" t="n"/>
      <c r="AA212" s="121" t="n"/>
      <c r="AB212" s="122" t="n"/>
      <c r="AC212" s="117" t="n"/>
      <c r="AD212" s="123">
        <f>IF(SUM($AE212:$AH212)=0,"",SUM($AE212:$AH212))</f>
        <v/>
      </c>
      <c r="AE212" s="123">
        <f>iferror(IF(SUM($AI212:$AZ212)=0,"",SUM($AI212:$AZ212)),"")</f>
        <v/>
      </c>
      <c r="AF212" s="123">
        <f>iferror(IF(SUM($BA212:$BC212)=0,"",SUM($BA212:$BC212)),"")</f>
        <v/>
      </c>
      <c r="AG212" s="123">
        <f>iferror(IF(SUM($BD212:$BF212)=0,"",SUM($BD212:$BF212)),"")</f>
        <v/>
      </c>
      <c r="AH212" s="124">
        <f>iferror(IF(SUM($BG212:$BI212)=0,"",SUM($BG212:$BI212)),"")</f>
        <v/>
      </c>
      <c r="AI212" s="131" t="n"/>
      <c r="AJ212" s="132" t="n"/>
      <c r="AK212" s="132" t="n"/>
      <c r="AL212" s="132" t="n"/>
      <c r="AM212" s="132" t="n"/>
      <c r="AN212" s="132" t="n"/>
      <c r="AO212" s="132" t="n"/>
      <c r="AP212" s="132" t="n"/>
      <c r="AQ212" s="132" t="n"/>
      <c r="AR212" s="132" t="n"/>
      <c r="AS212" s="132" t="n"/>
      <c r="AT212" s="132" t="n"/>
      <c r="AU212" s="132" t="n"/>
      <c r="AV212" s="132" t="n"/>
      <c r="AW212" s="132" t="n"/>
      <c r="AX212" s="132" t="n"/>
      <c r="AY212" s="132" t="n"/>
      <c r="AZ212" s="133" t="n"/>
      <c r="BA212" s="131" t="n"/>
      <c r="BB212" s="132" t="n"/>
      <c r="BC212" s="133" t="n"/>
      <c r="BD212" s="131" t="n"/>
      <c r="BE212" s="132" t="n"/>
      <c r="BF212" s="133" t="n"/>
      <c r="BG212" s="131" t="n"/>
      <c r="BH212" s="132" t="n"/>
      <c r="BI212" s="132" t="n"/>
      <c r="BJ212" s="128">
        <f>iferror(SUM($BK212,($BL212*1.2),($BM212*1.35),($BN212*0.74)),)</f>
        <v/>
      </c>
      <c r="BK212" s="128">
        <f>IFERROR(SUM($BT212:$CK212),)</f>
        <v/>
      </c>
      <c r="BL212" s="129">
        <f>IFERROR(SUM($CL212:$CN212),)</f>
        <v/>
      </c>
      <c r="BM212" s="130">
        <f>IFERROR(SUM($CO212:$CQ212),)</f>
        <v/>
      </c>
      <c r="BN212" s="128">
        <f>IFERROR(SUM($CR212:$CT212),)</f>
        <v/>
      </c>
      <c r="BO212" s="128">
        <f>iferror(SUM($BP212,($BQ212*1.2),($BR212*1.35),($BS212*0.74)),)</f>
        <v/>
      </c>
      <c r="BP212" s="128">
        <f>IFERROR(SUM($CU212:$DL212),)</f>
        <v/>
      </c>
      <c r="BQ212" s="128">
        <f>IFERROR(SUM($DM212:$DO212),)</f>
        <v/>
      </c>
      <c r="BR212" s="128">
        <f>IFERROR(SUM($DP212:$DR212),)</f>
        <v/>
      </c>
      <c r="BS212" s="128">
        <f>IFERROR(SUM($DS212:$DU212),)</f>
        <v/>
      </c>
      <c r="BT212" s="128">
        <f>IFERROR(AI212*$W212,)</f>
        <v/>
      </c>
      <c r="BU212" s="128">
        <f>IFERROR(AJ212*$W212,)</f>
        <v/>
      </c>
      <c r="BV212" s="128">
        <f>IFERROR(AK212*$W212,)</f>
        <v/>
      </c>
      <c r="BW212" s="128">
        <f>IFERROR(AL212*$W212,)</f>
        <v/>
      </c>
      <c r="BX212" s="128">
        <f>IFERROR(AM212*$W212,)</f>
        <v/>
      </c>
      <c r="BY212" s="128">
        <f>IFERROR(AN212*$W212,)</f>
        <v/>
      </c>
      <c r="BZ212" s="128">
        <f>IFERROR(AO212*$W212,)</f>
        <v/>
      </c>
      <c r="CA212" s="128">
        <f>IFERROR(AP212*$W212,)</f>
        <v/>
      </c>
      <c r="CB212" s="128">
        <f>IFERROR(AQ212*$W212,)</f>
        <v/>
      </c>
      <c r="CC212" s="128">
        <f>IFERROR(AR212*$W212,)</f>
        <v/>
      </c>
      <c r="CD212" s="128">
        <f>IFERROR(AS212*$W212,)</f>
        <v/>
      </c>
      <c r="CE212" s="128">
        <f>IFERROR(AT212*$W212,)</f>
        <v/>
      </c>
      <c r="CF212" s="128">
        <f>IFERROR(AU212*$W212,)</f>
        <v/>
      </c>
      <c r="CG212" s="128">
        <f>IFERROR(AV212*$W212,)</f>
        <v/>
      </c>
      <c r="CH212" s="128">
        <f>IFERROR(AW212*$W212,)</f>
        <v/>
      </c>
      <c r="CI212" s="128">
        <f>IFERROR(AX212*$W212,)</f>
        <v/>
      </c>
      <c r="CJ212" s="128">
        <f>IFERROR(AY212*$W212,)</f>
        <v/>
      </c>
      <c r="CK212" s="128">
        <f>IFERROR(AZ212*$W212,)</f>
        <v/>
      </c>
      <c r="CL212" s="129">
        <f>IFERROR(if($Y212=0,BA212*($W212/1.2),BA212*$Y212),"")</f>
        <v/>
      </c>
      <c r="CM212" s="129">
        <f>IFERROR(if($Y212=0,BB212*($W212/1.2),BB212*$Y212),"")</f>
        <v/>
      </c>
      <c r="CN212" s="129">
        <f>IFERROR(if($Y212=0,BC212*($W212/1.2),BC212*$Y212),"")</f>
        <v/>
      </c>
      <c r="CO212" s="130">
        <f>IFERROR(if($AA212=0,($W212/1.35)*BD212,BD212*$AA212),)</f>
        <v/>
      </c>
      <c r="CP212" s="130">
        <f>IFERROR(if($AA212=0,($W212/1.35)*BE212,BE212*$AA212),)</f>
        <v/>
      </c>
      <c r="CQ212" s="130">
        <f>IFERROR(if($AA212=0,($W212/1.35)*BF212,BF212*$AA212),)</f>
        <v/>
      </c>
      <c r="CR212" s="128">
        <f>IFERROR(if($AC212=0,($W212/0.74)*BG212,
BG212*$AC212),)</f>
        <v/>
      </c>
      <c r="CS212" s="128">
        <f>IFERROR(if($AC212=0,($W212/0.74)*BH212,
BH212*$AC212),)</f>
        <v/>
      </c>
      <c r="CT212" s="128">
        <f>IFERROR(if($AC212=0,($W212/0.74)*BI212,
BI212*$AC212),)</f>
        <v/>
      </c>
      <c r="CU212" s="128">
        <f>IFERROR(AI212*$V212,)</f>
        <v/>
      </c>
      <c r="CV212" s="128">
        <f>IFERROR(AJ212*$V212,)</f>
        <v/>
      </c>
      <c r="CW212" s="128">
        <f>IFERROR(AK212*$V212,)</f>
        <v/>
      </c>
      <c r="CX212" s="128">
        <f>IFERROR(AL212*$V212,)</f>
        <v/>
      </c>
      <c r="CY212" s="128">
        <f>IFERROR(AM212*$V212,)</f>
        <v/>
      </c>
      <c r="CZ212" s="128">
        <f>IFERROR(AN212*$V212,)</f>
        <v/>
      </c>
      <c r="DA212" s="128">
        <f>IFERROR(AO212*$V212,)</f>
        <v/>
      </c>
      <c r="DB212" s="128">
        <f>IFERROR(AP212*$V212,)</f>
        <v/>
      </c>
      <c r="DC212" s="128">
        <f>IFERROR(AQ212*$V212,)</f>
        <v/>
      </c>
      <c r="DD212" s="128">
        <f>IFERROR(AR212*$V212,)</f>
        <v/>
      </c>
      <c r="DE212" s="128">
        <f>IFERROR(AS212*$V212,)</f>
        <v/>
      </c>
      <c r="DF212" s="128">
        <f>IFERROR(AT212*$V212,)</f>
        <v/>
      </c>
      <c r="DG212" s="128">
        <f>IFERROR(AU212*$V212,)</f>
        <v/>
      </c>
      <c r="DH212" s="128">
        <f>IFERROR(AV212*$V212,)</f>
        <v/>
      </c>
      <c r="DI212" s="128">
        <f>IFERROR(AW212*$V212,)</f>
        <v/>
      </c>
      <c r="DJ212" s="128">
        <f>IFERROR(AX212*$V212,)</f>
        <v/>
      </c>
      <c r="DK212" s="128">
        <f>IFERROR(AY212*$V212,)</f>
        <v/>
      </c>
      <c r="DL212" s="128">
        <f>IFERROR(AZ212*$V212,)</f>
        <v/>
      </c>
      <c r="DM212" s="129">
        <f>IFERROR(if($X212=0,($V212/1.2)*BA212,
BA212*$X212),)</f>
        <v/>
      </c>
      <c r="DN212" s="129">
        <f>IFERROR(if($X212=0,($V212/1.2)*BB212,
BB212*$X212),)</f>
        <v/>
      </c>
      <c r="DO212" s="129">
        <f>IFERROR(if($X212=0,($V212/1.2)*BC212,
BC212*$X212),)</f>
        <v/>
      </c>
      <c r="DP212" s="130">
        <f>IFERROR(if($Z212=0,($V212/1.35)*BD212,
BD212*$Z212),)</f>
        <v/>
      </c>
      <c r="DQ212" s="130">
        <f>IFERROR(if($Z212=0,($V212/1.35)*BE212,
BE212*$Z212),)</f>
        <v/>
      </c>
      <c r="DR212" s="130">
        <f>IFERROR(if($Z212=0,($V212/1.35)*BF212,
BF212*$Z212),)</f>
        <v/>
      </c>
      <c r="DS212" s="128">
        <f>IFERROR(IF($AB212=0,($V212/0.74)*BG212,
BG212*$AB212),)</f>
        <v/>
      </c>
      <c r="DT212" s="128">
        <f>IFERROR(IF($AB212=0,($V212/0.74)*BH212,
BH212*$AB212),)</f>
        <v/>
      </c>
      <c r="DU212" s="128">
        <f>IFERROR(IF($AB212=0,($V212/0.74)*BI212,
BI212*$AB212),)</f>
        <v/>
      </c>
    </row>
    <row r="213" ht="131.25" customHeight="1" s="162">
      <c r="A213" s="115" t="n"/>
      <c r="B213" s="115" t="n"/>
      <c r="C213" s="115" t="n"/>
      <c r="D213" s="115" t="n"/>
      <c r="E213" s="115" t="n"/>
      <c r="F213" s="115" t="n"/>
      <c r="G213" s="115" t="n"/>
      <c r="H213" s="115" t="n"/>
      <c r="I213" s="115" t="n"/>
      <c r="J213" s="115" t="n"/>
      <c r="K213" s="115" t="n"/>
      <c r="L213" s="115" t="n"/>
      <c r="M213" s="115" t="n"/>
      <c r="N213" s="115" t="n"/>
      <c r="O213" s="115" t="n"/>
      <c r="P213" s="115" t="n"/>
      <c r="Q213" s="115" t="n"/>
      <c r="R213" s="115" t="n"/>
      <c r="S213" s="115" t="n"/>
      <c r="T213" s="115" t="n"/>
      <c r="U213" s="116" t="n"/>
      <c r="V213" s="116" t="n"/>
      <c r="W213" s="117" t="n"/>
      <c r="X213" s="118" t="n"/>
      <c r="Y213" s="119" t="n"/>
      <c r="Z213" s="120" t="n"/>
      <c r="AA213" s="121" t="n"/>
      <c r="AB213" s="122" t="n"/>
      <c r="AC213" s="117" t="n"/>
      <c r="AD213" s="123">
        <f>IF(SUM($AE213:$AH213)=0,"",SUM($AE213:$AH213))</f>
        <v/>
      </c>
      <c r="AE213" s="123">
        <f>iferror(IF(SUM($AI213:$AZ213)=0,"",SUM($AI213:$AZ213)),"")</f>
        <v/>
      </c>
      <c r="AF213" s="123">
        <f>iferror(IF(SUM($BA213:$BC213)=0,"",SUM($BA213:$BC213)),"")</f>
        <v/>
      </c>
      <c r="AG213" s="123">
        <f>iferror(IF(SUM($BD213:$BF213)=0,"",SUM($BD213:$BF213)),"")</f>
        <v/>
      </c>
      <c r="AH213" s="124">
        <f>iferror(IF(SUM($BG213:$BI213)=0,"",SUM($BG213:$BI213)),"")</f>
        <v/>
      </c>
      <c r="AI213" s="131" t="n"/>
      <c r="AJ213" s="132" t="n"/>
      <c r="AK213" s="132" t="n"/>
      <c r="AL213" s="132" t="n"/>
      <c r="AM213" s="132" t="n"/>
      <c r="AN213" s="132" t="n"/>
      <c r="AO213" s="132" t="n"/>
      <c r="AP213" s="132" t="n"/>
      <c r="AQ213" s="132" t="n"/>
      <c r="AR213" s="132" t="n"/>
      <c r="AS213" s="132" t="n"/>
      <c r="AT213" s="132" t="n"/>
      <c r="AU213" s="132" t="n"/>
      <c r="AV213" s="132" t="n"/>
      <c r="AW213" s="132" t="n"/>
      <c r="AX213" s="132" t="n"/>
      <c r="AY213" s="132" t="n"/>
      <c r="AZ213" s="133" t="n"/>
      <c r="BA213" s="131" t="n"/>
      <c r="BB213" s="132" t="n"/>
      <c r="BC213" s="133" t="n"/>
      <c r="BD213" s="131" t="n"/>
      <c r="BE213" s="132" t="n"/>
      <c r="BF213" s="133" t="n"/>
      <c r="BG213" s="131" t="n"/>
      <c r="BH213" s="132" t="n"/>
      <c r="BI213" s="132" t="n"/>
      <c r="BJ213" s="128">
        <f>iferror(SUM($BK213,($BL213*1.2),($BM213*1.35),($BN213*0.74)),)</f>
        <v/>
      </c>
      <c r="BK213" s="128">
        <f>IFERROR(SUM($BT213:$CK213),)</f>
        <v/>
      </c>
      <c r="BL213" s="129">
        <f>IFERROR(SUM($CL213:$CN213),)</f>
        <v/>
      </c>
      <c r="BM213" s="130">
        <f>IFERROR(SUM($CO213:$CQ213),)</f>
        <v/>
      </c>
      <c r="BN213" s="128">
        <f>IFERROR(SUM($CR213:$CT213),)</f>
        <v/>
      </c>
      <c r="BO213" s="128">
        <f>iferror(SUM($BP213,($BQ213*1.2),($BR213*1.35),($BS213*0.74)),)</f>
        <v/>
      </c>
      <c r="BP213" s="128">
        <f>IFERROR(SUM($CU213:$DL213),)</f>
        <v/>
      </c>
      <c r="BQ213" s="128">
        <f>IFERROR(SUM($DM213:$DO213),)</f>
        <v/>
      </c>
      <c r="BR213" s="128">
        <f>IFERROR(SUM($DP213:$DR213),)</f>
        <v/>
      </c>
      <c r="BS213" s="128">
        <f>IFERROR(SUM($DS213:$DU213),)</f>
        <v/>
      </c>
      <c r="BT213" s="128">
        <f>IFERROR(AI213*$W213,)</f>
        <v/>
      </c>
      <c r="BU213" s="128">
        <f>IFERROR(AJ213*$W213,)</f>
        <v/>
      </c>
      <c r="BV213" s="128">
        <f>IFERROR(AK213*$W213,)</f>
        <v/>
      </c>
      <c r="BW213" s="128">
        <f>IFERROR(AL213*$W213,)</f>
        <v/>
      </c>
      <c r="BX213" s="128">
        <f>IFERROR(AM213*$W213,)</f>
        <v/>
      </c>
      <c r="BY213" s="128">
        <f>IFERROR(AN213*$W213,)</f>
        <v/>
      </c>
      <c r="BZ213" s="128">
        <f>IFERROR(AO213*$W213,)</f>
        <v/>
      </c>
      <c r="CA213" s="128">
        <f>IFERROR(AP213*$W213,)</f>
        <v/>
      </c>
      <c r="CB213" s="128">
        <f>IFERROR(AQ213*$W213,)</f>
        <v/>
      </c>
      <c r="CC213" s="128">
        <f>IFERROR(AR213*$W213,)</f>
        <v/>
      </c>
      <c r="CD213" s="128">
        <f>IFERROR(AS213*$W213,)</f>
        <v/>
      </c>
      <c r="CE213" s="128">
        <f>IFERROR(AT213*$W213,)</f>
        <v/>
      </c>
      <c r="CF213" s="128">
        <f>IFERROR(AU213*$W213,)</f>
        <v/>
      </c>
      <c r="CG213" s="128">
        <f>IFERROR(AV213*$W213,)</f>
        <v/>
      </c>
      <c r="CH213" s="128">
        <f>IFERROR(AW213*$W213,)</f>
        <v/>
      </c>
      <c r="CI213" s="128">
        <f>IFERROR(AX213*$W213,)</f>
        <v/>
      </c>
      <c r="CJ213" s="128">
        <f>IFERROR(AY213*$W213,)</f>
        <v/>
      </c>
      <c r="CK213" s="128">
        <f>IFERROR(AZ213*$W213,)</f>
        <v/>
      </c>
      <c r="CL213" s="129">
        <f>IFERROR(if($Y213=0,BA213*($W213/1.2),BA213*$Y213),"")</f>
        <v/>
      </c>
      <c r="CM213" s="129">
        <f>IFERROR(if($Y213=0,BB213*($W213/1.2),BB213*$Y213),"")</f>
        <v/>
      </c>
      <c r="CN213" s="129">
        <f>IFERROR(if($Y213=0,BC213*($W213/1.2),BC213*$Y213),"")</f>
        <v/>
      </c>
      <c r="CO213" s="130">
        <f>IFERROR(if($AA213=0,($W213/1.35)*BD213,BD213*$AA213),)</f>
        <v/>
      </c>
      <c r="CP213" s="130">
        <f>IFERROR(if($AA213=0,($W213/1.35)*BE213,BE213*$AA213),)</f>
        <v/>
      </c>
      <c r="CQ213" s="130">
        <f>IFERROR(if($AA213=0,($W213/1.35)*BF213,BF213*$AA213),)</f>
        <v/>
      </c>
      <c r="CR213" s="128">
        <f>IFERROR(if($AC213=0,($W213/0.74)*BG213,
BG213*$AC213),)</f>
        <v/>
      </c>
      <c r="CS213" s="128">
        <f>IFERROR(if($AC213=0,($W213/0.74)*BH213,
BH213*$AC213),)</f>
        <v/>
      </c>
      <c r="CT213" s="128">
        <f>IFERROR(if($AC213=0,($W213/0.74)*BI213,
BI213*$AC213),)</f>
        <v/>
      </c>
      <c r="CU213" s="128">
        <f>IFERROR(AI213*$V213,)</f>
        <v/>
      </c>
      <c r="CV213" s="128">
        <f>IFERROR(AJ213*$V213,)</f>
        <v/>
      </c>
      <c r="CW213" s="128">
        <f>IFERROR(AK213*$V213,)</f>
        <v/>
      </c>
      <c r="CX213" s="128">
        <f>IFERROR(AL213*$V213,)</f>
        <v/>
      </c>
      <c r="CY213" s="128">
        <f>IFERROR(AM213*$V213,)</f>
        <v/>
      </c>
      <c r="CZ213" s="128">
        <f>IFERROR(AN213*$V213,)</f>
        <v/>
      </c>
      <c r="DA213" s="128">
        <f>IFERROR(AO213*$V213,)</f>
        <v/>
      </c>
      <c r="DB213" s="128">
        <f>IFERROR(AP213*$V213,)</f>
        <v/>
      </c>
      <c r="DC213" s="128">
        <f>IFERROR(AQ213*$V213,)</f>
        <v/>
      </c>
      <c r="DD213" s="128">
        <f>IFERROR(AR213*$V213,)</f>
        <v/>
      </c>
      <c r="DE213" s="128">
        <f>IFERROR(AS213*$V213,)</f>
        <v/>
      </c>
      <c r="DF213" s="128">
        <f>IFERROR(AT213*$V213,)</f>
        <v/>
      </c>
      <c r="DG213" s="128">
        <f>IFERROR(AU213*$V213,)</f>
        <v/>
      </c>
      <c r="DH213" s="128">
        <f>IFERROR(AV213*$V213,)</f>
        <v/>
      </c>
      <c r="DI213" s="128">
        <f>IFERROR(AW213*$V213,)</f>
        <v/>
      </c>
      <c r="DJ213" s="128">
        <f>IFERROR(AX213*$V213,)</f>
        <v/>
      </c>
      <c r="DK213" s="128">
        <f>IFERROR(AY213*$V213,)</f>
        <v/>
      </c>
      <c r="DL213" s="128">
        <f>IFERROR(AZ213*$V213,)</f>
        <v/>
      </c>
      <c r="DM213" s="129">
        <f>IFERROR(if($X213=0,($V213/1.2)*BA213,
BA213*$X213),)</f>
        <v/>
      </c>
      <c r="DN213" s="129">
        <f>IFERROR(if($X213=0,($V213/1.2)*BB213,
BB213*$X213),)</f>
        <v/>
      </c>
      <c r="DO213" s="129">
        <f>IFERROR(if($X213=0,($V213/1.2)*BC213,
BC213*$X213),)</f>
        <v/>
      </c>
      <c r="DP213" s="130">
        <f>IFERROR(if($Z213=0,($V213/1.35)*BD213,
BD213*$Z213),)</f>
        <v/>
      </c>
      <c r="DQ213" s="130">
        <f>IFERROR(if($Z213=0,($V213/1.35)*BE213,
BE213*$Z213),)</f>
        <v/>
      </c>
      <c r="DR213" s="130">
        <f>IFERROR(if($Z213=0,($V213/1.35)*BF213,
BF213*$Z213),)</f>
        <v/>
      </c>
      <c r="DS213" s="128">
        <f>IFERROR(IF($AB213=0,($V213/0.74)*BG213,
BG213*$AB213),)</f>
        <v/>
      </c>
      <c r="DT213" s="128">
        <f>IFERROR(IF($AB213=0,($V213/0.74)*BH213,
BH213*$AB213),)</f>
        <v/>
      </c>
      <c r="DU213" s="128">
        <f>IFERROR(IF($AB213=0,($V213/0.74)*BI213,
BI213*$AB213),)</f>
        <v/>
      </c>
    </row>
    <row r="214" ht="131.25" customHeight="1" s="162">
      <c r="A214" s="115" t="n"/>
      <c r="B214" s="115" t="n"/>
      <c r="C214" s="115" t="n"/>
      <c r="D214" s="115" t="n"/>
      <c r="E214" s="115" t="n"/>
      <c r="F214" s="115" t="n"/>
      <c r="G214" s="115" t="n"/>
      <c r="H214" s="115" t="n"/>
      <c r="I214" s="115" t="n"/>
      <c r="J214" s="115" t="n"/>
      <c r="K214" s="115" t="n"/>
      <c r="L214" s="115" t="n"/>
      <c r="M214" s="115" t="n"/>
      <c r="N214" s="115" t="n"/>
      <c r="O214" s="115" t="n"/>
      <c r="P214" s="115" t="n"/>
      <c r="Q214" s="115" t="n"/>
      <c r="R214" s="115" t="n"/>
      <c r="S214" s="115" t="n"/>
      <c r="T214" s="115" t="n"/>
      <c r="U214" s="116" t="n"/>
      <c r="V214" s="116" t="n"/>
      <c r="W214" s="117" t="n"/>
      <c r="X214" s="118" t="n"/>
      <c r="Y214" s="119" t="n"/>
      <c r="Z214" s="120" t="n"/>
      <c r="AA214" s="121" t="n"/>
      <c r="AB214" s="122" t="n"/>
      <c r="AC214" s="117" t="n"/>
      <c r="AD214" s="123">
        <f>IF(SUM($AE214:$AH214)=0,"",SUM($AE214:$AH214))</f>
        <v/>
      </c>
      <c r="AE214" s="123">
        <f>iferror(IF(SUM($AI214:$AZ214)=0,"",SUM($AI214:$AZ214)),"")</f>
        <v/>
      </c>
      <c r="AF214" s="123">
        <f>iferror(IF(SUM($BA214:$BC214)=0,"",SUM($BA214:$BC214)),"")</f>
        <v/>
      </c>
      <c r="AG214" s="123">
        <f>iferror(IF(SUM($BD214:$BF214)=0,"",SUM($BD214:$BF214)),"")</f>
        <v/>
      </c>
      <c r="AH214" s="124">
        <f>iferror(IF(SUM($BG214:$BI214)=0,"",SUM($BG214:$BI214)),"")</f>
        <v/>
      </c>
      <c r="AI214" s="131" t="n"/>
      <c r="AJ214" s="132" t="n"/>
      <c r="AK214" s="132" t="n"/>
      <c r="AL214" s="132" t="n"/>
      <c r="AM214" s="132" t="n"/>
      <c r="AN214" s="132" t="n"/>
      <c r="AO214" s="132" t="n"/>
      <c r="AP214" s="132" t="n"/>
      <c r="AQ214" s="132" t="n"/>
      <c r="AR214" s="132" t="n"/>
      <c r="AS214" s="132" t="n"/>
      <c r="AT214" s="132" t="n"/>
      <c r="AU214" s="132" t="n"/>
      <c r="AV214" s="132" t="n"/>
      <c r="AW214" s="132" t="n"/>
      <c r="AX214" s="132" t="n"/>
      <c r="AY214" s="132" t="n"/>
      <c r="AZ214" s="133" t="n"/>
      <c r="BA214" s="131" t="n"/>
      <c r="BB214" s="132" t="n"/>
      <c r="BC214" s="133" t="n"/>
      <c r="BD214" s="131" t="n"/>
      <c r="BE214" s="132" t="n"/>
      <c r="BF214" s="133" t="n"/>
      <c r="BG214" s="131" t="n"/>
      <c r="BH214" s="132" t="n"/>
      <c r="BI214" s="132" t="n"/>
      <c r="BJ214" s="128">
        <f>iferror(SUM($BK214,($BL214*1.2),($BM214*1.35),($BN214*0.74)),)</f>
        <v/>
      </c>
      <c r="BK214" s="128">
        <f>IFERROR(SUM($BT214:$CK214),)</f>
        <v/>
      </c>
      <c r="BL214" s="129">
        <f>IFERROR(SUM($CL214:$CN214),)</f>
        <v/>
      </c>
      <c r="BM214" s="130">
        <f>IFERROR(SUM($CO214:$CQ214),)</f>
        <v/>
      </c>
      <c r="BN214" s="128">
        <f>IFERROR(SUM($CR214:$CT214),)</f>
        <v/>
      </c>
      <c r="BO214" s="128">
        <f>iferror(SUM($BP214,($BQ214*1.2),($BR214*1.35),($BS214*0.74)),)</f>
        <v/>
      </c>
      <c r="BP214" s="128">
        <f>IFERROR(SUM($CU214:$DL214),)</f>
        <v/>
      </c>
      <c r="BQ214" s="128">
        <f>IFERROR(SUM($DM214:$DO214),)</f>
        <v/>
      </c>
      <c r="BR214" s="128">
        <f>IFERROR(SUM($DP214:$DR214),)</f>
        <v/>
      </c>
      <c r="BS214" s="128">
        <f>IFERROR(SUM($DS214:$DU214),)</f>
        <v/>
      </c>
      <c r="BT214" s="128">
        <f>IFERROR(AI214*$W214,)</f>
        <v/>
      </c>
      <c r="BU214" s="128">
        <f>IFERROR(AJ214*$W214,)</f>
        <v/>
      </c>
      <c r="BV214" s="128">
        <f>IFERROR(AK214*$W214,)</f>
        <v/>
      </c>
      <c r="BW214" s="128">
        <f>IFERROR(AL214*$W214,)</f>
        <v/>
      </c>
      <c r="BX214" s="128">
        <f>IFERROR(AM214*$W214,)</f>
        <v/>
      </c>
      <c r="BY214" s="128">
        <f>IFERROR(AN214*$W214,)</f>
        <v/>
      </c>
      <c r="BZ214" s="128">
        <f>IFERROR(AO214*$W214,)</f>
        <v/>
      </c>
      <c r="CA214" s="128">
        <f>IFERROR(AP214*$W214,)</f>
        <v/>
      </c>
      <c r="CB214" s="128">
        <f>IFERROR(AQ214*$W214,)</f>
        <v/>
      </c>
      <c r="CC214" s="128">
        <f>IFERROR(AR214*$W214,)</f>
        <v/>
      </c>
      <c r="CD214" s="128">
        <f>IFERROR(AS214*$W214,)</f>
        <v/>
      </c>
      <c r="CE214" s="128">
        <f>IFERROR(AT214*$W214,)</f>
        <v/>
      </c>
      <c r="CF214" s="128">
        <f>IFERROR(AU214*$W214,)</f>
        <v/>
      </c>
      <c r="CG214" s="128">
        <f>IFERROR(AV214*$W214,)</f>
        <v/>
      </c>
      <c r="CH214" s="128">
        <f>IFERROR(AW214*$W214,)</f>
        <v/>
      </c>
      <c r="CI214" s="128">
        <f>IFERROR(AX214*$W214,)</f>
        <v/>
      </c>
      <c r="CJ214" s="128">
        <f>IFERROR(AY214*$W214,)</f>
        <v/>
      </c>
      <c r="CK214" s="128">
        <f>IFERROR(AZ214*$W214,)</f>
        <v/>
      </c>
      <c r="CL214" s="129">
        <f>IFERROR(if($Y214=0,BA214*($W214/1.2),BA214*$Y214),"")</f>
        <v/>
      </c>
      <c r="CM214" s="129">
        <f>IFERROR(if($Y214=0,BB214*($W214/1.2),BB214*$Y214),"")</f>
        <v/>
      </c>
      <c r="CN214" s="129">
        <f>IFERROR(if($Y214=0,BC214*($W214/1.2),BC214*$Y214),"")</f>
        <v/>
      </c>
      <c r="CO214" s="130">
        <f>IFERROR(if($AA214=0,($W214/1.35)*BD214,BD214*$AA214),)</f>
        <v/>
      </c>
      <c r="CP214" s="130">
        <f>IFERROR(if($AA214=0,($W214/1.35)*BE214,BE214*$AA214),)</f>
        <v/>
      </c>
      <c r="CQ214" s="130">
        <f>IFERROR(if($AA214=0,($W214/1.35)*BF214,BF214*$AA214),)</f>
        <v/>
      </c>
      <c r="CR214" s="128">
        <f>IFERROR(if($AC214=0,($W214/0.74)*BG214,
BG214*$AC214),)</f>
        <v/>
      </c>
      <c r="CS214" s="128">
        <f>IFERROR(if($AC214=0,($W214/0.74)*BH214,
BH214*$AC214),)</f>
        <v/>
      </c>
      <c r="CT214" s="128">
        <f>IFERROR(if($AC214=0,($W214/0.74)*BI214,
BI214*$AC214),)</f>
        <v/>
      </c>
      <c r="CU214" s="128">
        <f>IFERROR(AI214*$V214,)</f>
        <v/>
      </c>
      <c r="CV214" s="128">
        <f>IFERROR(AJ214*$V214,)</f>
        <v/>
      </c>
      <c r="CW214" s="128">
        <f>IFERROR(AK214*$V214,)</f>
        <v/>
      </c>
      <c r="CX214" s="128">
        <f>IFERROR(AL214*$V214,)</f>
        <v/>
      </c>
      <c r="CY214" s="128">
        <f>IFERROR(AM214*$V214,)</f>
        <v/>
      </c>
      <c r="CZ214" s="128">
        <f>IFERROR(AN214*$V214,)</f>
        <v/>
      </c>
      <c r="DA214" s="128">
        <f>IFERROR(AO214*$V214,)</f>
        <v/>
      </c>
      <c r="DB214" s="128">
        <f>IFERROR(AP214*$V214,)</f>
        <v/>
      </c>
      <c r="DC214" s="128">
        <f>IFERROR(AQ214*$V214,)</f>
        <v/>
      </c>
      <c r="DD214" s="128">
        <f>IFERROR(AR214*$V214,)</f>
        <v/>
      </c>
      <c r="DE214" s="128">
        <f>IFERROR(AS214*$V214,)</f>
        <v/>
      </c>
      <c r="DF214" s="128">
        <f>IFERROR(AT214*$V214,)</f>
        <v/>
      </c>
      <c r="DG214" s="128">
        <f>IFERROR(AU214*$V214,)</f>
        <v/>
      </c>
      <c r="DH214" s="128">
        <f>IFERROR(AV214*$V214,)</f>
        <v/>
      </c>
      <c r="DI214" s="128">
        <f>IFERROR(AW214*$V214,)</f>
        <v/>
      </c>
      <c r="DJ214" s="128">
        <f>IFERROR(AX214*$V214,)</f>
        <v/>
      </c>
      <c r="DK214" s="128">
        <f>IFERROR(AY214*$V214,)</f>
        <v/>
      </c>
      <c r="DL214" s="128">
        <f>IFERROR(AZ214*$V214,)</f>
        <v/>
      </c>
      <c r="DM214" s="129">
        <f>IFERROR(if($X214=0,($V214/1.2)*BA214,
BA214*$X214),)</f>
        <v/>
      </c>
      <c r="DN214" s="129">
        <f>IFERROR(if($X214=0,($V214/1.2)*BB214,
BB214*$X214),)</f>
        <v/>
      </c>
      <c r="DO214" s="129">
        <f>IFERROR(if($X214=0,($V214/1.2)*BC214,
BC214*$X214),)</f>
        <v/>
      </c>
      <c r="DP214" s="130">
        <f>IFERROR(if($Z214=0,($V214/1.35)*BD214,
BD214*$Z214),)</f>
        <v/>
      </c>
      <c r="DQ214" s="130">
        <f>IFERROR(if($Z214=0,($V214/1.35)*BE214,
BE214*$Z214),)</f>
        <v/>
      </c>
      <c r="DR214" s="130">
        <f>IFERROR(if($Z214=0,($V214/1.35)*BF214,
BF214*$Z214),)</f>
        <v/>
      </c>
      <c r="DS214" s="128">
        <f>IFERROR(IF($AB214=0,($V214/0.74)*BG214,
BG214*$AB214),)</f>
        <v/>
      </c>
      <c r="DT214" s="128">
        <f>IFERROR(IF($AB214=0,($V214/0.74)*BH214,
BH214*$AB214),)</f>
        <v/>
      </c>
      <c r="DU214" s="128">
        <f>IFERROR(IF($AB214=0,($V214/0.74)*BI214,
BI214*$AB214),)</f>
        <v/>
      </c>
    </row>
    <row r="215" ht="131.25" customHeight="1" s="162">
      <c r="A215" s="115" t="n"/>
      <c r="B215" s="115" t="n"/>
      <c r="C215" s="115" t="n"/>
      <c r="D215" s="115" t="n"/>
      <c r="E215" s="115" t="n"/>
      <c r="F215" s="115" t="n"/>
      <c r="G215" s="115" t="n"/>
      <c r="H215" s="115" t="n"/>
      <c r="I215" s="115" t="n"/>
      <c r="J215" s="115" t="n"/>
      <c r="K215" s="115" t="n"/>
      <c r="L215" s="115" t="n"/>
      <c r="M215" s="115" t="n"/>
      <c r="N215" s="115" t="n"/>
      <c r="O215" s="115" t="n"/>
      <c r="P215" s="115" t="n"/>
      <c r="Q215" s="115" t="n"/>
      <c r="R215" s="115" t="n"/>
      <c r="S215" s="115" t="n"/>
      <c r="T215" s="115" t="n"/>
      <c r="U215" s="116" t="n"/>
      <c r="V215" s="116" t="n"/>
      <c r="W215" s="117" t="n"/>
      <c r="X215" s="118" t="n"/>
      <c r="Y215" s="119" t="n"/>
      <c r="Z215" s="120" t="n"/>
      <c r="AA215" s="121" t="n"/>
      <c r="AB215" s="122" t="n"/>
      <c r="AC215" s="117" t="n"/>
      <c r="AD215" s="123">
        <f>IF(SUM($AE215:$AH215)=0,"",SUM($AE215:$AH215))</f>
        <v/>
      </c>
      <c r="AE215" s="123">
        <f>iferror(IF(SUM($AI215:$AZ215)=0,"",SUM($AI215:$AZ215)),"")</f>
        <v/>
      </c>
      <c r="AF215" s="123">
        <f>iferror(IF(SUM($BA215:$BC215)=0,"",SUM($BA215:$BC215)),"")</f>
        <v/>
      </c>
      <c r="AG215" s="123">
        <f>iferror(IF(SUM($BD215:$BF215)=0,"",SUM($BD215:$BF215)),"")</f>
        <v/>
      </c>
      <c r="AH215" s="124">
        <f>iferror(IF(SUM($BG215:$BI215)=0,"",SUM($BG215:$BI215)),"")</f>
        <v/>
      </c>
      <c r="AI215" s="131" t="n"/>
      <c r="AJ215" s="132" t="n"/>
      <c r="AK215" s="132" t="n"/>
      <c r="AL215" s="132" t="n"/>
      <c r="AM215" s="132" t="n"/>
      <c r="AN215" s="132" t="n"/>
      <c r="AO215" s="132" t="n"/>
      <c r="AP215" s="132" t="n"/>
      <c r="AQ215" s="132" t="n"/>
      <c r="AR215" s="132" t="n"/>
      <c r="AS215" s="132" t="n"/>
      <c r="AT215" s="132" t="n"/>
      <c r="AU215" s="132" t="n"/>
      <c r="AV215" s="132" t="n"/>
      <c r="AW215" s="132" t="n"/>
      <c r="AX215" s="132" t="n"/>
      <c r="AY215" s="132" t="n"/>
      <c r="AZ215" s="133" t="n"/>
      <c r="BA215" s="131" t="n"/>
      <c r="BB215" s="132" t="n"/>
      <c r="BC215" s="133" t="n"/>
      <c r="BD215" s="131" t="n"/>
      <c r="BE215" s="132" t="n"/>
      <c r="BF215" s="133" t="n"/>
      <c r="BG215" s="131" t="n"/>
      <c r="BH215" s="132" t="n"/>
      <c r="BI215" s="132" t="n"/>
      <c r="BJ215" s="128">
        <f>iferror(SUM($BK215,($BL215*1.2),($BM215*1.35),($BN215*0.74)),)</f>
        <v/>
      </c>
      <c r="BK215" s="128">
        <f>IFERROR(SUM($BT215:$CK215),)</f>
        <v/>
      </c>
      <c r="BL215" s="129">
        <f>IFERROR(SUM($CL215:$CN215),)</f>
        <v/>
      </c>
      <c r="BM215" s="130">
        <f>IFERROR(SUM($CO215:$CQ215),)</f>
        <v/>
      </c>
      <c r="BN215" s="128">
        <f>IFERROR(SUM($CR215:$CT215),)</f>
        <v/>
      </c>
      <c r="BO215" s="128">
        <f>iferror(SUM($BP215,($BQ215*1.2),($BR215*1.35),($BS215*0.74)),)</f>
        <v/>
      </c>
      <c r="BP215" s="128">
        <f>IFERROR(SUM($CU215:$DL215),)</f>
        <v/>
      </c>
      <c r="BQ215" s="128">
        <f>IFERROR(SUM($DM215:$DO215),)</f>
        <v/>
      </c>
      <c r="BR215" s="128">
        <f>IFERROR(SUM($DP215:$DR215),)</f>
        <v/>
      </c>
      <c r="BS215" s="128">
        <f>IFERROR(SUM($DS215:$DU215),)</f>
        <v/>
      </c>
      <c r="BT215" s="128">
        <f>IFERROR(AI215*$W215,)</f>
        <v/>
      </c>
      <c r="BU215" s="128">
        <f>IFERROR(AJ215*$W215,)</f>
        <v/>
      </c>
      <c r="BV215" s="128">
        <f>IFERROR(AK215*$W215,)</f>
        <v/>
      </c>
      <c r="BW215" s="128">
        <f>IFERROR(AL215*$W215,)</f>
        <v/>
      </c>
      <c r="BX215" s="128">
        <f>IFERROR(AM215*$W215,)</f>
        <v/>
      </c>
      <c r="BY215" s="128">
        <f>IFERROR(AN215*$W215,)</f>
        <v/>
      </c>
      <c r="BZ215" s="128">
        <f>IFERROR(AO215*$W215,)</f>
        <v/>
      </c>
      <c r="CA215" s="128">
        <f>IFERROR(AP215*$W215,)</f>
        <v/>
      </c>
      <c r="CB215" s="128">
        <f>IFERROR(AQ215*$W215,)</f>
        <v/>
      </c>
      <c r="CC215" s="128">
        <f>IFERROR(AR215*$W215,)</f>
        <v/>
      </c>
      <c r="CD215" s="128">
        <f>IFERROR(AS215*$W215,)</f>
        <v/>
      </c>
      <c r="CE215" s="128">
        <f>IFERROR(AT215*$W215,)</f>
        <v/>
      </c>
      <c r="CF215" s="128">
        <f>IFERROR(AU215*$W215,)</f>
        <v/>
      </c>
      <c r="CG215" s="128">
        <f>IFERROR(AV215*$W215,)</f>
        <v/>
      </c>
      <c r="CH215" s="128">
        <f>IFERROR(AW215*$W215,)</f>
        <v/>
      </c>
      <c r="CI215" s="128">
        <f>IFERROR(AX215*$W215,)</f>
        <v/>
      </c>
      <c r="CJ215" s="128">
        <f>IFERROR(AY215*$W215,)</f>
        <v/>
      </c>
      <c r="CK215" s="128">
        <f>IFERROR(AZ215*$W215,)</f>
        <v/>
      </c>
      <c r="CL215" s="129">
        <f>IFERROR(if($Y215=0,BA215*($W215/1.2),BA215*$Y215),"")</f>
        <v/>
      </c>
      <c r="CM215" s="129">
        <f>IFERROR(if($Y215=0,BB215*($W215/1.2),BB215*$Y215),"")</f>
        <v/>
      </c>
      <c r="CN215" s="129">
        <f>IFERROR(if($Y215=0,BC215*($W215/1.2),BC215*$Y215),"")</f>
        <v/>
      </c>
      <c r="CO215" s="130">
        <f>IFERROR(if($AA215=0,($W215/1.35)*BD215,BD215*$AA215),)</f>
        <v/>
      </c>
      <c r="CP215" s="130">
        <f>IFERROR(if($AA215=0,($W215/1.35)*BE215,BE215*$AA215),)</f>
        <v/>
      </c>
      <c r="CQ215" s="130">
        <f>IFERROR(if($AA215=0,($W215/1.35)*BF215,BF215*$AA215),)</f>
        <v/>
      </c>
      <c r="CR215" s="128">
        <f>IFERROR(if($AC215=0,($W215/0.74)*BG215,
BG215*$AC215),)</f>
        <v/>
      </c>
      <c r="CS215" s="128">
        <f>IFERROR(if($AC215=0,($W215/0.74)*BH215,
BH215*$AC215),)</f>
        <v/>
      </c>
      <c r="CT215" s="128">
        <f>IFERROR(if($AC215=0,($W215/0.74)*BI215,
BI215*$AC215),)</f>
        <v/>
      </c>
      <c r="CU215" s="128">
        <f>IFERROR(AI215*$V215,)</f>
        <v/>
      </c>
      <c r="CV215" s="128">
        <f>IFERROR(AJ215*$V215,)</f>
        <v/>
      </c>
      <c r="CW215" s="128">
        <f>IFERROR(AK215*$V215,)</f>
        <v/>
      </c>
      <c r="CX215" s="128">
        <f>IFERROR(AL215*$V215,)</f>
        <v/>
      </c>
      <c r="CY215" s="128">
        <f>IFERROR(AM215*$V215,)</f>
        <v/>
      </c>
      <c r="CZ215" s="128">
        <f>IFERROR(AN215*$V215,)</f>
        <v/>
      </c>
      <c r="DA215" s="128">
        <f>IFERROR(AO215*$V215,)</f>
        <v/>
      </c>
      <c r="DB215" s="128">
        <f>IFERROR(AP215*$V215,)</f>
        <v/>
      </c>
      <c r="DC215" s="128">
        <f>IFERROR(AQ215*$V215,)</f>
        <v/>
      </c>
      <c r="DD215" s="128">
        <f>IFERROR(AR215*$V215,)</f>
        <v/>
      </c>
      <c r="DE215" s="128">
        <f>IFERROR(AS215*$V215,)</f>
        <v/>
      </c>
      <c r="DF215" s="128">
        <f>IFERROR(AT215*$V215,)</f>
        <v/>
      </c>
      <c r="DG215" s="128">
        <f>IFERROR(AU215*$V215,)</f>
        <v/>
      </c>
      <c r="DH215" s="128">
        <f>IFERROR(AV215*$V215,)</f>
        <v/>
      </c>
      <c r="DI215" s="128">
        <f>IFERROR(AW215*$V215,)</f>
        <v/>
      </c>
      <c r="DJ215" s="128">
        <f>IFERROR(AX215*$V215,)</f>
        <v/>
      </c>
      <c r="DK215" s="128">
        <f>IFERROR(AY215*$V215,)</f>
        <v/>
      </c>
      <c r="DL215" s="128">
        <f>IFERROR(AZ215*$V215,)</f>
        <v/>
      </c>
      <c r="DM215" s="129">
        <f>IFERROR(if($X215=0,($V215/1.2)*BA215,
BA215*$X215),)</f>
        <v/>
      </c>
      <c r="DN215" s="129">
        <f>IFERROR(if($X215=0,($V215/1.2)*BB215,
BB215*$X215),)</f>
        <v/>
      </c>
      <c r="DO215" s="129">
        <f>IFERROR(if($X215=0,($V215/1.2)*BC215,
BC215*$X215),)</f>
        <v/>
      </c>
      <c r="DP215" s="130">
        <f>IFERROR(if($Z215=0,($V215/1.35)*BD215,
BD215*$Z215),)</f>
        <v/>
      </c>
      <c r="DQ215" s="130">
        <f>IFERROR(if($Z215=0,($V215/1.35)*BE215,
BE215*$Z215),)</f>
        <v/>
      </c>
      <c r="DR215" s="130">
        <f>IFERROR(if($Z215=0,($V215/1.35)*BF215,
BF215*$Z215),)</f>
        <v/>
      </c>
      <c r="DS215" s="128">
        <f>IFERROR(IF($AB215=0,($V215/0.74)*BG215,
BG215*$AB215),)</f>
        <v/>
      </c>
      <c r="DT215" s="128">
        <f>IFERROR(IF($AB215=0,($V215/0.74)*BH215,
BH215*$AB215),)</f>
        <v/>
      </c>
      <c r="DU215" s="128">
        <f>IFERROR(IF($AB215=0,($V215/0.74)*BI215,
BI215*$AB215),)</f>
        <v/>
      </c>
    </row>
    <row r="216" ht="131.25" customHeight="1" s="162">
      <c r="A216" s="115" t="n"/>
      <c r="B216" s="115" t="n"/>
      <c r="C216" s="115" t="n"/>
      <c r="D216" s="115" t="n"/>
      <c r="E216" s="115" t="n"/>
      <c r="F216" s="115" t="n"/>
      <c r="G216" s="115" t="n"/>
      <c r="H216" s="115" t="n"/>
      <c r="I216" s="115" t="n"/>
      <c r="J216" s="115" t="n"/>
      <c r="K216" s="115" t="n"/>
      <c r="L216" s="115" t="n"/>
      <c r="M216" s="115" t="n"/>
      <c r="N216" s="115" t="n"/>
      <c r="O216" s="115" t="n"/>
      <c r="P216" s="115" t="n"/>
      <c r="Q216" s="115" t="n"/>
      <c r="R216" s="115" t="n"/>
      <c r="S216" s="115" t="n"/>
      <c r="T216" s="115" t="n"/>
      <c r="U216" s="116" t="n"/>
      <c r="V216" s="116" t="n"/>
      <c r="W216" s="117" t="n"/>
      <c r="X216" s="118" t="n"/>
      <c r="Y216" s="119" t="n"/>
      <c r="Z216" s="120" t="n"/>
      <c r="AA216" s="121" t="n"/>
      <c r="AB216" s="122" t="n"/>
      <c r="AC216" s="117" t="n"/>
      <c r="AD216" s="123">
        <f>IF(SUM($AE216:$AH216)=0,"",SUM($AE216:$AH216))</f>
        <v/>
      </c>
      <c r="AE216" s="123">
        <f>iferror(IF(SUM($AI216:$AZ216)=0,"",SUM($AI216:$AZ216)),"")</f>
        <v/>
      </c>
      <c r="AF216" s="123">
        <f>iferror(IF(SUM($BA216:$BC216)=0,"",SUM($BA216:$BC216)),"")</f>
        <v/>
      </c>
      <c r="AG216" s="123">
        <f>iferror(IF(SUM($BD216:$BF216)=0,"",SUM($BD216:$BF216)),"")</f>
        <v/>
      </c>
      <c r="AH216" s="124">
        <f>iferror(IF(SUM($BG216:$BI216)=0,"",SUM($BG216:$BI216)),"")</f>
        <v/>
      </c>
      <c r="AI216" s="131" t="n"/>
      <c r="AJ216" s="132" t="n"/>
      <c r="AK216" s="132" t="n"/>
      <c r="AL216" s="132" t="n"/>
      <c r="AM216" s="132" t="n"/>
      <c r="AN216" s="132" t="n"/>
      <c r="AO216" s="132" t="n"/>
      <c r="AP216" s="132" t="n"/>
      <c r="AQ216" s="132" t="n"/>
      <c r="AR216" s="132" t="n"/>
      <c r="AS216" s="132" t="n"/>
      <c r="AT216" s="132" t="n"/>
      <c r="AU216" s="132" t="n"/>
      <c r="AV216" s="132" t="n"/>
      <c r="AW216" s="132" t="n"/>
      <c r="AX216" s="132" t="n"/>
      <c r="AY216" s="132" t="n"/>
      <c r="AZ216" s="133" t="n"/>
      <c r="BA216" s="131" t="n"/>
      <c r="BB216" s="132" t="n"/>
      <c r="BC216" s="133" t="n"/>
      <c r="BD216" s="131" t="n"/>
      <c r="BE216" s="132" t="n"/>
      <c r="BF216" s="133" t="n"/>
      <c r="BG216" s="131" t="n"/>
      <c r="BH216" s="132" t="n"/>
      <c r="BI216" s="132" t="n"/>
      <c r="BJ216" s="128">
        <f>iferror(SUM($BK216,($BL216*1.2),($BM216*1.35),($BN216*0.74)),)</f>
        <v/>
      </c>
      <c r="BK216" s="128">
        <f>IFERROR(SUM($BT216:$CK216),)</f>
        <v/>
      </c>
      <c r="BL216" s="129">
        <f>IFERROR(SUM($CL216:$CN216),)</f>
        <v/>
      </c>
      <c r="BM216" s="130">
        <f>IFERROR(SUM($CO216:$CQ216),)</f>
        <v/>
      </c>
      <c r="BN216" s="128">
        <f>IFERROR(SUM($CR216:$CT216),)</f>
        <v/>
      </c>
      <c r="BO216" s="128">
        <f>iferror(SUM($BP216,($BQ216*1.2),($BR216*1.35),($BS216*0.74)),)</f>
        <v/>
      </c>
      <c r="BP216" s="128">
        <f>IFERROR(SUM($CU216:$DL216),)</f>
        <v/>
      </c>
      <c r="BQ216" s="128">
        <f>IFERROR(SUM($DM216:$DO216),)</f>
        <v/>
      </c>
      <c r="BR216" s="128">
        <f>IFERROR(SUM($DP216:$DR216),)</f>
        <v/>
      </c>
      <c r="BS216" s="128">
        <f>IFERROR(SUM($DS216:$DU216),)</f>
        <v/>
      </c>
      <c r="BT216" s="128">
        <f>IFERROR(AI216*$W216,)</f>
        <v/>
      </c>
      <c r="BU216" s="128">
        <f>IFERROR(AJ216*$W216,)</f>
        <v/>
      </c>
      <c r="BV216" s="128">
        <f>IFERROR(AK216*$W216,)</f>
        <v/>
      </c>
      <c r="BW216" s="128">
        <f>IFERROR(AL216*$W216,)</f>
        <v/>
      </c>
      <c r="BX216" s="128">
        <f>IFERROR(AM216*$W216,)</f>
        <v/>
      </c>
      <c r="BY216" s="128">
        <f>IFERROR(AN216*$W216,)</f>
        <v/>
      </c>
      <c r="BZ216" s="128">
        <f>IFERROR(AO216*$W216,)</f>
        <v/>
      </c>
      <c r="CA216" s="128">
        <f>IFERROR(AP216*$W216,)</f>
        <v/>
      </c>
      <c r="CB216" s="128">
        <f>IFERROR(AQ216*$W216,)</f>
        <v/>
      </c>
      <c r="CC216" s="128">
        <f>IFERROR(AR216*$W216,)</f>
        <v/>
      </c>
      <c r="CD216" s="128">
        <f>IFERROR(AS216*$W216,)</f>
        <v/>
      </c>
      <c r="CE216" s="128">
        <f>IFERROR(AT216*$W216,)</f>
        <v/>
      </c>
      <c r="CF216" s="128">
        <f>IFERROR(AU216*$W216,)</f>
        <v/>
      </c>
      <c r="CG216" s="128">
        <f>IFERROR(AV216*$W216,)</f>
        <v/>
      </c>
      <c r="CH216" s="128">
        <f>IFERROR(AW216*$W216,)</f>
        <v/>
      </c>
      <c r="CI216" s="128">
        <f>IFERROR(AX216*$W216,)</f>
        <v/>
      </c>
      <c r="CJ216" s="128">
        <f>IFERROR(AY216*$W216,)</f>
        <v/>
      </c>
      <c r="CK216" s="128">
        <f>IFERROR(AZ216*$W216,)</f>
        <v/>
      </c>
      <c r="CL216" s="129">
        <f>IFERROR(if($Y216=0,BA216*($W216/1.2),BA216*$Y216),"")</f>
        <v/>
      </c>
      <c r="CM216" s="129">
        <f>IFERROR(if($Y216=0,BB216*($W216/1.2),BB216*$Y216),"")</f>
        <v/>
      </c>
      <c r="CN216" s="129">
        <f>IFERROR(if($Y216=0,BC216*($W216/1.2),BC216*$Y216),"")</f>
        <v/>
      </c>
      <c r="CO216" s="130">
        <f>IFERROR(if($AA216=0,($W216/1.35)*BD216,BD216*$AA216),)</f>
        <v/>
      </c>
      <c r="CP216" s="130">
        <f>IFERROR(if($AA216=0,($W216/1.35)*BE216,BE216*$AA216),)</f>
        <v/>
      </c>
      <c r="CQ216" s="130">
        <f>IFERROR(if($AA216=0,($W216/1.35)*BF216,BF216*$AA216),)</f>
        <v/>
      </c>
      <c r="CR216" s="128">
        <f>IFERROR(if($AC216=0,($W216/0.74)*BG216,
BG216*$AC216),)</f>
        <v/>
      </c>
      <c r="CS216" s="128">
        <f>IFERROR(if($AC216=0,($W216/0.74)*BH216,
BH216*$AC216),)</f>
        <v/>
      </c>
      <c r="CT216" s="128">
        <f>IFERROR(if($AC216=0,($W216/0.74)*BI216,
BI216*$AC216),)</f>
        <v/>
      </c>
      <c r="CU216" s="128">
        <f>IFERROR(AI216*$V216,)</f>
        <v/>
      </c>
      <c r="CV216" s="128">
        <f>IFERROR(AJ216*$V216,)</f>
        <v/>
      </c>
      <c r="CW216" s="128">
        <f>IFERROR(AK216*$V216,)</f>
        <v/>
      </c>
      <c r="CX216" s="128">
        <f>IFERROR(AL216*$V216,)</f>
        <v/>
      </c>
      <c r="CY216" s="128">
        <f>IFERROR(AM216*$V216,)</f>
        <v/>
      </c>
      <c r="CZ216" s="128">
        <f>IFERROR(AN216*$V216,)</f>
        <v/>
      </c>
      <c r="DA216" s="128">
        <f>IFERROR(AO216*$V216,)</f>
        <v/>
      </c>
      <c r="DB216" s="128">
        <f>IFERROR(AP216*$V216,)</f>
        <v/>
      </c>
      <c r="DC216" s="128">
        <f>IFERROR(AQ216*$V216,)</f>
        <v/>
      </c>
      <c r="DD216" s="128">
        <f>IFERROR(AR216*$V216,)</f>
        <v/>
      </c>
      <c r="DE216" s="128">
        <f>IFERROR(AS216*$V216,)</f>
        <v/>
      </c>
      <c r="DF216" s="128">
        <f>IFERROR(AT216*$V216,)</f>
        <v/>
      </c>
      <c r="DG216" s="128">
        <f>IFERROR(AU216*$V216,)</f>
        <v/>
      </c>
      <c r="DH216" s="128">
        <f>IFERROR(AV216*$V216,)</f>
        <v/>
      </c>
      <c r="DI216" s="128">
        <f>IFERROR(AW216*$V216,)</f>
        <v/>
      </c>
      <c r="DJ216" s="128">
        <f>IFERROR(AX216*$V216,)</f>
        <v/>
      </c>
      <c r="DK216" s="128">
        <f>IFERROR(AY216*$V216,)</f>
        <v/>
      </c>
      <c r="DL216" s="128">
        <f>IFERROR(AZ216*$V216,)</f>
        <v/>
      </c>
      <c r="DM216" s="129">
        <f>IFERROR(if($X216=0,($V216/1.2)*BA216,
BA216*$X216),)</f>
        <v/>
      </c>
      <c r="DN216" s="129">
        <f>IFERROR(if($X216=0,($V216/1.2)*BB216,
BB216*$X216),)</f>
        <v/>
      </c>
      <c r="DO216" s="129">
        <f>IFERROR(if($X216=0,($V216/1.2)*BC216,
BC216*$X216),)</f>
        <v/>
      </c>
      <c r="DP216" s="130">
        <f>IFERROR(if($Z216=0,($V216/1.35)*BD216,
BD216*$Z216),)</f>
        <v/>
      </c>
      <c r="DQ216" s="130">
        <f>IFERROR(if($Z216=0,($V216/1.35)*BE216,
BE216*$Z216),)</f>
        <v/>
      </c>
      <c r="DR216" s="130">
        <f>IFERROR(if($Z216=0,($V216/1.35)*BF216,
BF216*$Z216),)</f>
        <v/>
      </c>
      <c r="DS216" s="128">
        <f>IFERROR(IF($AB216=0,($V216/0.74)*BG216,
BG216*$AB216),)</f>
        <v/>
      </c>
      <c r="DT216" s="128">
        <f>IFERROR(IF($AB216=0,($V216/0.74)*BH216,
BH216*$AB216),)</f>
        <v/>
      </c>
      <c r="DU216" s="128">
        <f>IFERROR(IF($AB216=0,($V216/0.74)*BI216,
BI216*$AB216),)</f>
        <v/>
      </c>
    </row>
    <row r="217" ht="131.25" customHeight="1" s="162">
      <c r="A217" s="115" t="n"/>
      <c r="B217" s="115" t="n"/>
      <c r="C217" s="115" t="n"/>
      <c r="D217" s="115" t="n"/>
      <c r="E217" s="115" t="n"/>
      <c r="F217" s="115" t="n"/>
      <c r="G217" s="115" t="n"/>
      <c r="H217" s="115" t="n"/>
      <c r="I217" s="115" t="n"/>
      <c r="J217" s="115" t="n"/>
      <c r="K217" s="115" t="n"/>
      <c r="L217" s="115" t="n"/>
      <c r="M217" s="115" t="n"/>
      <c r="N217" s="115" t="n"/>
      <c r="O217" s="115" t="n"/>
      <c r="P217" s="115" t="n"/>
      <c r="Q217" s="115" t="n"/>
      <c r="R217" s="115" t="n"/>
      <c r="S217" s="115" t="n"/>
      <c r="T217" s="115" t="n"/>
      <c r="U217" s="116" t="n"/>
      <c r="V217" s="116" t="n"/>
      <c r="W217" s="117" t="n"/>
      <c r="X217" s="118" t="n"/>
      <c r="Y217" s="119" t="n"/>
      <c r="Z217" s="120" t="n"/>
      <c r="AA217" s="121" t="n"/>
      <c r="AB217" s="122" t="n"/>
      <c r="AC217" s="117" t="n"/>
      <c r="AD217" s="123">
        <f>IF(SUM($AE217:$AH217)=0,"",SUM($AE217:$AH217))</f>
        <v/>
      </c>
      <c r="AE217" s="123">
        <f>iferror(IF(SUM($AI217:$AZ217)=0,"",SUM($AI217:$AZ217)),"")</f>
        <v/>
      </c>
      <c r="AF217" s="123">
        <f>iferror(IF(SUM($BA217:$BC217)=0,"",SUM($BA217:$BC217)),"")</f>
        <v/>
      </c>
      <c r="AG217" s="123">
        <f>iferror(IF(SUM($BD217:$BF217)=0,"",SUM($BD217:$BF217)),"")</f>
        <v/>
      </c>
      <c r="AH217" s="124">
        <f>iferror(IF(SUM($BG217:$BI217)=0,"",SUM($BG217:$BI217)),"")</f>
        <v/>
      </c>
      <c r="AI217" s="131" t="n"/>
      <c r="AJ217" s="132" t="n"/>
      <c r="AK217" s="132" t="n"/>
      <c r="AL217" s="132" t="n"/>
      <c r="AM217" s="132" t="n"/>
      <c r="AN217" s="132" t="n"/>
      <c r="AO217" s="132" t="n"/>
      <c r="AP217" s="132" t="n"/>
      <c r="AQ217" s="132" t="n"/>
      <c r="AR217" s="132" t="n"/>
      <c r="AS217" s="132" t="n"/>
      <c r="AT217" s="132" t="n"/>
      <c r="AU217" s="132" t="n"/>
      <c r="AV217" s="132" t="n"/>
      <c r="AW217" s="132" t="n"/>
      <c r="AX217" s="132" t="n"/>
      <c r="AY217" s="132" t="n"/>
      <c r="AZ217" s="133" t="n"/>
      <c r="BA217" s="131" t="n"/>
      <c r="BB217" s="132" t="n"/>
      <c r="BC217" s="133" t="n"/>
      <c r="BD217" s="131" t="n"/>
      <c r="BE217" s="132" t="n"/>
      <c r="BF217" s="133" t="n"/>
      <c r="BG217" s="131" t="n"/>
      <c r="BH217" s="132" t="n"/>
      <c r="BI217" s="132" t="n"/>
      <c r="BJ217" s="128">
        <f>iferror(SUM($BK217,($BL217*1.2),($BM217*1.35),($BN217*0.74)),)</f>
        <v/>
      </c>
      <c r="BK217" s="128">
        <f>IFERROR(SUM($BT217:$CK217),)</f>
        <v/>
      </c>
      <c r="BL217" s="129">
        <f>IFERROR(SUM($CL217:$CN217),)</f>
        <v/>
      </c>
      <c r="BM217" s="130">
        <f>IFERROR(SUM($CO217:$CQ217),)</f>
        <v/>
      </c>
      <c r="BN217" s="128">
        <f>IFERROR(SUM($CR217:$CT217),)</f>
        <v/>
      </c>
      <c r="BO217" s="128">
        <f>iferror(SUM($BP217,($BQ217*1.2),($BR217*1.35),($BS217*0.74)),)</f>
        <v/>
      </c>
      <c r="BP217" s="128">
        <f>IFERROR(SUM($CU217:$DL217),)</f>
        <v/>
      </c>
      <c r="BQ217" s="128">
        <f>IFERROR(SUM($DM217:$DO217),)</f>
        <v/>
      </c>
      <c r="BR217" s="128">
        <f>IFERROR(SUM($DP217:$DR217),)</f>
        <v/>
      </c>
      <c r="BS217" s="128">
        <f>IFERROR(SUM($DS217:$DU217),)</f>
        <v/>
      </c>
      <c r="BT217" s="128">
        <f>IFERROR(AI217*$W217,)</f>
        <v/>
      </c>
      <c r="BU217" s="128">
        <f>IFERROR(AJ217*$W217,)</f>
        <v/>
      </c>
      <c r="BV217" s="128">
        <f>IFERROR(AK217*$W217,)</f>
        <v/>
      </c>
      <c r="BW217" s="128">
        <f>IFERROR(AL217*$W217,)</f>
        <v/>
      </c>
      <c r="BX217" s="128">
        <f>IFERROR(AM217*$W217,)</f>
        <v/>
      </c>
      <c r="BY217" s="128">
        <f>IFERROR(AN217*$W217,)</f>
        <v/>
      </c>
      <c r="BZ217" s="128">
        <f>IFERROR(AO217*$W217,)</f>
        <v/>
      </c>
      <c r="CA217" s="128">
        <f>IFERROR(AP217*$W217,)</f>
        <v/>
      </c>
      <c r="CB217" s="128">
        <f>IFERROR(AQ217*$W217,)</f>
        <v/>
      </c>
      <c r="CC217" s="128">
        <f>IFERROR(AR217*$W217,)</f>
        <v/>
      </c>
      <c r="CD217" s="128">
        <f>IFERROR(AS217*$W217,)</f>
        <v/>
      </c>
      <c r="CE217" s="128">
        <f>IFERROR(AT217*$W217,)</f>
        <v/>
      </c>
      <c r="CF217" s="128">
        <f>IFERROR(AU217*$W217,)</f>
        <v/>
      </c>
      <c r="CG217" s="128">
        <f>IFERROR(AV217*$W217,)</f>
        <v/>
      </c>
      <c r="CH217" s="128">
        <f>IFERROR(AW217*$W217,)</f>
        <v/>
      </c>
      <c r="CI217" s="128">
        <f>IFERROR(AX217*$W217,)</f>
        <v/>
      </c>
      <c r="CJ217" s="128">
        <f>IFERROR(AY217*$W217,)</f>
        <v/>
      </c>
      <c r="CK217" s="128">
        <f>IFERROR(AZ217*$W217,)</f>
        <v/>
      </c>
      <c r="CL217" s="129">
        <f>IFERROR(if($Y217=0,BA217*($W217/1.2),BA217*$Y217),"")</f>
        <v/>
      </c>
      <c r="CM217" s="129">
        <f>IFERROR(if($Y217=0,BB217*($W217/1.2),BB217*$Y217),"")</f>
        <v/>
      </c>
      <c r="CN217" s="129">
        <f>IFERROR(if($Y217=0,BC217*($W217/1.2),BC217*$Y217),"")</f>
        <v/>
      </c>
      <c r="CO217" s="130">
        <f>IFERROR(if($AA217=0,($W217/1.35)*BD217,BD217*$AA217),)</f>
        <v/>
      </c>
      <c r="CP217" s="130">
        <f>IFERROR(if($AA217=0,($W217/1.35)*BE217,BE217*$AA217),)</f>
        <v/>
      </c>
      <c r="CQ217" s="130">
        <f>IFERROR(if($AA217=0,($W217/1.35)*BF217,BF217*$AA217),)</f>
        <v/>
      </c>
      <c r="CR217" s="128">
        <f>IFERROR(if($AC217=0,($W217/0.74)*BG217,
BG217*$AC217),)</f>
        <v/>
      </c>
      <c r="CS217" s="128">
        <f>IFERROR(if($AC217=0,($W217/0.74)*BH217,
BH217*$AC217),)</f>
        <v/>
      </c>
      <c r="CT217" s="128">
        <f>IFERROR(if($AC217=0,($W217/0.74)*BI217,
BI217*$AC217),)</f>
        <v/>
      </c>
      <c r="CU217" s="128">
        <f>IFERROR(AI217*$V217,)</f>
        <v/>
      </c>
      <c r="CV217" s="128">
        <f>IFERROR(AJ217*$V217,)</f>
        <v/>
      </c>
      <c r="CW217" s="128">
        <f>IFERROR(AK217*$V217,)</f>
        <v/>
      </c>
      <c r="CX217" s="128">
        <f>IFERROR(AL217*$V217,)</f>
        <v/>
      </c>
      <c r="CY217" s="128">
        <f>IFERROR(AM217*$V217,)</f>
        <v/>
      </c>
      <c r="CZ217" s="128">
        <f>IFERROR(AN217*$V217,)</f>
        <v/>
      </c>
      <c r="DA217" s="128">
        <f>IFERROR(AO217*$V217,)</f>
        <v/>
      </c>
      <c r="DB217" s="128">
        <f>IFERROR(AP217*$V217,)</f>
        <v/>
      </c>
      <c r="DC217" s="128">
        <f>IFERROR(AQ217*$V217,)</f>
        <v/>
      </c>
      <c r="DD217" s="128">
        <f>IFERROR(AR217*$V217,)</f>
        <v/>
      </c>
      <c r="DE217" s="128">
        <f>IFERROR(AS217*$V217,)</f>
        <v/>
      </c>
      <c r="DF217" s="128">
        <f>IFERROR(AT217*$V217,)</f>
        <v/>
      </c>
      <c r="DG217" s="128">
        <f>IFERROR(AU217*$V217,)</f>
        <v/>
      </c>
      <c r="DH217" s="128">
        <f>IFERROR(AV217*$V217,)</f>
        <v/>
      </c>
      <c r="DI217" s="128">
        <f>IFERROR(AW217*$V217,)</f>
        <v/>
      </c>
      <c r="DJ217" s="128">
        <f>IFERROR(AX217*$V217,)</f>
        <v/>
      </c>
      <c r="DK217" s="128">
        <f>IFERROR(AY217*$V217,)</f>
        <v/>
      </c>
      <c r="DL217" s="128">
        <f>IFERROR(AZ217*$V217,)</f>
        <v/>
      </c>
      <c r="DM217" s="129">
        <f>IFERROR(if($X217=0,($V217/1.2)*BA217,
BA217*$X217),)</f>
        <v/>
      </c>
      <c r="DN217" s="129">
        <f>IFERROR(if($X217=0,($V217/1.2)*BB217,
BB217*$X217),)</f>
        <v/>
      </c>
      <c r="DO217" s="129">
        <f>IFERROR(if($X217=0,($V217/1.2)*BC217,
BC217*$X217),)</f>
        <v/>
      </c>
      <c r="DP217" s="130">
        <f>IFERROR(if($Z217=0,($V217/1.35)*BD217,
BD217*$Z217),)</f>
        <v/>
      </c>
      <c r="DQ217" s="130">
        <f>IFERROR(if($Z217=0,($V217/1.35)*BE217,
BE217*$Z217),)</f>
        <v/>
      </c>
      <c r="DR217" s="130">
        <f>IFERROR(if($Z217=0,($V217/1.35)*BF217,
BF217*$Z217),)</f>
        <v/>
      </c>
      <c r="DS217" s="128">
        <f>IFERROR(IF($AB217=0,($V217/0.74)*BG217,
BG217*$AB217),)</f>
        <v/>
      </c>
      <c r="DT217" s="128">
        <f>IFERROR(IF($AB217=0,($V217/0.74)*BH217,
BH217*$AB217),)</f>
        <v/>
      </c>
      <c r="DU217" s="128">
        <f>IFERROR(IF($AB217=0,($V217/0.74)*BI217,
BI217*$AB217),)</f>
        <v/>
      </c>
    </row>
    <row r="218" ht="131.25" customHeight="1" s="162">
      <c r="A218" s="115" t="n"/>
      <c r="B218" s="115" t="n"/>
      <c r="C218" s="115" t="n"/>
      <c r="D218" s="115" t="n"/>
      <c r="E218" s="115" t="n"/>
      <c r="F218" s="115" t="n"/>
      <c r="G218" s="115" t="n"/>
      <c r="H218" s="115" t="n"/>
      <c r="I218" s="115" t="n"/>
      <c r="J218" s="115" t="n"/>
      <c r="K218" s="115" t="n"/>
      <c r="L218" s="115" t="n"/>
      <c r="M218" s="115" t="n"/>
      <c r="N218" s="115" t="n"/>
      <c r="O218" s="115" t="n"/>
      <c r="P218" s="115" t="n"/>
      <c r="Q218" s="115" t="n"/>
      <c r="R218" s="115" t="n"/>
      <c r="S218" s="115" t="n"/>
      <c r="T218" s="115" t="n"/>
      <c r="U218" s="116" t="n"/>
      <c r="V218" s="116" t="n"/>
      <c r="W218" s="117" t="n"/>
      <c r="X218" s="118" t="n"/>
      <c r="Y218" s="119" t="n"/>
      <c r="Z218" s="120" t="n"/>
      <c r="AA218" s="121" t="n"/>
      <c r="AB218" s="122" t="n"/>
      <c r="AC218" s="117" t="n"/>
      <c r="AD218" s="123">
        <f>IF(SUM($AE218:$AH218)=0,"",SUM($AE218:$AH218))</f>
        <v/>
      </c>
      <c r="AE218" s="123">
        <f>iferror(IF(SUM($AI218:$AZ218)=0,"",SUM($AI218:$AZ218)),"")</f>
        <v/>
      </c>
      <c r="AF218" s="123">
        <f>iferror(IF(SUM($BA218:$BC218)=0,"",SUM($BA218:$BC218)),"")</f>
        <v/>
      </c>
      <c r="AG218" s="123">
        <f>iferror(IF(SUM($BD218:$BF218)=0,"",SUM($BD218:$BF218)),"")</f>
        <v/>
      </c>
      <c r="AH218" s="124">
        <f>iferror(IF(SUM($BG218:$BI218)=0,"",SUM($BG218:$BI218)),"")</f>
        <v/>
      </c>
      <c r="AI218" s="131" t="n"/>
      <c r="AJ218" s="132" t="n"/>
      <c r="AK218" s="132" t="n"/>
      <c r="AL218" s="132" t="n"/>
      <c r="AM218" s="132" t="n"/>
      <c r="AN218" s="132" t="n"/>
      <c r="AO218" s="132" t="n"/>
      <c r="AP218" s="132" t="n"/>
      <c r="AQ218" s="132" t="n"/>
      <c r="AR218" s="132" t="n"/>
      <c r="AS218" s="132" t="n"/>
      <c r="AT218" s="132" t="n"/>
      <c r="AU218" s="132" t="n"/>
      <c r="AV218" s="132" t="n"/>
      <c r="AW218" s="132" t="n"/>
      <c r="AX218" s="132" t="n"/>
      <c r="AY218" s="132" t="n"/>
      <c r="AZ218" s="133" t="n"/>
      <c r="BA218" s="131" t="n"/>
      <c r="BB218" s="132" t="n"/>
      <c r="BC218" s="133" t="n"/>
      <c r="BD218" s="131" t="n"/>
      <c r="BE218" s="132" t="n"/>
      <c r="BF218" s="133" t="n"/>
      <c r="BG218" s="131" t="n"/>
      <c r="BH218" s="132" t="n"/>
      <c r="BI218" s="132" t="n"/>
      <c r="BJ218" s="128">
        <f>iferror(SUM($BK218,($BL218*1.2),($BM218*1.35),($BN218*0.74)),)</f>
        <v/>
      </c>
      <c r="BK218" s="128">
        <f>IFERROR(SUM($BT218:$CK218),)</f>
        <v/>
      </c>
      <c r="BL218" s="129">
        <f>IFERROR(SUM($CL218:$CN218),)</f>
        <v/>
      </c>
      <c r="BM218" s="130">
        <f>IFERROR(SUM($CO218:$CQ218),)</f>
        <v/>
      </c>
      <c r="BN218" s="128">
        <f>IFERROR(SUM($CR218:$CT218),)</f>
        <v/>
      </c>
      <c r="BO218" s="128">
        <f>iferror(SUM($BP218,($BQ218*1.2),($BR218*1.35),($BS218*0.74)),)</f>
        <v/>
      </c>
      <c r="BP218" s="128">
        <f>IFERROR(SUM($CU218:$DL218),)</f>
        <v/>
      </c>
      <c r="BQ218" s="128">
        <f>IFERROR(SUM($DM218:$DO218),)</f>
        <v/>
      </c>
      <c r="BR218" s="128">
        <f>IFERROR(SUM($DP218:$DR218),)</f>
        <v/>
      </c>
      <c r="BS218" s="128">
        <f>IFERROR(SUM($DS218:$DU218),)</f>
        <v/>
      </c>
      <c r="BT218" s="128">
        <f>IFERROR(AI218*$W218,)</f>
        <v/>
      </c>
      <c r="BU218" s="128">
        <f>IFERROR(AJ218*$W218,)</f>
        <v/>
      </c>
      <c r="BV218" s="128">
        <f>IFERROR(AK218*$W218,)</f>
        <v/>
      </c>
      <c r="BW218" s="128">
        <f>IFERROR(AL218*$W218,)</f>
        <v/>
      </c>
      <c r="BX218" s="128">
        <f>IFERROR(AM218*$W218,)</f>
        <v/>
      </c>
      <c r="BY218" s="128">
        <f>IFERROR(AN218*$W218,)</f>
        <v/>
      </c>
      <c r="BZ218" s="128">
        <f>IFERROR(AO218*$W218,)</f>
        <v/>
      </c>
      <c r="CA218" s="128">
        <f>IFERROR(AP218*$W218,)</f>
        <v/>
      </c>
      <c r="CB218" s="128">
        <f>IFERROR(AQ218*$W218,)</f>
        <v/>
      </c>
      <c r="CC218" s="128">
        <f>IFERROR(AR218*$W218,)</f>
        <v/>
      </c>
      <c r="CD218" s="128">
        <f>IFERROR(AS218*$W218,)</f>
        <v/>
      </c>
      <c r="CE218" s="128">
        <f>IFERROR(AT218*$W218,)</f>
        <v/>
      </c>
      <c r="CF218" s="128">
        <f>IFERROR(AU218*$W218,)</f>
        <v/>
      </c>
      <c r="CG218" s="128">
        <f>IFERROR(AV218*$W218,)</f>
        <v/>
      </c>
      <c r="CH218" s="128">
        <f>IFERROR(AW218*$W218,)</f>
        <v/>
      </c>
      <c r="CI218" s="128">
        <f>IFERROR(AX218*$W218,)</f>
        <v/>
      </c>
      <c r="CJ218" s="128">
        <f>IFERROR(AY218*$W218,)</f>
        <v/>
      </c>
      <c r="CK218" s="128">
        <f>IFERROR(AZ218*$W218,)</f>
        <v/>
      </c>
      <c r="CL218" s="129">
        <f>IFERROR(if($Y218=0,BA218*($W218/1.2),BA218*$Y218),"")</f>
        <v/>
      </c>
      <c r="CM218" s="129">
        <f>IFERROR(if($Y218=0,BB218*($W218/1.2),BB218*$Y218),"")</f>
        <v/>
      </c>
      <c r="CN218" s="129">
        <f>IFERROR(if($Y218=0,BC218*($W218/1.2),BC218*$Y218),"")</f>
        <v/>
      </c>
      <c r="CO218" s="130">
        <f>IFERROR(if($AA218=0,($W218/1.35)*BD218,BD218*$AA218),)</f>
        <v/>
      </c>
      <c r="CP218" s="130">
        <f>IFERROR(if($AA218=0,($W218/1.35)*BE218,BE218*$AA218),)</f>
        <v/>
      </c>
      <c r="CQ218" s="130">
        <f>IFERROR(if($AA218=0,($W218/1.35)*BF218,BF218*$AA218),)</f>
        <v/>
      </c>
      <c r="CR218" s="128">
        <f>IFERROR(if($AC218=0,($W218/0.74)*BG218,
BG218*$AC218),)</f>
        <v/>
      </c>
      <c r="CS218" s="128">
        <f>IFERROR(if($AC218=0,($W218/0.74)*BH218,
BH218*$AC218),)</f>
        <v/>
      </c>
      <c r="CT218" s="128">
        <f>IFERROR(if($AC218=0,($W218/0.74)*BI218,
BI218*$AC218),)</f>
        <v/>
      </c>
      <c r="CU218" s="128">
        <f>IFERROR(AI218*$V218,)</f>
        <v/>
      </c>
      <c r="CV218" s="128">
        <f>IFERROR(AJ218*$V218,)</f>
        <v/>
      </c>
      <c r="CW218" s="128">
        <f>IFERROR(AK218*$V218,)</f>
        <v/>
      </c>
      <c r="CX218" s="128">
        <f>IFERROR(AL218*$V218,)</f>
        <v/>
      </c>
      <c r="CY218" s="128">
        <f>IFERROR(AM218*$V218,)</f>
        <v/>
      </c>
      <c r="CZ218" s="128">
        <f>IFERROR(AN218*$V218,)</f>
        <v/>
      </c>
      <c r="DA218" s="128">
        <f>IFERROR(AO218*$V218,)</f>
        <v/>
      </c>
      <c r="DB218" s="128">
        <f>IFERROR(AP218*$V218,)</f>
        <v/>
      </c>
      <c r="DC218" s="128">
        <f>IFERROR(AQ218*$V218,)</f>
        <v/>
      </c>
      <c r="DD218" s="128">
        <f>IFERROR(AR218*$V218,)</f>
        <v/>
      </c>
      <c r="DE218" s="128">
        <f>IFERROR(AS218*$V218,)</f>
        <v/>
      </c>
      <c r="DF218" s="128">
        <f>IFERROR(AT218*$V218,)</f>
        <v/>
      </c>
      <c r="DG218" s="128">
        <f>IFERROR(AU218*$V218,)</f>
        <v/>
      </c>
      <c r="DH218" s="128">
        <f>IFERROR(AV218*$V218,)</f>
        <v/>
      </c>
      <c r="DI218" s="128">
        <f>IFERROR(AW218*$V218,)</f>
        <v/>
      </c>
      <c r="DJ218" s="128">
        <f>IFERROR(AX218*$V218,)</f>
        <v/>
      </c>
      <c r="DK218" s="128">
        <f>IFERROR(AY218*$V218,)</f>
        <v/>
      </c>
      <c r="DL218" s="128">
        <f>IFERROR(AZ218*$V218,)</f>
        <v/>
      </c>
      <c r="DM218" s="129">
        <f>IFERROR(if($X218=0,($V218/1.2)*BA218,
BA218*$X218),)</f>
        <v/>
      </c>
      <c r="DN218" s="129">
        <f>IFERROR(if($X218=0,($V218/1.2)*BB218,
BB218*$X218),)</f>
        <v/>
      </c>
      <c r="DO218" s="129">
        <f>IFERROR(if($X218=0,($V218/1.2)*BC218,
BC218*$X218),)</f>
        <v/>
      </c>
      <c r="DP218" s="130">
        <f>IFERROR(if($Z218=0,($V218/1.35)*BD218,
BD218*$Z218),)</f>
        <v/>
      </c>
      <c r="DQ218" s="130">
        <f>IFERROR(if($Z218=0,($V218/1.35)*BE218,
BE218*$Z218),)</f>
        <v/>
      </c>
      <c r="DR218" s="130">
        <f>IFERROR(if($Z218=0,($V218/1.35)*BF218,
BF218*$Z218),)</f>
        <v/>
      </c>
      <c r="DS218" s="128">
        <f>IFERROR(IF($AB218=0,($V218/0.74)*BG218,
BG218*$AB218),)</f>
        <v/>
      </c>
      <c r="DT218" s="128">
        <f>IFERROR(IF($AB218=0,($V218/0.74)*BH218,
BH218*$AB218),)</f>
        <v/>
      </c>
      <c r="DU218" s="128">
        <f>IFERROR(IF($AB218=0,($V218/0.74)*BI218,
BI218*$AB218),)</f>
        <v/>
      </c>
    </row>
    <row r="219" ht="131.25" customHeight="1" s="162">
      <c r="A219" s="115" t="n"/>
      <c r="B219" s="115" t="n"/>
      <c r="C219" s="115" t="n"/>
      <c r="D219" s="115" t="n"/>
      <c r="E219" s="115" t="n"/>
      <c r="F219" s="115" t="n"/>
      <c r="G219" s="115" t="n"/>
      <c r="H219" s="115" t="n"/>
      <c r="I219" s="115" t="n"/>
      <c r="J219" s="115" t="n"/>
      <c r="K219" s="115" t="n"/>
      <c r="L219" s="115" t="n"/>
      <c r="M219" s="115" t="n"/>
      <c r="N219" s="115" t="n"/>
      <c r="O219" s="115" t="n"/>
      <c r="P219" s="115" t="n"/>
      <c r="Q219" s="115" t="n"/>
      <c r="R219" s="115" t="n"/>
      <c r="S219" s="115" t="n"/>
      <c r="T219" s="115" t="n"/>
      <c r="U219" s="116" t="n"/>
      <c r="V219" s="116" t="n"/>
      <c r="W219" s="117" t="n"/>
      <c r="X219" s="118" t="n"/>
      <c r="Y219" s="119" t="n"/>
      <c r="Z219" s="120" t="n"/>
      <c r="AA219" s="121" t="n"/>
      <c r="AB219" s="122" t="n"/>
      <c r="AC219" s="117" t="n"/>
      <c r="AD219" s="123">
        <f>IF(SUM($AE219:$AH219)=0,"",SUM($AE219:$AH219))</f>
        <v/>
      </c>
      <c r="AE219" s="123">
        <f>iferror(IF(SUM($AI219:$AZ219)=0,"",SUM($AI219:$AZ219)),"")</f>
        <v/>
      </c>
      <c r="AF219" s="123">
        <f>iferror(IF(SUM($BA219:$BC219)=0,"",SUM($BA219:$BC219)),"")</f>
        <v/>
      </c>
      <c r="AG219" s="123">
        <f>iferror(IF(SUM($BD219:$BF219)=0,"",SUM($BD219:$BF219)),"")</f>
        <v/>
      </c>
      <c r="AH219" s="124">
        <f>iferror(IF(SUM($BG219:$BI219)=0,"",SUM($BG219:$BI219)),"")</f>
        <v/>
      </c>
      <c r="AI219" s="131" t="n"/>
      <c r="AJ219" s="132" t="n"/>
      <c r="AK219" s="132" t="n"/>
      <c r="AL219" s="132" t="n"/>
      <c r="AM219" s="132" t="n"/>
      <c r="AN219" s="132" t="n"/>
      <c r="AO219" s="132" t="n"/>
      <c r="AP219" s="132" t="n"/>
      <c r="AQ219" s="132" t="n"/>
      <c r="AR219" s="132" t="n"/>
      <c r="AS219" s="132" t="n"/>
      <c r="AT219" s="132" t="n"/>
      <c r="AU219" s="132" t="n"/>
      <c r="AV219" s="132" t="n"/>
      <c r="AW219" s="132" t="n"/>
      <c r="AX219" s="132" t="n"/>
      <c r="AY219" s="132" t="n"/>
      <c r="AZ219" s="133" t="n"/>
      <c r="BA219" s="131" t="n"/>
      <c r="BB219" s="132" t="n"/>
      <c r="BC219" s="133" t="n"/>
      <c r="BD219" s="131" t="n"/>
      <c r="BE219" s="132" t="n"/>
      <c r="BF219" s="133" t="n"/>
      <c r="BG219" s="131" t="n"/>
      <c r="BH219" s="132" t="n"/>
      <c r="BI219" s="132" t="n"/>
      <c r="BJ219" s="128">
        <f>iferror(SUM($BK219,($BL219*1.2),($BM219*1.35),($BN219*0.74)),)</f>
        <v/>
      </c>
      <c r="BK219" s="128">
        <f>IFERROR(SUM($BT219:$CK219),)</f>
        <v/>
      </c>
      <c r="BL219" s="129">
        <f>IFERROR(SUM($CL219:$CN219),)</f>
        <v/>
      </c>
      <c r="BM219" s="130">
        <f>IFERROR(SUM($CO219:$CQ219),)</f>
        <v/>
      </c>
      <c r="BN219" s="128">
        <f>IFERROR(SUM($CR219:$CT219),)</f>
        <v/>
      </c>
      <c r="BO219" s="128">
        <f>iferror(SUM($BP219,($BQ219*1.2),($BR219*1.35),($BS219*0.74)),)</f>
        <v/>
      </c>
      <c r="BP219" s="128">
        <f>IFERROR(SUM($CU219:$DL219),)</f>
        <v/>
      </c>
      <c r="BQ219" s="128">
        <f>IFERROR(SUM($DM219:$DO219),)</f>
        <v/>
      </c>
      <c r="BR219" s="128">
        <f>IFERROR(SUM($DP219:$DR219),)</f>
        <v/>
      </c>
      <c r="BS219" s="128">
        <f>IFERROR(SUM($DS219:$DU219),)</f>
        <v/>
      </c>
      <c r="BT219" s="128">
        <f>IFERROR(AI219*$W219,)</f>
        <v/>
      </c>
      <c r="BU219" s="128">
        <f>IFERROR(AJ219*$W219,)</f>
        <v/>
      </c>
      <c r="BV219" s="128">
        <f>IFERROR(AK219*$W219,)</f>
        <v/>
      </c>
      <c r="BW219" s="128">
        <f>IFERROR(AL219*$W219,)</f>
        <v/>
      </c>
      <c r="BX219" s="128">
        <f>IFERROR(AM219*$W219,)</f>
        <v/>
      </c>
      <c r="BY219" s="128">
        <f>IFERROR(AN219*$W219,)</f>
        <v/>
      </c>
      <c r="BZ219" s="128">
        <f>IFERROR(AO219*$W219,)</f>
        <v/>
      </c>
      <c r="CA219" s="128">
        <f>IFERROR(AP219*$W219,)</f>
        <v/>
      </c>
      <c r="CB219" s="128">
        <f>IFERROR(AQ219*$W219,)</f>
        <v/>
      </c>
      <c r="CC219" s="128">
        <f>IFERROR(AR219*$W219,)</f>
        <v/>
      </c>
      <c r="CD219" s="128">
        <f>IFERROR(AS219*$W219,)</f>
        <v/>
      </c>
      <c r="CE219" s="128">
        <f>IFERROR(AT219*$W219,)</f>
        <v/>
      </c>
      <c r="CF219" s="128">
        <f>IFERROR(AU219*$W219,)</f>
        <v/>
      </c>
      <c r="CG219" s="128">
        <f>IFERROR(AV219*$W219,)</f>
        <v/>
      </c>
      <c r="CH219" s="128">
        <f>IFERROR(AW219*$W219,)</f>
        <v/>
      </c>
      <c r="CI219" s="128">
        <f>IFERROR(AX219*$W219,)</f>
        <v/>
      </c>
      <c r="CJ219" s="128">
        <f>IFERROR(AY219*$W219,)</f>
        <v/>
      </c>
      <c r="CK219" s="128">
        <f>IFERROR(AZ219*$W219,)</f>
        <v/>
      </c>
      <c r="CL219" s="129">
        <f>IFERROR(if($Y219=0,BA219*($W219/1.2),BA219*$Y219),"")</f>
        <v/>
      </c>
      <c r="CM219" s="129">
        <f>IFERROR(if($Y219=0,BB219*($W219/1.2),BB219*$Y219),"")</f>
        <v/>
      </c>
      <c r="CN219" s="129">
        <f>IFERROR(if($Y219=0,BC219*($W219/1.2),BC219*$Y219),"")</f>
        <v/>
      </c>
      <c r="CO219" s="130">
        <f>IFERROR(if($AA219=0,($W219/1.35)*BD219,BD219*$AA219),)</f>
        <v/>
      </c>
      <c r="CP219" s="130">
        <f>IFERROR(if($AA219=0,($W219/1.35)*BE219,BE219*$AA219),)</f>
        <v/>
      </c>
      <c r="CQ219" s="130">
        <f>IFERROR(if($AA219=0,($W219/1.35)*BF219,BF219*$AA219),)</f>
        <v/>
      </c>
      <c r="CR219" s="128">
        <f>IFERROR(if($AC219=0,($W219/0.74)*BG219,
BG219*$AC219),)</f>
        <v/>
      </c>
      <c r="CS219" s="128">
        <f>IFERROR(if($AC219=0,($W219/0.74)*BH219,
BH219*$AC219),)</f>
        <v/>
      </c>
      <c r="CT219" s="128">
        <f>IFERROR(if($AC219=0,($W219/0.74)*BI219,
BI219*$AC219),)</f>
        <v/>
      </c>
      <c r="CU219" s="128">
        <f>IFERROR(AI219*$V219,)</f>
        <v/>
      </c>
      <c r="CV219" s="128">
        <f>IFERROR(AJ219*$V219,)</f>
        <v/>
      </c>
      <c r="CW219" s="128">
        <f>IFERROR(AK219*$V219,)</f>
        <v/>
      </c>
      <c r="CX219" s="128">
        <f>IFERROR(AL219*$V219,)</f>
        <v/>
      </c>
      <c r="CY219" s="128">
        <f>IFERROR(AM219*$V219,)</f>
        <v/>
      </c>
      <c r="CZ219" s="128">
        <f>IFERROR(AN219*$V219,)</f>
        <v/>
      </c>
      <c r="DA219" s="128">
        <f>IFERROR(AO219*$V219,)</f>
        <v/>
      </c>
      <c r="DB219" s="128">
        <f>IFERROR(AP219*$V219,)</f>
        <v/>
      </c>
      <c r="DC219" s="128">
        <f>IFERROR(AQ219*$V219,)</f>
        <v/>
      </c>
      <c r="DD219" s="128">
        <f>IFERROR(AR219*$V219,)</f>
        <v/>
      </c>
      <c r="DE219" s="128">
        <f>IFERROR(AS219*$V219,)</f>
        <v/>
      </c>
      <c r="DF219" s="128">
        <f>IFERROR(AT219*$V219,)</f>
        <v/>
      </c>
      <c r="DG219" s="128">
        <f>IFERROR(AU219*$V219,)</f>
        <v/>
      </c>
      <c r="DH219" s="128">
        <f>IFERROR(AV219*$V219,)</f>
        <v/>
      </c>
      <c r="DI219" s="128">
        <f>IFERROR(AW219*$V219,)</f>
        <v/>
      </c>
      <c r="DJ219" s="128">
        <f>IFERROR(AX219*$V219,)</f>
        <v/>
      </c>
      <c r="DK219" s="128">
        <f>IFERROR(AY219*$V219,)</f>
        <v/>
      </c>
      <c r="DL219" s="128">
        <f>IFERROR(AZ219*$V219,)</f>
        <v/>
      </c>
      <c r="DM219" s="129">
        <f>IFERROR(if($X219=0,($V219/1.2)*BA219,
BA219*$X219),)</f>
        <v/>
      </c>
      <c r="DN219" s="129">
        <f>IFERROR(if($X219=0,($V219/1.2)*BB219,
BB219*$X219),)</f>
        <v/>
      </c>
      <c r="DO219" s="129">
        <f>IFERROR(if($X219=0,($V219/1.2)*BC219,
BC219*$X219),)</f>
        <v/>
      </c>
      <c r="DP219" s="130">
        <f>IFERROR(if($Z219=0,($V219/1.35)*BD219,
BD219*$Z219),)</f>
        <v/>
      </c>
      <c r="DQ219" s="130">
        <f>IFERROR(if($Z219=0,($V219/1.35)*BE219,
BE219*$Z219),)</f>
        <v/>
      </c>
      <c r="DR219" s="130">
        <f>IFERROR(if($Z219=0,($V219/1.35)*BF219,
BF219*$Z219),)</f>
        <v/>
      </c>
      <c r="DS219" s="128">
        <f>IFERROR(IF($AB219=0,($V219/0.74)*BG219,
BG219*$AB219),)</f>
        <v/>
      </c>
      <c r="DT219" s="128">
        <f>IFERROR(IF($AB219=0,($V219/0.74)*BH219,
BH219*$AB219),)</f>
        <v/>
      </c>
      <c r="DU219" s="128">
        <f>IFERROR(IF($AB219=0,($V219/0.74)*BI219,
BI219*$AB219),)</f>
        <v/>
      </c>
    </row>
    <row r="220" ht="131.25" customHeight="1" s="162">
      <c r="A220" s="115" t="n"/>
      <c r="B220" s="115" t="n"/>
      <c r="C220" s="115" t="n"/>
      <c r="D220" s="115" t="n"/>
      <c r="E220" s="115" t="n"/>
      <c r="F220" s="115" t="n"/>
      <c r="G220" s="115" t="n"/>
      <c r="H220" s="115" t="n"/>
      <c r="I220" s="115" t="n"/>
      <c r="J220" s="115" t="n"/>
      <c r="K220" s="115" t="n"/>
      <c r="L220" s="115" t="n"/>
      <c r="M220" s="115" t="n"/>
      <c r="N220" s="115" t="n"/>
      <c r="O220" s="115" t="n"/>
      <c r="P220" s="115" t="n"/>
      <c r="Q220" s="115" t="n"/>
      <c r="R220" s="115" t="n"/>
      <c r="S220" s="115" t="n"/>
      <c r="T220" s="115" t="n"/>
      <c r="U220" s="116" t="n"/>
      <c r="V220" s="116" t="n"/>
      <c r="W220" s="117" t="n"/>
      <c r="X220" s="118" t="n"/>
      <c r="Y220" s="119" t="n"/>
      <c r="Z220" s="120" t="n"/>
      <c r="AA220" s="121" t="n"/>
      <c r="AB220" s="122" t="n"/>
      <c r="AC220" s="117" t="n"/>
      <c r="AD220" s="123">
        <f>IF(SUM($AE220:$AH220)=0,"",SUM($AE220:$AH220))</f>
        <v/>
      </c>
      <c r="AE220" s="123">
        <f>iferror(IF(SUM($AI220:$AZ220)=0,"",SUM($AI220:$AZ220)),"")</f>
        <v/>
      </c>
      <c r="AF220" s="123">
        <f>iferror(IF(SUM($BA220:$BC220)=0,"",SUM($BA220:$BC220)),"")</f>
        <v/>
      </c>
      <c r="AG220" s="123">
        <f>iferror(IF(SUM($BD220:$BF220)=0,"",SUM($BD220:$BF220)),"")</f>
        <v/>
      </c>
      <c r="AH220" s="124">
        <f>iferror(IF(SUM($BG220:$BI220)=0,"",SUM($BG220:$BI220)),"")</f>
        <v/>
      </c>
      <c r="AI220" s="131" t="n"/>
      <c r="AJ220" s="132" t="n"/>
      <c r="AK220" s="132" t="n"/>
      <c r="AL220" s="132" t="n"/>
      <c r="AM220" s="132" t="n"/>
      <c r="AN220" s="132" t="n"/>
      <c r="AO220" s="132" t="n"/>
      <c r="AP220" s="132" t="n"/>
      <c r="AQ220" s="132" t="n"/>
      <c r="AR220" s="132" t="n"/>
      <c r="AS220" s="132" t="n"/>
      <c r="AT220" s="132" t="n"/>
      <c r="AU220" s="132" t="n"/>
      <c r="AV220" s="132" t="n"/>
      <c r="AW220" s="132" t="n"/>
      <c r="AX220" s="132" t="n"/>
      <c r="AY220" s="132" t="n"/>
      <c r="AZ220" s="133" t="n"/>
      <c r="BA220" s="131" t="n"/>
      <c r="BB220" s="132" t="n"/>
      <c r="BC220" s="133" t="n"/>
      <c r="BD220" s="131" t="n"/>
      <c r="BE220" s="132" t="n"/>
      <c r="BF220" s="133" t="n"/>
      <c r="BG220" s="131" t="n"/>
      <c r="BH220" s="132" t="n"/>
      <c r="BI220" s="132" t="n"/>
      <c r="BJ220" s="128">
        <f>iferror(SUM($BK220,($BL220*1.2),($BM220*1.35),($BN220*0.74)),)</f>
        <v/>
      </c>
      <c r="BK220" s="128">
        <f>IFERROR(SUM($BT220:$CK220),)</f>
        <v/>
      </c>
      <c r="BL220" s="129">
        <f>IFERROR(SUM($CL220:$CN220),)</f>
        <v/>
      </c>
      <c r="BM220" s="130">
        <f>IFERROR(SUM($CO220:$CQ220),)</f>
        <v/>
      </c>
      <c r="BN220" s="128">
        <f>IFERROR(SUM($CR220:$CT220),)</f>
        <v/>
      </c>
      <c r="BO220" s="128">
        <f>iferror(SUM($BP220,($BQ220*1.2),($BR220*1.35),($BS220*0.74)),)</f>
        <v/>
      </c>
      <c r="BP220" s="128">
        <f>IFERROR(SUM($CU220:$DL220),)</f>
        <v/>
      </c>
      <c r="BQ220" s="128">
        <f>IFERROR(SUM($DM220:$DO220),)</f>
        <v/>
      </c>
      <c r="BR220" s="128">
        <f>IFERROR(SUM($DP220:$DR220),)</f>
        <v/>
      </c>
      <c r="BS220" s="128">
        <f>IFERROR(SUM($DS220:$DU220),)</f>
        <v/>
      </c>
      <c r="BT220" s="128">
        <f>IFERROR(AI220*$W220,)</f>
        <v/>
      </c>
      <c r="BU220" s="128">
        <f>IFERROR(AJ220*$W220,)</f>
        <v/>
      </c>
      <c r="BV220" s="128">
        <f>IFERROR(AK220*$W220,)</f>
        <v/>
      </c>
      <c r="BW220" s="128">
        <f>IFERROR(AL220*$W220,)</f>
        <v/>
      </c>
      <c r="BX220" s="128">
        <f>IFERROR(AM220*$W220,)</f>
        <v/>
      </c>
      <c r="BY220" s="128">
        <f>IFERROR(AN220*$W220,)</f>
        <v/>
      </c>
      <c r="BZ220" s="128">
        <f>IFERROR(AO220*$W220,)</f>
        <v/>
      </c>
      <c r="CA220" s="128">
        <f>IFERROR(AP220*$W220,)</f>
        <v/>
      </c>
      <c r="CB220" s="128">
        <f>IFERROR(AQ220*$W220,)</f>
        <v/>
      </c>
      <c r="CC220" s="128">
        <f>IFERROR(AR220*$W220,)</f>
        <v/>
      </c>
      <c r="CD220" s="128">
        <f>IFERROR(AS220*$W220,)</f>
        <v/>
      </c>
      <c r="CE220" s="128">
        <f>IFERROR(AT220*$W220,)</f>
        <v/>
      </c>
      <c r="CF220" s="128">
        <f>IFERROR(AU220*$W220,)</f>
        <v/>
      </c>
      <c r="CG220" s="128">
        <f>IFERROR(AV220*$W220,)</f>
        <v/>
      </c>
      <c r="CH220" s="128">
        <f>IFERROR(AW220*$W220,)</f>
        <v/>
      </c>
      <c r="CI220" s="128">
        <f>IFERROR(AX220*$W220,)</f>
        <v/>
      </c>
      <c r="CJ220" s="128">
        <f>IFERROR(AY220*$W220,)</f>
        <v/>
      </c>
      <c r="CK220" s="128">
        <f>IFERROR(AZ220*$W220,)</f>
        <v/>
      </c>
      <c r="CL220" s="129">
        <f>IFERROR(if($Y220=0,BA220*($W220/1.2),BA220*$Y220),"")</f>
        <v/>
      </c>
      <c r="CM220" s="129">
        <f>IFERROR(if($Y220=0,BB220*($W220/1.2),BB220*$Y220),"")</f>
        <v/>
      </c>
      <c r="CN220" s="129">
        <f>IFERROR(if($Y220=0,BC220*($W220/1.2),BC220*$Y220),"")</f>
        <v/>
      </c>
      <c r="CO220" s="130">
        <f>IFERROR(if($AA220=0,($W220/1.35)*BD220,BD220*$AA220),)</f>
        <v/>
      </c>
      <c r="CP220" s="130">
        <f>IFERROR(if($AA220=0,($W220/1.35)*BE220,BE220*$AA220),)</f>
        <v/>
      </c>
      <c r="CQ220" s="130">
        <f>IFERROR(if($AA220=0,($W220/1.35)*BF220,BF220*$AA220),)</f>
        <v/>
      </c>
      <c r="CR220" s="128">
        <f>IFERROR(if($AC220=0,($W220/0.74)*BG220,
BG220*$AC220),)</f>
        <v/>
      </c>
      <c r="CS220" s="128">
        <f>IFERROR(if($AC220=0,($W220/0.74)*BH220,
BH220*$AC220),)</f>
        <v/>
      </c>
      <c r="CT220" s="128">
        <f>IFERROR(if($AC220=0,($W220/0.74)*BI220,
BI220*$AC220),)</f>
        <v/>
      </c>
      <c r="CU220" s="128">
        <f>IFERROR(AI220*$V220,)</f>
        <v/>
      </c>
      <c r="CV220" s="128">
        <f>IFERROR(AJ220*$V220,)</f>
        <v/>
      </c>
      <c r="CW220" s="128">
        <f>IFERROR(AK220*$V220,)</f>
        <v/>
      </c>
      <c r="CX220" s="128">
        <f>IFERROR(AL220*$V220,)</f>
        <v/>
      </c>
      <c r="CY220" s="128">
        <f>IFERROR(AM220*$V220,)</f>
        <v/>
      </c>
      <c r="CZ220" s="128">
        <f>IFERROR(AN220*$V220,)</f>
        <v/>
      </c>
      <c r="DA220" s="128">
        <f>IFERROR(AO220*$V220,)</f>
        <v/>
      </c>
      <c r="DB220" s="128">
        <f>IFERROR(AP220*$V220,)</f>
        <v/>
      </c>
      <c r="DC220" s="128">
        <f>IFERROR(AQ220*$V220,)</f>
        <v/>
      </c>
      <c r="DD220" s="128">
        <f>IFERROR(AR220*$V220,)</f>
        <v/>
      </c>
      <c r="DE220" s="128">
        <f>IFERROR(AS220*$V220,)</f>
        <v/>
      </c>
      <c r="DF220" s="128">
        <f>IFERROR(AT220*$V220,)</f>
        <v/>
      </c>
      <c r="DG220" s="128">
        <f>IFERROR(AU220*$V220,)</f>
        <v/>
      </c>
      <c r="DH220" s="128">
        <f>IFERROR(AV220*$V220,)</f>
        <v/>
      </c>
      <c r="DI220" s="128">
        <f>IFERROR(AW220*$V220,)</f>
        <v/>
      </c>
      <c r="DJ220" s="128">
        <f>IFERROR(AX220*$V220,)</f>
        <v/>
      </c>
      <c r="DK220" s="128">
        <f>IFERROR(AY220*$V220,)</f>
        <v/>
      </c>
      <c r="DL220" s="128">
        <f>IFERROR(AZ220*$V220,)</f>
        <v/>
      </c>
      <c r="DM220" s="129">
        <f>IFERROR(if($X220=0,($V220/1.2)*BA220,
BA220*$X220),)</f>
        <v/>
      </c>
      <c r="DN220" s="129">
        <f>IFERROR(if($X220=0,($V220/1.2)*BB220,
BB220*$X220),)</f>
        <v/>
      </c>
      <c r="DO220" s="129">
        <f>IFERROR(if($X220=0,($V220/1.2)*BC220,
BC220*$X220),)</f>
        <v/>
      </c>
      <c r="DP220" s="130">
        <f>IFERROR(if($Z220=0,($V220/1.35)*BD220,
BD220*$Z220),)</f>
        <v/>
      </c>
      <c r="DQ220" s="130">
        <f>IFERROR(if($Z220=0,($V220/1.35)*BE220,
BE220*$Z220),)</f>
        <v/>
      </c>
      <c r="DR220" s="130">
        <f>IFERROR(if($Z220=0,($V220/1.35)*BF220,
BF220*$Z220),)</f>
        <v/>
      </c>
      <c r="DS220" s="128">
        <f>IFERROR(IF($AB220=0,($V220/0.74)*BG220,
BG220*$AB220),)</f>
        <v/>
      </c>
      <c r="DT220" s="128">
        <f>IFERROR(IF($AB220=0,($V220/0.74)*BH220,
BH220*$AB220),)</f>
        <v/>
      </c>
      <c r="DU220" s="128">
        <f>IFERROR(IF($AB220=0,($V220/0.74)*BI220,
BI220*$AB220),)</f>
        <v/>
      </c>
    </row>
    <row r="221" ht="131.25" customHeight="1" s="162">
      <c r="A221" s="115" t="n"/>
      <c r="B221" s="115" t="n"/>
      <c r="C221" s="115" t="n"/>
      <c r="D221" s="115" t="n"/>
      <c r="E221" s="115" t="n"/>
      <c r="F221" s="115" t="n"/>
      <c r="G221" s="115" t="n"/>
      <c r="H221" s="115" t="n"/>
      <c r="I221" s="115" t="n"/>
      <c r="J221" s="115" t="n"/>
      <c r="K221" s="115" t="n"/>
      <c r="L221" s="115" t="n"/>
      <c r="M221" s="115" t="n"/>
      <c r="N221" s="115" t="n"/>
      <c r="O221" s="115" t="n"/>
      <c r="P221" s="115" t="n"/>
      <c r="Q221" s="115" t="n"/>
      <c r="R221" s="115" t="n"/>
      <c r="S221" s="115" t="n"/>
      <c r="T221" s="115" t="n"/>
      <c r="U221" s="116" t="n"/>
      <c r="V221" s="116" t="n"/>
      <c r="W221" s="117" t="n"/>
      <c r="X221" s="118" t="n"/>
      <c r="Y221" s="119" t="n"/>
      <c r="Z221" s="120" t="n"/>
      <c r="AA221" s="121" t="n"/>
      <c r="AB221" s="122" t="n"/>
      <c r="AC221" s="117" t="n"/>
      <c r="AD221" s="123">
        <f>IF(SUM($AE221:$AH221)=0,"",SUM($AE221:$AH221))</f>
        <v/>
      </c>
      <c r="AE221" s="123">
        <f>iferror(IF(SUM($AI221:$AZ221)=0,"",SUM($AI221:$AZ221)),"")</f>
        <v/>
      </c>
      <c r="AF221" s="123">
        <f>iferror(IF(SUM($BA221:$BC221)=0,"",SUM($BA221:$BC221)),"")</f>
        <v/>
      </c>
      <c r="AG221" s="123">
        <f>iferror(IF(SUM($BD221:$BF221)=0,"",SUM($BD221:$BF221)),"")</f>
        <v/>
      </c>
      <c r="AH221" s="124">
        <f>iferror(IF(SUM($BG221:$BI221)=0,"",SUM($BG221:$BI221)),"")</f>
        <v/>
      </c>
      <c r="AI221" s="131" t="n"/>
      <c r="AJ221" s="132" t="n"/>
      <c r="AK221" s="132" t="n"/>
      <c r="AL221" s="132" t="n"/>
      <c r="AM221" s="132" t="n"/>
      <c r="AN221" s="132" t="n"/>
      <c r="AO221" s="132" t="n"/>
      <c r="AP221" s="132" t="n"/>
      <c r="AQ221" s="132" t="n"/>
      <c r="AR221" s="132" t="n"/>
      <c r="AS221" s="132" t="n"/>
      <c r="AT221" s="132" t="n"/>
      <c r="AU221" s="132" t="n"/>
      <c r="AV221" s="132" t="n"/>
      <c r="AW221" s="132" t="n"/>
      <c r="AX221" s="132" t="n"/>
      <c r="AY221" s="132" t="n"/>
      <c r="AZ221" s="133" t="n"/>
      <c r="BA221" s="131" t="n"/>
      <c r="BB221" s="132" t="n"/>
      <c r="BC221" s="133" t="n"/>
      <c r="BD221" s="131" t="n"/>
      <c r="BE221" s="132" t="n"/>
      <c r="BF221" s="133" t="n"/>
      <c r="BG221" s="131" t="n"/>
      <c r="BH221" s="132" t="n"/>
      <c r="BI221" s="132" t="n"/>
      <c r="BJ221" s="128">
        <f>iferror(SUM($BK221,($BL221*1.2),($BM221*1.35),($BN221*0.74)),)</f>
        <v/>
      </c>
      <c r="BK221" s="128">
        <f>IFERROR(SUM($BT221:$CK221),)</f>
        <v/>
      </c>
      <c r="BL221" s="129">
        <f>IFERROR(SUM($CL221:$CN221),)</f>
        <v/>
      </c>
      <c r="BM221" s="130">
        <f>IFERROR(SUM($CO221:$CQ221),)</f>
        <v/>
      </c>
      <c r="BN221" s="128">
        <f>IFERROR(SUM($CR221:$CT221),)</f>
        <v/>
      </c>
      <c r="BO221" s="128">
        <f>iferror(SUM($BP221,($BQ221*1.2),($BR221*1.35),($BS221*0.74)),)</f>
        <v/>
      </c>
      <c r="BP221" s="128">
        <f>IFERROR(SUM($CU221:$DL221),)</f>
        <v/>
      </c>
      <c r="BQ221" s="128">
        <f>IFERROR(SUM($DM221:$DO221),)</f>
        <v/>
      </c>
      <c r="BR221" s="128">
        <f>IFERROR(SUM($DP221:$DR221),)</f>
        <v/>
      </c>
      <c r="BS221" s="128">
        <f>IFERROR(SUM($DS221:$DU221),)</f>
        <v/>
      </c>
      <c r="BT221" s="128">
        <f>IFERROR(AI221*$W221,)</f>
        <v/>
      </c>
      <c r="BU221" s="128">
        <f>IFERROR(AJ221*$W221,)</f>
        <v/>
      </c>
      <c r="BV221" s="128">
        <f>IFERROR(AK221*$W221,)</f>
        <v/>
      </c>
      <c r="BW221" s="128">
        <f>IFERROR(AL221*$W221,)</f>
        <v/>
      </c>
      <c r="BX221" s="128">
        <f>IFERROR(AM221*$W221,)</f>
        <v/>
      </c>
      <c r="BY221" s="128">
        <f>IFERROR(AN221*$W221,)</f>
        <v/>
      </c>
      <c r="BZ221" s="128">
        <f>IFERROR(AO221*$W221,)</f>
        <v/>
      </c>
      <c r="CA221" s="128">
        <f>IFERROR(AP221*$W221,)</f>
        <v/>
      </c>
      <c r="CB221" s="128">
        <f>IFERROR(AQ221*$W221,)</f>
        <v/>
      </c>
      <c r="CC221" s="128">
        <f>IFERROR(AR221*$W221,)</f>
        <v/>
      </c>
      <c r="CD221" s="128">
        <f>IFERROR(AS221*$W221,)</f>
        <v/>
      </c>
      <c r="CE221" s="128">
        <f>IFERROR(AT221*$W221,)</f>
        <v/>
      </c>
      <c r="CF221" s="128">
        <f>IFERROR(AU221*$W221,)</f>
        <v/>
      </c>
      <c r="CG221" s="128">
        <f>IFERROR(AV221*$W221,)</f>
        <v/>
      </c>
      <c r="CH221" s="128">
        <f>IFERROR(AW221*$W221,)</f>
        <v/>
      </c>
      <c r="CI221" s="128">
        <f>IFERROR(AX221*$W221,)</f>
        <v/>
      </c>
      <c r="CJ221" s="128">
        <f>IFERROR(AY221*$W221,)</f>
        <v/>
      </c>
      <c r="CK221" s="128">
        <f>IFERROR(AZ221*$W221,)</f>
        <v/>
      </c>
      <c r="CL221" s="129">
        <f>IFERROR(if($Y221=0,BA221*($W221/1.2),BA221*$Y221),"")</f>
        <v/>
      </c>
      <c r="CM221" s="129">
        <f>IFERROR(if($Y221=0,BB221*($W221/1.2),BB221*$Y221),"")</f>
        <v/>
      </c>
      <c r="CN221" s="129">
        <f>IFERROR(if($Y221=0,BC221*($W221/1.2),BC221*$Y221),"")</f>
        <v/>
      </c>
      <c r="CO221" s="130">
        <f>IFERROR(if($AA221=0,($W221/1.35)*BD221,BD221*$AA221),)</f>
        <v/>
      </c>
      <c r="CP221" s="130">
        <f>IFERROR(if($AA221=0,($W221/1.35)*BE221,BE221*$AA221),)</f>
        <v/>
      </c>
      <c r="CQ221" s="130">
        <f>IFERROR(if($AA221=0,($W221/1.35)*BF221,BF221*$AA221),)</f>
        <v/>
      </c>
      <c r="CR221" s="128">
        <f>IFERROR(if($AC221=0,($W221/0.74)*BG221,
BG221*$AC221),)</f>
        <v/>
      </c>
      <c r="CS221" s="128">
        <f>IFERROR(if($AC221=0,($W221/0.74)*BH221,
BH221*$AC221),)</f>
        <v/>
      </c>
      <c r="CT221" s="128">
        <f>IFERROR(if($AC221=0,($W221/0.74)*BI221,
BI221*$AC221),)</f>
        <v/>
      </c>
      <c r="CU221" s="128">
        <f>IFERROR(AI221*$V221,)</f>
        <v/>
      </c>
      <c r="CV221" s="128">
        <f>IFERROR(AJ221*$V221,)</f>
        <v/>
      </c>
      <c r="CW221" s="128">
        <f>IFERROR(AK221*$V221,)</f>
        <v/>
      </c>
      <c r="CX221" s="128">
        <f>IFERROR(AL221*$V221,)</f>
        <v/>
      </c>
      <c r="CY221" s="128">
        <f>IFERROR(AM221*$V221,)</f>
        <v/>
      </c>
      <c r="CZ221" s="128">
        <f>IFERROR(AN221*$V221,)</f>
        <v/>
      </c>
      <c r="DA221" s="128">
        <f>IFERROR(AO221*$V221,)</f>
        <v/>
      </c>
      <c r="DB221" s="128">
        <f>IFERROR(AP221*$V221,)</f>
        <v/>
      </c>
      <c r="DC221" s="128">
        <f>IFERROR(AQ221*$V221,)</f>
        <v/>
      </c>
      <c r="DD221" s="128">
        <f>IFERROR(AR221*$V221,)</f>
        <v/>
      </c>
      <c r="DE221" s="128">
        <f>IFERROR(AS221*$V221,)</f>
        <v/>
      </c>
      <c r="DF221" s="128">
        <f>IFERROR(AT221*$V221,)</f>
        <v/>
      </c>
      <c r="DG221" s="128">
        <f>IFERROR(AU221*$V221,)</f>
        <v/>
      </c>
      <c r="DH221" s="128">
        <f>IFERROR(AV221*$V221,)</f>
        <v/>
      </c>
      <c r="DI221" s="128">
        <f>IFERROR(AW221*$V221,)</f>
        <v/>
      </c>
      <c r="DJ221" s="128">
        <f>IFERROR(AX221*$V221,)</f>
        <v/>
      </c>
      <c r="DK221" s="128">
        <f>IFERROR(AY221*$V221,)</f>
        <v/>
      </c>
      <c r="DL221" s="128">
        <f>IFERROR(AZ221*$V221,)</f>
        <v/>
      </c>
      <c r="DM221" s="129">
        <f>IFERROR(if($X221=0,($V221/1.2)*BA221,
BA221*$X221),)</f>
        <v/>
      </c>
      <c r="DN221" s="129">
        <f>IFERROR(if($X221=0,($V221/1.2)*BB221,
BB221*$X221),)</f>
        <v/>
      </c>
      <c r="DO221" s="129">
        <f>IFERROR(if($X221=0,($V221/1.2)*BC221,
BC221*$X221),)</f>
        <v/>
      </c>
      <c r="DP221" s="130">
        <f>IFERROR(if($Z221=0,($V221/1.35)*BD221,
BD221*$Z221),)</f>
        <v/>
      </c>
      <c r="DQ221" s="130">
        <f>IFERROR(if($Z221=0,($V221/1.35)*BE221,
BE221*$Z221),)</f>
        <v/>
      </c>
      <c r="DR221" s="130">
        <f>IFERROR(if($Z221=0,($V221/1.35)*BF221,
BF221*$Z221),)</f>
        <v/>
      </c>
      <c r="DS221" s="128">
        <f>IFERROR(IF($AB221=0,($V221/0.74)*BG221,
BG221*$AB221),)</f>
        <v/>
      </c>
      <c r="DT221" s="128">
        <f>IFERROR(IF($AB221=0,($V221/0.74)*BH221,
BH221*$AB221),)</f>
        <v/>
      </c>
      <c r="DU221" s="128">
        <f>IFERROR(IF($AB221=0,($V221/0.74)*BI221,
BI221*$AB221),)</f>
        <v/>
      </c>
    </row>
    <row r="222" ht="131.25" customHeight="1" s="162">
      <c r="A222" s="115" t="n"/>
      <c r="B222" s="115" t="n"/>
      <c r="C222" s="115" t="n"/>
      <c r="D222" s="115" t="n"/>
      <c r="E222" s="115" t="n"/>
      <c r="F222" s="115" t="n"/>
      <c r="G222" s="115" t="n"/>
      <c r="H222" s="115" t="n"/>
      <c r="I222" s="115" t="n"/>
      <c r="J222" s="115" t="n"/>
      <c r="K222" s="115" t="n"/>
      <c r="L222" s="115" t="n"/>
      <c r="M222" s="115" t="n"/>
      <c r="N222" s="115" t="n"/>
      <c r="O222" s="115" t="n"/>
      <c r="P222" s="115" t="n"/>
      <c r="Q222" s="115" t="n"/>
      <c r="R222" s="115" t="n"/>
      <c r="S222" s="115" t="n"/>
      <c r="T222" s="115" t="n"/>
      <c r="U222" s="116" t="n"/>
      <c r="V222" s="116" t="n"/>
      <c r="W222" s="117" t="n"/>
      <c r="X222" s="118" t="n"/>
      <c r="Y222" s="119" t="n"/>
      <c r="Z222" s="120" t="n"/>
      <c r="AA222" s="121" t="n"/>
      <c r="AB222" s="122" t="n"/>
      <c r="AC222" s="117" t="n"/>
      <c r="AD222" s="123">
        <f>IF(SUM($AE222:$AH222)=0,"",SUM($AE222:$AH222))</f>
        <v/>
      </c>
      <c r="AE222" s="123">
        <f>iferror(IF(SUM($AI222:$AZ222)=0,"",SUM($AI222:$AZ222)),"")</f>
        <v/>
      </c>
      <c r="AF222" s="123">
        <f>iferror(IF(SUM($BA222:$BC222)=0,"",SUM($BA222:$BC222)),"")</f>
        <v/>
      </c>
      <c r="AG222" s="123">
        <f>iferror(IF(SUM($BD222:$BF222)=0,"",SUM($BD222:$BF222)),"")</f>
        <v/>
      </c>
      <c r="AH222" s="124">
        <f>iferror(IF(SUM($BG222:$BI222)=0,"",SUM($BG222:$BI222)),"")</f>
        <v/>
      </c>
      <c r="AI222" s="131" t="n"/>
      <c r="AJ222" s="132" t="n"/>
      <c r="AK222" s="132" t="n"/>
      <c r="AL222" s="132" t="n"/>
      <c r="AM222" s="132" t="n"/>
      <c r="AN222" s="132" t="n"/>
      <c r="AO222" s="132" t="n"/>
      <c r="AP222" s="132" t="n"/>
      <c r="AQ222" s="132" t="n"/>
      <c r="AR222" s="132" t="n"/>
      <c r="AS222" s="132" t="n"/>
      <c r="AT222" s="132" t="n"/>
      <c r="AU222" s="132" t="n"/>
      <c r="AV222" s="132" t="n"/>
      <c r="AW222" s="132" t="n"/>
      <c r="AX222" s="132" t="n"/>
      <c r="AY222" s="132" t="n"/>
      <c r="AZ222" s="133" t="n"/>
      <c r="BA222" s="131" t="n"/>
      <c r="BB222" s="132" t="n"/>
      <c r="BC222" s="133" t="n"/>
      <c r="BD222" s="131" t="n"/>
      <c r="BE222" s="132" t="n"/>
      <c r="BF222" s="133" t="n"/>
      <c r="BG222" s="131" t="n"/>
      <c r="BH222" s="132" t="n"/>
      <c r="BI222" s="132" t="n"/>
      <c r="BJ222" s="128">
        <f>iferror(SUM($BK222,($BL222*1.2),($BM222*1.35),($BN222*0.74)),)</f>
        <v/>
      </c>
      <c r="BK222" s="128">
        <f>IFERROR(SUM($BT222:$CK222),)</f>
        <v/>
      </c>
      <c r="BL222" s="129">
        <f>IFERROR(SUM($CL222:$CN222),)</f>
        <v/>
      </c>
      <c r="BM222" s="130">
        <f>IFERROR(SUM($CO222:$CQ222),)</f>
        <v/>
      </c>
      <c r="BN222" s="128">
        <f>IFERROR(SUM($CR222:$CT222),)</f>
        <v/>
      </c>
      <c r="BO222" s="128">
        <f>iferror(SUM($BP222,($BQ222*1.2),($BR222*1.35),($BS222*0.74)),)</f>
        <v/>
      </c>
      <c r="BP222" s="128">
        <f>IFERROR(SUM($CU222:$DL222),)</f>
        <v/>
      </c>
      <c r="BQ222" s="128">
        <f>IFERROR(SUM($DM222:$DO222),)</f>
        <v/>
      </c>
      <c r="BR222" s="128">
        <f>IFERROR(SUM($DP222:$DR222),)</f>
        <v/>
      </c>
      <c r="BS222" s="128">
        <f>IFERROR(SUM($DS222:$DU222),)</f>
        <v/>
      </c>
      <c r="BT222" s="128">
        <f>IFERROR(AI222*$W222,)</f>
        <v/>
      </c>
      <c r="BU222" s="128">
        <f>IFERROR(AJ222*$W222,)</f>
        <v/>
      </c>
      <c r="BV222" s="128">
        <f>IFERROR(AK222*$W222,)</f>
        <v/>
      </c>
      <c r="BW222" s="128">
        <f>IFERROR(AL222*$W222,)</f>
        <v/>
      </c>
      <c r="BX222" s="128">
        <f>IFERROR(AM222*$W222,)</f>
        <v/>
      </c>
      <c r="BY222" s="128">
        <f>IFERROR(AN222*$W222,)</f>
        <v/>
      </c>
      <c r="BZ222" s="128">
        <f>IFERROR(AO222*$W222,)</f>
        <v/>
      </c>
      <c r="CA222" s="128">
        <f>IFERROR(AP222*$W222,)</f>
        <v/>
      </c>
      <c r="CB222" s="128">
        <f>IFERROR(AQ222*$W222,)</f>
        <v/>
      </c>
      <c r="CC222" s="128">
        <f>IFERROR(AR222*$W222,)</f>
        <v/>
      </c>
      <c r="CD222" s="128">
        <f>IFERROR(AS222*$W222,)</f>
        <v/>
      </c>
      <c r="CE222" s="128">
        <f>IFERROR(AT222*$W222,)</f>
        <v/>
      </c>
      <c r="CF222" s="128">
        <f>IFERROR(AU222*$W222,)</f>
        <v/>
      </c>
      <c r="CG222" s="128">
        <f>IFERROR(AV222*$W222,)</f>
        <v/>
      </c>
      <c r="CH222" s="128">
        <f>IFERROR(AW222*$W222,)</f>
        <v/>
      </c>
      <c r="CI222" s="128">
        <f>IFERROR(AX222*$W222,)</f>
        <v/>
      </c>
      <c r="CJ222" s="128">
        <f>IFERROR(AY222*$W222,)</f>
        <v/>
      </c>
      <c r="CK222" s="128">
        <f>IFERROR(AZ222*$W222,)</f>
        <v/>
      </c>
      <c r="CL222" s="129">
        <f>IFERROR(if($Y222=0,BA222*($W222/1.2),BA222*$Y222),"")</f>
        <v/>
      </c>
      <c r="CM222" s="129">
        <f>IFERROR(if($Y222=0,BB222*($W222/1.2),BB222*$Y222),"")</f>
        <v/>
      </c>
      <c r="CN222" s="129">
        <f>IFERROR(if($Y222=0,BC222*($W222/1.2),BC222*$Y222),"")</f>
        <v/>
      </c>
      <c r="CO222" s="130">
        <f>IFERROR(if($AA222=0,($W222/1.35)*BD222,BD222*$AA222),)</f>
        <v/>
      </c>
      <c r="CP222" s="130">
        <f>IFERROR(if($AA222=0,($W222/1.35)*BE222,BE222*$AA222),)</f>
        <v/>
      </c>
      <c r="CQ222" s="130">
        <f>IFERROR(if($AA222=0,($W222/1.35)*BF222,BF222*$AA222),)</f>
        <v/>
      </c>
      <c r="CR222" s="128">
        <f>IFERROR(if($AC222=0,($W222/0.74)*BG222,
BG222*$AC222),)</f>
        <v/>
      </c>
      <c r="CS222" s="128">
        <f>IFERROR(if($AC222=0,($W222/0.74)*BH222,
BH222*$AC222),)</f>
        <v/>
      </c>
      <c r="CT222" s="128">
        <f>IFERROR(if($AC222=0,($W222/0.74)*BI222,
BI222*$AC222),)</f>
        <v/>
      </c>
      <c r="CU222" s="128">
        <f>IFERROR(AI222*$V222,)</f>
        <v/>
      </c>
      <c r="CV222" s="128">
        <f>IFERROR(AJ222*$V222,)</f>
        <v/>
      </c>
      <c r="CW222" s="128">
        <f>IFERROR(AK222*$V222,)</f>
        <v/>
      </c>
      <c r="CX222" s="128">
        <f>IFERROR(AL222*$V222,)</f>
        <v/>
      </c>
      <c r="CY222" s="128">
        <f>IFERROR(AM222*$V222,)</f>
        <v/>
      </c>
      <c r="CZ222" s="128">
        <f>IFERROR(AN222*$V222,)</f>
        <v/>
      </c>
      <c r="DA222" s="128">
        <f>IFERROR(AO222*$V222,)</f>
        <v/>
      </c>
      <c r="DB222" s="128">
        <f>IFERROR(AP222*$V222,)</f>
        <v/>
      </c>
      <c r="DC222" s="128">
        <f>IFERROR(AQ222*$V222,)</f>
        <v/>
      </c>
      <c r="DD222" s="128">
        <f>IFERROR(AR222*$V222,)</f>
        <v/>
      </c>
      <c r="DE222" s="128">
        <f>IFERROR(AS222*$V222,)</f>
        <v/>
      </c>
      <c r="DF222" s="128">
        <f>IFERROR(AT222*$V222,)</f>
        <v/>
      </c>
      <c r="DG222" s="128">
        <f>IFERROR(AU222*$V222,)</f>
        <v/>
      </c>
      <c r="DH222" s="128">
        <f>IFERROR(AV222*$V222,)</f>
        <v/>
      </c>
      <c r="DI222" s="128">
        <f>IFERROR(AW222*$V222,)</f>
        <v/>
      </c>
      <c r="DJ222" s="128">
        <f>IFERROR(AX222*$V222,)</f>
        <v/>
      </c>
      <c r="DK222" s="128">
        <f>IFERROR(AY222*$V222,)</f>
        <v/>
      </c>
      <c r="DL222" s="128">
        <f>IFERROR(AZ222*$V222,)</f>
        <v/>
      </c>
      <c r="DM222" s="129">
        <f>IFERROR(if($X222=0,($V222/1.2)*BA222,
BA222*$X222),)</f>
        <v/>
      </c>
      <c r="DN222" s="129">
        <f>IFERROR(if($X222=0,($V222/1.2)*BB222,
BB222*$X222),)</f>
        <v/>
      </c>
      <c r="DO222" s="129">
        <f>IFERROR(if($X222=0,($V222/1.2)*BC222,
BC222*$X222),)</f>
        <v/>
      </c>
      <c r="DP222" s="130">
        <f>IFERROR(if($Z222=0,($V222/1.35)*BD222,
BD222*$Z222),)</f>
        <v/>
      </c>
      <c r="DQ222" s="130">
        <f>IFERROR(if($Z222=0,($V222/1.35)*BE222,
BE222*$Z222),)</f>
        <v/>
      </c>
      <c r="DR222" s="130">
        <f>IFERROR(if($Z222=0,($V222/1.35)*BF222,
BF222*$Z222),)</f>
        <v/>
      </c>
      <c r="DS222" s="128">
        <f>IFERROR(IF($AB222=0,($V222/0.74)*BG222,
BG222*$AB222),)</f>
        <v/>
      </c>
      <c r="DT222" s="128">
        <f>IFERROR(IF($AB222=0,($V222/0.74)*BH222,
BH222*$AB222),)</f>
        <v/>
      </c>
      <c r="DU222" s="128">
        <f>IFERROR(IF($AB222=0,($V222/0.74)*BI222,
BI222*$AB222),)</f>
        <v/>
      </c>
    </row>
    <row r="223" ht="131.25" customHeight="1" s="162">
      <c r="A223" s="115" t="n"/>
      <c r="B223" s="115" t="n"/>
      <c r="C223" s="115" t="n"/>
      <c r="D223" s="115" t="n"/>
      <c r="E223" s="115" t="n"/>
      <c r="F223" s="115" t="n"/>
      <c r="G223" s="115" t="n"/>
      <c r="H223" s="115" t="n"/>
      <c r="I223" s="115" t="n"/>
      <c r="J223" s="115" t="n"/>
      <c r="K223" s="115" t="n"/>
      <c r="L223" s="115" t="n"/>
      <c r="M223" s="115" t="n"/>
      <c r="N223" s="115" t="n"/>
      <c r="O223" s="115" t="n"/>
      <c r="P223" s="115" t="n"/>
      <c r="Q223" s="115" t="n"/>
      <c r="R223" s="115" t="n"/>
      <c r="S223" s="115" t="n"/>
      <c r="T223" s="115" t="n"/>
      <c r="U223" s="116" t="n"/>
      <c r="V223" s="116" t="n"/>
      <c r="W223" s="117" t="n"/>
      <c r="X223" s="118" t="n"/>
      <c r="Y223" s="119" t="n"/>
      <c r="Z223" s="120" t="n"/>
      <c r="AA223" s="121" t="n"/>
      <c r="AB223" s="122" t="n"/>
      <c r="AC223" s="117" t="n"/>
      <c r="AD223" s="123">
        <f>IF(SUM($AE223:$AH223)=0,"",SUM($AE223:$AH223))</f>
        <v/>
      </c>
      <c r="AE223" s="123">
        <f>iferror(IF(SUM($AI223:$AZ223)=0,"",SUM($AI223:$AZ223)),"")</f>
        <v/>
      </c>
      <c r="AF223" s="123">
        <f>iferror(IF(SUM($BA223:$BC223)=0,"",SUM($BA223:$BC223)),"")</f>
        <v/>
      </c>
      <c r="AG223" s="123">
        <f>iferror(IF(SUM($BD223:$BF223)=0,"",SUM($BD223:$BF223)),"")</f>
        <v/>
      </c>
      <c r="AH223" s="124">
        <f>iferror(IF(SUM($BG223:$BI223)=0,"",SUM($BG223:$BI223)),"")</f>
        <v/>
      </c>
      <c r="AI223" s="131" t="n"/>
      <c r="AJ223" s="132" t="n"/>
      <c r="AK223" s="132" t="n"/>
      <c r="AL223" s="132" t="n"/>
      <c r="AM223" s="132" t="n"/>
      <c r="AN223" s="132" t="n"/>
      <c r="AO223" s="132" t="n"/>
      <c r="AP223" s="132" t="n"/>
      <c r="AQ223" s="132" t="n"/>
      <c r="AR223" s="132" t="n"/>
      <c r="AS223" s="132" t="n"/>
      <c r="AT223" s="132" t="n"/>
      <c r="AU223" s="132" t="n"/>
      <c r="AV223" s="132" t="n"/>
      <c r="AW223" s="132" t="n"/>
      <c r="AX223" s="132" t="n"/>
      <c r="AY223" s="132" t="n"/>
      <c r="AZ223" s="133" t="n"/>
      <c r="BA223" s="131" t="n"/>
      <c r="BB223" s="132" t="n"/>
      <c r="BC223" s="133" t="n"/>
      <c r="BD223" s="131" t="n"/>
      <c r="BE223" s="132" t="n"/>
      <c r="BF223" s="133" t="n"/>
      <c r="BG223" s="131" t="n"/>
      <c r="BH223" s="132" t="n"/>
      <c r="BI223" s="132" t="n"/>
      <c r="BJ223" s="128">
        <f>iferror(SUM($BK223,($BL223*1.2),($BM223*1.35),($BN223*0.74)),)</f>
        <v/>
      </c>
      <c r="BK223" s="128">
        <f>IFERROR(SUM($BT223:$CK223),)</f>
        <v/>
      </c>
      <c r="BL223" s="129">
        <f>IFERROR(SUM($CL223:$CN223),)</f>
        <v/>
      </c>
      <c r="BM223" s="130">
        <f>IFERROR(SUM($CO223:$CQ223),)</f>
        <v/>
      </c>
      <c r="BN223" s="128">
        <f>IFERROR(SUM($CR223:$CT223),)</f>
        <v/>
      </c>
      <c r="BO223" s="128">
        <f>iferror(SUM($BP223,($BQ223*1.2),($BR223*1.35),($BS223*0.74)),)</f>
        <v/>
      </c>
      <c r="BP223" s="128">
        <f>IFERROR(SUM($CU223:$DL223),)</f>
        <v/>
      </c>
      <c r="BQ223" s="128">
        <f>IFERROR(SUM($DM223:$DO223),)</f>
        <v/>
      </c>
      <c r="BR223" s="128">
        <f>IFERROR(SUM($DP223:$DR223),)</f>
        <v/>
      </c>
      <c r="BS223" s="128">
        <f>IFERROR(SUM($DS223:$DU223),)</f>
        <v/>
      </c>
      <c r="BT223" s="128">
        <f>IFERROR(AI223*$W223,)</f>
        <v/>
      </c>
      <c r="BU223" s="128">
        <f>IFERROR(AJ223*$W223,)</f>
        <v/>
      </c>
      <c r="BV223" s="128">
        <f>IFERROR(AK223*$W223,)</f>
        <v/>
      </c>
      <c r="BW223" s="128">
        <f>IFERROR(AL223*$W223,)</f>
        <v/>
      </c>
      <c r="BX223" s="128">
        <f>IFERROR(AM223*$W223,)</f>
        <v/>
      </c>
      <c r="BY223" s="128">
        <f>IFERROR(AN223*$W223,)</f>
        <v/>
      </c>
      <c r="BZ223" s="128">
        <f>IFERROR(AO223*$W223,)</f>
        <v/>
      </c>
      <c r="CA223" s="128">
        <f>IFERROR(AP223*$W223,)</f>
        <v/>
      </c>
      <c r="CB223" s="128">
        <f>IFERROR(AQ223*$W223,)</f>
        <v/>
      </c>
      <c r="CC223" s="128">
        <f>IFERROR(AR223*$W223,)</f>
        <v/>
      </c>
      <c r="CD223" s="128">
        <f>IFERROR(AS223*$W223,)</f>
        <v/>
      </c>
      <c r="CE223" s="128">
        <f>IFERROR(AT223*$W223,)</f>
        <v/>
      </c>
      <c r="CF223" s="128">
        <f>IFERROR(AU223*$W223,)</f>
        <v/>
      </c>
      <c r="CG223" s="128">
        <f>IFERROR(AV223*$W223,)</f>
        <v/>
      </c>
      <c r="CH223" s="128">
        <f>IFERROR(AW223*$W223,)</f>
        <v/>
      </c>
      <c r="CI223" s="128">
        <f>IFERROR(AX223*$W223,)</f>
        <v/>
      </c>
      <c r="CJ223" s="128">
        <f>IFERROR(AY223*$W223,)</f>
        <v/>
      </c>
      <c r="CK223" s="128">
        <f>IFERROR(AZ223*$W223,)</f>
        <v/>
      </c>
      <c r="CL223" s="129">
        <f>IFERROR(if($Y223=0,BA223*($W223/1.2),BA223*$Y223),"")</f>
        <v/>
      </c>
      <c r="CM223" s="129">
        <f>IFERROR(if($Y223=0,BB223*($W223/1.2),BB223*$Y223),"")</f>
        <v/>
      </c>
      <c r="CN223" s="129">
        <f>IFERROR(if($Y223=0,BC223*($W223/1.2),BC223*$Y223),"")</f>
        <v/>
      </c>
      <c r="CO223" s="130">
        <f>IFERROR(if($AA223=0,($W223/1.35)*BD223,BD223*$AA223),)</f>
        <v/>
      </c>
      <c r="CP223" s="130">
        <f>IFERROR(if($AA223=0,($W223/1.35)*BE223,BE223*$AA223),)</f>
        <v/>
      </c>
      <c r="CQ223" s="130">
        <f>IFERROR(if($AA223=0,($W223/1.35)*BF223,BF223*$AA223),)</f>
        <v/>
      </c>
      <c r="CR223" s="128">
        <f>IFERROR(if($AC223=0,($W223/0.74)*BG223,
BG223*$AC223),)</f>
        <v/>
      </c>
      <c r="CS223" s="128">
        <f>IFERROR(if($AC223=0,($W223/0.74)*BH223,
BH223*$AC223),)</f>
        <v/>
      </c>
      <c r="CT223" s="128">
        <f>IFERROR(if($AC223=0,($W223/0.74)*BI223,
BI223*$AC223),)</f>
        <v/>
      </c>
      <c r="CU223" s="128">
        <f>IFERROR(AI223*$V223,)</f>
        <v/>
      </c>
      <c r="CV223" s="128">
        <f>IFERROR(AJ223*$V223,)</f>
        <v/>
      </c>
      <c r="CW223" s="128">
        <f>IFERROR(AK223*$V223,)</f>
        <v/>
      </c>
      <c r="CX223" s="128">
        <f>IFERROR(AL223*$V223,)</f>
        <v/>
      </c>
      <c r="CY223" s="128">
        <f>IFERROR(AM223*$V223,)</f>
        <v/>
      </c>
      <c r="CZ223" s="128">
        <f>IFERROR(AN223*$V223,)</f>
        <v/>
      </c>
      <c r="DA223" s="128">
        <f>IFERROR(AO223*$V223,)</f>
        <v/>
      </c>
      <c r="DB223" s="128">
        <f>IFERROR(AP223*$V223,)</f>
        <v/>
      </c>
      <c r="DC223" s="128">
        <f>IFERROR(AQ223*$V223,)</f>
        <v/>
      </c>
      <c r="DD223" s="128">
        <f>IFERROR(AR223*$V223,)</f>
        <v/>
      </c>
      <c r="DE223" s="128">
        <f>IFERROR(AS223*$V223,)</f>
        <v/>
      </c>
      <c r="DF223" s="128">
        <f>IFERROR(AT223*$V223,)</f>
        <v/>
      </c>
      <c r="DG223" s="128">
        <f>IFERROR(AU223*$V223,)</f>
        <v/>
      </c>
      <c r="DH223" s="128">
        <f>IFERROR(AV223*$V223,)</f>
        <v/>
      </c>
      <c r="DI223" s="128">
        <f>IFERROR(AW223*$V223,)</f>
        <v/>
      </c>
      <c r="DJ223" s="128">
        <f>IFERROR(AX223*$V223,)</f>
        <v/>
      </c>
      <c r="DK223" s="128">
        <f>IFERROR(AY223*$V223,)</f>
        <v/>
      </c>
      <c r="DL223" s="128">
        <f>IFERROR(AZ223*$V223,)</f>
        <v/>
      </c>
      <c r="DM223" s="129">
        <f>IFERROR(if($X223=0,($V223/1.2)*BA223,
BA223*$X223),)</f>
        <v/>
      </c>
      <c r="DN223" s="129">
        <f>IFERROR(if($X223=0,($V223/1.2)*BB223,
BB223*$X223),)</f>
        <v/>
      </c>
      <c r="DO223" s="129">
        <f>IFERROR(if($X223=0,($V223/1.2)*BC223,
BC223*$X223),)</f>
        <v/>
      </c>
      <c r="DP223" s="130">
        <f>IFERROR(if($Z223=0,($V223/1.35)*BD223,
BD223*$Z223),)</f>
        <v/>
      </c>
      <c r="DQ223" s="130">
        <f>IFERROR(if($Z223=0,($V223/1.35)*BE223,
BE223*$Z223),)</f>
        <v/>
      </c>
      <c r="DR223" s="130">
        <f>IFERROR(if($Z223=0,($V223/1.35)*BF223,
BF223*$Z223),)</f>
        <v/>
      </c>
      <c r="DS223" s="128">
        <f>IFERROR(IF($AB223=0,($V223/0.74)*BG223,
BG223*$AB223),)</f>
        <v/>
      </c>
      <c r="DT223" s="128">
        <f>IFERROR(IF($AB223=0,($V223/0.74)*BH223,
BH223*$AB223),)</f>
        <v/>
      </c>
      <c r="DU223" s="128">
        <f>IFERROR(IF($AB223=0,($V223/0.74)*BI223,
BI223*$AB223),)</f>
        <v/>
      </c>
    </row>
    <row r="224" ht="131.25" customHeight="1" s="162">
      <c r="A224" s="115" t="n"/>
      <c r="B224" s="115" t="n"/>
      <c r="C224" s="115" t="n"/>
      <c r="D224" s="115" t="n"/>
      <c r="E224" s="115" t="n"/>
      <c r="F224" s="115" t="n"/>
      <c r="G224" s="115" t="n"/>
      <c r="H224" s="115" t="n"/>
      <c r="I224" s="115" t="n"/>
      <c r="J224" s="115" t="n"/>
      <c r="K224" s="115" t="n"/>
      <c r="L224" s="115" t="n"/>
      <c r="M224" s="115" t="n"/>
      <c r="N224" s="115" t="n"/>
      <c r="O224" s="115" t="n"/>
      <c r="P224" s="115" t="n"/>
      <c r="Q224" s="115" t="n"/>
      <c r="R224" s="115" t="n"/>
      <c r="S224" s="115" t="n"/>
      <c r="T224" s="115" t="n"/>
      <c r="U224" s="116" t="n"/>
      <c r="V224" s="116" t="n"/>
      <c r="W224" s="117" t="n"/>
      <c r="X224" s="118" t="n"/>
      <c r="Y224" s="119" t="n"/>
      <c r="Z224" s="120" t="n"/>
      <c r="AA224" s="121" t="n"/>
      <c r="AB224" s="122" t="n"/>
      <c r="AC224" s="117" t="n"/>
      <c r="AD224" s="123">
        <f>IF(SUM($AE224:$AH224)=0,"",SUM($AE224:$AH224))</f>
        <v/>
      </c>
      <c r="AE224" s="123">
        <f>iferror(IF(SUM($AI224:$AZ224)=0,"",SUM($AI224:$AZ224)),"")</f>
        <v/>
      </c>
      <c r="AF224" s="123">
        <f>iferror(IF(SUM($BA224:$BC224)=0,"",SUM($BA224:$BC224)),"")</f>
        <v/>
      </c>
      <c r="AG224" s="123">
        <f>iferror(IF(SUM($BD224:$BF224)=0,"",SUM($BD224:$BF224)),"")</f>
        <v/>
      </c>
      <c r="AH224" s="124">
        <f>iferror(IF(SUM($BG224:$BI224)=0,"",SUM($BG224:$BI224)),"")</f>
        <v/>
      </c>
      <c r="AI224" s="131" t="n"/>
      <c r="AJ224" s="132" t="n"/>
      <c r="AK224" s="132" t="n"/>
      <c r="AL224" s="132" t="n"/>
      <c r="AM224" s="132" t="n"/>
      <c r="AN224" s="132" t="n"/>
      <c r="AO224" s="132" t="n"/>
      <c r="AP224" s="132" t="n"/>
      <c r="AQ224" s="132" t="n"/>
      <c r="AR224" s="132" t="n"/>
      <c r="AS224" s="132" t="n"/>
      <c r="AT224" s="132" t="n"/>
      <c r="AU224" s="132" t="n"/>
      <c r="AV224" s="132" t="n"/>
      <c r="AW224" s="132" t="n"/>
      <c r="AX224" s="132" t="n"/>
      <c r="AY224" s="132" t="n"/>
      <c r="AZ224" s="133" t="n"/>
      <c r="BA224" s="131" t="n"/>
      <c r="BB224" s="132" t="n"/>
      <c r="BC224" s="133" t="n"/>
      <c r="BD224" s="131" t="n"/>
      <c r="BE224" s="132" t="n"/>
      <c r="BF224" s="133" t="n"/>
      <c r="BG224" s="131" t="n"/>
      <c r="BH224" s="132" t="n"/>
      <c r="BI224" s="132" t="n"/>
      <c r="BJ224" s="128">
        <f>iferror(SUM($BK224,($BL224*1.2),($BM224*1.35),($BN224*0.74)),)</f>
        <v/>
      </c>
      <c r="BK224" s="128">
        <f>IFERROR(SUM($BT224:$CK224),)</f>
        <v/>
      </c>
      <c r="BL224" s="129">
        <f>IFERROR(SUM($CL224:$CN224),)</f>
        <v/>
      </c>
      <c r="BM224" s="130">
        <f>IFERROR(SUM($CO224:$CQ224),)</f>
        <v/>
      </c>
      <c r="BN224" s="128">
        <f>IFERROR(SUM($CR224:$CT224),)</f>
        <v/>
      </c>
      <c r="BO224" s="128">
        <f>iferror(SUM($BP224,($BQ224*1.2),($BR224*1.35),($BS224*0.74)),)</f>
        <v/>
      </c>
      <c r="BP224" s="128">
        <f>IFERROR(SUM($CU224:$DL224),)</f>
        <v/>
      </c>
      <c r="BQ224" s="128">
        <f>IFERROR(SUM($DM224:$DO224),)</f>
        <v/>
      </c>
      <c r="BR224" s="128">
        <f>IFERROR(SUM($DP224:$DR224),)</f>
        <v/>
      </c>
      <c r="BS224" s="128">
        <f>IFERROR(SUM($DS224:$DU224),)</f>
        <v/>
      </c>
      <c r="BT224" s="128">
        <f>IFERROR(AI224*$W224,)</f>
        <v/>
      </c>
      <c r="BU224" s="128">
        <f>IFERROR(AJ224*$W224,)</f>
        <v/>
      </c>
      <c r="BV224" s="128">
        <f>IFERROR(AK224*$W224,)</f>
        <v/>
      </c>
      <c r="BW224" s="128">
        <f>IFERROR(AL224*$W224,)</f>
        <v/>
      </c>
      <c r="BX224" s="128">
        <f>IFERROR(AM224*$W224,)</f>
        <v/>
      </c>
      <c r="BY224" s="128">
        <f>IFERROR(AN224*$W224,)</f>
        <v/>
      </c>
      <c r="BZ224" s="128">
        <f>IFERROR(AO224*$W224,)</f>
        <v/>
      </c>
      <c r="CA224" s="128">
        <f>IFERROR(AP224*$W224,)</f>
        <v/>
      </c>
      <c r="CB224" s="128">
        <f>IFERROR(AQ224*$W224,)</f>
        <v/>
      </c>
      <c r="CC224" s="128">
        <f>IFERROR(AR224*$W224,)</f>
        <v/>
      </c>
      <c r="CD224" s="128">
        <f>IFERROR(AS224*$W224,)</f>
        <v/>
      </c>
      <c r="CE224" s="128">
        <f>IFERROR(AT224*$W224,)</f>
        <v/>
      </c>
      <c r="CF224" s="128">
        <f>IFERROR(AU224*$W224,)</f>
        <v/>
      </c>
      <c r="CG224" s="128">
        <f>IFERROR(AV224*$W224,)</f>
        <v/>
      </c>
      <c r="CH224" s="128">
        <f>IFERROR(AW224*$W224,)</f>
        <v/>
      </c>
      <c r="CI224" s="128">
        <f>IFERROR(AX224*$W224,)</f>
        <v/>
      </c>
      <c r="CJ224" s="128">
        <f>IFERROR(AY224*$W224,)</f>
        <v/>
      </c>
      <c r="CK224" s="128">
        <f>IFERROR(AZ224*$W224,)</f>
        <v/>
      </c>
      <c r="CL224" s="129">
        <f>IFERROR(if($Y224=0,BA224*($W224/1.2),BA224*$Y224),"")</f>
        <v/>
      </c>
      <c r="CM224" s="129">
        <f>IFERROR(if($Y224=0,BB224*($W224/1.2),BB224*$Y224),"")</f>
        <v/>
      </c>
      <c r="CN224" s="129">
        <f>IFERROR(if($Y224=0,BC224*($W224/1.2),BC224*$Y224),"")</f>
        <v/>
      </c>
      <c r="CO224" s="130">
        <f>IFERROR(if($AA224=0,($W224/1.35)*BD224,BD224*$AA224),)</f>
        <v/>
      </c>
      <c r="CP224" s="130">
        <f>IFERROR(if($AA224=0,($W224/1.35)*BE224,BE224*$AA224),)</f>
        <v/>
      </c>
      <c r="CQ224" s="130">
        <f>IFERROR(if($AA224=0,($W224/1.35)*BF224,BF224*$AA224),)</f>
        <v/>
      </c>
      <c r="CR224" s="128">
        <f>IFERROR(if($AC224=0,($W224/0.74)*BG224,
BG224*$AC224),)</f>
        <v/>
      </c>
      <c r="CS224" s="128">
        <f>IFERROR(if($AC224=0,($W224/0.74)*BH224,
BH224*$AC224),)</f>
        <v/>
      </c>
      <c r="CT224" s="128">
        <f>IFERROR(if($AC224=0,($W224/0.74)*BI224,
BI224*$AC224),)</f>
        <v/>
      </c>
      <c r="CU224" s="128">
        <f>IFERROR(AI224*$V224,)</f>
        <v/>
      </c>
      <c r="CV224" s="128">
        <f>IFERROR(AJ224*$V224,)</f>
        <v/>
      </c>
      <c r="CW224" s="128">
        <f>IFERROR(AK224*$V224,)</f>
        <v/>
      </c>
      <c r="CX224" s="128">
        <f>IFERROR(AL224*$V224,)</f>
        <v/>
      </c>
      <c r="CY224" s="128">
        <f>IFERROR(AM224*$V224,)</f>
        <v/>
      </c>
      <c r="CZ224" s="128">
        <f>IFERROR(AN224*$V224,)</f>
        <v/>
      </c>
      <c r="DA224" s="128">
        <f>IFERROR(AO224*$V224,)</f>
        <v/>
      </c>
      <c r="DB224" s="128">
        <f>IFERROR(AP224*$V224,)</f>
        <v/>
      </c>
      <c r="DC224" s="128">
        <f>IFERROR(AQ224*$V224,)</f>
        <v/>
      </c>
      <c r="DD224" s="128">
        <f>IFERROR(AR224*$V224,)</f>
        <v/>
      </c>
      <c r="DE224" s="128">
        <f>IFERROR(AS224*$V224,)</f>
        <v/>
      </c>
      <c r="DF224" s="128">
        <f>IFERROR(AT224*$V224,)</f>
        <v/>
      </c>
      <c r="DG224" s="128">
        <f>IFERROR(AU224*$V224,)</f>
        <v/>
      </c>
      <c r="DH224" s="128">
        <f>IFERROR(AV224*$V224,)</f>
        <v/>
      </c>
      <c r="DI224" s="128">
        <f>IFERROR(AW224*$V224,)</f>
        <v/>
      </c>
      <c r="DJ224" s="128">
        <f>IFERROR(AX224*$V224,)</f>
        <v/>
      </c>
      <c r="DK224" s="128">
        <f>IFERROR(AY224*$V224,)</f>
        <v/>
      </c>
      <c r="DL224" s="128">
        <f>IFERROR(AZ224*$V224,)</f>
        <v/>
      </c>
      <c r="DM224" s="129">
        <f>IFERROR(if($X224=0,($V224/1.2)*BA224,
BA224*$X224),)</f>
        <v/>
      </c>
      <c r="DN224" s="129">
        <f>IFERROR(if($X224=0,($V224/1.2)*BB224,
BB224*$X224),)</f>
        <v/>
      </c>
      <c r="DO224" s="129">
        <f>IFERROR(if($X224=0,($V224/1.2)*BC224,
BC224*$X224),)</f>
        <v/>
      </c>
      <c r="DP224" s="130">
        <f>IFERROR(if($Z224=0,($V224/1.35)*BD224,
BD224*$Z224),)</f>
        <v/>
      </c>
      <c r="DQ224" s="130">
        <f>IFERROR(if($Z224=0,($V224/1.35)*BE224,
BE224*$Z224),)</f>
        <v/>
      </c>
      <c r="DR224" s="130">
        <f>IFERROR(if($Z224=0,($V224/1.35)*BF224,
BF224*$Z224),)</f>
        <v/>
      </c>
      <c r="DS224" s="128">
        <f>IFERROR(IF($AB224=0,($V224/0.74)*BG224,
BG224*$AB224),)</f>
        <v/>
      </c>
      <c r="DT224" s="128">
        <f>IFERROR(IF($AB224=0,($V224/0.74)*BH224,
BH224*$AB224),)</f>
        <v/>
      </c>
      <c r="DU224" s="128">
        <f>IFERROR(IF($AB224=0,($V224/0.74)*BI224,
BI224*$AB224),)</f>
        <v/>
      </c>
    </row>
    <row r="225" ht="131.25" customHeight="1" s="162">
      <c r="A225" s="115" t="n"/>
      <c r="B225" s="115" t="n"/>
      <c r="C225" s="115" t="n"/>
      <c r="D225" s="115" t="n"/>
      <c r="E225" s="115" t="n"/>
      <c r="F225" s="115" t="n"/>
      <c r="G225" s="115" t="n"/>
      <c r="H225" s="115" t="n"/>
      <c r="I225" s="115" t="n"/>
      <c r="J225" s="115" t="n"/>
      <c r="K225" s="115" t="n"/>
      <c r="L225" s="115" t="n"/>
      <c r="M225" s="115" t="n"/>
      <c r="N225" s="115" t="n"/>
      <c r="O225" s="115" t="n"/>
      <c r="P225" s="115" t="n"/>
      <c r="Q225" s="115" t="n"/>
      <c r="R225" s="115" t="n"/>
      <c r="S225" s="115" t="n"/>
      <c r="T225" s="115" t="n"/>
      <c r="U225" s="116" t="n"/>
      <c r="V225" s="116" t="n"/>
      <c r="W225" s="117" t="n"/>
      <c r="X225" s="118" t="n"/>
      <c r="Y225" s="119" t="n"/>
      <c r="Z225" s="120" t="n"/>
      <c r="AA225" s="121" t="n"/>
      <c r="AB225" s="122" t="n"/>
      <c r="AC225" s="117" t="n"/>
      <c r="AD225" s="123">
        <f>IF(SUM($AE225:$AH225)=0,"",SUM($AE225:$AH225))</f>
        <v/>
      </c>
      <c r="AE225" s="123">
        <f>iferror(IF(SUM($AI225:$AZ225)=0,"",SUM($AI225:$AZ225)),"")</f>
        <v/>
      </c>
      <c r="AF225" s="123">
        <f>iferror(IF(SUM($BA225:$BC225)=0,"",SUM($BA225:$BC225)),"")</f>
        <v/>
      </c>
      <c r="AG225" s="123">
        <f>iferror(IF(SUM($BD225:$BF225)=0,"",SUM($BD225:$BF225)),"")</f>
        <v/>
      </c>
      <c r="AH225" s="124">
        <f>iferror(IF(SUM($BG225:$BI225)=0,"",SUM($BG225:$BI225)),"")</f>
        <v/>
      </c>
      <c r="AI225" s="131" t="n"/>
      <c r="AJ225" s="132" t="n"/>
      <c r="AK225" s="132" t="n"/>
      <c r="AL225" s="132" t="n"/>
      <c r="AM225" s="132" t="n"/>
      <c r="AN225" s="132" t="n"/>
      <c r="AO225" s="132" t="n"/>
      <c r="AP225" s="132" t="n"/>
      <c r="AQ225" s="132" t="n"/>
      <c r="AR225" s="132" t="n"/>
      <c r="AS225" s="132" t="n"/>
      <c r="AT225" s="132" t="n"/>
      <c r="AU225" s="132" t="n"/>
      <c r="AV225" s="132" t="n"/>
      <c r="AW225" s="132" t="n"/>
      <c r="AX225" s="132" t="n"/>
      <c r="AY225" s="132" t="n"/>
      <c r="AZ225" s="133" t="n"/>
      <c r="BA225" s="131" t="n"/>
      <c r="BB225" s="132" t="n"/>
      <c r="BC225" s="133" t="n"/>
      <c r="BD225" s="131" t="n"/>
      <c r="BE225" s="132" t="n"/>
      <c r="BF225" s="133" t="n"/>
      <c r="BG225" s="131" t="n"/>
      <c r="BH225" s="132" t="n"/>
      <c r="BI225" s="132" t="n"/>
      <c r="BJ225" s="128">
        <f>iferror(SUM($BK225,($BL225*1.2),($BM225*1.35),($BN225*0.74)),)</f>
        <v/>
      </c>
      <c r="BK225" s="128">
        <f>IFERROR(SUM($BT225:$CK225),)</f>
        <v/>
      </c>
      <c r="BL225" s="129">
        <f>IFERROR(SUM($CL225:$CN225),)</f>
        <v/>
      </c>
      <c r="BM225" s="130">
        <f>IFERROR(SUM($CO225:$CQ225),)</f>
        <v/>
      </c>
      <c r="BN225" s="128">
        <f>IFERROR(SUM($CR225:$CT225),)</f>
        <v/>
      </c>
      <c r="BO225" s="128">
        <f>iferror(SUM($BP225,($BQ225*1.2),($BR225*1.35),($BS225*0.74)),)</f>
        <v/>
      </c>
      <c r="BP225" s="128">
        <f>IFERROR(SUM($CU225:$DL225),)</f>
        <v/>
      </c>
      <c r="BQ225" s="128">
        <f>IFERROR(SUM($DM225:$DO225),)</f>
        <v/>
      </c>
      <c r="BR225" s="128">
        <f>IFERROR(SUM($DP225:$DR225),)</f>
        <v/>
      </c>
      <c r="BS225" s="128">
        <f>IFERROR(SUM($DS225:$DU225),)</f>
        <v/>
      </c>
      <c r="BT225" s="128">
        <f>IFERROR(AI225*$W225,)</f>
        <v/>
      </c>
      <c r="BU225" s="128">
        <f>IFERROR(AJ225*$W225,)</f>
        <v/>
      </c>
      <c r="BV225" s="128">
        <f>IFERROR(AK225*$W225,)</f>
        <v/>
      </c>
      <c r="BW225" s="128">
        <f>IFERROR(AL225*$W225,)</f>
        <v/>
      </c>
      <c r="BX225" s="128">
        <f>IFERROR(AM225*$W225,)</f>
        <v/>
      </c>
      <c r="BY225" s="128">
        <f>IFERROR(AN225*$W225,)</f>
        <v/>
      </c>
      <c r="BZ225" s="128">
        <f>IFERROR(AO225*$W225,)</f>
        <v/>
      </c>
      <c r="CA225" s="128">
        <f>IFERROR(AP225*$W225,)</f>
        <v/>
      </c>
      <c r="CB225" s="128">
        <f>IFERROR(AQ225*$W225,)</f>
        <v/>
      </c>
      <c r="CC225" s="128">
        <f>IFERROR(AR225*$W225,)</f>
        <v/>
      </c>
      <c r="CD225" s="128">
        <f>IFERROR(AS225*$W225,)</f>
        <v/>
      </c>
      <c r="CE225" s="128">
        <f>IFERROR(AT225*$W225,)</f>
        <v/>
      </c>
      <c r="CF225" s="128">
        <f>IFERROR(AU225*$W225,)</f>
        <v/>
      </c>
      <c r="CG225" s="128">
        <f>IFERROR(AV225*$W225,)</f>
        <v/>
      </c>
      <c r="CH225" s="128">
        <f>IFERROR(AW225*$W225,)</f>
        <v/>
      </c>
      <c r="CI225" s="128">
        <f>IFERROR(AX225*$W225,)</f>
        <v/>
      </c>
      <c r="CJ225" s="128">
        <f>IFERROR(AY225*$W225,)</f>
        <v/>
      </c>
      <c r="CK225" s="128">
        <f>IFERROR(AZ225*$W225,)</f>
        <v/>
      </c>
      <c r="CL225" s="129">
        <f>IFERROR(if($Y225=0,BA225*($W225/1.2),BA225*$Y225),"")</f>
        <v/>
      </c>
      <c r="CM225" s="129">
        <f>IFERROR(if($Y225=0,BB225*($W225/1.2),BB225*$Y225),"")</f>
        <v/>
      </c>
      <c r="CN225" s="129">
        <f>IFERROR(if($Y225=0,BC225*($W225/1.2),BC225*$Y225),"")</f>
        <v/>
      </c>
      <c r="CO225" s="130">
        <f>IFERROR(if($AA225=0,($W225/1.35)*BD225,BD225*$AA225),)</f>
        <v/>
      </c>
      <c r="CP225" s="130">
        <f>IFERROR(if($AA225=0,($W225/1.35)*BE225,BE225*$AA225),)</f>
        <v/>
      </c>
      <c r="CQ225" s="130">
        <f>IFERROR(if($AA225=0,($W225/1.35)*BF225,BF225*$AA225),)</f>
        <v/>
      </c>
      <c r="CR225" s="128">
        <f>IFERROR(if($AC225=0,($W225/0.74)*BG225,
BG225*$AC225),)</f>
        <v/>
      </c>
      <c r="CS225" s="128">
        <f>IFERROR(if($AC225=0,($W225/0.74)*BH225,
BH225*$AC225),)</f>
        <v/>
      </c>
      <c r="CT225" s="128">
        <f>IFERROR(if($AC225=0,($W225/0.74)*BI225,
BI225*$AC225),)</f>
        <v/>
      </c>
      <c r="CU225" s="128">
        <f>IFERROR(AI225*$V225,)</f>
        <v/>
      </c>
      <c r="CV225" s="128">
        <f>IFERROR(AJ225*$V225,)</f>
        <v/>
      </c>
      <c r="CW225" s="128">
        <f>IFERROR(AK225*$V225,)</f>
        <v/>
      </c>
      <c r="CX225" s="128">
        <f>IFERROR(AL225*$V225,)</f>
        <v/>
      </c>
      <c r="CY225" s="128">
        <f>IFERROR(AM225*$V225,)</f>
        <v/>
      </c>
      <c r="CZ225" s="128">
        <f>IFERROR(AN225*$V225,)</f>
        <v/>
      </c>
      <c r="DA225" s="128">
        <f>IFERROR(AO225*$V225,)</f>
        <v/>
      </c>
      <c r="DB225" s="128">
        <f>IFERROR(AP225*$V225,)</f>
        <v/>
      </c>
      <c r="DC225" s="128">
        <f>IFERROR(AQ225*$V225,)</f>
        <v/>
      </c>
      <c r="DD225" s="128">
        <f>IFERROR(AR225*$V225,)</f>
        <v/>
      </c>
      <c r="DE225" s="128">
        <f>IFERROR(AS225*$V225,)</f>
        <v/>
      </c>
      <c r="DF225" s="128">
        <f>IFERROR(AT225*$V225,)</f>
        <v/>
      </c>
      <c r="DG225" s="128">
        <f>IFERROR(AU225*$V225,)</f>
        <v/>
      </c>
      <c r="DH225" s="128">
        <f>IFERROR(AV225*$V225,)</f>
        <v/>
      </c>
      <c r="DI225" s="128">
        <f>IFERROR(AW225*$V225,)</f>
        <v/>
      </c>
      <c r="DJ225" s="128">
        <f>IFERROR(AX225*$V225,)</f>
        <v/>
      </c>
      <c r="DK225" s="128">
        <f>IFERROR(AY225*$V225,)</f>
        <v/>
      </c>
      <c r="DL225" s="128">
        <f>IFERROR(AZ225*$V225,)</f>
        <v/>
      </c>
      <c r="DM225" s="129">
        <f>IFERROR(if($X225=0,($V225/1.2)*BA225,
BA225*$X225),)</f>
        <v/>
      </c>
      <c r="DN225" s="129">
        <f>IFERROR(if($X225=0,($V225/1.2)*BB225,
BB225*$X225),)</f>
        <v/>
      </c>
      <c r="DO225" s="129">
        <f>IFERROR(if($X225=0,($V225/1.2)*BC225,
BC225*$X225),)</f>
        <v/>
      </c>
      <c r="DP225" s="130">
        <f>IFERROR(if($Z225=0,($V225/1.35)*BD225,
BD225*$Z225),)</f>
        <v/>
      </c>
      <c r="DQ225" s="130">
        <f>IFERROR(if($Z225=0,($V225/1.35)*BE225,
BE225*$Z225),)</f>
        <v/>
      </c>
      <c r="DR225" s="130">
        <f>IFERROR(if($Z225=0,($V225/1.35)*BF225,
BF225*$Z225),)</f>
        <v/>
      </c>
      <c r="DS225" s="128">
        <f>IFERROR(IF($AB225=0,($V225/0.74)*BG225,
BG225*$AB225),)</f>
        <v/>
      </c>
      <c r="DT225" s="128">
        <f>IFERROR(IF($AB225=0,($V225/0.74)*BH225,
BH225*$AB225),)</f>
        <v/>
      </c>
      <c r="DU225" s="128">
        <f>IFERROR(IF($AB225=0,($V225/0.74)*BI225,
BI225*$AB225),)</f>
        <v/>
      </c>
    </row>
    <row r="226" ht="131.25" customHeight="1" s="162">
      <c r="A226" s="115" t="n"/>
      <c r="B226" s="115" t="n"/>
      <c r="C226" s="115" t="n"/>
      <c r="D226" s="115" t="n"/>
      <c r="E226" s="115" t="n"/>
      <c r="F226" s="115" t="n"/>
      <c r="G226" s="115" t="n"/>
      <c r="H226" s="115" t="n"/>
      <c r="I226" s="115" t="n"/>
      <c r="J226" s="115" t="n"/>
      <c r="K226" s="115" t="n"/>
      <c r="L226" s="115" t="n"/>
      <c r="M226" s="115" t="n"/>
      <c r="N226" s="115" t="n"/>
      <c r="O226" s="115" t="n"/>
      <c r="P226" s="115" t="n"/>
      <c r="Q226" s="115" t="n"/>
      <c r="R226" s="115" t="n"/>
      <c r="S226" s="115" t="n"/>
      <c r="T226" s="115" t="n"/>
      <c r="U226" s="116" t="n"/>
      <c r="V226" s="116" t="n"/>
      <c r="W226" s="117" t="n"/>
      <c r="X226" s="118" t="n"/>
      <c r="Y226" s="119" t="n"/>
      <c r="Z226" s="120" t="n"/>
      <c r="AA226" s="121" t="n"/>
      <c r="AB226" s="122" t="n"/>
      <c r="AC226" s="117" t="n"/>
      <c r="AD226" s="123">
        <f>IF(SUM($AE226:$AH226)=0,"",SUM($AE226:$AH226))</f>
        <v/>
      </c>
      <c r="AE226" s="123">
        <f>iferror(IF(SUM($AI226:$AZ226)=0,"",SUM($AI226:$AZ226)),"")</f>
        <v/>
      </c>
      <c r="AF226" s="123">
        <f>iferror(IF(SUM($BA226:$BC226)=0,"",SUM($BA226:$BC226)),"")</f>
        <v/>
      </c>
      <c r="AG226" s="123">
        <f>iferror(IF(SUM($BD226:$BF226)=0,"",SUM($BD226:$BF226)),"")</f>
        <v/>
      </c>
      <c r="AH226" s="124">
        <f>iferror(IF(SUM($BG226:$BI226)=0,"",SUM($BG226:$BI226)),"")</f>
        <v/>
      </c>
      <c r="AI226" s="131" t="n"/>
      <c r="AJ226" s="132" t="n"/>
      <c r="AK226" s="132" t="n"/>
      <c r="AL226" s="132" t="n"/>
      <c r="AM226" s="132" t="n"/>
      <c r="AN226" s="132" t="n"/>
      <c r="AO226" s="132" t="n"/>
      <c r="AP226" s="132" t="n"/>
      <c r="AQ226" s="132" t="n"/>
      <c r="AR226" s="132" t="n"/>
      <c r="AS226" s="132" t="n"/>
      <c r="AT226" s="132" t="n"/>
      <c r="AU226" s="132" t="n"/>
      <c r="AV226" s="132" t="n"/>
      <c r="AW226" s="132" t="n"/>
      <c r="AX226" s="132" t="n"/>
      <c r="AY226" s="132" t="n"/>
      <c r="AZ226" s="133" t="n"/>
      <c r="BA226" s="131" t="n"/>
      <c r="BB226" s="132" t="n"/>
      <c r="BC226" s="133" t="n"/>
      <c r="BD226" s="131" t="n"/>
      <c r="BE226" s="132" t="n"/>
      <c r="BF226" s="133" t="n"/>
      <c r="BG226" s="131" t="n"/>
      <c r="BH226" s="132" t="n"/>
      <c r="BI226" s="132" t="n"/>
      <c r="BJ226" s="128">
        <f>iferror(SUM($BK226,($BL226*1.2),($BM226*1.35),($BN226*0.74)),)</f>
        <v/>
      </c>
      <c r="BK226" s="128">
        <f>IFERROR(SUM($BT226:$CK226),)</f>
        <v/>
      </c>
      <c r="BL226" s="129">
        <f>IFERROR(SUM($CL226:$CN226),)</f>
        <v/>
      </c>
      <c r="BM226" s="130">
        <f>IFERROR(SUM($CO226:$CQ226),)</f>
        <v/>
      </c>
      <c r="BN226" s="128">
        <f>IFERROR(SUM($CR226:$CT226),)</f>
        <v/>
      </c>
      <c r="BO226" s="128">
        <f>iferror(SUM($BP226,($BQ226*1.2),($BR226*1.35),($BS226*0.74)),)</f>
        <v/>
      </c>
      <c r="BP226" s="128">
        <f>IFERROR(SUM($CU226:$DL226),)</f>
        <v/>
      </c>
      <c r="BQ226" s="128">
        <f>IFERROR(SUM($DM226:$DO226),)</f>
        <v/>
      </c>
      <c r="BR226" s="128">
        <f>IFERROR(SUM($DP226:$DR226),)</f>
        <v/>
      </c>
      <c r="BS226" s="128">
        <f>IFERROR(SUM($DS226:$DU226),)</f>
        <v/>
      </c>
      <c r="BT226" s="128">
        <f>IFERROR(AI226*$W226,)</f>
        <v/>
      </c>
      <c r="BU226" s="128">
        <f>IFERROR(AJ226*$W226,)</f>
        <v/>
      </c>
      <c r="BV226" s="128">
        <f>IFERROR(AK226*$W226,)</f>
        <v/>
      </c>
      <c r="BW226" s="128">
        <f>IFERROR(AL226*$W226,)</f>
        <v/>
      </c>
      <c r="BX226" s="128">
        <f>IFERROR(AM226*$W226,)</f>
        <v/>
      </c>
      <c r="BY226" s="128">
        <f>IFERROR(AN226*$W226,)</f>
        <v/>
      </c>
      <c r="BZ226" s="128">
        <f>IFERROR(AO226*$W226,)</f>
        <v/>
      </c>
      <c r="CA226" s="128">
        <f>IFERROR(AP226*$W226,)</f>
        <v/>
      </c>
      <c r="CB226" s="128">
        <f>IFERROR(AQ226*$W226,)</f>
        <v/>
      </c>
      <c r="CC226" s="128">
        <f>IFERROR(AR226*$W226,)</f>
        <v/>
      </c>
      <c r="CD226" s="128">
        <f>IFERROR(AS226*$W226,)</f>
        <v/>
      </c>
      <c r="CE226" s="128">
        <f>IFERROR(AT226*$W226,)</f>
        <v/>
      </c>
      <c r="CF226" s="128">
        <f>IFERROR(AU226*$W226,)</f>
        <v/>
      </c>
      <c r="CG226" s="128">
        <f>IFERROR(AV226*$W226,)</f>
        <v/>
      </c>
      <c r="CH226" s="128">
        <f>IFERROR(AW226*$W226,)</f>
        <v/>
      </c>
      <c r="CI226" s="128">
        <f>IFERROR(AX226*$W226,)</f>
        <v/>
      </c>
      <c r="CJ226" s="128">
        <f>IFERROR(AY226*$W226,)</f>
        <v/>
      </c>
      <c r="CK226" s="128">
        <f>IFERROR(AZ226*$W226,)</f>
        <v/>
      </c>
      <c r="CL226" s="129">
        <f>IFERROR(if($Y226=0,BA226*($W226/1.2),BA226*$Y226),"")</f>
        <v/>
      </c>
      <c r="CM226" s="129">
        <f>IFERROR(if($Y226=0,BB226*($W226/1.2),BB226*$Y226),"")</f>
        <v/>
      </c>
      <c r="CN226" s="129">
        <f>IFERROR(if($Y226=0,BC226*($W226/1.2),BC226*$Y226),"")</f>
        <v/>
      </c>
      <c r="CO226" s="130">
        <f>IFERROR(if($AA226=0,($W226/1.35)*BD226,BD226*$AA226),)</f>
        <v/>
      </c>
      <c r="CP226" s="130">
        <f>IFERROR(if($AA226=0,($W226/1.35)*BE226,BE226*$AA226),)</f>
        <v/>
      </c>
      <c r="CQ226" s="130">
        <f>IFERROR(if($AA226=0,($W226/1.35)*BF226,BF226*$AA226),)</f>
        <v/>
      </c>
      <c r="CR226" s="128">
        <f>IFERROR(if($AC226=0,($W226/0.74)*BG226,
BG226*$AC226),)</f>
        <v/>
      </c>
      <c r="CS226" s="128">
        <f>IFERROR(if($AC226=0,($W226/0.74)*BH226,
BH226*$AC226),)</f>
        <v/>
      </c>
      <c r="CT226" s="128">
        <f>IFERROR(if($AC226=0,($W226/0.74)*BI226,
BI226*$AC226),)</f>
        <v/>
      </c>
      <c r="CU226" s="128">
        <f>IFERROR(AI226*$V226,)</f>
        <v/>
      </c>
      <c r="CV226" s="128">
        <f>IFERROR(AJ226*$V226,)</f>
        <v/>
      </c>
      <c r="CW226" s="128">
        <f>IFERROR(AK226*$V226,)</f>
        <v/>
      </c>
      <c r="CX226" s="128">
        <f>IFERROR(AL226*$V226,)</f>
        <v/>
      </c>
      <c r="CY226" s="128">
        <f>IFERROR(AM226*$V226,)</f>
        <v/>
      </c>
      <c r="CZ226" s="128">
        <f>IFERROR(AN226*$V226,)</f>
        <v/>
      </c>
      <c r="DA226" s="128">
        <f>IFERROR(AO226*$V226,)</f>
        <v/>
      </c>
      <c r="DB226" s="128">
        <f>IFERROR(AP226*$V226,)</f>
        <v/>
      </c>
      <c r="DC226" s="128">
        <f>IFERROR(AQ226*$V226,)</f>
        <v/>
      </c>
      <c r="DD226" s="128">
        <f>IFERROR(AR226*$V226,)</f>
        <v/>
      </c>
      <c r="DE226" s="128">
        <f>IFERROR(AS226*$V226,)</f>
        <v/>
      </c>
      <c r="DF226" s="128">
        <f>IFERROR(AT226*$V226,)</f>
        <v/>
      </c>
      <c r="DG226" s="128">
        <f>IFERROR(AU226*$V226,)</f>
        <v/>
      </c>
      <c r="DH226" s="128">
        <f>IFERROR(AV226*$V226,)</f>
        <v/>
      </c>
      <c r="DI226" s="128">
        <f>IFERROR(AW226*$V226,)</f>
        <v/>
      </c>
      <c r="DJ226" s="128">
        <f>IFERROR(AX226*$V226,)</f>
        <v/>
      </c>
      <c r="DK226" s="128">
        <f>IFERROR(AY226*$V226,)</f>
        <v/>
      </c>
      <c r="DL226" s="128">
        <f>IFERROR(AZ226*$V226,)</f>
        <v/>
      </c>
      <c r="DM226" s="129">
        <f>IFERROR(if($X226=0,($V226/1.2)*BA226,
BA226*$X226),)</f>
        <v/>
      </c>
      <c r="DN226" s="129">
        <f>IFERROR(if($X226=0,($V226/1.2)*BB226,
BB226*$X226),)</f>
        <v/>
      </c>
      <c r="DO226" s="129">
        <f>IFERROR(if($X226=0,($V226/1.2)*BC226,
BC226*$X226),)</f>
        <v/>
      </c>
      <c r="DP226" s="130">
        <f>IFERROR(if($Z226=0,($V226/1.35)*BD226,
BD226*$Z226),)</f>
        <v/>
      </c>
      <c r="DQ226" s="130">
        <f>IFERROR(if($Z226=0,($V226/1.35)*BE226,
BE226*$Z226),)</f>
        <v/>
      </c>
      <c r="DR226" s="130">
        <f>IFERROR(if($Z226=0,($V226/1.35)*BF226,
BF226*$Z226),)</f>
        <v/>
      </c>
      <c r="DS226" s="128">
        <f>IFERROR(IF($AB226=0,($V226/0.74)*BG226,
BG226*$AB226),)</f>
        <v/>
      </c>
      <c r="DT226" s="128">
        <f>IFERROR(IF($AB226=0,($V226/0.74)*BH226,
BH226*$AB226),)</f>
        <v/>
      </c>
      <c r="DU226" s="128">
        <f>IFERROR(IF($AB226=0,($V226/0.74)*BI226,
BI226*$AB226),)</f>
        <v/>
      </c>
    </row>
    <row r="227" ht="131.25" customHeight="1" s="162">
      <c r="A227" s="115" t="n"/>
      <c r="B227" s="115" t="n"/>
      <c r="C227" s="115" t="n"/>
      <c r="D227" s="115" t="n"/>
      <c r="E227" s="115" t="n"/>
      <c r="F227" s="115" t="n"/>
      <c r="G227" s="115" t="n"/>
      <c r="H227" s="115" t="n"/>
      <c r="I227" s="115" t="n"/>
      <c r="J227" s="115" t="n"/>
      <c r="K227" s="115" t="n"/>
      <c r="L227" s="115" t="n"/>
      <c r="M227" s="115" t="n"/>
      <c r="N227" s="115" t="n"/>
      <c r="O227" s="115" t="n"/>
      <c r="P227" s="115" t="n"/>
      <c r="Q227" s="115" t="n"/>
      <c r="R227" s="115" t="n"/>
      <c r="S227" s="115" t="n"/>
      <c r="T227" s="115" t="n"/>
      <c r="U227" s="116" t="n"/>
      <c r="V227" s="116" t="n"/>
      <c r="W227" s="117" t="n"/>
      <c r="X227" s="118" t="n"/>
      <c r="Y227" s="119" t="n"/>
      <c r="Z227" s="120" t="n"/>
      <c r="AA227" s="121" t="n"/>
      <c r="AB227" s="122" t="n"/>
      <c r="AC227" s="117" t="n"/>
      <c r="AD227" s="123">
        <f>IF(SUM($AE227:$AH227)=0,"",SUM($AE227:$AH227))</f>
        <v/>
      </c>
      <c r="AE227" s="123">
        <f>iferror(IF(SUM($AI227:$AZ227)=0,"",SUM($AI227:$AZ227)),"")</f>
        <v/>
      </c>
      <c r="AF227" s="123">
        <f>iferror(IF(SUM($BA227:$BC227)=0,"",SUM($BA227:$BC227)),"")</f>
        <v/>
      </c>
      <c r="AG227" s="123">
        <f>iferror(IF(SUM($BD227:$BF227)=0,"",SUM($BD227:$BF227)),"")</f>
        <v/>
      </c>
      <c r="AH227" s="124">
        <f>iferror(IF(SUM($BG227:$BI227)=0,"",SUM($BG227:$BI227)),"")</f>
        <v/>
      </c>
      <c r="AI227" s="131" t="n"/>
      <c r="AJ227" s="132" t="n"/>
      <c r="AK227" s="132" t="n"/>
      <c r="AL227" s="132" t="n"/>
      <c r="AM227" s="132" t="n"/>
      <c r="AN227" s="132" t="n"/>
      <c r="AO227" s="132" t="n"/>
      <c r="AP227" s="132" t="n"/>
      <c r="AQ227" s="132" t="n"/>
      <c r="AR227" s="132" t="n"/>
      <c r="AS227" s="132" t="n"/>
      <c r="AT227" s="132" t="n"/>
      <c r="AU227" s="132" t="n"/>
      <c r="AV227" s="132" t="n"/>
      <c r="AW227" s="132" t="n"/>
      <c r="AX227" s="132" t="n"/>
      <c r="AY227" s="132" t="n"/>
      <c r="AZ227" s="133" t="n"/>
      <c r="BA227" s="131" t="n"/>
      <c r="BB227" s="132" t="n"/>
      <c r="BC227" s="133" t="n"/>
      <c r="BD227" s="131" t="n"/>
      <c r="BE227" s="132" t="n"/>
      <c r="BF227" s="133" t="n"/>
      <c r="BG227" s="131" t="n"/>
      <c r="BH227" s="132" t="n"/>
      <c r="BI227" s="132" t="n"/>
      <c r="BJ227" s="128">
        <f>iferror(SUM($BK227,($BL227*1.2),($BM227*1.35),($BN227*0.74)),)</f>
        <v/>
      </c>
      <c r="BK227" s="128">
        <f>IFERROR(SUM($BT227:$CK227),)</f>
        <v/>
      </c>
      <c r="BL227" s="129">
        <f>IFERROR(SUM($CL227:$CN227),)</f>
        <v/>
      </c>
      <c r="BM227" s="130">
        <f>IFERROR(SUM($CO227:$CQ227),)</f>
        <v/>
      </c>
      <c r="BN227" s="128">
        <f>IFERROR(SUM($CR227:$CT227),)</f>
        <v/>
      </c>
      <c r="BO227" s="128">
        <f>iferror(SUM($BP227,($BQ227*1.2),($BR227*1.35),($BS227*0.74)),)</f>
        <v/>
      </c>
      <c r="BP227" s="128">
        <f>IFERROR(SUM($CU227:$DL227),)</f>
        <v/>
      </c>
      <c r="BQ227" s="128">
        <f>IFERROR(SUM($DM227:$DO227),)</f>
        <v/>
      </c>
      <c r="BR227" s="128">
        <f>IFERROR(SUM($DP227:$DR227),)</f>
        <v/>
      </c>
      <c r="BS227" s="128">
        <f>IFERROR(SUM($DS227:$DU227),)</f>
        <v/>
      </c>
      <c r="BT227" s="128">
        <f>IFERROR(AI227*$W227,)</f>
        <v/>
      </c>
      <c r="BU227" s="128">
        <f>IFERROR(AJ227*$W227,)</f>
        <v/>
      </c>
      <c r="BV227" s="128">
        <f>IFERROR(AK227*$W227,)</f>
        <v/>
      </c>
      <c r="BW227" s="128">
        <f>IFERROR(AL227*$W227,)</f>
        <v/>
      </c>
      <c r="BX227" s="128">
        <f>IFERROR(AM227*$W227,)</f>
        <v/>
      </c>
      <c r="BY227" s="128">
        <f>IFERROR(AN227*$W227,)</f>
        <v/>
      </c>
      <c r="BZ227" s="128">
        <f>IFERROR(AO227*$W227,)</f>
        <v/>
      </c>
      <c r="CA227" s="128">
        <f>IFERROR(AP227*$W227,)</f>
        <v/>
      </c>
      <c r="CB227" s="128">
        <f>IFERROR(AQ227*$W227,)</f>
        <v/>
      </c>
      <c r="CC227" s="128">
        <f>IFERROR(AR227*$W227,)</f>
        <v/>
      </c>
      <c r="CD227" s="128">
        <f>IFERROR(AS227*$W227,)</f>
        <v/>
      </c>
      <c r="CE227" s="128">
        <f>IFERROR(AT227*$W227,)</f>
        <v/>
      </c>
      <c r="CF227" s="128">
        <f>IFERROR(AU227*$W227,)</f>
        <v/>
      </c>
      <c r="CG227" s="128">
        <f>IFERROR(AV227*$W227,)</f>
        <v/>
      </c>
      <c r="CH227" s="128">
        <f>IFERROR(AW227*$W227,)</f>
        <v/>
      </c>
      <c r="CI227" s="128">
        <f>IFERROR(AX227*$W227,)</f>
        <v/>
      </c>
      <c r="CJ227" s="128">
        <f>IFERROR(AY227*$W227,)</f>
        <v/>
      </c>
      <c r="CK227" s="128">
        <f>IFERROR(AZ227*$W227,)</f>
        <v/>
      </c>
      <c r="CL227" s="129">
        <f>IFERROR(if($Y227=0,BA227*($W227/1.2),BA227*$Y227),"")</f>
        <v/>
      </c>
      <c r="CM227" s="129">
        <f>IFERROR(if($Y227=0,BB227*($W227/1.2),BB227*$Y227),"")</f>
        <v/>
      </c>
      <c r="CN227" s="129">
        <f>IFERROR(if($Y227=0,BC227*($W227/1.2),BC227*$Y227),"")</f>
        <v/>
      </c>
      <c r="CO227" s="130">
        <f>IFERROR(if($AA227=0,($W227/1.35)*BD227,BD227*$AA227),)</f>
        <v/>
      </c>
      <c r="CP227" s="130">
        <f>IFERROR(if($AA227=0,($W227/1.35)*BE227,BE227*$AA227),)</f>
        <v/>
      </c>
      <c r="CQ227" s="130">
        <f>IFERROR(if($AA227=0,($W227/1.35)*BF227,BF227*$AA227),)</f>
        <v/>
      </c>
      <c r="CR227" s="128">
        <f>IFERROR(if($AC227=0,($W227/0.74)*BG227,
BG227*$AC227),)</f>
        <v/>
      </c>
      <c r="CS227" s="128">
        <f>IFERROR(if($AC227=0,($W227/0.74)*BH227,
BH227*$AC227),)</f>
        <v/>
      </c>
      <c r="CT227" s="128">
        <f>IFERROR(if($AC227=0,($W227/0.74)*BI227,
BI227*$AC227),)</f>
        <v/>
      </c>
      <c r="CU227" s="128">
        <f>IFERROR(AI227*$V227,)</f>
        <v/>
      </c>
      <c r="CV227" s="128">
        <f>IFERROR(AJ227*$V227,)</f>
        <v/>
      </c>
      <c r="CW227" s="128">
        <f>IFERROR(AK227*$V227,)</f>
        <v/>
      </c>
      <c r="CX227" s="128">
        <f>IFERROR(AL227*$V227,)</f>
        <v/>
      </c>
      <c r="CY227" s="128">
        <f>IFERROR(AM227*$V227,)</f>
        <v/>
      </c>
      <c r="CZ227" s="128">
        <f>IFERROR(AN227*$V227,)</f>
        <v/>
      </c>
      <c r="DA227" s="128">
        <f>IFERROR(AO227*$V227,)</f>
        <v/>
      </c>
      <c r="DB227" s="128">
        <f>IFERROR(AP227*$V227,)</f>
        <v/>
      </c>
      <c r="DC227" s="128">
        <f>IFERROR(AQ227*$V227,)</f>
        <v/>
      </c>
      <c r="DD227" s="128">
        <f>IFERROR(AR227*$V227,)</f>
        <v/>
      </c>
      <c r="DE227" s="128">
        <f>IFERROR(AS227*$V227,)</f>
        <v/>
      </c>
      <c r="DF227" s="128">
        <f>IFERROR(AT227*$V227,)</f>
        <v/>
      </c>
      <c r="DG227" s="128">
        <f>IFERROR(AU227*$V227,)</f>
        <v/>
      </c>
      <c r="DH227" s="128">
        <f>IFERROR(AV227*$V227,)</f>
        <v/>
      </c>
      <c r="DI227" s="128">
        <f>IFERROR(AW227*$V227,)</f>
        <v/>
      </c>
      <c r="DJ227" s="128">
        <f>IFERROR(AX227*$V227,)</f>
        <v/>
      </c>
      <c r="DK227" s="128">
        <f>IFERROR(AY227*$V227,)</f>
        <v/>
      </c>
      <c r="DL227" s="128">
        <f>IFERROR(AZ227*$V227,)</f>
        <v/>
      </c>
      <c r="DM227" s="129">
        <f>IFERROR(if($X227=0,($V227/1.2)*BA227,
BA227*$X227),)</f>
        <v/>
      </c>
      <c r="DN227" s="129">
        <f>IFERROR(if($X227=0,($V227/1.2)*BB227,
BB227*$X227),)</f>
        <v/>
      </c>
      <c r="DO227" s="129">
        <f>IFERROR(if($X227=0,($V227/1.2)*BC227,
BC227*$X227),)</f>
        <v/>
      </c>
      <c r="DP227" s="130">
        <f>IFERROR(if($Z227=0,($V227/1.35)*BD227,
BD227*$Z227),)</f>
        <v/>
      </c>
      <c r="DQ227" s="130">
        <f>IFERROR(if($Z227=0,($V227/1.35)*BE227,
BE227*$Z227),)</f>
        <v/>
      </c>
      <c r="DR227" s="130">
        <f>IFERROR(if($Z227=0,($V227/1.35)*BF227,
BF227*$Z227),)</f>
        <v/>
      </c>
      <c r="DS227" s="128">
        <f>IFERROR(IF($AB227=0,($V227/0.74)*BG227,
BG227*$AB227),)</f>
        <v/>
      </c>
      <c r="DT227" s="128">
        <f>IFERROR(IF($AB227=0,($V227/0.74)*BH227,
BH227*$AB227),)</f>
        <v/>
      </c>
      <c r="DU227" s="128">
        <f>IFERROR(IF($AB227=0,($V227/0.74)*BI227,
BI227*$AB227),)</f>
        <v/>
      </c>
    </row>
    <row r="228" ht="131.25" customHeight="1" s="162">
      <c r="A228" s="115" t="n"/>
      <c r="B228" s="115" t="n"/>
      <c r="C228" s="115" t="n"/>
      <c r="D228" s="115" t="n"/>
      <c r="E228" s="115" t="n"/>
      <c r="F228" s="115" t="n"/>
      <c r="G228" s="115" t="n"/>
      <c r="H228" s="115" t="n"/>
      <c r="I228" s="115" t="n"/>
      <c r="J228" s="115" t="n"/>
      <c r="K228" s="115" t="n"/>
      <c r="L228" s="115" t="n"/>
      <c r="M228" s="115" t="n"/>
      <c r="N228" s="115" t="n"/>
      <c r="O228" s="115" t="n"/>
      <c r="P228" s="115" t="n"/>
      <c r="Q228" s="115" t="n"/>
      <c r="R228" s="115" t="n"/>
      <c r="S228" s="115" t="n"/>
      <c r="T228" s="115" t="n"/>
      <c r="U228" s="116" t="n"/>
      <c r="V228" s="116" t="n"/>
      <c r="W228" s="117" t="n"/>
      <c r="X228" s="118" t="n"/>
      <c r="Y228" s="119" t="n"/>
      <c r="Z228" s="120" t="n"/>
      <c r="AA228" s="121" t="n"/>
      <c r="AB228" s="122" t="n"/>
      <c r="AC228" s="117" t="n"/>
      <c r="AD228" s="123">
        <f>IF(SUM($AE228:$AH228)=0,"",SUM($AE228:$AH228))</f>
        <v/>
      </c>
      <c r="AE228" s="123">
        <f>iferror(IF(SUM($AI228:$AZ228)=0,"",SUM($AI228:$AZ228)),"")</f>
        <v/>
      </c>
      <c r="AF228" s="123">
        <f>iferror(IF(SUM($BA228:$BC228)=0,"",SUM($BA228:$BC228)),"")</f>
        <v/>
      </c>
      <c r="AG228" s="123">
        <f>iferror(IF(SUM($BD228:$BF228)=0,"",SUM($BD228:$BF228)),"")</f>
        <v/>
      </c>
      <c r="AH228" s="124">
        <f>iferror(IF(SUM($BG228:$BI228)=0,"",SUM($BG228:$BI228)),"")</f>
        <v/>
      </c>
      <c r="AI228" s="131" t="n"/>
      <c r="AJ228" s="132" t="n"/>
      <c r="AK228" s="132" t="n"/>
      <c r="AL228" s="132" t="n"/>
      <c r="AM228" s="132" t="n"/>
      <c r="AN228" s="132" t="n"/>
      <c r="AO228" s="132" t="n"/>
      <c r="AP228" s="132" t="n"/>
      <c r="AQ228" s="132" t="n"/>
      <c r="AR228" s="132" t="n"/>
      <c r="AS228" s="132" t="n"/>
      <c r="AT228" s="132" t="n"/>
      <c r="AU228" s="132" t="n"/>
      <c r="AV228" s="132" t="n"/>
      <c r="AW228" s="132" t="n"/>
      <c r="AX228" s="132" t="n"/>
      <c r="AY228" s="132" t="n"/>
      <c r="AZ228" s="133" t="n"/>
      <c r="BA228" s="131" t="n"/>
      <c r="BB228" s="132" t="n"/>
      <c r="BC228" s="133" t="n"/>
      <c r="BD228" s="131" t="n"/>
      <c r="BE228" s="132" t="n"/>
      <c r="BF228" s="133" t="n"/>
      <c r="BG228" s="131" t="n"/>
      <c r="BH228" s="132" t="n"/>
      <c r="BI228" s="132" t="n"/>
      <c r="BJ228" s="128">
        <f>iferror(SUM($BK228,($BL228*1.2),($BM228*1.35),($BN228*0.74)),)</f>
        <v/>
      </c>
      <c r="BK228" s="128">
        <f>IFERROR(SUM($BT228:$CK228),)</f>
        <v/>
      </c>
      <c r="BL228" s="129">
        <f>IFERROR(SUM($CL228:$CN228),)</f>
        <v/>
      </c>
      <c r="BM228" s="130">
        <f>IFERROR(SUM($CO228:$CQ228),)</f>
        <v/>
      </c>
      <c r="BN228" s="128">
        <f>IFERROR(SUM($CR228:$CT228),)</f>
        <v/>
      </c>
      <c r="BO228" s="128">
        <f>iferror(SUM($BP228,($BQ228*1.2),($BR228*1.35),($BS228*0.74)),)</f>
        <v/>
      </c>
      <c r="BP228" s="128">
        <f>IFERROR(SUM($CU228:$DL228),)</f>
        <v/>
      </c>
      <c r="BQ228" s="128">
        <f>IFERROR(SUM($DM228:$DO228),)</f>
        <v/>
      </c>
      <c r="BR228" s="128">
        <f>IFERROR(SUM($DP228:$DR228),)</f>
        <v/>
      </c>
      <c r="BS228" s="128">
        <f>IFERROR(SUM($DS228:$DU228),)</f>
        <v/>
      </c>
      <c r="BT228" s="128">
        <f>IFERROR(AI228*$W228,)</f>
        <v/>
      </c>
      <c r="BU228" s="128">
        <f>IFERROR(AJ228*$W228,)</f>
        <v/>
      </c>
      <c r="BV228" s="128">
        <f>IFERROR(AK228*$W228,)</f>
        <v/>
      </c>
      <c r="BW228" s="128">
        <f>IFERROR(AL228*$W228,)</f>
        <v/>
      </c>
      <c r="BX228" s="128">
        <f>IFERROR(AM228*$W228,)</f>
        <v/>
      </c>
      <c r="BY228" s="128">
        <f>IFERROR(AN228*$W228,)</f>
        <v/>
      </c>
      <c r="BZ228" s="128">
        <f>IFERROR(AO228*$W228,)</f>
        <v/>
      </c>
      <c r="CA228" s="128">
        <f>IFERROR(AP228*$W228,)</f>
        <v/>
      </c>
      <c r="CB228" s="128">
        <f>IFERROR(AQ228*$W228,)</f>
        <v/>
      </c>
      <c r="CC228" s="128">
        <f>IFERROR(AR228*$W228,)</f>
        <v/>
      </c>
      <c r="CD228" s="128">
        <f>IFERROR(AS228*$W228,)</f>
        <v/>
      </c>
      <c r="CE228" s="128">
        <f>IFERROR(AT228*$W228,)</f>
        <v/>
      </c>
      <c r="CF228" s="128">
        <f>IFERROR(AU228*$W228,)</f>
        <v/>
      </c>
      <c r="CG228" s="128">
        <f>IFERROR(AV228*$W228,)</f>
        <v/>
      </c>
      <c r="CH228" s="128">
        <f>IFERROR(AW228*$W228,)</f>
        <v/>
      </c>
      <c r="CI228" s="128">
        <f>IFERROR(AX228*$W228,)</f>
        <v/>
      </c>
      <c r="CJ228" s="128">
        <f>IFERROR(AY228*$W228,)</f>
        <v/>
      </c>
      <c r="CK228" s="128">
        <f>IFERROR(AZ228*$W228,)</f>
        <v/>
      </c>
      <c r="CL228" s="129">
        <f>IFERROR(if($Y228=0,BA228*($W228/1.2),BA228*$Y228),"")</f>
        <v/>
      </c>
      <c r="CM228" s="129">
        <f>IFERROR(if($Y228=0,BB228*($W228/1.2),BB228*$Y228),"")</f>
        <v/>
      </c>
      <c r="CN228" s="129">
        <f>IFERROR(if($Y228=0,BC228*($W228/1.2),BC228*$Y228),"")</f>
        <v/>
      </c>
      <c r="CO228" s="130">
        <f>IFERROR(if($AA228=0,($W228/1.35)*BD228,BD228*$AA228),)</f>
        <v/>
      </c>
      <c r="CP228" s="130">
        <f>IFERROR(if($AA228=0,($W228/1.35)*BE228,BE228*$AA228),)</f>
        <v/>
      </c>
      <c r="CQ228" s="130">
        <f>IFERROR(if($AA228=0,($W228/1.35)*BF228,BF228*$AA228),)</f>
        <v/>
      </c>
      <c r="CR228" s="128">
        <f>IFERROR(if($AC228=0,($W228/0.74)*BG228,
BG228*$AC228),)</f>
        <v/>
      </c>
      <c r="CS228" s="128">
        <f>IFERROR(if($AC228=0,($W228/0.74)*BH228,
BH228*$AC228),)</f>
        <v/>
      </c>
      <c r="CT228" s="128">
        <f>IFERROR(if($AC228=0,($W228/0.74)*BI228,
BI228*$AC228),)</f>
        <v/>
      </c>
      <c r="CU228" s="128">
        <f>IFERROR(AI228*$V228,)</f>
        <v/>
      </c>
      <c r="CV228" s="128">
        <f>IFERROR(AJ228*$V228,)</f>
        <v/>
      </c>
      <c r="CW228" s="128">
        <f>IFERROR(AK228*$V228,)</f>
        <v/>
      </c>
      <c r="CX228" s="128">
        <f>IFERROR(AL228*$V228,)</f>
        <v/>
      </c>
      <c r="CY228" s="128">
        <f>IFERROR(AM228*$V228,)</f>
        <v/>
      </c>
      <c r="CZ228" s="128">
        <f>IFERROR(AN228*$V228,)</f>
        <v/>
      </c>
      <c r="DA228" s="128">
        <f>IFERROR(AO228*$V228,)</f>
        <v/>
      </c>
      <c r="DB228" s="128">
        <f>IFERROR(AP228*$V228,)</f>
        <v/>
      </c>
      <c r="DC228" s="128">
        <f>IFERROR(AQ228*$V228,)</f>
        <v/>
      </c>
      <c r="DD228" s="128">
        <f>IFERROR(AR228*$V228,)</f>
        <v/>
      </c>
      <c r="DE228" s="128">
        <f>IFERROR(AS228*$V228,)</f>
        <v/>
      </c>
      <c r="DF228" s="128">
        <f>IFERROR(AT228*$V228,)</f>
        <v/>
      </c>
      <c r="DG228" s="128">
        <f>IFERROR(AU228*$V228,)</f>
        <v/>
      </c>
      <c r="DH228" s="128">
        <f>IFERROR(AV228*$V228,)</f>
        <v/>
      </c>
      <c r="DI228" s="128">
        <f>IFERROR(AW228*$V228,)</f>
        <v/>
      </c>
      <c r="DJ228" s="128">
        <f>IFERROR(AX228*$V228,)</f>
        <v/>
      </c>
      <c r="DK228" s="128">
        <f>IFERROR(AY228*$V228,)</f>
        <v/>
      </c>
      <c r="DL228" s="128">
        <f>IFERROR(AZ228*$V228,)</f>
        <v/>
      </c>
      <c r="DM228" s="129">
        <f>IFERROR(if($X228=0,($V228/1.2)*BA228,
BA228*$X228),)</f>
        <v/>
      </c>
      <c r="DN228" s="129">
        <f>IFERROR(if($X228=0,($V228/1.2)*BB228,
BB228*$X228),)</f>
        <v/>
      </c>
      <c r="DO228" s="129">
        <f>IFERROR(if($X228=0,($V228/1.2)*BC228,
BC228*$X228),)</f>
        <v/>
      </c>
      <c r="DP228" s="130">
        <f>IFERROR(if($Z228=0,($V228/1.35)*BD228,
BD228*$Z228),)</f>
        <v/>
      </c>
      <c r="DQ228" s="130">
        <f>IFERROR(if($Z228=0,($V228/1.35)*BE228,
BE228*$Z228),)</f>
        <v/>
      </c>
      <c r="DR228" s="130">
        <f>IFERROR(if($Z228=0,($V228/1.35)*BF228,
BF228*$Z228),)</f>
        <v/>
      </c>
      <c r="DS228" s="128">
        <f>IFERROR(IF($AB228=0,($V228/0.74)*BG228,
BG228*$AB228),)</f>
        <v/>
      </c>
      <c r="DT228" s="128">
        <f>IFERROR(IF($AB228=0,($V228/0.74)*BH228,
BH228*$AB228),)</f>
        <v/>
      </c>
      <c r="DU228" s="128">
        <f>IFERROR(IF($AB228=0,($V228/0.74)*BI228,
BI228*$AB228),)</f>
        <v/>
      </c>
    </row>
    <row r="229" ht="131.25" customHeight="1" s="162">
      <c r="A229" s="115" t="n"/>
      <c r="B229" s="115" t="n"/>
      <c r="C229" s="115" t="n"/>
      <c r="D229" s="115" t="n"/>
      <c r="E229" s="115" t="n"/>
      <c r="F229" s="115" t="n"/>
      <c r="G229" s="115" t="n"/>
      <c r="H229" s="115" t="n"/>
      <c r="I229" s="115" t="n"/>
      <c r="J229" s="115" t="n"/>
      <c r="K229" s="115" t="n"/>
      <c r="L229" s="115" t="n"/>
      <c r="M229" s="115" t="n"/>
      <c r="N229" s="115" t="n"/>
      <c r="O229" s="115" t="n"/>
      <c r="P229" s="115" t="n"/>
      <c r="Q229" s="115" t="n"/>
      <c r="R229" s="115" t="n"/>
      <c r="S229" s="115" t="n"/>
      <c r="T229" s="115" t="n"/>
      <c r="U229" s="116" t="n"/>
      <c r="V229" s="116" t="n"/>
      <c r="W229" s="117" t="n"/>
      <c r="X229" s="118" t="n"/>
      <c r="Y229" s="119" t="n"/>
      <c r="Z229" s="120" t="n"/>
      <c r="AA229" s="121" t="n"/>
      <c r="AB229" s="122" t="n"/>
      <c r="AC229" s="117" t="n"/>
      <c r="AD229" s="123">
        <f>IF(SUM($AE229:$AH229)=0,"",SUM($AE229:$AH229))</f>
        <v/>
      </c>
      <c r="AE229" s="123">
        <f>iferror(IF(SUM($AI229:$AZ229)=0,"",SUM($AI229:$AZ229)),"")</f>
        <v/>
      </c>
      <c r="AF229" s="123">
        <f>iferror(IF(SUM($BA229:$BC229)=0,"",SUM($BA229:$BC229)),"")</f>
        <v/>
      </c>
      <c r="AG229" s="123">
        <f>iferror(IF(SUM($BD229:$BF229)=0,"",SUM($BD229:$BF229)),"")</f>
        <v/>
      </c>
      <c r="AH229" s="124">
        <f>iferror(IF(SUM($BG229:$BI229)=0,"",SUM($BG229:$BI229)),"")</f>
        <v/>
      </c>
      <c r="AI229" s="131" t="n"/>
      <c r="AJ229" s="132" t="n"/>
      <c r="AK229" s="132" t="n"/>
      <c r="AL229" s="132" t="n"/>
      <c r="AM229" s="132" t="n"/>
      <c r="AN229" s="132" t="n"/>
      <c r="AO229" s="132" t="n"/>
      <c r="AP229" s="132" t="n"/>
      <c r="AQ229" s="132" t="n"/>
      <c r="AR229" s="132" t="n"/>
      <c r="AS229" s="132" t="n"/>
      <c r="AT229" s="132" t="n"/>
      <c r="AU229" s="132" t="n"/>
      <c r="AV229" s="132" t="n"/>
      <c r="AW229" s="132" t="n"/>
      <c r="AX229" s="132" t="n"/>
      <c r="AY229" s="132" t="n"/>
      <c r="AZ229" s="133" t="n"/>
      <c r="BA229" s="131" t="n"/>
      <c r="BB229" s="132" t="n"/>
      <c r="BC229" s="133" t="n"/>
      <c r="BD229" s="131" t="n"/>
      <c r="BE229" s="132" t="n"/>
      <c r="BF229" s="133" t="n"/>
      <c r="BG229" s="131" t="n"/>
      <c r="BH229" s="132" t="n"/>
      <c r="BI229" s="132" t="n"/>
      <c r="BJ229" s="128">
        <f>iferror(SUM($BK229,($BL229*1.2),($BM229*1.35),($BN229*0.74)),)</f>
        <v/>
      </c>
      <c r="BK229" s="128">
        <f>IFERROR(SUM($BT229:$CK229),)</f>
        <v/>
      </c>
      <c r="BL229" s="129">
        <f>IFERROR(SUM($CL229:$CN229),)</f>
        <v/>
      </c>
      <c r="BM229" s="130">
        <f>IFERROR(SUM($CO229:$CQ229),)</f>
        <v/>
      </c>
      <c r="BN229" s="128">
        <f>IFERROR(SUM($CR229:$CT229),)</f>
        <v/>
      </c>
      <c r="BO229" s="128">
        <f>iferror(SUM($BP229,($BQ229*1.2),($BR229*1.35),($BS229*0.74)),)</f>
        <v/>
      </c>
      <c r="BP229" s="128">
        <f>IFERROR(SUM($CU229:$DL229),)</f>
        <v/>
      </c>
      <c r="BQ229" s="128">
        <f>IFERROR(SUM($DM229:$DO229),)</f>
        <v/>
      </c>
      <c r="BR229" s="128">
        <f>IFERROR(SUM($DP229:$DR229),)</f>
        <v/>
      </c>
      <c r="BS229" s="128">
        <f>IFERROR(SUM($DS229:$DU229),)</f>
        <v/>
      </c>
      <c r="BT229" s="128">
        <f>IFERROR(AI229*$W229,)</f>
        <v/>
      </c>
      <c r="BU229" s="128">
        <f>IFERROR(AJ229*$W229,)</f>
        <v/>
      </c>
      <c r="BV229" s="128">
        <f>IFERROR(AK229*$W229,)</f>
        <v/>
      </c>
      <c r="BW229" s="128">
        <f>IFERROR(AL229*$W229,)</f>
        <v/>
      </c>
      <c r="BX229" s="128">
        <f>IFERROR(AM229*$W229,)</f>
        <v/>
      </c>
      <c r="BY229" s="128">
        <f>IFERROR(AN229*$W229,)</f>
        <v/>
      </c>
      <c r="BZ229" s="128">
        <f>IFERROR(AO229*$W229,)</f>
        <v/>
      </c>
      <c r="CA229" s="128">
        <f>IFERROR(AP229*$W229,)</f>
        <v/>
      </c>
      <c r="CB229" s="128">
        <f>IFERROR(AQ229*$W229,)</f>
        <v/>
      </c>
      <c r="CC229" s="128">
        <f>IFERROR(AR229*$W229,)</f>
        <v/>
      </c>
      <c r="CD229" s="128">
        <f>IFERROR(AS229*$W229,)</f>
        <v/>
      </c>
      <c r="CE229" s="128">
        <f>IFERROR(AT229*$W229,)</f>
        <v/>
      </c>
      <c r="CF229" s="128">
        <f>IFERROR(AU229*$W229,)</f>
        <v/>
      </c>
      <c r="CG229" s="128">
        <f>IFERROR(AV229*$W229,)</f>
        <v/>
      </c>
      <c r="CH229" s="128">
        <f>IFERROR(AW229*$W229,)</f>
        <v/>
      </c>
      <c r="CI229" s="128">
        <f>IFERROR(AX229*$W229,)</f>
        <v/>
      </c>
      <c r="CJ229" s="128">
        <f>IFERROR(AY229*$W229,)</f>
        <v/>
      </c>
      <c r="CK229" s="128">
        <f>IFERROR(AZ229*$W229,)</f>
        <v/>
      </c>
      <c r="CL229" s="129">
        <f>IFERROR(if($Y229=0,BA229*($W229/1.2),BA229*$Y229),"")</f>
        <v/>
      </c>
      <c r="CM229" s="129">
        <f>IFERROR(if($Y229=0,BB229*($W229/1.2),BB229*$Y229),"")</f>
        <v/>
      </c>
      <c r="CN229" s="129">
        <f>IFERROR(if($Y229=0,BC229*($W229/1.2),BC229*$Y229),"")</f>
        <v/>
      </c>
      <c r="CO229" s="130">
        <f>IFERROR(if($AA229=0,($W229/1.35)*BD229,BD229*$AA229),)</f>
        <v/>
      </c>
      <c r="CP229" s="130">
        <f>IFERROR(if($AA229=0,($W229/1.35)*BE229,BE229*$AA229),)</f>
        <v/>
      </c>
      <c r="CQ229" s="130">
        <f>IFERROR(if($AA229=0,($W229/1.35)*BF229,BF229*$AA229),)</f>
        <v/>
      </c>
      <c r="CR229" s="128">
        <f>IFERROR(if($AC229=0,($W229/0.74)*BG229,
BG229*$AC229),)</f>
        <v/>
      </c>
      <c r="CS229" s="128">
        <f>IFERROR(if($AC229=0,($W229/0.74)*BH229,
BH229*$AC229),)</f>
        <v/>
      </c>
      <c r="CT229" s="128">
        <f>IFERROR(if($AC229=0,($W229/0.74)*BI229,
BI229*$AC229),)</f>
        <v/>
      </c>
      <c r="CU229" s="128">
        <f>IFERROR(AI229*$V229,)</f>
        <v/>
      </c>
      <c r="CV229" s="128">
        <f>IFERROR(AJ229*$V229,)</f>
        <v/>
      </c>
      <c r="CW229" s="128">
        <f>IFERROR(AK229*$V229,)</f>
        <v/>
      </c>
      <c r="CX229" s="128">
        <f>IFERROR(AL229*$V229,)</f>
        <v/>
      </c>
      <c r="CY229" s="128">
        <f>IFERROR(AM229*$V229,)</f>
        <v/>
      </c>
      <c r="CZ229" s="128">
        <f>IFERROR(AN229*$V229,)</f>
        <v/>
      </c>
      <c r="DA229" s="128">
        <f>IFERROR(AO229*$V229,)</f>
        <v/>
      </c>
      <c r="DB229" s="128">
        <f>IFERROR(AP229*$V229,)</f>
        <v/>
      </c>
      <c r="DC229" s="128">
        <f>IFERROR(AQ229*$V229,)</f>
        <v/>
      </c>
      <c r="DD229" s="128">
        <f>IFERROR(AR229*$V229,)</f>
        <v/>
      </c>
      <c r="DE229" s="128">
        <f>IFERROR(AS229*$V229,)</f>
        <v/>
      </c>
      <c r="DF229" s="128">
        <f>IFERROR(AT229*$V229,)</f>
        <v/>
      </c>
      <c r="DG229" s="128">
        <f>IFERROR(AU229*$V229,)</f>
        <v/>
      </c>
      <c r="DH229" s="128">
        <f>IFERROR(AV229*$V229,)</f>
        <v/>
      </c>
      <c r="DI229" s="128">
        <f>IFERROR(AW229*$V229,)</f>
        <v/>
      </c>
      <c r="DJ229" s="128">
        <f>IFERROR(AX229*$V229,)</f>
        <v/>
      </c>
      <c r="DK229" s="128">
        <f>IFERROR(AY229*$V229,)</f>
        <v/>
      </c>
      <c r="DL229" s="128">
        <f>IFERROR(AZ229*$V229,)</f>
        <v/>
      </c>
      <c r="DM229" s="129">
        <f>IFERROR(if($X229=0,($V229/1.2)*BA229,
BA229*$X229),)</f>
        <v/>
      </c>
      <c r="DN229" s="129">
        <f>IFERROR(if($X229=0,($V229/1.2)*BB229,
BB229*$X229),)</f>
        <v/>
      </c>
      <c r="DO229" s="129">
        <f>IFERROR(if($X229=0,($V229/1.2)*BC229,
BC229*$X229),)</f>
        <v/>
      </c>
      <c r="DP229" s="130">
        <f>IFERROR(if($Z229=0,($V229/1.35)*BD229,
BD229*$Z229),)</f>
        <v/>
      </c>
      <c r="DQ229" s="130">
        <f>IFERROR(if($Z229=0,($V229/1.35)*BE229,
BE229*$Z229),)</f>
        <v/>
      </c>
      <c r="DR229" s="130">
        <f>IFERROR(if($Z229=0,($V229/1.35)*BF229,
BF229*$Z229),)</f>
        <v/>
      </c>
      <c r="DS229" s="128">
        <f>IFERROR(IF($AB229=0,($V229/0.74)*BG229,
BG229*$AB229),)</f>
        <v/>
      </c>
      <c r="DT229" s="128">
        <f>IFERROR(IF($AB229=0,($V229/0.74)*BH229,
BH229*$AB229),)</f>
        <v/>
      </c>
      <c r="DU229" s="128">
        <f>IFERROR(IF($AB229=0,($V229/0.74)*BI229,
BI229*$AB229),)</f>
        <v/>
      </c>
    </row>
    <row r="230" ht="131.25" customHeight="1" s="162">
      <c r="A230" s="115" t="n"/>
      <c r="B230" s="115" t="n"/>
      <c r="C230" s="115" t="n"/>
      <c r="D230" s="115" t="n"/>
      <c r="E230" s="115" t="n"/>
      <c r="F230" s="115" t="n"/>
      <c r="G230" s="115" t="n"/>
      <c r="H230" s="115" t="n"/>
      <c r="I230" s="115" t="n"/>
      <c r="J230" s="115" t="n"/>
      <c r="K230" s="115" t="n"/>
      <c r="L230" s="115" t="n"/>
      <c r="M230" s="115" t="n"/>
      <c r="N230" s="115" t="n"/>
      <c r="O230" s="115" t="n"/>
      <c r="P230" s="115" t="n"/>
      <c r="Q230" s="115" t="n"/>
      <c r="R230" s="115" t="n"/>
      <c r="S230" s="115" t="n"/>
      <c r="T230" s="115" t="n"/>
      <c r="U230" s="116" t="n"/>
      <c r="V230" s="116" t="n"/>
      <c r="W230" s="117" t="n"/>
      <c r="X230" s="118" t="n"/>
      <c r="Y230" s="119" t="n"/>
      <c r="Z230" s="120" t="n"/>
      <c r="AA230" s="121" t="n"/>
      <c r="AB230" s="122" t="n"/>
      <c r="AC230" s="117" t="n"/>
      <c r="AD230" s="123">
        <f>IF(SUM($AE230:$AH230)=0,"",SUM($AE230:$AH230))</f>
        <v/>
      </c>
      <c r="AE230" s="123">
        <f>iferror(IF(SUM($AI230:$AZ230)=0,"",SUM($AI230:$AZ230)),"")</f>
        <v/>
      </c>
      <c r="AF230" s="123">
        <f>iferror(IF(SUM($BA230:$BC230)=0,"",SUM($BA230:$BC230)),"")</f>
        <v/>
      </c>
      <c r="AG230" s="123">
        <f>iferror(IF(SUM($BD230:$BF230)=0,"",SUM($BD230:$BF230)),"")</f>
        <v/>
      </c>
      <c r="AH230" s="124">
        <f>iferror(IF(SUM($BG230:$BI230)=0,"",SUM($BG230:$BI230)),"")</f>
        <v/>
      </c>
      <c r="AI230" s="131" t="n"/>
      <c r="AJ230" s="132" t="n"/>
      <c r="AK230" s="132" t="n"/>
      <c r="AL230" s="132" t="n"/>
      <c r="AM230" s="132" t="n"/>
      <c r="AN230" s="132" t="n"/>
      <c r="AO230" s="132" t="n"/>
      <c r="AP230" s="132" t="n"/>
      <c r="AQ230" s="132" t="n"/>
      <c r="AR230" s="132" t="n"/>
      <c r="AS230" s="132" t="n"/>
      <c r="AT230" s="132" t="n"/>
      <c r="AU230" s="132" t="n"/>
      <c r="AV230" s="132" t="n"/>
      <c r="AW230" s="132" t="n"/>
      <c r="AX230" s="132" t="n"/>
      <c r="AY230" s="132" t="n"/>
      <c r="AZ230" s="133" t="n"/>
      <c r="BA230" s="131" t="n"/>
      <c r="BB230" s="132" t="n"/>
      <c r="BC230" s="133" t="n"/>
      <c r="BD230" s="131" t="n"/>
      <c r="BE230" s="132" t="n"/>
      <c r="BF230" s="133" t="n"/>
      <c r="BG230" s="131" t="n"/>
      <c r="BH230" s="132" t="n"/>
      <c r="BI230" s="132" t="n"/>
      <c r="BJ230" s="128">
        <f>iferror(SUM($BK230,($BL230*1.2),($BM230*1.35),($BN230*0.74)),)</f>
        <v/>
      </c>
      <c r="BK230" s="128">
        <f>IFERROR(SUM($BT230:$CK230),)</f>
        <v/>
      </c>
      <c r="BL230" s="129">
        <f>IFERROR(SUM($CL230:$CN230),)</f>
        <v/>
      </c>
      <c r="BM230" s="130">
        <f>IFERROR(SUM($CO230:$CQ230),)</f>
        <v/>
      </c>
      <c r="BN230" s="128">
        <f>IFERROR(SUM($CR230:$CT230),)</f>
        <v/>
      </c>
      <c r="BO230" s="128">
        <f>iferror(SUM($BP230,($BQ230*1.2),($BR230*1.35),($BS230*0.74)),)</f>
        <v/>
      </c>
      <c r="BP230" s="128">
        <f>IFERROR(SUM($CU230:$DL230),)</f>
        <v/>
      </c>
      <c r="BQ230" s="128">
        <f>IFERROR(SUM($DM230:$DO230),)</f>
        <v/>
      </c>
      <c r="BR230" s="128">
        <f>IFERROR(SUM($DP230:$DR230),)</f>
        <v/>
      </c>
      <c r="BS230" s="128">
        <f>IFERROR(SUM($DS230:$DU230),)</f>
        <v/>
      </c>
      <c r="BT230" s="128">
        <f>IFERROR(AI230*$W230,)</f>
        <v/>
      </c>
      <c r="BU230" s="128">
        <f>IFERROR(AJ230*$W230,)</f>
        <v/>
      </c>
      <c r="BV230" s="128">
        <f>IFERROR(AK230*$W230,)</f>
        <v/>
      </c>
      <c r="BW230" s="128">
        <f>IFERROR(AL230*$W230,)</f>
        <v/>
      </c>
      <c r="BX230" s="128">
        <f>IFERROR(AM230*$W230,)</f>
        <v/>
      </c>
      <c r="BY230" s="128">
        <f>IFERROR(AN230*$W230,)</f>
        <v/>
      </c>
      <c r="BZ230" s="128">
        <f>IFERROR(AO230*$W230,)</f>
        <v/>
      </c>
      <c r="CA230" s="128">
        <f>IFERROR(AP230*$W230,)</f>
        <v/>
      </c>
      <c r="CB230" s="128">
        <f>IFERROR(AQ230*$W230,)</f>
        <v/>
      </c>
      <c r="CC230" s="128">
        <f>IFERROR(AR230*$W230,)</f>
        <v/>
      </c>
      <c r="CD230" s="128">
        <f>IFERROR(AS230*$W230,)</f>
        <v/>
      </c>
      <c r="CE230" s="128">
        <f>IFERROR(AT230*$W230,)</f>
        <v/>
      </c>
      <c r="CF230" s="128">
        <f>IFERROR(AU230*$W230,)</f>
        <v/>
      </c>
      <c r="CG230" s="128">
        <f>IFERROR(AV230*$W230,)</f>
        <v/>
      </c>
      <c r="CH230" s="128">
        <f>IFERROR(AW230*$W230,)</f>
        <v/>
      </c>
      <c r="CI230" s="128">
        <f>IFERROR(AX230*$W230,)</f>
        <v/>
      </c>
      <c r="CJ230" s="128">
        <f>IFERROR(AY230*$W230,)</f>
        <v/>
      </c>
      <c r="CK230" s="128">
        <f>IFERROR(AZ230*$W230,)</f>
        <v/>
      </c>
      <c r="CL230" s="129">
        <f>IFERROR(if($Y230=0,BA230*($W230/1.2),BA230*$Y230),"")</f>
        <v/>
      </c>
      <c r="CM230" s="129">
        <f>IFERROR(if($Y230=0,BB230*($W230/1.2),BB230*$Y230),"")</f>
        <v/>
      </c>
      <c r="CN230" s="129">
        <f>IFERROR(if($Y230=0,BC230*($W230/1.2),BC230*$Y230),"")</f>
        <v/>
      </c>
      <c r="CO230" s="130">
        <f>IFERROR(if($AA230=0,($W230/1.35)*BD230,BD230*$AA230),)</f>
        <v/>
      </c>
      <c r="CP230" s="130">
        <f>IFERROR(if($AA230=0,($W230/1.35)*BE230,BE230*$AA230),)</f>
        <v/>
      </c>
      <c r="CQ230" s="130">
        <f>IFERROR(if($AA230=0,($W230/1.35)*BF230,BF230*$AA230),)</f>
        <v/>
      </c>
      <c r="CR230" s="128">
        <f>IFERROR(if($AC230=0,($W230/0.74)*BG230,
BG230*$AC230),)</f>
        <v/>
      </c>
      <c r="CS230" s="128">
        <f>IFERROR(if($AC230=0,($W230/0.74)*BH230,
BH230*$AC230),)</f>
        <v/>
      </c>
      <c r="CT230" s="128">
        <f>IFERROR(if($AC230=0,($W230/0.74)*BI230,
BI230*$AC230),)</f>
        <v/>
      </c>
      <c r="CU230" s="128">
        <f>IFERROR(AI230*$V230,)</f>
        <v/>
      </c>
      <c r="CV230" s="128">
        <f>IFERROR(AJ230*$V230,)</f>
        <v/>
      </c>
      <c r="CW230" s="128">
        <f>IFERROR(AK230*$V230,)</f>
        <v/>
      </c>
      <c r="CX230" s="128">
        <f>IFERROR(AL230*$V230,)</f>
        <v/>
      </c>
      <c r="CY230" s="128">
        <f>IFERROR(AM230*$V230,)</f>
        <v/>
      </c>
      <c r="CZ230" s="128">
        <f>IFERROR(AN230*$V230,)</f>
        <v/>
      </c>
      <c r="DA230" s="128">
        <f>IFERROR(AO230*$V230,)</f>
        <v/>
      </c>
      <c r="DB230" s="128">
        <f>IFERROR(AP230*$V230,)</f>
        <v/>
      </c>
      <c r="DC230" s="128">
        <f>IFERROR(AQ230*$V230,)</f>
        <v/>
      </c>
      <c r="DD230" s="128">
        <f>IFERROR(AR230*$V230,)</f>
        <v/>
      </c>
      <c r="DE230" s="128">
        <f>IFERROR(AS230*$V230,)</f>
        <v/>
      </c>
      <c r="DF230" s="128">
        <f>IFERROR(AT230*$V230,)</f>
        <v/>
      </c>
      <c r="DG230" s="128">
        <f>IFERROR(AU230*$V230,)</f>
        <v/>
      </c>
      <c r="DH230" s="128">
        <f>IFERROR(AV230*$V230,)</f>
        <v/>
      </c>
      <c r="DI230" s="128">
        <f>IFERROR(AW230*$V230,)</f>
        <v/>
      </c>
      <c r="DJ230" s="128">
        <f>IFERROR(AX230*$V230,)</f>
        <v/>
      </c>
      <c r="DK230" s="128">
        <f>IFERROR(AY230*$V230,)</f>
        <v/>
      </c>
      <c r="DL230" s="128">
        <f>IFERROR(AZ230*$V230,)</f>
        <v/>
      </c>
      <c r="DM230" s="129">
        <f>IFERROR(if($X230=0,($V230/1.2)*BA230,
BA230*$X230),)</f>
        <v/>
      </c>
      <c r="DN230" s="129">
        <f>IFERROR(if($X230=0,($V230/1.2)*BB230,
BB230*$X230),)</f>
        <v/>
      </c>
      <c r="DO230" s="129">
        <f>IFERROR(if($X230=0,($V230/1.2)*BC230,
BC230*$X230),)</f>
        <v/>
      </c>
      <c r="DP230" s="130">
        <f>IFERROR(if($Z230=0,($V230/1.35)*BD230,
BD230*$Z230),)</f>
        <v/>
      </c>
      <c r="DQ230" s="130">
        <f>IFERROR(if($Z230=0,($V230/1.35)*BE230,
BE230*$Z230),)</f>
        <v/>
      </c>
      <c r="DR230" s="130">
        <f>IFERROR(if($Z230=0,($V230/1.35)*BF230,
BF230*$Z230),)</f>
        <v/>
      </c>
      <c r="DS230" s="128">
        <f>IFERROR(IF($AB230=0,($V230/0.74)*BG230,
BG230*$AB230),)</f>
        <v/>
      </c>
      <c r="DT230" s="128">
        <f>IFERROR(IF($AB230=0,($V230/0.74)*BH230,
BH230*$AB230),)</f>
        <v/>
      </c>
      <c r="DU230" s="128">
        <f>IFERROR(IF($AB230=0,($V230/0.74)*BI230,
BI230*$AB230),)</f>
        <v/>
      </c>
    </row>
    <row r="231" ht="131.25" customHeight="1" s="162">
      <c r="A231" s="115" t="n"/>
      <c r="B231" s="115" t="n"/>
      <c r="C231" s="115" t="n"/>
      <c r="D231" s="115" t="n"/>
      <c r="E231" s="115" t="n"/>
      <c r="F231" s="115" t="n"/>
      <c r="G231" s="115" t="n"/>
      <c r="H231" s="115" t="n"/>
      <c r="I231" s="115" t="n"/>
      <c r="J231" s="115" t="n"/>
      <c r="K231" s="115" t="n"/>
      <c r="L231" s="115" t="n"/>
      <c r="M231" s="115" t="n"/>
      <c r="N231" s="115" t="n"/>
      <c r="O231" s="115" t="n"/>
      <c r="P231" s="115" t="n"/>
      <c r="Q231" s="115" t="n"/>
      <c r="R231" s="115" t="n"/>
      <c r="S231" s="115" t="n"/>
      <c r="T231" s="115" t="n"/>
      <c r="U231" s="116" t="n"/>
      <c r="V231" s="116" t="n"/>
      <c r="W231" s="117" t="n"/>
      <c r="X231" s="118" t="n"/>
      <c r="Y231" s="119" t="n"/>
      <c r="Z231" s="120" t="n"/>
      <c r="AA231" s="121" t="n"/>
      <c r="AB231" s="122" t="n"/>
      <c r="AC231" s="117" t="n"/>
      <c r="AD231" s="123">
        <f>IF(SUM($AE231:$AH231)=0,"",SUM($AE231:$AH231))</f>
        <v/>
      </c>
      <c r="AE231" s="123">
        <f>iferror(IF(SUM($AI231:$AZ231)=0,"",SUM($AI231:$AZ231)),"")</f>
        <v/>
      </c>
      <c r="AF231" s="123">
        <f>iferror(IF(SUM($BA231:$BC231)=0,"",SUM($BA231:$BC231)),"")</f>
        <v/>
      </c>
      <c r="AG231" s="123">
        <f>iferror(IF(SUM($BD231:$BF231)=0,"",SUM($BD231:$BF231)),"")</f>
        <v/>
      </c>
      <c r="AH231" s="124">
        <f>iferror(IF(SUM($BG231:$BI231)=0,"",SUM($BG231:$BI231)),"")</f>
        <v/>
      </c>
      <c r="AI231" s="131" t="n"/>
      <c r="AJ231" s="132" t="n"/>
      <c r="AK231" s="132" t="n"/>
      <c r="AL231" s="132" t="n"/>
      <c r="AM231" s="132" t="n"/>
      <c r="AN231" s="132" t="n"/>
      <c r="AO231" s="132" t="n"/>
      <c r="AP231" s="132" t="n"/>
      <c r="AQ231" s="132" t="n"/>
      <c r="AR231" s="132" t="n"/>
      <c r="AS231" s="132" t="n"/>
      <c r="AT231" s="132" t="n"/>
      <c r="AU231" s="132" t="n"/>
      <c r="AV231" s="132" t="n"/>
      <c r="AW231" s="132" t="n"/>
      <c r="AX231" s="132" t="n"/>
      <c r="AY231" s="132" t="n"/>
      <c r="AZ231" s="133" t="n"/>
      <c r="BA231" s="131" t="n"/>
      <c r="BB231" s="132" t="n"/>
      <c r="BC231" s="133" t="n"/>
      <c r="BD231" s="131" t="n"/>
      <c r="BE231" s="132" t="n"/>
      <c r="BF231" s="133" t="n"/>
      <c r="BG231" s="131" t="n"/>
      <c r="BH231" s="132" t="n"/>
      <c r="BI231" s="132" t="n"/>
      <c r="BJ231" s="128">
        <f>iferror(SUM($BK231,($BL231*1.2),($BM231*1.35),($BN231*0.74)),)</f>
        <v/>
      </c>
      <c r="BK231" s="128">
        <f>IFERROR(SUM($BT231:$CK231),)</f>
        <v/>
      </c>
      <c r="BL231" s="129">
        <f>IFERROR(SUM($CL231:$CN231),)</f>
        <v/>
      </c>
      <c r="BM231" s="130">
        <f>IFERROR(SUM($CO231:$CQ231),)</f>
        <v/>
      </c>
      <c r="BN231" s="128">
        <f>IFERROR(SUM($CR231:$CT231),)</f>
        <v/>
      </c>
      <c r="BO231" s="128">
        <f>iferror(SUM($BP231,($BQ231*1.2),($BR231*1.35),($BS231*0.74)),)</f>
        <v/>
      </c>
      <c r="BP231" s="128">
        <f>IFERROR(SUM($CU231:$DL231),)</f>
        <v/>
      </c>
      <c r="BQ231" s="128">
        <f>IFERROR(SUM($DM231:$DO231),)</f>
        <v/>
      </c>
      <c r="BR231" s="128">
        <f>IFERROR(SUM($DP231:$DR231),)</f>
        <v/>
      </c>
      <c r="BS231" s="128">
        <f>IFERROR(SUM($DS231:$DU231),)</f>
        <v/>
      </c>
      <c r="BT231" s="128">
        <f>IFERROR(AI231*$W231,)</f>
        <v/>
      </c>
      <c r="BU231" s="128">
        <f>IFERROR(AJ231*$W231,)</f>
        <v/>
      </c>
      <c r="BV231" s="128">
        <f>IFERROR(AK231*$W231,)</f>
        <v/>
      </c>
      <c r="BW231" s="128">
        <f>IFERROR(AL231*$W231,)</f>
        <v/>
      </c>
      <c r="BX231" s="128">
        <f>IFERROR(AM231*$W231,)</f>
        <v/>
      </c>
      <c r="BY231" s="128">
        <f>IFERROR(AN231*$W231,)</f>
        <v/>
      </c>
      <c r="BZ231" s="128">
        <f>IFERROR(AO231*$W231,)</f>
        <v/>
      </c>
      <c r="CA231" s="128">
        <f>IFERROR(AP231*$W231,)</f>
        <v/>
      </c>
      <c r="CB231" s="128">
        <f>IFERROR(AQ231*$W231,)</f>
        <v/>
      </c>
      <c r="CC231" s="128">
        <f>IFERROR(AR231*$W231,)</f>
        <v/>
      </c>
      <c r="CD231" s="128">
        <f>IFERROR(AS231*$W231,)</f>
        <v/>
      </c>
      <c r="CE231" s="128">
        <f>IFERROR(AT231*$W231,)</f>
        <v/>
      </c>
      <c r="CF231" s="128">
        <f>IFERROR(AU231*$W231,)</f>
        <v/>
      </c>
      <c r="CG231" s="128">
        <f>IFERROR(AV231*$W231,)</f>
        <v/>
      </c>
      <c r="CH231" s="128">
        <f>IFERROR(AW231*$W231,)</f>
        <v/>
      </c>
      <c r="CI231" s="128">
        <f>IFERROR(AX231*$W231,)</f>
        <v/>
      </c>
      <c r="CJ231" s="128">
        <f>IFERROR(AY231*$W231,)</f>
        <v/>
      </c>
      <c r="CK231" s="128">
        <f>IFERROR(AZ231*$W231,)</f>
        <v/>
      </c>
      <c r="CL231" s="129">
        <f>IFERROR(if($Y231=0,BA231*($W231/1.2),BA231*$Y231),"")</f>
        <v/>
      </c>
      <c r="CM231" s="129">
        <f>IFERROR(if($Y231=0,BB231*($W231/1.2),BB231*$Y231),"")</f>
        <v/>
      </c>
      <c r="CN231" s="129">
        <f>IFERROR(if($Y231=0,BC231*($W231/1.2),BC231*$Y231),"")</f>
        <v/>
      </c>
      <c r="CO231" s="130">
        <f>IFERROR(if($AA231=0,($W231/1.35)*BD231,BD231*$AA231),)</f>
        <v/>
      </c>
      <c r="CP231" s="130">
        <f>IFERROR(if($AA231=0,($W231/1.35)*BE231,BE231*$AA231),)</f>
        <v/>
      </c>
      <c r="CQ231" s="130">
        <f>IFERROR(if($AA231=0,($W231/1.35)*BF231,BF231*$AA231),)</f>
        <v/>
      </c>
      <c r="CR231" s="128">
        <f>IFERROR(if($AC231=0,($W231/0.74)*BG231,
BG231*$AC231),)</f>
        <v/>
      </c>
      <c r="CS231" s="128">
        <f>IFERROR(if($AC231=0,($W231/0.74)*BH231,
BH231*$AC231),)</f>
        <v/>
      </c>
      <c r="CT231" s="128">
        <f>IFERROR(if($AC231=0,($W231/0.74)*BI231,
BI231*$AC231),)</f>
        <v/>
      </c>
      <c r="CU231" s="128">
        <f>IFERROR(AI231*$V231,)</f>
        <v/>
      </c>
      <c r="CV231" s="128">
        <f>IFERROR(AJ231*$V231,)</f>
        <v/>
      </c>
      <c r="CW231" s="128">
        <f>IFERROR(AK231*$V231,)</f>
        <v/>
      </c>
      <c r="CX231" s="128">
        <f>IFERROR(AL231*$V231,)</f>
        <v/>
      </c>
      <c r="CY231" s="128">
        <f>IFERROR(AM231*$V231,)</f>
        <v/>
      </c>
      <c r="CZ231" s="128">
        <f>IFERROR(AN231*$V231,)</f>
        <v/>
      </c>
      <c r="DA231" s="128">
        <f>IFERROR(AO231*$V231,)</f>
        <v/>
      </c>
      <c r="DB231" s="128">
        <f>IFERROR(AP231*$V231,)</f>
        <v/>
      </c>
      <c r="DC231" s="128">
        <f>IFERROR(AQ231*$V231,)</f>
        <v/>
      </c>
      <c r="DD231" s="128">
        <f>IFERROR(AR231*$V231,)</f>
        <v/>
      </c>
      <c r="DE231" s="128">
        <f>IFERROR(AS231*$V231,)</f>
        <v/>
      </c>
      <c r="DF231" s="128">
        <f>IFERROR(AT231*$V231,)</f>
        <v/>
      </c>
      <c r="DG231" s="128">
        <f>IFERROR(AU231*$V231,)</f>
        <v/>
      </c>
      <c r="DH231" s="128">
        <f>IFERROR(AV231*$V231,)</f>
        <v/>
      </c>
      <c r="DI231" s="128">
        <f>IFERROR(AW231*$V231,)</f>
        <v/>
      </c>
      <c r="DJ231" s="128">
        <f>IFERROR(AX231*$V231,)</f>
        <v/>
      </c>
      <c r="DK231" s="128">
        <f>IFERROR(AY231*$V231,)</f>
        <v/>
      </c>
      <c r="DL231" s="128">
        <f>IFERROR(AZ231*$V231,)</f>
        <v/>
      </c>
      <c r="DM231" s="129">
        <f>IFERROR(if($X231=0,($V231/1.2)*BA231,
BA231*$X231),)</f>
        <v/>
      </c>
      <c r="DN231" s="129">
        <f>IFERROR(if($X231=0,($V231/1.2)*BB231,
BB231*$X231),)</f>
        <v/>
      </c>
      <c r="DO231" s="129">
        <f>IFERROR(if($X231=0,($V231/1.2)*BC231,
BC231*$X231),)</f>
        <v/>
      </c>
      <c r="DP231" s="130">
        <f>IFERROR(if($Z231=0,($V231/1.35)*BD231,
BD231*$Z231),)</f>
        <v/>
      </c>
      <c r="DQ231" s="130">
        <f>IFERROR(if($Z231=0,($V231/1.35)*BE231,
BE231*$Z231),)</f>
        <v/>
      </c>
      <c r="DR231" s="130">
        <f>IFERROR(if($Z231=0,($V231/1.35)*BF231,
BF231*$Z231),)</f>
        <v/>
      </c>
      <c r="DS231" s="128">
        <f>IFERROR(IF($AB231=0,($V231/0.74)*BG231,
BG231*$AB231),)</f>
        <v/>
      </c>
      <c r="DT231" s="128">
        <f>IFERROR(IF($AB231=0,($V231/0.74)*BH231,
BH231*$AB231),)</f>
        <v/>
      </c>
      <c r="DU231" s="128">
        <f>IFERROR(IF($AB231=0,($V231/0.74)*BI231,
BI231*$AB231),)</f>
        <v/>
      </c>
    </row>
    <row r="232" ht="131.25" customHeight="1" s="162">
      <c r="A232" s="115" t="n"/>
      <c r="B232" s="115" t="n"/>
      <c r="C232" s="115" t="n"/>
      <c r="D232" s="115" t="n"/>
      <c r="E232" s="115" t="n"/>
      <c r="F232" s="115" t="n"/>
      <c r="G232" s="115" t="n"/>
      <c r="H232" s="115" t="n"/>
      <c r="I232" s="115" t="n"/>
      <c r="J232" s="115" t="n"/>
      <c r="K232" s="115" t="n"/>
      <c r="L232" s="115" t="n"/>
      <c r="M232" s="115" t="n"/>
      <c r="N232" s="115" t="n"/>
      <c r="O232" s="115" t="n"/>
      <c r="P232" s="115" t="n"/>
      <c r="Q232" s="115" t="n"/>
      <c r="R232" s="115" t="n"/>
      <c r="S232" s="115" t="n"/>
      <c r="T232" s="115" t="n"/>
      <c r="U232" s="116" t="n"/>
      <c r="V232" s="116" t="n"/>
      <c r="W232" s="117" t="n"/>
      <c r="X232" s="118" t="n"/>
      <c r="Y232" s="119" t="n"/>
      <c r="Z232" s="120" t="n"/>
      <c r="AA232" s="121" t="n"/>
      <c r="AB232" s="122" t="n"/>
      <c r="AC232" s="117" t="n"/>
      <c r="AD232" s="123">
        <f>IF(SUM($AE232:$AH232)=0,"",SUM($AE232:$AH232))</f>
        <v/>
      </c>
      <c r="AE232" s="123">
        <f>iferror(IF(SUM($AI232:$AZ232)=0,"",SUM($AI232:$AZ232)),"")</f>
        <v/>
      </c>
      <c r="AF232" s="123">
        <f>iferror(IF(SUM($BA232:$BC232)=0,"",SUM($BA232:$BC232)),"")</f>
        <v/>
      </c>
      <c r="AG232" s="123">
        <f>iferror(IF(SUM($BD232:$BF232)=0,"",SUM($BD232:$BF232)),"")</f>
        <v/>
      </c>
      <c r="AH232" s="124">
        <f>iferror(IF(SUM($BG232:$BI232)=0,"",SUM($BG232:$BI232)),"")</f>
        <v/>
      </c>
      <c r="AI232" s="131" t="n"/>
      <c r="AJ232" s="132" t="n"/>
      <c r="AK232" s="132" t="n"/>
      <c r="AL232" s="132" t="n"/>
      <c r="AM232" s="132" t="n"/>
      <c r="AN232" s="132" t="n"/>
      <c r="AO232" s="132" t="n"/>
      <c r="AP232" s="132" t="n"/>
      <c r="AQ232" s="132" t="n"/>
      <c r="AR232" s="132" t="n"/>
      <c r="AS232" s="132" t="n"/>
      <c r="AT232" s="132" t="n"/>
      <c r="AU232" s="132" t="n"/>
      <c r="AV232" s="132" t="n"/>
      <c r="AW232" s="132" t="n"/>
      <c r="AX232" s="132" t="n"/>
      <c r="AY232" s="132" t="n"/>
      <c r="AZ232" s="133" t="n"/>
      <c r="BA232" s="131" t="n"/>
      <c r="BB232" s="132" t="n"/>
      <c r="BC232" s="133" t="n"/>
      <c r="BD232" s="131" t="n"/>
      <c r="BE232" s="132" t="n"/>
      <c r="BF232" s="133" t="n"/>
      <c r="BG232" s="131" t="n"/>
      <c r="BH232" s="132" t="n"/>
      <c r="BI232" s="132" t="n"/>
      <c r="BJ232" s="128">
        <f>iferror(SUM($BK232,($BL232*1.2),($BM232*1.35),($BN232*0.74)),)</f>
        <v/>
      </c>
      <c r="BK232" s="128">
        <f>IFERROR(SUM($BT232:$CK232),)</f>
        <v/>
      </c>
      <c r="BL232" s="129">
        <f>IFERROR(SUM($CL232:$CN232),)</f>
        <v/>
      </c>
      <c r="BM232" s="130">
        <f>IFERROR(SUM($CO232:$CQ232),)</f>
        <v/>
      </c>
      <c r="BN232" s="128">
        <f>IFERROR(SUM($CR232:$CT232),)</f>
        <v/>
      </c>
      <c r="BO232" s="128">
        <f>iferror(SUM($BP232,($BQ232*1.2),($BR232*1.35),($BS232*0.74)),)</f>
        <v/>
      </c>
      <c r="BP232" s="128">
        <f>IFERROR(SUM($CU232:$DL232),)</f>
        <v/>
      </c>
      <c r="BQ232" s="128">
        <f>IFERROR(SUM($DM232:$DO232),)</f>
        <v/>
      </c>
      <c r="BR232" s="128">
        <f>IFERROR(SUM($DP232:$DR232),)</f>
        <v/>
      </c>
      <c r="BS232" s="128">
        <f>IFERROR(SUM($DS232:$DU232),)</f>
        <v/>
      </c>
      <c r="BT232" s="128">
        <f>IFERROR(AI232*$W232,)</f>
        <v/>
      </c>
      <c r="BU232" s="128">
        <f>IFERROR(AJ232*$W232,)</f>
        <v/>
      </c>
      <c r="BV232" s="128">
        <f>IFERROR(AK232*$W232,)</f>
        <v/>
      </c>
      <c r="BW232" s="128">
        <f>IFERROR(AL232*$W232,)</f>
        <v/>
      </c>
      <c r="BX232" s="128">
        <f>IFERROR(AM232*$W232,)</f>
        <v/>
      </c>
      <c r="BY232" s="128">
        <f>IFERROR(AN232*$W232,)</f>
        <v/>
      </c>
      <c r="BZ232" s="128">
        <f>IFERROR(AO232*$W232,)</f>
        <v/>
      </c>
      <c r="CA232" s="128">
        <f>IFERROR(AP232*$W232,)</f>
        <v/>
      </c>
      <c r="CB232" s="128">
        <f>IFERROR(AQ232*$W232,)</f>
        <v/>
      </c>
      <c r="CC232" s="128">
        <f>IFERROR(AR232*$W232,)</f>
        <v/>
      </c>
      <c r="CD232" s="128">
        <f>IFERROR(AS232*$W232,)</f>
        <v/>
      </c>
      <c r="CE232" s="128">
        <f>IFERROR(AT232*$W232,)</f>
        <v/>
      </c>
      <c r="CF232" s="128">
        <f>IFERROR(AU232*$W232,)</f>
        <v/>
      </c>
      <c r="CG232" s="128">
        <f>IFERROR(AV232*$W232,)</f>
        <v/>
      </c>
      <c r="CH232" s="128">
        <f>IFERROR(AW232*$W232,)</f>
        <v/>
      </c>
      <c r="CI232" s="128">
        <f>IFERROR(AX232*$W232,)</f>
        <v/>
      </c>
      <c r="CJ232" s="128">
        <f>IFERROR(AY232*$W232,)</f>
        <v/>
      </c>
      <c r="CK232" s="128">
        <f>IFERROR(AZ232*$W232,)</f>
        <v/>
      </c>
      <c r="CL232" s="129">
        <f>IFERROR(if($Y232=0,BA232*($W232/1.2),BA232*$Y232),"")</f>
        <v/>
      </c>
      <c r="CM232" s="129">
        <f>IFERROR(if($Y232=0,BB232*($W232/1.2),BB232*$Y232),"")</f>
        <v/>
      </c>
      <c r="CN232" s="129">
        <f>IFERROR(if($Y232=0,BC232*($W232/1.2),BC232*$Y232),"")</f>
        <v/>
      </c>
      <c r="CO232" s="130">
        <f>IFERROR(if($AA232=0,($W232/1.35)*BD232,BD232*$AA232),)</f>
        <v/>
      </c>
      <c r="CP232" s="130">
        <f>IFERROR(if($AA232=0,($W232/1.35)*BE232,BE232*$AA232),)</f>
        <v/>
      </c>
      <c r="CQ232" s="130">
        <f>IFERROR(if($AA232=0,($W232/1.35)*BF232,BF232*$AA232),)</f>
        <v/>
      </c>
      <c r="CR232" s="128">
        <f>IFERROR(if($AC232=0,($W232/0.74)*BG232,
BG232*$AC232),)</f>
        <v/>
      </c>
      <c r="CS232" s="128">
        <f>IFERROR(if($AC232=0,($W232/0.74)*BH232,
BH232*$AC232),)</f>
        <v/>
      </c>
      <c r="CT232" s="128">
        <f>IFERROR(if($AC232=0,($W232/0.74)*BI232,
BI232*$AC232),)</f>
        <v/>
      </c>
      <c r="CU232" s="128">
        <f>IFERROR(AI232*$V232,)</f>
        <v/>
      </c>
      <c r="CV232" s="128">
        <f>IFERROR(AJ232*$V232,)</f>
        <v/>
      </c>
      <c r="CW232" s="128">
        <f>IFERROR(AK232*$V232,)</f>
        <v/>
      </c>
      <c r="CX232" s="128">
        <f>IFERROR(AL232*$V232,)</f>
        <v/>
      </c>
      <c r="CY232" s="128">
        <f>IFERROR(AM232*$V232,)</f>
        <v/>
      </c>
      <c r="CZ232" s="128">
        <f>IFERROR(AN232*$V232,)</f>
        <v/>
      </c>
      <c r="DA232" s="128">
        <f>IFERROR(AO232*$V232,)</f>
        <v/>
      </c>
      <c r="DB232" s="128">
        <f>IFERROR(AP232*$V232,)</f>
        <v/>
      </c>
      <c r="DC232" s="128">
        <f>IFERROR(AQ232*$V232,)</f>
        <v/>
      </c>
      <c r="DD232" s="128">
        <f>IFERROR(AR232*$V232,)</f>
        <v/>
      </c>
      <c r="DE232" s="128">
        <f>IFERROR(AS232*$V232,)</f>
        <v/>
      </c>
      <c r="DF232" s="128">
        <f>IFERROR(AT232*$V232,)</f>
        <v/>
      </c>
      <c r="DG232" s="128">
        <f>IFERROR(AU232*$V232,)</f>
        <v/>
      </c>
      <c r="DH232" s="128">
        <f>IFERROR(AV232*$V232,)</f>
        <v/>
      </c>
      <c r="DI232" s="128">
        <f>IFERROR(AW232*$V232,)</f>
        <v/>
      </c>
      <c r="DJ232" s="128">
        <f>IFERROR(AX232*$V232,)</f>
        <v/>
      </c>
      <c r="DK232" s="128">
        <f>IFERROR(AY232*$V232,)</f>
        <v/>
      </c>
      <c r="DL232" s="128">
        <f>IFERROR(AZ232*$V232,)</f>
        <v/>
      </c>
      <c r="DM232" s="129">
        <f>IFERROR(if($X232=0,($V232/1.2)*BA232,
BA232*$X232),)</f>
        <v/>
      </c>
      <c r="DN232" s="129">
        <f>IFERROR(if($X232=0,($V232/1.2)*BB232,
BB232*$X232),)</f>
        <v/>
      </c>
      <c r="DO232" s="129">
        <f>IFERROR(if($X232=0,($V232/1.2)*BC232,
BC232*$X232),)</f>
        <v/>
      </c>
      <c r="DP232" s="130">
        <f>IFERROR(if($Z232=0,($V232/1.35)*BD232,
BD232*$Z232),)</f>
        <v/>
      </c>
      <c r="DQ232" s="130">
        <f>IFERROR(if($Z232=0,($V232/1.35)*BE232,
BE232*$Z232),)</f>
        <v/>
      </c>
      <c r="DR232" s="130">
        <f>IFERROR(if($Z232=0,($V232/1.35)*BF232,
BF232*$Z232),)</f>
        <v/>
      </c>
      <c r="DS232" s="128">
        <f>IFERROR(IF($AB232=0,($V232/0.74)*BG232,
BG232*$AB232),)</f>
        <v/>
      </c>
      <c r="DT232" s="128">
        <f>IFERROR(IF($AB232=0,($V232/0.74)*BH232,
BH232*$AB232),)</f>
        <v/>
      </c>
      <c r="DU232" s="128">
        <f>IFERROR(IF($AB232=0,($V232/0.74)*BI232,
BI232*$AB232),)</f>
        <v/>
      </c>
    </row>
    <row r="233" ht="131.25" customHeight="1" s="162">
      <c r="A233" s="115" t="n"/>
      <c r="B233" s="115" t="n"/>
      <c r="C233" s="115" t="n"/>
      <c r="D233" s="115" t="n"/>
      <c r="E233" s="115" t="n"/>
      <c r="F233" s="115" t="n"/>
      <c r="G233" s="115" t="n"/>
      <c r="H233" s="115" t="n"/>
      <c r="I233" s="115" t="n"/>
      <c r="J233" s="115" t="n"/>
      <c r="K233" s="115" t="n"/>
      <c r="L233" s="115" t="n"/>
      <c r="M233" s="115" t="n"/>
      <c r="N233" s="115" t="n"/>
      <c r="O233" s="115" t="n"/>
      <c r="P233" s="115" t="n"/>
      <c r="Q233" s="115" t="n"/>
      <c r="R233" s="115" t="n"/>
      <c r="S233" s="115" t="n"/>
      <c r="T233" s="115" t="n"/>
      <c r="U233" s="116" t="n"/>
      <c r="V233" s="116" t="n"/>
      <c r="W233" s="117" t="n"/>
      <c r="X233" s="118" t="n"/>
      <c r="Y233" s="119" t="n"/>
      <c r="Z233" s="120" t="n"/>
      <c r="AA233" s="121" t="n"/>
      <c r="AB233" s="122" t="n"/>
      <c r="AC233" s="117" t="n"/>
      <c r="AD233" s="123">
        <f>IF(SUM($AE233:$AH233)=0,"",SUM($AE233:$AH233))</f>
        <v/>
      </c>
      <c r="AE233" s="123">
        <f>iferror(IF(SUM($AI233:$AZ233)=0,"",SUM($AI233:$AZ233)),"")</f>
        <v/>
      </c>
      <c r="AF233" s="123">
        <f>iferror(IF(SUM($BA233:$BC233)=0,"",SUM($BA233:$BC233)),"")</f>
        <v/>
      </c>
      <c r="AG233" s="123">
        <f>iferror(IF(SUM($BD233:$BF233)=0,"",SUM($BD233:$BF233)),"")</f>
        <v/>
      </c>
      <c r="AH233" s="124">
        <f>iferror(IF(SUM($BG233:$BI233)=0,"",SUM($BG233:$BI233)),"")</f>
        <v/>
      </c>
      <c r="AI233" s="131" t="n"/>
      <c r="AJ233" s="132" t="n"/>
      <c r="AK233" s="132" t="n"/>
      <c r="AL233" s="132" t="n"/>
      <c r="AM233" s="132" t="n"/>
      <c r="AN233" s="132" t="n"/>
      <c r="AO233" s="132" t="n"/>
      <c r="AP233" s="132" t="n"/>
      <c r="AQ233" s="132" t="n"/>
      <c r="AR233" s="132" t="n"/>
      <c r="AS233" s="132" t="n"/>
      <c r="AT233" s="132" t="n"/>
      <c r="AU233" s="132" t="n"/>
      <c r="AV233" s="132" t="n"/>
      <c r="AW233" s="132" t="n"/>
      <c r="AX233" s="132" t="n"/>
      <c r="AY233" s="132" t="n"/>
      <c r="AZ233" s="133" t="n"/>
      <c r="BA233" s="131" t="n"/>
      <c r="BB233" s="132" t="n"/>
      <c r="BC233" s="133" t="n"/>
      <c r="BD233" s="131" t="n"/>
      <c r="BE233" s="132" t="n"/>
      <c r="BF233" s="133" t="n"/>
      <c r="BG233" s="131" t="n"/>
      <c r="BH233" s="132" t="n"/>
      <c r="BI233" s="132" t="n"/>
      <c r="BJ233" s="128">
        <f>iferror(SUM($BK233,($BL233*1.2),($BM233*1.35),($BN233*0.74)),)</f>
        <v/>
      </c>
      <c r="BK233" s="128">
        <f>IFERROR(SUM($BT233:$CK233),)</f>
        <v/>
      </c>
      <c r="BL233" s="129">
        <f>IFERROR(SUM($CL233:$CN233),)</f>
        <v/>
      </c>
      <c r="BM233" s="130">
        <f>IFERROR(SUM($CO233:$CQ233),)</f>
        <v/>
      </c>
      <c r="BN233" s="128">
        <f>IFERROR(SUM($CR233:$CT233),)</f>
        <v/>
      </c>
      <c r="BO233" s="128">
        <f>iferror(SUM($BP233,($BQ233*1.2),($BR233*1.35),($BS233*0.74)),)</f>
        <v/>
      </c>
      <c r="BP233" s="128">
        <f>IFERROR(SUM($CU233:$DL233),)</f>
        <v/>
      </c>
      <c r="BQ233" s="128">
        <f>IFERROR(SUM($DM233:$DO233),)</f>
        <v/>
      </c>
      <c r="BR233" s="128">
        <f>IFERROR(SUM($DP233:$DR233),)</f>
        <v/>
      </c>
      <c r="BS233" s="128">
        <f>IFERROR(SUM($DS233:$DU233),)</f>
        <v/>
      </c>
      <c r="BT233" s="128">
        <f>IFERROR(AI233*$W233,)</f>
        <v/>
      </c>
      <c r="BU233" s="128">
        <f>IFERROR(AJ233*$W233,)</f>
        <v/>
      </c>
      <c r="BV233" s="128">
        <f>IFERROR(AK233*$W233,)</f>
        <v/>
      </c>
      <c r="BW233" s="128">
        <f>IFERROR(AL233*$W233,)</f>
        <v/>
      </c>
      <c r="BX233" s="128">
        <f>IFERROR(AM233*$W233,)</f>
        <v/>
      </c>
      <c r="BY233" s="128">
        <f>IFERROR(AN233*$W233,)</f>
        <v/>
      </c>
      <c r="BZ233" s="128">
        <f>IFERROR(AO233*$W233,)</f>
        <v/>
      </c>
      <c r="CA233" s="128">
        <f>IFERROR(AP233*$W233,)</f>
        <v/>
      </c>
      <c r="CB233" s="128">
        <f>IFERROR(AQ233*$W233,)</f>
        <v/>
      </c>
      <c r="CC233" s="128">
        <f>IFERROR(AR233*$W233,)</f>
        <v/>
      </c>
      <c r="CD233" s="128">
        <f>IFERROR(AS233*$W233,)</f>
        <v/>
      </c>
      <c r="CE233" s="128">
        <f>IFERROR(AT233*$W233,)</f>
        <v/>
      </c>
      <c r="CF233" s="128">
        <f>IFERROR(AU233*$W233,)</f>
        <v/>
      </c>
      <c r="CG233" s="128">
        <f>IFERROR(AV233*$W233,)</f>
        <v/>
      </c>
      <c r="CH233" s="128">
        <f>IFERROR(AW233*$W233,)</f>
        <v/>
      </c>
      <c r="CI233" s="128">
        <f>IFERROR(AX233*$W233,)</f>
        <v/>
      </c>
      <c r="CJ233" s="128">
        <f>IFERROR(AY233*$W233,)</f>
        <v/>
      </c>
      <c r="CK233" s="128">
        <f>IFERROR(AZ233*$W233,)</f>
        <v/>
      </c>
      <c r="CL233" s="129">
        <f>IFERROR(if($Y233=0,BA233*($W233/1.2),BA233*$Y233),"")</f>
        <v/>
      </c>
      <c r="CM233" s="129">
        <f>IFERROR(if($Y233=0,BB233*($W233/1.2),BB233*$Y233),"")</f>
        <v/>
      </c>
      <c r="CN233" s="129">
        <f>IFERROR(if($Y233=0,BC233*($W233/1.2),BC233*$Y233),"")</f>
        <v/>
      </c>
      <c r="CO233" s="130">
        <f>IFERROR(if($AA233=0,($W233/1.35)*BD233,BD233*$AA233),)</f>
        <v/>
      </c>
      <c r="CP233" s="130">
        <f>IFERROR(if($AA233=0,($W233/1.35)*BE233,BE233*$AA233),)</f>
        <v/>
      </c>
      <c r="CQ233" s="130">
        <f>IFERROR(if($AA233=0,($W233/1.35)*BF233,BF233*$AA233),)</f>
        <v/>
      </c>
      <c r="CR233" s="128">
        <f>IFERROR(if($AC233=0,($W233/0.74)*BG233,
BG233*$AC233),)</f>
        <v/>
      </c>
      <c r="CS233" s="128">
        <f>IFERROR(if($AC233=0,($W233/0.74)*BH233,
BH233*$AC233),)</f>
        <v/>
      </c>
      <c r="CT233" s="128">
        <f>IFERROR(if($AC233=0,($W233/0.74)*BI233,
BI233*$AC233),)</f>
        <v/>
      </c>
      <c r="CU233" s="128">
        <f>IFERROR(AI233*$V233,)</f>
        <v/>
      </c>
      <c r="CV233" s="128">
        <f>IFERROR(AJ233*$V233,)</f>
        <v/>
      </c>
      <c r="CW233" s="128">
        <f>IFERROR(AK233*$V233,)</f>
        <v/>
      </c>
      <c r="CX233" s="128">
        <f>IFERROR(AL233*$V233,)</f>
        <v/>
      </c>
      <c r="CY233" s="128">
        <f>IFERROR(AM233*$V233,)</f>
        <v/>
      </c>
      <c r="CZ233" s="128">
        <f>IFERROR(AN233*$V233,)</f>
        <v/>
      </c>
      <c r="DA233" s="128">
        <f>IFERROR(AO233*$V233,)</f>
        <v/>
      </c>
      <c r="DB233" s="128">
        <f>IFERROR(AP233*$V233,)</f>
        <v/>
      </c>
      <c r="DC233" s="128">
        <f>IFERROR(AQ233*$V233,)</f>
        <v/>
      </c>
      <c r="DD233" s="128">
        <f>IFERROR(AR233*$V233,)</f>
        <v/>
      </c>
      <c r="DE233" s="128">
        <f>IFERROR(AS233*$V233,)</f>
        <v/>
      </c>
      <c r="DF233" s="128">
        <f>IFERROR(AT233*$V233,)</f>
        <v/>
      </c>
      <c r="DG233" s="128">
        <f>IFERROR(AU233*$V233,)</f>
        <v/>
      </c>
      <c r="DH233" s="128">
        <f>IFERROR(AV233*$V233,)</f>
        <v/>
      </c>
      <c r="DI233" s="128">
        <f>IFERROR(AW233*$V233,)</f>
        <v/>
      </c>
      <c r="DJ233" s="128">
        <f>IFERROR(AX233*$V233,)</f>
        <v/>
      </c>
      <c r="DK233" s="128">
        <f>IFERROR(AY233*$V233,)</f>
        <v/>
      </c>
      <c r="DL233" s="128">
        <f>IFERROR(AZ233*$V233,)</f>
        <v/>
      </c>
      <c r="DM233" s="129">
        <f>IFERROR(if($X233=0,($V233/1.2)*BA233,
BA233*$X233),)</f>
        <v/>
      </c>
      <c r="DN233" s="129">
        <f>IFERROR(if($X233=0,($V233/1.2)*BB233,
BB233*$X233),)</f>
        <v/>
      </c>
      <c r="DO233" s="129">
        <f>IFERROR(if($X233=0,($V233/1.2)*BC233,
BC233*$X233),)</f>
        <v/>
      </c>
      <c r="DP233" s="130">
        <f>IFERROR(if($Z233=0,($V233/1.35)*BD233,
BD233*$Z233),)</f>
        <v/>
      </c>
      <c r="DQ233" s="130">
        <f>IFERROR(if($Z233=0,($V233/1.35)*BE233,
BE233*$Z233),)</f>
        <v/>
      </c>
      <c r="DR233" s="130">
        <f>IFERROR(if($Z233=0,($V233/1.35)*BF233,
BF233*$Z233),)</f>
        <v/>
      </c>
      <c r="DS233" s="128">
        <f>IFERROR(IF($AB233=0,($V233/0.74)*BG233,
BG233*$AB233),)</f>
        <v/>
      </c>
      <c r="DT233" s="128">
        <f>IFERROR(IF($AB233=0,($V233/0.74)*BH233,
BH233*$AB233),)</f>
        <v/>
      </c>
      <c r="DU233" s="128">
        <f>IFERROR(IF($AB233=0,($V233/0.74)*BI233,
BI233*$AB233),)</f>
        <v/>
      </c>
    </row>
    <row r="234" ht="131.25" customHeight="1" s="162">
      <c r="A234" s="115" t="n"/>
      <c r="B234" s="115" t="n"/>
      <c r="C234" s="115" t="n"/>
      <c r="D234" s="115" t="n"/>
      <c r="E234" s="115" t="n"/>
      <c r="F234" s="115" t="n"/>
      <c r="G234" s="115" t="n"/>
      <c r="H234" s="115" t="n"/>
      <c r="I234" s="115" t="n"/>
      <c r="J234" s="115" t="n"/>
      <c r="K234" s="115" t="n"/>
      <c r="L234" s="115" t="n"/>
      <c r="M234" s="115" t="n"/>
      <c r="N234" s="115" t="n"/>
      <c r="O234" s="115" t="n"/>
      <c r="P234" s="115" t="n"/>
      <c r="Q234" s="115" t="n"/>
      <c r="R234" s="115" t="n"/>
      <c r="S234" s="115" t="n"/>
      <c r="T234" s="115" t="n"/>
      <c r="U234" s="116" t="n"/>
      <c r="V234" s="116" t="n"/>
      <c r="W234" s="117" t="n"/>
      <c r="X234" s="118" t="n"/>
      <c r="Y234" s="119" t="n"/>
      <c r="Z234" s="120" t="n"/>
      <c r="AA234" s="121" t="n"/>
      <c r="AB234" s="122" t="n"/>
      <c r="AC234" s="117" t="n"/>
      <c r="AD234" s="123">
        <f>IF(SUM($AE234:$AH234)=0,"",SUM($AE234:$AH234))</f>
        <v/>
      </c>
      <c r="AE234" s="123">
        <f>iferror(IF(SUM($AI234:$AZ234)=0,"",SUM($AI234:$AZ234)),"")</f>
        <v/>
      </c>
      <c r="AF234" s="123">
        <f>iferror(IF(SUM($BA234:$BC234)=0,"",SUM($BA234:$BC234)),"")</f>
        <v/>
      </c>
      <c r="AG234" s="123">
        <f>iferror(IF(SUM($BD234:$BF234)=0,"",SUM($BD234:$BF234)),"")</f>
        <v/>
      </c>
      <c r="AH234" s="124">
        <f>iferror(IF(SUM($BG234:$BI234)=0,"",SUM($BG234:$BI234)),"")</f>
        <v/>
      </c>
      <c r="AI234" s="131" t="n"/>
      <c r="AJ234" s="132" t="n"/>
      <c r="AK234" s="132" t="n"/>
      <c r="AL234" s="132" t="n"/>
      <c r="AM234" s="132" t="n"/>
      <c r="AN234" s="132" t="n"/>
      <c r="AO234" s="132" t="n"/>
      <c r="AP234" s="132" t="n"/>
      <c r="AQ234" s="132" t="n"/>
      <c r="AR234" s="132" t="n"/>
      <c r="AS234" s="132" t="n"/>
      <c r="AT234" s="132" t="n"/>
      <c r="AU234" s="132" t="n"/>
      <c r="AV234" s="132" t="n"/>
      <c r="AW234" s="132" t="n"/>
      <c r="AX234" s="132" t="n"/>
      <c r="AY234" s="132" t="n"/>
      <c r="AZ234" s="133" t="n"/>
      <c r="BA234" s="131" t="n"/>
      <c r="BB234" s="132" t="n"/>
      <c r="BC234" s="133" t="n"/>
      <c r="BD234" s="131" t="n"/>
      <c r="BE234" s="132" t="n"/>
      <c r="BF234" s="133" t="n"/>
      <c r="BG234" s="131" t="n"/>
      <c r="BH234" s="132" t="n"/>
      <c r="BI234" s="132" t="n"/>
      <c r="BJ234" s="128">
        <f>iferror(SUM($BK234,($BL234*1.2),($BM234*1.35),($BN234*0.74)),)</f>
        <v/>
      </c>
      <c r="BK234" s="128">
        <f>IFERROR(SUM($BT234:$CK234),)</f>
        <v/>
      </c>
      <c r="BL234" s="129">
        <f>IFERROR(SUM($CL234:$CN234),)</f>
        <v/>
      </c>
      <c r="BM234" s="130">
        <f>IFERROR(SUM($CO234:$CQ234),)</f>
        <v/>
      </c>
      <c r="BN234" s="128">
        <f>IFERROR(SUM($CR234:$CT234),)</f>
        <v/>
      </c>
      <c r="BO234" s="128">
        <f>iferror(SUM($BP234,($BQ234*1.2),($BR234*1.35),($BS234*0.74)),)</f>
        <v/>
      </c>
      <c r="BP234" s="128">
        <f>IFERROR(SUM($CU234:$DL234),)</f>
        <v/>
      </c>
      <c r="BQ234" s="128">
        <f>IFERROR(SUM($DM234:$DO234),)</f>
        <v/>
      </c>
      <c r="BR234" s="128">
        <f>IFERROR(SUM($DP234:$DR234),)</f>
        <v/>
      </c>
      <c r="BS234" s="128">
        <f>IFERROR(SUM($DS234:$DU234),)</f>
        <v/>
      </c>
      <c r="BT234" s="128">
        <f>IFERROR(AI234*$W234,)</f>
        <v/>
      </c>
      <c r="BU234" s="128">
        <f>IFERROR(AJ234*$W234,)</f>
        <v/>
      </c>
      <c r="BV234" s="128">
        <f>IFERROR(AK234*$W234,)</f>
        <v/>
      </c>
      <c r="BW234" s="128">
        <f>IFERROR(AL234*$W234,)</f>
        <v/>
      </c>
      <c r="BX234" s="128">
        <f>IFERROR(AM234*$W234,)</f>
        <v/>
      </c>
      <c r="BY234" s="128">
        <f>IFERROR(AN234*$W234,)</f>
        <v/>
      </c>
      <c r="BZ234" s="128">
        <f>IFERROR(AO234*$W234,)</f>
        <v/>
      </c>
      <c r="CA234" s="128">
        <f>IFERROR(AP234*$W234,)</f>
        <v/>
      </c>
      <c r="CB234" s="128">
        <f>IFERROR(AQ234*$W234,)</f>
        <v/>
      </c>
      <c r="CC234" s="128">
        <f>IFERROR(AR234*$W234,)</f>
        <v/>
      </c>
      <c r="CD234" s="128">
        <f>IFERROR(AS234*$W234,)</f>
        <v/>
      </c>
      <c r="CE234" s="128">
        <f>IFERROR(AT234*$W234,)</f>
        <v/>
      </c>
      <c r="CF234" s="128">
        <f>IFERROR(AU234*$W234,)</f>
        <v/>
      </c>
      <c r="CG234" s="128">
        <f>IFERROR(AV234*$W234,)</f>
        <v/>
      </c>
      <c r="CH234" s="128">
        <f>IFERROR(AW234*$W234,)</f>
        <v/>
      </c>
      <c r="CI234" s="128">
        <f>IFERROR(AX234*$W234,)</f>
        <v/>
      </c>
      <c r="CJ234" s="128">
        <f>IFERROR(AY234*$W234,)</f>
        <v/>
      </c>
      <c r="CK234" s="128">
        <f>IFERROR(AZ234*$W234,)</f>
        <v/>
      </c>
      <c r="CL234" s="129">
        <f>IFERROR(if($Y234=0,BA234*($W234/1.2),BA234*$Y234),"")</f>
        <v/>
      </c>
      <c r="CM234" s="129">
        <f>IFERROR(if($Y234=0,BB234*($W234/1.2),BB234*$Y234),"")</f>
        <v/>
      </c>
      <c r="CN234" s="129">
        <f>IFERROR(if($Y234=0,BC234*($W234/1.2),BC234*$Y234),"")</f>
        <v/>
      </c>
      <c r="CO234" s="130">
        <f>IFERROR(if($AA234=0,($W234/1.35)*BD234,BD234*$AA234),)</f>
        <v/>
      </c>
      <c r="CP234" s="130">
        <f>IFERROR(if($AA234=0,($W234/1.35)*BE234,BE234*$AA234),)</f>
        <v/>
      </c>
      <c r="CQ234" s="130">
        <f>IFERROR(if($AA234=0,($W234/1.35)*BF234,BF234*$AA234),)</f>
        <v/>
      </c>
      <c r="CR234" s="128">
        <f>IFERROR(if($AC234=0,($W234/0.74)*BG234,
BG234*$AC234),)</f>
        <v/>
      </c>
      <c r="CS234" s="128">
        <f>IFERROR(if($AC234=0,($W234/0.74)*BH234,
BH234*$AC234),)</f>
        <v/>
      </c>
      <c r="CT234" s="128">
        <f>IFERROR(if($AC234=0,($W234/0.74)*BI234,
BI234*$AC234),)</f>
        <v/>
      </c>
      <c r="CU234" s="128">
        <f>IFERROR(AI234*$V234,)</f>
        <v/>
      </c>
      <c r="CV234" s="128">
        <f>IFERROR(AJ234*$V234,)</f>
        <v/>
      </c>
      <c r="CW234" s="128">
        <f>IFERROR(AK234*$V234,)</f>
        <v/>
      </c>
      <c r="CX234" s="128">
        <f>IFERROR(AL234*$V234,)</f>
        <v/>
      </c>
      <c r="CY234" s="128">
        <f>IFERROR(AM234*$V234,)</f>
        <v/>
      </c>
      <c r="CZ234" s="128">
        <f>IFERROR(AN234*$V234,)</f>
        <v/>
      </c>
      <c r="DA234" s="128">
        <f>IFERROR(AO234*$V234,)</f>
        <v/>
      </c>
      <c r="DB234" s="128">
        <f>IFERROR(AP234*$V234,)</f>
        <v/>
      </c>
      <c r="DC234" s="128">
        <f>IFERROR(AQ234*$V234,)</f>
        <v/>
      </c>
      <c r="DD234" s="128">
        <f>IFERROR(AR234*$V234,)</f>
        <v/>
      </c>
      <c r="DE234" s="128">
        <f>IFERROR(AS234*$V234,)</f>
        <v/>
      </c>
      <c r="DF234" s="128">
        <f>IFERROR(AT234*$V234,)</f>
        <v/>
      </c>
      <c r="DG234" s="128">
        <f>IFERROR(AU234*$V234,)</f>
        <v/>
      </c>
      <c r="DH234" s="128">
        <f>IFERROR(AV234*$V234,)</f>
        <v/>
      </c>
      <c r="DI234" s="128">
        <f>IFERROR(AW234*$V234,)</f>
        <v/>
      </c>
      <c r="DJ234" s="128">
        <f>IFERROR(AX234*$V234,)</f>
        <v/>
      </c>
      <c r="DK234" s="128">
        <f>IFERROR(AY234*$V234,)</f>
        <v/>
      </c>
      <c r="DL234" s="128">
        <f>IFERROR(AZ234*$V234,)</f>
        <v/>
      </c>
      <c r="DM234" s="129">
        <f>IFERROR(if($X234=0,($V234/1.2)*BA234,
BA234*$X234),)</f>
        <v/>
      </c>
      <c r="DN234" s="129">
        <f>IFERROR(if($X234=0,($V234/1.2)*BB234,
BB234*$X234),)</f>
        <v/>
      </c>
      <c r="DO234" s="129">
        <f>IFERROR(if($X234=0,($V234/1.2)*BC234,
BC234*$X234),)</f>
        <v/>
      </c>
      <c r="DP234" s="130">
        <f>IFERROR(if($Z234=0,($V234/1.35)*BD234,
BD234*$Z234),)</f>
        <v/>
      </c>
      <c r="DQ234" s="130">
        <f>IFERROR(if($Z234=0,($V234/1.35)*BE234,
BE234*$Z234),)</f>
        <v/>
      </c>
      <c r="DR234" s="130">
        <f>IFERROR(if($Z234=0,($V234/1.35)*BF234,
BF234*$Z234),)</f>
        <v/>
      </c>
      <c r="DS234" s="128">
        <f>IFERROR(IF($AB234=0,($V234/0.74)*BG234,
BG234*$AB234),)</f>
        <v/>
      </c>
      <c r="DT234" s="128">
        <f>IFERROR(IF($AB234=0,($V234/0.74)*BH234,
BH234*$AB234),)</f>
        <v/>
      </c>
      <c r="DU234" s="128">
        <f>IFERROR(IF($AB234=0,($V234/0.74)*BI234,
BI234*$AB234),)</f>
        <v/>
      </c>
    </row>
    <row r="235" ht="131.25" customHeight="1" s="162">
      <c r="A235" s="115" t="n"/>
      <c r="B235" s="115" t="n"/>
      <c r="C235" s="115" t="n"/>
      <c r="D235" s="115" t="n"/>
      <c r="E235" s="115" t="n"/>
      <c r="F235" s="115" t="n"/>
      <c r="G235" s="115" t="n"/>
      <c r="H235" s="115" t="n"/>
      <c r="I235" s="115" t="n"/>
      <c r="J235" s="115" t="n"/>
      <c r="K235" s="115" t="n"/>
      <c r="L235" s="115" t="n"/>
      <c r="M235" s="115" t="n"/>
      <c r="N235" s="115" t="n"/>
      <c r="O235" s="115" t="n"/>
      <c r="P235" s="115" t="n"/>
      <c r="Q235" s="115" t="n"/>
      <c r="R235" s="115" t="n"/>
      <c r="S235" s="115" t="n"/>
      <c r="T235" s="115" t="n"/>
      <c r="U235" s="116" t="n"/>
      <c r="V235" s="116" t="n"/>
      <c r="W235" s="117" t="n"/>
      <c r="X235" s="118" t="n"/>
      <c r="Y235" s="119" t="n"/>
      <c r="Z235" s="120" t="n"/>
      <c r="AA235" s="121" t="n"/>
      <c r="AB235" s="122" t="n"/>
      <c r="AC235" s="117" t="n"/>
      <c r="AD235" s="123">
        <f>IF(SUM($AE235:$AH235)=0,"",SUM($AE235:$AH235))</f>
        <v/>
      </c>
      <c r="AE235" s="123">
        <f>iferror(IF(SUM($AI235:$AZ235)=0,"",SUM($AI235:$AZ235)),"")</f>
        <v/>
      </c>
      <c r="AF235" s="123">
        <f>iferror(IF(SUM($BA235:$BC235)=0,"",SUM($BA235:$BC235)),"")</f>
        <v/>
      </c>
      <c r="AG235" s="123">
        <f>iferror(IF(SUM($BD235:$BF235)=0,"",SUM($BD235:$BF235)),"")</f>
        <v/>
      </c>
      <c r="AH235" s="124">
        <f>iferror(IF(SUM($BG235:$BI235)=0,"",SUM($BG235:$BI235)),"")</f>
        <v/>
      </c>
      <c r="AI235" s="131" t="n"/>
      <c r="AJ235" s="132" t="n"/>
      <c r="AK235" s="132" t="n"/>
      <c r="AL235" s="132" t="n"/>
      <c r="AM235" s="132" t="n"/>
      <c r="AN235" s="132" t="n"/>
      <c r="AO235" s="132" t="n"/>
      <c r="AP235" s="132" t="n"/>
      <c r="AQ235" s="132" t="n"/>
      <c r="AR235" s="132" t="n"/>
      <c r="AS235" s="132" t="n"/>
      <c r="AT235" s="132" t="n"/>
      <c r="AU235" s="132" t="n"/>
      <c r="AV235" s="132" t="n"/>
      <c r="AW235" s="132" t="n"/>
      <c r="AX235" s="132" t="n"/>
      <c r="AY235" s="132" t="n"/>
      <c r="AZ235" s="133" t="n"/>
      <c r="BA235" s="131" t="n"/>
      <c r="BB235" s="132" t="n"/>
      <c r="BC235" s="133" t="n"/>
      <c r="BD235" s="131" t="n"/>
      <c r="BE235" s="132" t="n"/>
      <c r="BF235" s="133" t="n"/>
      <c r="BG235" s="131" t="n"/>
      <c r="BH235" s="132" t="n"/>
      <c r="BI235" s="132" t="n"/>
      <c r="BJ235" s="128">
        <f>iferror(SUM($BK235,($BL235*1.2),($BM235*1.35),($BN235*0.74)),)</f>
        <v/>
      </c>
      <c r="BK235" s="128">
        <f>IFERROR(SUM($BT235:$CK235),)</f>
        <v/>
      </c>
      <c r="BL235" s="129">
        <f>IFERROR(SUM($CL235:$CN235),)</f>
        <v/>
      </c>
      <c r="BM235" s="130">
        <f>IFERROR(SUM($CO235:$CQ235),)</f>
        <v/>
      </c>
      <c r="BN235" s="128">
        <f>IFERROR(SUM($CR235:$CT235),)</f>
        <v/>
      </c>
      <c r="BO235" s="128">
        <f>iferror(SUM($BP235,($BQ235*1.2),($BR235*1.35),($BS235*0.74)),)</f>
        <v/>
      </c>
      <c r="BP235" s="128">
        <f>IFERROR(SUM($CU235:$DL235),)</f>
        <v/>
      </c>
      <c r="BQ235" s="128">
        <f>IFERROR(SUM($DM235:$DO235),)</f>
        <v/>
      </c>
      <c r="BR235" s="128">
        <f>IFERROR(SUM($DP235:$DR235),)</f>
        <v/>
      </c>
      <c r="BS235" s="128">
        <f>IFERROR(SUM($DS235:$DU235),)</f>
        <v/>
      </c>
      <c r="BT235" s="128">
        <f>IFERROR(AI235*$W235,)</f>
        <v/>
      </c>
      <c r="BU235" s="128">
        <f>IFERROR(AJ235*$W235,)</f>
        <v/>
      </c>
      <c r="BV235" s="128">
        <f>IFERROR(AK235*$W235,)</f>
        <v/>
      </c>
      <c r="BW235" s="128">
        <f>IFERROR(AL235*$W235,)</f>
        <v/>
      </c>
      <c r="BX235" s="128">
        <f>IFERROR(AM235*$W235,)</f>
        <v/>
      </c>
      <c r="BY235" s="128">
        <f>IFERROR(AN235*$W235,)</f>
        <v/>
      </c>
      <c r="BZ235" s="128">
        <f>IFERROR(AO235*$W235,)</f>
        <v/>
      </c>
      <c r="CA235" s="128">
        <f>IFERROR(AP235*$W235,)</f>
        <v/>
      </c>
      <c r="CB235" s="128">
        <f>IFERROR(AQ235*$W235,)</f>
        <v/>
      </c>
      <c r="CC235" s="128">
        <f>IFERROR(AR235*$W235,)</f>
        <v/>
      </c>
      <c r="CD235" s="128">
        <f>IFERROR(AS235*$W235,)</f>
        <v/>
      </c>
      <c r="CE235" s="128">
        <f>IFERROR(AT235*$W235,)</f>
        <v/>
      </c>
      <c r="CF235" s="128">
        <f>IFERROR(AU235*$W235,)</f>
        <v/>
      </c>
      <c r="CG235" s="128">
        <f>IFERROR(AV235*$W235,)</f>
        <v/>
      </c>
      <c r="CH235" s="128">
        <f>IFERROR(AW235*$W235,)</f>
        <v/>
      </c>
      <c r="CI235" s="128">
        <f>IFERROR(AX235*$W235,)</f>
        <v/>
      </c>
      <c r="CJ235" s="128">
        <f>IFERROR(AY235*$W235,)</f>
        <v/>
      </c>
      <c r="CK235" s="128">
        <f>IFERROR(AZ235*$W235,)</f>
        <v/>
      </c>
      <c r="CL235" s="129">
        <f>IFERROR(if($Y235=0,BA235*($W235/1.2),BA235*$Y235),"")</f>
        <v/>
      </c>
      <c r="CM235" s="129">
        <f>IFERROR(if($Y235=0,BB235*($W235/1.2),BB235*$Y235),"")</f>
        <v/>
      </c>
      <c r="CN235" s="129">
        <f>IFERROR(if($Y235=0,BC235*($W235/1.2),BC235*$Y235),"")</f>
        <v/>
      </c>
      <c r="CO235" s="130">
        <f>IFERROR(if($AA235=0,($W235/1.35)*BD235,BD235*$AA235),)</f>
        <v/>
      </c>
      <c r="CP235" s="130">
        <f>IFERROR(if($AA235=0,($W235/1.35)*BE235,BE235*$AA235),)</f>
        <v/>
      </c>
      <c r="CQ235" s="130">
        <f>IFERROR(if($AA235=0,($W235/1.35)*BF235,BF235*$AA235),)</f>
        <v/>
      </c>
      <c r="CR235" s="128">
        <f>IFERROR(if($AC235=0,($W235/0.74)*BG235,
BG235*$AC235),)</f>
        <v/>
      </c>
      <c r="CS235" s="128">
        <f>IFERROR(if($AC235=0,($W235/0.74)*BH235,
BH235*$AC235),)</f>
        <v/>
      </c>
      <c r="CT235" s="128">
        <f>IFERROR(if($AC235=0,($W235/0.74)*BI235,
BI235*$AC235),)</f>
        <v/>
      </c>
      <c r="CU235" s="128">
        <f>IFERROR(AI235*$V235,)</f>
        <v/>
      </c>
      <c r="CV235" s="128">
        <f>IFERROR(AJ235*$V235,)</f>
        <v/>
      </c>
      <c r="CW235" s="128">
        <f>IFERROR(AK235*$V235,)</f>
        <v/>
      </c>
      <c r="CX235" s="128">
        <f>IFERROR(AL235*$V235,)</f>
        <v/>
      </c>
      <c r="CY235" s="128">
        <f>IFERROR(AM235*$V235,)</f>
        <v/>
      </c>
      <c r="CZ235" s="128">
        <f>IFERROR(AN235*$V235,)</f>
        <v/>
      </c>
      <c r="DA235" s="128">
        <f>IFERROR(AO235*$V235,)</f>
        <v/>
      </c>
      <c r="DB235" s="128">
        <f>IFERROR(AP235*$V235,)</f>
        <v/>
      </c>
      <c r="DC235" s="128">
        <f>IFERROR(AQ235*$V235,)</f>
        <v/>
      </c>
      <c r="DD235" s="128">
        <f>IFERROR(AR235*$V235,)</f>
        <v/>
      </c>
      <c r="DE235" s="128">
        <f>IFERROR(AS235*$V235,)</f>
        <v/>
      </c>
      <c r="DF235" s="128">
        <f>IFERROR(AT235*$V235,)</f>
        <v/>
      </c>
      <c r="DG235" s="128">
        <f>IFERROR(AU235*$V235,)</f>
        <v/>
      </c>
      <c r="DH235" s="128">
        <f>IFERROR(AV235*$V235,)</f>
        <v/>
      </c>
      <c r="DI235" s="128">
        <f>IFERROR(AW235*$V235,)</f>
        <v/>
      </c>
      <c r="DJ235" s="128">
        <f>IFERROR(AX235*$V235,)</f>
        <v/>
      </c>
      <c r="DK235" s="128">
        <f>IFERROR(AY235*$V235,)</f>
        <v/>
      </c>
      <c r="DL235" s="128">
        <f>IFERROR(AZ235*$V235,)</f>
        <v/>
      </c>
      <c r="DM235" s="129">
        <f>IFERROR(if($X235=0,($V235/1.2)*BA235,
BA235*$X235),)</f>
        <v/>
      </c>
      <c r="DN235" s="129">
        <f>IFERROR(if($X235=0,($V235/1.2)*BB235,
BB235*$X235),)</f>
        <v/>
      </c>
      <c r="DO235" s="129">
        <f>IFERROR(if($X235=0,($V235/1.2)*BC235,
BC235*$X235),)</f>
        <v/>
      </c>
      <c r="DP235" s="130">
        <f>IFERROR(if($Z235=0,($V235/1.35)*BD235,
BD235*$Z235),)</f>
        <v/>
      </c>
      <c r="DQ235" s="130">
        <f>IFERROR(if($Z235=0,($V235/1.35)*BE235,
BE235*$Z235),)</f>
        <v/>
      </c>
      <c r="DR235" s="130">
        <f>IFERROR(if($Z235=0,($V235/1.35)*BF235,
BF235*$Z235),)</f>
        <v/>
      </c>
      <c r="DS235" s="128">
        <f>IFERROR(IF($AB235=0,($V235/0.74)*BG235,
BG235*$AB235),)</f>
        <v/>
      </c>
      <c r="DT235" s="128">
        <f>IFERROR(IF($AB235=0,($V235/0.74)*BH235,
BH235*$AB235),)</f>
        <v/>
      </c>
      <c r="DU235" s="128">
        <f>IFERROR(IF($AB235=0,($V235/0.74)*BI235,
BI235*$AB235),)</f>
        <v/>
      </c>
    </row>
    <row r="236" ht="131.25" customHeight="1" s="162">
      <c r="A236" s="115" t="n"/>
      <c r="B236" s="115" t="n"/>
      <c r="C236" s="115" t="n"/>
      <c r="D236" s="115" t="n"/>
      <c r="E236" s="115" t="n"/>
      <c r="F236" s="115" t="n"/>
      <c r="G236" s="115" t="n"/>
      <c r="H236" s="115" t="n"/>
      <c r="I236" s="115" t="n"/>
      <c r="J236" s="115" t="n"/>
      <c r="K236" s="115" t="n"/>
      <c r="L236" s="115" t="n"/>
      <c r="M236" s="115" t="n"/>
      <c r="N236" s="115" t="n"/>
      <c r="O236" s="115" t="n"/>
      <c r="P236" s="115" t="n"/>
      <c r="Q236" s="115" t="n"/>
      <c r="R236" s="115" t="n"/>
      <c r="S236" s="115" t="n"/>
      <c r="T236" s="115" t="n"/>
      <c r="U236" s="116" t="n"/>
      <c r="V236" s="116" t="n"/>
      <c r="W236" s="117" t="n"/>
      <c r="X236" s="118" t="n"/>
      <c r="Y236" s="119" t="n"/>
      <c r="Z236" s="120" t="n"/>
      <c r="AA236" s="121" t="n"/>
      <c r="AB236" s="122" t="n"/>
      <c r="AC236" s="117" t="n"/>
      <c r="AD236" s="123">
        <f>IF(SUM($AE236:$AH236)=0,"",SUM($AE236:$AH236))</f>
        <v/>
      </c>
      <c r="AE236" s="123">
        <f>iferror(IF(SUM($AI236:$AZ236)=0,"",SUM($AI236:$AZ236)),"")</f>
        <v/>
      </c>
      <c r="AF236" s="123">
        <f>iferror(IF(SUM($BA236:$BC236)=0,"",SUM($BA236:$BC236)),"")</f>
        <v/>
      </c>
      <c r="AG236" s="123">
        <f>iferror(IF(SUM($BD236:$BF236)=0,"",SUM($BD236:$BF236)),"")</f>
        <v/>
      </c>
      <c r="AH236" s="124">
        <f>iferror(IF(SUM($BG236:$BI236)=0,"",SUM($BG236:$BI236)),"")</f>
        <v/>
      </c>
      <c r="AI236" s="131" t="n"/>
      <c r="AJ236" s="132" t="n"/>
      <c r="AK236" s="132" t="n"/>
      <c r="AL236" s="132" t="n"/>
      <c r="AM236" s="132" t="n"/>
      <c r="AN236" s="132" t="n"/>
      <c r="AO236" s="132" t="n"/>
      <c r="AP236" s="132" t="n"/>
      <c r="AQ236" s="132" t="n"/>
      <c r="AR236" s="132" t="n"/>
      <c r="AS236" s="132" t="n"/>
      <c r="AT236" s="132" t="n"/>
      <c r="AU236" s="132" t="n"/>
      <c r="AV236" s="132" t="n"/>
      <c r="AW236" s="132" t="n"/>
      <c r="AX236" s="132" t="n"/>
      <c r="AY236" s="132" t="n"/>
      <c r="AZ236" s="133" t="n"/>
      <c r="BA236" s="131" t="n"/>
      <c r="BB236" s="132" t="n"/>
      <c r="BC236" s="133" t="n"/>
      <c r="BD236" s="131" t="n"/>
      <c r="BE236" s="132" t="n"/>
      <c r="BF236" s="133" t="n"/>
      <c r="BG236" s="131" t="n"/>
      <c r="BH236" s="132" t="n"/>
      <c r="BI236" s="132" t="n"/>
      <c r="BJ236" s="128">
        <f>iferror(SUM($BK236,($BL236*1.2),($BM236*1.35),($BN236*0.74)),)</f>
        <v/>
      </c>
      <c r="BK236" s="128">
        <f>IFERROR(SUM($BT236:$CK236),)</f>
        <v/>
      </c>
      <c r="BL236" s="129">
        <f>IFERROR(SUM($CL236:$CN236),)</f>
        <v/>
      </c>
      <c r="BM236" s="130">
        <f>IFERROR(SUM($CO236:$CQ236),)</f>
        <v/>
      </c>
      <c r="BN236" s="128">
        <f>IFERROR(SUM($CR236:$CT236),)</f>
        <v/>
      </c>
      <c r="BO236" s="128">
        <f>iferror(SUM($BP236,($BQ236*1.2),($BR236*1.35),($BS236*0.74)),)</f>
        <v/>
      </c>
      <c r="BP236" s="128">
        <f>IFERROR(SUM($CU236:$DL236),)</f>
        <v/>
      </c>
      <c r="BQ236" s="128">
        <f>IFERROR(SUM($DM236:$DO236),)</f>
        <v/>
      </c>
      <c r="BR236" s="128">
        <f>IFERROR(SUM($DP236:$DR236),)</f>
        <v/>
      </c>
      <c r="BS236" s="128">
        <f>IFERROR(SUM($DS236:$DU236),)</f>
        <v/>
      </c>
      <c r="BT236" s="128">
        <f>IFERROR(AI236*$W236,)</f>
        <v/>
      </c>
      <c r="BU236" s="128">
        <f>IFERROR(AJ236*$W236,)</f>
        <v/>
      </c>
      <c r="BV236" s="128">
        <f>IFERROR(AK236*$W236,)</f>
        <v/>
      </c>
      <c r="BW236" s="128">
        <f>IFERROR(AL236*$W236,)</f>
        <v/>
      </c>
      <c r="BX236" s="128">
        <f>IFERROR(AM236*$W236,)</f>
        <v/>
      </c>
      <c r="BY236" s="128">
        <f>IFERROR(AN236*$W236,)</f>
        <v/>
      </c>
      <c r="BZ236" s="128">
        <f>IFERROR(AO236*$W236,)</f>
        <v/>
      </c>
      <c r="CA236" s="128">
        <f>IFERROR(AP236*$W236,)</f>
        <v/>
      </c>
      <c r="CB236" s="128">
        <f>IFERROR(AQ236*$W236,)</f>
        <v/>
      </c>
      <c r="CC236" s="128">
        <f>IFERROR(AR236*$W236,)</f>
        <v/>
      </c>
      <c r="CD236" s="128">
        <f>IFERROR(AS236*$W236,)</f>
        <v/>
      </c>
      <c r="CE236" s="128">
        <f>IFERROR(AT236*$W236,)</f>
        <v/>
      </c>
      <c r="CF236" s="128">
        <f>IFERROR(AU236*$W236,)</f>
        <v/>
      </c>
      <c r="CG236" s="128">
        <f>IFERROR(AV236*$W236,)</f>
        <v/>
      </c>
      <c r="CH236" s="128">
        <f>IFERROR(AW236*$W236,)</f>
        <v/>
      </c>
      <c r="CI236" s="128">
        <f>IFERROR(AX236*$W236,)</f>
        <v/>
      </c>
      <c r="CJ236" s="128">
        <f>IFERROR(AY236*$W236,)</f>
        <v/>
      </c>
      <c r="CK236" s="128">
        <f>IFERROR(AZ236*$W236,)</f>
        <v/>
      </c>
      <c r="CL236" s="129">
        <f>IFERROR(if($Y236=0,BA236*($W236/1.2),BA236*$Y236),"")</f>
        <v/>
      </c>
      <c r="CM236" s="129">
        <f>IFERROR(if($Y236=0,BB236*($W236/1.2),BB236*$Y236),"")</f>
        <v/>
      </c>
      <c r="CN236" s="129">
        <f>IFERROR(if($Y236=0,BC236*($W236/1.2),BC236*$Y236),"")</f>
        <v/>
      </c>
      <c r="CO236" s="130">
        <f>IFERROR(if($AA236=0,($W236/1.35)*BD236,BD236*$AA236),)</f>
        <v/>
      </c>
      <c r="CP236" s="130">
        <f>IFERROR(if($AA236=0,($W236/1.35)*BE236,BE236*$AA236),)</f>
        <v/>
      </c>
      <c r="CQ236" s="130">
        <f>IFERROR(if($AA236=0,($W236/1.35)*BF236,BF236*$AA236),)</f>
        <v/>
      </c>
      <c r="CR236" s="128">
        <f>IFERROR(if($AC236=0,($W236/0.74)*BG236,
BG236*$AC236),)</f>
        <v/>
      </c>
      <c r="CS236" s="128">
        <f>IFERROR(if($AC236=0,($W236/0.74)*BH236,
BH236*$AC236),)</f>
        <v/>
      </c>
      <c r="CT236" s="128">
        <f>IFERROR(if($AC236=0,($W236/0.74)*BI236,
BI236*$AC236),)</f>
        <v/>
      </c>
      <c r="CU236" s="128">
        <f>IFERROR(AI236*$V236,)</f>
        <v/>
      </c>
      <c r="CV236" s="128">
        <f>IFERROR(AJ236*$V236,)</f>
        <v/>
      </c>
      <c r="CW236" s="128">
        <f>IFERROR(AK236*$V236,)</f>
        <v/>
      </c>
      <c r="CX236" s="128">
        <f>IFERROR(AL236*$V236,)</f>
        <v/>
      </c>
      <c r="CY236" s="128">
        <f>IFERROR(AM236*$V236,)</f>
        <v/>
      </c>
      <c r="CZ236" s="128">
        <f>IFERROR(AN236*$V236,)</f>
        <v/>
      </c>
      <c r="DA236" s="128">
        <f>IFERROR(AO236*$V236,)</f>
        <v/>
      </c>
      <c r="DB236" s="128">
        <f>IFERROR(AP236*$V236,)</f>
        <v/>
      </c>
      <c r="DC236" s="128">
        <f>IFERROR(AQ236*$V236,)</f>
        <v/>
      </c>
      <c r="DD236" s="128">
        <f>IFERROR(AR236*$V236,)</f>
        <v/>
      </c>
      <c r="DE236" s="128">
        <f>IFERROR(AS236*$V236,)</f>
        <v/>
      </c>
      <c r="DF236" s="128">
        <f>IFERROR(AT236*$V236,)</f>
        <v/>
      </c>
      <c r="DG236" s="128">
        <f>IFERROR(AU236*$V236,)</f>
        <v/>
      </c>
      <c r="DH236" s="128">
        <f>IFERROR(AV236*$V236,)</f>
        <v/>
      </c>
      <c r="DI236" s="128">
        <f>IFERROR(AW236*$V236,)</f>
        <v/>
      </c>
      <c r="DJ236" s="128">
        <f>IFERROR(AX236*$V236,)</f>
        <v/>
      </c>
      <c r="DK236" s="128">
        <f>IFERROR(AY236*$V236,)</f>
        <v/>
      </c>
      <c r="DL236" s="128">
        <f>IFERROR(AZ236*$V236,)</f>
        <v/>
      </c>
      <c r="DM236" s="129">
        <f>IFERROR(if($X236=0,($V236/1.2)*BA236,
BA236*$X236),)</f>
        <v/>
      </c>
      <c r="DN236" s="129">
        <f>IFERROR(if($X236=0,($V236/1.2)*BB236,
BB236*$X236),)</f>
        <v/>
      </c>
      <c r="DO236" s="129">
        <f>IFERROR(if($X236=0,($V236/1.2)*BC236,
BC236*$X236),)</f>
        <v/>
      </c>
      <c r="DP236" s="130">
        <f>IFERROR(if($Z236=0,($V236/1.35)*BD236,
BD236*$Z236),)</f>
        <v/>
      </c>
      <c r="DQ236" s="130">
        <f>IFERROR(if($Z236=0,($V236/1.35)*BE236,
BE236*$Z236),)</f>
        <v/>
      </c>
      <c r="DR236" s="130">
        <f>IFERROR(if($Z236=0,($V236/1.35)*BF236,
BF236*$Z236),)</f>
        <v/>
      </c>
      <c r="DS236" s="128">
        <f>IFERROR(IF($AB236=0,($V236/0.74)*BG236,
BG236*$AB236),)</f>
        <v/>
      </c>
      <c r="DT236" s="128">
        <f>IFERROR(IF($AB236=0,($V236/0.74)*BH236,
BH236*$AB236),)</f>
        <v/>
      </c>
      <c r="DU236" s="128">
        <f>IFERROR(IF($AB236=0,($V236/0.74)*BI236,
BI236*$AB236),)</f>
        <v/>
      </c>
    </row>
    <row r="237" ht="131.25" customHeight="1" s="162">
      <c r="A237" s="115" t="n"/>
      <c r="B237" s="115" t="n"/>
      <c r="C237" s="115" t="n"/>
      <c r="D237" s="115" t="n"/>
      <c r="E237" s="115" t="n"/>
      <c r="F237" s="115" t="n"/>
      <c r="G237" s="115" t="n"/>
      <c r="H237" s="115" t="n"/>
      <c r="I237" s="115" t="n"/>
      <c r="J237" s="115" t="n"/>
      <c r="K237" s="115" t="n"/>
      <c r="L237" s="115" t="n"/>
      <c r="M237" s="115" t="n"/>
      <c r="N237" s="115" t="n"/>
      <c r="O237" s="115" t="n"/>
      <c r="P237" s="115" t="n"/>
      <c r="Q237" s="115" t="n"/>
      <c r="R237" s="115" t="n"/>
      <c r="S237" s="115" t="n"/>
      <c r="T237" s="115" t="n"/>
      <c r="U237" s="116" t="n"/>
      <c r="V237" s="116" t="n"/>
      <c r="W237" s="117" t="n"/>
      <c r="X237" s="118" t="n"/>
      <c r="Y237" s="119" t="n"/>
      <c r="Z237" s="120" t="n"/>
      <c r="AA237" s="121" t="n"/>
      <c r="AB237" s="122" t="n"/>
      <c r="AC237" s="117" t="n"/>
      <c r="AD237" s="123">
        <f>IF(SUM($AE237:$AH237)=0,"",SUM($AE237:$AH237))</f>
        <v/>
      </c>
      <c r="AE237" s="123">
        <f>iferror(IF(SUM($AI237:$AZ237)=0,"",SUM($AI237:$AZ237)),"")</f>
        <v/>
      </c>
      <c r="AF237" s="123">
        <f>iferror(IF(SUM($BA237:$BC237)=0,"",SUM($BA237:$BC237)),"")</f>
        <v/>
      </c>
      <c r="AG237" s="123">
        <f>iferror(IF(SUM($BD237:$BF237)=0,"",SUM($BD237:$BF237)),"")</f>
        <v/>
      </c>
      <c r="AH237" s="124">
        <f>iferror(IF(SUM($BG237:$BI237)=0,"",SUM($BG237:$BI237)),"")</f>
        <v/>
      </c>
      <c r="AI237" s="131" t="n"/>
      <c r="AJ237" s="132" t="n"/>
      <c r="AK237" s="132" t="n"/>
      <c r="AL237" s="132" t="n"/>
      <c r="AM237" s="132" t="n"/>
      <c r="AN237" s="132" t="n"/>
      <c r="AO237" s="132" t="n"/>
      <c r="AP237" s="132" t="n"/>
      <c r="AQ237" s="132" t="n"/>
      <c r="AR237" s="132" t="n"/>
      <c r="AS237" s="132" t="n"/>
      <c r="AT237" s="132" t="n"/>
      <c r="AU237" s="132" t="n"/>
      <c r="AV237" s="132" t="n"/>
      <c r="AW237" s="132" t="n"/>
      <c r="AX237" s="132" t="n"/>
      <c r="AY237" s="132" t="n"/>
      <c r="AZ237" s="133" t="n"/>
      <c r="BA237" s="131" t="n"/>
      <c r="BB237" s="132" t="n"/>
      <c r="BC237" s="133" t="n"/>
      <c r="BD237" s="131" t="n"/>
      <c r="BE237" s="132" t="n"/>
      <c r="BF237" s="133" t="n"/>
      <c r="BG237" s="131" t="n"/>
      <c r="BH237" s="132" t="n"/>
      <c r="BI237" s="132" t="n"/>
      <c r="BJ237" s="128">
        <f>iferror(SUM($BK237,($BL237*1.2),($BM237*1.35),($BN237*0.74)),)</f>
        <v/>
      </c>
      <c r="BK237" s="128">
        <f>IFERROR(SUM($BT237:$CK237),)</f>
        <v/>
      </c>
      <c r="BL237" s="129">
        <f>IFERROR(SUM($CL237:$CN237),)</f>
        <v/>
      </c>
      <c r="BM237" s="130">
        <f>IFERROR(SUM($CO237:$CQ237),)</f>
        <v/>
      </c>
      <c r="BN237" s="128">
        <f>IFERROR(SUM($CR237:$CT237),)</f>
        <v/>
      </c>
      <c r="BO237" s="128">
        <f>iferror(SUM($BP237,($BQ237*1.2),($BR237*1.35),($BS237*0.74)),)</f>
        <v/>
      </c>
      <c r="BP237" s="128">
        <f>IFERROR(SUM($CU237:$DL237),)</f>
        <v/>
      </c>
      <c r="BQ237" s="128">
        <f>IFERROR(SUM($DM237:$DO237),)</f>
        <v/>
      </c>
      <c r="BR237" s="128">
        <f>IFERROR(SUM($DP237:$DR237),)</f>
        <v/>
      </c>
      <c r="BS237" s="128">
        <f>IFERROR(SUM($DS237:$DU237),)</f>
        <v/>
      </c>
      <c r="BT237" s="128">
        <f>IFERROR(AI237*$W237,)</f>
        <v/>
      </c>
      <c r="BU237" s="128">
        <f>IFERROR(AJ237*$W237,)</f>
        <v/>
      </c>
      <c r="BV237" s="128">
        <f>IFERROR(AK237*$W237,)</f>
        <v/>
      </c>
      <c r="BW237" s="128">
        <f>IFERROR(AL237*$W237,)</f>
        <v/>
      </c>
      <c r="BX237" s="128">
        <f>IFERROR(AM237*$W237,)</f>
        <v/>
      </c>
      <c r="BY237" s="128">
        <f>IFERROR(AN237*$W237,)</f>
        <v/>
      </c>
      <c r="BZ237" s="128">
        <f>IFERROR(AO237*$W237,)</f>
        <v/>
      </c>
      <c r="CA237" s="128">
        <f>IFERROR(AP237*$W237,)</f>
        <v/>
      </c>
      <c r="CB237" s="128">
        <f>IFERROR(AQ237*$W237,)</f>
        <v/>
      </c>
      <c r="CC237" s="128">
        <f>IFERROR(AR237*$W237,)</f>
        <v/>
      </c>
      <c r="CD237" s="128">
        <f>IFERROR(AS237*$W237,)</f>
        <v/>
      </c>
      <c r="CE237" s="128">
        <f>IFERROR(AT237*$W237,)</f>
        <v/>
      </c>
      <c r="CF237" s="128">
        <f>IFERROR(AU237*$W237,)</f>
        <v/>
      </c>
      <c r="CG237" s="128">
        <f>IFERROR(AV237*$W237,)</f>
        <v/>
      </c>
      <c r="CH237" s="128">
        <f>IFERROR(AW237*$W237,)</f>
        <v/>
      </c>
      <c r="CI237" s="128">
        <f>IFERROR(AX237*$W237,)</f>
        <v/>
      </c>
      <c r="CJ237" s="128">
        <f>IFERROR(AY237*$W237,)</f>
        <v/>
      </c>
      <c r="CK237" s="128">
        <f>IFERROR(AZ237*$W237,)</f>
        <v/>
      </c>
      <c r="CL237" s="129">
        <f>IFERROR(if($Y237=0,BA237*($W237/1.2),BA237*$Y237),"")</f>
        <v/>
      </c>
      <c r="CM237" s="129">
        <f>IFERROR(if($Y237=0,BB237*($W237/1.2),BB237*$Y237),"")</f>
        <v/>
      </c>
      <c r="CN237" s="129">
        <f>IFERROR(if($Y237=0,BC237*($W237/1.2),BC237*$Y237),"")</f>
        <v/>
      </c>
      <c r="CO237" s="130">
        <f>IFERROR(if($AA237=0,($W237/1.35)*BD237,BD237*$AA237),)</f>
        <v/>
      </c>
      <c r="CP237" s="130">
        <f>IFERROR(if($AA237=0,($W237/1.35)*BE237,BE237*$AA237),)</f>
        <v/>
      </c>
      <c r="CQ237" s="130">
        <f>IFERROR(if($AA237=0,($W237/1.35)*BF237,BF237*$AA237),)</f>
        <v/>
      </c>
      <c r="CR237" s="128">
        <f>IFERROR(if($AC237=0,($W237/0.74)*BG237,
BG237*$AC237),)</f>
        <v/>
      </c>
      <c r="CS237" s="128">
        <f>IFERROR(if($AC237=0,($W237/0.74)*BH237,
BH237*$AC237),)</f>
        <v/>
      </c>
      <c r="CT237" s="128">
        <f>IFERROR(if($AC237=0,($W237/0.74)*BI237,
BI237*$AC237),)</f>
        <v/>
      </c>
      <c r="CU237" s="128">
        <f>IFERROR(AI237*$V237,)</f>
        <v/>
      </c>
      <c r="CV237" s="128">
        <f>IFERROR(AJ237*$V237,)</f>
        <v/>
      </c>
      <c r="CW237" s="128">
        <f>IFERROR(AK237*$V237,)</f>
        <v/>
      </c>
      <c r="CX237" s="128">
        <f>IFERROR(AL237*$V237,)</f>
        <v/>
      </c>
      <c r="CY237" s="128">
        <f>IFERROR(AM237*$V237,)</f>
        <v/>
      </c>
      <c r="CZ237" s="128">
        <f>IFERROR(AN237*$V237,)</f>
        <v/>
      </c>
      <c r="DA237" s="128">
        <f>IFERROR(AO237*$V237,)</f>
        <v/>
      </c>
      <c r="DB237" s="128">
        <f>IFERROR(AP237*$V237,)</f>
        <v/>
      </c>
      <c r="DC237" s="128">
        <f>IFERROR(AQ237*$V237,)</f>
        <v/>
      </c>
      <c r="DD237" s="128">
        <f>IFERROR(AR237*$V237,)</f>
        <v/>
      </c>
      <c r="DE237" s="128">
        <f>IFERROR(AS237*$V237,)</f>
        <v/>
      </c>
      <c r="DF237" s="128">
        <f>IFERROR(AT237*$V237,)</f>
        <v/>
      </c>
      <c r="DG237" s="128">
        <f>IFERROR(AU237*$V237,)</f>
        <v/>
      </c>
      <c r="DH237" s="128">
        <f>IFERROR(AV237*$V237,)</f>
        <v/>
      </c>
      <c r="DI237" s="128">
        <f>IFERROR(AW237*$V237,)</f>
        <v/>
      </c>
      <c r="DJ237" s="128">
        <f>IFERROR(AX237*$V237,)</f>
        <v/>
      </c>
      <c r="DK237" s="128">
        <f>IFERROR(AY237*$V237,)</f>
        <v/>
      </c>
      <c r="DL237" s="128">
        <f>IFERROR(AZ237*$V237,)</f>
        <v/>
      </c>
      <c r="DM237" s="129">
        <f>IFERROR(if($X237=0,($V237/1.2)*BA237,
BA237*$X237),)</f>
        <v/>
      </c>
      <c r="DN237" s="129">
        <f>IFERROR(if($X237=0,($V237/1.2)*BB237,
BB237*$X237),)</f>
        <v/>
      </c>
      <c r="DO237" s="129">
        <f>IFERROR(if($X237=0,($V237/1.2)*BC237,
BC237*$X237),)</f>
        <v/>
      </c>
      <c r="DP237" s="130">
        <f>IFERROR(if($Z237=0,($V237/1.35)*BD237,
BD237*$Z237),)</f>
        <v/>
      </c>
      <c r="DQ237" s="130">
        <f>IFERROR(if($Z237=0,($V237/1.35)*BE237,
BE237*$Z237),)</f>
        <v/>
      </c>
      <c r="DR237" s="130">
        <f>IFERROR(if($Z237=0,($V237/1.35)*BF237,
BF237*$Z237),)</f>
        <v/>
      </c>
      <c r="DS237" s="128">
        <f>IFERROR(IF($AB237=0,($V237/0.74)*BG237,
BG237*$AB237),)</f>
        <v/>
      </c>
      <c r="DT237" s="128">
        <f>IFERROR(IF($AB237=0,($V237/0.74)*BH237,
BH237*$AB237),)</f>
        <v/>
      </c>
      <c r="DU237" s="128">
        <f>IFERROR(IF($AB237=0,($V237/0.74)*BI237,
BI237*$AB237),)</f>
        <v/>
      </c>
    </row>
    <row r="238" ht="131.25" customHeight="1" s="162">
      <c r="A238" s="115" t="n"/>
      <c r="B238" s="115" t="n"/>
      <c r="C238" s="115" t="n"/>
      <c r="D238" s="115" t="n"/>
      <c r="E238" s="115" t="n"/>
      <c r="F238" s="115" t="n"/>
      <c r="G238" s="115" t="n"/>
      <c r="H238" s="115" t="n"/>
      <c r="I238" s="115" t="n"/>
      <c r="J238" s="115" t="n"/>
      <c r="K238" s="115" t="n"/>
      <c r="L238" s="115" t="n"/>
      <c r="M238" s="115" t="n"/>
      <c r="N238" s="115" t="n"/>
      <c r="O238" s="115" t="n"/>
      <c r="P238" s="115" t="n"/>
      <c r="Q238" s="115" t="n"/>
      <c r="R238" s="115" t="n"/>
      <c r="S238" s="115" t="n"/>
      <c r="T238" s="115" t="n"/>
      <c r="U238" s="116" t="n"/>
      <c r="V238" s="116" t="n"/>
      <c r="W238" s="117" t="n"/>
      <c r="X238" s="118" t="n"/>
      <c r="Y238" s="119" t="n"/>
      <c r="Z238" s="120" t="n"/>
      <c r="AA238" s="121" t="n"/>
      <c r="AB238" s="122" t="n"/>
      <c r="AC238" s="117" t="n"/>
      <c r="AD238" s="123">
        <f>IF(SUM($AE238:$AH238)=0,"",SUM($AE238:$AH238))</f>
        <v/>
      </c>
      <c r="AE238" s="123">
        <f>iferror(IF(SUM($AI238:$AZ238)=0,"",SUM($AI238:$AZ238)),"")</f>
        <v/>
      </c>
      <c r="AF238" s="123">
        <f>iferror(IF(SUM($BA238:$BC238)=0,"",SUM($BA238:$BC238)),"")</f>
        <v/>
      </c>
      <c r="AG238" s="123">
        <f>iferror(IF(SUM($BD238:$BF238)=0,"",SUM($BD238:$BF238)),"")</f>
        <v/>
      </c>
      <c r="AH238" s="124">
        <f>iferror(IF(SUM($BG238:$BI238)=0,"",SUM($BG238:$BI238)),"")</f>
        <v/>
      </c>
      <c r="AI238" s="131" t="n"/>
      <c r="AJ238" s="132" t="n"/>
      <c r="AK238" s="132" t="n"/>
      <c r="AL238" s="132" t="n"/>
      <c r="AM238" s="132" t="n"/>
      <c r="AN238" s="132" t="n"/>
      <c r="AO238" s="132" t="n"/>
      <c r="AP238" s="132" t="n"/>
      <c r="AQ238" s="132" t="n"/>
      <c r="AR238" s="132" t="n"/>
      <c r="AS238" s="132" t="n"/>
      <c r="AT238" s="132" t="n"/>
      <c r="AU238" s="132" t="n"/>
      <c r="AV238" s="132" t="n"/>
      <c r="AW238" s="132" t="n"/>
      <c r="AX238" s="132" t="n"/>
      <c r="AY238" s="132" t="n"/>
      <c r="AZ238" s="133" t="n"/>
      <c r="BA238" s="131" t="n"/>
      <c r="BB238" s="132" t="n"/>
      <c r="BC238" s="133" t="n"/>
      <c r="BD238" s="131" t="n"/>
      <c r="BE238" s="132" t="n"/>
      <c r="BF238" s="133" t="n"/>
      <c r="BG238" s="131" t="n"/>
      <c r="BH238" s="132" t="n"/>
      <c r="BI238" s="132" t="n"/>
      <c r="BJ238" s="128">
        <f>iferror(SUM($BK238,($BL238*1.2),($BM238*1.35),($BN238*0.74)),)</f>
        <v/>
      </c>
      <c r="BK238" s="128">
        <f>IFERROR(SUM($BT238:$CK238),)</f>
        <v/>
      </c>
      <c r="BL238" s="129">
        <f>IFERROR(SUM($CL238:$CN238),)</f>
        <v/>
      </c>
      <c r="BM238" s="130">
        <f>IFERROR(SUM($CO238:$CQ238),)</f>
        <v/>
      </c>
      <c r="BN238" s="128">
        <f>IFERROR(SUM($CR238:$CT238),)</f>
        <v/>
      </c>
      <c r="BO238" s="128">
        <f>iferror(SUM($BP238,($BQ238*1.2),($BR238*1.35),($BS238*0.74)),)</f>
        <v/>
      </c>
      <c r="BP238" s="128">
        <f>IFERROR(SUM($CU238:$DL238),)</f>
        <v/>
      </c>
      <c r="BQ238" s="128">
        <f>IFERROR(SUM($DM238:$DO238),)</f>
        <v/>
      </c>
      <c r="BR238" s="128">
        <f>IFERROR(SUM($DP238:$DR238),)</f>
        <v/>
      </c>
      <c r="BS238" s="128">
        <f>IFERROR(SUM($DS238:$DU238),)</f>
        <v/>
      </c>
      <c r="BT238" s="128">
        <f>IFERROR(AI238*$W238,)</f>
        <v/>
      </c>
      <c r="BU238" s="128">
        <f>IFERROR(AJ238*$W238,)</f>
        <v/>
      </c>
      <c r="BV238" s="128">
        <f>IFERROR(AK238*$W238,)</f>
        <v/>
      </c>
      <c r="BW238" s="128">
        <f>IFERROR(AL238*$W238,)</f>
        <v/>
      </c>
      <c r="BX238" s="128">
        <f>IFERROR(AM238*$W238,)</f>
        <v/>
      </c>
      <c r="BY238" s="128">
        <f>IFERROR(AN238*$W238,)</f>
        <v/>
      </c>
      <c r="BZ238" s="128">
        <f>IFERROR(AO238*$W238,)</f>
        <v/>
      </c>
      <c r="CA238" s="128">
        <f>IFERROR(AP238*$W238,)</f>
        <v/>
      </c>
      <c r="CB238" s="128">
        <f>IFERROR(AQ238*$W238,)</f>
        <v/>
      </c>
      <c r="CC238" s="128">
        <f>IFERROR(AR238*$W238,)</f>
        <v/>
      </c>
      <c r="CD238" s="128">
        <f>IFERROR(AS238*$W238,)</f>
        <v/>
      </c>
      <c r="CE238" s="128">
        <f>IFERROR(AT238*$W238,)</f>
        <v/>
      </c>
      <c r="CF238" s="128">
        <f>IFERROR(AU238*$W238,)</f>
        <v/>
      </c>
      <c r="CG238" s="128">
        <f>IFERROR(AV238*$W238,)</f>
        <v/>
      </c>
      <c r="CH238" s="128">
        <f>IFERROR(AW238*$W238,)</f>
        <v/>
      </c>
      <c r="CI238" s="128">
        <f>IFERROR(AX238*$W238,)</f>
        <v/>
      </c>
      <c r="CJ238" s="128">
        <f>IFERROR(AY238*$W238,)</f>
        <v/>
      </c>
      <c r="CK238" s="128">
        <f>IFERROR(AZ238*$W238,)</f>
        <v/>
      </c>
      <c r="CL238" s="129">
        <f>IFERROR(if($Y238=0,BA238*($W238/1.2),BA238*$Y238),"")</f>
        <v/>
      </c>
      <c r="CM238" s="129">
        <f>IFERROR(if($Y238=0,BB238*($W238/1.2),BB238*$Y238),"")</f>
        <v/>
      </c>
      <c r="CN238" s="129">
        <f>IFERROR(if($Y238=0,BC238*($W238/1.2),BC238*$Y238),"")</f>
        <v/>
      </c>
      <c r="CO238" s="130">
        <f>IFERROR(if($AA238=0,($W238/1.35)*BD238,BD238*$AA238),)</f>
        <v/>
      </c>
      <c r="CP238" s="130">
        <f>IFERROR(if($AA238=0,($W238/1.35)*BE238,BE238*$AA238),)</f>
        <v/>
      </c>
      <c r="CQ238" s="130">
        <f>IFERROR(if($AA238=0,($W238/1.35)*BF238,BF238*$AA238),)</f>
        <v/>
      </c>
      <c r="CR238" s="128">
        <f>IFERROR(if($AC238=0,($W238/0.74)*BG238,
BG238*$AC238),)</f>
        <v/>
      </c>
      <c r="CS238" s="128">
        <f>IFERROR(if($AC238=0,($W238/0.74)*BH238,
BH238*$AC238),)</f>
        <v/>
      </c>
      <c r="CT238" s="128">
        <f>IFERROR(if($AC238=0,($W238/0.74)*BI238,
BI238*$AC238),)</f>
        <v/>
      </c>
      <c r="CU238" s="128">
        <f>IFERROR(AI238*$V238,)</f>
        <v/>
      </c>
      <c r="CV238" s="128">
        <f>IFERROR(AJ238*$V238,)</f>
        <v/>
      </c>
      <c r="CW238" s="128">
        <f>IFERROR(AK238*$V238,)</f>
        <v/>
      </c>
      <c r="CX238" s="128">
        <f>IFERROR(AL238*$V238,)</f>
        <v/>
      </c>
      <c r="CY238" s="128">
        <f>IFERROR(AM238*$V238,)</f>
        <v/>
      </c>
      <c r="CZ238" s="128">
        <f>IFERROR(AN238*$V238,)</f>
        <v/>
      </c>
      <c r="DA238" s="128">
        <f>IFERROR(AO238*$V238,)</f>
        <v/>
      </c>
      <c r="DB238" s="128">
        <f>IFERROR(AP238*$V238,)</f>
        <v/>
      </c>
      <c r="DC238" s="128">
        <f>IFERROR(AQ238*$V238,)</f>
        <v/>
      </c>
      <c r="DD238" s="128">
        <f>IFERROR(AR238*$V238,)</f>
        <v/>
      </c>
      <c r="DE238" s="128">
        <f>IFERROR(AS238*$V238,)</f>
        <v/>
      </c>
      <c r="DF238" s="128">
        <f>IFERROR(AT238*$V238,)</f>
        <v/>
      </c>
      <c r="DG238" s="128">
        <f>IFERROR(AU238*$V238,)</f>
        <v/>
      </c>
      <c r="DH238" s="128">
        <f>IFERROR(AV238*$V238,)</f>
        <v/>
      </c>
      <c r="DI238" s="128">
        <f>IFERROR(AW238*$V238,)</f>
        <v/>
      </c>
      <c r="DJ238" s="128">
        <f>IFERROR(AX238*$V238,)</f>
        <v/>
      </c>
      <c r="DK238" s="128">
        <f>IFERROR(AY238*$V238,)</f>
        <v/>
      </c>
      <c r="DL238" s="128">
        <f>IFERROR(AZ238*$V238,)</f>
        <v/>
      </c>
      <c r="DM238" s="129">
        <f>IFERROR(if($X238=0,($V238/1.2)*BA238,
BA238*$X238),)</f>
        <v/>
      </c>
      <c r="DN238" s="129">
        <f>IFERROR(if($X238=0,($V238/1.2)*BB238,
BB238*$X238),)</f>
        <v/>
      </c>
      <c r="DO238" s="129">
        <f>IFERROR(if($X238=0,($V238/1.2)*BC238,
BC238*$X238),)</f>
        <v/>
      </c>
      <c r="DP238" s="130">
        <f>IFERROR(if($Z238=0,($V238/1.35)*BD238,
BD238*$Z238),)</f>
        <v/>
      </c>
      <c r="DQ238" s="130">
        <f>IFERROR(if($Z238=0,($V238/1.35)*BE238,
BE238*$Z238),)</f>
        <v/>
      </c>
      <c r="DR238" s="130">
        <f>IFERROR(if($Z238=0,($V238/1.35)*BF238,
BF238*$Z238),)</f>
        <v/>
      </c>
      <c r="DS238" s="128">
        <f>IFERROR(IF($AB238=0,($V238/0.74)*BG238,
BG238*$AB238),)</f>
        <v/>
      </c>
      <c r="DT238" s="128">
        <f>IFERROR(IF($AB238=0,($V238/0.74)*BH238,
BH238*$AB238),)</f>
        <v/>
      </c>
      <c r="DU238" s="128">
        <f>IFERROR(IF($AB238=0,($V238/0.74)*BI238,
BI238*$AB238),)</f>
        <v/>
      </c>
    </row>
    <row r="239" ht="131.25" customHeight="1" s="162">
      <c r="A239" s="115" t="n"/>
      <c r="B239" s="115" t="n"/>
      <c r="C239" s="115" t="n"/>
      <c r="D239" s="115" t="n"/>
      <c r="E239" s="115" t="n"/>
      <c r="F239" s="115" t="n"/>
      <c r="G239" s="115" t="n"/>
      <c r="H239" s="115" t="n"/>
      <c r="I239" s="115" t="n"/>
      <c r="J239" s="115" t="n"/>
      <c r="K239" s="115" t="n"/>
      <c r="L239" s="115" t="n"/>
      <c r="M239" s="115" t="n"/>
      <c r="N239" s="115" t="n"/>
      <c r="O239" s="115" t="n"/>
      <c r="P239" s="115" t="n"/>
      <c r="Q239" s="115" t="n"/>
      <c r="R239" s="115" t="n"/>
      <c r="S239" s="115" t="n"/>
      <c r="T239" s="115" t="n"/>
      <c r="U239" s="116" t="n"/>
      <c r="V239" s="116" t="n"/>
      <c r="W239" s="117" t="n"/>
      <c r="X239" s="118" t="n"/>
      <c r="Y239" s="119" t="n"/>
      <c r="Z239" s="120" t="n"/>
      <c r="AA239" s="121" t="n"/>
      <c r="AB239" s="122" t="n"/>
      <c r="AC239" s="117" t="n"/>
      <c r="AD239" s="123">
        <f>IF(SUM($AE239:$AH239)=0,"",SUM($AE239:$AH239))</f>
        <v/>
      </c>
      <c r="AE239" s="123">
        <f>iferror(IF(SUM($AI239:$AZ239)=0,"",SUM($AI239:$AZ239)),"")</f>
        <v/>
      </c>
      <c r="AF239" s="123">
        <f>iferror(IF(SUM($BA239:$BC239)=0,"",SUM($BA239:$BC239)),"")</f>
        <v/>
      </c>
      <c r="AG239" s="123">
        <f>iferror(IF(SUM($BD239:$BF239)=0,"",SUM($BD239:$BF239)),"")</f>
        <v/>
      </c>
      <c r="AH239" s="124">
        <f>iferror(IF(SUM($BG239:$BI239)=0,"",SUM($BG239:$BI239)),"")</f>
        <v/>
      </c>
      <c r="AI239" s="131" t="n"/>
      <c r="AJ239" s="132" t="n"/>
      <c r="AK239" s="132" t="n"/>
      <c r="AL239" s="132" t="n"/>
      <c r="AM239" s="132" t="n"/>
      <c r="AN239" s="132" t="n"/>
      <c r="AO239" s="132" t="n"/>
      <c r="AP239" s="132" t="n"/>
      <c r="AQ239" s="132" t="n"/>
      <c r="AR239" s="132" t="n"/>
      <c r="AS239" s="132" t="n"/>
      <c r="AT239" s="132" t="n"/>
      <c r="AU239" s="132" t="n"/>
      <c r="AV239" s="132" t="n"/>
      <c r="AW239" s="132" t="n"/>
      <c r="AX239" s="132" t="n"/>
      <c r="AY239" s="132" t="n"/>
      <c r="AZ239" s="133" t="n"/>
      <c r="BA239" s="131" t="n"/>
      <c r="BB239" s="132" t="n"/>
      <c r="BC239" s="133" t="n"/>
      <c r="BD239" s="131" t="n"/>
      <c r="BE239" s="132" t="n"/>
      <c r="BF239" s="133" t="n"/>
      <c r="BG239" s="131" t="n"/>
      <c r="BH239" s="132" t="n"/>
      <c r="BI239" s="132" t="n"/>
      <c r="BJ239" s="128">
        <f>iferror(SUM($BK239,($BL239*1.2),($BM239*1.35),($BN239*0.74)),)</f>
        <v/>
      </c>
      <c r="BK239" s="128">
        <f>IFERROR(SUM($BT239:$CK239),)</f>
        <v/>
      </c>
      <c r="BL239" s="129">
        <f>IFERROR(SUM($CL239:$CN239),)</f>
        <v/>
      </c>
      <c r="BM239" s="130">
        <f>IFERROR(SUM($CO239:$CQ239),)</f>
        <v/>
      </c>
      <c r="BN239" s="128">
        <f>IFERROR(SUM($CR239:$CT239),)</f>
        <v/>
      </c>
      <c r="BO239" s="128">
        <f>iferror(SUM($BP239,($BQ239*1.2),($BR239*1.35),($BS239*0.74)),)</f>
        <v/>
      </c>
      <c r="BP239" s="128">
        <f>IFERROR(SUM($CU239:$DL239),)</f>
        <v/>
      </c>
      <c r="BQ239" s="128">
        <f>IFERROR(SUM($DM239:$DO239),)</f>
        <v/>
      </c>
      <c r="BR239" s="128">
        <f>IFERROR(SUM($DP239:$DR239),)</f>
        <v/>
      </c>
      <c r="BS239" s="128">
        <f>IFERROR(SUM($DS239:$DU239),)</f>
        <v/>
      </c>
      <c r="BT239" s="128">
        <f>IFERROR(AI239*$W239,)</f>
        <v/>
      </c>
      <c r="BU239" s="128">
        <f>IFERROR(AJ239*$W239,)</f>
        <v/>
      </c>
      <c r="BV239" s="128">
        <f>IFERROR(AK239*$W239,)</f>
        <v/>
      </c>
      <c r="BW239" s="128">
        <f>IFERROR(AL239*$W239,)</f>
        <v/>
      </c>
      <c r="BX239" s="128">
        <f>IFERROR(AM239*$W239,)</f>
        <v/>
      </c>
      <c r="BY239" s="128">
        <f>IFERROR(AN239*$W239,)</f>
        <v/>
      </c>
      <c r="BZ239" s="128">
        <f>IFERROR(AO239*$W239,)</f>
        <v/>
      </c>
      <c r="CA239" s="128">
        <f>IFERROR(AP239*$W239,)</f>
        <v/>
      </c>
      <c r="CB239" s="128">
        <f>IFERROR(AQ239*$W239,)</f>
        <v/>
      </c>
      <c r="CC239" s="128">
        <f>IFERROR(AR239*$W239,)</f>
        <v/>
      </c>
      <c r="CD239" s="128">
        <f>IFERROR(AS239*$W239,)</f>
        <v/>
      </c>
      <c r="CE239" s="128">
        <f>IFERROR(AT239*$W239,)</f>
        <v/>
      </c>
      <c r="CF239" s="128">
        <f>IFERROR(AU239*$W239,)</f>
        <v/>
      </c>
      <c r="CG239" s="128">
        <f>IFERROR(AV239*$W239,)</f>
        <v/>
      </c>
      <c r="CH239" s="128">
        <f>IFERROR(AW239*$W239,)</f>
        <v/>
      </c>
      <c r="CI239" s="128">
        <f>IFERROR(AX239*$W239,)</f>
        <v/>
      </c>
      <c r="CJ239" s="128">
        <f>IFERROR(AY239*$W239,)</f>
        <v/>
      </c>
      <c r="CK239" s="128">
        <f>IFERROR(AZ239*$W239,)</f>
        <v/>
      </c>
      <c r="CL239" s="129">
        <f>IFERROR(if($Y239=0,BA239*($W239/1.2),BA239*$Y239),"")</f>
        <v/>
      </c>
      <c r="CM239" s="129">
        <f>IFERROR(if($Y239=0,BB239*($W239/1.2),BB239*$Y239),"")</f>
        <v/>
      </c>
      <c r="CN239" s="129">
        <f>IFERROR(if($Y239=0,BC239*($W239/1.2),BC239*$Y239),"")</f>
        <v/>
      </c>
      <c r="CO239" s="130">
        <f>IFERROR(if($AA239=0,($W239/1.35)*BD239,BD239*$AA239),)</f>
        <v/>
      </c>
      <c r="CP239" s="130">
        <f>IFERROR(if($AA239=0,($W239/1.35)*BE239,BE239*$AA239),)</f>
        <v/>
      </c>
      <c r="CQ239" s="130">
        <f>IFERROR(if($AA239=0,($W239/1.35)*BF239,BF239*$AA239),)</f>
        <v/>
      </c>
      <c r="CR239" s="128">
        <f>IFERROR(if($AC239=0,($W239/0.74)*BG239,
BG239*$AC239),)</f>
        <v/>
      </c>
      <c r="CS239" s="128">
        <f>IFERROR(if($AC239=0,($W239/0.74)*BH239,
BH239*$AC239),)</f>
        <v/>
      </c>
      <c r="CT239" s="128">
        <f>IFERROR(if($AC239=0,($W239/0.74)*BI239,
BI239*$AC239),)</f>
        <v/>
      </c>
      <c r="CU239" s="128">
        <f>IFERROR(AI239*$V239,)</f>
        <v/>
      </c>
      <c r="CV239" s="128">
        <f>IFERROR(AJ239*$V239,)</f>
        <v/>
      </c>
      <c r="CW239" s="128">
        <f>IFERROR(AK239*$V239,)</f>
        <v/>
      </c>
      <c r="CX239" s="128">
        <f>IFERROR(AL239*$V239,)</f>
        <v/>
      </c>
      <c r="CY239" s="128">
        <f>IFERROR(AM239*$V239,)</f>
        <v/>
      </c>
      <c r="CZ239" s="128">
        <f>IFERROR(AN239*$V239,)</f>
        <v/>
      </c>
      <c r="DA239" s="128">
        <f>IFERROR(AO239*$V239,)</f>
        <v/>
      </c>
      <c r="DB239" s="128">
        <f>IFERROR(AP239*$V239,)</f>
        <v/>
      </c>
      <c r="DC239" s="128">
        <f>IFERROR(AQ239*$V239,)</f>
        <v/>
      </c>
      <c r="DD239" s="128">
        <f>IFERROR(AR239*$V239,)</f>
        <v/>
      </c>
      <c r="DE239" s="128">
        <f>IFERROR(AS239*$V239,)</f>
        <v/>
      </c>
      <c r="DF239" s="128">
        <f>IFERROR(AT239*$V239,)</f>
        <v/>
      </c>
      <c r="DG239" s="128">
        <f>IFERROR(AU239*$V239,)</f>
        <v/>
      </c>
      <c r="DH239" s="128">
        <f>IFERROR(AV239*$V239,)</f>
        <v/>
      </c>
      <c r="DI239" s="128">
        <f>IFERROR(AW239*$V239,)</f>
        <v/>
      </c>
      <c r="DJ239" s="128">
        <f>IFERROR(AX239*$V239,)</f>
        <v/>
      </c>
      <c r="DK239" s="128">
        <f>IFERROR(AY239*$V239,)</f>
        <v/>
      </c>
      <c r="DL239" s="128">
        <f>IFERROR(AZ239*$V239,)</f>
        <v/>
      </c>
      <c r="DM239" s="129">
        <f>IFERROR(if($X239=0,($V239/1.2)*BA239,
BA239*$X239),)</f>
        <v/>
      </c>
      <c r="DN239" s="129">
        <f>IFERROR(if($X239=0,($V239/1.2)*BB239,
BB239*$X239),)</f>
        <v/>
      </c>
      <c r="DO239" s="129">
        <f>IFERROR(if($X239=0,($V239/1.2)*BC239,
BC239*$X239),)</f>
        <v/>
      </c>
      <c r="DP239" s="130">
        <f>IFERROR(if($Z239=0,($V239/1.35)*BD239,
BD239*$Z239),)</f>
        <v/>
      </c>
      <c r="DQ239" s="130">
        <f>IFERROR(if($Z239=0,($V239/1.35)*BE239,
BE239*$Z239),)</f>
        <v/>
      </c>
      <c r="DR239" s="130">
        <f>IFERROR(if($Z239=0,($V239/1.35)*BF239,
BF239*$Z239),)</f>
        <v/>
      </c>
      <c r="DS239" s="128">
        <f>IFERROR(IF($AB239=0,($V239/0.74)*BG239,
BG239*$AB239),)</f>
        <v/>
      </c>
      <c r="DT239" s="128">
        <f>IFERROR(IF($AB239=0,($V239/0.74)*BH239,
BH239*$AB239),)</f>
        <v/>
      </c>
      <c r="DU239" s="128">
        <f>IFERROR(IF($AB239=0,($V239/0.74)*BI239,
BI239*$AB239),)</f>
        <v/>
      </c>
    </row>
    <row r="240" ht="131.25" customHeight="1" s="162">
      <c r="A240" s="115" t="n"/>
      <c r="B240" s="115" t="n"/>
      <c r="C240" s="115" t="n"/>
      <c r="D240" s="115" t="n"/>
      <c r="E240" s="115" t="n"/>
      <c r="F240" s="115" t="n"/>
      <c r="G240" s="115" t="n"/>
      <c r="H240" s="115" t="n"/>
      <c r="I240" s="115" t="n"/>
      <c r="J240" s="115" t="n"/>
      <c r="K240" s="115" t="n"/>
      <c r="L240" s="115" t="n"/>
      <c r="M240" s="115" t="n"/>
      <c r="N240" s="115" t="n"/>
      <c r="O240" s="115" t="n"/>
      <c r="P240" s="115" t="n"/>
      <c r="Q240" s="115" t="n"/>
      <c r="R240" s="115" t="n"/>
      <c r="S240" s="115" t="n"/>
      <c r="T240" s="115" t="n"/>
      <c r="U240" s="116" t="n"/>
      <c r="V240" s="116" t="n"/>
      <c r="W240" s="117" t="n"/>
      <c r="X240" s="118" t="n"/>
      <c r="Y240" s="119" t="n"/>
      <c r="Z240" s="120" t="n"/>
      <c r="AA240" s="121" t="n"/>
      <c r="AB240" s="122" t="n"/>
      <c r="AC240" s="117" t="n"/>
      <c r="AD240" s="123">
        <f>IF(SUM($AE240:$AH240)=0,"",SUM($AE240:$AH240))</f>
        <v/>
      </c>
      <c r="AE240" s="123">
        <f>iferror(IF(SUM($AI240:$AZ240)=0,"",SUM($AI240:$AZ240)),"")</f>
        <v/>
      </c>
      <c r="AF240" s="123">
        <f>iferror(IF(SUM($BA240:$BC240)=0,"",SUM($BA240:$BC240)),"")</f>
        <v/>
      </c>
      <c r="AG240" s="123">
        <f>iferror(IF(SUM($BD240:$BF240)=0,"",SUM($BD240:$BF240)),"")</f>
        <v/>
      </c>
      <c r="AH240" s="124">
        <f>iferror(IF(SUM($BG240:$BI240)=0,"",SUM($BG240:$BI240)),"")</f>
        <v/>
      </c>
      <c r="AI240" s="131" t="n"/>
      <c r="AJ240" s="132" t="n"/>
      <c r="AK240" s="132" t="n"/>
      <c r="AL240" s="132" t="n"/>
      <c r="AM240" s="132" t="n"/>
      <c r="AN240" s="132" t="n"/>
      <c r="AO240" s="132" t="n"/>
      <c r="AP240" s="132" t="n"/>
      <c r="AQ240" s="132" t="n"/>
      <c r="AR240" s="132" t="n"/>
      <c r="AS240" s="132" t="n"/>
      <c r="AT240" s="132" t="n"/>
      <c r="AU240" s="132" t="n"/>
      <c r="AV240" s="132" t="n"/>
      <c r="AW240" s="132" t="n"/>
      <c r="AX240" s="132" t="n"/>
      <c r="AY240" s="132" t="n"/>
      <c r="AZ240" s="133" t="n"/>
      <c r="BA240" s="131" t="n"/>
      <c r="BB240" s="132" t="n"/>
      <c r="BC240" s="133" t="n"/>
      <c r="BD240" s="131" t="n"/>
      <c r="BE240" s="132" t="n"/>
      <c r="BF240" s="133" t="n"/>
      <c r="BG240" s="131" t="n"/>
      <c r="BH240" s="132" t="n"/>
      <c r="BI240" s="132" t="n"/>
      <c r="BJ240" s="128">
        <f>iferror(SUM($BK240,($BL240*1.2),($BM240*1.35),($BN240*0.74)),)</f>
        <v/>
      </c>
      <c r="BK240" s="128">
        <f>IFERROR(SUM($BT240:$CK240),)</f>
        <v/>
      </c>
      <c r="BL240" s="129">
        <f>IFERROR(SUM($CL240:$CN240),)</f>
        <v/>
      </c>
      <c r="BM240" s="130">
        <f>IFERROR(SUM($CO240:$CQ240),)</f>
        <v/>
      </c>
      <c r="BN240" s="128">
        <f>IFERROR(SUM($CR240:$CT240),)</f>
        <v/>
      </c>
      <c r="BO240" s="128">
        <f>iferror(SUM($BP240,($BQ240*1.2),($BR240*1.35),($BS240*0.74)),)</f>
        <v/>
      </c>
      <c r="BP240" s="128">
        <f>IFERROR(SUM($CU240:$DL240),)</f>
        <v/>
      </c>
      <c r="BQ240" s="128">
        <f>IFERROR(SUM($DM240:$DO240),)</f>
        <v/>
      </c>
      <c r="BR240" s="128">
        <f>IFERROR(SUM($DP240:$DR240),)</f>
        <v/>
      </c>
      <c r="BS240" s="128">
        <f>IFERROR(SUM($DS240:$DU240),)</f>
        <v/>
      </c>
      <c r="BT240" s="128">
        <f>IFERROR(AI240*$W240,)</f>
        <v/>
      </c>
      <c r="BU240" s="128">
        <f>IFERROR(AJ240*$W240,)</f>
        <v/>
      </c>
      <c r="BV240" s="128">
        <f>IFERROR(AK240*$W240,)</f>
        <v/>
      </c>
      <c r="BW240" s="128">
        <f>IFERROR(AL240*$W240,)</f>
        <v/>
      </c>
      <c r="BX240" s="128">
        <f>IFERROR(AM240*$W240,)</f>
        <v/>
      </c>
      <c r="BY240" s="128">
        <f>IFERROR(AN240*$W240,)</f>
        <v/>
      </c>
      <c r="BZ240" s="128">
        <f>IFERROR(AO240*$W240,)</f>
        <v/>
      </c>
      <c r="CA240" s="128">
        <f>IFERROR(AP240*$W240,)</f>
        <v/>
      </c>
      <c r="CB240" s="128">
        <f>IFERROR(AQ240*$W240,)</f>
        <v/>
      </c>
      <c r="CC240" s="128">
        <f>IFERROR(AR240*$W240,)</f>
        <v/>
      </c>
      <c r="CD240" s="128">
        <f>IFERROR(AS240*$W240,)</f>
        <v/>
      </c>
      <c r="CE240" s="128">
        <f>IFERROR(AT240*$W240,)</f>
        <v/>
      </c>
      <c r="CF240" s="128">
        <f>IFERROR(AU240*$W240,)</f>
        <v/>
      </c>
      <c r="CG240" s="128">
        <f>IFERROR(AV240*$W240,)</f>
        <v/>
      </c>
      <c r="CH240" s="128">
        <f>IFERROR(AW240*$W240,)</f>
        <v/>
      </c>
      <c r="CI240" s="128">
        <f>IFERROR(AX240*$W240,)</f>
        <v/>
      </c>
      <c r="CJ240" s="128">
        <f>IFERROR(AY240*$W240,)</f>
        <v/>
      </c>
      <c r="CK240" s="128">
        <f>IFERROR(AZ240*$W240,)</f>
        <v/>
      </c>
      <c r="CL240" s="129">
        <f>IFERROR(if($Y240=0,BA240*($W240/1.2),BA240*$Y240),"")</f>
        <v/>
      </c>
      <c r="CM240" s="129">
        <f>IFERROR(if($Y240=0,BB240*($W240/1.2),BB240*$Y240),"")</f>
        <v/>
      </c>
      <c r="CN240" s="129">
        <f>IFERROR(if($Y240=0,BC240*($W240/1.2),BC240*$Y240),"")</f>
        <v/>
      </c>
      <c r="CO240" s="130">
        <f>IFERROR(if($AA240=0,($W240/1.35)*BD240,BD240*$AA240),)</f>
        <v/>
      </c>
      <c r="CP240" s="130">
        <f>IFERROR(if($AA240=0,($W240/1.35)*BE240,BE240*$AA240),)</f>
        <v/>
      </c>
      <c r="CQ240" s="130">
        <f>IFERROR(if($AA240=0,($W240/1.35)*BF240,BF240*$AA240),)</f>
        <v/>
      </c>
      <c r="CR240" s="128">
        <f>IFERROR(if($AC240=0,($W240/0.74)*BG240,
BG240*$AC240),)</f>
        <v/>
      </c>
      <c r="CS240" s="128">
        <f>IFERROR(if($AC240=0,($W240/0.74)*BH240,
BH240*$AC240),)</f>
        <v/>
      </c>
      <c r="CT240" s="128">
        <f>IFERROR(if($AC240=0,($W240/0.74)*BI240,
BI240*$AC240),)</f>
        <v/>
      </c>
      <c r="CU240" s="128">
        <f>IFERROR(AI240*$V240,)</f>
        <v/>
      </c>
      <c r="CV240" s="128">
        <f>IFERROR(AJ240*$V240,)</f>
        <v/>
      </c>
      <c r="CW240" s="128">
        <f>IFERROR(AK240*$V240,)</f>
        <v/>
      </c>
      <c r="CX240" s="128">
        <f>IFERROR(AL240*$V240,)</f>
        <v/>
      </c>
      <c r="CY240" s="128">
        <f>IFERROR(AM240*$V240,)</f>
        <v/>
      </c>
      <c r="CZ240" s="128">
        <f>IFERROR(AN240*$V240,)</f>
        <v/>
      </c>
      <c r="DA240" s="128">
        <f>IFERROR(AO240*$V240,)</f>
        <v/>
      </c>
      <c r="DB240" s="128">
        <f>IFERROR(AP240*$V240,)</f>
        <v/>
      </c>
      <c r="DC240" s="128">
        <f>IFERROR(AQ240*$V240,)</f>
        <v/>
      </c>
      <c r="DD240" s="128">
        <f>IFERROR(AR240*$V240,)</f>
        <v/>
      </c>
      <c r="DE240" s="128">
        <f>IFERROR(AS240*$V240,)</f>
        <v/>
      </c>
      <c r="DF240" s="128">
        <f>IFERROR(AT240*$V240,)</f>
        <v/>
      </c>
      <c r="DG240" s="128">
        <f>IFERROR(AU240*$V240,)</f>
        <v/>
      </c>
      <c r="DH240" s="128">
        <f>IFERROR(AV240*$V240,)</f>
        <v/>
      </c>
      <c r="DI240" s="128">
        <f>IFERROR(AW240*$V240,)</f>
        <v/>
      </c>
      <c r="DJ240" s="128">
        <f>IFERROR(AX240*$V240,)</f>
        <v/>
      </c>
      <c r="DK240" s="128">
        <f>IFERROR(AY240*$V240,)</f>
        <v/>
      </c>
      <c r="DL240" s="128">
        <f>IFERROR(AZ240*$V240,)</f>
        <v/>
      </c>
      <c r="DM240" s="129">
        <f>IFERROR(if($X240=0,($V240/1.2)*BA240,
BA240*$X240),)</f>
        <v/>
      </c>
      <c r="DN240" s="129">
        <f>IFERROR(if($X240=0,($V240/1.2)*BB240,
BB240*$X240),)</f>
        <v/>
      </c>
      <c r="DO240" s="129">
        <f>IFERROR(if($X240=0,($V240/1.2)*BC240,
BC240*$X240),)</f>
        <v/>
      </c>
      <c r="DP240" s="130">
        <f>IFERROR(if($Z240=0,($V240/1.35)*BD240,
BD240*$Z240),)</f>
        <v/>
      </c>
      <c r="DQ240" s="130">
        <f>IFERROR(if($Z240=0,($V240/1.35)*BE240,
BE240*$Z240),)</f>
        <v/>
      </c>
      <c r="DR240" s="130">
        <f>IFERROR(if($Z240=0,($V240/1.35)*BF240,
BF240*$Z240),)</f>
        <v/>
      </c>
      <c r="DS240" s="128">
        <f>IFERROR(IF($AB240=0,($V240/0.74)*BG240,
BG240*$AB240),)</f>
        <v/>
      </c>
      <c r="DT240" s="128">
        <f>IFERROR(IF($AB240=0,($V240/0.74)*BH240,
BH240*$AB240),)</f>
        <v/>
      </c>
      <c r="DU240" s="128">
        <f>IFERROR(IF($AB240=0,($V240/0.74)*BI240,
BI240*$AB240),)</f>
        <v/>
      </c>
    </row>
    <row r="241" ht="131.25" customHeight="1" s="162">
      <c r="A241" s="115" t="n"/>
      <c r="B241" s="115" t="n"/>
      <c r="C241" s="115" t="n"/>
      <c r="D241" s="115" t="n"/>
      <c r="E241" s="115" t="n"/>
      <c r="F241" s="115" t="n"/>
      <c r="G241" s="115" t="n"/>
      <c r="H241" s="115" t="n"/>
      <c r="I241" s="115" t="n"/>
      <c r="J241" s="115" t="n"/>
      <c r="K241" s="115" t="n"/>
      <c r="L241" s="115" t="n"/>
      <c r="M241" s="115" t="n"/>
      <c r="N241" s="115" t="n"/>
      <c r="O241" s="115" t="n"/>
      <c r="P241" s="115" t="n"/>
      <c r="Q241" s="115" t="n"/>
      <c r="R241" s="115" t="n"/>
      <c r="S241" s="115" t="n"/>
      <c r="T241" s="115" t="n"/>
      <c r="U241" s="116" t="n"/>
      <c r="V241" s="116" t="n"/>
      <c r="W241" s="117" t="n"/>
      <c r="X241" s="118" t="n"/>
      <c r="Y241" s="119" t="n"/>
      <c r="Z241" s="120" t="n"/>
      <c r="AA241" s="121" t="n"/>
      <c r="AB241" s="122" t="n"/>
      <c r="AC241" s="117" t="n"/>
      <c r="AD241" s="123">
        <f>IF(SUM($AE241:$AH241)=0,"",SUM($AE241:$AH241))</f>
        <v/>
      </c>
      <c r="AE241" s="123">
        <f>iferror(IF(SUM($AI241:$AZ241)=0,"",SUM($AI241:$AZ241)),"")</f>
        <v/>
      </c>
      <c r="AF241" s="123">
        <f>iferror(IF(SUM($BA241:$BC241)=0,"",SUM($BA241:$BC241)),"")</f>
        <v/>
      </c>
      <c r="AG241" s="123">
        <f>iferror(IF(SUM($BD241:$BF241)=0,"",SUM($BD241:$BF241)),"")</f>
        <v/>
      </c>
      <c r="AH241" s="124">
        <f>iferror(IF(SUM($BG241:$BI241)=0,"",SUM($BG241:$BI241)),"")</f>
        <v/>
      </c>
      <c r="AI241" s="131" t="n"/>
      <c r="AJ241" s="132" t="n"/>
      <c r="AK241" s="132" t="n"/>
      <c r="AL241" s="132" t="n"/>
      <c r="AM241" s="132" t="n"/>
      <c r="AN241" s="132" t="n"/>
      <c r="AO241" s="132" t="n"/>
      <c r="AP241" s="132" t="n"/>
      <c r="AQ241" s="132" t="n"/>
      <c r="AR241" s="132" t="n"/>
      <c r="AS241" s="132" t="n"/>
      <c r="AT241" s="132" t="n"/>
      <c r="AU241" s="132" t="n"/>
      <c r="AV241" s="132" t="n"/>
      <c r="AW241" s="132" t="n"/>
      <c r="AX241" s="132" t="n"/>
      <c r="AY241" s="132" t="n"/>
      <c r="AZ241" s="133" t="n"/>
      <c r="BA241" s="131" t="n"/>
      <c r="BB241" s="132" t="n"/>
      <c r="BC241" s="133" t="n"/>
      <c r="BD241" s="131" t="n"/>
      <c r="BE241" s="132" t="n"/>
      <c r="BF241" s="133" t="n"/>
      <c r="BG241" s="131" t="n"/>
      <c r="BH241" s="132" t="n"/>
      <c r="BI241" s="132" t="n"/>
      <c r="BJ241" s="128">
        <f>iferror(SUM($BK241,($BL241*1.2),($BM241*1.35),($BN241*0.74)),)</f>
        <v/>
      </c>
      <c r="BK241" s="128">
        <f>IFERROR(SUM($BT241:$CK241),)</f>
        <v/>
      </c>
      <c r="BL241" s="129">
        <f>IFERROR(SUM($CL241:$CN241),)</f>
        <v/>
      </c>
      <c r="BM241" s="130">
        <f>IFERROR(SUM($CO241:$CQ241),)</f>
        <v/>
      </c>
      <c r="BN241" s="128">
        <f>IFERROR(SUM($CR241:$CT241),)</f>
        <v/>
      </c>
      <c r="BO241" s="128">
        <f>iferror(SUM($BP241,($BQ241*1.2),($BR241*1.35),($BS241*0.74)),)</f>
        <v/>
      </c>
      <c r="BP241" s="128">
        <f>IFERROR(SUM($CU241:$DL241),)</f>
        <v/>
      </c>
      <c r="BQ241" s="128">
        <f>IFERROR(SUM($DM241:$DO241),)</f>
        <v/>
      </c>
      <c r="BR241" s="128">
        <f>IFERROR(SUM($DP241:$DR241),)</f>
        <v/>
      </c>
      <c r="BS241" s="128">
        <f>IFERROR(SUM($DS241:$DU241),)</f>
        <v/>
      </c>
      <c r="BT241" s="128">
        <f>IFERROR(AI241*$W241,)</f>
        <v/>
      </c>
      <c r="BU241" s="128">
        <f>IFERROR(AJ241*$W241,)</f>
        <v/>
      </c>
      <c r="BV241" s="128">
        <f>IFERROR(AK241*$W241,)</f>
        <v/>
      </c>
      <c r="BW241" s="128">
        <f>IFERROR(AL241*$W241,)</f>
        <v/>
      </c>
      <c r="BX241" s="128">
        <f>IFERROR(AM241*$W241,)</f>
        <v/>
      </c>
      <c r="BY241" s="128">
        <f>IFERROR(AN241*$W241,)</f>
        <v/>
      </c>
      <c r="BZ241" s="128">
        <f>IFERROR(AO241*$W241,)</f>
        <v/>
      </c>
      <c r="CA241" s="128">
        <f>IFERROR(AP241*$W241,)</f>
        <v/>
      </c>
      <c r="CB241" s="128">
        <f>IFERROR(AQ241*$W241,)</f>
        <v/>
      </c>
      <c r="CC241" s="128">
        <f>IFERROR(AR241*$W241,)</f>
        <v/>
      </c>
      <c r="CD241" s="128">
        <f>IFERROR(AS241*$W241,)</f>
        <v/>
      </c>
      <c r="CE241" s="128">
        <f>IFERROR(AT241*$W241,)</f>
        <v/>
      </c>
      <c r="CF241" s="128">
        <f>IFERROR(AU241*$W241,)</f>
        <v/>
      </c>
      <c r="CG241" s="128">
        <f>IFERROR(AV241*$W241,)</f>
        <v/>
      </c>
      <c r="CH241" s="128">
        <f>IFERROR(AW241*$W241,)</f>
        <v/>
      </c>
      <c r="CI241" s="128">
        <f>IFERROR(AX241*$W241,)</f>
        <v/>
      </c>
      <c r="CJ241" s="128">
        <f>IFERROR(AY241*$W241,)</f>
        <v/>
      </c>
      <c r="CK241" s="128">
        <f>IFERROR(AZ241*$W241,)</f>
        <v/>
      </c>
      <c r="CL241" s="129">
        <f>IFERROR(if($Y241=0,BA241*($W241/1.2),BA241*$Y241),"")</f>
        <v/>
      </c>
      <c r="CM241" s="129">
        <f>IFERROR(if($Y241=0,BB241*($W241/1.2),BB241*$Y241),"")</f>
        <v/>
      </c>
      <c r="CN241" s="129">
        <f>IFERROR(if($Y241=0,BC241*($W241/1.2),BC241*$Y241),"")</f>
        <v/>
      </c>
      <c r="CO241" s="130">
        <f>IFERROR(if($AA241=0,($W241/1.35)*BD241,BD241*$AA241),)</f>
        <v/>
      </c>
      <c r="CP241" s="130">
        <f>IFERROR(if($AA241=0,($W241/1.35)*BE241,BE241*$AA241),)</f>
        <v/>
      </c>
      <c r="CQ241" s="130">
        <f>IFERROR(if($AA241=0,($W241/1.35)*BF241,BF241*$AA241),)</f>
        <v/>
      </c>
      <c r="CR241" s="128">
        <f>IFERROR(if($AC241=0,($W241/0.74)*BG241,
BG241*$AC241),)</f>
        <v/>
      </c>
      <c r="CS241" s="128">
        <f>IFERROR(if($AC241=0,($W241/0.74)*BH241,
BH241*$AC241),)</f>
        <v/>
      </c>
      <c r="CT241" s="128">
        <f>IFERROR(if($AC241=0,($W241/0.74)*BI241,
BI241*$AC241),)</f>
        <v/>
      </c>
      <c r="CU241" s="128">
        <f>IFERROR(AI241*$V241,)</f>
        <v/>
      </c>
      <c r="CV241" s="128">
        <f>IFERROR(AJ241*$V241,)</f>
        <v/>
      </c>
      <c r="CW241" s="128">
        <f>IFERROR(AK241*$V241,)</f>
        <v/>
      </c>
      <c r="CX241" s="128">
        <f>IFERROR(AL241*$V241,)</f>
        <v/>
      </c>
      <c r="CY241" s="128">
        <f>IFERROR(AM241*$V241,)</f>
        <v/>
      </c>
      <c r="CZ241" s="128">
        <f>IFERROR(AN241*$V241,)</f>
        <v/>
      </c>
      <c r="DA241" s="128">
        <f>IFERROR(AO241*$V241,)</f>
        <v/>
      </c>
      <c r="DB241" s="128">
        <f>IFERROR(AP241*$V241,)</f>
        <v/>
      </c>
      <c r="DC241" s="128">
        <f>IFERROR(AQ241*$V241,)</f>
        <v/>
      </c>
      <c r="DD241" s="128">
        <f>IFERROR(AR241*$V241,)</f>
        <v/>
      </c>
      <c r="DE241" s="128">
        <f>IFERROR(AS241*$V241,)</f>
        <v/>
      </c>
      <c r="DF241" s="128">
        <f>IFERROR(AT241*$V241,)</f>
        <v/>
      </c>
      <c r="DG241" s="128">
        <f>IFERROR(AU241*$V241,)</f>
        <v/>
      </c>
      <c r="DH241" s="128">
        <f>IFERROR(AV241*$V241,)</f>
        <v/>
      </c>
      <c r="DI241" s="128">
        <f>IFERROR(AW241*$V241,)</f>
        <v/>
      </c>
      <c r="DJ241" s="128">
        <f>IFERROR(AX241*$V241,)</f>
        <v/>
      </c>
      <c r="DK241" s="128">
        <f>IFERROR(AY241*$V241,)</f>
        <v/>
      </c>
      <c r="DL241" s="128">
        <f>IFERROR(AZ241*$V241,)</f>
        <v/>
      </c>
      <c r="DM241" s="129">
        <f>IFERROR(if($X241=0,($V241/1.2)*BA241,
BA241*$X241),)</f>
        <v/>
      </c>
      <c r="DN241" s="129">
        <f>IFERROR(if($X241=0,($V241/1.2)*BB241,
BB241*$X241),)</f>
        <v/>
      </c>
      <c r="DO241" s="129">
        <f>IFERROR(if($X241=0,($V241/1.2)*BC241,
BC241*$X241),)</f>
        <v/>
      </c>
      <c r="DP241" s="130">
        <f>IFERROR(if($Z241=0,($V241/1.35)*BD241,
BD241*$Z241),)</f>
        <v/>
      </c>
      <c r="DQ241" s="130">
        <f>IFERROR(if($Z241=0,($V241/1.35)*BE241,
BE241*$Z241),)</f>
        <v/>
      </c>
      <c r="DR241" s="130">
        <f>IFERROR(if($Z241=0,($V241/1.35)*BF241,
BF241*$Z241),)</f>
        <v/>
      </c>
      <c r="DS241" s="128">
        <f>IFERROR(IF($AB241=0,($V241/0.74)*BG241,
BG241*$AB241),)</f>
        <v/>
      </c>
      <c r="DT241" s="128">
        <f>IFERROR(IF($AB241=0,($V241/0.74)*BH241,
BH241*$AB241),)</f>
        <v/>
      </c>
      <c r="DU241" s="128">
        <f>IFERROR(IF($AB241=0,($V241/0.74)*BI241,
BI241*$AB241),)</f>
        <v/>
      </c>
    </row>
    <row r="242" ht="131.25" customHeight="1" s="162">
      <c r="A242" s="115" t="n"/>
      <c r="B242" s="115" t="n"/>
      <c r="C242" s="115" t="n"/>
      <c r="D242" s="115" t="n"/>
      <c r="E242" s="115" t="n"/>
      <c r="F242" s="115" t="n"/>
      <c r="G242" s="115" t="n"/>
      <c r="H242" s="115" t="n"/>
      <c r="I242" s="115" t="n"/>
      <c r="J242" s="115" t="n"/>
      <c r="K242" s="115" t="n"/>
      <c r="L242" s="115" t="n"/>
      <c r="M242" s="115" t="n"/>
      <c r="N242" s="115" t="n"/>
      <c r="O242" s="115" t="n"/>
      <c r="P242" s="115" t="n"/>
      <c r="Q242" s="115" t="n"/>
      <c r="R242" s="115" t="n"/>
      <c r="S242" s="115" t="n"/>
      <c r="T242" s="115" t="n"/>
      <c r="U242" s="116" t="n"/>
      <c r="V242" s="116" t="n"/>
      <c r="W242" s="117" t="n"/>
      <c r="X242" s="118" t="n"/>
      <c r="Y242" s="119" t="n"/>
      <c r="Z242" s="120" t="n"/>
      <c r="AA242" s="121" t="n"/>
      <c r="AB242" s="122" t="n"/>
      <c r="AC242" s="117" t="n"/>
      <c r="AD242" s="123">
        <f>IF(SUM($AE242:$AH242)=0,"",SUM($AE242:$AH242))</f>
        <v/>
      </c>
      <c r="AE242" s="123">
        <f>iferror(IF(SUM($AI242:$AZ242)=0,"",SUM($AI242:$AZ242)),"")</f>
        <v/>
      </c>
      <c r="AF242" s="123">
        <f>iferror(IF(SUM($BA242:$BC242)=0,"",SUM($BA242:$BC242)),"")</f>
        <v/>
      </c>
      <c r="AG242" s="123">
        <f>iferror(IF(SUM($BD242:$BF242)=0,"",SUM($BD242:$BF242)),"")</f>
        <v/>
      </c>
      <c r="AH242" s="124">
        <f>iferror(IF(SUM($BG242:$BI242)=0,"",SUM($BG242:$BI242)),"")</f>
        <v/>
      </c>
      <c r="AI242" s="131" t="n"/>
      <c r="AJ242" s="132" t="n"/>
      <c r="AK242" s="132" t="n"/>
      <c r="AL242" s="132" t="n"/>
      <c r="AM242" s="132" t="n"/>
      <c r="AN242" s="132" t="n"/>
      <c r="AO242" s="132" t="n"/>
      <c r="AP242" s="132" t="n"/>
      <c r="AQ242" s="132" t="n"/>
      <c r="AR242" s="132" t="n"/>
      <c r="AS242" s="132" t="n"/>
      <c r="AT242" s="132" t="n"/>
      <c r="AU242" s="132" t="n"/>
      <c r="AV242" s="132" t="n"/>
      <c r="AW242" s="132" t="n"/>
      <c r="AX242" s="132" t="n"/>
      <c r="AY242" s="132" t="n"/>
      <c r="AZ242" s="133" t="n"/>
      <c r="BA242" s="131" t="n"/>
      <c r="BB242" s="132" t="n"/>
      <c r="BC242" s="133" t="n"/>
      <c r="BD242" s="131" t="n"/>
      <c r="BE242" s="132" t="n"/>
      <c r="BF242" s="133" t="n"/>
      <c r="BG242" s="131" t="n"/>
      <c r="BH242" s="132" t="n"/>
      <c r="BI242" s="132" t="n"/>
      <c r="BJ242" s="128">
        <f>iferror(SUM($BK242,($BL242*1.2),($BM242*1.35),($BN242*0.74)),)</f>
        <v/>
      </c>
      <c r="BK242" s="128">
        <f>IFERROR(SUM($BT242:$CK242),)</f>
        <v/>
      </c>
      <c r="BL242" s="129">
        <f>IFERROR(SUM($CL242:$CN242),)</f>
        <v/>
      </c>
      <c r="BM242" s="130">
        <f>IFERROR(SUM($CO242:$CQ242),)</f>
        <v/>
      </c>
      <c r="BN242" s="128">
        <f>IFERROR(SUM($CR242:$CT242),)</f>
        <v/>
      </c>
      <c r="BO242" s="128">
        <f>iferror(SUM($BP242,($BQ242*1.2),($BR242*1.35),($BS242*0.74)),)</f>
        <v/>
      </c>
      <c r="BP242" s="128">
        <f>IFERROR(SUM($CU242:$DL242),)</f>
        <v/>
      </c>
      <c r="BQ242" s="128">
        <f>IFERROR(SUM($DM242:$DO242),)</f>
        <v/>
      </c>
      <c r="BR242" s="128">
        <f>IFERROR(SUM($DP242:$DR242),)</f>
        <v/>
      </c>
      <c r="BS242" s="128">
        <f>IFERROR(SUM($DS242:$DU242),)</f>
        <v/>
      </c>
      <c r="BT242" s="128">
        <f>IFERROR(AI242*$W242,)</f>
        <v/>
      </c>
      <c r="BU242" s="128">
        <f>IFERROR(AJ242*$W242,)</f>
        <v/>
      </c>
      <c r="BV242" s="128">
        <f>IFERROR(AK242*$W242,)</f>
        <v/>
      </c>
      <c r="BW242" s="128">
        <f>IFERROR(AL242*$W242,)</f>
        <v/>
      </c>
      <c r="BX242" s="128">
        <f>IFERROR(AM242*$W242,)</f>
        <v/>
      </c>
      <c r="BY242" s="128">
        <f>IFERROR(AN242*$W242,)</f>
        <v/>
      </c>
      <c r="BZ242" s="128">
        <f>IFERROR(AO242*$W242,)</f>
        <v/>
      </c>
      <c r="CA242" s="128">
        <f>IFERROR(AP242*$W242,)</f>
        <v/>
      </c>
      <c r="CB242" s="128">
        <f>IFERROR(AQ242*$W242,)</f>
        <v/>
      </c>
      <c r="CC242" s="128">
        <f>IFERROR(AR242*$W242,)</f>
        <v/>
      </c>
      <c r="CD242" s="128">
        <f>IFERROR(AS242*$W242,)</f>
        <v/>
      </c>
      <c r="CE242" s="128">
        <f>IFERROR(AT242*$W242,)</f>
        <v/>
      </c>
      <c r="CF242" s="128">
        <f>IFERROR(AU242*$W242,)</f>
        <v/>
      </c>
      <c r="CG242" s="128">
        <f>IFERROR(AV242*$W242,)</f>
        <v/>
      </c>
      <c r="CH242" s="128">
        <f>IFERROR(AW242*$W242,)</f>
        <v/>
      </c>
      <c r="CI242" s="128">
        <f>IFERROR(AX242*$W242,)</f>
        <v/>
      </c>
      <c r="CJ242" s="128">
        <f>IFERROR(AY242*$W242,)</f>
        <v/>
      </c>
      <c r="CK242" s="128">
        <f>IFERROR(AZ242*$W242,)</f>
        <v/>
      </c>
      <c r="CL242" s="129">
        <f>IFERROR(if($Y242=0,BA242*($W242/1.2),BA242*$Y242),"")</f>
        <v/>
      </c>
      <c r="CM242" s="129">
        <f>IFERROR(if($Y242=0,BB242*($W242/1.2),BB242*$Y242),"")</f>
        <v/>
      </c>
      <c r="CN242" s="129">
        <f>IFERROR(if($Y242=0,BC242*($W242/1.2),BC242*$Y242),"")</f>
        <v/>
      </c>
      <c r="CO242" s="130">
        <f>IFERROR(if($AA242=0,($W242/1.35)*BD242,BD242*$AA242),)</f>
        <v/>
      </c>
      <c r="CP242" s="130">
        <f>IFERROR(if($AA242=0,($W242/1.35)*BE242,BE242*$AA242),)</f>
        <v/>
      </c>
      <c r="CQ242" s="130">
        <f>IFERROR(if($AA242=0,($W242/1.35)*BF242,BF242*$AA242),)</f>
        <v/>
      </c>
      <c r="CR242" s="128">
        <f>IFERROR(if($AC242=0,($W242/0.74)*BG242,
BG242*$AC242),)</f>
        <v/>
      </c>
      <c r="CS242" s="128">
        <f>IFERROR(if($AC242=0,($W242/0.74)*BH242,
BH242*$AC242),)</f>
        <v/>
      </c>
      <c r="CT242" s="128">
        <f>IFERROR(if($AC242=0,($W242/0.74)*BI242,
BI242*$AC242),)</f>
        <v/>
      </c>
      <c r="CU242" s="128">
        <f>IFERROR(AI242*$V242,)</f>
        <v/>
      </c>
      <c r="CV242" s="128">
        <f>IFERROR(AJ242*$V242,)</f>
        <v/>
      </c>
      <c r="CW242" s="128">
        <f>IFERROR(AK242*$V242,)</f>
        <v/>
      </c>
      <c r="CX242" s="128">
        <f>IFERROR(AL242*$V242,)</f>
        <v/>
      </c>
      <c r="CY242" s="128">
        <f>IFERROR(AM242*$V242,)</f>
        <v/>
      </c>
      <c r="CZ242" s="128">
        <f>IFERROR(AN242*$V242,)</f>
        <v/>
      </c>
      <c r="DA242" s="128">
        <f>IFERROR(AO242*$V242,)</f>
        <v/>
      </c>
      <c r="DB242" s="128">
        <f>IFERROR(AP242*$V242,)</f>
        <v/>
      </c>
      <c r="DC242" s="128">
        <f>IFERROR(AQ242*$V242,)</f>
        <v/>
      </c>
      <c r="DD242" s="128">
        <f>IFERROR(AR242*$V242,)</f>
        <v/>
      </c>
      <c r="DE242" s="128">
        <f>IFERROR(AS242*$V242,)</f>
        <v/>
      </c>
      <c r="DF242" s="128">
        <f>IFERROR(AT242*$V242,)</f>
        <v/>
      </c>
      <c r="DG242" s="128">
        <f>IFERROR(AU242*$V242,)</f>
        <v/>
      </c>
      <c r="DH242" s="128">
        <f>IFERROR(AV242*$V242,)</f>
        <v/>
      </c>
      <c r="DI242" s="128">
        <f>IFERROR(AW242*$V242,)</f>
        <v/>
      </c>
      <c r="DJ242" s="128">
        <f>IFERROR(AX242*$V242,)</f>
        <v/>
      </c>
      <c r="DK242" s="128">
        <f>IFERROR(AY242*$V242,)</f>
        <v/>
      </c>
      <c r="DL242" s="128">
        <f>IFERROR(AZ242*$V242,)</f>
        <v/>
      </c>
      <c r="DM242" s="129">
        <f>IFERROR(if($X242=0,($V242/1.2)*BA242,
BA242*$X242),)</f>
        <v/>
      </c>
      <c r="DN242" s="129">
        <f>IFERROR(if($X242=0,($V242/1.2)*BB242,
BB242*$X242),)</f>
        <v/>
      </c>
      <c r="DO242" s="129">
        <f>IFERROR(if($X242=0,($V242/1.2)*BC242,
BC242*$X242),)</f>
        <v/>
      </c>
      <c r="DP242" s="130">
        <f>IFERROR(if($Z242=0,($V242/1.35)*BD242,
BD242*$Z242),)</f>
        <v/>
      </c>
      <c r="DQ242" s="130">
        <f>IFERROR(if($Z242=0,($V242/1.35)*BE242,
BE242*$Z242),)</f>
        <v/>
      </c>
      <c r="DR242" s="130">
        <f>IFERROR(if($Z242=0,($V242/1.35)*BF242,
BF242*$Z242),)</f>
        <v/>
      </c>
      <c r="DS242" s="128">
        <f>IFERROR(IF($AB242=0,($V242/0.74)*BG242,
BG242*$AB242),)</f>
        <v/>
      </c>
      <c r="DT242" s="128">
        <f>IFERROR(IF($AB242=0,($V242/0.74)*BH242,
BH242*$AB242),)</f>
        <v/>
      </c>
      <c r="DU242" s="128">
        <f>IFERROR(IF($AB242=0,($V242/0.74)*BI242,
BI242*$AB242),)</f>
        <v/>
      </c>
    </row>
    <row r="243" ht="131.25" customHeight="1" s="162">
      <c r="A243" s="115" t="n"/>
      <c r="B243" s="115" t="n"/>
      <c r="C243" s="115" t="n"/>
      <c r="D243" s="115" t="n"/>
      <c r="E243" s="115" t="n"/>
      <c r="F243" s="115" t="n"/>
      <c r="G243" s="115" t="n"/>
      <c r="H243" s="115" t="n"/>
      <c r="I243" s="115" t="n"/>
      <c r="J243" s="115" t="n"/>
      <c r="K243" s="115" t="n"/>
      <c r="L243" s="115" t="n"/>
      <c r="M243" s="115" t="n"/>
      <c r="N243" s="115" t="n"/>
      <c r="O243" s="115" t="n"/>
      <c r="P243" s="115" t="n"/>
      <c r="Q243" s="115" t="n"/>
      <c r="R243" s="115" t="n"/>
      <c r="S243" s="115" t="n"/>
      <c r="T243" s="115" t="n"/>
      <c r="U243" s="116" t="n"/>
      <c r="V243" s="116" t="n"/>
      <c r="W243" s="117" t="n"/>
      <c r="X243" s="118" t="n"/>
      <c r="Y243" s="119" t="n"/>
      <c r="Z243" s="120" t="n"/>
      <c r="AA243" s="121" t="n"/>
      <c r="AB243" s="122" t="n"/>
      <c r="AC243" s="117" t="n"/>
      <c r="AD243" s="123">
        <f>IF(SUM($AE243:$AH243)=0,"",SUM($AE243:$AH243))</f>
        <v/>
      </c>
      <c r="AE243" s="123">
        <f>iferror(IF(SUM($AI243:$AZ243)=0,"",SUM($AI243:$AZ243)),"")</f>
        <v/>
      </c>
      <c r="AF243" s="123">
        <f>iferror(IF(SUM($BA243:$BC243)=0,"",SUM($BA243:$BC243)),"")</f>
        <v/>
      </c>
      <c r="AG243" s="123">
        <f>iferror(IF(SUM($BD243:$BF243)=0,"",SUM($BD243:$BF243)),"")</f>
        <v/>
      </c>
      <c r="AH243" s="124">
        <f>iferror(IF(SUM($BG243:$BI243)=0,"",SUM($BG243:$BI243)),"")</f>
        <v/>
      </c>
      <c r="AI243" s="131" t="n"/>
      <c r="AJ243" s="132" t="n"/>
      <c r="AK243" s="132" t="n"/>
      <c r="AL243" s="132" t="n"/>
      <c r="AM243" s="132" t="n"/>
      <c r="AN243" s="132" t="n"/>
      <c r="AO243" s="132" t="n"/>
      <c r="AP243" s="132" t="n"/>
      <c r="AQ243" s="132" t="n"/>
      <c r="AR243" s="132" t="n"/>
      <c r="AS243" s="132" t="n"/>
      <c r="AT243" s="132" t="n"/>
      <c r="AU243" s="132" t="n"/>
      <c r="AV243" s="132" t="n"/>
      <c r="AW243" s="132" t="n"/>
      <c r="AX243" s="132" t="n"/>
      <c r="AY243" s="132" t="n"/>
      <c r="AZ243" s="133" t="n"/>
      <c r="BA243" s="131" t="n"/>
      <c r="BB243" s="132" t="n"/>
      <c r="BC243" s="133" t="n"/>
      <c r="BD243" s="131" t="n"/>
      <c r="BE243" s="132" t="n"/>
      <c r="BF243" s="133" t="n"/>
      <c r="BG243" s="131" t="n"/>
      <c r="BH243" s="132" t="n"/>
      <c r="BI243" s="132" t="n"/>
      <c r="BJ243" s="128">
        <f>iferror(SUM($BK243,($BL243*1.2),($BM243*1.35),($BN243*0.74)),)</f>
        <v/>
      </c>
      <c r="BK243" s="128">
        <f>IFERROR(SUM($BT243:$CK243),)</f>
        <v/>
      </c>
      <c r="BL243" s="129">
        <f>IFERROR(SUM($CL243:$CN243),)</f>
        <v/>
      </c>
      <c r="BM243" s="130">
        <f>IFERROR(SUM($CO243:$CQ243),)</f>
        <v/>
      </c>
      <c r="BN243" s="128">
        <f>IFERROR(SUM($CR243:$CT243),)</f>
        <v/>
      </c>
      <c r="BO243" s="128">
        <f>iferror(SUM($BP243,($BQ243*1.2),($BR243*1.35),($BS243*0.74)),)</f>
        <v/>
      </c>
      <c r="BP243" s="128">
        <f>IFERROR(SUM($CU243:$DL243),)</f>
        <v/>
      </c>
      <c r="BQ243" s="128">
        <f>IFERROR(SUM($DM243:$DO243),)</f>
        <v/>
      </c>
      <c r="BR243" s="128">
        <f>IFERROR(SUM($DP243:$DR243),)</f>
        <v/>
      </c>
      <c r="BS243" s="128">
        <f>IFERROR(SUM($DS243:$DU243),)</f>
        <v/>
      </c>
      <c r="BT243" s="128">
        <f>IFERROR(AI243*$W243,)</f>
        <v/>
      </c>
      <c r="BU243" s="128">
        <f>IFERROR(AJ243*$W243,)</f>
        <v/>
      </c>
      <c r="BV243" s="128">
        <f>IFERROR(AK243*$W243,)</f>
        <v/>
      </c>
      <c r="BW243" s="128">
        <f>IFERROR(AL243*$W243,)</f>
        <v/>
      </c>
      <c r="BX243" s="128">
        <f>IFERROR(AM243*$W243,)</f>
        <v/>
      </c>
      <c r="BY243" s="128">
        <f>IFERROR(AN243*$W243,)</f>
        <v/>
      </c>
      <c r="BZ243" s="128">
        <f>IFERROR(AO243*$W243,)</f>
        <v/>
      </c>
      <c r="CA243" s="128">
        <f>IFERROR(AP243*$W243,)</f>
        <v/>
      </c>
      <c r="CB243" s="128">
        <f>IFERROR(AQ243*$W243,)</f>
        <v/>
      </c>
      <c r="CC243" s="128">
        <f>IFERROR(AR243*$W243,)</f>
        <v/>
      </c>
      <c r="CD243" s="128">
        <f>IFERROR(AS243*$W243,)</f>
        <v/>
      </c>
      <c r="CE243" s="128">
        <f>IFERROR(AT243*$W243,)</f>
        <v/>
      </c>
      <c r="CF243" s="128">
        <f>IFERROR(AU243*$W243,)</f>
        <v/>
      </c>
      <c r="CG243" s="128">
        <f>IFERROR(AV243*$W243,)</f>
        <v/>
      </c>
      <c r="CH243" s="128">
        <f>IFERROR(AW243*$W243,)</f>
        <v/>
      </c>
      <c r="CI243" s="128">
        <f>IFERROR(AX243*$W243,)</f>
        <v/>
      </c>
      <c r="CJ243" s="128">
        <f>IFERROR(AY243*$W243,)</f>
        <v/>
      </c>
      <c r="CK243" s="128">
        <f>IFERROR(AZ243*$W243,)</f>
        <v/>
      </c>
      <c r="CL243" s="129">
        <f>IFERROR(if($Y243=0,BA243*($W243/1.2),BA243*$Y243),"")</f>
        <v/>
      </c>
      <c r="CM243" s="129">
        <f>IFERROR(if($Y243=0,BB243*($W243/1.2),BB243*$Y243),"")</f>
        <v/>
      </c>
      <c r="CN243" s="129">
        <f>IFERROR(if($Y243=0,BC243*($W243/1.2),BC243*$Y243),"")</f>
        <v/>
      </c>
      <c r="CO243" s="130">
        <f>IFERROR(if($AA243=0,($W243/1.35)*BD243,BD243*$AA243),)</f>
        <v/>
      </c>
      <c r="CP243" s="130">
        <f>IFERROR(if($AA243=0,($W243/1.35)*BE243,BE243*$AA243),)</f>
        <v/>
      </c>
      <c r="CQ243" s="130">
        <f>IFERROR(if($AA243=0,($W243/1.35)*BF243,BF243*$AA243),)</f>
        <v/>
      </c>
      <c r="CR243" s="128">
        <f>IFERROR(if($AC243=0,($W243/0.74)*BG243,
BG243*$AC243),)</f>
        <v/>
      </c>
      <c r="CS243" s="128">
        <f>IFERROR(if($AC243=0,($W243/0.74)*BH243,
BH243*$AC243),)</f>
        <v/>
      </c>
      <c r="CT243" s="128">
        <f>IFERROR(if($AC243=0,($W243/0.74)*BI243,
BI243*$AC243),)</f>
        <v/>
      </c>
      <c r="CU243" s="128">
        <f>IFERROR(AI243*$V243,)</f>
        <v/>
      </c>
      <c r="CV243" s="128">
        <f>IFERROR(AJ243*$V243,)</f>
        <v/>
      </c>
      <c r="CW243" s="128">
        <f>IFERROR(AK243*$V243,)</f>
        <v/>
      </c>
      <c r="CX243" s="128">
        <f>IFERROR(AL243*$V243,)</f>
        <v/>
      </c>
      <c r="CY243" s="128">
        <f>IFERROR(AM243*$V243,)</f>
        <v/>
      </c>
      <c r="CZ243" s="128">
        <f>IFERROR(AN243*$V243,)</f>
        <v/>
      </c>
      <c r="DA243" s="128">
        <f>IFERROR(AO243*$V243,)</f>
        <v/>
      </c>
      <c r="DB243" s="128">
        <f>IFERROR(AP243*$V243,)</f>
        <v/>
      </c>
      <c r="DC243" s="128">
        <f>IFERROR(AQ243*$V243,)</f>
        <v/>
      </c>
      <c r="DD243" s="128">
        <f>IFERROR(AR243*$V243,)</f>
        <v/>
      </c>
      <c r="DE243" s="128">
        <f>IFERROR(AS243*$V243,)</f>
        <v/>
      </c>
      <c r="DF243" s="128">
        <f>IFERROR(AT243*$V243,)</f>
        <v/>
      </c>
      <c r="DG243" s="128">
        <f>IFERROR(AU243*$V243,)</f>
        <v/>
      </c>
      <c r="DH243" s="128">
        <f>IFERROR(AV243*$V243,)</f>
        <v/>
      </c>
      <c r="DI243" s="128">
        <f>IFERROR(AW243*$V243,)</f>
        <v/>
      </c>
      <c r="DJ243" s="128">
        <f>IFERROR(AX243*$V243,)</f>
        <v/>
      </c>
      <c r="DK243" s="128">
        <f>IFERROR(AY243*$V243,)</f>
        <v/>
      </c>
      <c r="DL243" s="128">
        <f>IFERROR(AZ243*$V243,)</f>
        <v/>
      </c>
      <c r="DM243" s="129">
        <f>IFERROR(if($X243=0,($V243/1.2)*BA243,
BA243*$X243),)</f>
        <v/>
      </c>
      <c r="DN243" s="129">
        <f>IFERROR(if($X243=0,($V243/1.2)*BB243,
BB243*$X243),)</f>
        <v/>
      </c>
      <c r="DO243" s="129">
        <f>IFERROR(if($X243=0,($V243/1.2)*BC243,
BC243*$X243),)</f>
        <v/>
      </c>
      <c r="DP243" s="130">
        <f>IFERROR(if($Z243=0,($V243/1.35)*BD243,
BD243*$Z243),)</f>
        <v/>
      </c>
      <c r="DQ243" s="130">
        <f>IFERROR(if($Z243=0,($V243/1.35)*BE243,
BE243*$Z243),)</f>
        <v/>
      </c>
      <c r="DR243" s="130">
        <f>IFERROR(if($Z243=0,($V243/1.35)*BF243,
BF243*$Z243),)</f>
        <v/>
      </c>
      <c r="DS243" s="128">
        <f>IFERROR(IF($AB243=0,($V243/0.74)*BG243,
BG243*$AB243),)</f>
        <v/>
      </c>
      <c r="DT243" s="128">
        <f>IFERROR(IF($AB243=0,($V243/0.74)*BH243,
BH243*$AB243),)</f>
        <v/>
      </c>
      <c r="DU243" s="128">
        <f>IFERROR(IF($AB243=0,($V243/0.74)*BI243,
BI243*$AB243),)</f>
        <v/>
      </c>
    </row>
    <row r="244" ht="131.25" customHeight="1" s="162">
      <c r="A244" s="115" t="n"/>
      <c r="B244" s="115" t="n"/>
      <c r="C244" s="115" t="n"/>
      <c r="D244" s="115" t="n"/>
      <c r="E244" s="115" t="n"/>
      <c r="F244" s="115" t="n"/>
      <c r="G244" s="115" t="n"/>
      <c r="H244" s="115" t="n"/>
      <c r="I244" s="115" t="n"/>
      <c r="J244" s="115" t="n"/>
      <c r="K244" s="115" t="n"/>
      <c r="L244" s="115" t="n"/>
      <c r="M244" s="115" t="n"/>
      <c r="N244" s="115" t="n"/>
      <c r="O244" s="115" t="n"/>
      <c r="P244" s="115" t="n"/>
      <c r="Q244" s="115" t="n"/>
      <c r="R244" s="115" t="n"/>
      <c r="S244" s="115" t="n"/>
      <c r="T244" s="115" t="n"/>
      <c r="U244" s="116" t="n"/>
      <c r="V244" s="116" t="n"/>
      <c r="W244" s="117" t="n"/>
      <c r="X244" s="118" t="n"/>
      <c r="Y244" s="119" t="n"/>
      <c r="Z244" s="120" t="n"/>
      <c r="AA244" s="121" t="n"/>
      <c r="AB244" s="122" t="n"/>
      <c r="AC244" s="117" t="n"/>
      <c r="AD244" s="123">
        <f>IF(SUM($AE244:$AH244)=0,"",SUM($AE244:$AH244))</f>
        <v/>
      </c>
      <c r="AE244" s="123">
        <f>iferror(IF(SUM($AI244:$AZ244)=0,"",SUM($AI244:$AZ244)),"")</f>
        <v/>
      </c>
      <c r="AF244" s="123">
        <f>iferror(IF(SUM($BA244:$BC244)=0,"",SUM($BA244:$BC244)),"")</f>
        <v/>
      </c>
      <c r="AG244" s="123">
        <f>iferror(IF(SUM($BD244:$BF244)=0,"",SUM($BD244:$BF244)),"")</f>
        <v/>
      </c>
      <c r="AH244" s="124">
        <f>iferror(IF(SUM($BG244:$BI244)=0,"",SUM($BG244:$BI244)),"")</f>
        <v/>
      </c>
      <c r="AI244" s="131" t="n"/>
      <c r="AJ244" s="132" t="n"/>
      <c r="AK244" s="132" t="n"/>
      <c r="AL244" s="132" t="n"/>
      <c r="AM244" s="132" t="n"/>
      <c r="AN244" s="132" t="n"/>
      <c r="AO244" s="132" t="n"/>
      <c r="AP244" s="132" t="n"/>
      <c r="AQ244" s="132" t="n"/>
      <c r="AR244" s="132" t="n"/>
      <c r="AS244" s="132" t="n"/>
      <c r="AT244" s="132" t="n"/>
      <c r="AU244" s="132" t="n"/>
      <c r="AV244" s="132" t="n"/>
      <c r="AW244" s="132" t="n"/>
      <c r="AX244" s="132" t="n"/>
      <c r="AY244" s="132" t="n"/>
      <c r="AZ244" s="133" t="n"/>
      <c r="BA244" s="131" t="n"/>
      <c r="BB244" s="132" t="n"/>
      <c r="BC244" s="133" t="n"/>
      <c r="BD244" s="131" t="n"/>
      <c r="BE244" s="132" t="n"/>
      <c r="BF244" s="133" t="n"/>
      <c r="BG244" s="131" t="n"/>
      <c r="BH244" s="132" t="n"/>
      <c r="BI244" s="132" t="n"/>
      <c r="BJ244" s="128">
        <f>iferror(SUM($BK244,($BL244*1.2),($BM244*1.35),($BN244*0.74)),)</f>
        <v/>
      </c>
      <c r="BK244" s="128">
        <f>IFERROR(SUM($BT244:$CK244),)</f>
        <v/>
      </c>
      <c r="BL244" s="129">
        <f>IFERROR(SUM($CL244:$CN244),)</f>
        <v/>
      </c>
      <c r="BM244" s="130">
        <f>IFERROR(SUM($CO244:$CQ244),)</f>
        <v/>
      </c>
      <c r="BN244" s="128">
        <f>IFERROR(SUM($CR244:$CT244),)</f>
        <v/>
      </c>
      <c r="BO244" s="128">
        <f>iferror(SUM($BP244,($BQ244*1.2),($BR244*1.35),($BS244*0.74)),)</f>
        <v/>
      </c>
      <c r="BP244" s="128">
        <f>IFERROR(SUM($CU244:$DL244),)</f>
        <v/>
      </c>
      <c r="BQ244" s="128">
        <f>IFERROR(SUM($DM244:$DO244),)</f>
        <v/>
      </c>
      <c r="BR244" s="128">
        <f>IFERROR(SUM($DP244:$DR244),)</f>
        <v/>
      </c>
      <c r="BS244" s="128">
        <f>IFERROR(SUM($DS244:$DU244),)</f>
        <v/>
      </c>
      <c r="BT244" s="128">
        <f>IFERROR(AI244*$W244,)</f>
        <v/>
      </c>
      <c r="BU244" s="128">
        <f>IFERROR(AJ244*$W244,)</f>
        <v/>
      </c>
      <c r="BV244" s="128">
        <f>IFERROR(AK244*$W244,)</f>
        <v/>
      </c>
      <c r="BW244" s="128">
        <f>IFERROR(AL244*$W244,)</f>
        <v/>
      </c>
      <c r="BX244" s="128">
        <f>IFERROR(AM244*$W244,)</f>
        <v/>
      </c>
      <c r="BY244" s="128">
        <f>IFERROR(AN244*$W244,)</f>
        <v/>
      </c>
      <c r="BZ244" s="128">
        <f>IFERROR(AO244*$W244,)</f>
        <v/>
      </c>
      <c r="CA244" s="128">
        <f>IFERROR(AP244*$W244,)</f>
        <v/>
      </c>
      <c r="CB244" s="128">
        <f>IFERROR(AQ244*$W244,)</f>
        <v/>
      </c>
      <c r="CC244" s="128">
        <f>IFERROR(AR244*$W244,)</f>
        <v/>
      </c>
      <c r="CD244" s="128">
        <f>IFERROR(AS244*$W244,)</f>
        <v/>
      </c>
      <c r="CE244" s="128">
        <f>IFERROR(AT244*$W244,)</f>
        <v/>
      </c>
      <c r="CF244" s="128">
        <f>IFERROR(AU244*$W244,)</f>
        <v/>
      </c>
      <c r="CG244" s="128">
        <f>IFERROR(AV244*$W244,)</f>
        <v/>
      </c>
      <c r="CH244" s="128">
        <f>IFERROR(AW244*$W244,)</f>
        <v/>
      </c>
      <c r="CI244" s="128">
        <f>IFERROR(AX244*$W244,)</f>
        <v/>
      </c>
      <c r="CJ244" s="128">
        <f>IFERROR(AY244*$W244,)</f>
        <v/>
      </c>
      <c r="CK244" s="128">
        <f>IFERROR(AZ244*$W244,)</f>
        <v/>
      </c>
      <c r="CL244" s="129">
        <f>IFERROR(if($Y244=0,BA244*($W244/1.2),BA244*$Y244),"")</f>
        <v/>
      </c>
      <c r="CM244" s="129">
        <f>IFERROR(if($Y244=0,BB244*($W244/1.2),BB244*$Y244),"")</f>
        <v/>
      </c>
      <c r="CN244" s="129">
        <f>IFERROR(if($Y244=0,BC244*($W244/1.2),BC244*$Y244),"")</f>
        <v/>
      </c>
      <c r="CO244" s="130">
        <f>IFERROR(if($AA244=0,($W244/1.35)*BD244,BD244*$AA244),)</f>
        <v/>
      </c>
      <c r="CP244" s="130">
        <f>IFERROR(if($AA244=0,($W244/1.35)*BE244,BE244*$AA244),)</f>
        <v/>
      </c>
      <c r="CQ244" s="130">
        <f>IFERROR(if($AA244=0,($W244/1.35)*BF244,BF244*$AA244),)</f>
        <v/>
      </c>
      <c r="CR244" s="128">
        <f>IFERROR(if($AC244=0,($W244/0.74)*BG244,
BG244*$AC244),)</f>
        <v/>
      </c>
      <c r="CS244" s="128">
        <f>IFERROR(if($AC244=0,($W244/0.74)*BH244,
BH244*$AC244),)</f>
        <v/>
      </c>
      <c r="CT244" s="128">
        <f>IFERROR(if($AC244=0,($W244/0.74)*BI244,
BI244*$AC244),)</f>
        <v/>
      </c>
      <c r="CU244" s="128">
        <f>IFERROR(AI244*$V244,)</f>
        <v/>
      </c>
      <c r="CV244" s="128">
        <f>IFERROR(AJ244*$V244,)</f>
        <v/>
      </c>
      <c r="CW244" s="128">
        <f>IFERROR(AK244*$V244,)</f>
        <v/>
      </c>
      <c r="CX244" s="128">
        <f>IFERROR(AL244*$V244,)</f>
        <v/>
      </c>
      <c r="CY244" s="128">
        <f>IFERROR(AM244*$V244,)</f>
        <v/>
      </c>
      <c r="CZ244" s="128">
        <f>IFERROR(AN244*$V244,)</f>
        <v/>
      </c>
      <c r="DA244" s="128">
        <f>IFERROR(AO244*$V244,)</f>
        <v/>
      </c>
      <c r="DB244" s="128">
        <f>IFERROR(AP244*$V244,)</f>
        <v/>
      </c>
      <c r="DC244" s="128">
        <f>IFERROR(AQ244*$V244,)</f>
        <v/>
      </c>
      <c r="DD244" s="128">
        <f>IFERROR(AR244*$V244,)</f>
        <v/>
      </c>
      <c r="DE244" s="128">
        <f>IFERROR(AS244*$V244,)</f>
        <v/>
      </c>
      <c r="DF244" s="128">
        <f>IFERROR(AT244*$V244,)</f>
        <v/>
      </c>
      <c r="DG244" s="128">
        <f>IFERROR(AU244*$V244,)</f>
        <v/>
      </c>
      <c r="DH244" s="128">
        <f>IFERROR(AV244*$V244,)</f>
        <v/>
      </c>
      <c r="DI244" s="128">
        <f>IFERROR(AW244*$V244,)</f>
        <v/>
      </c>
      <c r="DJ244" s="128">
        <f>IFERROR(AX244*$V244,)</f>
        <v/>
      </c>
      <c r="DK244" s="128">
        <f>IFERROR(AY244*$V244,)</f>
        <v/>
      </c>
      <c r="DL244" s="128">
        <f>IFERROR(AZ244*$V244,)</f>
        <v/>
      </c>
      <c r="DM244" s="129">
        <f>IFERROR(if($X244=0,($V244/1.2)*BA244,
BA244*$X244),)</f>
        <v/>
      </c>
      <c r="DN244" s="129">
        <f>IFERROR(if($X244=0,($V244/1.2)*BB244,
BB244*$X244),)</f>
        <v/>
      </c>
      <c r="DO244" s="129">
        <f>IFERROR(if($X244=0,($V244/1.2)*BC244,
BC244*$X244),)</f>
        <v/>
      </c>
      <c r="DP244" s="130">
        <f>IFERROR(if($Z244=0,($V244/1.35)*BD244,
BD244*$Z244),)</f>
        <v/>
      </c>
      <c r="DQ244" s="130">
        <f>IFERROR(if($Z244=0,($V244/1.35)*BE244,
BE244*$Z244),)</f>
        <v/>
      </c>
      <c r="DR244" s="130">
        <f>IFERROR(if($Z244=0,($V244/1.35)*BF244,
BF244*$Z244),)</f>
        <v/>
      </c>
      <c r="DS244" s="128">
        <f>IFERROR(IF($AB244=0,($V244/0.74)*BG244,
BG244*$AB244),)</f>
        <v/>
      </c>
      <c r="DT244" s="128">
        <f>IFERROR(IF($AB244=0,($V244/0.74)*BH244,
BH244*$AB244),)</f>
        <v/>
      </c>
      <c r="DU244" s="128">
        <f>IFERROR(IF($AB244=0,($V244/0.74)*BI244,
BI244*$AB244),)</f>
        <v/>
      </c>
    </row>
    <row r="245" ht="131.25" customHeight="1" s="162">
      <c r="A245" s="115" t="n"/>
      <c r="B245" s="115" t="n"/>
      <c r="C245" s="115" t="n"/>
      <c r="D245" s="115" t="n"/>
      <c r="E245" s="115" t="n"/>
      <c r="F245" s="115" t="n"/>
      <c r="G245" s="115" t="n"/>
      <c r="H245" s="115" t="n"/>
      <c r="I245" s="115" t="n"/>
      <c r="J245" s="115" t="n"/>
      <c r="K245" s="115" t="n"/>
      <c r="L245" s="115" t="n"/>
      <c r="M245" s="115" t="n"/>
      <c r="N245" s="115" t="n"/>
      <c r="O245" s="115" t="n"/>
      <c r="P245" s="115" t="n"/>
      <c r="Q245" s="115" t="n"/>
      <c r="R245" s="115" t="n"/>
      <c r="S245" s="115" t="n"/>
      <c r="T245" s="115" t="n"/>
      <c r="U245" s="116" t="n"/>
      <c r="V245" s="116" t="n"/>
      <c r="W245" s="117" t="n"/>
      <c r="X245" s="118" t="n"/>
      <c r="Y245" s="119" t="n"/>
      <c r="Z245" s="120" t="n"/>
      <c r="AA245" s="121" t="n"/>
      <c r="AB245" s="122" t="n"/>
      <c r="AC245" s="117" t="n"/>
      <c r="AD245" s="123">
        <f>IF(SUM($AE245:$AH245)=0,"",SUM($AE245:$AH245))</f>
        <v/>
      </c>
      <c r="AE245" s="123">
        <f>iferror(IF(SUM($AI245:$AZ245)=0,"",SUM($AI245:$AZ245)),"")</f>
        <v/>
      </c>
      <c r="AF245" s="123">
        <f>iferror(IF(SUM($BA245:$BC245)=0,"",SUM($BA245:$BC245)),"")</f>
        <v/>
      </c>
      <c r="AG245" s="123">
        <f>iferror(IF(SUM($BD245:$BF245)=0,"",SUM($BD245:$BF245)),"")</f>
        <v/>
      </c>
      <c r="AH245" s="124">
        <f>iferror(IF(SUM($BG245:$BI245)=0,"",SUM($BG245:$BI245)),"")</f>
        <v/>
      </c>
      <c r="AI245" s="131" t="n"/>
      <c r="AJ245" s="132" t="n"/>
      <c r="AK245" s="132" t="n"/>
      <c r="AL245" s="132" t="n"/>
      <c r="AM245" s="132" t="n"/>
      <c r="AN245" s="132" t="n"/>
      <c r="AO245" s="132" t="n"/>
      <c r="AP245" s="132" t="n"/>
      <c r="AQ245" s="132" t="n"/>
      <c r="AR245" s="132" t="n"/>
      <c r="AS245" s="132" t="n"/>
      <c r="AT245" s="132" t="n"/>
      <c r="AU245" s="132" t="n"/>
      <c r="AV245" s="132" t="n"/>
      <c r="AW245" s="132" t="n"/>
      <c r="AX245" s="132" t="n"/>
      <c r="AY245" s="132" t="n"/>
      <c r="AZ245" s="133" t="n"/>
      <c r="BA245" s="131" t="n"/>
      <c r="BB245" s="132" t="n"/>
      <c r="BC245" s="133" t="n"/>
      <c r="BD245" s="131" t="n"/>
      <c r="BE245" s="132" t="n"/>
      <c r="BF245" s="133" t="n"/>
      <c r="BG245" s="131" t="n"/>
      <c r="BH245" s="132" t="n"/>
      <c r="BI245" s="132" t="n"/>
      <c r="BJ245" s="128">
        <f>iferror(SUM($BK245,($BL245*1.2),($BM245*1.35),($BN245*0.74)),)</f>
        <v/>
      </c>
      <c r="BK245" s="128">
        <f>IFERROR(SUM($BT245:$CK245),)</f>
        <v/>
      </c>
      <c r="BL245" s="129">
        <f>IFERROR(SUM($CL245:$CN245),)</f>
        <v/>
      </c>
      <c r="BM245" s="130">
        <f>IFERROR(SUM($CO245:$CQ245),)</f>
        <v/>
      </c>
      <c r="BN245" s="128">
        <f>IFERROR(SUM($CR245:$CT245),)</f>
        <v/>
      </c>
      <c r="BO245" s="128">
        <f>iferror(SUM($BP245,($BQ245*1.2),($BR245*1.35),($BS245*0.74)),)</f>
        <v/>
      </c>
      <c r="BP245" s="128">
        <f>IFERROR(SUM($CU245:$DL245),)</f>
        <v/>
      </c>
      <c r="BQ245" s="128">
        <f>IFERROR(SUM($DM245:$DO245),)</f>
        <v/>
      </c>
      <c r="BR245" s="128">
        <f>IFERROR(SUM($DP245:$DR245),)</f>
        <v/>
      </c>
      <c r="BS245" s="128">
        <f>IFERROR(SUM($DS245:$DU245),)</f>
        <v/>
      </c>
      <c r="BT245" s="128">
        <f>IFERROR(AI245*$W245,)</f>
        <v/>
      </c>
      <c r="BU245" s="128">
        <f>IFERROR(AJ245*$W245,)</f>
        <v/>
      </c>
      <c r="BV245" s="128">
        <f>IFERROR(AK245*$W245,)</f>
        <v/>
      </c>
      <c r="BW245" s="128">
        <f>IFERROR(AL245*$W245,)</f>
        <v/>
      </c>
      <c r="BX245" s="128">
        <f>IFERROR(AM245*$W245,)</f>
        <v/>
      </c>
      <c r="BY245" s="128">
        <f>IFERROR(AN245*$W245,)</f>
        <v/>
      </c>
      <c r="BZ245" s="128">
        <f>IFERROR(AO245*$W245,)</f>
        <v/>
      </c>
      <c r="CA245" s="128">
        <f>IFERROR(AP245*$W245,)</f>
        <v/>
      </c>
      <c r="CB245" s="128">
        <f>IFERROR(AQ245*$W245,)</f>
        <v/>
      </c>
      <c r="CC245" s="128">
        <f>IFERROR(AR245*$W245,)</f>
        <v/>
      </c>
      <c r="CD245" s="128">
        <f>IFERROR(AS245*$W245,)</f>
        <v/>
      </c>
      <c r="CE245" s="128">
        <f>IFERROR(AT245*$W245,)</f>
        <v/>
      </c>
      <c r="CF245" s="128">
        <f>IFERROR(AU245*$W245,)</f>
        <v/>
      </c>
      <c r="CG245" s="128">
        <f>IFERROR(AV245*$W245,)</f>
        <v/>
      </c>
      <c r="CH245" s="128">
        <f>IFERROR(AW245*$W245,)</f>
        <v/>
      </c>
      <c r="CI245" s="128">
        <f>IFERROR(AX245*$W245,)</f>
        <v/>
      </c>
      <c r="CJ245" s="128">
        <f>IFERROR(AY245*$W245,)</f>
        <v/>
      </c>
      <c r="CK245" s="128">
        <f>IFERROR(AZ245*$W245,)</f>
        <v/>
      </c>
      <c r="CL245" s="129">
        <f>IFERROR(if($Y245=0,BA245*($W245/1.2),BA245*$Y245),"")</f>
        <v/>
      </c>
      <c r="CM245" s="129">
        <f>IFERROR(if($Y245=0,BB245*($W245/1.2),BB245*$Y245),"")</f>
        <v/>
      </c>
      <c r="CN245" s="129">
        <f>IFERROR(if($Y245=0,BC245*($W245/1.2),BC245*$Y245),"")</f>
        <v/>
      </c>
      <c r="CO245" s="130">
        <f>IFERROR(if($AA245=0,($W245/1.35)*BD245,BD245*$AA245),)</f>
        <v/>
      </c>
      <c r="CP245" s="130">
        <f>IFERROR(if($AA245=0,($W245/1.35)*BE245,BE245*$AA245),)</f>
        <v/>
      </c>
      <c r="CQ245" s="130">
        <f>IFERROR(if($AA245=0,($W245/1.35)*BF245,BF245*$AA245),)</f>
        <v/>
      </c>
      <c r="CR245" s="128">
        <f>IFERROR(if($AC245=0,($W245/0.74)*BG245,
BG245*$AC245),)</f>
        <v/>
      </c>
      <c r="CS245" s="128">
        <f>IFERROR(if($AC245=0,($W245/0.74)*BH245,
BH245*$AC245),)</f>
        <v/>
      </c>
      <c r="CT245" s="128">
        <f>IFERROR(if($AC245=0,($W245/0.74)*BI245,
BI245*$AC245),)</f>
        <v/>
      </c>
      <c r="CU245" s="128">
        <f>IFERROR(AI245*$V245,)</f>
        <v/>
      </c>
      <c r="CV245" s="128">
        <f>IFERROR(AJ245*$V245,)</f>
        <v/>
      </c>
      <c r="CW245" s="128">
        <f>IFERROR(AK245*$V245,)</f>
        <v/>
      </c>
      <c r="CX245" s="128">
        <f>IFERROR(AL245*$V245,)</f>
        <v/>
      </c>
      <c r="CY245" s="128">
        <f>IFERROR(AM245*$V245,)</f>
        <v/>
      </c>
      <c r="CZ245" s="128">
        <f>IFERROR(AN245*$V245,)</f>
        <v/>
      </c>
      <c r="DA245" s="128">
        <f>IFERROR(AO245*$V245,)</f>
        <v/>
      </c>
      <c r="DB245" s="128">
        <f>IFERROR(AP245*$V245,)</f>
        <v/>
      </c>
      <c r="DC245" s="128">
        <f>IFERROR(AQ245*$V245,)</f>
        <v/>
      </c>
      <c r="DD245" s="128">
        <f>IFERROR(AR245*$V245,)</f>
        <v/>
      </c>
      <c r="DE245" s="128">
        <f>IFERROR(AS245*$V245,)</f>
        <v/>
      </c>
      <c r="DF245" s="128">
        <f>IFERROR(AT245*$V245,)</f>
        <v/>
      </c>
      <c r="DG245" s="128">
        <f>IFERROR(AU245*$V245,)</f>
        <v/>
      </c>
      <c r="DH245" s="128">
        <f>IFERROR(AV245*$V245,)</f>
        <v/>
      </c>
      <c r="DI245" s="128">
        <f>IFERROR(AW245*$V245,)</f>
        <v/>
      </c>
      <c r="DJ245" s="128">
        <f>IFERROR(AX245*$V245,)</f>
        <v/>
      </c>
      <c r="DK245" s="128">
        <f>IFERROR(AY245*$V245,)</f>
        <v/>
      </c>
      <c r="DL245" s="128">
        <f>IFERROR(AZ245*$V245,)</f>
        <v/>
      </c>
      <c r="DM245" s="129">
        <f>IFERROR(if($X245=0,($V245/1.2)*BA245,
BA245*$X245),)</f>
        <v/>
      </c>
      <c r="DN245" s="129">
        <f>IFERROR(if($X245=0,($V245/1.2)*BB245,
BB245*$X245),)</f>
        <v/>
      </c>
      <c r="DO245" s="129">
        <f>IFERROR(if($X245=0,($V245/1.2)*BC245,
BC245*$X245),)</f>
        <v/>
      </c>
      <c r="DP245" s="130">
        <f>IFERROR(if($Z245=0,($V245/1.35)*BD245,
BD245*$Z245),)</f>
        <v/>
      </c>
      <c r="DQ245" s="130">
        <f>IFERROR(if($Z245=0,($V245/1.35)*BE245,
BE245*$Z245),)</f>
        <v/>
      </c>
      <c r="DR245" s="130">
        <f>IFERROR(if($Z245=0,($V245/1.35)*BF245,
BF245*$Z245),)</f>
        <v/>
      </c>
      <c r="DS245" s="128">
        <f>IFERROR(IF($AB245=0,($V245/0.74)*BG245,
BG245*$AB245),)</f>
        <v/>
      </c>
      <c r="DT245" s="128">
        <f>IFERROR(IF($AB245=0,($V245/0.74)*BH245,
BH245*$AB245),)</f>
        <v/>
      </c>
      <c r="DU245" s="128">
        <f>IFERROR(IF($AB245=0,($V245/0.74)*BI245,
BI245*$AB245),)</f>
        <v/>
      </c>
    </row>
    <row r="246" ht="131.25" customHeight="1" s="162">
      <c r="A246" s="115" t="n"/>
      <c r="B246" s="115" t="n"/>
      <c r="C246" s="115" t="n"/>
      <c r="D246" s="115" t="n"/>
      <c r="E246" s="115" t="n"/>
      <c r="F246" s="115" t="n"/>
      <c r="G246" s="115" t="n"/>
      <c r="H246" s="115" t="n"/>
      <c r="I246" s="115" t="n"/>
      <c r="J246" s="115" t="n"/>
      <c r="K246" s="115" t="n"/>
      <c r="L246" s="115" t="n"/>
      <c r="M246" s="115" t="n"/>
      <c r="N246" s="115" t="n"/>
      <c r="O246" s="115" t="n"/>
      <c r="P246" s="115" t="n"/>
      <c r="Q246" s="115" t="n"/>
      <c r="R246" s="115" t="n"/>
      <c r="S246" s="115" t="n"/>
      <c r="T246" s="115" t="n"/>
      <c r="U246" s="116" t="n"/>
      <c r="V246" s="116" t="n"/>
      <c r="W246" s="117" t="n"/>
      <c r="X246" s="118" t="n"/>
      <c r="Y246" s="119" t="n"/>
      <c r="Z246" s="120" t="n"/>
      <c r="AA246" s="121" t="n"/>
      <c r="AB246" s="122" t="n"/>
      <c r="AC246" s="117" t="n"/>
      <c r="AD246" s="123">
        <f>IF(SUM($AE246:$AH246)=0,"",SUM($AE246:$AH246))</f>
        <v/>
      </c>
      <c r="AE246" s="123">
        <f>iferror(IF(SUM($AI246:$AZ246)=0,"",SUM($AI246:$AZ246)),"")</f>
        <v/>
      </c>
      <c r="AF246" s="123">
        <f>iferror(IF(SUM($BA246:$BC246)=0,"",SUM($BA246:$BC246)),"")</f>
        <v/>
      </c>
      <c r="AG246" s="123">
        <f>iferror(IF(SUM($BD246:$BF246)=0,"",SUM($BD246:$BF246)),"")</f>
        <v/>
      </c>
      <c r="AH246" s="124">
        <f>iferror(IF(SUM($BG246:$BI246)=0,"",SUM($BG246:$BI246)),"")</f>
        <v/>
      </c>
      <c r="AI246" s="131" t="n"/>
      <c r="AJ246" s="132" t="n"/>
      <c r="AK246" s="132" t="n"/>
      <c r="AL246" s="132" t="n"/>
      <c r="AM246" s="132" t="n"/>
      <c r="AN246" s="132" t="n"/>
      <c r="AO246" s="132" t="n"/>
      <c r="AP246" s="132" t="n"/>
      <c r="AQ246" s="132" t="n"/>
      <c r="AR246" s="132" t="n"/>
      <c r="AS246" s="132" t="n"/>
      <c r="AT246" s="132" t="n"/>
      <c r="AU246" s="132" t="n"/>
      <c r="AV246" s="132" t="n"/>
      <c r="AW246" s="132" t="n"/>
      <c r="AX246" s="132" t="n"/>
      <c r="AY246" s="132" t="n"/>
      <c r="AZ246" s="133" t="n"/>
      <c r="BA246" s="131" t="n"/>
      <c r="BB246" s="132" t="n"/>
      <c r="BC246" s="133" t="n"/>
      <c r="BD246" s="131" t="n"/>
      <c r="BE246" s="132" t="n"/>
      <c r="BF246" s="133" t="n"/>
      <c r="BG246" s="131" t="n"/>
      <c r="BH246" s="132" t="n"/>
      <c r="BI246" s="132" t="n"/>
      <c r="BJ246" s="128">
        <f>iferror(SUM($BK246,($BL246*1.2),($BM246*1.35),($BN246*0.74)),)</f>
        <v/>
      </c>
      <c r="BK246" s="128">
        <f>IFERROR(SUM($BT246:$CK246),)</f>
        <v/>
      </c>
      <c r="BL246" s="129">
        <f>IFERROR(SUM($CL246:$CN246),)</f>
        <v/>
      </c>
      <c r="BM246" s="130">
        <f>IFERROR(SUM($CO246:$CQ246),)</f>
        <v/>
      </c>
      <c r="BN246" s="128">
        <f>IFERROR(SUM($CR246:$CT246),)</f>
        <v/>
      </c>
      <c r="BO246" s="128">
        <f>iferror(SUM($BP246,($BQ246*1.2),($BR246*1.35),($BS246*0.74)),)</f>
        <v/>
      </c>
      <c r="BP246" s="128">
        <f>IFERROR(SUM($CU246:$DL246),)</f>
        <v/>
      </c>
      <c r="BQ246" s="128">
        <f>IFERROR(SUM($DM246:$DO246),)</f>
        <v/>
      </c>
      <c r="BR246" s="128">
        <f>IFERROR(SUM($DP246:$DR246),)</f>
        <v/>
      </c>
      <c r="BS246" s="128">
        <f>IFERROR(SUM($DS246:$DU246),)</f>
        <v/>
      </c>
      <c r="BT246" s="128">
        <f>IFERROR(AI246*$W246,)</f>
        <v/>
      </c>
      <c r="BU246" s="128">
        <f>IFERROR(AJ246*$W246,)</f>
        <v/>
      </c>
      <c r="BV246" s="128">
        <f>IFERROR(AK246*$W246,)</f>
        <v/>
      </c>
      <c r="BW246" s="128">
        <f>IFERROR(AL246*$W246,)</f>
        <v/>
      </c>
      <c r="BX246" s="128">
        <f>IFERROR(AM246*$W246,)</f>
        <v/>
      </c>
      <c r="BY246" s="128">
        <f>IFERROR(AN246*$W246,)</f>
        <v/>
      </c>
      <c r="BZ246" s="128">
        <f>IFERROR(AO246*$W246,)</f>
        <v/>
      </c>
      <c r="CA246" s="128">
        <f>IFERROR(AP246*$W246,)</f>
        <v/>
      </c>
      <c r="CB246" s="128">
        <f>IFERROR(AQ246*$W246,)</f>
        <v/>
      </c>
      <c r="CC246" s="128">
        <f>IFERROR(AR246*$W246,)</f>
        <v/>
      </c>
      <c r="CD246" s="128">
        <f>IFERROR(AS246*$W246,)</f>
        <v/>
      </c>
      <c r="CE246" s="128">
        <f>IFERROR(AT246*$W246,)</f>
        <v/>
      </c>
      <c r="CF246" s="128">
        <f>IFERROR(AU246*$W246,)</f>
        <v/>
      </c>
      <c r="CG246" s="128">
        <f>IFERROR(AV246*$W246,)</f>
        <v/>
      </c>
      <c r="CH246" s="128">
        <f>IFERROR(AW246*$W246,)</f>
        <v/>
      </c>
      <c r="CI246" s="128">
        <f>IFERROR(AX246*$W246,)</f>
        <v/>
      </c>
      <c r="CJ246" s="128">
        <f>IFERROR(AY246*$W246,)</f>
        <v/>
      </c>
      <c r="CK246" s="128">
        <f>IFERROR(AZ246*$W246,)</f>
        <v/>
      </c>
      <c r="CL246" s="129">
        <f>IFERROR(if($Y246=0,BA246*($W246/1.2),BA246*$Y246),"")</f>
        <v/>
      </c>
      <c r="CM246" s="129">
        <f>IFERROR(if($Y246=0,BB246*($W246/1.2),BB246*$Y246),"")</f>
        <v/>
      </c>
      <c r="CN246" s="129">
        <f>IFERROR(if($Y246=0,BC246*($W246/1.2),BC246*$Y246),"")</f>
        <v/>
      </c>
      <c r="CO246" s="130">
        <f>IFERROR(if($AA246=0,($W246/1.35)*BD246,BD246*$AA246),)</f>
        <v/>
      </c>
      <c r="CP246" s="130">
        <f>IFERROR(if($AA246=0,($W246/1.35)*BE246,BE246*$AA246),)</f>
        <v/>
      </c>
      <c r="CQ246" s="130">
        <f>IFERROR(if($AA246=0,($W246/1.35)*BF246,BF246*$AA246),)</f>
        <v/>
      </c>
      <c r="CR246" s="128">
        <f>IFERROR(if($AC246=0,($W246/0.74)*BG246,
BG246*$AC246),)</f>
        <v/>
      </c>
      <c r="CS246" s="128">
        <f>IFERROR(if($AC246=0,($W246/0.74)*BH246,
BH246*$AC246),)</f>
        <v/>
      </c>
      <c r="CT246" s="128">
        <f>IFERROR(if($AC246=0,($W246/0.74)*BI246,
BI246*$AC246),)</f>
        <v/>
      </c>
      <c r="CU246" s="128">
        <f>IFERROR(AI246*$V246,)</f>
        <v/>
      </c>
      <c r="CV246" s="128">
        <f>IFERROR(AJ246*$V246,)</f>
        <v/>
      </c>
      <c r="CW246" s="128">
        <f>IFERROR(AK246*$V246,)</f>
        <v/>
      </c>
      <c r="CX246" s="128">
        <f>IFERROR(AL246*$V246,)</f>
        <v/>
      </c>
      <c r="CY246" s="128">
        <f>IFERROR(AM246*$V246,)</f>
        <v/>
      </c>
      <c r="CZ246" s="128">
        <f>IFERROR(AN246*$V246,)</f>
        <v/>
      </c>
      <c r="DA246" s="128">
        <f>IFERROR(AO246*$V246,)</f>
        <v/>
      </c>
      <c r="DB246" s="128">
        <f>IFERROR(AP246*$V246,)</f>
        <v/>
      </c>
      <c r="DC246" s="128">
        <f>IFERROR(AQ246*$V246,)</f>
        <v/>
      </c>
      <c r="DD246" s="128">
        <f>IFERROR(AR246*$V246,)</f>
        <v/>
      </c>
      <c r="DE246" s="128">
        <f>IFERROR(AS246*$V246,)</f>
        <v/>
      </c>
      <c r="DF246" s="128">
        <f>IFERROR(AT246*$V246,)</f>
        <v/>
      </c>
      <c r="DG246" s="128">
        <f>IFERROR(AU246*$V246,)</f>
        <v/>
      </c>
      <c r="DH246" s="128">
        <f>IFERROR(AV246*$V246,)</f>
        <v/>
      </c>
      <c r="DI246" s="128">
        <f>IFERROR(AW246*$V246,)</f>
        <v/>
      </c>
      <c r="DJ246" s="128">
        <f>IFERROR(AX246*$V246,)</f>
        <v/>
      </c>
      <c r="DK246" s="128">
        <f>IFERROR(AY246*$V246,)</f>
        <v/>
      </c>
      <c r="DL246" s="128">
        <f>IFERROR(AZ246*$V246,)</f>
        <v/>
      </c>
      <c r="DM246" s="129">
        <f>IFERROR(if($X246=0,($V246/1.2)*BA246,
BA246*$X246),)</f>
        <v/>
      </c>
      <c r="DN246" s="129">
        <f>IFERROR(if($X246=0,($V246/1.2)*BB246,
BB246*$X246),)</f>
        <v/>
      </c>
      <c r="DO246" s="129">
        <f>IFERROR(if($X246=0,($V246/1.2)*BC246,
BC246*$X246),)</f>
        <v/>
      </c>
      <c r="DP246" s="130">
        <f>IFERROR(if($Z246=0,($V246/1.35)*BD246,
BD246*$Z246),)</f>
        <v/>
      </c>
      <c r="DQ246" s="130">
        <f>IFERROR(if($Z246=0,($V246/1.35)*BE246,
BE246*$Z246),)</f>
        <v/>
      </c>
      <c r="DR246" s="130">
        <f>IFERROR(if($Z246=0,($V246/1.35)*BF246,
BF246*$Z246),)</f>
        <v/>
      </c>
      <c r="DS246" s="128">
        <f>IFERROR(IF($AB246=0,($V246/0.74)*BG246,
BG246*$AB246),)</f>
        <v/>
      </c>
      <c r="DT246" s="128">
        <f>IFERROR(IF($AB246=0,($V246/0.74)*BH246,
BH246*$AB246),)</f>
        <v/>
      </c>
      <c r="DU246" s="128">
        <f>IFERROR(IF($AB246=0,($V246/0.74)*BI246,
BI246*$AB246),)</f>
        <v/>
      </c>
    </row>
    <row r="247" ht="131.25" customHeight="1" s="162">
      <c r="A247" s="115" t="n"/>
      <c r="B247" s="115" t="n"/>
      <c r="C247" s="115" t="n"/>
      <c r="D247" s="115" t="n"/>
      <c r="E247" s="115" t="n"/>
      <c r="F247" s="115" t="n"/>
      <c r="G247" s="115" t="n"/>
      <c r="H247" s="115" t="n"/>
      <c r="I247" s="115" t="n"/>
      <c r="J247" s="115" t="n"/>
      <c r="K247" s="115" t="n"/>
      <c r="L247" s="115" t="n"/>
      <c r="M247" s="115" t="n"/>
      <c r="N247" s="115" t="n"/>
      <c r="O247" s="115" t="n"/>
      <c r="P247" s="115" t="n"/>
      <c r="Q247" s="115" t="n"/>
      <c r="R247" s="115" t="n"/>
      <c r="S247" s="115" t="n"/>
      <c r="T247" s="115" t="n"/>
      <c r="U247" s="116" t="n"/>
      <c r="V247" s="116" t="n"/>
      <c r="W247" s="117" t="n"/>
      <c r="X247" s="118" t="n"/>
      <c r="Y247" s="119" t="n"/>
      <c r="Z247" s="120" t="n"/>
      <c r="AA247" s="121" t="n"/>
      <c r="AB247" s="122" t="n"/>
      <c r="AC247" s="117" t="n"/>
      <c r="AD247" s="123">
        <f>IF(SUM($AE247:$AH247)=0,"",SUM($AE247:$AH247))</f>
        <v/>
      </c>
      <c r="AE247" s="123">
        <f>iferror(IF(SUM($AI247:$AZ247)=0,"",SUM($AI247:$AZ247)),"")</f>
        <v/>
      </c>
      <c r="AF247" s="123">
        <f>iferror(IF(SUM($BA247:$BC247)=0,"",SUM($BA247:$BC247)),"")</f>
        <v/>
      </c>
      <c r="AG247" s="123">
        <f>iferror(IF(SUM($BD247:$BF247)=0,"",SUM($BD247:$BF247)),"")</f>
        <v/>
      </c>
      <c r="AH247" s="124">
        <f>iferror(IF(SUM($BG247:$BI247)=0,"",SUM($BG247:$BI247)),"")</f>
        <v/>
      </c>
      <c r="AI247" s="131" t="n"/>
      <c r="AJ247" s="132" t="n"/>
      <c r="AK247" s="132" t="n"/>
      <c r="AL247" s="132" t="n"/>
      <c r="AM247" s="132" t="n"/>
      <c r="AN247" s="132" t="n"/>
      <c r="AO247" s="132" t="n"/>
      <c r="AP247" s="132" t="n"/>
      <c r="AQ247" s="132" t="n"/>
      <c r="AR247" s="132" t="n"/>
      <c r="AS247" s="132" t="n"/>
      <c r="AT247" s="132" t="n"/>
      <c r="AU247" s="132" t="n"/>
      <c r="AV247" s="132" t="n"/>
      <c r="AW247" s="132" t="n"/>
      <c r="AX247" s="132" t="n"/>
      <c r="AY247" s="132" t="n"/>
      <c r="AZ247" s="133" t="n"/>
      <c r="BA247" s="131" t="n"/>
      <c r="BB247" s="132" t="n"/>
      <c r="BC247" s="133" t="n"/>
      <c r="BD247" s="131" t="n"/>
      <c r="BE247" s="132" t="n"/>
      <c r="BF247" s="133" t="n"/>
      <c r="BG247" s="131" t="n"/>
      <c r="BH247" s="132" t="n"/>
      <c r="BI247" s="132" t="n"/>
      <c r="BJ247" s="128">
        <f>iferror(SUM($BK247,($BL247*1.2),($BM247*1.35),($BN247*0.74)),)</f>
        <v/>
      </c>
      <c r="BK247" s="128">
        <f>IFERROR(SUM($BT247:$CK247),)</f>
        <v/>
      </c>
      <c r="BL247" s="129">
        <f>IFERROR(SUM($CL247:$CN247),)</f>
        <v/>
      </c>
      <c r="BM247" s="130">
        <f>IFERROR(SUM($CO247:$CQ247),)</f>
        <v/>
      </c>
      <c r="BN247" s="128">
        <f>IFERROR(SUM($CR247:$CT247),)</f>
        <v/>
      </c>
      <c r="BO247" s="128">
        <f>iferror(SUM($BP247,($BQ247*1.2),($BR247*1.35),($BS247*0.74)),)</f>
        <v/>
      </c>
      <c r="BP247" s="128">
        <f>IFERROR(SUM($CU247:$DL247),)</f>
        <v/>
      </c>
      <c r="BQ247" s="128">
        <f>IFERROR(SUM($DM247:$DO247),)</f>
        <v/>
      </c>
      <c r="BR247" s="128">
        <f>IFERROR(SUM($DP247:$DR247),)</f>
        <v/>
      </c>
      <c r="BS247" s="128">
        <f>IFERROR(SUM($DS247:$DU247),)</f>
        <v/>
      </c>
      <c r="BT247" s="128">
        <f>IFERROR(AI247*$W247,)</f>
        <v/>
      </c>
      <c r="BU247" s="128">
        <f>IFERROR(AJ247*$W247,)</f>
        <v/>
      </c>
      <c r="BV247" s="128">
        <f>IFERROR(AK247*$W247,)</f>
        <v/>
      </c>
      <c r="BW247" s="128">
        <f>IFERROR(AL247*$W247,)</f>
        <v/>
      </c>
      <c r="BX247" s="128">
        <f>IFERROR(AM247*$W247,)</f>
        <v/>
      </c>
      <c r="BY247" s="128">
        <f>IFERROR(AN247*$W247,)</f>
        <v/>
      </c>
      <c r="BZ247" s="128">
        <f>IFERROR(AO247*$W247,)</f>
        <v/>
      </c>
      <c r="CA247" s="128">
        <f>IFERROR(AP247*$W247,)</f>
        <v/>
      </c>
      <c r="CB247" s="128">
        <f>IFERROR(AQ247*$W247,)</f>
        <v/>
      </c>
      <c r="CC247" s="128">
        <f>IFERROR(AR247*$W247,)</f>
        <v/>
      </c>
      <c r="CD247" s="128">
        <f>IFERROR(AS247*$W247,)</f>
        <v/>
      </c>
      <c r="CE247" s="128">
        <f>IFERROR(AT247*$W247,)</f>
        <v/>
      </c>
      <c r="CF247" s="128">
        <f>IFERROR(AU247*$W247,)</f>
        <v/>
      </c>
      <c r="CG247" s="128">
        <f>IFERROR(AV247*$W247,)</f>
        <v/>
      </c>
      <c r="CH247" s="128">
        <f>IFERROR(AW247*$W247,)</f>
        <v/>
      </c>
      <c r="CI247" s="128">
        <f>IFERROR(AX247*$W247,)</f>
        <v/>
      </c>
      <c r="CJ247" s="128">
        <f>IFERROR(AY247*$W247,)</f>
        <v/>
      </c>
      <c r="CK247" s="128">
        <f>IFERROR(AZ247*$W247,)</f>
        <v/>
      </c>
      <c r="CL247" s="129">
        <f>IFERROR(if($Y247=0,BA247*($W247/1.2),BA247*$Y247),"")</f>
        <v/>
      </c>
      <c r="CM247" s="129">
        <f>IFERROR(if($Y247=0,BB247*($W247/1.2),BB247*$Y247),"")</f>
        <v/>
      </c>
      <c r="CN247" s="129">
        <f>IFERROR(if($Y247=0,BC247*($W247/1.2),BC247*$Y247),"")</f>
        <v/>
      </c>
      <c r="CO247" s="130">
        <f>IFERROR(if($AA247=0,($W247/1.35)*BD247,BD247*$AA247),)</f>
        <v/>
      </c>
      <c r="CP247" s="130">
        <f>IFERROR(if($AA247=0,($W247/1.35)*BE247,BE247*$AA247),)</f>
        <v/>
      </c>
      <c r="CQ247" s="130">
        <f>IFERROR(if($AA247=0,($W247/1.35)*BF247,BF247*$AA247),)</f>
        <v/>
      </c>
      <c r="CR247" s="128">
        <f>IFERROR(if($AC247=0,($W247/0.74)*BG247,
BG247*$AC247),)</f>
        <v/>
      </c>
      <c r="CS247" s="128">
        <f>IFERROR(if($AC247=0,($W247/0.74)*BH247,
BH247*$AC247),)</f>
        <v/>
      </c>
      <c r="CT247" s="128">
        <f>IFERROR(if($AC247=0,($W247/0.74)*BI247,
BI247*$AC247),)</f>
        <v/>
      </c>
      <c r="CU247" s="128">
        <f>IFERROR(AI247*$V247,)</f>
        <v/>
      </c>
      <c r="CV247" s="128">
        <f>IFERROR(AJ247*$V247,)</f>
        <v/>
      </c>
      <c r="CW247" s="128">
        <f>IFERROR(AK247*$V247,)</f>
        <v/>
      </c>
      <c r="CX247" s="128">
        <f>IFERROR(AL247*$V247,)</f>
        <v/>
      </c>
      <c r="CY247" s="128">
        <f>IFERROR(AM247*$V247,)</f>
        <v/>
      </c>
      <c r="CZ247" s="128">
        <f>IFERROR(AN247*$V247,)</f>
        <v/>
      </c>
      <c r="DA247" s="128">
        <f>IFERROR(AO247*$V247,)</f>
        <v/>
      </c>
      <c r="DB247" s="128">
        <f>IFERROR(AP247*$V247,)</f>
        <v/>
      </c>
      <c r="DC247" s="128">
        <f>IFERROR(AQ247*$V247,)</f>
        <v/>
      </c>
      <c r="DD247" s="128">
        <f>IFERROR(AR247*$V247,)</f>
        <v/>
      </c>
      <c r="DE247" s="128">
        <f>IFERROR(AS247*$V247,)</f>
        <v/>
      </c>
      <c r="DF247" s="128">
        <f>IFERROR(AT247*$V247,)</f>
        <v/>
      </c>
      <c r="DG247" s="128">
        <f>IFERROR(AU247*$V247,)</f>
        <v/>
      </c>
      <c r="DH247" s="128">
        <f>IFERROR(AV247*$V247,)</f>
        <v/>
      </c>
      <c r="DI247" s="128">
        <f>IFERROR(AW247*$V247,)</f>
        <v/>
      </c>
      <c r="DJ247" s="128">
        <f>IFERROR(AX247*$V247,)</f>
        <v/>
      </c>
      <c r="DK247" s="128">
        <f>IFERROR(AY247*$V247,)</f>
        <v/>
      </c>
      <c r="DL247" s="128">
        <f>IFERROR(AZ247*$V247,)</f>
        <v/>
      </c>
      <c r="DM247" s="129">
        <f>IFERROR(if($X247=0,($V247/1.2)*BA247,
BA247*$X247),)</f>
        <v/>
      </c>
      <c r="DN247" s="129">
        <f>IFERROR(if($X247=0,($V247/1.2)*BB247,
BB247*$X247),)</f>
        <v/>
      </c>
      <c r="DO247" s="129">
        <f>IFERROR(if($X247=0,($V247/1.2)*BC247,
BC247*$X247),)</f>
        <v/>
      </c>
      <c r="DP247" s="130">
        <f>IFERROR(if($Z247=0,($V247/1.35)*BD247,
BD247*$Z247),)</f>
        <v/>
      </c>
      <c r="DQ247" s="130">
        <f>IFERROR(if($Z247=0,($V247/1.35)*BE247,
BE247*$Z247),)</f>
        <v/>
      </c>
      <c r="DR247" s="130">
        <f>IFERROR(if($Z247=0,($V247/1.35)*BF247,
BF247*$Z247),)</f>
        <v/>
      </c>
      <c r="DS247" s="128">
        <f>IFERROR(IF($AB247=0,($V247/0.74)*BG247,
BG247*$AB247),)</f>
        <v/>
      </c>
      <c r="DT247" s="128">
        <f>IFERROR(IF($AB247=0,($V247/0.74)*BH247,
BH247*$AB247),)</f>
        <v/>
      </c>
      <c r="DU247" s="128">
        <f>IFERROR(IF($AB247=0,($V247/0.74)*BI247,
BI247*$AB247),)</f>
        <v/>
      </c>
    </row>
    <row r="248" ht="131.25" customHeight="1" s="162">
      <c r="A248" s="115" t="n"/>
      <c r="B248" s="115" t="n"/>
      <c r="C248" s="115" t="n"/>
      <c r="D248" s="115" t="n"/>
      <c r="E248" s="115" t="n"/>
      <c r="F248" s="115" t="n"/>
      <c r="G248" s="115" t="n"/>
      <c r="H248" s="115" t="n"/>
      <c r="I248" s="115" t="n"/>
      <c r="J248" s="115" t="n"/>
      <c r="K248" s="115" t="n"/>
      <c r="L248" s="115" t="n"/>
      <c r="M248" s="115" t="n"/>
      <c r="N248" s="115" t="n"/>
      <c r="O248" s="115" t="n"/>
      <c r="P248" s="115" t="n"/>
      <c r="Q248" s="115" t="n"/>
      <c r="R248" s="115" t="n"/>
      <c r="S248" s="115" t="n"/>
      <c r="T248" s="115" t="n"/>
      <c r="U248" s="116" t="n"/>
      <c r="V248" s="116" t="n"/>
      <c r="W248" s="117" t="n"/>
      <c r="X248" s="118" t="n"/>
      <c r="Y248" s="119" t="n"/>
      <c r="Z248" s="120" t="n"/>
      <c r="AA248" s="121" t="n"/>
      <c r="AB248" s="122" t="n"/>
      <c r="AC248" s="117" t="n"/>
      <c r="AD248" s="123">
        <f>IF(SUM($AE248:$AH248)=0,"",SUM($AE248:$AH248))</f>
        <v/>
      </c>
      <c r="AE248" s="123">
        <f>iferror(IF(SUM($AI248:$AZ248)=0,"",SUM($AI248:$AZ248)),"")</f>
        <v/>
      </c>
      <c r="AF248" s="123">
        <f>iferror(IF(SUM($BA248:$BC248)=0,"",SUM($BA248:$BC248)),"")</f>
        <v/>
      </c>
      <c r="AG248" s="123">
        <f>iferror(IF(SUM($BD248:$BF248)=0,"",SUM($BD248:$BF248)),"")</f>
        <v/>
      </c>
      <c r="AH248" s="124">
        <f>iferror(IF(SUM($BG248:$BI248)=0,"",SUM($BG248:$BI248)),"")</f>
        <v/>
      </c>
      <c r="AI248" s="131" t="n"/>
      <c r="AJ248" s="132" t="n"/>
      <c r="AK248" s="132" t="n"/>
      <c r="AL248" s="132" t="n"/>
      <c r="AM248" s="132" t="n"/>
      <c r="AN248" s="132" t="n"/>
      <c r="AO248" s="132" t="n"/>
      <c r="AP248" s="132" t="n"/>
      <c r="AQ248" s="132" t="n"/>
      <c r="AR248" s="132" t="n"/>
      <c r="AS248" s="132" t="n"/>
      <c r="AT248" s="132" t="n"/>
      <c r="AU248" s="132" t="n"/>
      <c r="AV248" s="132" t="n"/>
      <c r="AW248" s="132" t="n"/>
      <c r="AX248" s="132" t="n"/>
      <c r="AY248" s="132" t="n"/>
      <c r="AZ248" s="133" t="n"/>
      <c r="BA248" s="131" t="n"/>
      <c r="BB248" s="132" t="n"/>
      <c r="BC248" s="133" t="n"/>
      <c r="BD248" s="131" t="n"/>
      <c r="BE248" s="132" t="n"/>
      <c r="BF248" s="133" t="n"/>
      <c r="BG248" s="131" t="n"/>
      <c r="BH248" s="132" t="n"/>
      <c r="BI248" s="132" t="n"/>
      <c r="BJ248" s="128">
        <f>iferror(SUM($BK248,($BL248*1.2),($BM248*1.35),($BN248*0.74)),)</f>
        <v/>
      </c>
      <c r="BK248" s="128">
        <f>IFERROR(SUM($BT248:$CK248),)</f>
        <v/>
      </c>
      <c r="BL248" s="129">
        <f>IFERROR(SUM($CL248:$CN248),)</f>
        <v/>
      </c>
      <c r="BM248" s="130">
        <f>IFERROR(SUM($CO248:$CQ248),)</f>
        <v/>
      </c>
      <c r="BN248" s="128">
        <f>IFERROR(SUM($CR248:$CT248),)</f>
        <v/>
      </c>
      <c r="BO248" s="128">
        <f>iferror(SUM($BP248,($BQ248*1.2),($BR248*1.35),($BS248*0.74)),)</f>
        <v/>
      </c>
      <c r="BP248" s="128">
        <f>IFERROR(SUM($CU248:$DL248),)</f>
        <v/>
      </c>
      <c r="BQ248" s="128">
        <f>IFERROR(SUM($DM248:$DO248),)</f>
        <v/>
      </c>
      <c r="BR248" s="128">
        <f>IFERROR(SUM($DP248:$DR248),)</f>
        <v/>
      </c>
      <c r="BS248" s="128">
        <f>IFERROR(SUM($DS248:$DU248),)</f>
        <v/>
      </c>
      <c r="BT248" s="128">
        <f>IFERROR(AI248*$W248,)</f>
        <v/>
      </c>
      <c r="BU248" s="128">
        <f>IFERROR(AJ248*$W248,)</f>
        <v/>
      </c>
      <c r="BV248" s="128">
        <f>IFERROR(AK248*$W248,)</f>
        <v/>
      </c>
      <c r="BW248" s="128">
        <f>IFERROR(AL248*$W248,)</f>
        <v/>
      </c>
      <c r="BX248" s="128">
        <f>IFERROR(AM248*$W248,)</f>
        <v/>
      </c>
      <c r="BY248" s="128">
        <f>IFERROR(AN248*$W248,)</f>
        <v/>
      </c>
      <c r="BZ248" s="128">
        <f>IFERROR(AO248*$W248,)</f>
        <v/>
      </c>
      <c r="CA248" s="128">
        <f>IFERROR(AP248*$W248,)</f>
        <v/>
      </c>
      <c r="CB248" s="128">
        <f>IFERROR(AQ248*$W248,)</f>
        <v/>
      </c>
      <c r="CC248" s="128">
        <f>IFERROR(AR248*$W248,)</f>
        <v/>
      </c>
      <c r="CD248" s="128">
        <f>IFERROR(AS248*$W248,)</f>
        <v/>
      </c>
      <c r="CE248" s="128">
        <f>IFERROR(AT248*$W248,)</f>
        <v/>
      </c>
      <c r="CF248" s="128">
        <f>IFERROR(AU248*$W248,)</f>
        <v/>
      </c>
      <c r="CG248" s="128">
        <f>IFERROR(AV248*$W248,)</f>
        <v/>
      </c>
      <c r="CH248" s="128">
        <f>IFERROR(AW248*$W248,)</f>
        <v/>
      </c>
      <c r="CI248" s="128">
        <f>IFERROR(AX248*$W248,)</f>
        <v/>
      </c>
      <c r="CJ248" s="128">
        <f>IFERROR(AY248*$W248,)</f>
        <v/>
      </c>
      <c r="CK248" s="128">
        <f>IFERROR(AZ248*$W248,)</f>
        <v/>
      </c>
      <c r="CL248" s="129">
        <f>IFERROR(if($Y248=0,BA248*($W248/1.2),BA248*$Y248),"")</f>
        <v/>
      </c>
      <c r="CM248" s="129">
        <f>IFERROR(if($Y248=0,BB248*($W248/1.2),BB248*$Y248),"")</f>
        <v/>
      </c>
      <c r="CN248" s="129">
        <f>IFERROR(if($Y248=0,BC248*($W248/1.2),BC248*$Y248),"")</f>
        <v/>
      </c>
      <c r="CO248" s="130">
        <f>IFERROR(if($AA248=0,($W248/1.35)*BD248,BD248*$AA248),)</f>
        <v/>
      </c>
      <c r="CP248" s="130">
        <f>IFERROR(if($AA248=0,($W248/1.35)*BE248,BE248*$AA248),)</f>
        <v/>
      </c>
      <c r="CQ248" s="130">
        <f>IFERROR(if($AA248=0,($W248/1.35)*BF248,BF248*$AA248),)</f>
        <v/>
      </c>
      <c r="CR248" s="128">
        <f>IFERROR(if($AC248=0,($W248/0.74)*BG248,
BG248*$AC248),)</f>
        <v/>
      </c>
      <c r="CS248" s="128">
        <f>IFERROR(if($AC248=0,($W248/0.74)*BH248,
BH248*$AC248),)</f>
        <v/>
      </c>
      <c r="CT248" s="128">
        <f>IFERROR(if($AC248=0,($W248/0.74)*BI248,
BI248*$AC248),)</f>
        <v/>
      </c>
      <c r="CU248" s="128">
        <f>IFERROR(AI248*$V248,)</f>
        <v/>
      </c>
      <c r="CV248" s="128">
        <f>IFERROR(AJ248*$V248,)</f>
        <v/>
      </c>
      <c r="CW248" s="128">
        <f>IFERROR(AK248*$V248,)</f>
        <v/>
      </c>
      <c r="CX248" s="128">
        <f>IFERROR(AL248*$V248,)</f>
        <v/>
      </c>
      <c r="CY248" s="128">
        <f>IFERROR(AM248*$V248,)</f>
        <v/>
      </c>
      <c r="CZ248" s="128">
        <f>IFERROR(AN248*$V248,)</f>
        <v/>
      </c>
      <c r="DA248" s="128">
        <f>IFERROR(AO248*$V248,)</f>
        <v/>
      </c>
      <c r="DB248" s="128">
        <f>IFERROR(AP248*$V248,)</f>
        <v/>
      </c>
      <c r="DC248" s="128">
        <f>IFERROR(AQ248*$V248,)</f>
        <v/>
      </c>
      <c r="DD248" s="128">
        <f>IFERROR(AR248*$V248,)</f>
        <v/>
      </c>
      <c r="DE248" s="128">
        <f>IFERROR(AS248*$V248,)</f>
        <v/>
      </c>
      <c r="DF248" s="128">
        <f>IFERROR(AT248*$V248,)</f>
        <v/>
      </c>
      <c r="DG248" s="128">
        <f>IFERROR(AU248*$V248,)</f>
        <v/>
      </c>
      <c r="DH248" s="128">
        <f>IFERROR(AV248*$V248,)</f>
        <v/>
      </c>
      <c r="DI248" s="128">
        <f>IFERROR(AW248*$V248,)</f>
        <v/>
      </c>
      <c r="DJ248" s="128">
        <f>IFERROR(AX248*$V248,)</f>
        <v/>
      </c>
      <c r="DK248" s="128">
        <f>IFERROR(AY248*$V248,)</f>
        <v/>
      </c>
      <c r="DL248" s="128">
        <f>IFERROR(AZ248*$V248,)</f>
        <v/>
      </c>
      <c r="DM248" s="129">
        <f>IFERROR(if($X248=0,($V248/1.2)*BA248,
BA248*$X248),)</f>
        <v/>
      </c>
      <c r="DN248" s="129">
        <f>IFERROR(if($X248=0,($V248/1.2)*BB248,
BB248*$X248),)</f>
        <v/>
      </c>
      <c r="DO248" s="129">
        <f>IFERROR(if($X248=0,($V248/1.2)*BC248,
BC248*$X248),)</f>
        <v/>
      </c>
      <c r="DP248" s="130">
        <f>IFERROR(if($Z248=0,($V248/1.35)*BD248,
BD248*$Z248),)</f>
        <v/>
      </c>
      <c r="DQ248" s="130">
        <f>IFERROR(if($Z248=0,($V248/1.35)*BE248,
BE248*$Z248),)</f>
        <v/>
      </c>
      <c r="DR248" s="130">
        <f>IFERROR(if($Z248=0,($V248/1.35)*BF248,
BF248*$Z248),)</f>
        <v/>
      </c>
      <c r="DS248" s="128">
        <f>IFERROR(IF($AB248=0,($V248/0.74)*BG248,
BG248*$AB248),)</f>
        <v/>
      </c>
      <c r="DT248" s="128">
        <f>IFERROR(IF($AB248=0,($V248/0.74)*BH248,
BH248*$AB248),)</f>
        <v/>
      </c>
      <c r="DU248" s="128">
        <f>IFERROR(IF($AB248=0,($V248/0.74)*BI248,
BI248*$AB248),)</f>
        <v/>
      </c>
    </row>
    <row r="249" ht="131.25" customHeight="1" s="162">
      <c r="A249" s="115" t="n"/>
      <c r="B249" s="115" t="n"/>
      <c r="C249" s="115" t="n"/>
      <c r="D249" s="115" t="n"/>
      <c r="E249" s="115" t="n"/>
      <c r="F249" s="115" t="n"/>
      <c r="G249" s="115" t="n"/>
      <c r="H249" s="115" t="n"/>
      <c r="I249" s="115" t="n"/>
      <c r="J249" s="115" t="n"/>
      <c r="K249" s="115" t="n"/>
      <c r="L249" s="115" t="n"/>
      <c r="M249" s="115" t="n"/>
      <c r="N249" s="115" t="n"/>
      <c r="O249" s="115" t="n"/>
      <c r="P249" s="115" t="n"/>
      <c r="Q249" s="115" t="n"/>
      <c r="R249" s="115" t="n"/>
      <c r="S249" s="115" t="n"/>
      <c r="T249" s="115" t="n"/>
      <c r="U249" s="116" t="n"/>
      <c r="V249" s="116" t="n"/>
      <c r="W249" s="117" t="n"/>
      <c r="X249" s="118" t="n"/>
      <c r="Y249" s="119" t="n"/>
      <c r="Z249" s="120" t="n"/>
      <c r="AA249" s="121" t="n"/>
      <c r="AB249" s="122" t="n"/>
      <c r="AC249" s="117" t="n"/>
      <c r="AD249" s="123">
        <f>IF(SUM($AE249:$AH249)=0,"",SUM($AE249:$AH249))</f>
        <v/>
      </c>
      <c r="AE249" s="123">
        <f>iferror(IF(SUM($AI249:$AZ249)=0,"",SUM($AI249:$AZ249)),"")</f>
        <v/>
      </c>
      <c r="AF249" s="123">
        <f>iferror(IF(SUM($BA249:$BC249)=0,"",SUM($BA249:$BC249)),"")</f>
        <v/>
      </c>
      <c r="AG249" s="123">
        <f>iferror(IF(SUM($BD249:$BF249)=0,"",SUM($BD249:$BF249)),"")</f>
        <v/>
      </c>
      <c r="AH249" s="124">
        <f>iferror(IF(SUM($BG249:$BI249)=0,"",SUM($BG249:$BI249)),"")</f>
        <v/>
      </c>
      <c r="AI249" s="131" t="n"/>
      <c r="AJ249" s="132" t="n"/>
      <c r="AK249" s="132" t="n"/>
      <c r="AL249" s="132" t="n"/>
      <c r="AM249" s="132" t="n"/>
      <c r="AN249" s="132" t="n"/>
      <c r="AO249" s="132" t="n"/>
      <c r="AP249" s="132" t="n"/>
      <c r="AQ249" s="132" t="n"/>
      <c r="AR249" s="132" t="n"/>
      <c r="AS249" s="132" t="n"/>
      <c r="AT249" s="132" t="n"/>
      <c r="AU249" s="132" t="n"/>
      <c r="AV249" s="132" t="n"/>
      <c r="AW249" s="132" t="n"/>
      <c r="AX249" s="132" t="n"/>
      <c r="AY249" s="132" t="n"/>
      <c r="AZ249" s="133" t="n"/>
      <c r="BA249" s="131" t="n"/>
      <c r="BB249" s="132" t="n"/>
      <c r="BC249" s="133" t="n"/>
      <c r="BD249" s="131" t="n"/>
      <c r="BE249" s="132" t="n"/>
      <c r="BF249" s="133" t="n"/>
      <c r="BG249" s="131" t="n"/>
      <c r="BH249" s="132" t="n"/>
      <c r="BI249" s="132" t="n"/>
      <c r="BJ249" s="128">
        <f>iferror(SUM($BK249,($BL249*1.2),($BM249*1.35),($BN249*0.74)),)</f>
        <v/>
      </c>
      <c r="BK249" s="128">
        <f>IFERROR(SUM($BT249:$CK249),)</f>
        <v/>
      </c>
      <c r="BL249" s="129">
        <f>IFERROR(SUM($CL249:$CN249),)</f>
        <v/>
      </c>
      <c r="BM249" s="130">
        <f>IFERROR(SUM($CO249:$CQ249),)</f>
        <v/>
      </c>
      <c r="BN249" s="128">
        <f>IFERROR(SUM($CR249:$CT249),)</f>
        <v/>
      </c>
      <c r="BO249" s="128">
        <f>iferror(SUM($BP249,($BQ249*1.2),($BR249*1.35),($BS249*0.74)),)</f>
        <v/>
      </c>
      <c r="BP249" s="128">
        <f>IFERROR(SUM($CU249:$DL249),)</f>
        <v/>
      </c>
      <c r="BQ249" s="128">
        <f>IFERROR(SUM($DM249:$DO249),)</f>
        <v/>
      </c>
      <c r="BR249" s="128">
        <f>IFERROR(SUM($DP249:$DR249),)</f>
        <v/>
      </c>
      <c r="BS249" s="128">
        <f>IFERROR(SUM($DS249:$DU249),)</f>
        <v/>
      </c>
      <c r="BT249" s="128">
        <f>IFERROR(AI249*$W249,)</f>
        <v/>
      </c>
      <c r="BU249" s="128">
        <f>IFERROR(AJ249*$W249,)</f>
        <v/>
      </c>
      <c r="BV249" s="128">
        <f>IFERROR(AK249*$W249,)</f>
        <v/>
      </c>
      <c r="BW249" s="128">
        <f>IFERROR(AL249*$W249,)</f>
        <v/>
      </c>
      <c r="BX249" s="128">
        <f>IFERROR(AM249*$W249,)</f>
        <v/>
      </c>
      <c r="BY249" s="128">
        <f>IFERROR(AN249*$W249,)</f>
        <v/>
      </c>
      <c r="BZ249" s="128">
        <f>IFERROR(AO249*$W249,)</f>
        <v/>
      </c>
      <c r="CA249" s="128">
        <f>IFERROR(AP249*$W249,)</f>
        <v/>
      </c>
      <c r="CB249" s="128">
        <f>IFERROR(AQ249*$W249,)</f>
        <v/>
      </c>
      <c r="CC249" s="128">
        <f>IFERROR(AR249*$W249,)</f>
        <v/>
      </c>
      <c r="CD249" s="128">
        <f>IFERROR(AS249*$W249,)</f>
        <v/>
      </c>
      <c r="CE249" s="128">
        <f>IFERROR(AT249*$W249,)</f>
        <v/>
      </c>
      <c r="CF249" s="128">
        <f>IFERROR(AU249*$W249,)</f>
        <v/>
      </c>
      <c r="CG249" s="128">
        <f>IFERROR(AV249*$W249,)</f>
        <v/>
      </c>
      <c r="CH249" s="128">
        <f>IFERROR(AW249*$W249,)</f>
        <v/>
      </c>
      <c r="CI249" s="128">
        <f>IFERROR(AX249*$W249,)</f>
        <v/>
      </c>
      <c r="CJ249" s="128">
        <f>IFERROR(AY249*$W249,)</f>
        <v/>
      </c>
      <c r="CK249" s="128">
        <f>IFERROR(AZ249*$W249,)</f>
        <v/>
      </c>
      <c r="CL249" s="129">
        <f>IFERROR(if($Y249=0,BA249*($W249/1.2),BA249*$Y249),"")</f>
        <v/>
      </c>
      <c r="CM249" s="129">
        <f>IFERROR(if($Y249=0,BB249*($W249/1.2),BB249*$Y249),"")</f>
        <v/>
      </c>
      <c r="CN249" s="129">
        <f>IFERROR(if($Y249=0,BC249*($W249/1.2),BC249*$Y249),"")</f>
        <v/>
      </c>
      <c r="CO249" s="130">
        <f>IFERROR(if($AA249=0,($W249/1.35)*BD249,BD249*$AA249),)</f>
        <v/>
      </c>
      <c r="CP249" s="130">
        <f>IFERROR(if($AA249=0,($W249/1.35)*BE249,BE249*$AA249),)</f>
        <v/>
      </c>
      <c r="CQ249" s="130">
        <f>IFERROR(if($AA249=0,($W249/1.35)*BF249,BF249*$AA249),)</f>
        <v/>
      </c>
      <c r="CR249" s="128">
        <f>IFERROR(if($AC249=0,($W249/0.74)*BG249,
BG249*$AC249),)</f>
        <v/>
      </c>
      <c r="CS249" s="128">
        <f>IFERROR(if($AC249=0,($W249/0.74)*BH249,
BH249*$AC249),)</f>
        <v/>
      </c>
      <c r="CT249" s="128">
        <f>IFERROR(if($AC249=0,($W249/0.74)*BI249,
BI249*$AC249),)</f>
        <v/>
      </c>
      <c r="CU249" s="128">
        <f>IFERROR(AI249*$V249,)</f>
        <v/>
      </c>
      <c r="CV249" s="128">
        <f>IFERROR(AJ249*$V249,)</f>
        <v/>
      </c>
      <c r="CW249" s="128">
        <f>IFERROR(AK249*$V249,)</f>
        <v/>
      </c>
      <c r="CX249" s="128">
        <f>IFERROR(AL249*$V249,)</f>
        <v/>
      </c>
      <c r="CY249" s="128">
        <f>IFERROR(AM249*$V249,)</f>
        <v/>
      </c>
      <c r="CZ249" s="128">
        <f>IFERROR(AN249*$V249,)</f>
        <v/>
      </c>
      <c r="DA249" s="128">
        <f>IFERROR(AO249*$V249,)</f>
        <v/>
      </c>
      <c r="DB249" s="128">
        <f>IFERROR(AP249*$V249,)</f>
        <v/>
      </c>
      <c r="DC249" s="128">
        <f>IFERROR(AQ249*$V249,)</f>
        <v/>
      </c>
      <c r="DD249" s="128">
        <f>IFERROR(AR249*$V249,)</f>
        <v/>
      </c>
      <c r="DE249" s="128">
        <f>IFERROR(AS249*$V249,)</f>
        <v/>
      </c>
      <c r="DF249" s="128">
        <f>IFERROR(AT249*$V249,)</f>
        <v/>
      </c>
      <c r="DG249" s="128">
        <f>IFERROR(AU249*$V249,)</f>
        <v/>
      </c>
      <c r="DH249" s="128">
        <f>IFERROR(AV249*$V249,)</f>
        <v/>
      </c>
      <c r="DI249" s="128">
        <f>IFERROR(AW249*$V249,)</f>
        <v/>
      </c>
      <c r="DJ249" s="128">
        <f>IFERROR(AX249*$V249,)</f>
        <v/>
      </c>
      <c r="DK249" s="128">
        <f>IFERROR(AY249*$V249,)</f>
        <v/>
      </c>
      <c r="DL249" s="128">
        <f>IFERROR(AZ249*$V249,)</f>
        <v/>
      </c>
      <c r="DM249" s="129">
        <f>IFERROR(if($X249=0,($V249/1.2)*BA249,
BA249*$X249),)</f>
        <v/>
      </c>
      <c r="DN249" s="129">
        <f>IFERROR(if($X249=0,($V249/1.2)*BB249,
BB249*$X249),)</f>
        <v/>
      </c>
      <c r="DO249" s="129">
        <f>IFERROR(if($X249=0,($V249/1.2)*BC249,
BC249*$X249),)</f>
        <v/>
      </c>
      <c r="DP249" s="130">
        <f>IFERROR(if($Z249=0,($V249/1.35)*BD249,
BD249*$Z249),)</f>
        <v/>
      </c>
      <c r="DQ249" s="130">
        <f>IFERROR(if($Z249=0,($V249/1.35)*BE249,
BE249*$Z249),)</f>
        <v/>
      </c>
      <c r="DR249" s="130">
        <f>IFERROR(if($Z249=0,($V249/1.35)*BF249,
BF249*$Z249),)</f>
        <v/>
      </c>
      <c r="DS249" s="128">
        <f>IFERROR(IF($AB249=0,($V249/0.74)*BG249,
BG249*$AB249),)</f>
        <v/>
      </c>
      <c r="DT249" s="128">
        <f>IFERROR(IF($AB249=0,($V249/0.74)*BH249,
BH249*$AB249),)</f>
        <v/>
      </c>
      <c r="DU249" s="128">
        <f>IFERROR(IF($AB249=0,($V249/0.74)*BI249,
BI249*$AB249),)</f>
        <v/>
      </c>
    </row>
    <row r="250" ht="131.25" customHeight="1" s="162">
      <c r="A250" s="115" t="n"/>
      <c r="B250" s="115" t="n"/>
      <c r="C250" s="115" t="n"/>
      <c r="D250" s="115" t="n"/>
      <c r="E250" s="115" t="n"/>
      <c r="F250" s="115" t="n"/>
      <c r="G250" s="115" t="n"/>
      <c r="H250" s="115" t="n"/>
      <c r="I250" s="115" t="n"/>
      <c r="J250" s="115" t="n"/>
      <c r="K250" s="115" t="n"/>
      <c r="L250" s="115" t="n"/>
      <c r="M250" s="115" t="n"/>
      <c r="N250" s="115" t="n"/>
      <c r="O250" s="115" t="n"/>
      <c r="P250" s="115" t="n"/>
      <c r="Q250" s="115" t="n"/>
      <c r="R250" s="115" t="n"/>
      <c r="S250" s="115" t="n"/>
      <c r="T250" s="115" t="n"/>
      <c r="U250" s="116" t="n"/>
      <c r="V250" s="116" t="n"/>
      <c r="W250" s="117" t="n"/>
      <c r="X250" s="118" t="n"/>
      <c r="Y250" s="119" t="n"/>
      <c r="Z250" s="120" t="n"/>
      <c r="AA250" s="121" t="n"/>
      <c r="AB250" s="122" t="n"/>
      <c r="AC250" s="117" t="n"/>
      <c r="AD250" s="123">
        <f>IF(SUM($AE250:$AH250)=0,"",SUM($AE250:$AH250))</f>
        <v/>
      </c>
      <c r="AE250" s="123">
        <f>iferror(IF(SUM($AI250:$AZ250)=0,"",SUM($AI250:$AZ250)),"")</f>
        <v/>
      </c>
      <c r="AF250" s="123">
        <f>iferror(IF(SUM($BA250:$BC250)=0,"",SUM($BA250:$BC250)),"")</f>
        <v/>
      </c>
      <c r="AG250" s="123">
        <f>iferror(IF(SUM($BD250:$BF250)=0,"",SUM($BD250:$BF250)),"")</f>
        <v/>
      </c>
      <c r="AH250" s="124">
        <f>iferror(IF(SUM($BG250:$BI250)=0,"",SUM($BG250:$BI250)),"")</f>
        <v/>
      </c>
      <c r="AI250" s="131" t="n"/>
      <c r="AJ250" s="132" t="n"/>
      <c r="AK250" s="132" t="n"/>
      <c r="AL250" s="132" t="n"/>
      <c r="AM250" s="132" t="n"/>
      <c r="AN250" s="132" t="n"/>
      <c r="AO250" s="132" t="n"/>
      <c r="AP250" s="132" t="n"/>
      <c r="AQ250" s="132" t="n"/>
      <c r="AR250" s="132" t="n"/>
      <c r="AS250" s="132" t="n"/>
      <c r="AT250" s="132" t="n"/>
      <c r="AU250" s="132" t="n"/>
      <c r="AV250" s="132" t="n"/>
      <c r="AW250" s="132" t="n"/>
      <c r="AX250" s="132" t="n"/>
      <c r="AY250" s="132" t="n"/>
      <c r="AZ250" s="133" t="n"/>
      <c r="BA250" s="131" t="n"/>
      <c r="BB250" s="132" t="n"/>
      <c r="BC250" s="133" t="n"/>
      <c r="BD250" s="131" t="n"/>
      <c r="BE250" s="132" t="n"/>
      <c r="BF250" s="133" t="n"/>
      <c r="BG250" s="131" t="n"/>
      <c r="BH250" s="132" t="n"/>
      <c r="BI250" s="132" t="n"/>
      <c r="BJ250" s="128">
        <f>iferror(SUM($BK250,($BL250*1.2),($BM250*1.35),($BN250*0.74)),)</f>
        <v/>
      </c>
      <c r="BK250" s="128">
        <f>IFERROR(SUM($BT250:$CK250),)</f>
        <v/>
      </c>
      <c r="BL250" s="129">
        <f>IFERROR(SUM($CL250:$CN250),)</f>
        <v/>
      </c>
      <c r="BM250" s="130">
        <f>IFERROR(SUM($CO250:$CQ250),)</f>
        <v/>
      </c>
      <c r="BN250" s="128">
        <f>IFERROR(SUM($CR250:$CT250),)</f>
        <v/>
      </c>
      <c r="BO250" s="128">
        <f>iferror(SUM($BP250,($BQ250*1.2),($BR250*1.35),($BS250*0.74)),)</f>
        <v/>
      </c>
      <c r="BP250" s="128">
        <f>IFERROR(SUM($CU250:$DL250),)</f>
        <v/>
      </c>
      <c r="BQ250" s="128">
        <f>IFERROR(SUM($DM250:$DO250),)</f>
        <v/>
      </c>
      <c r="BR250" s="128">
        <f>IFERROR(SUM($DP250:$DR250),)</f>
        <v/>
      </c>
      <c r="BS250" s="128">
        <f>IFERROR(SUM($DS250:$DU250),)</f>
        <v/>
      </c>
      <c r="BT250" s="128">
        <f>IFERROR(AI250*$W250,)</f>
        <v/>
      </c>
      <c r="BU250" s="128">
        <f>IFERROR(AJ250*$W250,)</f>
        <v/>
      </c>
      <c r="BV250" s="128">
        <f>IFERROR(AK250*$W250,)</f>
        <v/>
      </c>
      <c r="BW250" s="128">
        <f>IFERROR(AL250*$W250,)</f>
        <v/>
      </c>
      <c r="BX250" s="128">
        <f>IFERROR(AM250*$W250,)</f>
        <v/>
      </c>
      <c r="BY250" s="128">
        <f>IFERROR(AN250*$W250,)</f>
        <v/>
      </c>
      <c r="BZ250" s="128">
        <f>IFERROR(AO250*$W250,)</f>
        <v/>
      </c>
      <c r="CA250" s="128">
        <f>IFERROR(AP250*$W250,)</f>
        <v/>
      </c>
      <c r="CB250" s="128">
        <f>IFERROR(AQ250*$W250,)</f>
        <v/>
      </c>
      <c r="CC250" s="128">
        <f>IFERROR(AR250*$W250,)</f>
        <v/>
      </c>
      <c r="CD250" s="128">
        <f>IFERROR(AS250*$W250,)</f>
        <v/>
      </c>
      <c r="CE250" s="128">
        <f>IFERROR(AT250*$W250,)</f>
        <v/>
      </c>
      <c r="CF250" s="128">
        <f>IFERROR(AU250*$W250,)</f>
        <v/>
      </c>
      <c r="CG250" s="128">
        <f>IFERROR(AV250*$W250,)</f>
        <v/>
      </c>
      <c r="CH250" s="128">
        <f>IFERROR(AW250*$W250,)</f>
        <v/>
      </c>
      <c r="CI250" s="128">
        <f>IFERROR(AX250*$W250,)</f>
        <v/>
      </c>
      <c r="CJ250" s="128">
        <f>IFERROR(AY250*$W250,)</f>
        <v/>
      </c>
      <c r="CK250" s="128">
        <f>IFERROR(AZ250*$W250,)</f>
        <v/>
      </c>
      <c r="CL250" s="129">
        <f>IFERROR(if($Y250=0,BA250*($W250/1.2),BA250*$Y250),"")</f>
        <v/>
      </c>
      <c r="CM250" s="129">
        <f>IFERROR(if($Y250=0,BB250*($W250/1.2),BB250*$Y250),"")</f>
        <v/>
      </c>
      <c r="CN250" s="129">
        <f>IFERROR(if($Y250=0,BC250*($W250/1.2),BC250*$Y250),"")</f>
        <v/>
      </c>
      <c r="CO250" s="130">
        <f>IFERROR(if($AA250=0,($W250/1.35)*BD250,BD250*$AA250),)</f>
        <v/>
      </c>
      <c r="CP250" s="130">
        <f>IFERROR(if($AA250=0,($W250/1.35)*BE250,BE250*$AA250),)</f>
        <v/>
      </c>
      <c r="CQ250" s="130">
        <f>IFERROR(if($AA250=0,($W250/1.35)*BF250,BF250*$AA250),)</f>
        <v/>
      </c>
      <c r="CR250" s="128">
        <f>IFERROR(if($AC250=0,($W250/0.74)*BG250,
BG250*$AC250),)</f>
        <v/>
      </c>
      <c r="CS250" s="128">
        <f>IFERROR(if($AC250=0,($W250/0.74)*BH250,
BH250*$AC250),)</f>
        <v/>
      </c>
      <c r="CT250" s="128">
        <f>IFERROR(if($AC250=0,($W250/0.74)*BI250,
BI250*$AC250),)</f>
        <v/>
      </c>
      <c r="CU250" s="128">
        <f>IFERROR(AI250*$V250,)</f>
        <v/>
      </c>
      <c r="CV250" s="128">
        <f>IFERROR(AJ250*$V250,)</f>
        <v/>
      </c>
      <c r="CW250" s="128">
        <f>IFERROR(AK250*$V250,)</f>
        <v/>
      </c>
      <c r="CX250" s="128">
        <f>IFERROR(AL250*$V250,)</f>
        <v/>
      </c>
      <c r="CY250" s="128">
        <f>IFERROR(AM250*$V250,)</f>
        <v/>
      </c>
      <c r="CZ250" s="128">
        <f>IFERROR(AN250*$V250,)</f>
        <v/>
      </c>
      <c r="DA250" s="128">
        <f>IFERROR(AO250*$V250,)</f>
        <v/>
      </c>
      <c r="DB250" s="128">
        <f>IFERROR(AP250*$V250,)</f>
        <v/>
      </c>
      <c r="DC250" s="128">
        <f>IFERROR(AQ250*$V250,)</f>
        <v/>
      </c>
      <c r="DD250" s="128">
        <f>IFERROR(AR250*$V250,)</f>
        <v/>
      </c>
      <c r="DE250" s="128">
        <f>IFERROR(AS250*$V250,)</f>
        <v/>
      </c>
      <c r="DF250" s="128">
        <f>IFERROR(AT250*$V250,)</f>
        <v/>
      </c>
      <c r="DG250" s="128">
        <f>IFERROR(AU250*$V250,)</f>
        <v/>
      </c>
      <c r="DH250" s="128">
        <f>IFERROR(AV250*$V250,)</f>
        <v/>
      </c>
      <c r="DI250" s="128">
        <f>IFERROR(AW250*$V250,)</f>
        <v/>
      </c>
      <c r="DJ250" s="128">
        <f>IFERROR(AX250*$V250,)</f>
        <v/>
      </c>
      <c r="DK250" s="128">
        <f>IFERROR(AY250*$V250,)</f>
        <v/>
      </c>
      <c r="DL250" s="128">
        <f>IFERROR(AZ250*$V250,)</f>
        <v/>
      </c>
      <c r="DM250" s="129">
        <f>IFERROR(if($X250=0,($V250/1.2)*BA250,
BA250*$X250),)</f>
        <v/>
      </c>
      <c r="DN250" s="129">
        <f>IFERROR(if($X250=0,($V250/1.2)*BB250,
BB250*$X250),)</f>
        <v/>
      </c>
      <c r="DO250" s="129">
        <f>IFERROR(if($X250=0,($V250/1.2)*BC250,
BC250*$X250),)</f>
        <v/>
      </c>
      <c r="DP250" s="130">
        <f>IFERROR(if($Z250=0,($V250/1.35)*BD250,
BD250*$Z250),)</f>
        <v/>
      </c>
      <c r="DQ250" s="130">
        <f>IFERROR(if($Z250=0,($V250/1.35)*BE250,
BE250*$Z250),)</f>
        <v/>
      </c>
      <c r="DR250" s="130">
        <f>IFERROR(if($Z250=0,($V250/1.35)*BF250,
BF250*$Z250),)</f>
        <v/>
      </c>
      <c r="DS250" s="128">
        <f>IFERROR(IF($AB250=0,($V250/0.74)*BG250,
BG250*$AB250),)</f>
        <v/>
      </c>
      <c r="DT250" s="128">
        <f>IFERROR(IF($AB250=0,($V250/0.74)*BH250,
BH250*$AB250),)</f>
        <v/>
      </c>
      <c r="DU250" s="128">
        <f>IFERROR(IF($AB250=0,($V250/0.74)*BI250,
BI250*$AB250),)</f>
        <v/>
      </c>
    </row>
    <row r="251" ht="131.25" customHeight="1" s="162">
      <c r="A251" s="115" t="n"/>
      <c r="B251" s="115" t="n"/>
      <c r="C251" s="115" t="n"/>
      <c r="D251" s="115" t="n"/>
      <c r="E251" s="115" t="n"/>
      <c r="F251" s="115" t="n"/>
      <c r="G251" s="115" t="n"/>
      <c r="H251" s="115" t="n"/>
      <c r="I251" s="115" t="n"/>
      <c r="J251" s="115" t="n"/>
      <c r="K251" s="115" t="n"/>
      <c r="L251" s="115" t="n"/>
      <c r="M251" s="115" t="n"/>
      <c r="N251" s="115" t="n"/>
      <c r="O251" s="115" t="n"/>
      <c r="P251" s="115" t="n"/>
      <c r="Q251" s="115" t="n"/>
      <c r="R251" s="115" t="n"/>
      <c r="S251" s="115" t="n"/>
      <c r="T251" s="115" t="n"/>
      <c r="U251" s="116" t="n"/>
      <c r="V251" s="116" t="n"/>
      <c r="W251" s="117" t="n"/>
      <c r="X251" s="118" t="n"/>
      <c r="Y251" s="119" t="n"/>
      <c r="Z251" s="120" t="n"/>
      <c r="AA251" s="121" t="n"/>
      <c r="AB251" s="122" t="n"/>
      <c r="AC251" s="117" t="n"/>
      <c r="AD251" s="123">
        <f>IF(SUM($AE251:$AH251)=0,"",SUM($AE251:$AH251))</f>
        <v/>
      </c>
      <c r="AE251" s="123">
        <f>iferror(IF(SUM($AI251:$AZ251)=0,"",SUM($AI251:$AZ251)),"")</f>
        <v/>
      </c>
      <c r="AF251" s="123">
        <f>iferror(IF(SUM($BA251:$BC251)=0,"",SUM($BA251:$BC251)),"")</f>
        <v/>
      </c>
      <c r="AG251" s="123">
        <f>iferror(IF(SUM($BD251:$BF251)=0,"",SUM($BD251:$BF251)),"")</f>
        <v/>
      </c>
      <c r="AH251" s="124">
        <f>iferror(IF(SUM($BG251:$BI251)=0,"",SUM($BG251:$BI251)),"")</f>
        <v/>
      </c>
      <c r="AI251" s="131" t="n"/>
      <c r="AJ251" s="132" t="n"/>
      <c r="AK251" s="132" t="n"/>
      <c r="AL251" s="132" t="n"/>
      <c r="AM251" s="132" t="n"/>
      <c r="AN251" s="132" t="n"/>
      <c r="AO251" s="132" t="n"/>
      <c r="AP251" s="132" t="n"/>
      <c r="AQ251" s="132" t="n"/>
      <c r="AR251" s="132" t="n"/>
      <c r="AS251" s="132" t="n"/>
      <c r="AT251" s="132" t="n"/>
      <c r="AU251" s="132" t="n"/>
      <c r="AV251" s="132" t="n"/>
      <c r="AW251" s="132" t="n"/>
      <c r="AX251" s="132" t="n"/>
      <c r="AY251" s="132" t="n"/>
      <c r="AZ251" s="133" t="n"/>
      <c r="BA251" s="131" t="n"/>
      <c r="BB251" s="132" t="n"/>
      <c r="BC251" s="133" t="n"/>
      <c r="BD251" s="131" t="n"/>
      <c r="BE251" s="132" t="n"/>
      <c r="BF251" s="133" t="n"/>
      <c r="BG251" s="131" t="n"/>
      <c r="BH251" s="132" t="n"/>
      <c r="BI251" s="132" t="n"/>
      <c r="BJ251" s="128">
        <f>iferror(SUM($BK251,($BL251*1.2),($BM251*1.35),($BN251*0.74)),)</f>
        <v/>
      </c>
      <c r="BK251" s="128">
        <f>IFERROR(SUM($BT251:$CK251),)</f>
        <v/>
      </c>
      <c r="BL251" s="129">
        <f>IFERROR(SUM($CL251:$CN251),)</f>
        <v/>
      </c>
      <c r="BM251" s="130">
        <f>IFERROR(SUM($CO251:$CQ251),)</f>
        <v/>
      </c>
      <c r="BN251" s="128">
        <f>IFERROR(SUM($CR251:$CT251),)</f>
        <v/>
      </c>
      <c r="BO251" s="128">
        <f>iferror(SUM($BP251,($BQ251*1.2),($BR251*1.35),($BS251*0.74)),)</f>
        <v/>
      </c>
      <c r="BP251" s="128">
        <f>IFERROR(SUM($CU251:$DL251),)</f>
        <v/>
      </c>
      <c r="BQ251" s="128">
        <f>IFERROR(SUM($DM251:$DO251),)</f>
        <v/>
      </c>
      <c r="BR251" s="128">
        <f>IFERROR(SUM($DP251:$DR251),)</f>
        <v/>
      </c>
      <c r="BS251" s="128">
        <f>IFERROR(SUM($DS251:$DU251),)</f>
        <v/>
      </c>
      <c r="BT251" s="128">
        <f>IFERROR(AI251*$W251,)</f>
        <v/>
      </c>
      <c r="BU251" s="128">
        <f>IFERROR(AJ251*$W251,)</f>
        <v/>
      </c>
      <c r="BV251" s="128">
        <f>IFERROR(AK251*$W251,)</f>
        <v/>
      </c>
      <c r="BW251" s="128">
        <f>IFERROR(AL251*$W251,)</f>
        <v/>
      </c>
      <c r="BX251" s="128">
        <f>IFERROR(AM251*$W251,)</f>
        <v/>
      </c>
      <c r="BY251" s="128">
        <f>IFERROR(AN251*$W251,)</f>
        <v/>
      </c>
      <c r="BZ251" s="128">
        <f>IFERROR(AO251*$W251,)</f>
        <v/>
      </c>
      <c r="CA251" s="128">
        <f>IFERROR(AP251*$W251,)</f>
        <v/>
      </c>
      <c r="CB251" s="128">
        <f>IFERROR(AQ251*$W251,)</f>
        <v/>
      </c>
      <c r="CC251" s="128">
        <f>IFERROR(AR251*$W251,)</f>
        <v/>
      </c>
      <c r="CD251" s="128">
        <f>IFERROR(AS251*$W251,)</f>
        <v/>
      </c>
      <c r="CE251" s="128">
        <f>IFERROR(AT251*$W251,)</f>
        <v/>
      </c>
      <c r="CF251" s="128">
        <f>IFERROR(AU251*$W251,)</f>
        <v/>
      </c>
      <c r="CG251" s="128">
        <f>IFERROR(AV251*$W251,)</f>
        <v/>
      </c>
      <c r="CH251" s="128">
        <f>IFERROR(AW251*$W251,)</f>
        <v/>
      </c>
      <c r="CI251" s="128">
        <f>IFERROR(AX251*$W251,)</f>
        <v/>
      </c>
      <c r="CJ251" s="128">
        <f>IFERROR(AY251*$W251,)</f>
        <v/>
      </c>
      <c r="CK251" s="128">
        <f>IFERROR(AZ251*$W251,)</f>
        <v/>
      </c>
      <c r="CL251" s="129">
        <f>IFERROR(if($Y251=0,BA251*($W251/1.2),BA251*$Y251),"")</f>
        <v/>
      </c>
      <c r="CM251" s="129">
        <f>IFERROR(if($Y251=0,BB251*($W251/1.2),BB251*$Y251),"")</f>
        <v/>
      </c>
      <c r="CN251" s="129">
        <f>IFERROR(if($Y251=0,BC251*($W251/1.2),BC251*$Y251),"")</f>
        <v/>
      </c>
      <c r="CO251" s="130">
        <f>IFERROR(if($AA251=0,($W251/1.35)*BD251,BD251*$AA251),)</f>
        <v/>
      </c>
      <c r="CP251" s="130">
        <f>IFERROR(if($AA251=0,($W251/1.35)*BE251,BE251*$AA251),)</f>
        <v/>
      </c>
      <c r="CQ251" s="130">
        <f>IFERROR(if($AA251=0,($W251/1.35)*BF251,BF251*$AA251),)</f>
        <v/>
      </c>
      <c r="CR251" s="128">
        <f>IFERROR(if($AC251=0,($W251/0.74)*BG251,
BG251*$AC251),)</f>
        <v/>
      </c>
      <c r="CS251" s="128">
        <f>IFERROR(if($AC251=0,($W251/0.74)*BH251,
BH251*$AC251),)</f>
        <v/>
      </c>
      <c r="CT251" s="128">
        <f>IFERROR(if($AC251=0,($W251/0.74)*BI251,
BI251*$AC251),)</f>
        <v/>
      </c>
      <c r="CU251" s="128">
        <f>IFERROR(AI251*$V251,)</f>
        <v/>
      </c>
      <c r="CV251" s="128">
        <f>IFERROR(AJ251*$V251,)</f>
        <v/>
      </c>
      <c r="CW251" s="128">
        <f>IFERROR(AK251*$V251,)</f>
        <v/>
      </c>
      <c r="CX251" s="128">
        <f>IFERROR(AL251*$V251,)</f>
        <v/>
      </c>
      <c r="CY251" s="128">
        <f>IFERROR(AM251*$V251,)</f>
        <v/>
      </c>
      <c r="CZ251" s="128">
        <f>IFERROR(AN251*$V251,)</f>
        <v/>
      </c>
      <c r="DA251" s="128">
        <f>IFERROR(AO251*$V251,)</f>
        <v/>
      </c>
      <c r="DB251" s="128">
        <f>IFERROR(AP251*$V251,)</f>
        <v/>
      </c>
      <c r="DC251" s="128">
        <f>IFERROR(AQ251*$V251,)</f>
        <v/>
      </c>
      <c r="DD251" s="128">
        <f>IFERROR(AR251*$V251,)</f>
        <v/>
      </c>
      <c r="DE251" s="128">
        <f>IFERROR(AS251*$V251,)</f>
        <v/>
      </c>
      <c r="DF251" s="128">
        <f>IFERROR(AT251*$V251,)</f>
        <v/>
      </c>
      <c r="DG251" s="128">
        <f>IFERROR(AU251*$V251,)</f>
        <v/>
      </c>
      <c r="DH251" s="128">
        <f>IFERROR(AV251*$V251,)</f>
        <v/>
      </c>
      <c r="DI251" s="128">
        <f>IFERROR(AW251*$V251,)</f>
        <v/>
      </c>
      <c r="DJ251" s="128">
        <f>IFERROR(AX251*$V251,)</f>
        <v/>
      </c>
      <c r="DK251" s="128">
        <f>IFERROR(AY251*$V251,)</f>
        <v/>
      </c>
      <c r="DL251" s="128">
        <f>IFERROR(AZ251*$V251,)</f>
        <v/>
      </c>
      <c r="DM251" s="129">
        <f>IFERROR(if($X251=0,($V251/1.2)*BA251,
BA251*$X251),)</f>
        <v/>
      </c>
      <c r="DN251" s="129">
        <f>IFERROR(if($X251=0,($V251/1.2)*BB251,
BB251*$X251),)</f>
        <v/>
      </c>
      <c r="DO251" s="129">
        <f>IFERROR(if($X251=0,($V251/1.2)*BC251,
BC251*$X251),)</f>
        <v/>
      </c>
      <c r="DP251" s="130">
        <f>IFERROR(if($Z251=0,($V251/1.35)*BD251,
BD251*$Z251),)</f>
        <v/>
      </c>
      <c r="DQ251" s="130">
        <f>IFERROR(if($Z251=0,($V251/1.35)*BE251,
BE251*$Z251),)</f>
        <v/>
      </c>
      <c r="DR251" s="130">
        <f>IFERROR(if($Z251=0,($V251/1.35)*BF251,
BF251*$Z251),)</f>
        <v/>
      </c>
      <c r="DS251" s="128">
        <f>IFERROR(IF($AB251=0,($V251/0.74)*BG251,
BG251*$AB251),)</f>
        <v/>
      </c>
      <c r="DT251" s="128">
        <f>IFERROR(IF($AB251=0,($V251/0.74)*BH251,
BH251*$AB251),)</f>
        <v/>
      </c>
      <c r="DU251" s="128">
        <f>IFERROR(IF($AB251=0,($V251/0.74)*BI251,
BI251*$AB251),)</f>
        <v/>
      </c>
    </row>
    <row r="252" ht="131.25" customHeight="1" s="162">
      <c r="A252" s="115" t="n"/>
      <c r="B252" s="115" t="n"/>
      <c r="C252" s="115" t="n"/>
      <c r="D252" s="115" t="n"/>
      <c r="E252" s="115" t="n"/>
      <c r="F252" s="115" t="n"/>
      <c r="G252" s="115" t="n"/>
      <c r="H252" s="115" t="n"/>
      <c r="I252" s="115" t="n"/>
      <c r="J252" s="115" t="n"/>
      <c r="K252" s="115" t="n"/>
      <c r="L252" s="115" t="n"/>
      <c r="M252" s="115" t="n"/>
      <c r="N252" s="115" t="n"/>
      <c r="O252" s="115" t="n"/>
      <c r="P252" s="115" t="n"/>
      <c r="Q252" s="115" t="n"/>
      <c r="R252" s="115" t="n"/>
      <c r="S252" s="115" t="n"/>
      <c r="T252" s="115" t="n"/>
      <c r="U252" s="116" t="n"/>
      <c r="V252" s="116" t="n"/>
      <c r="W252" s="117" t="n"/>
      <c r="X252" s="118" t="n"/>
      <c r="Y252" s="119" t="n"/>
      <c r="Z252" s="120" t="n"/>
      <c r="AA252" s="121" t="n"/>
      <c r="AB252" s="122" t="n"/>
      <c r="AC252" s="117" t="n"/>
      <c r="AD252" s="123">
        <f>IF(SUM($AE252:$AH252)=0,"",SUM($AE252:$AH252))</f>
        <v/>
      </c>
      <c r="AE252" s="123">
        <f>iferror(IF(SUM($AI252:$AZ252)=0,"",SUM($AI252:$AZ252)),"")</f>
        <v/>
      </c>
      <c r="AF252" s="123">
        <f>iferror(IF(SUM($BA252:$BC252)=0,"",SUM($BA252:$BC252)),"")</f>
        <v/>
      </c>
      <c r="AG252" s="123">
        <f>iferror(IF(SUM($BD252:$BF252)=0,"",SUM($BD252:$BF252)),"")</f>
        <v/>
      </c>
      <c r="AH252" s="124">
        <f>iferror(IF(SUM($BG252:$BI252)=0,"",SUM($BG252:$BI252)),"")</f>
        <v/>
      </c>
      <c r="AI252" s="131" t="n"/>
      <c r="AJ252" s="132" t="n"/>
      <c r="AK252" s="132" t="n"/>
      <c r="AL252" s="132" t="n"/>
      <c r="AM252" s="132" t="n"/>
      <c r="AN252" s="132" t="n"/>
      <c r="AO252" s="132" t="n"/>
      <c r="AP252" s="132" t="n"/>
      <c r="AQ252" s="132" t="n"/>
      <c r="AR252" s="132" t="n"/>
      <c r="AS252" s="132" t="n"/>
      <c r="AT252" s="132" t="n"/>
      <c r="AU252" s="132" t="n"/>
      <c r="AV252" s="132" t="n"/>
      <c r="AW252" s="132" t="n"/>
      <c r="AX252" s="132" t="n"/>
      <c r="AY252" s="132" t="n"/>
      <c r="AZ252" s="133" t="n"/>
      <c r="BA252" s="131" t="n"/>
      <c r="BB252" s="132" t="n"/>
      <c r="BC252" s="133" t="n"/>
      <c r="BD252" s="131" t="n"/>
      <c r="BE252" s="132" t="n"/>
      <c r="BF252" s="133" t="n"/>
      <c r="BG252" s="131" t="n"/>
      <c r="BH252" s="132" t="n"/>
      <c r="BI252" s="132" t="n"/>
      <c r="BJ252" s="128">
        <f>iferror(SUM($BK252,($BL252*1.2),($BM252*1.35),($BN252*0.74)),)</f>
        <v/>
      </c>
      <c r="BK252" s="128">
        <f>IFERROR(SUM($BT252:$CK252),)</f>
        <v/>
      </c>
      <c r="BL252" s="129">
        <f>IFERROR(SUM($CL252:$CN252),)</f>
        <v/>
      </c>
      <c r="BM252" s="130">
        <f>IFERROR(SUM($CO252:$CQ252),)</f>
        <v/>
      </c>
      <c r="BN252" s="128">
        <f>IFERROR(SUM($CR252:$CT252),)</f>
        <v/>
      </c>
      <c r="BO252" s="128">
        <f>iferror(SUM($BP252,($BQ252*1.2),($BR252*1.35),($BS252*0.74)),)</f>
        <v/>
      </c>
      <c r="BP252" s="128">
        <f>IFERROR(SUM($CU252:$DL252),)</f>
        <v/>
      </c>
      <c r="BQ252" s="128">
        <f>IFERROR(SUM($DM252:$DO252),)</f>
        <v/>
      </c>
      <c r="BR252" s="128">
        <f>IFERROR(SUM($DP252:$DR252),)</f>
        <v/>
      </c>
      <c r="BS252" s="128">
        <f>IFERROR(SUM($DS252:$DU252),)</f>
        <v/>
      </c>
      <c r="BT252" s="128">
        <f>IFERROR(AI252*$W252,)</f>
        <v/>
      </c>
      <c r="BU252" s="128">
        <f>IFERROR(AJ252*$W252,)</f>
        <v/>
      </c>
      <c r="BV252" s="128">
        <f>IFERROR(AK252*$W252,)</f>
        <v/>
      </c>
      <c r="BW252" s="128">
        <f>IFERROR(AL252*$W252,)</f>
        <v/>
      </c>
      <c r="BX252" s="128">
        <f>IFERROR(AM252*$W252,)</f>
        <v/>
      </c>
      <c r="BY252" s="128">
        <f>IFERROR(AN252*$W252,)</f>
        <v/>
      </c>
      <c r="BZ252" s="128">
        <f>IFERROR(AO252*$W252,)</f>
        <v/>
      </c>
      <c r="CA252" s="128">
        <f>IFERROR(AP252*$W252,)</f>
        <v/>
      </c>
      <c r="CB252" s="128">
        <f>IFERROR(AQ252*$W252,)</f>
        <v/>
      </c>
      <c r="CC252" s="128">
        <f>IFERROR(AR252*$W252,)</f>
        <v/>
      </c>
      <c r="CD252" s="128">
        <f>IFERROR(AS252*$W252,)</f>
        <v/>
      </c>
      <c r="CE252" s="128">
        <f>IFERROR(AT252*$W252,)</f>
        <v/>
      </c>
      <c r="CF252" s="128">
        <f>IFERROR(AU252*$W252,)</f>
        <v/>
      </c>
      <c r="CG252" s="128">
        <f>IFERROR(AV252*$W252,)</f>
        <v/>
      </c>
      <c r="CH252" s="128">
        <f>IFERROR(AW252*$W252,)</f>
        <v/>
      </c>
      <c r="CI252" s="128">
        <f>IFERROR(AX252*$W252,)</f>
        <v/>
      </c>
      <c r="CJ252" s="128">
        <f>IFERROR(AY252*$W252,)</f>
        <v/>
      </c>
      <c r="CK252" s="128">
        <f>IFERROR(AZ252*$W252,)</f>
        <v/>
      </c>
      <c r="CL252" s="129">
        <f>IFERROR(if($Y252=0,BA252*($W252/1.2),BA252*$Y252),"")</f>
        <v/>
      </c>
      <c r="CM252" s="129">
        <f>IFERROR(if($Y252=0,BB252*($W252/1.2),BB252*$Y252),"")</f>
        <v/>
      </c>
      <c r="CN252" s="129">
        <f>IFERROR(if($Y252=0,BC252*($W252/1.2),BC252*$Y252),"")</f>
        <v/>
      </c>
      <c r="CO252" s="130">
        <f>IFERROR(if($AA252=0,($W252/1.35)*BD252,BD252*$AA252),)</f>
        <v/>
      </c>
      <c r="CP252" s="130">
        <f>IFERROR(if($AA252=0,($W252/1.35)*BE252,BE252*$AA252),)</f>
        <v/>
      </c>
      <c r="CQ252" s="130">
        <f>IFERROR(if($AA252=0,($W252/1.35)*BF252,BF252*$AA252),)</f>
        <v/>
      </c>
      <c r="CR252" s="128">
        <f>IFERROR(if($AC252=0,($W252/0.74)*BG252,
BG252*$AC252),)</f>
        <v/>
      </c>
      <c r="CS252" s="128">
        <f>IFERROR(if($AC252=0,($W252/0.74)*BH252,
BH252*$AC252),)</f>
        <v/>
      </c>
      <c r="CT252" s="128">
        <f>IFERROR(if($AC252=0,($W252/0.74)*BI252,
BI252*$AC252),)</f>
        <v/>
      </c>
      <c r="CU252" s="128">
        <f>IFERROR(AI252*$V252,)</f>
        <v/>
      </c>
      <c r="CV252" s="128">
        <f>IFERROR(AJ252*$V252,)</f>
        <v/>
      </c>
      <c r="CW252" s="128">
        <f>IFERROR(AK252*$V252,)</f>
        <v/>
      </c>
      <c r="CX252" s="128">
        <f>IFERROR(AL252*$V252,)</f>
        <v/>
      </c>
      <c r="CY252" s="128">
        <f>IFERROR(AM252*$V252,)</f>
        <v/>
      </c>
      <c r="CZ252" s="128">
        <f>IFERROR(AN252*$V252,)</f>
        <v/>
      </c>
      <c r="DA252" s="128">
        <f>IFERROR(AO252*$V252,)</f>
        <v/>
      </c>
      <c r="DB252" s="128">
        <f>IFERROR(AP252*$V252,)</f>
        <v/>
      </c>
      <c r="DC252" s="128">
        <f>IFERROR(AQ252*$V252,)</f>
        <v/>
      </c>
      <c r="DD252" s="128">
        <f>IFERROR(AR252*$V252,)</f>
        <v/>
      </c>
      <c r="DE252" s="128">
        <f>IFERROR(AS252*$V252,)</f>
        <v/>
      </c>
      <c r="DF252" s="128">
        <f>IFERROR(AT252*$V252,)</f>
        <v/>
      </c>
      <c r="DG252" s="128">
        <f>IFERROR(AU252*$V252,)</f>
        <v/>
      </c>
      <c r="DH252" s="128">
        <f>IFERROR(AV252*$V252,)</f>
        <v/>
      </c>
      <c r="DI252" s="128">
        <f>IFERROR(AW252*$V252,)</f>
        <v/>
      </c>
      <c r="DJ252" s="128">
        <f>IFERROR(AX252*$V252,)</f>
        <v/>
      </c>
      <c r="DK252" s="128">
        <f>IFERROR(AY252*$V252,)</f>
        <v/>
      </c>
      <c r="DL252" s="128">
        <f>IFERROR(AZ252*$V252,)</f>
        <v/>
      </c>
      <c r="DM252" s="129">
        <f>IFERROR(if($X252=0,($V252/1.2)*BA252,
BA252*$X252),)</f>
        <v/>
      </c>
      <c r="DN252" s="129">
        <f>IFERROR(if($X252=0,($V252/1.2)*BB252,
BB252*$X252),)</f>
        <v/>
      </c>
      <c r="DO252" s="129">
        <f>IFERROR(if($X252=0,($V252/1.2)*BC252,
BC252*$X252),)</f>
        <v/>
      </c>
      <c r="DP252" s="130">
        <f>IFERROR(if($Z252=0,($V252/1.35)*BD252,
BD252*$Z252),)</f>
        <v/>
      </c>
      <c r="DQ252" s="130">
        <f>IFERROR(if($Z252=0,($V252/1.35)*BE252,
BE252*$Z252),)</f>
        <v/>
      </c>
      <c r="DR252" s="130">
        <f>IFERROR(if($Z252=0,($V252/1.35)*BF252,
BF252*$Z252),)</f>
        <v/>
      </c>
      <c r="DS252" s="128">
        <f>IFERROR(IF($AB252=0,($V252/0.74)*BG252,
BG252*$AB252),)</f>
        <v/>
      </c>
      <c r="DT252" s="128">
        <f>IFERROR(IF($AB252=0,($V252/0.74)*BH252,
BH252*$AB252),)</f>
        <v/>
      </c>
      <c r="DU252" s="128">
        <f>IFERROR(IF($AB252=0,($V252/0.74)*BI252,
BI252*$AB252),)</f>
        <v/>
      </c>
    </row>
    <row r="253" ht="131.25" customHeight="1" s="162">
      <c r="A253" s="115" t="n"/>
      <c r="B253" s="115" t="n"/>
      <c r="C253" s="115" t="n"/>
      <c r="D253" s="115" t="n"/>
      <c r="E253" s="115" t="n"/>
      <c r="F253" s="115" t="n"/>
      <c r="G253" s="115" t="n"/>
      <c r="H253" s="115" t="n"/>
      <c r="I253" s="115" t="n"/>
      <c r="J253" s="115" t="n"/>
      <c r="K253" s="115" t="n"/>
      <c r="L253" s="115" t="n"/>
      <c r="M253" s="115" t="n"/>
      <c r="N253" s="115" t="n"/>
      <c r="O253" s="115" t="n"/>
      <c r="P253" s="115" t="n"/>
      <c r="Q253" s="115" t="n"/>
      <c r="R253" s="115" t="n"/>
      <c r="S253" s="115" t="n"/>
      <c r="T253" s="115" t="n"/>
      <c r="U253" s="116" t="n"/>
      <c r="V253" s="116" t="n"/>
      <c r="W253" s="117" t="n"/>
      <c r="X253" s="118" t="n"/>
      <c r="Y253" s="119" t="n"/>
      <c r="Z253" s="120" t="n"/>
      <c r="AA253" s="121" t="n"/>
      <c r="AB253" s="122" t="n"/>
      <c r="AC253" s="117" t="n"/>
      <c r="AD253" s="123">
        <f>IF(SUM($AE253:$AH253)=0,"",SUM($AE253:$AH253))</f>
        <v/>
      </c>
      <c r="AE253" s="123">
        <f>iferror(IF(SUM($AI253:$AZ253)=0,"",SUM($AI253:$AZ253)),"")</f>
        <v/>
      </c>
      <c r="AF253" s="123">
        <f>iferror(IF(SUM($BA253:$BC253)=0,"",SUM($BA253:$BC253)),"")</f>
        <v/>
      </c>
      <c r="AG253" s="123">
        <f>iferror(IF(SUM($BD253:$BF253)=0,"",SUM($BD253:$BF253)),"")</f>
        <v/>
      </c>
      <c r="AH253" s="124">
        <f>iferror(IF(SUM($BG253:$BI253)=0,"",SUM($BG253:$BI253)),"")</f>
        <v/>
      </c>
      <c r="AI253" s="131" t="n"/>
      <c r="AJ253" s="132" t="n"/>
      <c r="AK253" s="132" t="n"/>
      <c r="AL253" s="132" t="n"/>
      <c r="AM253" s="132" t="n"/>
      <c r="AN253" s="132" t="n"/>
      <c r="AO253" s="132" t="n"/>
      <c r="AP253" s="132" t="n"/>
      <c r="AQ253" s="132" t="n"/>
      <c r="AR253" s="132" t="n"/>
      <c r="AS253" s="132" t="n"/>
      <c r="AT253" s="132" t="n"/>
      <c r="AU253" s="132" t="n"/>
      <c r="AV253" s="132" t="n"/>
      <c r="AW253" s="132" t="n"/>
      <c r="AX253" s="132" t="n"/>
      <c r="AY253" s="132" t="n"/>
      <c r="AZ253" s="133" t="n"/>
      <c r="BA253" s="131" t="n"/>
      <c r="BB253" s="132" t="n"/>
      <c r="BC253" s="133" t="n"/>
      <c r="BD253" s="131" t="n"/>
      <c r="BE253" s="132" t="n"/>
      <c r="BF253" s="133" t="n"/>
      <c r="BG253" s="131" t="n"/>
      <c r="BH253" s="132" t="n"/>
      <c r="BI253" s="132" t="n"/>
      <c r="BJ253" s="128">
        <f>iferror(SUM($BK253,($BL253*1.2),($BM253*1.35),($BN253*0.74)),)</f>
        <v/>
      </c>
      <c r="BK253" s="128">
        <f>IFERROR(SUM($BT253:$CK253),)</f>
        <v/>
      </c>
      <c r="BL253" s="129">
        <f>IFERROR(SUM($CL253:$CN253),)</f>
        <v/>
      </c>
      <c r="BM253" s="130">
        <f>IFERROR(SUM($CO253:$CQ253),)</f>
        <v/>
      </c>
      <c r="BN253" s="128">
        <f>IFERROR(SUM($CR253:$CT253),)</f>
        <v/>
      </c>
      <c r="BO253" s="128">
        <f>iferror(SUM($BP253,($BQ253*1.2),($BR253*1.35),($BS253*0.74)),)</f>
        <v/>
      </c>
      <c r="BP253" s="128">
        <f>IFERROR(SUM($CU253:$DL253),)</f>
        <v/>
      </c>
      <c r="BQ253" s="128">
        <f>IFERROR(SUM($DM253:$DO253),)</f>
        <v/>
      </c>
      <c r="BR253" s="128">
        <f>IFERROR(SUM($DP253:$DR253),)</f>
        <v/>
      </c>
      <c r="BS253" s="128">
        <f>IFERROR(SUM($DS253:$DU253),)</f>
        <v/>
      </c>
      <c r="BT253" s="128">
        <f>IFERROR(AI253*$W253,)</f>
        <v/>
      </c>
      <c r="BU253" s="128">
        <f>IFERROR(AJ253*$W253,)</f>
        <v/>
      </c>
      <c r="BV253" s="128">
        <f>IFERROR(AK253*$W253,)</f>
        <v/>
      </c>
      <c r="BW253" s="128">
        <f>IFERROR(AL253*$W253,)</f>
        <v/>
      </c>
      <c r="BX253" s="128">
        <f>IFERROR(AM253*$W253,)</f>
        <v/>
      </c>
      <c r="BY253" s="128">
        <f>IFERROR(AN253*$W253,)</f>
        <v/>
      </c>
      <c r="BZ253" s="128">
        <f>IFERROR(AO253*$W253,)</f>
        <v/>
      </c>
      <c r="CA253" s="128">
        <f>IFERROR(AP253*$W253,)</f>
        <v/>
      </c>
      <c r="CB253" s="128">
        <f>IFERROR(AQ253*$W253,)</f>
        <v/>
      </c>
      <c r="CC253" s="128">
        <f>IFERROR(AR253*$W253,)</f>
        <v/>
      </c>
      <c r="CD253" s="128">
        <f>IFERROR(AS253*$W253,)</f>
        <v/>
      </c>
      <c r="CE253" s="128">
        <f>IFERROR(AT253*$W253,)</f>
        <v/>
      </c>
      <c r="CF253" s="128">
        <f>IFERROR(AU253*$W253,)</f>
        <v/>
      </c>
      <c r="CG253" s="128">
        <f>IFERROR(AV253*$W253,)</f>
        <v/>
      </c>
      <c r="CH253" s="128">
        <f>IFERROR(AW253*$W253,)</f>
        <v/>
      </c>
      <c r="CI253" s="128">
        <f>IFERROR(AX253*$W253,)</f>
        <v/>
      </c>
      <c r="CJ253" s="128">
        <f>IFERROR(AY253*$W253,)</f>
        <v/>
      </c>
      <c r="CK253" s="128">
        <f>IFERROR(AZ253*$W253,)</f>
        <v/>
      </c>
      <c r="CL253" s="129">
        <f>IFERROR(if($Y253=0,BA253*($W253/1.2),BA253*$Y253),"")</f>
        <v/>
      </c>
      <c r="CM253" s="129">
        <f>IFERROR(if($Y253=0,BB253*($W253/1.2),BB253*$Y253),"")</f>
        <v/>
      </c>
      <c r="CN253" s="129">
        <f>IFERROR(if($Y253=0,BC253*($W253/1.2),BC253*$Y253),"")</f>
        <v/>
      </c>
      <c r="CO253" s="130">
        <f>IFERROR(if($AA253=0,($W253/1.35)*BD253,BD253*$AA253),)</f>
        <v/>
      </c>
      <c r="CP253" s="130">
        <f>IFERROR(if($AA253=0,($W253/1.35)*BE253,BE253*$AA253),)</f>
        <v/>
      </c>
      <c r="CQ253" s="130">
        <f>IFERROR(if($AA253=0,($W253/1.35)*BF253,BF253*$AA253),)</f>
        <v/>
      </c>
      <c r="CR253" s="128">
        <f>IFERROR(if($AC253=0,($W253/0.74)*BG253,
BG253*$AC253),)</f>
        <v/>
      </c>
      <c r="CS253" s="128">
        <f>IFERROR(if($AC253=0,($W253/0.74)*BH253,
BH253*$AC253),)</f>
        <v/>
      </c>
      <c r="CT253" s="128">
        <f>IFERROR(if($AC253=0,($W253/0.74)*BI253,
BI253*$AC253),)</f>
        <v/>
      </c>
      <c r="CU253" s="128">
        <f>IFERROR(AI253*$V253,)</f>
        <v/>
      </c>
      <c r="CV253" s="128">
        <f>IFERROR(AJ253*$V253,)</f>
        <v/>
      </c>
      <c r="CW253" s="128">
        <f>IFERROR(AK253*$V253,)</f>
        <v/>
      </c>
      <c r="CX253" s="128">
        <f>IFERROR(AL253*$V253,)</f>
        <v/>
      </c>
      <c r="CY253" s="128">
        <f>IFERROR(AM253*$V253,)</f>
        <v/>
      </c>
      <c r="CZ253" s="128">
        <f>IFERROR(AN253*$V253,)</f>
        <v/>
      </c>
      <c r="DA253" s="128">
        <f>IFERROR(AO253*$V253,)</f>
        <v/>
      </c>
      <c r="DB253" s="128">
        <f>IFERROR(AP253*$V253,)</f>
        <v/>
      </c>
      <c r="DC253" s="128">
        <f>IFERROR(AQ253*$V253,)</f>
        <v/>
      </c>
      <c r="DD253" s="128">
        <f>IFERROR(AR253*$V253,)</f>
        <v/>
      </c>
      <c r="DE253" s="128">
        <f>IFERROR(AS253*$V253,)</f>
        <v/>
      </c>
      <c r="DF253" s="128">
        <f>IFERROR(AT253*$V253,)</f>
        <v/>
      </c>
      <c r="DG253" s="128">
        <f>IFERROR(AU253*$V253,)</f>
        <v/>
      </c>
      <c r="DH253" s="128">
        <f>IFERROR(AV253*$V253,)</f>
        <v/>
      </c>
      <c r="DI253" s="128">
        <f>IFERROR(AW253*$V253,)</f>
        <v/>
      </c>
      <c r="DJ253" s="128">
        <f>IFERROR(AX253*$V253,)</f>
        <v/>
      </c>
      <c r="DK253" s="128">
        <f>IFERROR(AY253*$V253,)</f>
        <v/>
      </c>
      <c r="DL253" s="128">
        <f>IFERROR(AZ253*$V253,)</f>
        <v/>
      </c>
      <c r="DM253" s="129">
        <f>IFERROR(if($X253=0,($V253/1.2)*BA253,
BA253*$X253),)</f>
        <v/>
      </c>
      <c r="DN253" s="129">
        <f>IFERROR(if($X253=0,($V253/1.2)*BB253,
BB253*$X253),)</f>
        <v/>
      </c>
      <c r="DO253" s="129">
        <f>IFERROR(if($X253=0,($V253/1.2)*BC253,
BC253*$X253),)</f>
        <v/>
      </c>
      <c r="DP253" s="130">
        <f>IFERROR(if($Z253=0,($V253/1.35)*BD253,
BD253*$Z253),)</f>
        <v/>
      </c>
      <c r="DQ253" s="130">
        <f>IFERROR(if($Z253=0,($V253/1.35)*BE253,
BE253*$Z253),)</f>
        <v/>
      </c>
      <c r="DR253" s="130">
        <f>IFERROR(if($Z253=0,($V253/1.35)*BF253,
BF253*$Z253),)</f>
        <v/>
      </c>
      <c r="DS253" s="128">
        <f>IFERROR(IF($AB253=0,($V253/0.74)*BG253,
BG253*$AB253),)</f>
        <v/>
      </c>
      <c r="DT253" s="128">
        <f>IFERROR(IF($AB253=0,($V253/0.74)*BH253,
BH253*$AB253),)</f>
        <v/>
      </c>
      <c r="DU253" s="128">
        <f>IFERROR(IF($AB253=0,($V253/0.74)*BI253,
BI253*$AB253),)</f>
        <v/>
      </c>
    </row>
    <row r="254" ht="131.25" customHeight="1" s="162">
      <c r="A254" s="115" t="n"/>
      <c r="B254" s="115" t="n"/>
      <c r="C254" s="115" t="n"/>
      <c r="D254" s="115" t="n"/>
      <c r="E254" s="115" t="n"/>
      <c r="F254" s="115" t="n"/>
      <c r="G254" s="115" t="n"/>
      <c r="H254" s="115" t="n"/>
      <c r="I254" s="115" t="n"/>
      <c r="J254" s="115" t="n"/>
      <c r="K254" s="115" t="n"/>
      <c r="L254" s="115" t="n"/>
      <c r="M254" s="115" t="n"/>
      <c r="N254" s="115" t="n"/>
      <c r="O254" s="115" t="n"/>
      <c r="P254" s="115" t="n"/>
      <c r="Q254" s="115" t="n"/>
      <c r="R254" s="115" t="n"/>
      <c r="S254" s="115" t="n"/>
      <c r="T254" s="115" t="n"/>
      <c r="U254" s="116" t="n"/>
      <c r="V254" s="116" t="n"/>
      <c r="W254" s="117" t="n"/>
      <c r="X254" s="118" t="n"/>
      <c r="Y254" s="119" t="n"/>
      <c r="Z254" s="120" t="n"/>
      <c r="AA254" s="121" t="n"/>
      <c r="AB254" s="122" t="n"/>
      <c r="AC254" s="117" t="n"/>
      <c r="AD254" s="123">
        <f>IF(SUM($AE254:$AH254)=0,"",SUM($AE254:$AH254))</f>
        <v/>
      </c>
      <c r="AE254" s="123">
        <f>iferror(IF(SUM($AI254:$AZ254)=0,"",SUM($AI254:$AZ254)),"")</f>
        <v/>
      </c>
      <c r="AF254" s="123">
        <f>iferror(IF(SUM($BA254:$BC254)=0,"",SUM($BA254:$BC254)),"")</f>
        <v/>
      </c>
      <c r="AG254" s="123">
        <f>iferror(IF(SUM($BD254:$BF254)=0,"",SUM($BD254:$BF254)),"")</f>
        <v/>
      </c>
      <c r="AH254" s="124">
        <f>iferror(IF(SUM($BG254:$BI254)=0,"",SUM($BG254:$BI254)),"")</f>
        <v/>
      </c>
      <c r="AI254" s="131" t="n"/>
      <c r="AJ254" s="132" t="n"/>
      <c r="AK254" s="132" t="n"/>
      <c r="AL254" s="132" t="n"/>
      <c r="AM254" s="132" t="n"/>
      <c r="AN254" s="132" t="n"/>
      <c r="AO254" s="132" t="n"/>
      <c r="AP254" s="132" t="n"/>
      <c r="AQ254" s="132" t="n"/>
      <c r="AR254" s="132" t="n"/>
      <c r="AS254" s="132" t="n"/>
      <c r="AT254" s="132" t="n"/>
      <c r="AU254" s="132" t="n"/>
      <c r="AV254" s="132" t="n"/>
      <c r="AW254" s="132" t="n"/>
      <c r="AX254" s="132" t="n"/>
      <c r="AY254" s="132" t="n"/>
      <c r="AZ254" s="133" t="n"/>
      <c r="BA254" s="131" t="n"/>
      <c r="BB254" s="132" t="n"/>
      <c r="BC254" s="133" t="n"/>
      <c r="BD254" s="131" t="n"/>
      <c r="BE254" s="132" t="n"/>
      <c r="BF254" s="133" t="n"/>
      <c r="BG254" s="131" t="n"/>
      <c r="BH254" s="132" t="n"/>
      <c r="BI254" s="132" t="n"/>
      <c r="BJ254" s="128">
        <f>iferror(SUM($BK254,($BL254*1.2),($BM254*1.35),($BN254*0.74)),)</f>
        <v/>
      </c>
      <c r="BK254" s="128">
        <f>IFERROR(SUM($BT254:$CK254),)</f>
        <v/>
      </c>
      <c r="BL254" s="129">
        <f>IFERROR(SUM($CL254:$CN254),)</f>
        <v/>
      </c>
      <c r="BM254" s="130">
        <f>IFERROR(SUM($CO254:$CQ254),)</f>
        <v/>
      </c>
      <c r="BN254" s="128">
        <f>IFERROR(SUM($CR254:$CT254),)</f>
        <v/>
      </c>
      <c r="BO254" s="128">
        <f>iferror(SUM($BP254,($BQ254*1.2),($BR254*1.35),($BS254*0.74)),)</f>
        <v/>
      </c>
      <c r="BP254" s="128">
        <f>IFERROR(SUM($CU254:$DL254),)</f>
        <v/>
      </c>
      <c r="BQ254" s="128">
        <f>IFERROR(SUM($DM254:$DO254),)</f>
        <v/>
      </c>
      <c r="BR254" s="128">
        <f>IFERROR(SUM($DP254:$DR254),)</f>
        <v/>
      </c>
      <c r="BS254" s="128">
        <f>IFERROR(SUM($DS254:$DU254),)</f>
        <v/>
      </c>
      <c r="BT254" s="128">
        <f>IFERROR(AI254*$W254,)</f>
        <v/>
      </c>
      <c r="BU254" s="128">
        <f>IFERROR(AJ254*$W254,)</f>
        <v/>
      </c>
      <c r="BV254" s="128">
        <f>IFERROR(AK254*$W254,)</f>
        <v/>
      </c>
      <c r="BW254" s="128">
        <f>IFERROR(AL254*$W254,)</f>
        <v/>
      </c>
      <c r="BX254" s="128">
        <f>IFERROR(AM254*$W254,)</f>
        <v/>
      </c>
      <c r="BY254" s="128">
        <f>IFERROR(AN254*$W254,)</f>
        <v/>
      </c>
      <c r="BZ254" s="128">
        <f>IFERROR(AO254*$W254,)</f>
        <v/>
      </c>
      <c r="CA254" s="128">
        <f>IFERROR(AP254*$W254,)</f>
        <v/>
      </c>
      <c r="CB254" s="128">
        <f>IFERROR(AQ254*$W254,)</f>
        <v/>
      </c>
      <c r="CC254" s="128">
        <f>IFERROR(AR254*$W254,)</f>
        <v/>
      </c>
      <c r="CD254" s="128">
        <f>IFERROR(AS254*$W254,)</f>
        <v/>
      </c>
      <c r="CE254" s="128">
        <f>IFERROR(AT254*$W254,)</f>
        <v/>
      </c>
      <c r="CF254" s="128">
        <f>IFERROR(AU254*$W254,)</f>
        <v/>
      </c>
      <c r="CG254" s="128">
        <f>IFERROR(AV254*$W254,)</f>
        <v/>
      </c>
      <c r="CH254" s="128">
        <f>IFERROR(AW254*$W254,)</f>
        <v/>
      </c>
      <c r="CI254" s="128">
        <f>IFERROR(AX254*$W254,)</f>
        <v/>
      </c>
      <c r="CJ254" s="128">
        <f>IFERROR(AY254*$W254,)</f>
        <v/>
      </c>
      <c r="CK254" s="128">
        <f>IFERROR(AZ254*$W254,)</f>
        <v/>
      </c>
      <c r="CL254" s="129">
        <f>IFERROR(if($Y254=0,BA254*($W254/1.2),BA254*$Y254),"")</f>
        <v/>
      </c>
      <c r="CM254" s="129">
        <f>IFERROR(if($Y254=0,BB254*($W254/1.2),BB254*$Y254),"")</f>
        <v/>
      </c>
      <c r="CN254" s="129">
        <f>IFERROR(if($Y254=0,BC254*($W254/1.2),BC254*$Y254),"")</f>
        <v/>
      </c>
      <c r="CO254" s="130">
        <f>IFERROR(if($AA254=0,($W254/1.35)*BD254,BD254*$AA254),)</f>
        <v/>
      </c>
      <c r="CP254" s="130">
        <f>IFERROR(if($AA254=0,($W254/1.35)*BE254,BE254*$AA254),)</f>
        <v/>
      </c>
      <c r="CQ254" s="130">
        <f>IFERROR(if($AA254=0,($W254/1.35)*BF254,BF254*$AA254),)</f>
        <v/>
      </c>
      <c r="CR254" s="128">
        <f>IFERROR(if($AC254=0,($W254/0.74)*BG254,
BG254*$AC254),)</f>
        <v/>
      </c>
      <c r="CS254" s="128">
        <f>IFERROR(if($AC254=0,($W254/0.74)*BH254,
BH254*$AC254),)</f>
        <v/>
      </c>
      <c r="CT254" s="128">
        <f>IFERROR(if($AC254=0,($W254/0.74)*BI254,
BI254*$AC254),)</f>
        <v/>
      </c>
      <c r="CU254" s="128">
        <f>IFERROR(AI254*$V254,)</f>
        <v/>
      </c>
      <c r="CV254" s="128">
        <f>IFERROR(AJ254*$V254,)</f>
        <v/>
      </c>
      <c r="CW254" s="128">
        <f>IFERROR(AK254*$V254,)</f>
        <v/>
      </c>
      <c r="CX254" s="128">
        <f>IFERROR(AL254*$V254,)</f>
        <v/>
      </c>
      <c r="CY254" s="128">
        <f>IFERROR(AM254*$V254,)</f>
        <v/>
      </c>
      <c r="CZ254" s="128">
        <f>IFERROR(AN254*$V254,)</f>
        <v/>
      </c>
      <c r="DA254" s="128">
        <f>IFERROR(AO254*$V254,)</f>
        <v/>
      </c>
      <c r="DB254" s="128">
        <f>IFERROR(AP254*$V254,)</f>
        <v/>
      </c>
      <c r="DC254" s="128">
        <f>IFERROR(AQ254*$V254,)</f>
        <v/>
      </c>
      <c r="DD254" s="128">
        <f>IFERROR(AR254*$V254,)</f>
        <v/>
      </c>
      <c r="DE254" s="128">
        <f>IFERROR(AS254*$V254,)</f>
        <v/>
      </c>
      <c r="DF254" s="128">
        <f>IFERROR(AT254*$V254,)</f>
        <v/>
      </c>
      <c r="DG254" s="128">
        <f>IFERROR(AU254*$V254,)</f>
        <v/>
      </c>
      <c r="DH254" s="128">
        <f>IFERROR(AV254*$V254,)</f>
        <v/>
      </c>
      <c r="DI254" s="128">
        <f>IFERROR(AW254*$V254,)</f>
        <v/>
      </c>
      <c r="DJ254" s="128">
        <f>IFERROR(AX254*$V254,)</f>
        <v/>
      </c>
      <c r="DK254" s="128">
        <f>IFERROR(AY254*$V254,)</f>
        <v/>
      </c>
      <c r="DL254" s="128">
        <f>IFERROR(AZ254*$V254,)</f>
        <v/>
      </c>
      <c r="DM254" s="129">
        <f>IFERROR(if($X254=0,($V254/1.2)*BA254,
BA254*$X254),)</f>
        <v/>
      </c>
      <c r="DN254" s="129">
        <f>IFERROR(if($X254=0,($V254/1.2)*BB254,
BB254*$X254),)</f>
        <v/>
      </c>
      <c r="DO254" s="129">
        <f>IFERROR(if($X254=0,($V254/1.2)*BC254,
BC254*$X254),)</f>
        <v/>
      </c>
      <c r="DP254" s="130">
        <f>IFERROR(if($Z254=0,($V254/1.35)*BD254,
BD254*$Z254),)</f>
        <v/>
      </c>
      <c r="DQ254" s="130">
        <f>IFERROR(if($Z254=0,($V254/1.35)*BE254,
BE254*$Z254),)</f>
        <v/>
      </c>
      <c r="DR254" s="130">
        <f>IFERROR(if($Z254=0,($V254/1.35)*BF254,
BF254*$Z254),)</f>
        <v/>
      </c>
      <c r="DS254" s="128">
        <f>IFERROR(IF($AB254=0,($V254/0.74)*BG254,
BG254*$AB254),)</f>
        <v/>
      </c>
      <c r="DT254" s="128">
        <f>IFERROR(IF($AB254=0,($V254/0.74)*BH254,
BH254*$AB254),)</f>
        <v/>
      </c>
      <c r="DU254" s="128">
        <f>IFERROR(IF($AB254=0,($V254/0.74)*BI254,
BI254*$AB254),)</f>
        <v/>
      </c>
    </row>
    <row r="255" ht="131.25" customHeight="1" s="162">
      <c r="A255" s="115" t="n"/>
      <c r="B255" s="115" t="n"/>
      <c r="C255" s="115" t="n"/>
      <c r="D255" s="115" t="n"/>
      <c r="E255" s="115" t="n"/>
      <c r="F255" s="115" t="n"/>
      <c r="G255" s="115" t="n"/>
      <c r="H255" s="115" t="n"/>
      <c r="I255" s="115" t="n"/>
      <c r="J255" s="115" t="n"/>
      <c r="K255" s="115" t="n"/>
      <c r="L255" s="115" t="n"/>
      <c r="M255" s="115" t="n"/>
      <c r="N255" s="115" t="n"/>
      <c r="O255" s="115" t="n"/>
      <c r="P255" s="115" t="n"/>
      <c r="Q255" s="115" t="n"/>
      <c r="R255" s="115" t="n"/>
      <c r="S255" s="115" t="n"/>
      <c r="T255" s="115" t="n"/>
      <c r="U255" s="116" t="n"/>
      <c r="V255" s="116" t="n"/>
      <c r="W255" s="117" t="n"/>
      <c r="X255" s="118" t="n"/>
      <c r="Y255" s="119" t="n"/>
      <c r="Z255" s="120" t="n"/>
      <c r="AA255" s="121" t="n"/>
      <c r="AB255" s="122" t="n"/>
      <c r="AC255" s="117" t="n"/>
      <c r="AD255" s="123">
        <f>IF(SUM($AE255:$AH255)=0,"",SUM($AE255:$AH255))</f>
        <v/>
      </c>
      <c r="AE255" s="123">
        <f>iferror(IF(SUM($AI255:$AZ255)=0,"",SUM($AI255:$AZ255)),"")</f>
        <v/>
      </c>
      <c r="AF255" s="123">
        <f>iferror(IF(SUM($BA255:$BC255)=0,"",SUM($BA255:$BC255)),"")</f>
        <v/>
      </c>
      <c r="AG255" s="123">
        <f>iferror(IF(SUM($BD255:$BF255)=0,"",SUM($BD255:$BF255)),"")</f>
        <v/>
      </c>
      <c r="AH255" s="124">
        <f>iferror(IF(SUM($BG255:$BI255)=0,"",SUM($BG255:$BI255)),"")</f>
        <v/>
      </c>
      <c r="AI255" s="131" t="n"/>
      <c r="AJ255" s="132" t="n"/>
      <c r="AK255" s="132" t="n"/>
      <c r="AL255" s="132" t="n"/>
      <c r="AM255" s="132" t="n"/>
      <c r="AN255" s="132" t="n"/>
      <c r="AO255" s="132" t="n"/>
      <c r="AP255" s="132" t="n"/>
      <c r="AQ255" s="132" t="n"/>
      <c r="AR255" s="132" t="n"/>
      <c r="AS255" s="132" t="n"/>
      <c r="AT255" s="132" t="n"/>
      <c r="AU255" s="132" t="n"/>
      <c r="AV255" s="132" t="n"/>
      <c r="AW255" s="132" t="n"/>
      <c r="AX255" s="132" t="n"/>
      <c r="AY255" s="132" t="n"/>
      <c r="AZ255" s="133" t="n"/>
      <c r="BA255" s="131" t="n"/>
      <c r="BB255" s="132" t="n"/>
      <c r="BC255" s="133" t="n"/>
      <c r="BD255" s="131" t="n"/>
      <c r="BE255" s="132" t="n"/>
      <c r="BF255" s="133" t="n"/>
      <c r="BG255" s="131" t="n"/>
      <c r="BH255" s="132" t="n"/>
      <c r="BI255" s="132" t="n"/>
      <c r="BJ255" s="128">
        <f>iferror(SUM($BK255,($BL255*1.2),($BM255*1.35),($BN255*0.74)),)</f>
        <v/>
      </c>
      <c r="BK255" s="128">
        <f>IFERROR(SUM($BT255:$CK255),)</f>
        <v/>
      </c>
      <c r="BL255" s="129">
        <f>IFERROR(SUM($CL255:$CN255),)</f>
        <v/>
      </c>
      <c r="BM255" s="130">
        <f>IFERROR(SUM($CO255:$CQ255),)</f>
        <v/>
      </c>
      <c r="BN255" s="128">
        <f>IFERROR(SUM($CR255:$CT255),)</f>
        <v/>
      </c>
      <c r="BO255" s="128">
        <f>iferror(SUM($BP255,($BQ255*1.2),($BR255*1.35),($BS255*0.74)),)</f>
        <v/>
      </c>
      <c r="BP255" s="128">
        <f>IFERROR(SUM($CU255:$DL255),)</f>
        <v/>
      </c>
      <c r="BQ255" s="128">
        <f>IFERROR(SUM($DM255:$DO255),)</f>
        <v/>
      </c>
      <c r="BR255" s="128">
        <f>IFERROR(SUM($DP255:$DR255),)</f>
        <v/>
      </c>
      <c r="BS255" s="128">
        <f>IFERROR(SUM($DS255:$DU255),)</f>
        <v/>
      </c>
      <c r="BT255" s="128">
        <f>IFERROR(AI255*$W255,)</f>
        <v/>
      </c>
      <c r="BU255" s="128">
        <f>IFERROR(AJ255*$W255,)</f>
        <v/>
      </c>
      <c r="BV255" s="128">
        <f>IFERROR(AK255*$W255,)</f>
        <v/>
      </c>
      <c r="BW255" s="128">
        <f>IFERROR(AL255*$W255,)</f>
        <v/>
      </c>
      <c r="BX255" s="128">
        <f>IFERROR(AM255*$W255,)</f>
        <v/>
      </c>
      <c r="BY255" s="128">
        <f>IFERROR(AN255*$W255,)</f>
        <v/>
      </c>
      <c r="BZ255" s="128">
        <f>IFERROR(AO255*$W255,)</f>
        <v/>
      </c>
      <c r="CA255" s="128">
        <f>IFERROR(AP255*$W255,)</f>
        <v/>
      </c>
      <c r="CB255" s="128">
        <f>IFERROR(AQ255*$W255,)</f>
        <v/>
      </c>
      <c r="CC255" s="128">
        <f>IFERROR(AR255*$W255,)</f>
        <v/>
      </c>
      <c r="CD255" s="128">
        <f>IFERROR(AS255*$W255,)</f>
        <v/>
      </c>
      <c r="CE255" s="128">
        <f>IFERROR(AT255*$W255,)</f>
        <v/>
      </c>
      <c r="CF255" s="128">
        <f>IFERROR(AU255*$W255,)</f>
        <v/>
      </c>
      <c r="CG255" s="128">
        <f>IFERROR(AV255*$W255,)</f>
        <v/>
      </c>
      <c r="CH255" s="128">
        <f>IFERROR(AW255*$W255,)</f>
        <v/>
      </c>
      <c r="CI255" s="128">
        <f>IFERROR(AX255*$W255,)</f>
        <v/>
      </c>
      <c r="CJ255" s="128">
        <f>IFERROR(AY255*$W255,)</f>
        <v/>
      </c>
      <c r="CK255" s="128">
        <f>IFERROR(AZ255*$W255,)</f>
        <v/>
      </c>
      <c r="CL255" s="129">
        <f>IFERROR(if($Y255=0,BA255*($W255/1.2),BA255*$Y255),"")</f>
        <v/>
      </c>
      <c r="CM255" s="129">
        <f>IFERROR(if($Y255=0,BB255*($W255/1.2),BB255*$Y255),"")</f>
        <v/>
      </c>
      <c r="CN255" s="129">
        <f>IFERROR(if($Y255=0,BC255*($W255/1.2),BC255*$Y255),"")</f>
        <v/>
      </c>
      <c r="CO255" s="130">
        <f>IFERROR(if($AA255=0,($W255/1.35)*BD255,BD255*$AA255),)</f>
        <v/>
      </c>
      <c r="CP255" s="130">
        <f>IFERROR(if($AA255=0,($W255/1.35)*BE255,BE255*$AA255),)</f>
        <v/>
      </c>
      <c r="CQ255" s="130">
        <f>IFERROR(if($AA255=0,($W255/1.35)*BF255,BF255*$AA255),)</f>
        <v/>
      </c>
      <c r="CR255" s="128">
        <f>IFERROR(if($AC255=0,($W255/0.74)*BG255,
BG255*$AC255),)</f>
        <v/>
      </c>
      <c r="CS255" s="128">
        <f>IFERROR(if($AC255=0,($W255/0.74)*BH255,
BH255*$AC255),)</f>
        <v/>
      </c>
      <c r="CT255" s="128">
        <f>IFERROR(if($AC255=0,($W255/0.74)*BI255,
BI255*$AC255),)</f>
        <v/>
      </c>
      <c r="CU255" s="128">
        <f>IFERROR(AI255*$V255,)</f>
        <v/>
      </c>
      <c r="CV255" s="128">
        <f>IFERROR(AJ255*$V255,)</f>
        <v/>
      </c>
      <c r="CW255" s="128">
        <f>IFERROR(AK255*$V255,)</f>
        <v/>
      </c>
      <c r="CX255" s="128">
        <f>IFERROR(AL255*$V255,)</f>
        <v/>
      </c>
      <c r="CY255" s="128">
        <f>IFERROR(AM255*$V255,)</f>
        <v/>
      </c>
      <c r="CZ255" s="128">
        <f>IFERROR(AN255*$V255,)</f>
        <v/>
      </c>
      <c r="DA255" s="128">
        <f>IFERROR(AO255*$V255,)</f>
        <v/>
      </c>
      <c r="DB255" s="128">
        <f>IFERROR(AP255*$V255,)</f>
        <v/>
      </c>
      <c r="DC255" s="128">
        <f>IFERROR(AQ255*$V255,)</f>
        <v/>
      </c>
      <c r="DD255" s="128">
        <f>IFERROR(AR255*$V255,)</f>
        <v/>
      </c>
      <c r="DE255" s="128">
        <f>IFERROR(AS255*$V255,)</f>
        <v/>
      </c>
      <c r="DF255" s="128">
        <f>IFERROR(AT255*$V255,)</f>
        <v/>
      </c>
      <c r="DG255" s="128">
        <f>IFERROR(AU255*$V255,)</f>
        <v/>
      </c>
      <c r="DH255" s="128">
        <f>IFERROR(AV255*$V255,)</f>
        <v/>
      </c>
      <c r="DI255" s="128">
        <f>IFERROR(AW255*$V255,)</f>
        <v/>
      </c>
      <c r="DJ255" s="128">
        <f>IFERROR(AX255*$V255,)</f>
        <v/>
      </c>
      <c r="DK255" s="128">
        <f>IFERROR(AY255*$V255,)</f>
        <v/>
      </c>
      <c r="DL255" s="128">
        <f>IFERROR(AZ255*$V255,)</f>
        <v/>
      </c>
      <c r="DM255" s="129">
        <f>IFERROR(if($X255=0,($V255/1.2)*BA255,
BA255*$X255),)</f>
        <v/>
      </c>
      <c r="DN255" s="129">
        <f>IFERROR(if($X255=0,($V255/1.2)*BB255,
BB255*$X255),)</f>
        <v/>
      </c>
      <c r="DO255" s="129">
        <f>IFERROR(if($X255=0,($V255/1.2)*BC255,
BC255*$X255),)</f>
        <v/>
      </c>
      <c r="DP255" s="130">
        <f>IFERROR(if($Z255=0,($V255/1.35)*BD255,
BD255*$Z255),)</f>
        <v/>
      </c>
      <c r="DQ255" s="130">
        <f>IFERROR(if($Z255=0,($V255/1.35)*BE255,
BE255*$Z255),)</f>
        <v/>
      </c>
      <c r="DR255" s="130">
        <f>IFERROR(if($Z255=0,($V255/1.35)*BF255,
BF255*$Z255),)</f>
        <v/>
      </c>
      <c r="DS255" s="128">
        <f>IFERROR(IF($AB255=0,($V255/0.74)*BG255,
BG255*$AB255),)</f>
        <v/>
      </c>
      <c r="DT255" s="128">
        <f>IFERROR(IF($AB255=0,($V255/0.74)*BH255,
BH255*$AB255),)</f>
        <v/>
      </c>
      <c r="DU255" s="128">
        <f>IFERROR(IF($AB255=0,($V255/0.74)*BI255,
BI255*$AB255),)</f>
        <v/>
      </c>
    </row>
    <row r="256" ht="131.25" customHeight="1" s="162">
      <c r="A256" s="115" t="n"/>
      <c r="B256" s="115" t="n"/>
      <c r="C256" s="115" t="n"/>
      <c r="D256" s="115" t="n"/>
      <c r="E256" s="115" t="n"/>
      <c r="F256" s="115" t="n"/>
      <c r="G256" s="115" t="n"/>
      <c r="H256" s="115" t="n"/>
      <c r="I256" s="115" t="n"/>
      <c r="J256" s="115" t="n"/>
      <c r="K256" s="115" t="n"/>
      <c r="L256" s="115" t="n"/>
      <c r="M256" s="115" t="n"/>
      <c r="N256" s="115" t="n"/>
      <c r="O256" s="115" t="n"/>
      <c r="P256" s="115" t="n"/>
      <c r="Q256" s="115" t="n"/>
      <c r="R256" s="115" t="n"/>
      <c r="S256" s="115" t="n"/>
      <c r="T256" s="115" t="n"/>
      <c r="U256" s="116" t="n"/>
      <c r="V256" s="116" t="n"/>
      <c r="W256" s="117" t="n"/>
      <c r="X256" s="118" t="n"/>
      <c r="Y256" s="119" t="n"/>
      <c r="Z256" s="120" t="n"/>
      <c r="AA256" s="121" t="n"/>
      <c r="AB256" s="122" t="n"/>
      <c r="AC256" s="117" t="n"/>
      <c r="AD256" s="123">
        <f>IF(SUM($AE256:$AH256)=0,"",SUM($AE256:$AH256))</f>
        <v/>
      </c>
      <c r="AE256" s="123">
        <f>iferror(IF(SUM($AI256:$AZ256)=0,"",SUM($AI256:$AZ256)),"")</f>
        <v/>
      </c>
      <c r="AF256" s="123">
        <f>iferror(IF(SUM($BA256:$BC256)=0,"",SUM($BA256:$BC256)),"")</f>
        <v/>
      </c>
      <c r="AG256" s="123">
        <f>iferror(IF(SUM($BD256:$BF256)=0,"",SUM($BD256:$BF256)),"")</f>
        <v/>
      </c>
      <c r="AH256" s="124">
        <f>iferror(IF(SUM($BG256:$BI256)=0,"",SUM($BG256:$BI256)),"")</f>
        <v/>
      </c>
      <c r="AI256" s="131" t="n"/>
      <c r="AJ256" s="132" t="n"/>
      <c r="AK256" s="132" t="n"/>
      <c r="AL256" s="132" t="n"/>
      <c r="AM256" s="132" t="n"/>
      <c r="AN256" s="132" t="n"/>
      <c r="AO256" s="132" t="n"/>
      <c r="AP256" s="132" t="n"/>
      <c r="AQ256" s="132" t="n"/>
      <c r="AR256" s="132" t="n"/>
      <c r="AS256" s="132" t="n"/>
      <c r="AT256" s="132" t="n"/>
      <c r="AU256" s="132" t="n"/>
      <c r="AV256" s="132" t="n"/>
      <c r="AW256" s="132" t="n"/>
      <c r="AX256" s="132" t="n"/>
      <c r="AY256" s="132" t="n"/>
      <c r="AZ256" s="133" t="n"/>
      <c r="BA256" s="131" t="n"/>
      <c r="BB256" s="132" t="n"/>
      <c r="BC256" s="133" t="n"/>
      <c r="BD256" s="131" t="n"/>
      <c r="BE256" s="132" t="n"/>
      <c r="BF256" s="133" t="n"/>
      <c r="BG256" s="131" t="n"/>
      <c r="BH256" s="132" t="n"/>
      <c r="BI256" s="132" t="n"/>
      <c r="BJ256" s="128">
        <f>iferror(SUM($BK256,($BL256*1.2),($BM256*1.35),($BN256*0.74)),)</f>
        <v/>
      </c>
      <c r="BK256" s="128">
        <f>IFERROR(SUM($BT256:$CK256),)</f>
        <v/>
      </c>
      <c r="BL256" s="129">
        <f>IFERROR(SUM($CL256:$CN256),)</f>
        <v/>
      </c>
      <c r="BM256" s="130">
        <f>IFERROR(SUM($CO256:$CQ256),)</f>
        <v/>
      </c>
      <c r="BN256" s="128">
        <f>IFERROR(SUM($CR256:$CT256),)</f>
        <v/>
      </c>
      <c r="BO256" s="128">
        <f>iferror(SUM($BP256,($BQ256*1.2),($BR256*1.35),($BS256*0.74)),)</f>
        <v/>
      </c>
      <c r="BP256" s="128">
        <f>IFERROR(SUM($CU256:$DL256),)</f>
        <v/>
      </c>
      <c r="BQ256" s="128">
        <f>IFERROR(SUM($DM256:$DO256),)</f>
        <v/>
      </c>
      <c r="BR256" s="128">
        <f>IFERROR(SUM($DP256:$DR256),)</f>
        <v/>
      </c>
      <c r="BS256" s="128">
        <f>IFERROR(SUM($DS256:$DU256),)</f>
        <v/>
      </c>
      <c r="BT256" s="128">
        <f>IFERROR(AI256*$W256,)</f>
        <v/>
      </c>
      <c r="BU256" s="128">
        <f>IFERROR(AJ256*$W256,)</f>
        <v/>
      </c>
      <c r="BV256" s="128">
        <f>IFERROR(AK256*$W256,)</f>
        <v/>
      </c>
      <c r="BW256" s="128">
        <f>IFERROR(AL256*$W256,)</f>
        <v/>
      </c>
      <c r="BX256" s="128">
        <f>IFERROR(AM256*$W256,)</f>
        <v/>
      </c>
      <c r="BY256" s="128">
        <f>IFERROR(AN256*$W256,)</f>
        <v/>
      </c>
      <c r="BZ256" s="128">
        <f>IFERROR(AO256*$W256,)</f>
        <v/>
      </c>
      <c r="CA256" s="128">
        <f>IFERROR(AP256*$W256,)</f>
        <v/>
      </c>
      <c r="CB256" s="128">
        <f>IFERROR(AQ256*$W256,)</f>
        <v/>
      </c>
      <c r="CC256" s="128">
        <f>IFERROR(AR256*$W256,)</f>
        <v/>
      </c>
      <c r="CD256" s="128">
        <f>IFERROR(AS256*$W256,)</f>
        <v/>
      </c>
      <c r="CE256" s="128">
        <f>IFERROR(AT256*$W256,)</f>
        <v/>
      </c>
      <c r="CF256" s="128">
        <f>IFERROR(AU256*$W256,)</f>
        <v/>
      </c>
      <c r="CG256" s="128">
        <f>IFERROR(AV256*$W256,)</f>
        <v/>
      </c>
      <c r="CH256" s="128">
        <f>IFERROR(AW256*$W256,)</f>
        <v/>
      </c>
      <c r="CI256" s="128">
        <f>IFERROR(AX256*$W256,)</f>
        <v/>
      </c>
      <c r="CJ256" s="128">
        <f>IFERROR(AY256*$W256,)</f>
        <v/>
      </c>
      <c r="CK256" s="128">
        <f>IFERROR(AZ256*$W256,)</f>
        <v/>
      </c>
      <c r="CL256" s="129">
        <f>IFERROR(if($Y256=0,BA256*($W256/1.2),BA256*$Y256),"")</f>
        <v/>
      </c>
      <c r="CM256" s="129">
        <f>IFERROR(if($Y256=0,BB256*($W256/1.2),BB256*$Y256),"")</f>
        <v/>
      </c>
      <c r="CN256" s="129">
        <f>IFERROR(if($Y256=0,BC256*($W256/1.2),BC256*$Y256),"")</f>
        <v/>
      </c>
      <c r="CO256" s="130">
        <f>IFERROR(if($AA256=0,($W256/1.35)*BD256,BD256*$AA256),)</f>
        <v/>
      </c>
      <c r="CP256" s="130">
        <f>IFERROR(if($AA256=0,($W256/1.35)*BE256,BE256*$AA256),)</f>
        <v/>
      </c>
      <c r="CQ256" s="130">
        <f>IFERROR(if($AA256=0,($W256/1.35)*BF256,BF256*$AA256),)</f>
        <v/>
      </c>
      <c r="CR256" s="128">
        <f>IFERROR(if($AC256=0,($W256/0.74)*BG256,
BG256*$AC256),)</f>
        <v/>
      </c>
      <c r="CS256" s="128">
        <f>IFERROR(if($AC256=0,($W256/0.74)*BH256,
BH256*$AC256),)</f>
        <v/>
      </c>
      <c r="CT256" s="128">
        <f>IFERROR(if($AC256=0,($W256/0.74)*BI256,
BI256*$AC256),)</f>
        <v/>
      </c>
      <c r="CU256" s="128">
        <f>IFERROR(AI256*$V256,)</f>
        <v/>
      </c>
      <c r="CV256" s="128">
        <f>IFERROR(AJ256*$V256,)</f>
        <v/>
      </c>
      <c r="CW256" s="128">
        <f>IFERROR(AK256*$V256,)</f>
        <v/>
      </c>
      <c r="CX256" s="128">
        <f>IFERROR(AL256*$V256,)</f>
        <v/>
      </c>
      <c r="CY256" s="128">
        <f>IFERROR(AM256*$V256,)</f>
        <v/>
      </c>
      <c r="CZ256" s="128">
        <f>IFERROR(AN256*$V256,)</f>
        <v/>
      </c>
      <c r="DA256" s="128">
        <f>IFERROR(AO256*$V256,)</f>
        <v/>
      </c>
      <c r="DB256" s="128">
        <f>IFERROR(AP256*$V256,)</f>
        <v/>
      </c>
      <c r="DC256" s="128">
        <f>IFERROR(AQ256*$V256,)</f>
        <v/>
      </c>
      <c r="DD256" s="128">
        <f>IFERROR(AR256*$V256,)</f>
        <v/>
      </c>
      <c r="DE256" s="128">
        <f>IFERROR(AS256*$V256,)</f>
        <v/>
      </c>
      <c r="DF256" s="128">
        <f>IFERROR(AT256*$V256,)</f>
        <v/>
      </c>
      <c r="DG256" s="128">
        <f>IFERROR(AU256*$V256,)</f>
        <v/>
      </c>
      <c r="DH256" s="128">
        <f>IFERROR(AV256*$V256,)</f>
        <v/>
      </c>
      <c r="DI256" s="128">
        <f>IFERROR(AW256*$V256,)</f>
        <v/>
      </c>
      <c r="DJ256" s="128">
        <f>IFERROR(AX256*$V256,)</f>
        <v/>
      </c>
      <c r="DK256" s="128">
        <f>IFERROR(AY256*$V256,)</f>
        <v/>
      </c>
      <c r="DL256" s="128">
        <f>IFERROR(AZ256*$V256,)</f>
        <v/>
      </c>
      <c r="DM256" s="129">
        <f>IFERROR(if($X256=0,($V256/1.2)*BA256,
BA256*$X256),)</f>
        <v/>
      </c>
      <c r="DN256" s="129">
        <f>IFERROR(if($X256=0,($V256/1.2)*BB256,
BB256*$X256),)</f>
        <v/>
      </c>
      <c r="DO256" s="129">
        <f>IFERROR(if($X256=0,($V256/1.2)*BC256,
BC256*$X256),)</f>
        <v/>
      </c>
      <c r="DP256" s="130">
        <f>IFERROR(if($Z256=0,($V256/1.35)*BD256,
BD256*$Z256),)</f>
        <v/>
      </c>
      <c r="DQ256" s="130">
        <f>IFERROR(if($Z256=0,($V256/1.35)*BE256,
BE256*$Z256),)</f>
        <v/>
      </c>
      <c r="DR256" s="130">
        <f>IFERROR(if($Z256=0,($V256/1.35)*BF256,
BF256*$Z256),)</f>
        <v/>
      </c>
      <c r="DS256" s="128">
        <f>IFERROR(IF($AB256=0,($V256/0.74)*BG256,
BG256*$AB256),)</f>
        <v/>
      </c>
      <c r="DT256" s="128">
        <f>IFERROR(IF($AB256=0,($V256/0.74)*BH256,
BH256*$AB256),)</f>
        <v/>
      </c>
      <c r="DU256" s="128">
        <f>IFERROR(IF($AB256=0,($V256/0.74)*BI256,
BI256*$AB256),)</f>
        <v/>
      </c>
    </row>
    <row r="257" ht="131.25" customHeight="1" s="162">
      <c r="A257" s="115" t="n"/>
      <c r="B257" s="115" t="n"/>
      <c r="C257" s="115" t="n"/>
      <c r="D257" s="115" t="n"/>
      <c r="E257" s="115" t="n"/>
      <c r="F257" s="115" t="n"/>
      <c r="G257" s="115" t="n"/>
      <c r="H257" s="115" t="n"/>
      <c r="I257" s="115" t="n"/>
      <c r="J257" s="115" t="n"/>
      <c r="K257" s="115" t="n"/>
      <c r="L257" s="115" t="n"/>
      <c r="M257" s="115" t="n"/>
      <c r="N257" s="115" t="n"/>
      <c r="O257" s="115" t="n"/>
      <c r="P257" s="115" t="n"/>
      <c r="Q257" s="115" t="n"/>
      <c r="R257" s="115" t="n"/>
      <c r="S257" s="115" t="n"/>
      <c r="T257" s="115" t="n"/>
      <c r="U257" s="116" t="n"/>
      <c r="V257" s="116" t="n"/>
      <c r="W257" s="117" t="n"/>
      <c r="X257" s="118" t="n"/>
      <c r="Y257" s="119" t="n"/>
      <c r="Z257" s="120" t="n"/>
      <c r="AA257" s="121" t="n"/>
      <c r="AB257" s="122" t="n"/>
      <c r="AC257" s="117" t="n"/>
      <c r="AD257" s="123">
        <f>IF(SUM($AE257:$AH257)=0,"",SUM($AE257:$AH257))</f>
        <v/>
      </c>
      <c r="AE257" s="123">
        <f>iferror(IF(SUM($AI257:$AZ257)=0,"",SUM($AI257:$AZ257)),"")</f>
        <v/>
      </c>
      <c r="AF257" s="123">
        <f>iferror(IF(SUM($BA257:$BC257)=0,"",SUM($BA257:$BC257)),"")</f>
        <v/>
      </c>
      <c r="AG257" s="123">
        <f>iferror(IF(SUM($BD257:$BF257)=0,"",SUM($BD257:$BF257)),"")</f>
        <v/>
      </c>
      <c r="AH257" s="124">
        <f>iferror(IF(SUM($BG257:$BI257)=0,"",SUM($BG257:$BI257)),"")</f>
        <v/>
      </c>
      <c r="AI257" s="131" t="n"/>
      <c r="AJ257" s="132" t="n"/>
      <c r="AK257" s="132" t="n"/>
      <c r="AL257" s="132" t="n"/>
      <c r="AM257" s="132" t="n"/>
      <c r="AN257" s="132" t="n"/>
      <c r="AO257" s="132" t="n"/>
      <c r="AP257" s="132" t="n"/>
      <c r="AQ257" s="132" t="n"/>
      <c r="AR257" s="132" t="n"/>
      <c r="AS257" s="132" t="n"/>
      <c r="AT257" s="132" t="n"/>
      <c r="AU257" s="132" t="n"/>
      <c r="AV257" s="132" t="n"/>
      <c r="AW257" s="132" t="n"/>
      <c r="AX257" s="132" t="n"/>
      <c r="AY257" s="132" t="n"/>
      <c r="AZ257" s="133" t="n"/>
      <c r="BA257" s="131" t="n"/>
      <c r="BB257" s="132" t="n"/>
      <c r="BC257" s="133" t="n"/>
      <c r="BD257" s="131" t="n"/>
      <c r="BE257" s="132" t="n"/>
      <c r="BF257" s="133" t="n"/>
      <c r="BG257" s="131" t="n"/>
      <c r="BH257" s="132" t="n"/>
      <c r="BI257" s="132" t="n"/>
      <c r="BJ257" s="128">
        <f>iferror(SUM($BK257,($BL257*1.2),($BM257*1.35),($BN257*0.74)),)</f>
        <v/>
      </c>
      <c r="BK257" s="128">
        <f>IFERROR(SUM($BT257:$CK257),)</f>
        <v/>
      </c>
      <c r="BL257" s="129">
        <f>IFERROR(SUM($CL257:$CN257),)</f>
        <v/>
      </c>
      <c r="BM257" s="130">
        <f>IFERROR(SUM($CO257:$CQ257),)</f>
        <v/>
      </c>
      <c r="BN257" s="128">
        <f>IFERROR(SUM($CR257:$CT257),)</f>
        <v/>
      </c>
      <c r="BO257" s="128">
        <f>iferror(SUM($BP257,($BQ257*1.2),($BR257*1.35),($BS257*0.74)),)</f>
        <v/>
      </c>
      <c r="BP257" s="128">
        <f>IFERROR(SUM($CU257:$DL257),)</f>
        <v/>
      </c>
      <c r="BQ257" s="128">
        <f>IFERROR(SUM($DM257:$DO257),)</f>
        <v/>
      </c>
      <c r="BR257" s="128">
        <f>IFERROR(SUM($DP257:$DR257),)</f>
        <v/>
      </c>
      <c r="BS257" s="128">
        <f>IFERROR(SUM($DS257:$DU257),)</f>
        <v/>
      </c>
      <c r="BT257" s="128">
        <f>IFERROR(AI257*$W257,)</f>
        <v/>
      </c>
      <c r="BU257" s="128">
        <f>IFERROR(AJ257*$W257,)</f>
        <v/>
      </c>
      <c r="BV257" s="128">
        <f>IFERROR(AK257*$W257,)</f>
        <v/>
      </c>
      <c r="BW257" s="128">
        <f>IFERROR(AL257*$W257,)</f>
        <v/>
      </c>
      <c r="BX257" s="128">
        <f>IFERROR(AM257*$W257,)</f>
        <v/>
      </c>
      <c r="BY257" s="128">
        <f>IFERROR(AN257*$W257,)</f>
        <v/>
      </c>
      <c r="BZ257" s="128">
        <f>IFERROR(AO257*$W257,)</f>
        <v/>
      </c>
      <c r="CA257" s="128">
        <f>IFERROR(AP257*$W257,)</f>
        <v/>
      </c>
      <c r="CB257" s="128">
        <f>IFERROR(AQ257*$W257,)</f>
        <v/>
      </c>
      <c r="CC257" s="128">
        <f>IFERROR(AR257*$W257,)</f>
        <v/>
      </c>
      <c r="CD257" s="128">
        <f>IFERROR(AS257*$W257,)</f>
        <v/>
      </c>
      <c r="CE257" s="128">
        <f>IFERROR(AT257*$W257,)</f>
        <v/>
      </c>
      <c r="CF257" s="128">
        <f>IFERROR(AU257*$W257,)</f>
        <v/>
      </c>
      <c r="CG257" s="128">
        <f>IFERROR(AV257*$W257,)</f>
        <v/>
      </c>
      <c r="CH257" s="128">
        <f>IFERROR(AW257*$W257,)</f>
        <v/>
      </c>
      <c r="CI257" s="128">
        <f>IFERROR(AX257*$W257,)</f>
        <v/>
      </c>
      <c r="CJ257" s="128">
        <f>IFERROR(AY257*$W257,)</f>
        <v/>
      </c>
      <c r="CK257" s="128">
        <f>IFERROR(AZ257*$W257,)</f>
        <v/>
      </c>
      <c r="CL257" s="129">
        <f>IFERROR(if($Y257=0,BA257*($W257/1.2),BA257*$Y257),"")</f>
        <v/>
      </c>
      <c r="CM257" s="129">
        <f>IFERROR(if($Y257=0,BB257*($W257/1.2),BB257*$Y257),"")</f>
        <v/>
      </c>
      <c r="CN257" s="129">
        <f>IFERROR(if($Y257=0,BC257*($W257/1.2),BC257*$Y257),"")</f>
        <v/>
      </c>
      <c r="CO257" s="130">
        <f>IFERROR(if($AA257=0,($W257/1.35)*BD257,BD257*$AA257),)</f>
        <v/>
      </c>
      <c r="CP257" s="130">
        <f>IFERROR(if($AA257=0,($W257/1.35)*BE257,BE257*$AA257),)</f>
        <v/>
      </c>
      <c r="CQ257" s="130">
        <f>IFERROR(if($AA257=0,($W257/1.35)*BF257,BF257*$AA257),)</f>
        <v/>
      </c>
      <c r="CR257" s="128">
        <f>IFERROR(if($AC257=0,($W257/0.74)*BG257,
BG257*$AC257),)</f>
        <v/>
      </c>
      <c r="CS257" s="128">
        <f>IFERROR(if($AC257=0,($W257/0.74)*BH257,
BH257*$AC257),)</f>
        <v/>
      </c>
      <c r="CT257" s="128">
        <f>IFERROR(if($AC257=0,($W257/0.74)*BI257,
BI257*$AC257),)</f>
        <v/>
      </c>
      <c r="CU257" s="128">
        <f>IFERROR(AI257*$V257,)</f>
        <v/>
      </c>
      <c r="CV257" s="128">
        <f>IFERROR(AJ257*$V257,)</f>
        <v/>
      </c>
      <c r="CW257" s="128">
        <f>IFERROR(AK257*$V257,)</f>
        <v/>
      </c>
      <c r="CX257" s="128">
        <f>IFERROR(AL257*$V257,)</f>
        <v/>
      </c>
      <c r="CY257" s="128">
        <f>IFERROR(AM257*$V257,)</f>
        <v/>
      </c>
      <c r="CZ257" s="128">
        <f>IFERROR(AN257*$V257,)</f>
        <v/>
      </c>
      <c r="DA257" s="128">
        <f>IFERROR(AO257*$V257,)</f>
        <v/>
      </c>
      <c r="DB257" s="128">
        <f>IFERROR(AP257*$V257,)</f>
        <v/>
      </c>
      <c r="DC257" s="128">
        <f>IFERROR(AQ257*$V257,)</f>
        <v/>
      </c>
      <c r="DD257" s="128">
        <f>IFERROR(AR257*$V257,)</f>
        <v/>
      </c>
      <c r="DE257" s="128">
        <f>IFERROR(AS257*$V257,)</f>
        <v/>
      </c>
      <c r="DF257" s="128">
        <f>IFERROR(AT257*$V257,)</f>
        <v/>
      </c>
      <c r="DG257" s="128">
        <f>IFERROR(AU257*$V257,)</f>
        <v/>
      </c>
      <c r="DH257" s="128">
        <f>IFERROR(AV257*$V257,)</f>
        <v/>
      </c>
      <c r="DI257" s="128">
        <f>IFERROR(AW257*$V257,)</f>
        <v/>
      </c>
      <c r="DJ257" s="128">
        <f>IFERROR(AX257*$V257,)</f>
        <v/>
      </c>
      <c r="DK257" s="128">
        <f>IFERROR(AY257*$V257,)</f>
        <v/>
      </c>
      <c r="DL257" s="128">
        <f>IFERROR(AZ257*$V257,)</f>
        <v/>
      </c>
      <c r="DM257" s="129">
        <f>IFERROR(if($X257=0,($V257/1.2)*BA257,
BA257*$X257),)</f>
        <v/>
      </c>
      <c r="DN257" s="129">
        <f>IFERROR(if($X257=0,($V257/1.2)*BB257,
BB257*$X257),)</f>
        <v/>
      </c>
      <c r="DO257" s="129">
        <f>IFERROR(if($X257=0,($V257/1.2)*BC257,
BC257*$X257),)</f>
        <v/>
      </c>
      <c r="DP257" s="130">
        <f>IFERROR(if($Z257=0,($V257/1.35)*BD257,
BD257*$Z257),)</f>
        <v/>
      </c>
      <c r="DQ257" s="130">
        <f>IFERROR(if($Z257=0,($V257/1.35)*BE257,
BE257*$Z257),)</f>
        <v/>
      </c>
      <c r="DR257" s="130">
        <f>IFERROR(if($Z257=0,($V257/1.35)*BF257,
BF257*$Z257),)</f>
        <v/>
      </c>
      <c r="DS257" s="128">
        <f>IFERROR(IF($AB257=0,($V257/0.74)*BG257,
BG257*$AB257),)</f>
        <v/>
      </c>
      <c r="DT257" s="128">
        <f>IFERROR(IF($AB257=0,($V257/0.74)*BH257,
BH257*$AB257),)</f>
        <v/>
      </c>
      <c r="DU257" s="128">
        <f>IFERROR(IF($AB257=0,($V257/0.74)*BI257,
BI257*$AB257),)</f>
        <v/>
      </c>
    </row>
    <row r="258" ht="131.25" customHeight="1" s="162">
      <c r="A258" s="115" t="n"/>
      <c r="B258" s="115" t="n"/>
      <c r="C258" s="115" t="n"/>
      <c r="D258" s="115" t="n"/>
      <c r="E258" s="115" t="n"/>
      <c r="F258" s="115" t="n"/>
      <c r="G258" s="115" t="n"/>
      <c r="H258" s="115" t="n"/>
      <c r="I258" s="115" t="n"/>
      <c r="J258" s="115" t="n"/>
      <c r="K258" s="115" t="n"/>
      <c r="L258" s="115" t="n"/>
      <c r="M258" s="115" t="n"/>
      <c r="N258" s="115" t="n"/>
      <c r="O258" s="115" t="n"/>
      <c r="P258" s="115" t="n"/>
      <c r="Q258" s="115" t="n"/>
      <c r="R258" s="115" t="n"/>
      <c r="S258" s="115" t="n"/>
      <c r="T258" s="115" t="n"/>
      <c r="U258" s="116" t="n"/>
      <c r="V258" s="116" t="n"/>
      <c r="W258" s="117" t="n"/>
      <c r="X258" s="118" t="n"/>
      <c r="Y258" s="119" t="n"/>
      <c r="Z258" s="120" t="n"/>
      <c r="AA258" s="121" t="n"/>
      <c r="AB258" s="122" t="n"/>
      <c r="AC258" s="117" t="n"/>
      <c r="AD258" s="123">
        <f>IF(SUM($AE258:$AH258)=0,"",SUM($AE258:$AH258))</f>
        <v/>
      </c>
      <c r="AE258" s="123">
        <f>iferror(IF(SUM($AI258:$AZ258)=0,"",SUM($AI258:$AZ258)),"")</f>
        <v/>
      </c>
      <c r="AF258" s="123">
        <f>iferror(IF(SUM($BA258:$BC258)=0,"",SUM($BA258:$BC258)),"")</f>
        <v/>
      </c>
      <c r="AG258" s="123">
        <f>iferror(IF(SUM($BD258:$BF258)=0,"",SUM($BD258:$BF258)),"")</f>
        <v/>
      </c>
      <c r="AH258" s="124">
        <f>iferror(IF(SUM($BG258:$BI258)=0,"",SUM($BG258:$BI258)),"")</f>
        <v/>
      </c>
      <c r="AI258" s="131" t="n"/>
      <c r="AJ258" s="132" t="n"/>
      <c r="AK258" s="132" t="n"/>
      <c r="AL258" s="132" t="n"/>
      <c r="AM258" s="132" t="n"/>
      <c r="AN258" s="132" t="n"/>
      <c r="AO258" s="132" t="n"/>
      <c r="AP258" s="132" t="n"/>
      <c r="AQ258" s="132" t="n"/>
      <c r="AR258" s="132" t="n"/>
      <c r="AS258" s="132" t="n"/>
      <c r="AT258" s="132" t="n"/>
      <c r="AU258" s="132" t="n"/>
      <c r="AV258" s="132" t="n"/>
      <c r="AW258" s="132" t="n"/>
      <c r="AX258" s="132" t="n"/>
      <c r="AY258" s="132" t="n"/>
      <c r="AZ258" s="133" t="n"/>
      <c r="BA258" s="131" t="n"/>
      <c r="BB258" s="132" t="n"/>
      <c r="BC258" s="133" t="n"/>
      <c r="BD258" s="131" t="n"/>
      <c r="BE258" s="132" t="n"/>
      <c r="BF258" s="133" t="n"/>
      <c r="BG258" s="131" t="n"/>
      <c r="BH258" s="132" t="n"/>
      <c r="BI258" s="132" t="n"/>
      <c r="BJ258" s="128">
        <f>iferror(SUM($BK258,($BL258*1.2),($BM258*1.35),($BN258*0.74)),)</f>
        <v/>
      </c>
      <c r="BK258" s="128">
        <f>IFERROR(SUM($BT258:$CK258),)</f>
        <v/>
      </c>
      <c r="BL258" s="129">
        <f>IFERROR(SUM($CL258:$CN258),)</f>
        <v/>
      </c>
      <c r="BM258" s="130">
        <f>IFERROR(SUM($CO258:$CQ258),)</f>
        <v/>
      </c>
      <c r="BN258" s="128">
        <f>IFERROR(SUM($CR258:$CT258),)</f>
        <v/>
      </c>
      <c r="BO258" s="128">
        <f>iferror(SUM($BP258,($BQ258*1.2),($BR258*1.35),($BS258*0.74)),)</f>
        <v/>
      </c>
      <c r="BP258" s="128">
        <f>IFERROR(SUM($CU258:$DL258),)</f>
        <v/>
      </c>
      <c r="BQ258" s="128">
        <f>IFERROR(SUM($DM258:$DO258),)</f>
        <v/>
      </c>
      <c r="BR258" s="128">
        <f>IFERROR(SUM($DP258:$DR258),)</f>
        <v/>
      </c>
      <c r="BS258" s="128">
        <f>IFERROR(SUM($DS258:$DU258),)</f>
        <v/>
      </c>
      <c r="BT258" s="128">
        <f>IFERROR(AI258*$W258,)</f>
        <v/>
      </c>
      <c r="BU258" s="128">
        <f>IFERROR(AJ258*$W258,)</f>
        <v/>
      </c>
      <c r="BV258" s="128">
        <f>IFERROR(AK258*$W258,)</f>
        <v/>
      </c>
      <c r="BW258" s="128">
        <f>IFERROR(AL258*$W258,)</f>
        <v/>
      </c>
      <c r="BX258" s="128">
        <f>IFERROR(AM258*$W258,)</f>
        <v/>
      </c>
      <c r="BY258" s="128">
        <f>IFERROR(AN258*$W258,)</f>
        <v/>
      </c>
      <c r="BZ258" s="128">
        <f>IFERROR(AO258*$W258,)</f>
        <v/>
      </c>
      <c r="CA258" s="128">
        <f>IFERROR(AP258*$W258,)</f>
        <v/>
      </c>
      <c r="CB258" s="128">
        <f>IFERROR(AQ258*$W258,)</f>
        <v/>
      </c>
      <c r="CC258" s="128">
        <f>IFERROR(AR258*$W258,)</f>
        <v/>
      </c>
      <c r="CD258" s="128">
        <f>IFERROR(AS258*$W258,)</f>
        <v/>
      </c>
      <c r="CE258" s="128">
        <f>IFERROR(AT258*$W258,)</f>
        <v/>
      </c>
      <c r="CF258" s="128">
        <f>IFERROR(AU258*$W258,)</f>
        <v/>
      </c>
      <c r="CG258" s="128">
        <f>IFERROR(AV258*$W258,)</f>
        <v/>
      </c>
      <c r="CH258" s="128">
        <f>IFERROR(AW258*$W258,)</f>
        <v/>
      </c>
      <c r="CI258" s="128">
        <f>IFERROR(AX258*$W258,)</f>
        <v/>
      </c>
      <c r="CJ258" s="128">
        <f>IFERROR(AY258*$W258,)</f>
        <v/>
      </c>
      <c r="CK258" s="128">
        <f>IFERROR(AZ258*$W258,)</f>
        <v/>
      </c>
      <c r="CL258" s="129">
        <f>IFERROR(if($Y258=0,BA258*($W258/1.2),BA258*$Y258),"")</f>
        <v/>
      </c>
      <c r="CM258" s="129">
        <f>IFERROR(if($Y258=0,BB258*($W258/1.2),BB258*$Y258),"")</f>
        <v/>
      </c>
      <c r="CN258" s="129">
        <f>IFERROR(if($Y258=0,BC258*($W258/1.2),BC258*$Y258),"")</f>
        <v/>
      </c>
      <c r="CO258" s="130">
        <f>IFERROR(if($AA258=0,($W258/1.35)*BD258,BD258*$AA258),)</f>
        <v/>
      </c>
      <c r="CP258" s="130">
        <f>IFERROR(if($AA258=0,($W258/1.35)*BE258,BE258*$AA258),)</f>
        <v/>
      </c>
      <c r="CQ258" s="130">
        <f>IFERROR(if($AA258=0,($W258/1.35)*BF258,BF258*$AA258),)</f>
        <v/>
      </c>
      <c r="CR258" s="128">
        <f>IFERROR(if($AC258=0,($W258/0.74)*BG258,
BG258*$AC258),)</f>
        <v/>
      </c>
      <c r="CS258" s="128">
        <f>IFERROR(if($AC258=0,($W258/0.74)*BH258,
BH258*$AC258),)</f>
        <v/>
      </c>
      <c r="CT258" s="128">
        <f>IFERROR(if($AC258=0,($W258/0.74)*BI258,
BI258*$AC258),)</f>
        <v/>
      </c>
      <c r="CU258" s="128">
        <f>IFERROR(AI258*$V258,)</f>
        <v/>
      </c>
      <c r="CV258" s="128">
        <f>IFERROR(AJ258*$V258,)</f>
        <v/>
      </c>
      <c r="CW258" s="128">
        <f>IFERROR(AK258*$V258,)</f>
        <v/>
      </c>
      <c r="CX258" s="128">
        <f>IFERROR(AL258*$V258,)</f>
        <v/>
      </c>
      <c r="CY258" s="128">
        <f>IFERROR(AM258*$V258,)</f>
        <v/>
      </c>
      <c r="CZ258" s="128">
        <f>IFERROR(AN258*$V258,)</f>
        <v/>
      </c>
      <c r="DA258" s="128">
        <f>IFERROR(AO258*$V258,)</f>
        <v/>
      </c>
      <c r="DB258" s="128">
        <f>IFERROR(AP258*$V258,)</f>
        <v/>
      </c>
      <c r="DC258" s="128">
        <f>IFERROR(AQ258*$V258,)</f>
        <v/>
      </c>
      <c r="DD258" s="128">
        <f>IFERROR(AR258*$V258,)</f>
        <v/>
      </c>
      <c r="DE258" s="128">
        <f>IFERROR(AS258*$V258,)</f>
        <v/>
      </c>
      <c r="DF258" s="128">
        <f>IFERROR(AT258*$V258,)</f>
        <v/>
      </c>
      <c r="DG258" s="128">
        <f>IFERROR(AU258*$V258,)</f>
        <v/>
      </c>
      <c r="DH258" s="128">
        <f>IFERROR(AV258*$V258,)</f>
        <v/>
      </c>
      <c r="DI258" s="128">
        <f>IFERROR(AW258*$V258,)</f>
        <v/>
      </c>
      <c r="DJ258" s="128">
        <f>IFERROR(AX258*$V258,)</f>
        <v/>
      </c>
      <c r="DK258" s="128">
        <f>IFERROR(AY258*$V258,)</f>
        <v/>
      </c>
      <c r="DL258" s="128">
        <f>IFERROR(AZ258*$V258,)</f>
        <v/>
      </c>
      <c r="DM258" s="129">
        <f>IFERROR(if($X258=0,($V258/1.2)*BA258,
BA258*$X258),)</f>
        <v/>
      </c>
      <c r="DN258" s="129">
        <f>IFERROR(if($X258=0,($V258/1.2)*BB258,
BB258*$X258),)</f>
        <v/>
      </c>
      <c r="DO258" s="129">
        <f>IFERROR(if($X258=0,($V258/1.2)*BC258,
BC258*$X258),)</f>
        <v/>
      </c>
      <c r="DP258" s="130">
        <f>IFERROR(if($Z258=0,($V258/1.35)*BD258,
BD258*$Z258),)</f>
        <v/>
      </c>
      <c r="DQ258" s="130">
        <f>IFERROR(if($Z258=0,($V258/1.35)*BE258,
BE258*$Z258),)</f>
        <v/>
      </c>
      <c r="DR258" s="130">
        <f>IFERROR(if($Z258=0,($V258/1.35)*BF258,
BF258*$Z258),)</f>
        <v/>
      </c>
      <c r="DS258" s="128">
        <f>IFERROR(IF($AB258=0,($V258/0.74)*BG258,
BG258*$AB258),)</f>
        <v/>
      </c>
      <c r="DT258" s="128">
        <f>IFERROR(IF($AB258=0,($V258/0.74)*BH258,
BH258*$AB258),)</f>
        <v/>
      </c>
      <c r="DU258" s="128">
        <f>IFERROR(IF($AB258=0,($V258/0.74)*BI258,
BI258*$AB258),)</f>
        <v/>
      </c>
    </row>
    <row r="259" ht="131.25" customHeight="1" s="162">
      <c r="A259" s="115" t="n"/>
      <c r="B259" s="115" t="n"/>
      <c r="C259" s="115" t="n"/>
      <c r="D259" s="115" t="n"/>
      <c r="E259" s="115" t="n"/>
      <c r="F259" s="115" t="n"/>
      <c r="G259" s="115" t="n"/>
      <c r="H259" s="115" t="n"/>
      <c r="I259" s="115" t="n"/>
      <c r="J259" s="115" t="n"/>
      <c r="K259" s="115" t="n"/>
      <c r="L259" s="115" t="n"/>
      <c r="M259" s="115" t="n"/>
      <c r="N259" s="115" t="n"/>
      <c r="O259" s="115" t="n"/>
      <c r="P259" s="115" t="n"/>
      <c r="Q259" s="115" t="n"/>
      <c r="R259" s="115" t="n"/>
      <c r="S259" s="115" t="n"/>
      <c r="T259" s="115" t="n"/>
      <c r="U259" s="116" t="n"/>
      <c r="V259" s="116" t="n"/>
      <c r="W259" s="117" t="n"/>
      <c r="X259" s="118" t="n"/>
      <c r="Y259" s="119" t="n"/>
      <c r="Z259" s="120" t="n"/>
      <c r="AA259" s="121" t="n"/>
      <c r="AB259" s="122" t="n"/>
      <c r="AC259" s="117" t="n"/>
      <c r="AD259" s="123">
        <f>IF(SUM($AE259:$AH259)=0,"",SUM($AE259:$AH259))</f>
        <v/>
      </c>
      <c r="AE259" s="123">
        <f>iferror(IF(SUM($AI259:$AZ259)=0,"",SUM($AI259:$AZ259)),"")</f>
        <v/>
      </c>
      <c r="AF259" s="123">
        <f>iferror(IF(SUM($BA259:$BC259)=0,"",SUM($BA259:$BC259)),"")</f>
        <v/>
      </c>
      <c r="AG259" s="123">
        <f>iferror(IF(SUM($BD259:$BF259)=0,"",SUM($BD259:$BF259)),"")</f>
        <v/>
      </c>
      <c r="AH259" s="124">
        <f>iferror(IF(SUM($BG259:$BI259)=0,"",SUM($BG259:$BI259)),"")</f>
        <v/>
      </c>
      <c r="AI259" s="131" t="n"/>
      <c r="AJ259" s="132" t="n"/>
      <c r="AK259" s="132" t="n"/>
      <c r="AL259" s="132" t="n"/>
      <c r="AM259" s="132" t="n"/>
      <c r="AN259" s="132" t="n"/>
      <c r="AO259" s="132" t="n"/>
      <c r="AP259" s="132" t="n"/>
      <c r="AQ259" s="132" t="n"/>
      <c r="AR259" s="132" t="n"/>
      <c r="AS259" s="132" t="n"/>
      <c r="AT259" s="132" t="n"/>
      <c r="AU259" s="132" t="n"/>
      <c r="AV259" s="132" t="n"/>
      <c r="AW259" s="132" t="n"/>
      <c r="AX259" s="132" t="n"/>
      <c r="AY259" s="132" t="n"/>
      <c r="AZ259" s="133" t="n"/>
      <c r="BA259" s="131" t="n"/>
      <c r="BB259" s="132" t="n"/>
      <c r="BC259" s="133" t="n"/>
      <c r="BD259" s="131" t="n"/>
      <c r="BE259" s="132" t="n"/>
      <c r="BF259" s="133" t="n"/>
      <c r="BG259" s="131" t="n"/>
      <c r="BH259" s="132" t="n"/>
      <c r="BI259" s="132" t="n"/>
      <c r="BJ259" s="128">
        <f>iferror(SUM($BK259,($BL259*1.2),($BM259*1.35),($BN259*0.74)),)</f>
        <v/>
      </c>
      <c r="BK259" s="128">
        <f>IFERROR(SUM($BT259:$CK259),)</f>
        <v/>
      </c>
      <c r="BL259" s="129">
        <f>IFERROR(SUM($CL259:$CN259),)</f>
        <v/>
      </c>
      <c r="BM259" s="130">
        <f>IFERROR(SUM($CO259:$CQ259),)</f>
        <v/>
      </c>
      <c r="BN259" s="128">
        <f>IFERROR(SUM($CR259:$CT259),)</f>
        <v/>
      </c>
      <c r="BO259" s="128">
        <f>iferror(SUM($BP259,($BQ259*1.2),($BR259*1.35),($BS259*0.74)),)</f>
        <v/>
      </c>
      <c r="BP259" s="128">
        <f>IFERROR(SUM($CU259:$DL259),)</f>
        <v/>
      </c>
      <c r="BQ259" s="128">
        <f>IFERROR(SUM($DM259:$DO259),)</f>
        <v/>
      </c>
      <c r="BR259" s="128">
        <f>IFERROR(SUM($DP259:$DR259),)</f>
        <v/>
      </c>
      <c r="BS259" s="128">
        <f>IFERROR(SUM($DS259:$DU259),)</f>
        <v/>
      </c>
      <c r="BT259" s="128">
        <f>IFERROR(AI259*$W259,)</f>
        <v/>
      </c>
      <c r="BU259" s="128">
        <f>IFERROR(AJ259*$W259,)</f>
        <v/>
      </c>
      <c r="BV259" s="128">
        <f>IFERROR(AK259*$W259,)</f>
        <v/>
      </c>
      <c r="BW259" s="128">
        <f>IFERROR(AL259*$W259,)</f>
        <v/>
      </c>
      <c r="BX259" s="128">
        <f>IFERROR(AM259*$W259,)</f>
        <v/>
      </c>
      <c r="BY259" s="128">
        <f>IFERROR(AN259*$W259,)</f>
        <v/>
      </c>
      <c r="BZ259" s="128">
        <f>IFERROR(AO259*$W259,)</f>
        <v/>
      </c>
      <c r="CA259" s="128">
        <f>IFERROR(AP259*$W259,)</f>
        <v/>
      </c>
      <c r="CB259" s="128">
        <f>IFERROR(AQ259*$W259,)</f>
        <v/>
      </c>
      <c r="CC259" s="128">
        <f>IFERROR(AR259*$W259,)</f>
        <v/>
      </c>
      <c r="CD259" s="128">
        <f>IFERROR(AS259*$W259,)</f>
        <v/>
      </c>
      <c r="CE259" s="128">
        <f>IFERROR(AT259*$W259,)</f>
        <v/>
      </c>
      <c r="CF259" s="128">
        <f>IFERROR(AU259*$W259,)</f>
        <v/>
      </c>
      <c r="CG259" s="128">
        <f>IFERROR(AV259*$W259,)</f>
        <v/>
      </c>
      <c r="CH259" s="128">
        <f>IFERROR(AW259*$W259,)</f>
        <v/>
      </c>
      <c r="CI259" s="128">
        <f>IFERROR(AX259*$W259,)</f>
        <v/>
      </c>
      <c r="CJ259" s="128">
        <f>IFERROR(AY259*$W259,)</f>
        <v/>
      </c>
      <c r="CK259" s="128">
        <f>IFERROR(AZ259*$W259,)</f>
        <v/>
      </c>
      <c r="CL259" s="129">
        <f>IFERROR(if($Y259=0,BA259*($W259/1.2),BA259*$Y259),"")</f>
        <v/>
      </c>
      <c r="CM259" s="129">
        <f>IFERROR(if($Y259=0,BB259*($W259/1.2),BB259*$Y259),"")</f>
        <v/>
      </c>
      <c r="CN259" s="129">
        <f>IFERROR(if($Y259=0,BC259*($W259/1.2),BC259*$Y259),"")</f>
        <v/>
      </c>
      <c r="CO259" s="130">
        <f>IFERROR(if($AA259=0,($W259/1.35)*BD259,BD259*$AA259),)</f>
        <v/>
      </c>
      <c r="CP259" s="130">
        <f>IFERROR(if($AA259=0,($W259/1.35)*BE259,BE259*$AA259),)</f>
        <v/>
      </c>
      <c r="CQ259" s="130">
        <f>IFERROR(if($AA259=0,($W259/1.35)*BF259,BF259*$AA259),)</f>
        <v/>
      </c>
      <c r="CR259" s="128">
        <f>IFERROR(if($AC259=0,($W259/0.74)*BG259,
BG259*$AC259),)</f>
        <v/>
      </c>
      <c r="CS259" s="128">
        <f>IFERROR(if($AC259=0,($W259/0.74)*BH259,
BH259*$AC259),)</f>
        <v/>
      </c>
      <c r="CT259" s="128">
        <f>IFERROR(if($AC259=0,($W259/0.74)*BI259,
BI259*$AC259),)</f>
        <v/>
      </c>
      <c r="CU259" s="128">
        <f>IFERROR(AI259*$V259,)</f>
        <v/>
      </c>
      <c r="CV259" s="128">
        <f>IFERROR(AJ259*$V259,)</f>
        <v/>
      </c>
      <c r="CW259" s="128">
        <f>IFERROR(AK259*$V259,)</f>
        <v/>
      </c>
      <c r="CX259" s="128">
        <f>IFERROR(AL259*$V259,)</f>
        <v/>
      </c>
      <c r="CY259" s="128">
        <f>IFERROR(AM259*$V259,)</f>
        <v/>
      </c>
      <c r="CZ259" s="128">
        <f>IFERROR(AN259*$V259,)</f>
        <v/>
      </c>
      <c r="DA259" s="128">
        <f>IFERROR(AO259*$V259,)</f>
        <v/>
      </c>
      <c r="DB259" s="128">
        <f>IFERROR(AP259*$V259,)</f>
        <v/>
      </c>
      <c r="DC259" s="128">
        <f>IFERROR(AQ259*$V259,)</f>
        <v/>
      </c>
      <c r="DD259" s="128">
        <f>IFERROR(AR259*$V259,)</f>
        <v/>
      </c>
      <c r="DE259" s="128">
        <f>IFERROR(AS259*$V259,)</f>
        <v/>
      </c>
      <c r="DF259" s="128">
        <f>IFERROR(AT259*$V259,)</f>
        <v/>
      </c>
      <c r="DG259" s="128">
        <f>IFERROR(AU259*$V259,)</f>
        <v/>
      </c>
      <c r="DH259" s="128">
        <f>IFERROR(AV259*$V259,)</f>
        <v/>
      </c>
      <c r="DI259" s="128">
        <f>IFERROR(AW259*$V259,)</f>
        <v/>
      </c>
      <c r="DJ259" s="128">
        <f>IFERROR(AX259*$V259,)</f>
        <v/>
      </c>
      <c r="DK259" s="128">
        <f>IFERROR(AY259*$V259,)</f>
        <v/>
      </c>
      <c r="DL259" s="128">
        <f>IFERROR(AZ259*$V259,)</f>
        <v/>
      </c>
      <c r="DM259" s="129">
        <f>IFERROR(if($X259=0,($V259/1.2)*BA259,
BA259*$X259),)</f>
        <v/>
      </c>
      <c r="DN259" s="129">
        <f>IFERROR(if($X259=0,($V259/1.2)*BB259,
BB259*$X259),)</f>
        <v/>
      </c>
      <c r="DO259" s="129">
        <f>IFERROR(if($X259=0,($V259/1.2)*BC259,
BC259*$X259),)</f>
        <v/>
      </c>
      <c r="DP259" s="130">
        <f>IFERROR(if($Z259=0,($V259/1.35)*BD259,
BD259*$Z259),)</f>
        <v/>
      </c>
      <c r="DQ259" s="130">
        <f>IFERROR(if($Z259=0,($V259/1.35)*BE259,
BE259*$Z259),)</f>
        <v/>
      </c>
      <c r="DR259" s="130">
        <f>IFERROR(if($Z259=0,($V259/1.35)*BF259,
BF259*$Z259),)</f>
        <v/>
      </c>
      <c r="DS259" s="128">
        <f>IFERROR(IF($AB259=0,($V259/0.74)*BG259,
BG259*$AB259),)</f>
        <v/>
      </c>
      <c r="DT259" s="128">
        <f>IFERROR(IF($AB259=0,($V259/0.74)*BH259,
BH259*$AB259),)</f>
        <v/>
      </c>
      <c r="DU259" s="128">
        <f>IFERROR(IF($AB259=0,($V259/0.74)*BI259,
BI259*$AB259),)</f>
        <v/>
      </c>
    </row>
    <row r="260" ht="131.25" customHeight="1" s="162">
      <c r="A260" s="115" t="n"/>
      <c r="B260" s="115" t="n"/>
      <c r="C260" s="115" t="n"/>
      <c r="D260" s="115" t="n"/>
      <c r="E260" s="115" t="n"/>
      <c r="F260" s="115" t="n"/>
      <c r="G260" s="115" t="n"/>
      <c r="H260" s="115" t="n"/>
      <c r="I260" s="115" t="n"/>
      <c r="J260" s="115" t="n"/>
      <c r="K260" s="115" t="n"/>
      <c r="L260" s="115" t="n"/>
      <c r="M260" s="115" t="n"/>
      <c r="N260" s="115" t="n"/>
      <c r="O260" s="115" t="n"/>
      <c r="P260" s="115" t="n"/>
      <c r="Q260" s="115" t="n"/>
      <c r="R260" s="115" t="n"/>
      <c r="S260" s="115" t="n"/>
      <c r="T260" s="115" t="n"/>
      <c r="U260" s="116" t="n"/>
      <c r="V260" s="116" t="n"/>
      <c r="W260" s="117" t="n"/>
      <c r="X260" s="118" t="n"/>
      <c r="Y260" s="119" t="n"/>
      <c r="Z260" s="120" t="n"/>
      <c r="AA260" s="121" t="n"/>
      <c r="AB260" s="122" t="n"/>
      <c r="AC260" s="117" t="n"/>
      <c r="AD260" s="123">
        <f>IF(SUM($AE260:$AH260)=0,"",SUM($AE260:$AH260))</f>
        <v/>
      </c>
      <c r="AE260" s="123">
        <f>iferror(IF(SUM($AI260:$AZ260)=0,"",SUM($AI260:$AZ260)),"")</f>
        <v/>
      </c>
      <c r="AF260" s="123">
        <f>iferror(IF(SUM($BA260:$BC260)=0,"",SUM($BA260:$BC260)),"")</f>
        <v/>
      </c>
      <c r="AG260" s="123">
        <f>iferror(IF(SUM($BD260:$BF260)=0,"",SUM($BD260:$BF260)),"")</f>
        <v/>
      </c>
      <c r="AH260" s="124">
        <f>iferror(IF(SUM($BG260:$BI260)=0,"",SUM($BG260:$BI260)),"")</f>
        <v/>
      </c>
      <c r="AI260" s="131" t="n"/>
      <c r="AJ260" s="132" t="n"/>
      <c r="AK260" s="132" t="n"/>
      <c r="AL260" s="132" t="n"/>
      <c r="AM260" s="132" t="n"/>
      <c r="AN260" s="132" t="n"/>
      <c r="AO260" s="132" t="n"/>
      <c r="AP260" s="132" t="n"/>
      <c r="AQ260" s="132" t="n"/>
      <c r="AR260" s="132" t="n"/>
      <c r="AS260" s="132" t="n"/>
      <c r="AT260" s="132" t="n"/>
      <c r="AU260" s="132" t="n"/>
      <c r="AV260" s="132" t="n"/>
      <c r="AW260" s="132" t="n"/>
      <c r="AX260" s="132" t="n"/>
      <c r="AY260" s="132" t="n"/>
      <c r="AZ260" s="133" t="n"/>
      <c r="BA260" s="131" t="n"/>
      <c r="BB260" s="132" t="n"/>
      <c r="BC260" s="133" t="n"/>
      <c r="BD260" s="131" t="n"/>
      <c r="BE260" s="132" t="n"/>
      <c r="BF260" s="133" t="n"/>
      <c r="BG260" s="131" t="n"/>
      <c r="BH260" s="132" t="n"/>
      <c r="BI260" s="132" t="n"/>
      <c r="BJ260" s="128">
        <f>iferror(SUM($BK260,($BL260*1.2),($BM260*1.35),($BN260*0.74)),)</f>
        <v/>
      </c>
      <c r="BK260" s="128">
        <f>IFERROR(SUM($BT260:$CK260),)</f>
        <v/>
      </c>
      <c r="BL260" s="129">
        <f>IFERROR(SUM($CL260:$CN260),)</f>
        <v/>
      </c>
      <c r="BM260" s="130">
        <f>IFERROR(SUM($CO260:$CQ260),)</f>
        <v/>
      </c>
      <c r="BN260" s="128">
        <f>IFERROR(SUM($CR260:$CT260),)</f>
        <v/>
      </c>
      <c r="BO260" s="128">
        <f>iferror(SUM($BP260,($BQ260*1.2),($BR260*1.35),($BS260*0.74)),)</f>
        <v/>
      </c>
      <c r="BP260" s="128">
        <f>IFERROR(SUM($CU260:$DL260),)</f>
        <v/>
      </c>
      <c r="BQ260" s="128">
        <f>IFERROR(SUM($DM260:$DO260),)</f>
        <v/>
      </c>
      <c r="BR260" s="128">
        <f>IFERROR(SUM($DP260:$DR260),)</f>
        <v/>
      </c>
      <c r="BS260" s="128">
        <f>IFERROR(SUM($DS260:$DU260),)</f>
        <v/>
      </c>
      <c r="BT260" s="128">
        <f>IFERROR(AI260*$W260,)</f>
        <v/>
      </c>
      <c r="BU260" s="128">
        <f>IFERROR(AJ260*$W260,)</f>
        <v/>
      </c>
      <c r="BV260" s="128">
        <f>IFERROR(AK260*$W260,)</f>
        <v/>
      </c>
      <c r="BW260" s="128">
        <f>IFERROR(AL260*$W260,)</f>
        <v/>
      </c>
      <c r="BX260" s="128">
        <f>IFERROR(AM260*$W260,)</f>
        <v/>
      </c>
      <c r="BY260" s="128">
        <f>IFERROR(AN260*$W260,)</f>
        <v/>
      </c>
      <c r="BZ260" s="128">
        <f>IFERROR(AO260*$W260,)</f>
        <v/>
      </c>
      <c r="CA260" s="128">
        <f>IFERROR(AP260*$W260,)</f>
        <v/>
      </c>
      <c r="CB260" s="128">
        <f>IFERROR(AQ260*$W260,)</f>
        <v/>
      </c>
      <c r="CC260" s="128">
        <f>IFERROR(AR260*$W260,)</f>
        <v/>
      </c>
      <c r="CD260" s="128">
        <f>IFERROR(AS260*$W260,)</f>
        <v/>
      </c>
      <c r="CE260" s="128">
        <f>IFERROR(AT260*$W260,)</f>
        <v/>
      </c>
      <c r="CF260" s="128">
        <f>IFERROR(AU260*$W260,)</f>
        <v/>
      </c>
      <c r="CG260" s="128">
        <f>IFERROR(AV260*$W260,)</f>
        <v/>
      </c>
      <c r="CH260" s="128">
        <f>IFERROR(AW260*$W260,)</f>
        <v/>
      </c>
      <c r="CI260" s="128">
        <f>IFERROR(AX260*$W260,)</f>
        <v/>
      </c>
      <c r="CJ260" s="128">
        <f>IFERROR(AY260*$W260,)</f>
        <v/>
      </c>
      <c r="CK260" s="128">
        <f>IFERROR(AZ260*$W260,)</f>
        <v/>
      </c>
      <c r="CL260" s="129">
        <f>IFERROR(if($Y260=0,BA260*($W260/1.2),BA260*$Y260),"")</f>
        <v/>
      </c>
      <c r="CM260" s="129">
        <f>IFERROR(if($Y260=0,BB260*($W260/1.2),BB260*$Y260),"")</f>
        <v/>
      </c>
      <c r="CN260" s="129">
        <f>IFERROR(if($Y260=0,BC260*($W260/1.2),BC260*$Y260),"")</f>
        <v/>
      </c>
      <c r="CO260" s="130">
        <f>IFERROR(if($AA260=0,($W260/1.35)*BD260,BD260*$AA260),)</f>
        <v/>
      </c>
      <c r="CP260" s="130">
        <f>IFERROR(if($AA260=0,($W260/1.35)*BE260,BE260*$AA260),)</f>
        <v/>
      </c>
      <c r="CQ260" s="130">
        <f>IFERROR(if($AA260=0,($W260/1.35)*BF260,BF260*$AA260),)</f>
        <v/>
      </c>
      <c r="CR260" s="128">
        <f>IFERROR(if($AC260=0,($W260/0.74)*BG260,
BG260*$AC260),)</f>
        <v/>
      </c>
      <c r="CS260" s="128">
        <f>IFERROR(if($AC260=0,($W260/0.74)*BH260,
BH260*$AC260),)</f>
        <v/>
      </c>
      <c r="CT260" s="128">
        <f>IFERROR(if($AC260=0,($W260/0.74)*BI260,
BI260*$AC260),)</f>
        <v/>
      </c>
      <c r="CU260" s="128">
        <f>IFERROR(AI260*$V260,)</f>
        <v/>
      </c>
      <c r="CV260" s="128">
        <f>IFERROR(AJ260*$V260,)</f>
        <v/>
      </c>
      <c r="CW260" s="128">
        <f>IFERROR(AK260*$V260,)</f>
        <v/>
      </c>
      <c r="CX260" s="128">
        <f>IFERROR(AL260*$V260,)</f>
        <v/>
      </c>
      <c r="CY260" s="128">
        <f>IFERROR(AM260*$V260,)</f>
        <v/>
      </c>
      <c r="CZ260" s="128">
        <f>IFERROR(AN260*$V260,)</f>
        <v/>
      </c>
      <c r="DA260" s="128">
        <f>IFERROR(AO260*$V260,)</f>
        <v/>
      </c>
      <c r="DB260" s="128">
        <f>IFERROR(AP260*$V260,)</f>
        <v/>
      </c>
      <c r="DC260" s="128">
        <f>IFERROR(AQ260*$V260,)</f>
        <v/>
      </c>
      <c r="DD260" s="128">
        <f>IFERROR(AR260*$V260,)</f>
        <v/>
      </c>
      <c r="DE260" s="128">
        <f>IFERROR(AS260*$V260,)</f>
        <v/>
      </c>
      <c r="DF260" s="128">
        <f>IFERROR(AT260*$V260,)</f>
        <v/>
      </c>
      <c r="DG260" s="128">
        <f>IFERROR(AU260*$V260,)</f>
        <v/>
      </c>
      <c r="DH260" s="128">
        <f>IFERROR(AV260*$V260,)</f>
        <v/>
      </c>
      <c r="DI260" s="128">
        <f>IFERROR(AW260*$V260,)</f>
        <v/>
      </c>
      <c r="DJ260" s="128">
        <f>IFERROR(AX260*$V260,)</f>
        <v/>
      </c>
      <c r="DK260" s="128">
        <f>IFERROR(AY260*$V260,)</f>
        <v/>
      </c>
      <c r="DL260" s="128">
        <f>IFERROR(AZ260*$V260,)</f>
        <v/>
      </c>
      <c r="DM260" s="129">
        <f>IFERROR(if($X260=0,($V260/1.2)*BA260,
BA260*$X260),)</f>
        <v/>
      </c>
      <c r="DN260" s="129">
        <f>IFERROR(if($X260=0,($V260/1.2)*BB260,
BB260*$X260),)</f>
        <v/>
      </c>
      <c r="DO260" s="129">
        <f>IFERROR(if($X260=0,($V260/1.2)*BC260,
BC260*$X260),)</f>
        <v/>
      </c>
      <c r="DP260" s="130">
        <f>IFERROR(if($Z260=0,($V260/1.35)*BD260,
BD260*$Z260),)</f>
        <v/>
      </c>
      <c r="DQ260" s="130">
        <f>IFERROR(if($Z260=0,($V260/1.35)*BE260,
BE260*$Z260),)</f>
        <v/>
      </c>
      <c r="DR260" s="130">
        <f>IFERROR(if($Z260=0,($V260/1.35)*BF260,
BF260*$Z260),)</f>
        <v/>
      </c>
      <c r="DS260" s="128">
        <f>IFERROR(IF($AB260=0,($V260/0.74)*BG260,
BG260*$AB260),)</f>
        <v/>
      </c>
      <c r="DT260" s="128">
        <f>IFERROR(IF($AB260=0,($V260/0.74)*BH260,
BH260*$AB260),)</f>
        <v/>
      </c>
      <c r="DU260" s="128">
        <f>IFERROR(IF($AB260=0,($V260/0.74)*BI260,
BI260*$AB260),)</f>
        <v/>
      </c>
    </row>
    <row r="261" ht="131.25" customHeight="1" s="162">
      <c r="A261" s="115" t="n"/>
      <c r="B261" s="115" t="n"/>
      <c r="C261" s="115" t="n"/>
      <c r="D261" s="115" t="n"/>
      <c r="E261" s="115" t="n"/>
      <c r="F261" s="115" t="n"/>
      <c r="G261" s="115" t="n"/>
      <c r="H261" s="115" t="n"/>
      <c r="I261" s="115" t="n"/>
      <c r="J261" s="115" t="n"/>
      <c r="K261" s="115" t="n"/>
      <c r="L261" s="115" t="n"/>
      <c r="M261" s="115" t="n"/>
      <c r="N261" s="115" t="n"/>
      <c r="O261" s="115" t="n"/>
      <c r="P261" s="115" t="n"/>
      <c r="Q261" s="115" t="n"/>
      <c r="R261" s="115" t="n"/>
      <c r="S261" s="115" t="n"/>
      <c r="T261" s="115" t="n"/>
      <c r="U261" s="116" t="n"/>
      <c r="V261" s="116" t="n"/>
      <c r="W261" s="117" t="n"/>
      <c r="X261" s="118" t="n"/>
      <c r="Y261" s="119" t="n"/>
      <c r="Z261" s="120" t="n"/>
      <c r="AA261" s="121" t="n"/>
      <c r="AB261" s="122" t="n"/>
      <c r="AC261" s="117" t="n"/>
      <c r="AD261" s="123">
        <f>IF(SUM($AE261:$AH261)=0,"",SUM($AE261:$AH261))</f>
        <v/>
      </c>
      <c r="AE261" s="123">
        <f>iferror(IF(SUM($AI261:$AZ261)=0,"",SUM($AI261:$AZ261)),"")</f>
        <v/>
      </c>
      <c r="AF261" s="123">
        <f>iferror(IF(SUM($BA261:$BC261)=0,"",SUM($BA261:$BC261)),"")</f>
        <v/>
      </c>
      <c r="AG261" s="123">
        <f>iferror(IF(SUM($BD261:$BF261)=0,"",SUM($BD261:$BF261)),"")</f>
        <v/>
      </c>
      <c r="AH261" s="124">
        <f>iferror(IF(SUM($BG261:$BI261)=0,"",SUM($BG261:$BI261)),"")</f>
        <v/>
      </c>
      <c r="AI261" s="131" t="n"/>
      <c r="AJ261" s="132" t="n"/>
      <c r="AK261" s="132" t="n"/>
      <c r="AL261" s="132" t="n"/>
      <c r="AM261" s="132" t="n"/>
      <c r="AN261" s="132" t="n"/>
      <c r="AO261" s="132" t="n"/>
      <c r="AP261" s="132" t="n"/>
      <c r="AQ261" s="132" t="n"/>
      <c r="AR261" s="132" t="n"/>
      <c r="AS261" s="132" t="n"/>
      <c r="AT261" s="132" t="n"/>
      <c r="AU261" s="132" t="n"/>
      <c r="AV261" s="132" t="n"/>
      <c r="AW261" s="132" t="n"/>
      <c r="AX261" s="132" t="n"/>
      <c r="AY261" s="132" t="n"/>
      <c r="AZ261" s="133" t="n"/>
      <c r="BA261" s="131" t="n"/>
      <c r="BB261" s="132" t="n"/>
      <c r="BC261" s="133" t="n"/>
      <c r="BD261" s="131" t="n"/>
      <c r="BE261" s="132" t="n"/>
      <c r="BF261" s="133" t="n"/>
      <c r="BG261" s="131" t="n"/>
      <c r="BH261" s="132" t="n"/>
      <c r="BI261" s="132" t="n"/>
      <c r="BJ261" s="128">
        <f>iferror(SUM($BK261,($BL261*1.2),($BM261*1.35),($BN261*0.74)),)</f>
        <v/>
      </c>
      <c r="BK261" s="128">
        <f>IFERROR(SUM($BT261:$CK261),)</f>
        <v/>
      </c>
      <c r="BL261" s="129">
        <f>IFERROR(SUM($CL261:$CN261),)</f>
        <v/>
      </c>
      <c r="BM261" s="130">
        <f>IFERROR(SUM($CO261:$CQ261),)</f>
        <v/>
      </c>
      <c r="BN261" s="128">
        <f>IFERROR(SUM($CR261:$CT261),)</f>
        <v/>
      </c>
      <c r="BO261" s="128">
        <f>iferror(SUM($BP261,($BQ261*1.2),($BR261*1.35),($BS261*0.74)),)</f>
        <v/>
      </c>
      <c r="BP261" s="128">
        <f>IFERROR(SUM($CU261:$DL261),)</f>
        <v/>
      </c>
      <c r="BQ261" s="128">
        <f>IFERROR(SUM($DM261:$DO261),)</f>
        <v/>
      </c>
      <c r="BR261" s="128">
        <f>IFERROR(SUM($DP261:$DR261),)</f>
        <v/>
      </c>
      <c r="BS261" s="128">
        <f>IFERROR(SUM($DS261:$DU261),)</f>
        <v/>
      </c>
      <c r="BT261" s="128">
        <f>IFERROR(AI261*$W261,)</f>
        <v/>
      </c>
      <c r="BU261" s="128">
        <f>IFERROR(AJ261*$W261,)</f>
        <v/>
      </c>
      <c r="BV261" s="128">
        <f>IFERROR(AK261*$W261,)</f>
        <v/>
      </c>
      <c r="BW261" s="128">
        <f>IFERROR(AL261*$W261,)</f>
        <v/>
      </c>
      <c r="BX261" s="128">
        <f>IFERROR(AM261*$W261,)</f>
        <v/>
      </c>
      <c r="BY261" s="128">
        <f>IFERROR(AN261*$W261,)</f>
        <v/>
      </c>
      <c r="BZ261" s="128">
        <f>IFERROR(AO261*$W261,)</f>
        <v/>
      </c>
      <c r="CA261" s="128">
        <f>IFERROR(AP261*$W261,)</f>
        <v/>
      </c>
      <c r="CB261" s="128">
        <f>IFERROR(AQ261*$W261,)</f>
        <v/>
      </c>
      <c r="CC261" s="128">
        <f>IFERROR(AR261*$W261,)</f>
        <v/>
      </c>
      <c r="CD261" s="128">
        <f>IFERROR(AS261*$W261,)</f>
        <v/>
      </c>
      <c r="CE261" s="128">
        <f>IFERROR(AT261*$W261,)</f>
        <v/>
      </c>
      <c r="CF261" s="128">
        <f>IFERROR(AU261*$W261,)</f>
        <v/>
      </c>
      <c r="CG261" s="128">
        <f>IFERROR(AV261*$W261,)</f>
        <v/>
      </c>
      <c r="CH261" s="128">
        <f>IFERROR(AW261*$W261,)</f>
        <v/>
      </c>
      <c r="CI261" s="128">
        <f>IFERROR(AX261*$W261,)</f>
        <v/>
      </c>
      <c r="CJ261" s="128">
        <f>IFERROR(AY261*$W261,)</f>
        <v/>
      </c>
      <c r="CK261" s="128">
        <f>IFERROR(AZ261*$W261,)</f>
        <v/>
      </c>
      <c r="CL261" s="129">
        <f>IFERROR(if($Y261=0,BA261*($W261/1.2),BA261*$Y261),"")</f>
        <v/>
      </c>
      <c r="CM261" s="129">
        <f>IFERROR(if($Y261=0,BB261*($W261/1.2),BB261*$Y261),"")</f>
        <v/>
      </c>
      <c r="CN261" s="129">
        <f>IFERROR(if($Y261=0,BC261*($W261/1.2),BC261*$Y261),"")</f>
        <v/>
      </c>
      <c r="CO261" s="130">
        <f>IFERROR(if($AA261=0,($W261/1.35)*BD261,BD261*$AA261),)</f>
        <v/>
      </c>
      <c r="CP261" s="130">
        <f>IFERROR(if($AA261=0,($W261/1.35)*BE261,BE261*$AA261),)</f>
        <v/>
      </c>
      <c r="CQ261" s="130">
        <f>IFERROR(if($AA261=0,($W261/1.35)*BF261,BF261*$AA261),)</f>
        <v/>
      </c>
      <c r="CR261" s="128">
        <f>IFERROR(if($AC261=0,($W261/0.74)*BG261,
BG261*$AC261),)</f>
        <v/>
      </c>
      <c r="CS261" s="128">
        <f>IFERROR(if($AC261=0,($W261/0.74)*BH261,
BH261*$AC261),)</f>
        <v/>
      </c>
      <c r="CT261" s="128">
        <f>IFERROR(if($AC261=0,($W261/0.74)*BI261,
BI261*$AC261),)</f>
        <v/>
      </c>
      <c r="CU261" s="128">
        <f>IFERROR(AI261*$V261,)</f>
        <v/>
      </c>
      <c r="CV261" s="128">
        <f>IFERROR(AJ261*$V261,)</f>
        <v/>
      </c>
      <c r="CW261" s="128">
        <f>IFERROR(AK261*$V261,)</f>
        <v/>
      </c>
      <c r="CX261" s="128">
        <f>IFERROR(AL261*$V261,)</f>
        <v/>
      </c>
      <c r="CY261" s="128">
        <f>IFERROR(AM261*$V261,)</f>
        <v/>
      </c>
      <c r="CZ261" s="128">
        <f>IFERROR(AN261*$V261,)</f>
        <v/>
      </c>
      <c r="DA261" s="128">
        <f>IFERROR(AO261*$V261,)</f>
        <v/>
      </c>
      <c r="DB261" s="128">
        <f>IFERROR(AP261*$V261,)</f>
        <v/>
      </c>
      <c r="DC261" s="128">
        <f>IFERROR(AQ261*$V261,)</f>
        <v/>
      </c>
      <c r="DD261" s="128">
        <f>IFERROR(AR261*$V261,)</f>
        <v/>
      </c>
      <c r="DE261" s="128">
        <f>IFERROR(AS261*$V261,)</f>
        <v/>
      </c>
      <c r="DF261" s="128">
        <f>IFERROR(AT261*$V261,)</f>
        <v/>
      </c>
      <c r="DG261" s="128">
        <f>IFERROR(AU261*$V261,)</f>
        <v/>
      </c>
      <c r="DH261" s="128">
        <f>IFERROR(AV261*$V261,)</f>
        <v/>
      </c>
      <c r="DI261" s="128">
        <f>IFERROR(AW261*$V261,)</f>
        <v/>
      </c>
      <c r="DJ261" s="128">
        <f>IFERROR(AX261*$V261,)</f>
        <v/>
      </c>
      <c r="DK261" s="128">
        <f>IFERROR(AY261*$V261,)</f>
        <v/>
      </c>
      <c r="DL261" s="128">
        <f>IFERROR(AZ261*$V261,)</f>
        <v/>
      </c>
      <c r="DM261" s="129">
        <f>IFERROR(if($X261=0,($V261/1.2)*BA261,
BA261*$X261),)</f>
        <v/>
      </c>
      <c r="DN261" s="129">
        <f>IFERROR(if($X261=0,($V261/1.2)*BB261,
BB261*$X261),)</f>
        <v/>
      </c>
      <c r="DO261" s="129">
        <f>IFERROR(if($X261=0,($V261/1.2)*BC261,
BC261*$X261),)</f>
        <v/>
      </c>
      <c r="DP261" s="130">
        <f>IFERROR(if($Z261=0,($V261/1.35)*BD261,
BD261*$Z261),)</f>
        <v/>
      </c>
      <c r="DQ261" s="130">
        <f>IFERROR(if($Z261=0,($V261/1.35)*BE261,
BE261*$Z261),)</f>
        <v/>
      </c>
      <c r="DR261" s="130">
        <f>IFERROR(if($Z261=0,($V261/1.35)*BF261,
BF261*$Z261),)</f>
        <v/>
      </c>
      <c r="DS261" s="128">
        <f>IFERROR(IF($AB261=0,($V261/0.74)*BG261,
BG261*$AB261),)</f>
        <v/>
      </c>
      <c r="DT261" s="128">
        <f>IFERROR(IF($AB261=0,($V261/0.74)*BH261,
BH261*$AB261),)</f>
        <v/>
      </c>
      <c r="DU261" s="128">
        <f>IFERROR(IF($AB261=0,($V261/0.74)*BI261,
BI261*$AB261),)</f>
        <v/>
      </c>
    </row>
    <row r="262" ht="131.25" customHeight="1" s="162">
      <c r="A262" s="115" t="n"/>
      <c r="B262" s="115" t="n"/>
      <c r="C262" s="115" t="n"/>
      <c r="D262" s="115" t="n"/>
      <c r="E262" s="115" t="n"/>
      <c r="F262" s="115" t="n"/>
      <c r="G262" s="115" t="n"/>
      <c r="H262" s="115" t="n"/>
      <c r="I262" s="115" t="n"/>
      <c r="J262" s="115" t="n"/>
      <c r="K262" s="115" t="n"/>
      <c r="L262" s="115" t="n"/>
      <c r="M262" s="115" t="n"/>
      <c r="N262" s="115" t="n"/>
      <c r="O262" s="115" t="n"/>
      <c r="P262" s="115" t="n"/>
      <c r="Q262" s="115" t="n"/>
      <c r="R262" s="115" t="n"/>
      <c r="S262" s="115" t="n"/>
      <c r="T262" s="115" t="n"/>
      <c r="U262" s="116" t="n"/>
      <c r="V262" s="116" t="n"/>
      <c r="W262" s="117" t="n"/>
      <c r="X262" s="118" t="n"/>
      <c r="Y262" s="119" t="n"/>
      <c r="Z262" s="120" t="n"/>
      <c r="AA262" s="121" t="n"/>
      <c r="AB262" s="122" t="n"/>
      <c r="AC262" s="117" t="n"/>
      <c r="AD262" s="123">
        <f>IF(SUM($AE262:$AH262)=0,"",SUM($AE262:$AH262))</f>
        <v/>
      </c>
      <c r="AE262" s="123">
        <f>iferror(IF(SUM($AI262:$AZ262)=0,"",SUM($AI262:$AZ262)),"")</f>
        <v/>
      </c>
      <c r="AF262" s="123">
        <f>iferror(IF(SUM($BA262:$BC262)=0,"",SUM($BA262:$BC262)),"")</f>
        <v/>
      </c>
      <c r="AG262" s="123">
        <f>iferror(IF(SUM($BD262:$BF262)=0,"",SUM($BD262:$BF262)),"")</f>
        <v/>
      </c>
      <c r="AH262" s="124">
        <f>iferror(IF(SUM($BG262:$BI262)=0,"",SUM($BG262:$BI262)),"")</f>
        <v/>
      </c>
      <c r="AI262" s="131" t="n"/>
      <c r="AJ262" s="132" t="n"/>
      <c r="AK262" s="132" t="n"/>
      <c r="AL262" s="132" t="n"/>
      <c r="AM262" s="132" t="n"/>
      <c r="AN262" s="132" t="n"/>
      <c r="AO262" s="132" t="n"/>
      <c r="AP262" s="132" t="n"/>
      <c r="AQ262" s="132" t="n"/>
      <c r="AR262" s="132" t="n"/>
      <c r="AS262" s="132" t="n"/>
      <c r="AT262" s="132" t="n"/>
      <c r="AU262" s="132" t="n"/>
      <c r="AV262" s="132" t="n"/>
      <c r="AW262" s="132" t="n"/>
      <c r="AX262" s="132" t="n"/>
      <c r="AY262" s="132" t="n"/>
      <c r="AZ262" s="133" t="n"/>
      <c r="BA262" s="131" t="n"/>
      <c r="BB262" s="132" t="n"/>
      <c r="BC262" s="133" t="n"/>
      <c r="BD262" s="131" t="n"/>
      <c r="BE262" s="132" t="n"/>
      <c r="BF262" s="133" t="n"/>
      <c r="BG262" s="131" t="n"/>
      <c r="BH262" s="132" t="n"/>
      <c r="BI262" s="132" t="n"/>
      <c r="BJ262" s="128">
        <f>iferror(SUM($BK262,($BL262*1.2),($BM262*1.35),($BN262*0.74)),)</f>
        <v/>
      </c>
      <c r="BK262" s="128">
        <f>IFERROR(SUM($BT262:$CK262),)</f>
        <v/>
      </c>
      <c r="BL262" s="129">
        <f>IFERROR(SUM($CL262:$CN262),)</f>
        <v/>
      </c>
      <c r="BM262" s="130">
        <f>IFERROR(SUM($CO262:$CQ262),)</f>
        <v/>
      </c>
      <c r="BN262" s="128">
        <f>IFERROR(SUM($CR262:$CT262),)</f>
        <v/>
      </c>
      <c r="BO262" s="128">
        <f>iferror(SUM($BP262,($BQ262*1.2),($BR262*1.35),($BS262*0.74)),)</f>
        <v/>
      </c>
      <c r="BP262" s="128">
        <f>IFERROR(SUM($CU262:$DL262),)</f>
        <v/>
      </c>
      <c r="BQ262" s="128">
        <f>IFERROR(SUM($DM262:$DO262),)</f>
        <v/>
      </c>
      <c r="BR262" s="128">
        <f>IFERROR(SUM($DP262:$DR262),)</f>
        <v/>
      </c>
      <c r="BS262" s="128">
        <f>IFERROR(SUM($DS262:$DU262),)</f>
        <v/>
      </c>
      <c r="BT262" s="128">
        <f>IFERROR(AI262*$W262,)</f>
        <v/>
      </c>
      <c r="BU262" s="128">
        <f>IFERROR(AJ262*$W262,)</f>
        <v/>
      </c>
      <c r="BV262" s="128">
        <f>IFERROR(AK262*$W262,)</f>
        <v/>
      </c>
      <c r="BW262" s="128">
        <f>IFERROR(AL262*$W262,)</f>
        <v/>
      </c>
      <c r="BX262" s="128">
        <f>IFERROR(AM262*$W262,)</f>
        <v/>
      </c>
      <c r="BY262" s="128">
        <f>IFERROR(AN262*$W262,)</f>
        <v/>
      </c>
      <c r="BZ262" s="128">
        <f>IFERROR(AO262*$W262,)</f>
        <v/>
      </c>
      <c r="CA262" s="128">
        <f>IFERROR(AP262*$W262,)</f>
        <v/>
      </c>
      <c r="CB262" s="128">
        <f>IFERROR(AQ262*$W262,)</f>
        <v/>
      </c>
      <c r="CC262" s="128">
        <f>IFERROR(AR262*$W262,)</f>
        <v/>
      </c>
      <c r="CD262" s="128">
        <f>IFERROR(AS262*$W262,)</f>
        <v/>
      </c>
      <c r="CE262" s="128">
        <f>IFERROR(AT262*$W262,)</f>
        <v/>
      </c>
      <c r="CF262" s="128">
        <f>IFERROR(AU262*$W262,)</f>
        <v/>
      </c>
      <c r="CG262" s="128">
        <f>IFERROR(AV262*$W262,)</f>
        <v/>
      </c>
      <c r="CH262" s="128">
        <f>IFERROR(AW262*$W262,)</f>
        <v/>
      </c>
      <c r="CI262" s="128">
        <f>IFERROR(AX262*$W262,)</f>
        <v/>
      </c>
      <c r="CJ262" s="128">
        <f>IFERROR(AY262*$W262,)</f>
        <v/>
      </c>
      <c r="CK262" s="128">
        <f>IFERROR(AZ262*$W262,)</f>
        <v/>
      </c>
      <c r="CL262" s="129">
        <f>IFERROR(if($Y262=0,BA262*($W262/1.2),BA262*$Y262),"")</f>
        <v/>
      </c>
      <c r="CM262" s="129">
        <f>IFERROR(if($Y262=0,BB262*($W262/1.2),BB262*$Y262),"")</f>
        <v/>
      </c>
      <c r="CN262" s="129">
        <f>IFERROR(if($Y262=0,BC262*($W262/1.2),BC262*$Y262),"")</f>
        <v/>
      </c>
      <c r="CO262" s="130">
        <f>IFERROR(if($AA262=0,($W262/1.35)*BD262,BD262*$AA262),)</f>
        <v/>
      </c>
      <c r="CP262" s="130">
        <f>IFERROR(if($AA262=0,($W262/1.35)*BE262,BE262*$AA262),)</f>
        <v/>
      </c>
      <c r="CQ262" s="130">
        <f>IFERROR(if($AA262=0,($W262/1.35)*BF262,BF262*$AA262),)</f>
        <v/>
      </c>
      <c r="CR262" s="128">
        <f>IFERROR(if($AC262=0,($W262/0.74)*BG262,
BG262*$AC262),)</f>
        <v/>
      </c>
      <c r="CS262" s="128">
        <f>IFERROR(if($AC262=0,($W262/0.74)*BH262,
BH262*$AC262),)</f>
        <v/>
      </c>
      <c r="CT262" s="128">
        <f>IFERROR(if($AC262=0,($W262/0.74)*BI262,
BI262*$AC262),)</f>
        <v/>
      </c>
      <c r="CU262" s="128">
        <f>IFERROR(AI262*$V262,)</f>
        <v/>
      </c>
      <c r="CV262" s="128">
        <f>IFERROR(AJ262*$V262,)</f>
        <v/>
      </c>
      <c r="CW262" s="128">
        <f>IFERROR(AK262*$V262,)</f>
        <v/>
      </c>
      <c r="CX262" s="128">
        <f>IFERROR(AL262*$V262,)</f>
        <v/>
      </c>
      <c r="CY262" s="128">
        <f>IFERROR(AM262*$V262,)</f>
        <v/>
      </c>
      <c r="CZ262" s="128">
        <f>IFERROR(AN262*$V262,)</f>
        <v/>
      </c>
      <c r="DA262" s="128">
        <f>IFERROR(AO262*$V262,)</f>
        <v/>
      </c>
      <c r="DB262" s="128">
        <f>IFERROR(AP262*$V262,)</f>
        <v/>
      </c>
      <c r="DC262" s="128">
        <f>IFERROR(AQ262*$V262,)</f>
        <v/>
      </c>
      <c r="DD262" s="128">
        <f>IFERROR(AR262*$V262,)</f>
        <v/>
      </c>
      <c r="DE262" s="128">
        <f>IFERROR(AS262*$V262,)</f>
        <v/>
      </c>
      <c r="DF262" s="128">
        <f>IFERROR(AT262*$V262,)</f>
        <v/>
      </c>
      <c r="DG262" s="128">
        <f>IFERROR(AU262*$V262,)</f>
        <v/>
      </c>
      <c r="DH262" s="128">
        <f>IFERROR(AV262*$V262,)</f>
        <v/>
      </c>
      <c r="DI262" s="128">
        <f>IFERROR(AW262*$V262,)</f>
        <v/>
      </c>
      <c r="DJ262" s="128">
        <f>IFERROR(AX262*$V262,)</f>
        <v/>
      </c>
      <c r="DK262" s="128">
        <f>IFERROR(AY262*$V262,)</f>
        <v/>
      </c>
      <c r="DL262" s="128">
        <f>IFERROR(AZ262*$V262,)</f>
        <v/>
      </c>
      <c r="DM262" s="129">
        <f>IFERROR(if($X262=0,($V262/1.2)*BA262,
BA262*$X262),)</f>
        <v/>
      </c>
      <c r="DN262" s="129">
        <f>IFERROR(if($X262=0,($V262/1.2)*BB262,
BB262*$X262),)</f>
        <v/>
      </c>
      <c r="DO262" s="129">
        <f>IFERROR(if($X262=0,($V262/1.2)*BC262,
BC262*$X262),)</f>
        <v/>
      </c>
      <c r="DP262" s="130">
        <f>IFERROR(if($Z262=0,($V262/1.35)*BD262,
BD262*$Z262),)</f>
        <v/>
      </c>
      <c r="DQ262" s="130">
        <f>IFERROR(if($Z262=0,($V262/1.35)*BE262,
BE262*$Z262),)</f>
        <v/>
      </c>
      <c r="DR262" s="130">
        <f>IFERROR(if($Z262=0,($V262/1.35)*BF262,
BF262*$Z262),)</f>
        <v/>
      </c>
      <c r="DS262" s="128">
        <f>IFERROR(IF($AB262=0,($V262/0.74)*BG262,
BG262*$AB262),)</f>
        <v/>
      </c>
      <c r="DT262" s="128">
        <f>IFERROR(IF($AB262=0,($V262/0.74)*BH262,
BH262*$AB262),)</f>
        <v/>
      </c>
      <c r="DU262" s="128">
        <f>IFERROR(IF($AB262=0,($V262/0.74)*BI262,
BI262*$AB262),)</f>
        <v/>
      </c>
    </row>
    <row r="263" ht="131.25" customHeight="1" s="162">
      <c r="A263" s="115" t="n"/>
      <c r="B263" s="115" t="n"/>
      <c r="C263" s="115" t="n"/>
      <c r="D263" s="115" t="n"/>
      <c r="E263" s="115" t="n"/>
      <c r="F263" s="115" t="n"/>
      <c r="G263" s="115" t="n"/>
      <c r="H263" s="115" t="n"/>
      <c r="I263" s="115" t="n"/>
      <c r="J263" s="115" t="n"/>
      <c r="K263" s="115" t="n"/>
      <c r="L263" s="115" t="n"/>
      <c r="M263" s="115" t="n"/>
      <c r="N263" s="115" t="n"/>
      <c r="O263" s="115" t="n"/>
      <c r="P263" s="115" t="n"/>
      <c r="Q263" s="115" t="n"/>
      <c r="R263" s="115" t="n"/>
      <c r="S263" s="115" t="n"/>
      <c r="T263" s="115" t="n"/>
      <c r="U263" s="116" t="n"/>
      <c r="V263" s="116" t="n"/>
      <c r="W263" s="117" t="n"/>
      <c r="X263" s="118" t="n"/>
      <c r="Y263" s="119" t="n"/>
      <c r="Z263" s="120" t="n"/>
      <c r="AA263" s="121" t="n"/>
      <c r="AB263" s="122" t="n"/>
      <c r="AC263" s="117" t="n"/>
      <c r="AD263" s="123">
        <f>IF(SUM($AE263:$AH263)=0,"",SUM($AE263:$AH263))</f>
        <v/>
      </c>
      <c r="AE263" s="123">
        <f>iferror(IF(SUM($AI263:$AZ263)=0,"",SUM($AI263:$AZ263)),"")</f>
        <v/>
      </c>
      <c r="AF263" s="123">
        <f>iferror(IF(SUM($BA263:$BC263)=0,"",SUM($BA263:$BC263)),"")</f>
        <v/>
      </c>
      <c r="AG263" s="123">
        <f>iferror(IF(SUM($BD263:$BF263)=0,"",SUM($BD263:$BF263)),"")</f>
        <v/>
      </c>
      <c r="AH263" s="124">
        <f>iferror(IF(SUM($BG263:$BI263)=0,"",SUM($BG263:$BI263)),"")</f>
        <v/>
      </c>
      <c r="AI263" s="131" t="n"/>
      <c r="AJ263" s="132" t="n"/>
      <c r="AK263" s="132" t="n"/>
      <c r="AL263" s="132" t="n"/>
      <c r="AM263" s="132" t="n"/>
      <c r="AN263" s="132" t="n"/>
      <c r="AO263" s="132" t="n"/>
      <c r="AP263" s="132" t="n"/>
      <c r="AQ263" s="132" t="n"/>
      <c r="AR263" s="132" t="n"/>
      <c r="AS263" s="132" t="n"/>
      <c r="AT263" s="132" t="n"/>
      <c r="AU263" s="132" t="n"/>
      <c r="AV263" s="132" t="n"/>
      <c r="AW263" s="132" t="n"/>
      <c r="AX263" s="132" t="n"/>
      <c r="AY263" s="132" t="n"/>
      <c r="AZ263" s="133" t="n"/>
      <c r="BA263" s="131" t="n"/>
      <c r="BB263" s="132" t="n"/>
      <c r="BC263" s="133" t="n"/>
      <c r="BD263" s="131" t="n"/>
      <c r="BE263" s="132" t="n"/>
      <c r="BF263" s="133" t="n"/>
      <c r="BG263" s="131" t="n"/>
      <c r="BH263" s="132" t="n"/>
      <c r="BI263" s="132" t="n"/>
      <c r="BJ263" s="128">
        <f>iferror(SUM($BK263,($BL263*1.2),($BM263*1.35),($BN263*0.74)),)</f>
        <v/>
      </c>
      <c r="BK263" s="128">
        <f>IFERROR(SUM($BT263:$CK263),)</f>
        <v/>
      </c>
      <c r="BL263" s="129">
        <f>IFERROR(SUM($CL263:$CN263),)</f>
        <v/>
      </c>
      <c r="BM263" s="130">
        <f>IFERROR(SUM($CO263:$CQ263),)</f>
        <v/>
      </c>
      <c r="BN263" s="128">
        <f>IFERROR(SUM($CR263:$CT263),)</f>
        <v/>
      </c>
      <c r="BO263" s="128">
        <f>iferror(SUM($BP263,($BQ263*1.2),($BR263*1.35),($BS263*0.74)),)</f>
        <v/>
      </c>
      <c r="BP263" s="128">
        <f>IFERROR(SUM($CU263:$DL263),)</f>
        <v/>
      </c>
      <c r="BQ263" s="128">
        <f>IFERROR(SUM($DM263:$DO263),)</f>
        <v/>
      </c>
      <c r="BR263" s="128">
        <f>IFERROR(SUM($DP263:$DR263),)</f>
        <v/>
      </c>
      <c r="BS263" s="128">
        <f>IFERROR(SUM($DS263:$DU263),)</f>
        <v/>
      </c>
      <c r="BT263" s="128">
        <f>IFERROR(AI263*$W263,)</f>
        <v/>
      </c>
      <c r="BU263" s="128">
        <f>IFERROR(AJ263*$W263,)</f>
        <v/>
      </c>
      <c r="BV263" s="128">
        <f>IFERROR(AK263*$W263,)</f>
        <v/>
      </c>
      <c r="BW263" s="128">
        <f>IFERROR(AL263*$W263,)</f>
        <v/>
      </c>
      <c r="BX263" s="128">
        <f>IFERROR(AM263*$W263,)</f>
        <v/>
      </c>
      <c r="BY263" s="128">
        <f>IFERROR(AN263*$W263,)</f>
        <v/>
      </c>
      <c r="BZ263" s="128">
        <f>IFERROR(AO263*$W263,)</f>
        <v/>
      </c>
      <c r="CA263" s="128">
        <f>IFERROR(AP263*$W263,)</f>
        <v/>
      </c>
      <c r="CB263" s="128">
        <f>IFERROR(AQ263*$W263,)</f>
        <v/>
      </c>
      <c r="CC263" s="128">
        <f>IFERROR(AR263*$W263,)</f>
        <v/>
      </c>
      <c r="CD263" s="128">
        <f>IFERROR(AS263*$W263,)</f>
        <v/>
      </c>
      <c r="CE263" s="128">
        <f>IFERROR(AT263*$W263,)</f>
        <v/>
      </c>
      <c r="CF263" s="128">
        <f>IFERROR(AU263*$W263,)</f>
        <v/>
      </c>
      <c r="CG263" s="128">
        <f>IFERROR(AV263*$W263,)</f>
        <v/>
      </c>
      <c r="CH263" s="128">
        <f>IFERROR(AW263*$W263,)</f>
        <v/>
      </c>
      <c r="CI263" s="128">
        <f>IFERROR(AX263*$W263,)</f>
        <v/>
      </c>
      <c r="CJ263" s="128">
        <f>IFERROR(AY263*$W263,)</f>
        <v/>
      </c>
      <c r="CK263" s="128">
        <f>IFERROR(AZ263*$W263,)</f>
        <v/>
      </c>
      <c r="CL263" s="129">
        <f>IFERROR(if($Y263=0,BA263*($W263/1.2),BA263*$Y263),"")</f>
        <v/>
      </c>
      <c r="CM263" s="129">
        <f>IFERROR(if($Y263=0,BB263*($W263/1.2),BB263*$Y263),"")</f>
        <v/>
      </c>
      <c r="CN263" s="129">
        <f>IFERROR(if($Y263=0,BC263*($W263/1.2),BC263*$Y263),"")</f>
        <v/>
      </c>
      <c r="CO263" s="130">
        <f>IFERROR(if($AA263=0,($W263/1.35)*BD263,BD263*$AA263),)</f>
        <v/>
      </c>
      <c r="CP263" s="130">
        <f>IFERROR(if($AA263=0,($W263/1.35)*BE263,BE263*$AA263),)</f>
        <v/>
      </c>
      <c r="CQ263" s="130">
        <f>IFERROR(if($AA263=0,($W263/1.35)*BF263,BF263*$AA263),)</f>
        <v/>
      </c>
      <c r="CR263" s="128">
        <f>IFERROR(if($AC263=0,($W263/0.74)*BG263,
BG263*$AC263),)</f>
        <v/>
      </c>
      <c r="CS263" s="128">
        <f>IFERROR(if($AC263=0,($W263/0.74)*BH263,
BH263*$AC263),)</f>
        <v/>
      </c>
      <c r="CT263" s="128">
        <f>IFERROR(if($AC263=0,($W263/0.74)*BI263,
BI263*$AC263),)</f>
        <v/>
      </c>
      <c r="CU263" s="128">
        <f>IFERROR(AI263*$V263,)</f>
        <v/>
      </c>
      <c r="CV263" s="128">
        <f>IFERROR(AJ263*$V263,)</f>
        <v/>
      </c>
      <c r="CW263" s="128">
        <f>IFERROR(AK263*$V263,)</f>
        <v/>
      </c>
      <c r="CX263" s="128">
        <f>IFERROR(AL263*$V263,)</f>
        <v/>
      </c>
      <c r="CY263" s="128">
        <f>IFERROR(AM263*$V263,)</f>
        <v/>
      </c>
      <c r="CZ263" s="128">
        <f>IFERROR(AN263*$V263,)</f>
        <v/>
      </c>
      <c r="DA263" s="128">
        <f>IFERROR(AO263*$V263,)</f>
        <v/>
      </c>
      <c r="DB263" s="128">
        <f>IFERROR(AP263*$V263,)</f>
        <v/>
      </c>
      <c r="DC263" s="128">
        <f>IFERROR(AQ263*$V263,)</f>
        <v/>
      </c>
      <c r="DD263" s="128">
        <f>IFERROR(AR263*$V263,)</f>
        <v/>
      </c>
      <c r="DE263" s="128">
        <f>IFERROR(AS263*$V263,)</f>
        <v/>
      </c>
      <c r="DF263" s="128">
        <f>IFERROR(AT263*$V263,)</f>
        <v/>
      </c>
      <c r="DG263" s="128">
        <f>IFERROR(AU263*$V263,)</f>
        <v/>
      </c>
      <c r="DH263" s="128">
        <f>IFERROR(AV263*$V263,)</f>
        <v/>
      </c>
      <c r="DI263" s="128">
        <f>IFERROR(AW263*$V263,)</f>
        <v/>
      </c>
      <c r="DJ263" s="128">
        <f>IFERROR(AX263*$V263,)</f>
        <v/>
      </c>
      <c r="DK263" s="128">
        <f>IFERROR(AY263*$V263,)</f>
        <v/>
      </c>
      <c r="DL263" s="128">
        <f>IFERROR(AZ263*$V263,)</f>
        <v/>
      </c>
      <c r="DM263" s="129">
        <f>IFERROR(if($X263=0,($V263/1.2)*BA263,
BA263*$X263),)</f>
        <v/>
      </c>
      <c r="DN263" s="129">
        <f>IFERROR(if($X263=0,($V263/1.2)*BB263,
BB263*$X263),)</f>
        <v/>
      </c>
      <c r="DO263" s="129">
        <f>IFERROR(if($X263=0,($V263/1.2)*BC263,
BC263*$X263),)</f>
        <v/>
      </c>
      <c r="DP263" s="130">
        <f>IFERROR(if($Z263=0,($V263/1.35)*BD263,
BD263*$Z263),)</f>
        <v/>
      </c>
      <c r="DQ263" s="130">
        <f>IFERROR(if($Z263=0,($V263/1.35)*BE263,
BE263*$Z263),)</f>
        <v/>
      </c>
      <c r="DR263" s="130">
        <f>IFERROR(if($Z263=0,($V263/1.35)*BF263,
BF263*$Z263),)</f>
        <v/>
      </c>
      <c r="DS263" s="128">
        <f>IFERROR(IF($AB263=0,($V263/0.74)*BG263,
BG263*$AB263),)</f>
        <v/>
      </c>
      <c r="DT263" s="128">
        <f>IFERROR(IF($AB263=0,($V263/0.74)*BH263,
BH263*$AB263),)</f>
        <v/>
      </c>
      <c r="DU263" s="128">
        <f>IFERROR(IF($AB263=0,($V263/0.74)*BI263,
BI263*$AB263),)</f>
        <v/>
      </c>
    </row>
    <row r="264" ht="131.25" customHeight="1" s="162">
      <c r="A264" s="115" t="n"/>
      <c r="B264" s="115" t="n"/>
      <c r="C264" s="115" t="n"/>
      <c r="D264" s="115" t="n"/>
      <c r="E264" s="115" t="n"/>
      <c r="F264" s="115" t="n"/>
      <c r="G264" s="115" t="n"/>
      <c r="H264" s="115" t="n"/>
      <c r="I264" s="115" t="n"/>
      <c r="J264" s="115" t="n"/>
      <c r="K264" s="115" t="n"/>
      <c r="L264" s="115" t="n"/>
      <c r="M264" s="115" t="n"/>
      <c r="N264" s="115" t="n"/>
      <c r="O264" s="115" t="n"/>
      <c r="P264" s="115" t="n"/>
      <c r="Q264" s="115" t="n"/>
      <c r="R264" s="115" t="n"/>
      <c r="S264" s="115" t="n"/>
      <c r="T264" s="115" t="n"/>
      <c r="U264" s="116" t="n"/>
      <c r="V264" s="116" t="n"/>
      <c r="W264" s="117" t="n"/>
      <c r="X264" s="118" t="n"/>
      <c r="Y264" s="119" t="n"/>
      <c r="Z264" s="120" t="n"/>
      <c r="AA264" s="121" t="n"/>
      <c r="AB264" s="122" t="n"/>
      <c r="AC264" s="117" t="n"/>
      <c r="AD264" s="123">
        <f>IF(SUM($AE264:$AH264)=0,"",SUM($AE264:$AH264))</f>
        <v/>
      </c>
      <c r="AE264" s="123">
        <f>iferror(IF(SUM($AI264:$AZ264)=0,"",SUM($AI264:$AZ264)),"")</f>
        <v/>
      </c>
      <c r="AF264" s="123">
        <f>iferror(IF(SUM($BA264:$BC264)=0,"",SUM($BA264:$BC264)),"")</f>
        <v/>
      </c>
      <c r="AG264" s="123">
        <f>iferror(IF(SUM($BD264:$BF264)=0,"",SUM($BD264:$BF264)),"")</f>
        <v/>
      </c>
      <c r="AH264" s="124">
        <f>iferror(IF(SUM($BG264:$BI264)=0,"",SUM($BG264:$BI264)),"")</f>
        <v/>
      </c>
      <c r="AI264" s="131" t="n"/>
      <c r="AJ264" s="132" t="n"/>
      <c r="AK264" s="132" t="n"/>
      <c r="AL264" s="132" t="n"/>
      <c r="AM264" s="132" t="n"/>
      <c r="AN264" s="132" t="n"/>
      <c r="AO264" s="132" t="n"/>
      <c r="AP264" s="132" t="n"/>
      <c r="AQ264" s="132" t="n"/>
      <c r="AR264" s="132" t="n"/>
      <c r="AS264" s="132" t="n"/>
      <c r="AT264" s="132" t="n"/>
      <c r="AU264" s="132" t="n"/>
      <c r="AV264" s="132" t="n"/>
      <c r="AW264" s="132" t="n"/>
      <c r="AX264" s="132" t="n"/>
      <c r="AY264" s="132" t="n"/>
      <c r="AZ264" s="133" t="n"/>
      <c r="BA264" s="131" t="n"/>
      <c r="BB264" s="132" t="n"/>
      <c r="BC264" s="133" t="n"/>
      <c r="BD264" s="131" t="n"/>
      <c r="BE264" s="132" t="n"/>
      <c r="BF264" s="133" t="n"/>
      <c r="BG264" s="131" t="n"/>
      <c r="BH264" s="132" t="n"/>
      <c r="BI264" s="132" t="n"/>
      <c r="BJ264" s="128">
        <f>iferror(SUM($BK264,($BL264*1.2),($BM264*1.35),($BN264*0.74)),)</f>
        <v/>
      </c>
      <c r="BK264" s="128">
        <f>IFERROR(SUM($BT264:$CK264),)</f>
        <v/>
      </c>
      <c r="BL264" s="129">
        <f>IFERROR(SUM($CL264:$CN264),)</f>
        <v/>
      </c>
      <c r="BM264" s="130">
        <f>IFERROR(SUM($CO264:$CQ264),)</f>
        <v/>
      </c>
      <c r="BN264" s="128">
        <f>IFERROR(SUM($CR264:$CT264),)</f>
        <v/>
      </c>
      <c r="BO264" s="128">
        <f>iferror(SUM($BP264,($BQ264*1.2),($BR264*1.35),($BS264*0.74)),)</f>
        <v/>
      </c>
      <c r="BP264" s="128">
        <f>IFERROR(SUM($CU264:$DL264),)</f>
        <v/>
      </c>
      <c r="BQ264" s="128">
        <f>IFERROR(SUM($DM264:$DO264),)</f>
        <v/>
      </c>
      <c r="BR264" s="128">
        <f>IFERROR(SUM($DP264:$DR264),)</f>
        <v/>
      </c>
      <c r="BS264" s="128">
        <f>IFERROR(SUM($DS264:$DU264),)</f>
        <v/>
      </c>
      <c r="BT264" s="128">
        <f>IFERROR(AI264*$W264,)</f>
        <v/>
      </c>
      <c r="BU264" s="128">
        <f>IFERROR(AJ264*$W264,)</f>
        <v/>
      </c>
      <c r="BV264" s="128">
        <f>IFERROR(AK264*$W264,)</f>
        <v/>
      </c>
      <c r="BW264" s="128">
        <f>IFERROR(AL264*$W264,)</f>
        <v/>
      </c>
      <c r="BX264" s="128">
        <f>IFERROR(AM264*$W264,)</f>
        <v/>
      </c>
      <c r="BY264" s="128">
        <f>IFERROR(AN264*$W264,)</f>
        <v/>
      </c>
      <c r="BZ264" s="128">
        <f>IFERROR(AO264*$W264,)</f>
        <v/>
      </c>
      <c r="CA264" s="128">
        <f>IFERROR(AP264*$W264,)</f>
        <v/>
      </c>
      <c r="CB264" s="128">
        <f>IFERROR(AQ264*$W264,)</f>
        <v/>
      </c>
      <c r="CC264" s="128">
        <f>IFERROR(AR264*$W264,)</f>
        <v/>
      </c>
      <c r="CD264" s="128">
        <f>IFERROR(AS264*$W264,)</f>
        <v/>
      </c>
      <c r="CE264" s="128">
        <f>IFERROR(AT264*$W264,)</f>
        <v/>
      </c>
      <c r="CF264" s="128">
        <f>IFERROR(AU264*$W264,)</f>
        <v/>
      </c>
      <c r="CG264" s="128">
        <f>IFERROR(AV264*$W264,)</f>
        <v/>
      </c>
      <c r="CH264" s="128">
        <f>IFERROR(AW264*$W264,)</f>
        <v/>
      </c>
      <c r="CI264" s="128">
        <f>IFERROR(AX264*$W264,)</f>
        <v/>
      </c>
      <c r="CJ264" s="128">
        <f>IFERROR(AY264*$W264,)</f>
        <v/>
      </c>
      <c r="CK264" s="128">
        <f>IFERROR(AZ264*$W264,)</f>
        <v/>
      </c>
      <c r="CL264" s="129">
        <f>IFERROR(if($Y264=0,BA264*($W264/1.2),BA264*$Y264),"")</f>
        <v/>
      </c>
      <c r="CM264" s="129">
        <f>IFERROR(if($Y264=0,BB264*($W264/1.2),BB264*$Y264),"")</f>
        <v/>
      </c>
      <c r="CN264" s="129">
        <f>IFERROR(if($Y264=0,BC264*($W264/1.2),BC264*$Y264),"")</f>
        <v/>
      </c>
      <c r="CO264" s="130">
        <f>IFERROR(if($AA264=0,($W264/1.35)*BD264,BD264*$AA264),)</f>
        <v/>
      </c>
      <c r="CP264" s="130">
        <f>IFERROR(if($AA264=0,($W264/1.35)*BE264,BE264*$AA264),)</f>
        <v/>
      </c>
      <c r="CQ264" s="130">
        <f>IFERROR(if($AA264=0,($W264/1.35)*BF264,BF264*$AA264),)</f>
        <v/>
      </c>
      <c r="CR264" s="128">
        <f>IFERROR(if($AC264=0,($W264/0.74)*BG264,
BG264*$AC264),)</f>
        <v/>
      </c>
      <c r="CS264" s="128">
        <f>IFERROR(if($AC264=0,($W264/0.74)*BH264,
BH264*$AC264),)</f>
        <v/>
      </c>
      <c r="CT264" s="128">
        <f>IFERROR(if($AC264=0,($W264/0.74)*BI264,
BI264*$AC264),)</f>
        <v/>
      </c>
      <c r="CU264" s="128">
        <f>IFERROR(AI264*$V264,)</f>
        <v/>
      </c>
      <c r="CV264" s="128">
        <f>IFERROR(AJ264*$V264,)</f>
        <v/>
      </c>
      <c r="CW264" s="128">
        <f>IFERROR(AK264*$V264,)</f>
        <v/>
      </c>
      <c r="CX264" s="128">
        <f>IFERROR(AL264*$V264,)</f>
        <v/>
      </c>
      <c r="CY264" s="128">
        <f>IFERROR(AM264*$V264,)</f>
        <v/>
      </c>
      <c r="CZ264" s="128">
        <f>IFERROR(AN264*$V264,)</f>
        <v/>
      </c>
      <c r="DA264" s="128">
        <f>IFERROR(AO264*$V264,)</f>
        <v/>
      </c>
      <c r="DB264" s="128">
        <f>IFERROR(AP264*$V264,)</f>
        <v/>
      </c>
      <c r="DC264" s="128">
        <f>IFERROR(AQ264*$V264,)</f>
        <v/>
      </c>
      <c r="DD264" s="128">
        <f>IFERROR(AR264*$V264,)</f>
        <v/>
      </c>
      <c r="DE264" s="128">
        <f>IFERROR(AS264*$V264,)</f>
        <v/>
      </c>
      <c r="DF264" s="128">
        <f>IFERROR(AT264*$V264,)</f>
        <v/>
      </c>
      <c r="DG264" s="128">
        <f>IFERROR(AU264*$V264,)</f>
        <v/>
      </c>
      <c r="DH264" s="128">
        <f>IFERROR(AV264*$V264,)</f>
        <v/>
      </c>
      <c r="DI264" s="128">
        <f>IFERROR(AW264*$V264,)</f>
        <v/>
      </c>
      <c r="DJ264" s="128">
        <f>IFERROR(AX264*$V264,)</f>
        <v/>
      </c>
      <c r="DK264" s="128">
        <f>IFERROR(AY264*$V264,)</f>
        <v/>
      </c>
      <c r="DL264" s="128">
        <f>IFERROR(AZ264*$V264,)</f>
        <v/>
      </c>
      <c r="DM264" s="129">
        <f>IFERROR(if($X264=0,($V264/1.2)*BA264,
BA264*$X264),)</f>
        <v/>
      </c>
      <c r="DN264" s="129">
        <f>IFERROR(if($X264=0,($V264/1.2)*BB264,
BB264*$X264),)</f>
        <v/>
      </c>
      <c r="DO264" s="129">
        <f>IFERROR(if($X264=0,($V264/1.2)*BC264,
BC264*$X264),)</f>
        <v/>
      </c>
      <c r="DP264" s="130">
        <f>IFERROR(if($Z264=0,($V264/1.35)*BD264,
BD264*$Z264),)</f>
        <v/>
      </c>
      <c r="DQ264" s="130">
        <f>IFERROR(if($Z264=0,($V264/1.35)*BE264,
BE264*$Z264),)</f>
        <v/>
      </c>
      <c r="DR264" s="130">
        <f>IFERROR(if($Z264=0,($V264/1.35)*BF264,
BF264*$Z264),)</f>
        <v/>
      </c>
      <c r="DS264" s="128">
        <f>IFERROR(IF($AB264=0,($V264/0.74)*BG264,
BG264*$AB264),)</f>
        <v/>
      </c>
      <c r="DT264" s="128">
        <f>IFERROR(IF($AB264=0,($V264/0.74)*BH264,
BH264*$AB264),)</f>
        <v/>
      </c>
      <c r="DU264" s="128">
        <f>IFERROR(IF($AB264=0,($V264/0.74)*BI264,
BI264*$AB264),)</f>
        <v/>
      </c>
    </row>
    <row r="265" ht="131.25" customHeight="1" s="162">
      <c r="A265" s="115" t="n"/>
      <c r="B265" s="115" t="n"/>
      <c r="C265" s="115" t="n"/>
      <c r="D265" s="115" t="n"/>
      <c r="E265" s="115" t="n"/>
      <c r="F265" s="115" t="n"/>
      <c r="G265" s="115" t="n"/>
      <c r="H265" s="115" t="n"/>
      <c r="I265" s="115" t="n"/>
      <c r="J265" s="115" t="n"/>
      <c r="K265" s="115" t="n"/>
      <c r="L265" s="115" t="n"/>
      <c r="M265" s="115" t="n"/>
      <c r="N265" s="115" t="n"/>
      <c r="O265" s="115" t="n"/>
      <c r="P265" s="115" t="n"/>
      <c r="Q265" s="115" t="n"/>
      <c r="R265" s="115" t="n"/>
      <c r="S265" s="115" t="n"/>
      <c r="T265" s="115" t="n"/>
      <c r="U265" s="116" t="n"/>
      <c r="V265" s="116" t="n"/>
      <c r="W265" s="117" t="n"/>
      <c r="X265" s="118" t="n"/>
      <c r="Y265" s="119" t="n"/>
      <c r="Z265" s="120" t="n"/>
      <c r="AA265" s="121" t="n"/>
      <c r="AB265" s="122" t="n"/>
      <c r="AC265" s="117" t="n"/>
      <c r="AD265" s="123">
        <f>IF(SUM($AE265:$AH265)=0,"",SUM($AE265:$AH265))</f>
        <v/>
      </c>
      <c r="AE265" s="123">
        <f>iferror(IF(SUM($AI265:$AZ265)=0,"",SUM($AI265:$AZ265)),"")</f>
        <v/>
      </c>
      <c r="AF265" s="123">
        <f>iferror(IF(SUM($BA265:$BC265)=0,"",SUM($BA265:$BC265)),"")</f>
        <v/>
      </c>
      <c r="AG265" s="123">
        <f>iferror(IF(SUM($BD265:$BF265)=0,"",SUM($BD265:$BF265)),"")</f>
        <v/>
      </c>
      <c r="AH265" s="124">
        <f>iferror(IF(SUM($BG265:$BI265)=0,"",SUM($BG265:$BI265)),"")</f>
        <v/>
      </c>
      <c r="AI265" s="131" t="n"/>
      <c r="AJ265" s="132" t="n"/>
      <c r="AK265" s="132" t="n"/>
      <c r="AL265" s="132" t="n"/>
      <c r="AM265" s="132" t="n"/>
      <c r="AN265" s="132" t="n"/>
      <c r="AO265" s="132" t="n"/>
      <c r="AP265" s="132" t="n"/>
      <c r="AQ265" s="132" t="n"/>
      <c r="AR265" s="132" t="n"/>
      <c r="AS265" s="132" t="n"/>
      <c r="AT265" s="132" t="n"/>
      <c r="AU265" s="132" t="n"/>
      <c r="AV265" s="132" t="n"/>
      <c r="AW265" s="132" t="n"/>
      <c r="AX265" s="132" t="n"/>
      <c r="AY265" s="132" t="n"/>
      <c r="AZ265" s="133" t="n"/>
      <c r="BA265" s="131" t="n"/>
      <c r="BB265" s="132" t="n"/>
      <c r="BC265" s="133" t="n"/>
      <c r="BD265" s="131" t="n"/>
      <c r="BE265" s="132" t="n"/>
      <c r="BF265" s="133" t="n"/>
      <c r="BG265" s="131" t="n"/>
      <c r="BH265" s="132" t="n"/>
      <c r="BI265" s="132" t="n"/>
      <c r="BJ265" s="128">
        <f>iferror(SUM($BK265,($BL265*1.2),($BM265*1.35),($BN265*0.74)),)</f>
        <v/>
      </c>
      <c r="BK265" s="128">
        <f>IFERROR(SUM($BT265:$CK265),)</f>
        <v/>
      </c>
      <c r="BL265" s="129">
        <f>IFERROR(SUM($CL265:$CN265),)</f>
        <v/>
      </c>
      <c r="BM265" s="130">
        <f>IFERROR(SUM($CO265:$CQ265),)</f>
        <v/>
      </c>
      <c r="BN265" s="128">
        <f>IFERROR(SUM($CR265:$CT265),)</f>
        <v/>
      </c>
      <c r="BO265" s="128">
        <f>iferror(SUM($BP265,($BQ265*1.2),($BR265*1.35),($BS265*0.74)),)</f>
        <v/>
      </c>
      <c r="BP265" s="128">
        <f>IFERROR(SUM($CU265:$DL265),)</f>
        <v/>
      </c>
      <c r="BQ265" s="128">
        <f>IFERROR(SUM($DM265:$DO265),)</f>
        <v/>
      </c>
      <c r="BR265" s="128">
        <f>IFERROR(SUM($DP265:$DR265),)</f>
        <v/>
      </c>
      <c r="BS265" s="128">
        <f>IFERROR(SUM($DS265:$DU265),)</f>
        <v/>
      </c>
      <c r="BT265" s="128">
        <f>IFERROR(AI265*$W265,)</f>
        <v/>
      </c>
      <c r="BU265" s="128">
        <f>IFERROR(AJ265*$W265,)</f>
        <v/>
      </c>
      <c r="BV265" s="128">
        <f>IFERROR(AK265*$W265,)</f>
        <v/>
      </c>
      <c r="BW265" s="128">
        <f>IFERROR(AL265*$W265,)</f>
        <v/>
      </c>
      <c r="BX265" s="128">
        <f>IFERROR(AM265*$W265,)</f>
        <v/>
      </c>
      <c r="BY265" s="128">
        <f>IFERROR(AN265*$W265,)</f>
        <v/>
      </c>
      <c r="BZ265" s="128">
        <f>IFERROR(AO265*$W265,)</f>
        <v/>
      </c>
      <c r="CA265" s="128">
        <f>IFERROR(AP265*$W265,)</f>
        <v/>
      </c>
      <c r="CB265" s="128">
        <f>IFERROR(AQ265*$W265,)</f>
        <v/>
      </c>
      <c r="CC265" s="128">
        <f>IFERROR(AR265*$W265,)</f>
        <v/>
      </c>
      <c r="CD265" s="128">
        <f>IFERROR(AS265*$W265,)</f>
        <v/>
      </c>
      <c r="CE265" s="128">
        <f>IFERROR(AT265*$W265,)</f>
        <v/>
      </c>
      <c r="CF265" s="128">
        <f>IFERROR(AU265*$W265,)</f>
        <v/>
      </c>
      <c r="CG265" s="128">
        <f>IFERROR(AV265*$W265,)</f>
        <v/>
      </c>
      <c r="CH265" s="128">
        <f>IFERROR(AW265*$W265,)</f>
        <v/>
      </c>
      <c r="CI265" s="128">
        <f>IFERROR(AX265*$W265,)</f>
        <v/>
      </c>
      <c r="CJ265" s="128">
        <f>IFERROR(AY265*$W265,)</f>
        <v/>
      </c>
      <c r="CK265" s="128">
        <f>IFERROR(AZ265*$W265,)</f>
        <v/>
      </c>
      <c r="CL265" s="129">
        <f>IFERROR(if($Y265=0,BA265*($W265/1.2),BA265*$Y265),"")</f>
        <v/>
      </c>
      <c r="CM265" s="129">
        <f>IFERROR(if($Y265=0,BB265*($W265/1.2),BB265*$Y265),"")</f>
        <v/>
      </c>
      <c r="CN265" s="129">
        <f>IFERROR(if($Y265=0,BC265*($W265/1.2),BC265*$Y265),"")</f>
        <v/>
      </c>
      <c r="CO265" s="130">
        <f>IFERROR(if($AA265=0,($W265/1.35)*BD265,BD265*$AA265),)</f>
        <v/>
      </c>
      <c r="CP265" s="130">
        <f>IFERROR(if($AA265=0,($W265/1.35)*BE265,BE265*$AA265),)</f>
        <v/>
      </c>
      <c r="CQ265" s="130">
        <f>IFERROR(if($AA265=0,($W265/1.35)*BF265,BF265*$AA265),)</f>
        <v/>
      </c>
      <c r="CR265" s="128">
        <f>IFERROR(if($AC265=0,($W265/0.74)*BG265,
BG265*$AC265),)</f>
        <v/>
      </c>
      <c r="CS265" s="128">
        <f>IFERROR(if($AC265=0,($W265/0.74)*BH265,
BH265*$AC265),)</f>
        <v/>
      </c>
      <c r="CT265" s="128">
        <f>IFERROR(if($AC265=0,($W265/0.74)*BI265,
BI265*$AC265),)</f>
        <v/>
      </c>
      <c r="CU265" s="128">
        <f>IFERROR(AI265*$V265,)</f>
        <v/>
      </c>
      <c r="CV265" s="128">
        <f>IFERROR(AJ265*$V265,)</f>
        <v/>
      </c>
      <c r="CW265" s="128">
        <f>IFERROR(AK265*$V265,)</f>
        <v/>
      </c>
      <c r="CX265" s="128">
        <f>IFERROR(AL265*$V265,)</f>
        <v/>
      </c>
      <c r="CY265" s="128">
        <f>IFERROR(AM265*$V265,)</f>
        <v/>
      </c>
      <c r="CZ265" s="128">
        <f>IFERROR(AN265*$V265,)</f>
        <v/>
      </c>
      <c r="DA265" s="128">
        <f>IFERROR(AO265*$V265,)</f>
        <v/>
      </c>
      <c r="DB265" s="128">
        <f>IFERROR(AP265*$V265,)</f>
        <v/>
      </c>
      <c r="DC265" s="128">
        <f>IFERROR(AQ265*$V265,)</f>
        <v/>
      </c>
      <c r="DD265" s="128">
        <f>IFERROR(AR265*$V265,)</f>
        <v/>
      </c>
      <c r="DE265" s="128">
        <f>IFERROR(AS265*$V265,)</f>
        <v/>
      </c>
      <c r="DF265" s="128">
        <f>IFERROR(AT265*$V265,)</f>
        <v/>
      </c>
      <c r="DG265" s="128">
        <f>IFERROR(AU265*$V265,)</f>
        <v/>
      </c>
      <c r="DH265" s="128">
        <f>IFERROR(AV265*$V265,)</f>
        <v/>
      </c>
      <c r="DI265" s="128">
        <f>IFERROR(AW265*$V265,)</f>
        <v/>
      </c>
      <c r="DJ265" s="128">
        <f>IFERROR(AX265*$V265,)</f>
        <v/>
      </c>
      <c r="DK265" s="128">
        <f>IFERROR(AY265*$V265,)</f>
        <v/>
      </c>
      <c r="DL265" s="128">
        <f>IFERROR(AZ265*$V265,)</f>
        <v/>
      </c>
      <c r="DM265" s="129">
        <f>IFERROR(if($X265=0,($V265/1.2)*BA265,
BA265*$X265),)</f>
        <v/>
      </c>
      <c r="DN265" s="129">
        <f>IFERROR(if($X265=0,($V265/1.2)*BB265,
BB265*$X265),)</f>
        <v/>
      </c>
      <c r="DO265" s="129">
        <f>IFERROR(if($X265=0,($V265/1.2)*BC265,
BC265*$X265),)</f>
        <v/>
      </c>
      <c r="DP265" s="130">
        <f>IFERROR(if($Z265=0,($V265/1.35)*BD265,
BD265*$Z265),)</f>
        <v/>
      </c>
      <c r="DQ265" s="130">
        <f>IFERROR(if($Z265=0,($V265/1.35)*BE265,
BE265*$Z265),)</f>
        <v/>
      </c>
      <c r="DR265" s="130">
        <f>IFERROR(if($Z265=0,($V265/1.35)*BF265,
BF265*$Z265),)</f>
        <v/>
      </c>
      <c r="DS265" s="128">
        <f>IFERROR(IF($AB265=0,($V265/0.74)*BG265,
BG265*$AB265),)</f>
        <v/>
      </c>
      <c r="DT265" s="128">
        <f>IFERROR(IF($AB265=0,($V265/0.74)*BH265,
BH265*$AB265),)</f>
        <v/>
      </c>
      <c r="DU265" s="128">
        <f>IFERROR(IF($AB265=0,($V265/0.74)*BI265,
BI265*$AB265),)</f>
        <v/>
      </c>
    </row>
    <row r="266" ht="131.25" customHeight="1" s="162">
      <c r="A266" s="115" t="n"/>
      <c r="B266" s="115" t="n"/>
      <c r="C266" s="115" t="n"/>
      <c r="D266" s="115" t="n"/>
      <c r="E266" s="115" t="n"/>
      <c r="F266" s="115" t="n"/>
      <c r="G266" s="115" t="n"/>
      <c r="H266" s="115" t="n"/>
      <c r="I266" s="115" t="n"/>
      <c r="J266" s="115" t="n"/>
      <c r="K266" s="115" t="n"/>
      <c r="L266" s="115" t="n"/>
      <c r="M266" s="115" t="n"/>
      <c r="N266" s="115" t="n"/>
      <c r="O266" s="115" t="n"/>
      <c r="P266" s="115" t="n"/>
      <c r="Q266" s="115" t="n"/>
      <c r="R266" s="115" t="n"/>
      <c r="S266" s="115" t="n"/>
      <c r="T266" s="115" t="n"/>
      <c r="U266" s="116" t="n"/>
      <c r="V266" s="116" t="n"/>
      <c r="W266" s="117" t="n"/>
      <c r="X266" s="118" t="n"/>
      <c r="Y266" s="119" t="n"/>
      <c r="Z266" s="120" t="n"/>
      <c r="AA266" s="121" t="n"/>
      <c r="AB266" s="122" t="n"/>
      <c r="AC266" s="117" t="n"/>
      <c r="AD266" s="123">
        <f>IF(SUM($AE266:$AH266)=0,"",SUM($AE266:$AH266))</f>
        <v/>
      </c>
      <c r="AE266" s="123">
        <f>iferror(IF(SUM($AI266:$AZ266)=0,"",SUM($AI266:$AZ266)),"")</f>
        <v/>
      </c>
      <c r="AF266" s="123">
        <f>iferror(IF(SUM($BA266:$BC266)=0,"",SUM($BA266:$BC266)),"")</f>
        <v/>
      </c>
      <c r="AG266" s="123">
        <f>iferror(IF(SUM($BD266:$BF266)=0,"",SUM($BD266:$BF266)),"")</f>
        <v/>
      </c>
      <c r="AH266" s="124">
        <f>iferror(IF(SUM($BG266:$BI266)=0,"",SUM($BG266:$BI266)),"")</f>
        <v/>
      </c>
      <c r="AI266" s="131" t="n"/>
      <c r="AJ266" s="132" t="n"/>
      <c r="AK266" s="132" t="n"/>
      <c r="AL266" s="132" t="n"/>
      <c r="AM266" s="132" t="n"/>
      <c r="AN266" s="132" t="n"/>
      <c r="AO266" s="132" t="n"/>
      <c r="AP266" s="132" t="n"/>
      <c r="AQ266" s="132" t="n"/>
      <c r="AR266" s="132" t="n"/>
      <c r="AS266" s="132" t="n"/>
      <c r="AT266" s="132" t="n"/>
      <c r="AU266" s="132" t="n"/>
      <c r="AV266" s="132" t="n"/>
      <c r="AW266" s="132" t="n"/>
      <c r="AX266" s="132" t="n"/>
      <c r="AY266" s="132" t="n"/>
      <c r="AZ266" s="133" t="n"/>
      <c r="BA266" s="131" t="n"/>
      <c r="BB266" s="132" t="n"/>
      <c r="BC266" s="133" t="n"/>
      <c r="BD266" s="131" t="n"/>
      <c r="BE266" s="132" t="n"/>
      <c r="BF266" s="133" t="n"/>
      <c r="BG266" s="131" t="n"/>
      <c r="BH266" s="132" t="n"/>
      <c r="BI266" s="132" t="n"/>
      <c r="BJ266" s="128">
        <f>iferror(SUM($BK266,($BL266*1.2),($BM266*1.35),($BN266*0.74)),)</f>
        <v/>
      </c>
      <c r="BK266" s="128">
        <f>IFERROR(SUM($BT266:$CK266),)</f>
        <v/>
      </c>
      <c r="BL266" s="129">
        <f>IFERROR(SUM($CL266:$CN266),)</f>
        <v/>
      </c>
      <c r="BM266" s="130">
        <f>IFERROR(SUM($CO266:$CQ266),)</f>
        <v/>
      </c>
      <c r="BN266" s="128">
        <f>IFERROR(SUM($CR266:$CT266),)</f>
        <v/>
      </c>
      <c r="BO266" s="128">
        <f>iferror(SUM($BP266,($BQ266*1.2),($BR266*1.35),($BS266*0.74)),)</f>
        <v/>
      </c>
      <c r="BP266" s="128">
        <f>IFERROR(SUM($CU266:$DL266),)</f>
        <v/>
      </c>
      <c r="BQ266" s="128">
        <f>IFERROR(SUM($DM266:$DO266),)</f>
        <v/>
      </c>
      <c r="BR266" s="128">
        <f>IFERROR(SUM($DP266:$DR266),)</f>
        <v/>
      </c>
      <c r="BS266" s="128">
        <f>IFERROR(SUM($DS266:$DU266),)</f>
        <v/>
      </c>
      <c r="BT266" s="128">
        <f>IFERROR(AI266*$W266,)</f>
        <v/>
      </c>
      <c r="BU266" s="128">
        <f>IFERROR(AJ266*$W266,)</f>
        <v/>
      </c>
      <c r="BV266" s="128">
        <f>IFERROR(AK266*$W266,)</f>
        <v/>
      </c>
      <c r="BW266" s="128">
        <f>IFERROR(AL266*$W266,)</f>
        <v/>
      </c>
      <c r="BX266" s="128">
        <f>IFERROR(AM266*$W266,)</f>
        <v/>
      </c>
      <c r="BY266" s="128">
        <f>IFERROR(AN266*$W266,)</f>
        <v/>
      </c>
      <c r="BZ266" s="128">
        <f>IFERROR(AO266*$W266,)</f>
        <v/>
      </c>
      <c r="CA266" s="128">
        <f>IFERROR(AP266*$W266,)</f>
        <v/>
      </c>
      <c r="CB266" s="128">
        <f>IFERROR(AQ266*$W266,)</f>
        <v/>
      </c>
      <c r="CC266" s="128">
        <f>IFERROR(AR266*$W266,)</f>
        <v/>
      </c>
      <c r="CD266" s="128">
        <f>IFERROR(AS266*$W266,)</f>
        <v/>
      </c>
      <c r="CE266" s="128">
        <f>IFERROR(AT266*$W266,)</f>
        <v/>
      </c>
      <c r="CF266" s="128">
        <f>IFERROR(AU266*$W266,)</f>
        <v/>
      </c>
      <c r="CG266" s="128">
        <f>IFERROR(AV266*$W266,)</f>
        <v/>
      </c>
      <c r="CH266" s="128">
        <f>IFERROR(AW266*$W266,)</f>
        <v/>
      </c>
      <c r="CI266" s="128">
        <f>IFERROR(AX266*$W266,)</f>
        <v/>
      </c>
      <c r="CJ266" s="128">
        <f>IFERROR(AY266*$W266,)</f>
        <v/>
      </c>
      <c r="CK266" s="128">
        <f>IFERROR(AZ266*$W266,)</f>
        <v/>
      </c>
      <c r="CL266" s="129">
        <f>IFERROR(if($Y266=0,BA266*($W266/1.2),BA266*$Y266),"")</f>
        <v/>
      </c>
      <c r="CM266" s="129">
        <f>IFERROR(if($Y266=0,BB266*($W266/1.2),BB266*$Y266),"")</f>
        <v/>
      </c>
      <c r="CN266" s="129">
        <f>IFERROR(if($Y266=0,BC266*($W266/1.2),BC266*$Y266),"")</f>
        <v/>
      </c>
      <c r="CO266" s="130">
        <f>IFERROR(if($AA266=0,($W266/1.35)*BD266,BD266*$AA266),)</f>
        <v/>
      </c>
      <c r="CP266" s="130">
        <f>IFERROR(if($AA266=0,($W266/1.35)*BE266,BE266*$AA266),)</f>
        <v/>
      </c>
      <c r="CQ266" s="130">
        <f>IFERROR(if($AA266=0,($W266/1.35)*BF266,BF266*$AA266),)</f>
        <v/>
      </c>
      <c r="CR266" s="128">
        <f>IFERROR(if($AC266=0,($W266/0.74)*BG266,
BG266*$AC266),)</f>
        <v/>
      </c>
      <c r="CS266" s="128">
        <f>IFERROR(if($AC266=0,($W266/0.74)*BH266,
BH266*$AC266),)</f>
        <v/>
      </c>
      <c r="CT266" s="128">
        <f>IFERROR(if($AC266=0,($W266/0.74)*BI266,
BI266*$AC266),)</f>
        <v/>
      </c>
      <c r="CU266" s="128">
        <f>IFERROR(AI266*$V266,)</f>
        <v/>
      </c>
      <c r="CV266" s="128">
        <f>IFERROR(AJ266*$V266,)</f>
        <v/>
      </c>
      <c r="CW266" s="128">
        <f>IFERROR(AK266*$V266,)</f>
        <v/>
      </c>
      <c r="CX266" s="128">
        <f>IFERROR(AL266*$V266,)</f>
        <v/>
      </c>
      <c r="CY266" s="128">
        <f>IFERROR(AM266*$V266,)</f>
        <v/>
      </c>
      <c r="CZ266" s="128">
        <f>IFERROR(AN266*$V266,)</f>
        <v/>
      </c>
      <c r="DA266" s="128">
        <f>IFERROR(AO266*$V266,)</f>
        <v/>
      </c>
      <c r="DB266" s="128">
        <f>IFERROR(AP266*$V266,)</f>
        <v/>
      </c>
      <c r="DC266" s="128">
        <f>IFERROR(AQ266*$V266,)</f>
        <v/>
      </c>
      <c r="DD266" s="128">
        <f>IFERROR(AR266*$V266,)</f>
        <v/>
      </c>
      <c r="DE266" s="128">
        <f>IFERROR(AS266*$V266,)</f>
        <v/>
      </c>
      <c r="DF266" s="128">
        <f>IFERROR(AT266*$V266,)</f>
        <v/>
      </c>
      <c r="DG266" s="128">
        <f>IFERROR(AU266*$V266,)</f>
        <v/>
      </c>
      <c r="DH266" s="128">
        <f>IFERROR(AV266*$V266,)</f>
        <v/>
      </c>
      <c r="DI266" s="128">
        <f>IFERROR(AW266*$V266,)</f>
        <v/>
      </c>
      <c r="DJ266" s="128">
        <f>IFERROR(AX266*$V266,)</f>
        <v/>
      </c>
      <c r="DK266" s="128">
        <f>IFERROR(AY266*$V266,)</f>
        <v/>
      </c>
      <c r="DL266" s="128">
        <f>IFERROR(AZ266*$V266,)</f>
        <v/>
      </c>
      <c r="DM266" s="129">
        <f>IFERROR(if($X266=0,($V266/1.2)*BA266,
BA266*$X266),)</f>
        <v/>
      </c>
      <c r="DN266" s="129">
        <f>IFERROR(if($X266=0,($V266/1.2)*BB266,
BB266*$X266),)</f>
        <v/>
      </c>
      <c r="DO266" s="129">
        <f>IFERROR(if($X266=0,($V266/1.2)*BC266,
BC266*$X266),)</f>
        <v/>
      </c>
      <c r="DP266" s="130">
        <f>IFERROR(if($Z266=0,($V266/1.35)*BD266,
BD266*$Z266),)</f>
        <v/>
      </c>
      <c r="DQ266" s="130">
        <f>IFERROR(if($Z266=0,($V266/1.35)*BE266,
BE266*$Z266),)</f>
        <v/>
      </c>
      <c r="DR266" s="130">
        <f>IFERROR(if($Z266=0,($V266/1.35)*BF266,
BF266*$Z266),)</f>
        <v/>
      </c>
      <c r="DS266" s="128">
        <f>IFERROR(IF($AB266=0,($V266/0.74)*BG266,
BG266*$AB266),)</f>
        <v/>
      </c>
      <c r="DT266" s="128">
        <f>IFERROR(IF($AB266=0,($V266/0.74)*BH266,
BH266*$AB266),)</f>
        <v/>
      </c>
      <c r="DU266" s="128">
        <f>IFERROR(IF($AB266=0,($V266/0.74)*BI266,
BI266*$AB266),)</f>
        <v/>
      </c>
    </row>
    <row r="267" ht="131.25" customHeight="1" s="162">
      <c r="A267" s="115" t="n"/>
      <c r="B267" s="115" t="n"/>
      <c r="C267" s="115" t="n"/>
      <c r="D267" s="115" t="n"/>
      <c r="E267" s="115" t="n"/>
      <c r="F267" s="115" t="n"/>
      <c r="G267" s="115" t="n"/>
      <c r="H267" s="115" t="n"/>
      <c r="I267" s="115" t="n"/>
      <c r="J267" s="115" t="n"/>
      <c r="K267" s="115" t="n"/>
      <c r="L267" s="115" t="n"/>
      <c r="M267" s="115" t="n"/>
      <c r="N267" s="115" t="n"/>
      <c r="O267" s="115" t="n"/>
      <c r="P267" s="115" t="n"/>
      <c r="Q267" s="115" t="n"/>
      <c r="R267" s="115" t="n"/>
      <c r="S267" s="115" t="n"/>
      <c r="T267" s="115" t="n"/>
      <c r="U267" s="116" t="n"/>
      <c r="V267" s="116" t="n"/>
      <c r="W267" s="117" t="n"/>
      <c r="X267" s="118" t="n"/>
      <c r="Y267" s="119" t="n"/>
      <c r="Z267" s="120" t="n"/>
      <c r="AA267" s="121" t="n"/>
      <c r="AB267" s="122" t="n"/>
      <c r="AC267" s="117" t="n"/>
      <c r="AD267" s="123">
        <f>IF(SUM($AE267:$AH267)=0,"",SUM($AE267:$AH267))</f>
        <v/>
      </c>
      <c r="AE267" s="123">
        <f>iferror(IF(SUM($AI267:$AZ267)=0,"",SUM($AI267:$AZ267)),"")</f>
        <v/>
      </c>
      <c r="AF267" s="123">
        <f>iferror(IF(SUM($BA267:$BC267)=0,"",SUM($BA267:$BC267)),"")</f>
        <v/>
      </c>
      <c r="AG267" s="123">
        <f>iferror(IF(SUM($BD267:$BF267)=0,"",SUM($BD267:$BF267)),"")</f>
        <v/>
      </c>
      <c r="AH267" s="124">
        <f>iferror(IF(SUM($BG267:$BI267)=0,"",SUM($BG267:$BI267)),"")</f>
        <v/>
      </c>
      <c r="AI267" s="131" t="n"/>
      <c r="AJ267" s="132" t="n"/>
      <c r="AK267" s="132" t="n"/>
      <c r="AL267" s="132" t="n"/>
      <c r="AM267" s="132" t="n"/>
      <c r="AN267" s="132" t="n"/>
      <c r="AO267" s="132" t="n"/>
      <c r="AP267" s="132" t="n"/>
      <c r="AQ267" s="132" t="n"/>
      <c r="AR267" s="132" t="n"/>
      <c r="AS267" s="132" t="n"/>
      <c r="AT267" s="132" t="n"/>
      <c r="AU267" s="132" t="n"/>
      <c r="AV267" s="132" t="n"/>
      <c r="AW267" s="132" t="n"/>
      <c r="AX267" s="132" t="n"/>
      <c r="AY267" s="132" t="n"/>
      <c r="AZ267" s="133" t="n"/>
      <c r="BA267" s="131" t="n"/>
      <c r="BB267" s="132" t="n"/>
      <c r="BC267" s="133" t="n"/>
      <c r="BD267" s="131" t="n"/>
      <c r="BE267" s="132" t="n"/>
      <c r="BF267" s="133" t="n"/>
      <c r="BG267" s="131" t="n"/>
      <c r="BH267" s="132" t="n"/>
      <c r="BI267" s="132" t="n"/>
      <c r="BJ267" s="128">
        <f>iferror(SUM($BK267,($BL267*1.2),($BM267*1.35),($BN267*0.74)),)</f>
        <v/>
      </c>
      <c r="BK267" s="128">
        <f>IFERROR(SUM($BT267:$CK267),)</f>
        <v/>
      </c>
      <c r="BL267" s="129">
        <f>IFERROR(SUM($CL267:$CN267),)</f>
        <v/>
      </c>
      <c r="BM267" s="130">
        <f>IFERROR(SUM($CO267:$CQ267),)</f>
        <v/>
      </c>
      <c r="BN267" s="128">
        <f>IFERROR(SUM($CR267:$CT267),)</f>
        <v/>
      </c>
      <c r="BO267" s="128">
        <f>iferror(SUM($BP267,($BQ267*1.2),($BR267*1.35),($BS267*0.74)),)</f>
        <v/>
      </c>
      <c r="BP267" s="128">
        <f>IFERROR(SUM($CU267:$DL267),)</f>
        <v/>
      </c>
      <c r="BQ267" s="128">
        <f>IFERROR(SUM($DM267:$DO267),)</f>
        <v/>
      </c>
      <c r="BR267" s="128">
        <f>IFERROR(SUM($DP267:$DR267),)</f>
        <v/>
      </c>
      <c r="BS267" s="128">
        <f>IFERROR(SUM($DS267:$DU267),)</f>
        <v/>
      </c>
      <c r="BT267" s="128">
        <f>IFERROR(AI267*$W267,)</f>
        <v/>
      </c>
      <c r="BU267" s="128">
        <f>IFERROR(AJ267*$W267,)</f>
        <v/>
      </c>
      <c r="BV267" s="128">
        <f>IFERROR(AK267*$W267,)</f>
        <v/>
      </c>
      <c r="BW267" s="128">
        <f>IFERROR(AL267*$W267,)</f>
        <v/>
      </c>
      <c r="BX267" s="128">
        <f>IFERROR(AM267*$W267,)</f>
        <v/>
      </c>
      <c r="BY267" s="128">
        <f>IFERROR(AN267*$W267,)</f>
        <v/>
      </c>
      <c r="BZ267" s="128">
        <f>IFERROR(AO267*$W267,)</f>
        <v/>
      </c>
      <c r="CA267" s="128">
        <f>IFERROR(AP267*$W267,)</f>
        <v/>
      </c>
      <c r="CB267" s="128">
        <f>IFERROR(AQ267*$W267,)</f>
        <v/>
      </c>
      <c r="CC267" s="128">
        <f>IFERROR(AR267*$W267,)</f>
        <v/>
      </c>
      <c r="CD267" s="128">
        <f>IFERROR(AS267*$W267,)</f>
        <v/>
      </c>
      <c r="CE267" s="128">
        <f>IFERROR(AT267*$W267,)</f>
        <v/>
      </c>
      <c r="CF267" s="128">
        <f>IFERROR(AU267*$W267,)</f>
        <v/>
      </c>
      <c r="CG267" s="128">
        <f>IFERROR(AV267*$W267,)</f>
        <v/>
      </c>
      <c r="CH267" s="128">
        <f>IFERROR(AW267*$W267,)</f>
        <v/>
      </c>
      <c r="CI267" s="128">
        <f>IFERROR(AX267*$W267,)</f>
        <v/>
      </c>
      <c r="CJ267" s="128">
        <f>IFERROR(AY267*$W267,)</f>
        <v/>
      </c>
      <c r="CK267" s="128">
        <f>IFERROR(AZ267*$W267,)</f>
        <v/>
      </c>
      <c r="CL267" s="129">
        <f>IFERROR(if($Y267=0,BA267*($W267/1.2),BA267*$Y267),"")</f>
        <v/>
      </c>
      <c r="CM267" s="129">
        <f>IFERROR(if($Y267=0,BB267*($W267/1.2),BB267*$Y267),"")</f>
        <v/>
      </c>
      <c r="CN267" s="129">
        <f>IFERROR(if($Y267=0,BC267*($W267/1.2),BC267*$Y267),"")</f>
        <v/>
      </c>
      <c r="CO267" s="130">
        <f>IFERROR(if($AA267=0,($W267/1.35)*BD267,BD267*$AA267),)</f>
        <v/>
      </c>
      <c r="CP267" s="130">
        <f>IFERROR(if($AA267=0,($W267/1.35)*BE267,BE267*$AA267),)</f>
        <v/>
      </c>
      <c r="CQ267" s="130">
        <f>IFERROR(if($AA267=0,($W267/1.35)*BF267,BF267*$AA267),)</f>
        <v/>
      </c>
      <c r="CR267" s="128">
        <f>IFERROR(if($AC267=0,($W267/0.74)*BG267,
BG267*$AC267),)</f>
        <v/>
      </c>
      <c r="CS267" s="128">
        <f>IFERROR(if($AC267=0,($W267/0.74)*BH267,
BH267*$AC267),)</f>
        <v/>
      </c>
      <c r="CT267" s="128">
        <f>IFERROR(if($AC267=0,($W267/0.74)*BI267,
BI267*$AC267),)</f>
        <v/>
      </c>
      <c r="CU267" s="128">
        <f>IFERROR(AI267*$V267,)</f>
        <v/>
      </c>
      <c r="CV267" s="128">
        <f>IFERROR(AJ267*$V267,)</f>
        <v/>
      </c>
      <c r="CW267" s="128">
        <f>IFERROR(AK267*$V267,)</f>
        <v/>
      </c>
      <c r="CX267" s="128">
        <f>IFERROR(AL267*$V267,)</f>
        <v/>
      </c>
      <c r="CY267" s="128">
        <f>IFERROR(AM267*$V267,)</f>
        <v/>
      </c>
      <c r="CZ267" s="128">
        <f>IFERROR(AN267*$V267,)</f>
        <v/>
      </c>
      <c r="DA267" s="128">
        <f>IFERROR(AO267*$V267,)</f>
        <v/>
      </c>
      <c r="DB267" s="128">
        <f>IFERROR(AP267*$V267,)</f>
        <v/>
      </c>
      <c r="DC267" s="128">
        <f>IFERROR(AQ267*$V267,)</f>
        <v/>
      </c>
      <c r="DD267" s="128">
        <f>IFERROR(AR267*$V267,)</f>
        <v/>
      </c>
      <c r="DE267" s="128">
        <f>IFERROR(AS267*$V267,)</f>
        <v/>
      </c>
      <c r="DF267" s="128">
        <f>IFERROR(AT267*$V267,)</f>
        <v/>
      </c>
      <c r="DG267" s="128">
        <f>IFERROR(AU267*$V267,)</f>
        <v/>
      </c>
      <c r="DH267" s="128">
        <f>IFERROR(AV267*$V267,)</f>
        <v/>
      </c>
      <c r="DI267" s="128">
        <f>IFERROR(AW267*$V267,)</f>
        <v/>
      </c>
      <c r="DJ267" s="128">
        <f>IFERROR(AX267*$V267,)</f>
        <v/>
      </c>
      <c r="DK267" s="128">
        <f>IFERROR(AY267*$V267,)</f>
        <v/>
      </c>
      <c r="DL267" s="128">
        <f>IFERROR(AZ267*$V267,)</f>
        <v/>
      </c>
      <c r="DM267" s="129">
        <f>IFERROR(if($X267=0,($V267/1.2)*BA267,
BA267*$X267),)</f>
        <v/>
      </c>
      <c r="DN267" s="129">
        <f>IFERROR(if($X267=0,($V267/1.2)*BB267,
BB267*$X267),)</f>
        <v/>
      </c>
      <c r="DO267" s="129">
        <f>IFERROR(if($X267=0,($V267/1.2)*BC267,
BC267*$X267),)</f>
        <v/>
      </c>
      <c r="DP267" s="130">
        <f>IFERROR(if($Z267=0,($V267/1.35)*BD267,
BD267*$Z267),)</f>
        <v/>
      </c>
      <c r="DQ267" s="130">
        <f>IFERROR(if($Z267=0,($V267/1.35)*BE267,
BE267*$Z267),)</f>
        <v/>
      </c>
      <c r="DR267" s="130">
        <f>IFERROR(if($Z267=0,($V267/1.35)*BF267,
BF267*$Z267),)</f>
        <v/>
      </c>
      <c r="DS267" s="128">
        <f>IFERROR(IF($AB267=0,($V267/0.74)*BG267,
BG267*$AB267),)</f>
        <v/>
      </c>
      <c r="DT267" s="128">
        <f>IFERROR(IF($AB267=0,($V267/0.74)*BH267,
BH267*$AB267),)</f>
        <v/>
      </c>
      <c r="DU267" s="128">
        <f>IFERROR(IF($AB267=0,($V267/0.74)*BI267,
BI267*$AB267),)</f>
        <v/>
      </c>
    </row>
    <row r="268" ht="131.25" customHeight="1" s="162">
      <c r="A268" s="115" t="n"/>
      <c r="B268" s="115" t="n"/>
      <c r="C268" s="115" t="n"/>
      <c r="D268" s="115" t="n"/>
      <c r="E268" s="115" t="n"/>
      <c r="F268" s="115" t="n"/>
      <c r="G268" s="115" t="n"/>
      <c r="H268" s="115" t="n"/>
      <c r="I268" s="115" t="n"/>
      <c r="J268" s="115" t="n"/>
      <c r="K268" s="115" t="n"/>
      <c r="L268" s="115" t="n"/>
      <c r="M268" s="115" t="n"/>
      <c r="N268" s="115" t="n"/>
      <c r="O268" s="115" t="n"/>
      <c r="P268" s="115" t="n"/>
      <c r="Q268" s="115" t="n"/>
      <c r="R268" s="115" t="n"/>
      <c r="S268" s="115" t="n"/>
      <c r="T268" s="115" t="n"/>
      <c r="U268" s="116" t="n"/>
      <c r="V268" s="116" t="n"/>
      <c r="W268" s="117" t="n"/>
      <c r="X268" s="118" t="n"/>
      <c r="Y268" s="119" t="n"/>
      <c r="Z268" s="120" t="n"/>
      <c r="AA268" s="121" t="n"/>
      <c r="AB268" s="122" t="n"/>
      <c r="AC268" s="117" t="n"/>
      <c r="AD268" s="123">
        <f>IF(SUM($AE268:$AH268)=0,"",SUM($AE268:$AH268))</f>
        <v/>
      </c>
      <c r="AE268" s="123">
        <f>iferror(IF(SUM($AI268:$AZ268)=0,"",SUM($AI268:$AZ268)),"")</f>
        <v/>
      </c>
      <c r="AF268" s="123">
        <f>iferror(IF(SUM($BA268:$BC268)=0,"",SUM($BA268:$BC268)),"")</f>
        <v/>
      </c>
      <c r="AG268" s="123">
        <f>iferror(IF(SUM($BD268:$BF268)=0,"",SUM($BD268:$BF268)),"")</f>
        <v/>
      </c>
      <c r="AH268" s="124">
        <f>iferror(IF(SUM($BG268:$BI268)=0,"",SUM($BG268:$BI268)),"")</f>
        <v/>
      </c>
      <c r="AI268" s="131" t="n"/>
      <c r="AJ268" s="132" t="n"/>
      <c r="AK268" s="132" t="n"/>
      <c r="AL268" s="132" t="n"/>
      <c r="AM268" s="132" t="n"/>
      <c r="AN268" s="132" t="n"/>
      <c r="AO268" s="132" t="n"/>
      <c r="AP268" s="132" t="n"/>
      <c r="AQ268" s="132" t="n"/>
      <c r="AR268" s="132" t="n"/>
      <c r="AS268" s="132" t="n"/>
      <c r="AT268" s="132" t="n"/>
      <c r="AU268" s="132" t="n"/>
      <c r="AV268" s="132" t="n"/>
      <c r="AW268" s="132" t="n"/>
      <c r="AX268" s="132" t="n"/>
      <c r="AY268" s="132" t="n"/>
      <c r="AZ268" s="133" t="n"/>
      <c r="BA268" s="131" t="n"/>
      <c r="BB268" s="132" t="n"/>
      <c r="BC268" s="133" t="n"/>
      <c r="BD268" s="131" t="n"/>
      <c r="BE268" s="132" t="n"/>
      <c r="BF268" s="133" t="n"/>
      <c r="BG268" s="131" t="n"/>
      <c r="BH268" s="132" t="n"/>
      <c r="BI268" s="132" t="n"/>
      <c r="BJ268" s="128">
        <f>iferror(SUM($BK268,($BL268*1.2),($BM268*1.35),($BN268*0.74)),)</f>
        <v/>
      </c>
      <c r="BK268" s="128">
        <f>IFERROR(SUM($BT268:$CK268),)</f>
        <v/>
      </c>
      <c r="BL268" s="129">
        <f>IFERROR(SUM($CL268:$CN268),)</f>
        <v/>
      </c>
      <c r="BM268" s="130">
        <f>IFERROR(SUM($CO268:$CQ268),)</f>
        <v/>
      </c>
      <c r="BN268" s="128">
        <f>IFERROR(SUM($CR268:$CT268),)</f>
        <v/>
      </c>
      <c r="BO268" s="128">
        <f>iferror(SUM($BP268,($BQ268*1.2),($BR268*1.35),($BS268*0.74)),)</f>
        <v/>
      </c>
      <c r="BP268" s="128">
        <f>IFERROR(SUM($CU268:$DL268),)</f>
        <v/>
      </c>
      <c r="BQ268" s="128">
        <f>IFERROR(SUM($DM268:$DO268),)</f>
        <v/>
      </c>
      <c r="BR268" s="128">
        <f>IFERROR(SUM($DP268:$DR268),)</f>
        <v/>
      </c>
      <c r="BS268" s="128">
        <f>IFERROR(SUM($DS268:$DU268),)</f>
        <v/>
      </c>
      <c r="BT268" s="128">
        <f>IFERROR(AI268*$W268,)</f>
        <v/>
      </c>
      <c r="BU268" s="128">
        <f>IFERROR(AJ268*$W268,)</f>
        <v/>
      </c>
      <c r="BV268" s="128">
        <f>IFERROR(AK268*$W268,)</f>
        <v/>
      </c>
      <c r="BW268" s="128">
        <f>IFERROR(AL268*$W268,)</f>
        <v/>
      </c>
      <c r="BX268" s="128">
        <f>IFERROR(AM268*$W268,)</f>
        <v/>
      </c>
      <c r="BY268" s="128">
        <f>IFERROR(AN268*$W268,)</f>
        <v/>
      </c>
      <c r="BZ268" s="128">
        <f>IFERROR(AO268*$W268,)</f>
        <v/>
      </c>
      <c r="CA268" s="128">
        <f>IFERROR(AP268*$W268,)</f>
        <v/>
      </c>
      <c r="CB268" s="128">
        <f>IFERROR(AQ268*$W268,)</f>
        <v/>
      </c>
      <c r="CC268" s="128">
        <f>IFERROR(AR268*$W268,)</f>
        <v/>
      </c>
      <c r="CD268" s="128">
        <f>IFERROR(AS268*$W268,)</f>
        <v/>
      </c>
      <c r="CE268" s="128">
        <f>IFERROR(AT268*$W268,)</f>
        <v/>
      </c>
      <c r="CF268" s="128">
        <f>IFERROR(AU268*$W268,)</f>
        <v/>
      </c>
      <c r="CG268" s="128">
        <f>IFERROR(AV268*$W268,)</f>
        <v/>
      </c>
      <c r="CH268" s="128">
        <f>IFERROR(AW268*$W268,)</f>
        <v/>
      </c>
      <c r="CI268" s="128">
        <f>IFERROR(AX268*$W268,)</f>
        <v/>
      </c>
      <c r="CJ268" s="128">
        <f>IFERROR(AY268*$W268,)</f>
        <v/>
      </c>
      <c r="CK268" s="128">
        <f>IFERROR(AZ268*$W268,)</f>
        <v/>
      </c>
      <c r="CL268" s="129">
        <f>IFERROR(if($Y268=0,BA268*($W268/1.2),BA268*$Y268),"")</f>
        <v/>
      </c>
      <c r="CM268" s="129">
        <f>IFERROR(if($Y268=0,BB268*($W268/1.2),BB268*$Y268),"")</f>
        <v/>
      </c>
      <c r="CN268" s="129">
        <f>IFERROR(if($Y268=0,BC268*($W268/1.2),BC268*$Y268),"")</f>
        <v/>
      </c>
      <c r="CO268" s="130">
        <f>IFERROR(if($AA268=0,($W268/1.35)*BD268,BD268*$AA268),)</f>
        <v/>
      </c>
      <c r="CP268" s="130">
        <f>IFERROR(if($AA268=0,($W268/1.35)*BE268,BE268*$AA268),)</f>
        <v/>
      </c>
      <c r="CQ268" s="130">
        <f>IFERROR(if($AA268=0,($W268/1.35)*BF268,BF268*$AA268),)</f>
        <v/>
      </c>
      <c r="CR268" s="128">
        <f>IFERROR(if($AC268=0,($W268/0.74)*BG268,
BG268*$AC268),)</f>
        <v/>
      </c>
      <c r="CS268" s="128">
        <f>IFERROR(if($AC268=0,($W268/0.74)*BH268,
BH268*$AC268),)</f>
        <v/>
      </c>
      <c r="CT268" s="128">
        <f>IFERROR(if($AC268=0,($W268/0.74)*BI268,
BI268*$AC268),)</f>
        <v/>
      </c>
      <c r="CU268" s="128">
        <f>IFERROR(AI268*$V268,)</f>
        <v/>
      </c>
      <c r="CV268" s="128">
        <f>IFERROR(AJ268*$V268,)</f>
        <v/>
      </c>
      <c r="CW268" s="128">
        <f>IFERROR(AK268*$V268,)</f>
        <v/>
      </c>
      <c r="CX268" s="128">
        <f>IFERROR(AL268*$V268,)</f>
        <v/>
      </c>
      <c r="CY268" s="128">
        <f>IFERROR(AM268*$V268,)</f>
        <v/>
      </c>
      <c r="CZ268" s="128">
        <f>IFERROR(AN268*$V268,)</f>
        <v/>
      </c>
      <c r="DA268" s="128">
        <f>IFERROR(AO268*$V268,)</f>
        <v/>
      </c>
      <c r="DB268" s="128">
        <f>IFERROR(AP268*$V268,)</f>
        <v/>
      </c>
      <c r="DC268" s="128">
        <f>IFERROR(AQ268*$V268,)</f>
        <v/>
      </c>
      <c r="DD268" s="128">
        <f>IFERROR(AR268*$V268,)</f>
        <v/>
      </c>
      <c r="DE268" s="128">
        <f>IFERROR(AS268*$V268,)</f>
        <v/>
      </c>
      <c r="DF268" s="128">
        <f>IFERROR(AT268*$V268,)</f>
        <v/>
      </c>
      <c r="DG268" s="128">
        <f>IFERROR(AU268*$V268,)</f>
        <v/>
      </c>
      <c r="DH268" s="128">
        <f>IFERROR(AV268*$V268,)</f>
        <v/>
      </c>
      <c r="DI268" s="128">
        <f>IFERROR(AW268*$V268,)</f>
        <v/>
      </c>
      <c r="DJ268" s="128">
        <f>IFERROR(AX268*$V268,)</f>
        <v/>
      </c>
      <c r="DK268" s="128">
        <f>IFERROR(AY268*$V268,)</f>
        <v/>
      </c>
      <c r="DL268" s="128">
        <f>IFERROR(AZ268*$V268,)</f>
        <v/>
      </c>
      <c r="DM268" s="129">
        <f>IFERROR(if($X268=0,($V268/1.2)*BA268,
BA268*$X268),)</f>
        <v/>
      </c>
      <c r="DN268" s="129">
        <f>IFERROR(if($X268=0,($V268/1.2)*BB268,
BB268*$X268),)</f>
        <v/>
      </c>
      <c r="DO268" s="129">
        <f>IFERROR(if($X268=0,($V268/1.2)*BC268,
BC268*$X268),)</f>
        <v/>
      </c>
      <c r="DP268" s="130">
        <f>IFERROR(if($Z268=0,($V268/1.35)*BD268,
BD268*$Z268),)</f>
        <v/>
      </c>
      <c r="DQ268" s="130">
        <f>IFERROR(if($Z268=0,($V268/1.35)*BE268,
BE268*$Z268),)</f>
        <v/>
      </c>
      <c r="DR268" s="130">
        <f>IFERROR(if($Z268=0,($V268/1.35)*BF268,
BF268*$Z268),)</f>
        <v/>
      </c>
      <c r="DS268" s="128">
        <f>IFERROR(IF($AB268=0,($V268/0.74)*BG268,
BG268*$AB268),)</f>
        <v/>
      </c>
      <c r="DT268" s="128">
        <f>IFERROR(IF($AB268=0,($V268/0.74)*BH268,
BH268*$AB268),)</f>
        <v/>
      </c>
      <c r="DU268" s="128">
        <f>IFERROR(IF($AB268=0,($V268/0.74)*BI268,
BI268*$AB268),)</f>
        <v/>
      </c>
    </row>
    <row r="269" ht="131.25" customHeight="1" s="162">
      <c r="A269" s="115" t="n"/>
      <c r="B269" s="115" t="n"/>
      <c r="C269" s="115" t="n"/>
      <c r="D269" s="115" t="n"/>
      <c r="E269" s="115" t="n"/>
      <c r="F269" s="115" t="n"/>
      <c r="G269" s="115" t="n"/>
      <c r="H269" s="115" t="n"/>
      <c r="I269" s="115" t="n"/>
      <c r="J269" s="115" t="n"/>
      <c r="K269" s="115" t="n"/>
      <c r="L269" s="115" t="n"/>
      <c r="M269" s="115" t="n"/>
      <c r="N269" s="115" t="n"/>
      <c r="O269" s="115" t="n"/>
      <c r="P269" s="115" t="n"/>
      <c r="Q269" s="115" t="n"/>
      <c r="R269" s="115" t="n"/>
      <c r="S269" s="115" t="n"/>
      <c r="T269" s="115" t="n"/>
      <c r="U269" s="116" t="n"/>
      <c r="V269" s="116" t="n"/>
      <c r="W269" s="117" t="n"/>
      <c r="X269" s="118" t="n"/>
      <c r="Y269" s="119" t="n"/>
      <c r="Z269" s="120" t="n"/>
      <c r="AA269" s="121" t="n"/>
      <c r="AB269" s="122" t="n"/>
      <c r="AC269" s="117" t="n"/>
      <c r="AD269" s="123">
        <f>IF(SUM($AE269:$AH269)=0,"",SUM($AE269:$AH269))</f>
        <v/>
      </c>
      <c r="AE269" s="123">
        <f>iferror(IF(SUM($AI269:$AZ269)=0,"",SUM($AI269:$AZ269)),"")</f>
        <v/>
      </c>
      <c r="AF269" s="123">
        <f>iferror(IF(SUM($BA269:$BC269)=0,"",SUM($BA269:$BC269)),"")</f>
        <v/>
      </c>
      <c r="AG269" s="123">
        <f>iferror(IF(SUM($BD269:$BF269)=0,"",SUM($BD269:$BF269)),"")</f>
        <v/>
      </c>
      <c r="AH269" s="124">
        <f>iferror(IF(SUM($BG269:$BI269)=0,"",SUM($BG269:$BI269)),"")</f>
        <v/>
      </c>
      <c r="AI269" s="131" t="n"/>
      <c r="AJ269" s="132" t="n"/>
      <c r="AK269" s="132" t="n"/>
      <c r="AL269" s="132" t="n"/>
      <c r="AM269" s="132" t="n"/>
      <c r="AN269" s="132" t="n"/>
      <c r="AO269" s="132" t="n"/>
      <c r="AP269" s="132" t="n"/>
      <c r="AQ269" s="132" t="n"/>
      <c r="AR269" s="132" t="n"/>
      <c r="AS269" s="132" t="n"/>
      <c r="AT269" s="132" t="n"/>
      <c r="AU269" s="132" t="n"/>
      <c r="AV269" s="132" t="n"/>
      <c r="AW269" s="132" t="n"/>
      <c r="AX269" s="132" t="n"/>
      <c r="AY269" s="132" t="n"/>
      <c r="AZ269" s="133" t="n"/>
      <c r="BA269" s="131" t="n"/>
      <c r="BB269" s="132" t="n"/>
      <c r="BC269" s="133" t="n"/>
      <c r="BD269" s="131" t="n"/>
      <c r="BE269" s="132" t="n"/>
      <c r="BF269" s="133" t="n"/>
      <c r="BG269" s="131" t="n"/>
      <c r="BH269" s="132" t="n"/>
      <c r="BI269" s="132" t="n"/>
      <c r="BJ269" s="128">
        <f>iferror(SUM($BK269,($BL269*1.2),($BM269*1.35),($BN269*0.74)),)</f>
        <v/>
      </c>
      <c r="BK269" s="128">
        <f>IFERROR(SUM($BT269:$CK269),)</f>
        <v/>
      </c>
      <c r="BL269" s="129">
        <f>IFERROR(SUM($CL269:$CN269),)</f>
        <v/>
      </c>
      <c r="BM269" s="130">
        <f>IFERROR(SUM($CO269:$CQ269),)</f>
        <v/>
      </c>
      <c r="BN269" s="128">
        <f>IFERROR(SUM($CR269:$CT269),)</f>
        <v/>
      </c>
      <c r="BO269" s="128">
        <f>iferror(SUM($BP269,($BQ269*1.2),($BR269*1.35),($BS269*0.74)),)</f>
        <v/>
      </c>
      <c r="BP269" s="128">
        <f>IFERROR(SUM($CU269:$DL269),)</f>
        <v/>
      </c>
      <c r="BQ269" s="128">
        <f>IFERROR(SUM($DM269:$DO269),)</f>
        <v/>
      </c>
      <c r="BR269" s="128">
        <f>IFERROR(SUM($DP269:$DR269),)</f>
        <v/>
      </c>
      <c r="BS269" s="128">
        <f>IFERROR(SUM($DS269:$DU269),)</f>
        <v/>
      </c>
      <c r="BT269" s="128">
        <f>IFERROR(AI269*$W269,)</f>
        <v/>
      </c>
      <c r="BU269" s="128">
        <f>IFERROR(AJ269*$W269,)</f>
        <v/>
      </c>
      <c r="BV269" s="128">
        <f>IFERROR(AK269*$W269,)</f>
        <v/>
      </c>
      <c r="BW269" s="128">
        <f>IFERROR(AL269*$W269,)</f>
        <v/>
      </c>
      <c r="BX269" s="128">
        <f>IFERROR(AM269*$W269,)</f>
        <v/>
      </c>
      <c r="BY269" s="128">
        <f>IFERROR(AN269*$W269,)</f>
        <v/>
      </c>
      <c r="BZ269" s="128">
        <f>IFERROR(AO269*$W269,)</f>
        <v/>
      </c>
      <c r="CA269" s="128">
        <f>IFERROR(AP269*$W269,)</f>
        <v/>
      </c>
      <c r="CB269" s="128">
        <f>IFERROR(AQ269*$W269,)</f>
        <v/>
      </c>
      <c r="CC269" s="128">
        <f>IFERROR(AR269*$W269,)</f>
        <v/>
      </c>
      <c r="CD269" s="128">
        <f>IFERROR(AS269*$W269,)</f>
        <v/>
      </c>
      <c r="CE269" s="128">
        <f>IFERROR(AT269*$W269,)</f>
        <v/>
      </c>
      <c r="CF269" s="128">
        <f>IFERROR(AU269*$W269,)</f>
        <v/>
      </c>
      <c r="CG269" s="128">
        <f>IFERROR(AV269*$W269,)</f>
        <v/>
      </c>
      <c r="CH269" s="128">
        <f>IFERROR(AW269*$W269,)</f>
        <v/>
      </c>
      <c r="CI269" s="128">
        <f>IFERROR(AX269*$W269,)</f>
        <v/>
      </c>
      <c r="CJ269" s="128">
        <f>IFERROR(AY269*$W269,)</f>
        <v/>
      </c>
      <c r="CK269" s="128">
        <f>IFERROR(AZ269*$W269,)</f>
        <v/>
      </c>
      <c r="CL269" s="129">
        <f>IFERROR(if($Y269=0,BA269*($W269/1.2),BA269*$Y269),"")</f>
        <v/>
      </c>
      <c r="CM269" s="129">
        <f>IFERROR(if($Y269=0,BB269*($W269/1.2),BB269*$Y269),"")</f>
        <v/>
      </c>
      <c r="CN269" s="129">
        <f>IFERROR(if($Y269=0,BC269*($W269/1.2),BC269*$Y269),"")</f>
        <v/>
      </c>
      <c r="CO269" s="130">
        <f>IFERROR(if($AA269=0,($W269/1.35)*BD269,BD269*$AA269),)</f>
        <v/>
      </c>
      <c r="CP269" s="130">
        <f>IFERROR(if($AA269=0,($W269/1.35)*BE269,BE269*$AA269),)</f>
        <v/>
      </c>
      <c r="CQ269" s="130">
        <f>IFERROR(if($AA269=0,($W269/1.35)*BF269,BF269*$AA269),)</f>
        <v/>
      </c>
      <c r="CR269" s="128">
        <f>IFERROR(if($AC269=0,($W269/0.74)*BG269,
BG269*$AC269),)</f>
        <v/>
      </c>
      <c r="CS269" s="128">
        <f>IFERROR(if($AC269=0,($W269/0.74)*BH269,
BH269*$AC269),)</f>
        <v/>
      </c>
      <c r="CT269" s="128">
        <f>IFERROR(if($AC269=0,($W269/0.74)*BI269,
BI269*$AC269),)</f>
        <v/>
      </c>
      <c r="CU269" s="128">
        <f>IFERROR(AI269*$V269,)</f>
        <v/>
      </c>
      <c r="CV269" s="128">
        <f>IFERROR(AJ269*$V269,)</f>
        <v/>
      </c>
      <c r="CW269" s="128">
        <f>IFERROR(AK269*$V269,)</f>
        <v/>
      </c>
      <c r="CX269" s="128">
        <f>IFERROR(AL269*$V269,)</f>
        <v/>
      </c>
      <c r="CY269" s="128">
        <f>IFERROR(AM269*$V269,)</f>
        <v/>
      </c>
      <c r="CZ269" s="128">
        <f>IFERROR(AN269*$V269,)</f>
        <v/>
      </c>
      <c r="DA269" s="128">
        <f>IFERROR(AO269*$V269,)</f>
        <v/>
      </c>
      <c r="DB269" s="128">
        <f>IFERROR(AP269*$V269,)</f>
        <v/>
      </c>
      <c r="DC269" s="128">
        <f>IFERROR(AQ269*$V269,)</f>
        <v/>
      </c>
      <c r="DD269" s="128">
        <f>IFERROR(AR269*$V269,)</f>
        <v/>
      </c>
      <c r="DE269" s="128">
        <f>IFERROR(AS269*$V269,)</f>
        <v/>
      </c>
      <c r="DF269" s="128">
        <f>IFERROR(AT269*$V269,)</f>
        <v/>
      </c>
      <c r="DG269" s="128">
        <f>IFERROR(AU269*$V269,)</f>
        <v/>
      </c>
      <c r="DH269" s="128">
        <f>IFERROR(AV269*$V269,)</f>
        <v/>
      </c>
      <c r="DI269" s="128">
        <f>IFERROR(AW269*$V269,)</f>
        <v/>
      </c>
      <c r="DJ269" s="128">
        <f>IFERROR(AX269*$V269,)</f>
        <v/>
      </c>
      <c r="DK269" s="128">
        <f>IFERROR(AY269*$V269,)</f>
        <v/>
      </c>
      <c r="DL269" s="128">
        <f>IFERROR(AZ269*$V269,)</f>
        <v/>
      </c>
      <c r="DM269" s="129">
        <f>IFERROR(if($X269=0,($V269/1.2)*BA269,
BA269*$X269),)</f>
        <v/>
      </c>
      <c r="DN269" s="129">
        <f>IFERROR(if($X269=0,($V269/1.2)*BB269,
BB269*$X269),)</f>
        <v/>
      </c>
      <c r="DO269" s="129">
        <f>IFERROR(if($X269=0,($V269/1.2)*BC269,
BC269*$X269),)</f>
        <v/>
      </c>
      <c r="DP269" s="130">
        <f>IFERROR(if($Z269=0,($V269/1.35)*BD269,
BD269*$Z269),)</f>
        <v/>
      </c>
      <c r="DQ269" s="130">
        <f>IFERROR(if($Z269=0,($V269/1.35)*BE269,
BE269*$Z269),)</f>
        <v/>
      </c>
      <c r="DR269" s="130">
        <f>IFERROR(if($Z269=0,($V269/1.35)*BF269,
BF269*$Z269),)</f>
        <v/>
      </c>
      <c r="DS269" s="128">
        <f>IFERROR(IF($AB269=0,($V269/0.74)*BG269,
BG269*$AB269),)</f>
        <v/>
      </c>
      <c r="DT269" s="128">
        <f>IFERROR(IF($AB269=0,($V269/0.74)*BH269,
BH269*$AB269),)</f>
        <v/>
      </c>
      <c r="DU269" s="128">
        <f>IFERROR(IF($AB269=0,($V269/0.74)*BI269,
BI269*$AB269),)</f>
        <v/>
      </c>
    </row>
    <row r="270" ht="131.25" customHeight="1" s="162">
      <c r="A270" s="115" t="n"/>
      <c r="B270" s="115" t="n"/>
      <c r="C270" s="115" t="n"/>
      <c r="D270" s="115" t="n"/>
      <c r="E270" s="115" t="n"/>
      <c r="F270" s="115" t="n"/>
      <c r="G270" s="115" t="n"/>
      <c r="H270" s="115" t="n"/>
      <c r="I270" s="115" t="n"/>
      <c r="J270" s="115" t="n"/>
      <c r="K270" s="115" t="n"/>
      <c r="L270" s="115" t="n"/>
      <c r="M270" s="115" t="n"/>
      <c r="N270" s="115" t="n"/>
      <c r="O270" s="115" t="n"/>
      <c r="P270" s="115" t="n"/>
      <c r="Q270" s="115" t="n"/>
      <c r="R270" s="115" t="n"/>
      <c r="S270" s="115" t="n"/>
      <c r="T270" s="115" t="n"/>
      <c r="U270" s="116" t="n"/>
      <c r="V270" s="116" t="n"/>
      <c r="W270" s="117" t="n"/>
      <c r="X270" s="118" t="n"/>
      <c r="Y270" s="119" t="n"/>
      <c r="Z270" s="120" t="n"/>
      <c r="AA270" s="121" t="n"/>
      <c r="AB270" s="122" t="n"/>
      <c r="AC270" s="117" t="n"/>
      <c r="AD270" s="123">
        <f>IF(SUM($AE270:$AH270)=0,"",SUM($AE270:$AH270))</f>
        <v/>
      </c>
      <c r="AE270" s="123">
        <f>iferror(IF(SUM($AI270:$AZ270)=0,"",SUM($AI270:$AZ270)),"")</f>
        <v/>
      </c>
      <c r="AF270" s="123">
        <f>iferror(IF(SUM($BA270:$BC270)=0,"",SUM($BA270:$BC270)),"")</f>
        <v/>
      </c>
      <c r="AG270" s="123">
        <f>iferror(IF(SUM($BD270:$BF270)=0,"",SUM($BD270:$BF270)),"")</f>
        <v/>
      </c>
      <c r="AH270" s="124">
        <f>iferror(IF(SUM($BG270:$BI270)=0,"",SUM($BG270:$BI270)),"")</f>
        <v/>
      </c>
      <c r="AI270" s="131" t="n"/>
      <c r="AJ270" s="132" t="n"/>
      <c r="AK270" s="132" t="n"/>
      <c r="AL270" s="132" t="n"/>
      <c r="AM270" s="132" t="n"/>
      <c r="AN270" s="132" t="n"/>
      <c r="AO270" s="132" t="n"/>
      <c r="AP270" s="132" t="n"/>
      <c r="AQ270" s="132" t="n"/>
      <c r="AR270" s="132" t="n"/>
      <c r="AS270" s="132" t="n"/>
      <c r="AT270" s="132" t="n"/>
      <c r="AU270" s="132" t="n"/>
      <c r="AV270" s="132" t="n"/>
      <c r="AW270" s="132" t="n"/>
      <c r="AX270" s="132" t="n"/>
      <c r="AY270" s="132" t="n"/>
      <c r="AZ270" s="133" t="n"/>
      <c r="BA270" s="131" t="n"/>
      <c r="BB270" s="132" t="n"/>
      <c r="BC270" s="133" t="n"/>
      <c r="BD270" s="131" t="n"/>
      <c r="BE270" s="132" t="n"/>
      <c r="BF270" s="133" t="n"/>
      <c r="BG270" s="131" t="n"/>
      <c r="BH270" s="132" t="n"/>
      <c r="BI270" s="132" t="n"/>
      <c r="BJ270" s="128">
        <f>iferror(SUM($BK270,($BL270*1.2),($BM270*1.35),($BN270*0.74)),)</f>
        <v/>
      </c>
      <c r="BK270" s="128">
        <f>IFERROR(SUM($BT270:$CK270),)</f>
        <v/>
      </c>
      <c r="BL270" s="129">
        <f>IFERROR(SUM($CL270:$CN270),)</f>
        <v/>
      </c>
      <c r="BM270" s="130">
        <f>IFERROR(SUM($CO270:$CQ270),)</f>
        <v/>
      </c>
      <c r="BN270" s="128">
        <f>IFERROR(SUM($CR270:$CT270),)</f>
        <v/>
      </c>
      <c r="BO270" s="128">
        <f>iferror(SUM($BP270,($BQ270*1.2),($BR270*1.35),($BS270*0.74)),)</f>
        <v/>
      </c>
      <c r="BP270" s="128">
        <f>IFERROR(SUM($CU270:$DL270),)</f>
        <v/>
      </c>
      <c r="BQ270" s="128">
        <f>IFERROR(SUM($DM270:$DO270),)</f>
        <v/>
      </c>
      <c r="BR270" s="128">
        <f>IFERROR(SUM($DP270:$DR270),)</f>
        <v/>
      </c>
      <c r="BS270" s="128">
        <f>IFERROR(SUM($DS270:$DU270),)</f>
        <v/>
      </c>
      <c r="BT270" s="128">
        <f>IFERROR(AI270*$W270,)</f>
        <v/>
      </c>
      <c r="BU270" s="128">
        <f>IFERROR(AJ270*$W270,)</f>
        <v/>
      </c>
      <c r="BV270" s="128">
        <f>IFERROR(AK270*$W270,)</f>
        <v/>
      </c>
      <c r="BW270" s="128">
        <f>IFERROR(AL270*$W270,)</f>
        <v/>
      </c>
      <c r="BX270" s="128">
        <f>IFERROR(AM270*$W270,)</f>
        <v/>
      </c>
      <c r="BY270" s="128">
        <f>IFERROR(AN270*$W270,)</f>
        <v/>
      </c>
      <c r="BZ270" s="128">
        <f>IFERROR(AO270*$W270,)</f>
        <v/>
      </c>
      <c r="CA270" s="128">
        <f>IFERROR(AP270*$W270,)</f>
        <v/>
      </c>
      <c r="CB270" s="128">
        <f>IFERROR(AQ270*$W270,)</f>
        <v/>
      </c>
      <c r="CC270" s="128">
        <f>IFERROR(AR270*$W270,)</f>
        <v/>
      </c>
      <c r="CD270" s="128">
        <f>IFERROR(AS270*$W270,)</f>
        <v/>
      </c>
      <c r="CE270" s="128">
        <f>IFERROR(AT270*$W270,)</f>
        <v/>
      </c>
      <c r="CF270" s="128">
        <f>IFERROR(AU270*$W270,)</f>
        <v/>
      </c>
      <c r="CG270" s="128">
        <f>IFERROR(AV270*$W270,)</f>
        <v/>
      </c>
      <c r="CH270" s="128">
        <f>IFERROR(AW270*$W270,)</f>
        <v/>
      </c>
      <c r="CI270" s="128">
        <f>IFERROR(AX270*$W270,)</f>
        <v/>
      </c>
      <c r="CJ270" s="128">
        <f>IFERROR(AY270*$W270,)</f>
        <v/>
      </c>
      <c r="CK270" s="128">
        <f>IFERROR(AZ270*$W270,)</f>
        <v/>
      </c>
      <c r="CL270" s="129">
        <f>IFERROR(if($Y270=0,BA270*($W270/1.2),BA270*$Y270),"")</f>
        <v/>
      </c>
      <c r="CM270" s="129">
        <f>IFERROR(if($Y270=0,BB270*($W270/1.2),BB270*$Y270),"")</f>
        <v/>
      </c>
      <c r="CN270" s="129">
        <f>IFERROR(if($Y270=0,BC270*($W270/1.2),BC270*$Y270),"")</f>
        <v/>
      </c>
      <c r="CO270" s="130">
        <f>IFERROR(if($AA270=0,($W270/1.35)*BD270,BD270*$AA270),)</f>
        <v/>
      </c>
      <c r="CP270" s="130">
        <f>IFERROR(if($AA270=0,($W270/1.35)*BE270,BE270*$AA270),)</f>
        <v/>
      </c>
      <c r="CQ270" s="130">
        <f>IFERROR(if($AA270=0,($W270/1.35)*BF270,BF270*$AA270),)</f>
        <v/>
      </c>
      <c r="CR270" s="128">
        <f>IFERROR(if($AC270=0,($W270/0.74)*BG270,
BG270*$AC270),)</f>
        <v/>
      </c>
      <c r="CS270" s="128">
        <f>IFERROR(if($AC270=0,($W270/0.74)*BH270,
BH270*$AC270),)</f>
        <v/>
      </c>
      <c r="CT270" s="128">
        <f>IFERROR(if($AC270=0,($W270/0.74)*BI270,
BI270*$AC270),)</f>
        <v/>
      </c>
      <c r="CU270" s="128">
        <f>IFERROR(AI270*$V270,)</f>
        <v/>
      </c>
      <c r="CV270" s="128">
        <f>IFERROR(AJ270*$V270,)</f>
        <v/>
      </c>
      <c r="CW270" s="128">
        <f>IFERROR(AK270*$V270,)</f>
        <v/>
      </c>
      <c r="CX270" s="128">
        <f>IFERROR(AL270*$V270,)</f>
        <v/>
      </c>
      <c r="CY270" s="128">
        <f>IFERROR(AM270*$V270,)</f>
        <v/>
      </c>
      <c r="CZ270" s="128">
        <f>IFERROR(AN270*$V270,)</f>
        <v/>
      </c>
      <c r="DA270" s="128">
        <f>IFERROR(AO270*$V270,)</f>
        <v/>
      </c>
      <c r="DB270" s="128">
        <f>IFERROR(AP270*$V270,)</f>
        <v/>
      </c>
      <c r="DC270" s="128">
        <f>IFERROR(AQ270*$V270,)</f>
        <v/>
      </c>
      <c r="DD270" s="128">
        <f>IFERROR(AR270*$V270,)</f>
        <v/>
      </c>
      <c r="DE270" s="128">
        <f>IFERROR(AS270*$V270,)</f>
        <v/>
      </c>
      <c r="DF270" s="128">
        <f>IFERROR(AT270*$V270,)</f>
        <v/>
      </c>
      <c r="DG270" s="128">
        <f>IFERROR(AU270*$V270,)</f>
        <v/>
      </c>
      <c r="DH270" s="128">
        <f>IFERROR(AV270*$V270,)</f>
        <v/>
      </c>
      <c r="DI270" s="128">
        <f>IFERROR(AW270*$V270,)</f>
        <v/>
      </c>
      <c r="DJ270" s="128">
        <f>IFERROR(AX270*$V270,)</f>
        <v/>
      </c>
      <c r="DK270" s="128">
        <f>IFERROR(AY270*$V270,)</f>
        <v/>
      </c>
      <c r="DL270" s="128">
        <f>IFERROR(AZ270*$V270,)</f>
        <v/>
      </c>
      <c r="DM270" s="129">
        <f>IFERROR(if($X270=0,($V270/1.2)*BA270,
BA270*$X270),)</f>
        <v/>
      </c>
      <c r="DN270" s="129">
        <f>IFERROR(if($X270=0,($V270/1.2)*BB270,
BB270*$X270),)</f>
        <v/>
      </c>
      <c r="DO270" s="129">
        <f>IFERROR(if($X270=0,($V270/1.2)*BC270,
BC270*$X270),)</f>
        <v/>
      </c>
      <c r="DP270" s="130">
        <f>IFERROR(if($Z270=0,($V270/1.35)*BD270,
BD270*$Z270),)</f>
        <v/>
      </c>
      <c r="DQ270" s="130">
        <f>IFERROR(if($Z270=0,($V270/1.35)*BE270,
BE270*$Z270),)</f>
        <v/>
      </c>
      <c r="DR270" s="130">
        <f>IFERROR(if($Z270=0,($V270/1.35)*BF270,
BF270*$Z270),)</f>
        <v/>
      </c>
      <c r="DS270" s="128">
        <f>IFERROR(IF($AB270=0,($V270/0.74)*BG270,
BG270*$AB270),)</f>
        <v/>
      </c>
      <c r="DT270" s="128">
        <f>IFERROR(IF($AB270=0,($V270/0.74)*BH270,
BH270*$AB270),)</f>
        <v/>
      </c>
      <c r="DU270" s="128">
        <f>IFERROR(IF($AB270=0,($V270/0.74)*BI270,
BI270*$AB270),)</f>
        <v/>
      </c>
    </row>
    <row r="271" ht="131.25" customHeight="1" s="162">
      <c r="A271" s="115" t="n"/>
      <c r="B271" s="115" t="n"/>
      <c r="C271" s="115" t="n"/>
      <c r="D271" s="115" t="n"/>
      <c r="E271" s="115" t="n"/>
      <c r="F271" s="115" t="n"/>
      <c r="G271" s="115" t="n"/>
      <c r="H271" s="115" t="n"/>
      <c r="I271" s="115" t="n"/>
      <c r="J271" s="115" t="n"/>
      <c r="K271" s="115" t="n"/>
      <c r="L271" s="115" t="n"/>
      <c r="M271" s="115" t="n"/>
      <c r="N271" s="115" t="n"/>
      <c r="O271" s="115" t="n"/>
      <c r="P271" s="115" t="n"/>
      <c r="Q271" s="115" t="n"/>
      <c r="R271" s="115" t="n"/>
      <c r="S271" s="115" t="n"/>
      <c r="T271" s="115" t="n"/>
      <c r="U271" s="116" t="n"/>
      <c r="V271" s="116" t="n"/>
      <c r="W271" s="117" t="n"/>
      <c r="X271" s="118" t="n"/>
      <c r="Y271" s="119" t="n"/>
      <c r="Z271" s="120" t="n"/>
      <c r="AA271" s="121" t="n"/>
      <c r="AB271" s="122" t="n"/>
      <c r="AC271" s="117" t="n"/>
      <c r="AD271" s="123">
        <f>IF(SUM($AE271:$AH271)=0,"",SUM($AE271:$AH271))</f>
        <v/>
      </c>
      <c r="AE271" s="123">
        <f>iferror(IF(SUM($AI271:$AZ271)=0,"",SUM($AI271:$AZ271)),"")</f>
        <v/>
      </c>
      <c r="AF271" s="123">
        <f>iferror(IF(SUM($BA271:$BC271)=0,"",SUM($BA271:$BC271)),"")</f>
        <v/>
      </c>
      <c r="AG271" s="123">
        <f>iferror(IF(SUM($BD271:$BF271)=0,"",SUM($BD271:$BF271)),"")</f>
        <v/>
      </c>
      <c r="AH271" s="124">
        <f>iferror(IF(SUM($BG271:$BI271)=0,"",SUM($BG271:$BI271)),"")</f>
        <v/>
      </c>
      <c r="AI271" s="131" t="n"/>
      <c r="AJ271" s="132" t="n"/>
      <c r="AK271" s="132" t="n"/>
      <c r="AL271" s="132" t="n"/>
      <c r="AM271" s="132" t="n"/>
      <c r="AN271" s="132" t="n"/>
      <c r="AO271" s="132" t="n"/>
      <c r="AP271" s="132" t="n"/>
      <c r="AQ271" s="132" t="n"/>
      <c r="AR271" s="132" t="n"/>
      <c r="AS271" s="132" t="n"/>
      <c r="AT271" s="132" t="n"/>
      <c r="AU271" s="132" t="n"/>
      <c r="AV271" s="132" t="n"/>
      <c r="AW271" s="132" t="n"/>
      <c r="AX271" s="132" t="n"/>
      <c r="AY271" s="132" t="n"/>
      <c r="AZ271" s="133" t="n"/>
      <c r="BA271" s="131" t="n"/>
      <c r="BB271" s="132" t="n"/>
      <c r="BC271" s="133" t="n"/>
      <c r="BD271" s="131" t="n"/>
      <c r="BE271" s="132" t="n"/>
      <c r="BF271" s="133" t="n"/>
      <c r="BG271" s="131" t="n"/>
      <c r="BH271" s="132" t="n"/>
      <c r="BI271" s="132" t="n"/>
      <c r="BJ271" s="128">
        <f>iferror(SUM($BK271,($BL271*1.2),($BM271*1.35),($BN271*0.74)),)</f>
        <v/>
      </c>
      <c r="BK271" s="128">
        <f>IFERROR(SUM($BT271:$CK271),)</f>
        <v/>
      </c>
      <c r="BL271" s="129">
        <f>IFERROR(SUM($CL271:$CN271),)</f>
        <v/>
      </c>
      <c r="BM271" s="130">
        <f>IFERROR(SUM($CO271:$CQ271),)</f>
        <v/>
      </c>
      <c r="BN271" s="128">
        <f>IFERROR(SUM($CR271:$CT271),)</f>
        <v/>
      </c>
      <c r="BO271" s="128">
        <f>iferror(SUM($BP271,($BQ271*1.2),($BR271*1.35),($BS271*0.74)),)</f>
        <v/>
      </c>
      <c r="BP271" s="128">
        <f>IFERROR(SUM($CU271:$DL271),)</f>
        <v/>
      </c>
      <c r="BQ271" s="128">
        <f>IFERROR(SUM($DM271:$DO271),)</f>
        <v/>
      </c>
      <c r="BR271" s="128">
        <f>IFERROR(SUM($DP271:$DR271),)</f>
        <v/>
      </c>
      <c r="BS271" s="128">
        <f>IFERROR(SUM($DS271:$DU271),)</f>
        <v/>
      </c>
      <c r="BT271" s="128">
        <f>IFERROR(AI271*$W271,)</f>
        <v/>
      </c>
      <c r="BU271" s="128">
        <f>IFERROR(AJ271*$W271,)</f>
        <v/>
      </c>
      <c r="BV271" s="128">
        <f>IFERROR(AK271*$W271,)</f>
        <v/>
      </c>
      <c r="BW271" s="128">
        <f>IFERROR(AL271*$W271,)</f>
        <v/>
      </c>
      <c r="BX271" s="128">
        <f>IFERROR(AM271*$W271,)</f>
        <v/>
      </c>
      <c r="BY271" s="128">
        <f>IFERROR(AN271*$W271,)</f>
        <v/>
      </c>
      <c r="BZ271" s="128">
        <f>IFERROR(AO271*$W271,)</f>
        <v/>
      </c>
      <c r="CA271" s="128">
        <f>IFERROR(AP271*$W271,)</f>
        <v/>
      </c>
      <c r="CB271" s="128">
        <f>IFERROR(AQ271*$W271,)</f>
        <v/>
      </c>
      <c r="CC271" s="128">
        <f>IFERROR(AR271*$W271,)</f>
        <v/>
      </c>
      <c r="CD271" s="128">
        <f>IFERROR(AS271*$W271,)</f>
        <v/>
      </c>
      <c r="CE271" s="128">
        <f>IFERROR(AT271*$W271,)</f>
        <v/>
      </c>
      <c r="CF271" s="128">
        <f>IFERROR(AU271*$W271,)</f>
        <v/>
      </c>
      <c r="CG271" s="128">
        <f>IFERROR(AV271*$W271,)</f>
        <v/>
      </c>
      <c r="CH271" s="128">
        <f>IFERROR(AW271*$W271,)</f>
        <v/>
      </c>
      <c r="CI271" s="128">
        <f>IFERROR(AX271*$W271,)</f>
        <v/>
      </c>
      <c r="CJ271" s="128">
        <f>IFERROR(AY271*$W271,)</f>
        <v/>
      </c>
      <c r="CK271" s="128">
        <f>IFERROR(AZ271*$W271,)</f>
        <v/>
      </c>
      <c r="CL271" s="129">
        <f>IFERROR(if($Y271=0,BA271*($W271/1.2),BA271*$Y271),"")</f>
        <v/>
      </c>
      <c r="CM271" s="129">
        <f>IFERROR(if($Y271=0,BB271*($W271/1.2),BB271*$Y271),"")</f>
        <v/>
      </c>
      <c r="CN271" s="129">
        <f>IFERROR(if($Y271=0,BC271*($W271/1.2),BC271*$Y271),"")</f>
        <v/>
      </c>
      <c r="CO271" s="130">
        <f>IFERROR(if($AA271=0,($W271/1.35)*BD271,BD271*$AA271),)</f>
        <v/>
      </c>
      <c r="CP271" s="130">
        <f>IFERROR(if($AA271=0,($W271/1.35)*BE271,BE271*$AA271),)</f>
        <v/>
      </c>
      <c r="CQ271" s="130">
        <f>IFERROR(if($AA271=0,($W271/1.35)*BF271,BF271*$AA271),)</f>
        <v/>
      </c>
      <c r="CR271" s="128">
        <f>IFERROR(if($AC271=0,($W271/0.74)*BG271,
BG271*$AC271),)</f>
        <v/>
      </c>
      <c r="CS271" s="128">
        <f>IFERROR(if($AC271=0,($W271/0.74)*BH271,
BH271*$AC271),)</f>
        <v/>
      </c>
      <c r="CT271" s="128">
        <f>IFERROR(if($AC271=0,($W271/0.74)*BI271,
BI271*$AC271),)</f>
        <v/>
      </c>
      <c r="CU271" s="128">
        <f>IFERROR(AI271*$V271,)</f>
        <v/>
      </c>
      <c r="CV271" s="128">
        <f>IFERROR(AJ271*$V271,)</f>
        <v/>
      </c>
      <c r="CW271" s="128">
        <f>IFERROR(AK271*$V271,)</f>
        <v/>
      </c>
      <c r="CX271" s="128">
        <f>IFERROR(AL271*$V271,)</f>
        <v/>
      </c>
      <c r="CY271" s="128">
        <f>IFERROR(AM271*$V271,)</f>
        <v/>
      </c>
      <c r="CZ271" s="128">
        <f>IFERROR(AN271*$V271,)</f>
        <v/>
      </c>
      <c r="DA271" s="128">
        <f>IFERROR(AO271*$V271,)</f>
        <v/>
      </c>
      <c r="DB271" s="128">
        <f>IFERROR(AP271*$V271,)</f>
        <v/>
      </c>
      <c r="DC271" s="128">
        <f>IFERROR(AQ271*$V271,)</f>
        <v/>
      </c>
      <c r="DD271" s="128">
        <f>IFERROR(AR271*$V271,)</f>
        <v/>
      </c>
      <c r="DE271" s="128">
        <f>IFERROR(AS271*$V271,)</f>
        <v/>
      </c>
      <c r="DF271" s="128">
        <f>IFERROR(AT271*$V271,)</f>
        <v/>
      </c>
      <c r="DG271" s="128">
        <f>IFERROR(AU271*$V271,)</f>
        <v/>
      </c>
      <c r="DH271" s="128">
        <f>IFERROR(AV271*$V271,)</f>
        <v/>
      </c>
      <c r="DI271" s="128">
        <f>IFERROR(AW271*$V271,)</f>
        <v/>
      </c>
      <c r="DJ271" s="128">
        <f>IFERROR(AX271*$V271,)</f>
        <v/>
      </c>
      <c r="DK271" s="128">
        <f>IFERROR(AY271*$V271,)</f>
        <v/>
      </c>
      <c r="DL271" s="128">
        <f>IFERROR(AZ271*$V271,)</f>
        <v/>
      </c>
      <c r="DM271" s="129">
        <f>IFERROR(if($X271=0,($V271/1.2)*BA271,
BA271*$X271),)</f>
        <v/>
      </c>
      <c r="DN271" s="129">
        <f>IFERROR(if($X271=0,($V271/1.2)*BB271,
BB271*$X271),)</f>
        <v/>
      </c>
      <c r="DO271" s="129">
        <f>IFERROR(if($X271=0,($V271/1.2)*BC271,
BC271*$X271),)</f>
        <v/>
      </c>
      <c r="DP271" s="130">
        <f>IFERROR(if($Z271=0,($V271/1.35)*BD271,
BD271*$Z271),)</f>
        <v/>
      </c>
      <c r="DQ271" s="130">
        <f>IFERROR(if($Z271=0,($V271/1.35)*BE271,
BE271*$Z271),)</f>
        <v/>
      </c>
      <c r="DR271" s="130">
        <f>IFERROR(if($Z271=0,($V271/1.35)*BF271,
BF271*$Z271),)</f>
        <v/>
      </c>
      <c r="DS271" s="128">
        <f>IFERROR(IF($AB271=0,($V271/0.74)*BG271,
BG271*$AB271),)</f>
        <v/>
      </c>
      <c r="DT271" s="128">
        <f>IFERROR(IF($AB271=0,($V271/0.74)*BH271,
BH271*$AB271),)</f>
        <v/>
      </c>
      <c r="DU271" s="128">
        <f>IFERROR(IF($AB271=0,($V271/0.74)*BI271,
BI271*$AB271),)</f>
        <v/>
      </c>
    </row>
    <row r="272" ht="131.25" customHeight="1" s="162">
      <c r="A272" s="115" t="n"/>
      <c r="B272" s="115" t="n"/>
      <c r="C272" s="115" t="n"/>
      <c r="D272" s="115" t="n"/>
      <c r="E272" s="115" t="n"/>
      <c r="F272" s="115" t="n"/>
      <c r="G272" s="115" t="n"/>
      <c r="H272" s="115" t="n"/>
      <c r="I272" s="115" t="n"/>
      <c r="J272" s="115" t="n"/>
      <c r="K272" s="115" t="n"/>
      <c r="L272" s="115" t="n"/>
      <c r="M272" s="115" t="n"/>
      <c r="N272" s="115" t="n"/>
      <c r="O272" s="115" t="n"/>
      <c r="P272" s="115" t="n"/>
      <c r="Q272" s="115" t="n"/>
      <c r="R272" s="115" t="n"/>
      <c r="S272" s="115" t="n"/>
      <c r="T272" s="115" t="n"/>
      <c r="U272" s="116" t="n"/>
      <c r="V272" s="116" t="n"/>
      <c r="W272" s="117" t="n"/>
      <c r="X272" s="118" t="n"/>
      <c r="Y272" s="119" t="n"/>
      <c r="Z272" s="120" t="n"/>
      <c r="AA272" s="121" t="n"/>
      <c r="AB272" s="122" t="n"/>
      <c r="AC272" s="117" t="n"/>
      <c r="AD272" s="123">
        <f>IF(SUM($AE272:$AH272)=0,"",SUM($AE272:$AH272))</f>
        <v/>
      </c>
      <c r="AE272" s="123">
        <f>iferror(IF(SUM($AI272:$AZ272)=0,"",SUM($AI272:$AZ272)),"")</f>
        <v/>
      </c>
      <c r="AF272" s="123">
        <f>iferror(IF(SUM($BA272:$BC272)=0,"",SUM($BA272:$BC272)),"")</f>
        <v/>
      </c>
      <c r="AG272" s="123">
        <f>iferror(IF(SUM($BD272:$BF272)=0,"",SUM($BD272:$BF272)),"")</f>
        <v/>
      </c>
      <c r="AH272" s="124">
        <f>iferror(IF(SUM($BG272:$BI272)=0,"",SUM($BG272:$BI272)),"")</f>
        <v/>
      </c>
      <c r="AI272" s="131" t="n"/>
      <c r="AJ272" s="132" t="n"/>
      <c r="AK272" s="132" t="n"/>
      <c r="AL272" s="132" t="n"/>
      <c r="AM272" s="132" t="n"/>
      <c r="AN272" s="132" t="n"/>
      <c r="AO272" s="132" t="n"/>
      <c r="AP272" s="132" t="n"/>
      <c r="AQ272" s="132" t="n"/>
      <c r="AR272" s="132" t="n"/>
      <c r="AS272" s="132" t="n"/>
      <c r="AT272" s="132" t="n"/>
      <c r="AU272" s="132" t="n"/>
      <c r="AV272" s="132" t="n"/>
      <c r="AW272" s="132" t="n"/>
      <c r="AX272" s="132" t="n"/>
      <c r="AY272" s="132" t="n"/>
      <c r="AZ272" s="133" t="n"/>
      <c r="BA272" s="131" t="n"/>
      <c r="BB272" s="132" t="n"/>
      <c r="BC272" s="133" t="n"/>
      <c r="BD272" s="131" t="n"/>
      <c r="BE272" s="132" t="n"/>
      <c r="BF272" s="133" t="n"/>
      <c r="BG272" s="131" t="n"/>
      <c r="BH272" s="132" t="n"/>
      <c r="BI272" s="132" t="n"/>
      <c r="BJ272" s="128">
        <f>iferror(SUM($BK272,($BL272*1.2),($BM272*1.35),($BN272*0.74)),)</f>
        <v/>
      </c>
      <c r="BK272" s="128">
        <f>IFERROR(SUM($BT272:$CK272),)</f>
        <v/>
      </c>
      <c r="BL272" s="129">
        <f>IFERROR(SUM($CL272:$CN272),)</f>
        <v/>
      </c>
      <c r="BM272" s="130">
        <f>IFERROR(SUM($CO272:$CQ272),)</f>
        <v/>
      </c>
      <c r="BN272" s="128">
        <f>IFERROR(SUM($CR272:$CT272),)</f>
        <v/>
      </c>
      <c r="BO272" s="128">
        <f>iferror(SUM($BP272,($BQ272*1.2),($BR272*1.35),($BS272*0.74)),)</f>
        <v/>
      </c>
      <c r="BP272" s="128">
        <f>IFERROR(SUM($CU272:$DL272),)</f>
        <v/>
      </c>
      <c r="BQ272" s="128">
        <f>IFERROR(SUM($DM272:$DO272),)</f>
        <v/>
      </c>
      <c r="BR272" s="128">
        <f>IFERROR(SUM($DP272:$DR272),)</f>
        <v/>
      </c>
      <c r="BS272" s="128">
        <f>IFERROR(SUM($DS272:$DU272),)</f>
        <v/>
      </c>
      <c r="BT272" s="128">
        <f>IFERROR(AI272*$W272,)</f>
        <v/>
      </c>
      <c r="BU272" s="128">
        <f>IFERROR(AJ272*$W272,)</f>
        <v/>
      </c>
      <c r="BV272" s="128">
        <f>IFERROR(AK272*$W272,)</f>
        <v/>
      </c>
      <c r="BW272" s="128">
        <f>IFERROR(AL272*$W272,)</f>
        <v/>
      </c>
      <c r="BX272" s="128">
        <f>IFERROR(AM272*$W272,)</f>
        <v/>
      </c>
      <c r="BY272" s="128">
        <f>IFERROR(AN272*$W272,)</f>
        <v/>
      </c>
      <c r="BZ272" s="128">
        <f>IFERROR(AO272*$W272,)</f>
        <v/>
      </c>
      <c r="CA272" s="128">
        <f>IFERROR(AP272*$W272,)</f>
        <v/>
      </c>
      <c r="CB272" s="128">
        <f>IFERROR(AQ272*$W272,)</f>
        <v/>
      </c>
      <c r="CC272" s="128">
        <f>IFERROR(AR272*$W272,)</f>
        <v/>
      </c>
      <c r="CD272" s="128">
        <f>IFERROR(AS272*$W272,)</f>
        <v/>
      </c>
      <c r="CE272" s="128">
        <f>IFERROR(AT272*$W272,)</f>
        <v/>
      </c>
      <c r="CF272" s="128">
        <f>IFERROR(AU272*$W272,)</f>
        <v/>
      </c>
      <c r="CG272" s="128">
        <f>IFERROR(AV272*$W272,)</f>
        <v/>
      </c>
      <c r="CH272" s="128">
        <f>IFERROR(AW272*$W272,)</f>
        <v/>
      </c>
      <c r="CI272" s="128">
        <f>IFERROR(AX272*$W272,)</f>
        <v/>
      </c>
      <c r="CJ272" s="128">
        <f>IFERROR(AY272*$W272,)</f>
        <v/>
      </c>
      <c r="CK272" s="128">
        <f>IFERROR(AZ272*$W272,)</f>
        <v/>
      </c>
      <c r="CL272" s="129">
        <f>IFERROR(if($Y272=0,BA272*($W272/1.2),BA272*$Y272),"")</f>
        <v/>
      </c>
      <c r="CM272" s="129">
        <f>IFERROR(if($Y272=0,BB272*($W272/1.2),BB272*$Y272),"")</f>
        <v/>
      </c>
      <c r="CN272" s="129">
        <f>IFERROR(if($Y272=0,BC272*($W272/1.2),BC272*$Y272),"")</f>
        <v/>
      </c>
      <c r="CO272" s="130">
        <f>IFERROR(if($AA272=0,($W272/1.35)*BD272,BD272*$AA272),)</f>
        <v/>
      </c>
      <c r="CP272" s="130">
        <f>IFERROR(if($AA272=0,($W272/1.35)*BE272,BE272*$AA272),)</f>
        <v/>
      </c>
      <c r="CQ272" s="130">
        <f>IFERROR(if($AA272=0,($W272/1.35)*BF272,BF272*$AA272),)</f>
        <v/>
      </c>
      <c r="CR272" s="128">
        <f>IFERROR(if($AC272=0,($W272/0.74)*BG272,
BG272*$AC272),)</f>
        <v/>
      </c>
      <c r="CS272" s="128">
        <f>IFERROR(if($AC272=0,($W272/0.74)*BH272,
BH272*$AC272),)</f>
        <v/>
      </c>
      <c r="CT272" s="128">
        <f>IFERROR(if($AC272=0,($W272/0.74)*BI272,
BI272*$AC272),)</f>
        <v/>
      </c>
      <c r="CU272" s="128">
        <f>IFERROR(AI272*$V272,)</f>
        <v/>
      </c>
      <c r="CV272" s="128">
        <f>IFERROR(AJ272*$V272,)</f>
        <v/>
      </c>
      <c r="CW272" s="128">
        <f>IFERROR(AK272*$V272,)</f>
        <v/>
      </c>
      <c r="CX272" s="128">
        <f>IFERROR(AL272*$V272,)</f>
        <v/>
      </c>
      <c r="CY272" s="128">
        <f>IFERROR(AM272*$V272,)</f>
        <v/>
      </c>
      <c r="CZ272" s="128">
        <f>IFERROR(AN272*$V272,)</f>
        <v/>
      </c>
      <c r="DA272" s="128">
        <f>IFERROR(AO272*$V272,)</f>
        <v/>
      </c>
      <c r="DB272" s="128">
        <f>IFERROR(AP272*$V272,)</f>
        <v/>
      </c>
      <c r="DC272" s="128">
        <f>IFERROR(AQ272*$V272,)</f>
        <v/>
      </c>
      <c r="DD272" s="128">
        <f>IFERROR(AR272*$V272,)</f>
        <v/>
      </c>
      <c r="DE272" s="128">
        <f>IFERROR(AS272*$V272,)</f>
        <v/>
      </c>
      <c r="DF272" s="128">
        <f>IFERROR(AT272*$V272,)</f>
        <v/>
      </c>
      <c r="DG272" s="128">
        <f>IFERROR(AU272*$V272,)</f>
        <v/>
      </c>
      <c r="DH272" s="128">
        <f>IFERROR(AV272*$V272,)</f>
        <v/>
      </c>
      <c r="DI272" s="128">
        <f>IFERROR(AW272*$V272,)</f>
        <v/>
      </c>
      <c r="DJ272" s="128">
        <f>IFERROR(AX272*$V272,)</f>
        <v/>
      </c>
      <c r="DK272" s="128">
        <f>IFERROR(AY272*$V272,)</f>
        <v/>
      </c>
      <c r="DL272" s="128">
        <f>IFERROR(AZ272*$V272,)</f>
        <v/>
      </c>
      <c r="DM272" s="129">
        <f>IFERROR(if($X272=0,($V272/1.2)*BA272,
BA272*$X272),)</f>
        <v/>
      </c>
      <c r="DN272" s="129">
        <f>IFERROR(if($X272=0,($V272/1.2)*BB272,
BB272*$X272),)</f>
        <v/>
      </c>
      <c r="DO272" s="129">
        <f>IFERROR(if($X272=0,($V272/1.2)*BC272,
BC272*$X272),)</f>
        <v/>
      </c>
      <c r="DP272" s="130">
        <f>IFERROR(if($Z272=0,($V272/1.35)*BD272,
BD272*$Z272),)</f>
        <v/>
      </c>
      <c r="DQ272" s="130">
        <f>IFERROR(if($Z272=0,($V272/1.35)*BE272,
BE272*$Z272),)</f>
        <v/>
      </c>
      <c r="DR272" s="130">
        <f>IFERROR(if($Z272=0,($V272/1.35)*BF272,
BF272*$Z272),)</f>
        <v/>
      </c>
      <c r="DS272" s="128">
        <f>IFERROR(IF($AB272=0,($V272/0.74)*BG272,
BG272*$AB272),)</f>
        <v/>
      </c>
      <c r="DT272" s="128">
        <f>IFERROR(IF($AB272=0,($V272/0.74)*BH272,
BH272*$AB272),)</f>
        <v/>
      </c>
      <c r="DU272" s="128">
        <f>IFERROR(IF($AB272=0,($V272/0.74)*BI272,
BI272*$AB272),)</f>
        <v/>
      </c>
    </row>
    <row r="273" ht="131.25" customHeight="1" s="162">
      <c r="A273" s="115" t="n"/>
      <c r="B273" s="115" t="n"/>
      <c r="C273" s="115" t="n"/>
      <c r="D273" s="115" t="n"/>
      <c r="E273" s="115" t="n"/>
      <c r="F273" s="115" t="n"/>
      <c r="G273" s="115" t="n"/>
      <c r="H273" s="115" t="n"/>
      <c r="I273" s="115" t="n"/>
      <c r="J273" s="115" t="n"/>
      <c r="K273" s="115" t="n"/>
      <c r="L273" s="115" t="n"/>
      <c r="M273" s="115" t="n"/>
      <c r="N273" s="115" t="n"/>
      <c r="O273" s="115" t="n"/>
      <c r="P273" s="115" t="n"/>
      <c r="Q273" s="115" t="n"/>
      <c r="R273" s="115" t="n"/>
      <c r="S273" s="115" t="n"/>
      <c r="T273" s="115" t="n"/>
      <c r="U273" s="116" t="n"/>
      <c r="V273" s="116" t="n"/>
      <c r="W273" s="117" t="n"/>
      <c r="X273" s="118" t="n"/>
      <c r="Y273" s="119" t="n"/>
      <c r="Z273" s="120" t="n"/>
      <c r="AA273" s="121" t="n"/>
      <c r="AB273" s="122" t="n"/>
      <c r="AC273" s="117" t="n"/>
      <c r="AD273" s="123">
        <f>IF(SUM($AE273:$AH273)=0,"",SUM($AE273:$AH273))</f>
        <v/>
      </c>
      <c r="AE273" s="123">
        <f>iferror(IF(SUM($AI273:$AZ273)=0,"",SUM($AI273:$AZ273)),"")</f>
        <v/>
      </c>
      <c r="AF273" s="123">
        <f>iferror(IF(SUM($BA273:$BC273)=0,"",SUM($BA273:$BC273)),"")</f>
        <v/>
      </c>
      <c r="AG273" s="123">
        <f>iferror(IF(SUM($BD273:$BF273)=0,"",SUM($BD273:$BF273)),"")</f>
        <v/>
      </c>
      <c r="AH273" s="124">
        <f>iferror(IF(SUM($BG273:$BI273)=0,"",SUM($BG273:$BI273)),"")</f>
        <v/>
      </c>
      <c r="AI273" s="131" t="n"/>
      <c r="AJ273" s="132" t="n"/>
      <c r="AK273" s="132" t="n"/>
      <c r="AL273" s="132" t="n"/>
      <c r="AM273" s="132" t="n"/>
      <c r="AN273" s="132" t="n"/>
      <c r="AO273" s="132" t="n"/>
      <c r="AP273" s="132" t="n"/>
      <c r="AQ273" s="132" t="n"/>
      <c r="AR273" s="132" t="n"/>
      <c r="AS273" s="132" t="n"/>
      <c r="AT273" s="132" t="n"/>
      <c r="AU273" s="132" t="n"/>
      <c r="AV273" s="132" t="n"/>
      <c r="AW273" s="132" t="n"/>
      <c r="AX273" s="132" t="n"/>
      <c r="AY273" s="132" t="n"/>
      <c r="AZ273" s="133" t="n"/>
      <c r="BA273" s="131" t="n"/>
      <c r="BB273" s="132" t="n"/>
      <c r="BC273" s="133" t="n"/>
      <c r="BD273" s="131" t="n"/>
      <c r="BE273" s="132" t="n"/>
      <c r="BF273" s="133" t="n"/>
      <c r="BG273" s="131" t="n"/>
      <c r="BH273" s="132" t="n"/>
      <c r="BI273" s="132" t="n"/>
      <c r="BJ273" s="128">
        <f>iferror(SUM($BK273,($BL273*1.2),($BM273*1.35),($BN273*0.74)),)</f>
        <v/>
      </c>
      <c r="BK273" s="128">
        <f>IFERROR(SUM($BT273:$CK273),)</f>
        <v/>
      </c>
      <c r="BL273" s="129">
        <f>IFERROR(SUM($CL273:$CN273),)</f>
        <v/>
      </c>
      <c r="BM273" s="130">
        <f>IFERROR(SUM($CO273:$CQ273),)</f>
        <v/>
      </c>
      <c r="BN273" s="128">
        <f>IFERROR(SUM($CR273:$CT273),)</f>
        <v/>
      </c>
      <c r="BO273" s="128">
        <f>iferror(SUM($BP273,($BQ273*1.2),($BR273*1.35),($BS273*0.74)),)</f>
        <v/>
      </c>
      <c r="BP273" s="128">
        <f>IFERROR(SUM($CU273:$DL273),)</f>
        <v/>
      </c>
      <c r="BQ273" s="128">
        <f>IFERROR(SUM($DM273:$DO273),)</f>
        <v/>
      </c>
      <c r="BR273" s="128">
        <f>IFERROR(SUM($DP273:$DR273),)</f>
        <v/>
      </c>
      <c r="BS273" s="128">
        <f>IFERROR(SUM($DS273:$DU273),)</f>
        <v/>
      </c>
      <c r="BT273" s="128">
        <f>IFERROR(AI273*$W273,)</f>
        <v/>
      </c>
      <c r="BU273" s="128">
        <f>IFERROR(AJ273*$W273,)</f>
        <v/>
      </c>
      <c r="BV273" s="128">
        <f>IFERROR(AK273*$W273,)</f>
        <v/>
      </c>
      <c r="BW273" s="128">
        <f>IFERROR(AL273*$W273,)</f>
        <v/>
      </c>
      <c r="BX273" s="128">
        <f>IFERROR(AM273*$W273,)</f>
        <v/>
      </c>
      <c r="BY273" s="128">
        <f>IFERROR(AN273*$W273,)</f>
        <v/>
      </c>
      <c r="BZ273" s="128">
        <f>IFERROR(AO273*$W273,)</f>
        <v/>
      </c>
      <c r="CA273" s="128">
        <f>IFERROR(AP273*$W273,)</f>
        <v/>
      </c>
      <c r="CB273" s="128">
        <f>IFERROR(AQ273*$W273,)</f>
        <v/>
      </c>
      <c r="CC273" s="128">
        <f>IFERROR(AR273*$W273,)</f>
        <v/>
      </c>
      <c r="CD273" s="128">
        <f>IFERROR(AS273*$W273,)</f>
        <v/>
      </c>
      <c r="CE273" s="128">
        <f>IFERROR(AT273*$W273,)</f>
        <v/>
      </c>
      <c r="CF273" s="128">
        <f>IFERROR(AU273*$W273,)</f>
        <v/>
      </c>
      <c r="CG273" s="128">
        <f>IFERROR(AV273*$W273,)</f>
        <v/>
      </c>
      <c r="CH273" s="128">
        <f>IFERROR(AW273*$W273,)</f>
        <v/>
      </c>
      <c r="CI273" s="128">
        <f>IFERROR(AX273*$W273,)</f>
        <v/>
      </c>
      <c r="CJ273" s="128">
        <f>IFERROR(AY273*$W273,)</f>
        <v/>
      </c>
      <c r="CK273" s="128">
        <f>IFERROR(AZ273*$W273,)</f>
        <v/>
      </c>
      <c r="CL273" s="129">
        <f>IFERROR(if($Y273=0,BA273*($W273/1.2),BA273*$Y273),"")</f>
        <v/>
      </c>
      <c r="CM273" s="129">
        <f>IFERROR(if($Y273=0,BB273*($W273/1.2),BB273*$Y273),"")</f>
        <v/>
      </c>
      <c r="CN273" s="129">
        <f>IFERROR(if($Y273=0,BC273*($W273/1.2),BC273*$Y273),"")</f>
        <v/>
      </c>
      <c r="CO273" s="130">
        <f>IFERROR(if($AA273=0,($W273/1.35)*BD273,BD273*$AA273),)</f>
        <v/>
      </c>
      <c r="CP273" s="130">
        <f>IFERROR(if($AA273=0,($W273/1.35)*BE273,BE273*$AA273),)</f>
        <v/>
      </c>
      <c r="CQ273" s="130">
        <f>IFERROR(if($AA273=0,($W273/1.35)*BF273,BF273*$AA273),)</f>
        <v/>
      </c>
      <c r="CR273" s="128">
        <f>IFERROR(if($AC273=0,($W273/0.74)*BG273,
BG273*$AC273),)</f>
        <v/>
      </c>
      <c r="CS273" s="128">
        <f>IFERROR(if($AC273=0,($W273/0.74)*BH273,
BH273*$AC273),)</f>
        <v/>
      </c>
      <c r="CT273" s="128">
        <f>IFERROR(if($AC273=0,($W273/0.74)*BI273,
BI273*$AC273),)</f>
        <v/>
      </c>
      <c r="CU273" s="128">
        <f>IFERROR(AI273*$V273,)</f>
        <v/>
      </c>
      <c r="CV273" s="128">
        <f>IFERROR(AJ273*$V273,)</f>
        <v/>
      </c>
      <c r="CW273" s="128">
        <f>IFERROR(AK273*$V273,)</f>
        <v/>
      </c>
      <c r="CX273" s="128">
        <f>IFERROR(AL273*$V273,)</f>
        <v/>
      </c>
      <c r="CY273" s="128">
        <f>IFERROR(AM273*$V273,)</f>
        <v/>
      </c>
      <c r="CZ273" s="128">
        <f>IFERROR(AN273*$V273,)</f>
        <v/>
      </c>
      <c r="DA273" s="128">
        <f>IFERROR(AO273*$V273,)</f>
        <v/>
      </c>
      <c r="DB273" s="128">
        <f>IFERROR(AP273*$V273,)</f>
        <v/>
      </c>
      <c r="DC273" s="128">
        <f>IFERROR(AQ273*$V273,)</f>
        <v/>
      </c>
      <c r="DD273" s="128">
        <f>IFERROR(AR273*$V273,)</f>
        <v/>
      </c>
      <c r="DE273" s="128">
        <f>IFERROR(AS273*$V273,)</f>
        <v/>
      </c>
      <c r="DF273" s="128">
        <f>IFERROR(AT273*$V273,)</f>
        <v/>
      </c>
      <c r="DG273" s="128">
        <f>IFERROR(AU273*$V273,)</f>
        <v/>
      </c>
      <c r="DH273" s="128">
        <f>IFERROR(AV273*$V273,)</f>
        <v/>
      </c>
      <c r="DI273" s="128">
        <f>IFERROR(AW273*$V273,)</f>
        <v/>
      </c>
      <c r="DJ273" s="128">
        <f>IFERROR(AX273*$V273,)</f>
        <v/>
      </c>
      <c r="DK273" s="128">
        <f>IFERROR(AY273*$V273,)</f>
        <v/>
      </c>
      <c r="DL273" s="128">
        <f>IFERROR(AZ273*$V273,)</f>
        <v/>
      </c>
      <c r="DM273" s="129">
        <f>IFERROR(if($X273=0,($V273/1.2)*BA273,
BA273*$X273),)</f>
        <v/>
      </c>
      <c r="DN273" s="129">
        <f>IFERROR(if($X273=0,($V273/1.2)*BB273,
BB273*$X273),)</f>
        <v/>
      </c>
      <c r="DO273" s="129">
        <f>IFERROR(if($X273=0,($V273/1.2)*BC273,
BC273*$X273),)</f>
        <v/>
      </c>
      <c r="DP273" s="130">
        <f>IFERROR(if($Z273=0,($V273/1.35)*BD273,
BD273*$Z273),)</f>
        <v/>
      </c>
      <c r="DQ273" s="130">
        <f>IFERROR(if($Z273=0,($V273/1.35)*BE273,
BE273*$Z273),)</f>
        <v/>
      </c>
      <c r="DR273" s="130">
        <f>IFERROR(if($Z273=0,($V273/1.35)*BF273,
BF273*$Z273),)</f>
        <v/>
      </c>
      <c r="DS273" s="128">
        <f>IFERROR(IF($AB273=0,($V273/0.74)*BG273,
BG273*$AB273),)</f>
        <v/>
      </c>
      <c r="DT273" s="128">
        <f>IFERROR(IF($AB273=0,($V273/0.74)*BH273,
BH273*$AB273),)</f>
        <v/>
      </c>
      <c r="DU273" s="128">
        <f>IFERROR(IF($AB273=0,($V273/0.74)*BI273,
BI273*$AB273),)</f>
        <v/>
      </c>
    </row>
    <row r="274" ht="131.25" customHeight="1" s="162">
      <c r="A274" s="115" t="n"/>
      <c r="B274" s="115" t="n"/>
      <c r="C274" s="115" t="n"/>
      <c r="D274" s="115" t="n"/>
      <c r="E274" s="115" t="n"/>
      <c r="F274" s="115" t="n"/>
      <c r="G274" s="115" t="n"/>
      <c r="H274" s="115" t="n"/>
      <c r="I274" s="115" t="n"/>
      <c r="J274" s="115" t="n"/>
      <c r="K274" s="115" t="n"/>
      <c r="L274" s="115" t="n"/>
      <c r="M274" s="115" t="n"/>
      <c r="N274" s="115" t="n"/>
      <c r="O274" s="115" t="n"/>
      <c r="P274" s="115" t="n"/>
      <c r="Q274" s="115" t="n"/>
      <c r="R274" s="115" t="n"/>
      <c r="S274" s="115" t="n"/>
      <c r="T274" s="115" t="n"/>
      <c r="U274" s="116" t="n"/>
      <c r="V274" s="116" t="n"/>
      <c r="W274" s="117" t="n"/>
      <c r="X274" s="118" t="n"/>
      <c r="Y274" s="119" t="n"/>
      <c r="Z274" s="120" t="n"/>
      <c r="AA274" s="121" t="n"/>
      <c r="AB274" s="122" t="n"/>
      <c r="AC274" s="117" t="n"/>
      <c r="AD274" s="123">
        <f>IF(SUM($AE274:$AH274)=0,"",SUM($AE274:$AH274))</f>
        <v/>
      </c>
      <c r="AE274" s="123">
        <f>iferror(IF(SUM($AI274:$AZ274)=0,"",SUM($AI274:$AZ274)),"")</f>
        <v/>
      </c>
      <c r="AF274" s="123">
        <f>iferror(IF(SUM($BA274:$BC274)=0,"",SUM($BA274:$BC274)),"")</f>
        <v/>
      </c>
      <c r="AG274" s="123">
        <f>iferror(IF(SUM($BD274:$BF274)=0,"",SUM($BD274:$BF274)),"")</f>
        <v/>
      </c>
      <c r="AH274" s="124">
        <f>iferror(IF(SUM($BG274:$BI274)=0,"",SUM($BG274:$BI274)),"")</f>
        <v/>
      </c>
      <c r="AI274" s="131" t="n"/>
      <c r="AJ274" s="132" t="n"/>
      <c r="AK274" s="132" t="n"/>
      <c r="AL274" s="132" t="n"/>
      <c r="AM274" s="132" t="n"/>
      <c r="AN274" s="132" t="n"/>
      <c r="AO274" s="132" t="n"/>
      <c r="AP274" s="132" t="n"/>
      <c r="AQ274" s="132" t="n"/>
      <c r="AR274" s="132" t="n"/>
      <c r="AS274" s="132" t="n"/>
      <c r="AT274" s="132" t="n"/>
      <c r="AU274" s="132" t="n"/>
      <c r="AV274" s="132" t="n"/>
      <c r="AW274" s="132" t="n"/>
      <c r="AX274" s="132" t="n"/>
      <c r="AY274" s="132" t="n"/>
      <c r="AZ274" s="133" t="n"/>
      <c r="BA274" s="131" t="n"/>
      <c r="BB274" s="132" t="n"/>
      <c r="BC274" s="133" t="n"/>
      <c r="BD274" s="131" t="n"/>
      <c r="BE274" s="132" t="n"/>
      <c r="BF274" s="133" t="n"/>
      <c r="BG274" s="131" t="n"/>
      <c r="BH274" s="132" t="n"/>
      <c r="BI274" s="132" t="n"/>
      <c r="BJ274" s="128">
        <f>iferror(SUM($BK274,($BL274*1.2),($BM274*1.35),($BN274*0.74)),)</f>
        <v/>
      </c>
      <c r="BK274" s="128">
        <f>IFERROR(SUM($BT274:$CK274),)</f>
        <v/>
      </c>
      <c r="BL274" s="129">
        <f>IFERROR(SUM($CL274:$CN274),)</f>
        <v/>
      </c>
      <c r="BM274" s="130">
        <f>IFERROR(SUM($CO274:$CQ274),)</f>
        <v/>
      </c>
      <c r="BN274" s="128">
        <f>IFERROR(SUM($CR274:$CT274),)</f>
        <v/>
      </c>
      <c r="BO274" s="128">
        <f>iferror(SUM($BP274,($BQ274*1.2),($BR274*1.35),($BS274*0.74)),)</f>
        <v/>
      </c>
      <c r="BP274" s="128">
        <f>IFERROR(SUM($CU274:$DL274),)</f>
        <v/>
      </c>
      <c r="BQ274" s="128">
        <f>IFERROR(SUM($DM274:$DO274),)</f>
        <v/>
      </c>
      <c r="BR274" s="128">
        <f>IFERROR(SUM($DP274:$DR274),)</f>
        <v/>
      </c>
      <c r="BS274" s="128">
        <f>IFERROR(SUM($DS274:$DU274),)</f>
        <v/>
      </c>
      <c r="BT274" s="128">
        <f>IFERROR(AI274*$W274,)</f>
        <v/>
      </c>
      <c r="BU274" s="128">
        <f>IFERROR(AJ274*$W274,)</f>
        <v/>
      </c>
      <c r="BV274" s="128">
        <f>IFERROR(AK274*$W274,)</f>
        <v/>
      </c>
      <c r="BW274" s="128">
        <f>IFERROR(AL274*$W274,)</f>
        <v/>
      </c>
      <c r="BX274" s="128">
        <f>IFERROR(AM274*$W274,)</f>
        <v/>
      </c>
      <c r="BY274" s="128">
        <f>IFERROR(AN274*$W274,)</f>
        <v/>
      </c>
      <c r="BZ274" s="128">
        <f>IFERROR(AO274*$W274,)</f>
        <v/>
      </c>
      <c r="CA274" s="128">
        <f>IFERROR(AP274*$W274,)</f>
        <v/>
      </c>
      <c r="CB274" s="128">
        <f>IFERROR(AQ274*$W274,)</f>
        <v/>
      </c>
      <c r="CC274" s="128">
        <f>IFERROR(AR274*$W274,)</f>
        <v/>
      </c>
      <c r="CD274" s="128">
        <f>IFERROR(AS274*$W274,)</f>
        <v/>
      </c>
      <c r="CE274" s="128">
        <f>IFERROR(AT274*$W274,)</f>
        <v/>
      </c>
      <c r="CF274" s="128">
        <f>IFERROR(AU274*$W274,)</f>
        <v/>
      </c>
      <c r="CG274" s="128">
        <f>IFERROR(AV274*$W274,)</f>
        <v/>
      </c>
      <c r="CH274" s="128">
        <f>IFERROR(AW274*$W274,)</f>
        <v/>
      </c>
      <c r="CI274" s="128">
        <f>IFERROR(AX274*$W274,)</f>
        <v/>
      </c>
      <c r="CJ274" s="128">
        <f>IFERROR(AY274*$W274,)</f>
        <v/>
      </c>
      <c r="CK274" s="128">
        <f>IFERROR(AZ274*$W274,)</f>
        <v/>
      </c>
      <c r="CL274" s="129">
        <f>IFERROR(if($Y274=0,BA274*($W274/1.2),BA274*$Y274),"")</f>
        <v/>
      </c>
      <c r="CM274" s="129">
        <f>IFERROR(if($Y274=0,BB274*($W274/1.2),BB274*$Y274),"")</f>
        <v/>
      </c>
      <c r="CN274" s="129">
        <f>IFERROR(if($Y274=0,BC274*($W274/1.2),BC274*$Y274),"")</f>
        <v/>
      </c>
      <c r="CO274" s="130">
        <f>IFERROR(if($AA274=0,($W274/1.35)*BD274,BD274*$AA274),)</f>
        <v/>
      </c>
      <c r="CP274" s="130">
        <f>IFERROR(if($AA274=0,($W274/1.35)*BE274,BE274*$AA274),)</f>
        <v/>
      </c>
      <c r="CQ274" s="130">
        <f>IFERROR(if($AA274=0,($W274/1.35)*BF274,BF274*$AA274),)</f>
        <v/>
      </c>
      <c r="CR274" s="128">
        <f>IFERROR(if($AC274=0,($W274/0.74)*BG274,
BG274*$AC274),)</f>
        <v/>
      </c>
      <c r="CS274" s="128">
        <f>IFERROR(if($AC274=0,($W274/0.74)*BH274,
BH274*$AC274),)</f>
        <v/>
      </c>
      <c r="CT274" s="128">
        <f>IFERROR(if($AC274=0,($W274/0.74)*BI274,
BI274*$AC274),)</f>
        <v/>
      </c>
      <c r="CU274" s="128">
        <f>IFERROR(AI274*$V274,)</f>
        <v/>
      </c>
      <c r="CV274" s="128">
        <f>IFERROR(AJ274*$V274,)</f>
        <v/>
      </c>
      <c r="CW274" s="128">
        <f>IFERROR(AK274*$V274,)</f>
        <v/>
      </c>
      <c r="CX274" s="128">
        <f>IFERROR(AL274*$V274,)</f>
        <v/>
      </c>
      <c r="CY274" s="128">
        <f>IFERROR(AM274*$V274,)</f>
        <v/>
      </c>
      <c r="CZ274" s="128">
        <f>IFERROR(AN274*$V274,)</f>
        <v/>
      </c>
      <c r="DA274" s="128">
        <f>IFERROR(AO274*$V274,)</f>
        <v/>
      </c>
      <c r="DB274" s="128">
        <f>IFERROR(AP274*$V274,)</f>
        <v/>
      </c>
      <c r="DC274" s="128">
        <f>IFERROR(AQ274*$V274,)</f>
        <v/>
      </c>
      <c r="DD274" s="128">
        <f>IFERROR(AR274*$V274,)</f>
        <v/>
      </c>
      <c r="DE274" s="128">
        <f>IFERROR(AS274*$V274,)</f>
        <v/>
      </c>
      <c r="DF274" s="128">
        <f>IFERROR(AT274*$V274,)</f>
        <v/>
      </c>
      <c r="DG274" s="128">
        <f>IFERROR(AU274*$V274,)</f>
        <v/>
      </c>
      <c r="DH274" s="128">
        <f>IFERROR(AV274*$V274,)</f>
        <v/>
      </c>
      <c r="DI274" s="128">
        <f>IFERROR(AW274*$V274,)</f>
        <v/>
      </c>
      <c r="DJ274" s="128">
        <f>IFERROR(AX274*$V274,)</f>
        <v/>
      </c>
      <c r="DK274" s="128">
        <f>IFERROR(AY274*$V274,)</f>
        <v/>
      </c>
      <c r="DL274" s="128">
        <f>IFERROR(AZ274*$V274,)</f>
        <v/>
      </c>
      <c r="DM274" s="129">
        <f>IFERROR(if($X274=0,($V274/1.2)*BA274,
BA274*$X274),)</f>
        <v/>
      </c>
      <c r="DN274" s="129">
        <f>IFERROR(if($X274=0,($V274/1.2)*BB274,
BB274*$X274),)</f>
        <v/>
      </c>
      <c r="DO274" s="129">
        <f>IFERROR(if($X274=0,($V274/1.2)*BC274,
BC274*$X274),)</f>
        <v/>
      </c>
      <c r="DP274" s="130">
        <f>IFERROR(if($Z274=0,($V274/1.35)*BD274,
BD274*$Z274),)</f>
        <v/>
      </c>
      <c r="DQ274" s="130">
        <f>IFERROR(if($Z274=0,($V274/1.35)*BE274,
BE274*$Z274),)</f>
        <v/>
      </c>
      <c r="DR274" s="130">
        <f>IFERROR(if($Z274=0,($V274/1.35)*BF274,
BF274*$Z274),)</f>
        <v/>
      </c>
      <c r="DS274" s="128">
        <f>IFERROR(IF($AB274=0,($V274/0.74)*BG274,
BG274*$AB274),)</f>
        <v/>
      </c>
      <c r="DT274" s="128">
        <f>IFERROR(IF($AB274=0,($V274/0.74)*BH274,
BH274*$AB274),)</f>
        <v/>
      </c>
      <c r="DU274" s="128">
        <f>IFERROR(IF($AB274=0,($V274/0.74)*BI274,
BI274*$AB274),)</f>
        <v/>
      </c>
    </row>
    <row r="275" ht="131.25" customHeight="1" s="162">
      <c r="A275" s="115" t="n"/>
      <c r="B275" s="115" t="n"/>
      <c r="C275" s="115" t="n"/>
      <c r="D275" s="115" t="n"/>
      <c r="E275" s="115" t="n"/>
      <c r="F275" s="115" t="n"/>
      <c r="G275" s="115" t="n"/>
      <c r="H275" s="115" t="n"/>
      <c r="I275" s="115" t="n"/>
      <c r="J275" s="115" t="n"/>
      <c r="K275" s="115" t="n"/>
      <c r="L275" s="115" t="n"/>
      <c r="M275" s="115" t="n"/>
      <c r="N275" s="115" t="n"/>
      <c r="O275" s="115" t="n"/>
      <c r="P275" s="115" t="n"/>
      <c r="Q275" s="115" t="n"/>
      <c r="R275" s="115" t="n"/>
      <c r="S275" s="115" t="n"/>
      <c r="T275" s="115" t="n"/>
      <c r="U275" s="116" t="n"/>
      <c r="V275" s="116" t="n"/>
      <c r="W275" s="117" t="n"/>
      <c r="X275" s="118" t="n"/>
      <c r="Y275" s="119" t="n"/>
      <c r="Z275" s="120" t="n"/>
      <c r="AA275" s="121" t="n"/>
      <c r="AB275" s="122" t="n"/>
      <c r="AC275" s="117" t="n"/>
      <c r="AD275" s="123">
        <f>IF(SUM($AE275:$AH275)=0,"",SUM($AE275:$AH275))</f>
        <v/>
      </c>
      <c r="AE275" s="123">
        <f>iferror(IF(SUM($AI275:$AZ275)=0,"",SUM($AI275:$AZ275)),"")</f>
        <v/>
      </c>
      <c r="AF275" s="123">
        <f>iferror(IF(SUM($BA275:$BC275)=0,"",SUM($BA275:$BC275)),"")</f>
        <v/>
      </c>
      <c r="AG275" s="123">
        <f>iferror(IF(SUM($BD275:$BF275)=0,"",SUM($BD275:$BF275)),"")</f>
        <v/>
      </c>
      <c r="AH275" s="124">
        <f>iferror(IF(SUM($BG275:$BI275)=0,"",SUM($BG275:$BI275)),"")</f>
        <v/>
      </c>
      <c r="AI275" s="131" t="n"/>
      <c r="AJ275" s="132" t="n"/>
      <c r="AK275" s="132" t="n"/>
      <c r="AL275" s="132" t="n"/>
      <c r="AM275" s="132" t="n"/>
      <c r="AN275" s="132" t="n"/>
      <c r="AO275" s="132" t="n"/>
      <c r="AP275" s="132" t="n"/>
      <c r="AQ275" s="132" t="n"/>
      <c r="AR275" s="132" t="n"/>
      <c r="AS275" s="132" t="n"/>
      <c r="AT275" s="132" t="n"/>
      <c r="AU275" s="132" t="n"/>
      <c r="AV275" s="132" t="n"/>
      <c r="AW275" s="132" t="n"/>
      <c r="AX275" s="132" t="n"/>
      <c r="AY275" s="132" t="n"/>
      <c r="AZ275" s="133" t="n"/>
      <c r="BA275" s="131" t="n"/>
      <c r="BB275" s="132" t="n"/>
      <c r="BC275" s="133" t="n"/>
      <c r="BD275" s="131" t="n"/>
      <c r="BE275" s="132" t="n"/>
      <c r="BF275" s="133" t="n"/>
      <c r="BG275" s="131" t="n"/>
      <c r="BH275" s="132" t="n"/>
      <c r="BI275" s="132" t="n"/>
      <c r="BJ275" s="128">
        <f>iferror(SUM($BK275,($BL275*1.2),($BM275*1.35),($BN275*0.74)),)</f>
        <v/>
      </c>
      <c r="BK275" s="128">
        <f>IFERROR(SUM($BT275:$CK275),)</f>
        <v/>
      </c>
      <c r="BL275" s="129">
        <f>IFERROR(SUM($CL275:$CN275),)</f>
        <v/>
      </c>
      <c r="BM275" s="130">
        <f>IFERROR(SUM($CO275:$CQ275),)</f>
        <v/>
      </c>
      <c r="BN275" s="128">
        <f>IFERROR(SUM($CR275:$CT275),)</f>
        <v/>
      </c>
      <c r="BO275" s="128">
        <f>iferror(SUM($BP275,($BQ275*1.2),($BR275*1.35),($BS275*0.74)),)</f>
        <v/>
      </c>
      <c r="BP275" s="128">
        <f>IFERROR(SUM($CU275:$DL275),)</f>
        <v/>
      </c>
      <c r="BQ275" s="128">
        <f>IFERROR(SUM($DM275:$DO275),)</f>
        <v/>
      </c>
      <c r="BR275" s="128">
        <f>IFERROR(SUM($DP275:$DR275),)</f>
        <v/>
      </c>
      <c r="BS275" s="128">
        <f>IFERROR(SUM($DS275:$DU275),)</f>
        <v/>
      </c>
      <c r="BT275" s="128">
        <f>IFERROR(AI275*$W275,)</f>
        <v/>
      </c>
      <c r="BU275" s="128">
        <f>IFERROR(AJ275*$W275,)</f>
        <v/>
      </c>
      <c r="BV275" s="128">
        <f>IFERROR(AK275*$W275,)</f>
        <v/>
      </c>
      <c r="BW275" s="128">
        <f>IFERROR(AL275*$W275,)</f>
        <v/>
      </c>
      <c r="BX275" s="128">
        <f>IFERROR(AM275*$W275,)</f>
        <v/>
      </c>
      <c r="BY275" s="128">
        <f>IFERROR(AN275*$W275,)</f>
        <v/>
      </c>
      <c r="BZ275" s="128">
        <f>IFERROR(AO275*$W275,)</f>
        <v/>
      </c>
      <c r="CA275" s="128">
        <f>IFERROR(AP275*$W275,)</f>
        <v/>
      </c>
      <c r="CB275" s="128">
        <f>IFERROR(AQ275*$W275,)</f>
        <v/>
      </c>
      <c r="CC275" s="128">
        <f>IFERROR(AR275*$W275,)</f>
        <v/>
      </c>
      <c r="CD275" s="128">
        <f>IFERROR(AS275*$W275,)</f>
        <v/>
      </c>
      <c r="CE275" s="128">
        <f>IFERROR(AT275*$W275,)</f>
        <v/>
      </c>
      <c r="CF275" s="128">
        <f>IFERROR(AU275*$W275,)</f>
        <v/>
      </c>
      <c r="CG275" s="128">
        <f>IFERROR(AV275*$W275,)</f>
        <v/>
      </c>
      <c r="CH275" s="128">
        <f>IFERROR(AW275*$W275,)</f>
        <v/>
      </c>
      <c r="CI275" s="128">
        <f>IFERROR(AX275*$W275,)</f>
        <v/>
      </c>
      <c r="CJ275" s="128">
        <f>IFERROR(AY275*$W275,)</f>
        <v/>
      </c>
      <c r="CK275" s="128">
        <f>IFERROR(AZ275*$W275,)</f>
        <v/>
      </c>
      <c r="CL275" s="129">
        <f>IFERROR(if($Y275=0,BA275*($W275/1.2),BA275*$Y275),"")</f>
        <v/>
      </c>
      <c r="CM275" s="129">
        <f>IFERROR(if($Y275=0,BB275*($W275/1.2),BB275*$Y275),"")</f>
        <v/>
      </c>
      <c r="CN275" s="129">
        <f>IFERROR(if($Y275=0,BC275*($W275/1.2),BC275*$Y275),"")</f>
        <v/>
      </c>
      <c r="CO275" s="130">
        <f>IFERROR(if($AA275=0,($W275/1.35)*BD275,BD275*$AA275),)</f>
        <v/>
      </c>
      <c r="CP275" s="130">
        <f>IFERROR(if($AA275=0,($W275/1.35)*BE275,BE275*$AA275),)</f>
        <v/>
      </c>
      <c r="CQ275" s="130">
        <f>IFERROR(if($AA275=0,($W275/1.35)*BF275,BF275*$AA275),)</f>
        <v/>
      </c>
      <c r="CR275" s="128">
        <f>IFERROR(if($AC275=0,($W275/0.74)*BG275,
BG275*$AC275),)</f>
        <v/>
      </c>
      <c r="CS275" s="128">
        <f>IFERROR(if($AC275=0,($W275/0.74)*BH275,
BH275*$AC275),)</f>
        <v/>
      </c>
      <c r="CT275" s="128">
        <f>IFERROR(if($AC275=0,($W275/0.74)*BI275,
BI275*$AC275),)</f>
        <v/>
      </c>
      <c r="CU275" s="128">
        <f>IFERROR(AI275*$V275,)</f>
        <v/>
      </c>
      <c r="CV275" s="128">
        <f>IFERROR(AJ275*$V275,)</f>
        <v/>
      </c>
      <c r="CW275" s="128">
        <f>IFERROR(AK275*$V275,)</f>
        <v/>
      </c>
      <c r="CX275" s="128">
        <f>IFERROR(AL275*$V275,)</f>
        <v/>
      </c>
      <c r="CY275" s="128">
        <f>IFERROR(AM275*$V275,)</f>
        <v/>
      </c>
      <c r="CZ275" s="128">
        <f>IFERROR(AN275*$V275,)</f>
        <v/>
      </c>
      <c r="DA275" s="128">
        <f>IFERROR(AO275*$V275,)</f>
        <v/>
      </c>
      <c r="DB275" s="128">
        <f>IFERROR(AP275*$V275,)</f>
        <v/>
      </c>
      <c r="DC275" s="128">
        <f>IFERROR(AQ275*$V275,)</f>
        <v/>
      </c>
      <c r="DD275" s="128">
        <f>IFERROR(AR275*$V275,)</f>
        <v/>
      </c>
      <c r="DE275" s="128">
        <f>IFERROR(AS275*$V275,)</f>
        <v/>
      </c>
      <c r="DF275" s="128">
        <f>IFERROR(AT275*$V275,)</f>
        <v/>
      </c>
      <c r="DG275" s="128">
        <f>IFERROR(AU275*$V275,)</f>
        <v/>
      </c>
      <c r="DH275" s="128">
        <f>IFERROR(AV275*$V275,)</f>
        <v/>
      </c>
      <c r="DI275" s="128">
        <f>IFERROR(AW275*$V275,)</f>
        <v/>
      </c>
      <c r="DJ275" s="128">
        <f>IFERROR(AX275*$V275,)</f>
        <v/>
      </c>
      <c r="DK275" s="128">
        <f>IFERROR(AY275*$V275,)</f>
        <v/>
      </c>
      <c r="DL275" s="128">
        <f>IFERROR(AZ275*$V275,)</f>
        <v/>
      </c>
      <c r="DM275" s="129">
        <f>IFERROR(if($X275=0,($V275/1.2)*BA275,
BA275*$X275),)</f>
        <v/>
      </c>
      <c r="DN275" s="129">
        <f>IFERROR(if($X275=0,($V275/1.2)*BB275,
BB275*$X275),)</f>
        <v/>
      </c>
      <c r="DO275" s="129">
        <f>IFERROR(if($X275=0,($V275/1.2)*BC275,
BC275*$X275),)</f>
        <v/>
      </c>
      <c r="DP275" s="130">
        <f>IFERROR(if($Z275=0,($V275/1.35)*BD275,
BD275*$Z275),)</f>
        <v/>
      </c>
      <c r="DQ275" s="130">
        <f>IFERROR(if($Z275=0,($V275/1.35)*BE275,
BE275*$Z275),)</f>
        <v/>
      </c>
      <c r="DR275" s="130">
        <f>IFERROR(if($Z275=0,($V275/1.35)*BF275,
BF275*$Z275),)</f>
        <v/>
      </c>
      <c r="DS275" s="128">
        <f>IFERROR(IF($AB275=0,($V275/0.74)*BG275,
BG275*$AB275),)</f>
        <v/>
      </c>
      <c r="DT275" s="128">
        <f>IFERROR(IF($AB275=0,($V275/0.74)*BH275,
BH275*$AB275),)</f>
        <v/>
      </c>
      <c r="DU275" s="128">
        <f>IFERROR(IF($AB275=0,($V275/0.74)*BI275,
BI275*$AB275),)</f>
        <v/>
      </c>
    </row>
    <row r="276" ht="131.25" customHeight="1" s="162">
      <c r="A276" s="115" t="n"/>
      <c r="B276" s="115" t="n"/>
      <c r="C276" s="115" t="n"/>
      <c r="D276" s="115" t="n"/>
      <c r="E276" s="115" t="n"/>
      <c r="F276" s="115" t="n"/>
      <c r="G276" s="115" t="n"/>
      <c r="H276" s="115" t="n"/>
      <c r="I276" s="115" t="n"/>
      <c r="J276" s="115" t="n"/>
      <c r="K276" s="115" t="n"/>
      <c r="L276" s="115" t="n"/>
      <c r="M276" s="115" t="n"/>
      <c r="N276" s="115" t="n"/>
      <c r="O276" s="115" t="n"/>
      <c r="P276" s="115" t="n"/>
      <c r="Q276" s="115" t="n"/>
      <c r="R276" s="115" t="n"/>
      <c r="S276" s="115" t="n"/>
      <c r="T276" s="115" t="n"/>
      <c r="U276" s="116" t="n"/>
      <c r="V276" s="116" t="n"/>
      <c r="W276" s="117" t="n"/>
      <c r="X276" s="118" t="n"/>
      <c r="Y276" s="119" t="n"/>
      <c r="Z276" s="120" t="n"/>
      <c r="AA276" s="121" t="n"/>
      <c r="AB276" s="122" t="n"/>
      <c r="AC276" s="117" t="n"/>
      <c r="AD276" s="123">
        <f>IF(SUM($AE276:$AH276)=0,"",SUM($AE276:$AH276))</f>
        <v/>
      </c>
      <c r="AE276" s="123">
        <f>iferror(IF(SUM($AI276:$AZ276)=0,"",SUM($AI276:$AZ276)),"")</f>
        <v/>
      </c>
      <c r="AF276" s="123">
        <f>iferror(IF(SUM($BA276:$BC276)=0,"",SUM($BA276:$BC276)),"")</f>
        <v/>
      </c>
      <c r="AG276" s="123">
        <f>iferror(IF(SUM($BD276:$BF276)=0,"",SUM($BD276:$BF276)),"")</f>
        <v/>
      </c>
      <c r="AH276" s="124">
        <f>iferror(IF(SUM($BG276:$BI276)=0,"",SUM($BG276:$BI276)),"")</f>
        <v/>
      </c>
      <c r="AI276" s="131" t="n"/>
      <c r="AJ276" s="132" t="n"/>
      <c r="AK276" s="132" t="n"/>
      <c r="AL276" s="132" t="n"/>
      <c r="AM276" s="132" t="n"/>
      <c r="AN276" s="132" t="n"/>
      <c r="AO276" s="132" t="n"/>
      <c r="AP276" s="132" t="n"/>
      <c r="AQ276" s="132" t="n"/>
      <c r="AR276" s="132" t="n"/>
      <c r="AS276" s="132" t="n"/>
      <c r="AT276" s="132" t="n"/>
      <c r="AU276" s="132" t="n"/>
      <c r="AV276" s="132" t="n"/>
      <c r="AW276" s="132" t="n"/>
      <c r="AX276" s="132" t="n"/>
      <c r="AY276" s="132" t="n"/>
      <c r="AZ276" s="133" t="n"/>
      <c r="BA276" s="131" t="n"/>
      <c r="BB276" s="132" t="n"/>
      <c r="BC276" s="133" t="n"/>
      <c r="BD276" s="131" t="n"/>
      <c r="BE276" s="132" t="n"/>
      <c r="BF276" s="133" t="n"/>
      <c r="BG276" s="131" t="n"/>
      <c r="BH276" s="132" t="n"/>
      <c r="BI276" s="132" t="n"/>
      <c r="BJ276" s="128">
        <f>iferror(SUM($BK276,($BL276*1.2),($BM276*1.35),($BN276*0.74)),)</f>
        <v/>
      </c>
      <c r="BK276" s="128">
        <f>IFERROR(SUM($BT276:$CK276),)</f>
        <v/>
      </c>
      <c r="BL276" s="129">
        <f>IFERROR(SUM($CL276:$CN276),)</f>
        <v/>
      </c>
      <c r="BM276" s="130">
        <f>IFERROR(SUM($CO276:$CQ276),)</f>
        <v/>
      </c>
      <c r="BN276" s="128">
        <f>IFERROR(SUM($CR276:$CT276),)</f>
        <v/>
      </c>
      <c r="BO276" s="128">
        <f>iferror(SUM($BP276,($BQ276*1.2),($BR276*1.35),($BS276*0.74)),)</f>
        <v/>
      </c>
      <c r="BP276" s="128">
        <f>IFERROR(SUM($CU276:$DL276),)</f>
        <v/>
      </c>
      <c r="BQ276" s="128">
        <f>IFERROR(SUM($DM276:$DO276),)</f>
        <v/>
      </c>
      <c r="BR276" s="128">
        <f>IFERROR(SUM($DP276:$DR276),)</f>
        <v/>
      </c>
      <c r="BS276" s="128">
        <f>IFERROR(SUM($DS276:$DU276),)</f>
        <v/>
      </c>
      <c r="BT276" s="128">
        <f>IFERROR(AI276*$W276,)</f>
        <v/>
      </c>
      <c r="BU276" s="128">
        <f>IFERROR(AJ276*$W276,)</f>
        <v/>
      </c>
      <c r="BV276" s="128">
        <f>IFERROR(AK276*$W276,)</f>
        <v/>
      </c>
      <c r="BW276" s="128">
        <f>IFERROR(AL276*$W276,)</f>
        <v/>
      </c>
      <c r="BX276" s="128">
        <f>IFERROR(AM276*$W276,)</f>
        <v/>
      </c>
      <c r="BY276" s="128">
        <f>IFERROR(AN276*$W276,)</f>
        <v/>
      </c>
      <c r="BZ276" s="128">
        <f>IFERROR(AO276*$W276,)</f>
        <v/>
      </c>
      <c r="CA276" s="128">
        <f>IFERROR(AP276*$W276,)</f>
        <v/>
      </c>
      <c r="CB276" s="128">
        <f>IFERROR(AQ276*$W276,)</f>
        <v/>
      </c>
      <c r="CC276" s="128">
        <f>IFERROR(AR276*$W276,)</f>
        <v/>
      </c>
      <c r="CD276" s="128">
        <f>IFERROR(AS276*$W276,)</f>
        <v/>
      </c>
      <c r="CE276" s="128">
        <f>IFERROR(AT276*$W276,)</f>
        <v/>
      </c>
      <c r="CF276" s="128">
        <f>IFERROR(AU276*$W276,)</f>
        <v/>
      </c>
      <c r="CG276" s="128">
        <f>IFERROR(AV276*$W276,)</f>
        <v/>
      </c>
      <c r="CH276" s="128">
        <f>IFERROR(AW276*$W276,)</f>
        <v/>
      </c>
      <c r="CI276" s="128">
        <f>IFERROR(AX276*$W276,)</f>
        <v/>
      </c>
      <c r="CJ276" s="128">
        <f>IFERROR(AY276*$W276,)</f>
        <v/>
      </c>
      <c r="CK276" s="128">
        <f>IFERROR(AZ276*$W276,)</f>
        <v/>
      </c>
      <c r="CL276" s="129">
        <f>IFERROR(if($Y276=0,BA276*($W276/1.2),BA276*$Y276),"")</f>
        <v/>
      </c>
      <c r="CM276" s="129">
        <f>IFERROR(if($Y276=0,BB276*($W276/1.2),BB276*$Y276),"")</f>
        <v/>
      </c>
      <c r="CN276" s="129">
        <f>IFERROR(if($Y276=0,BC276*($W276/1.2),BC276*$Y276),"")</f>
        <v/>
      </c>
      <c r="CO276" s="130">
        <f>IFERROR(if($AA276=0,($W276/1.35)*BD276,BD276*$AA276),)</f>
        <v/>
      </c>
      <c r="CP276" s="130">
        <f>IFERROR(if($AA276=0,($W276/1.35)*BE276,BE276*$AA276),)</f>
        <v/>
      </c>
      <c r="CQ276" s="130">
        <f>IFERROR(if($AA276=0,($W276/1.35)*BF276,BF276*$AA276),)</f>
        <v/>
      </c>
      <c r="CR276" s="128">
        <f>IFERROR(if($AC276=0,($W276/0.74)*BG276,
BG276*$AC276),)</f>
        <v/>
      </c>
      <c r="CS276" s="128">
        <f>IFERROR(if($AC276=0,($W276/0.74)*BH276,
BH276*$AC276),)</f>
        <v/>
      </c>
      <c r="CT276" s="128">
        <f>IFERROR(if($AC276=0,($W276/0.74)*BI276,
BI276*$AC276),)</f>
        <v/>
      </c>
      <c r="CU276" s="128">
        <f>IFERROR(AI276*$V276,)</f>
        <v/>
      </c>
      <c r="CV276" s="128">
        <f>IFERROR(AJ276*$V276,)</f>
        <v/>
      </c>
      <c r="CW276" s="128">
        <f>IFERROR(AK276*$V276,)</f>
        <v/>
      </c>
      <c r="CX276" s="128">
        <f>IFERROR(AL276*$V276,)</f>
        <v/>
      </c>
      <c r="CY276" s="128">
        <f>IFERROR(AM276*$V276,)</f>
        <v/>
      </c>
      <c r="CZ276" s="128">
        <f>IFERROR(AN276*$V276,)</f>
        <v/>
      </c>
      <c r="DA276" s="128">
        <f>IFERROR(AO276*$V276,)</f>
        <v/>
      </c>
      <c r="DB276" s="128">
        <f>IFERROR(AP276*$V276,)</f>
        <v/>
      </c>
      <c r="DC276" s="128">
        <f>IFERROR(AQ276*$V276,)</f>
        <v/>
      </c>
      <c r="DD276" s="128">
        <f>IFERROR(AR276*$V276,)</f>
        <v/>
      </c>
      <c r="DE276" s="128">
        <f>IFERROR(AS276*$V276,)</f>
        <v/>
      </c>
      <c r="DF276" s="128">
        <f>IFERROR(AT276*$V276,)</f>
        <v/>
      </c>
      <c r="DG276" s="128">
        <f>IFERROR(AU276*$V276,)</f>
        <v/>
      </c>
      <c r="DH276" s="128">
        <f>IFERROR(AV276*$V276,)</f>
        <v/>
      </c>
      <c r="DI276" s="128">
        <f>IFERROR(AW276*$V276,)</f>
        <v/>
      </c>
      <c r="DJ276" s="128">
        <f>IFERROR(AX276*$V276,)</f>
        <v/>
      </c>
      <c r="DK276" s="128">
        <f>IFERROR(AY276*$V276,)</f>
        <v/>
      </c>
      <c r="DL276" s="128">
        <f>IFERROR(AZ276*$V276,)</f>
        <v/>
      </c>
      <c r="DM276" s="129">
        <f>IFERROR(if($X276=0,($V276/1.2)*BA276,
BA276*$X276),)</f>
        <v/>
      </c>
      <c r="DN276" s="129">
        <f>IFERROR(if($X276=0,($V276/1.2)*BB276,
BB276*$X276),)</f>
        <v/>
      </c>
      <c r="DO276" s="129">
        <f>IFERROR(if($X276=0,($V276/1.2)*BC276,
BC276*$X276),)</f>
        <v/>
      </c>
      <c r="DP276" s="130">
        <f>IFERROR(if($Z276=0,($V276/1.35)*BD276,
BD276*$Z276),)</f>
        <v/>
      </c>
      <c r="DQ276" s="130">
        <f>IFERROR(if($Z276=0,($V276/1.35)*BE276,
BE276*$Z276),)</f>
        <v/>
      </c>
      <c r="DR276" s="130">
        <f>IFERROR(if($Z276=0,($V276/1.35)*BF276,
BF276*$Z276),)</f>
        <v/>
      </c>
      <c r="DS276" s="128">
        <f>IFERROR(IF($AB276=0,($V276/0.74)*BG276,
BG276*$AB276),)</f>
        <v/>
      </c>
      <c r="DT276" s="128">
        <f>IFERROR(IF($AB276=0,($V276/0.74)*BH276,
BH276*$AB276),)</f>
        <v/>
      </c>
      <c r="DU276" s="128">
        <f>IFERROR(IF($AB276=0,($V276/0.74)*BI276,
BI276*$AB276),)</f>
        <v/>
      </c>
    </row>
    <row r="277" ht="131.25" customHeight="1" s="162">
      <c r="A277" s="115" t="n"/>
      <c r="B277" s="115" t="n"/>
      <c r="C277" s="115" t="n"/>
      <c r="D277" s="115" t="n"/>
      <c r="E277" s="115" t="n"/>
      <c r="F277" s="115" t="n"/>
      <c r="G277" s="115" t="n"/>
      <c r="H277" s="115" t="n"/>
      <c r="I277" s="115" t="n"/>
      <c r="J277" s="115" t="n"/>
      <c r="K277" s="115" t="n"/>
      <c r="L277" s="115" t="n"/>
      <c r="M277" s="115" t="n"/>
      <c r="N277" s="115" t="n"/>
      <c r="O277" s="115" t="n"/>
      <c r="P277" s="115" t="n"/>
      <c r="Q277" s="115" t="n"/>
      <c r="R277" s="115" t="n"/>
      <c r="S277" s="115" t="n"/>
      <c r="T277" s="115" t="n"/>
      <c r="U277" s="116" t="n"/>
      <c r="V277" s="116" t="n"/>
      <c r="W277" s="117" t="n"/>
      <c r="X277" s="118" t="n"/>
      <c r="Y277" s="119" t="n"/>
      <c r="Z277" s="120" t="n"/>
      <c r="AA277" s="121" t="n"/>
      <c r="AB277" s="122" t="n"/>
      <c r="AC277" s="117" t="n"/>
      <c r="AD277" s="123">
        <f>IF(SUM($AE277:$AH277)=0,"",SUM($AE277:$AH277))</f>
        <v/>
      </c>
      <c r="AE277" s="123">
        <f>iferror(IF(SUM($AI277:$AZ277)=0,"",SUM($AI277:$AZ277)),"")</f>
        <v/>
      </c>
      <c r="AF277" s="123">
        <f>iferror(IF(SUM($BA277:$BC277)=0,"",SUM($BA277:$BC277)),"")</f>
        <v/>
      </c>
      <c r="AG277" s="123">
        <f>iferror(IF(SUM($BD277:$BF277)=0,"",SUM($BD277:$BF277)),"")</f>
        <v/>
      </c>
      <c r="AH277" s="124">
        <f>iferror(IF(SUM($BG277:$BI277)=0,"",SUM($BG277:$BI277)),"")</f>
        <v/>
      </c>
      <c r="AI277" s="131" t="n"/>
      <c r="AJ277" s="132" t="n"/>
      <c r="AK277" s="132" t="n"/>
      <c r="AL277" s="132" t="n"/>
      <c r="AM277" s="132" t="n"/>
      <c r="AN277" s="132" t="n"/>
      <c r="AO277" s="132" t="n"/>
      <c r="AP277" s="132" t="n"/>
      <c r="AQ277" s="132" t="n"/>
      <c r="AR277" s="132" t="n"/>
      <c r="AS277" s="132" t="n"/>
      <c r="AT277" s="132" t="n"/>
      <c r="AU277" s="132" t="n"/>
      <c r="AV277" s="132" t="n"/>
      <c r="AW277" s="132" t="n"/>
      <c r="AX277" s="132" t="n"/>
      <c r="AY277" s="132" t="n"/>
      <c r="AZ277" s="133" t="n"/>
      <c r="BA277" s="131" t="n"/>
      <c r="BB277" s="132" t="n"/>
      <c r="BC277" s="133" t="n"/>
      <c r="BD277" s="131" t="n"/>
      <c r="BE277" s="132" t="n"/>
      <c r="BF277" s="133" t="n"/>
      <c r="BG277" s="131" t="n"/>
      <c r="BH277" s="132" t="n"/>
      <c r="BI277" s="132" t="n"/>
      <c r="BJ277" s="128">
        <f>iferror(SUM($BK277,($BL277*1.2),($BM277*1.35),($BN277*0.74)),)</f>
        <v/>
      </c>
      <c r="BK277" s="128">
        <f>IFERROR(SUM($BT277:$CK277),)</f>
        <v/>
      </c>
      <c r="BL277" s="129">
        <f>IFERROR(SUM($CL277:$CN277),)</f>
        <v/>
      </c>
      <c r="BM277" s="130">
        <f>IFERROR(SUM($CO277:$CQ277),)</f>
        <v/>
      </c>
      <c r="BN277" s="128">
        <f>IFERROR(SUM($CR277:$CT277),)</f>
        <v/>
      </c>
      <c r="BO277" s="128">
        <f>iferror(SUM($BP277,($BQ277*1.2),($BR277*1.35),($BS277*0.74)),)</f>
        <v/>
      </c>
      <c r="BP277" s="128">
        <f>IFERROR(SUM($CU277:$DL277),)</f>
        <v/>
      </c>
      <c r="BQ277" s="128">
        <f>IFERROR(SUM($DM277:$DO277),)</f>
        <v/>
      </c>
      <c r="BR277" s="128">
        <f>IFERROR(SUM($DP277:$DR277),)</f>
        <v/>
      </c>
      <c r="BS277" s="128">
        <f>IFERROR(SUM($DS277:$DU277),)</f>
        <v/>
      </c>
      <c r="BT277" s="128">
        <f>IFERROR(AI277*$W277,)</f>
        <v/>
      </c>
      <c r="BU277" s="128">
        <f>IFERROR(AJ277*$W277,)</f>
        <v/>
      </c>
      <c r="BV277" s="128">
        <f>IFERROR(AK277*$W277,)</f>
        <v/>
      </c>
      <c r="BW277" s="128">
        <f>IFERROR(AL277*$W277,)</f>
        <v/>
      </c>
      <c r="BX277" s="128">
        <f>IFERROR(AM277*$W277,)</f>
        <v/>
      </c>
      <c r="BY277" s="128">
        <f>IFERROR(AN277*$W277,)</f>
        <v/>
      </c>
      <c r="BZ277" s="128">
        <f>IFERROR(AO277*$W277,)</f>
        <v/>
      </c>
      <c r="CA277" s="128">
        <f>IFERROR(AP277*$W277,)</f>
        <v/>
      </c>
      <c r="CB277" s="128">
        <f>IFERROR(AQ277*$W277,)</f>
        <v/>
      </c>
      <c r="CC277" s="128">
        <f>IFERROR(AR277*$W277,)</f>
        <v/>
      </c>
      <c r="CD277" s="128">
        <f>IFERROR(AS277*$W277,)</f>
        <v/>
      </c>
      <c r="CE277" s="128">
        <f>IFERROR(AT277*$W277,)</f>
        <v/>
      </c>
      <c r="CF277" s="128">
        <f>IFERROR(AU277*$W277,)</f>
        <v/>
      </c>
      <c r="CG277" s="128">
        <f>IFERROR(AV277*$W277,)</f>
        <v/>
      </c>
      <c r="CH277" s="128">
        <f>IFERROR(AW277*$W277,)</f>
        <v/>
      </c>
      <c r="CI277" s="128">
        <f>IFERROR(AX277*$W277,)</f>
        <v/>
      </c>
      <c r="CJ277" s="128">
        <f>IFERROR(AY277*$W277,)</f>
        <v/>
      </c>
      <c r="CK277" s="128">
        <f>IFERROR(AZ277*$W277,)</f>
        <v/>
      </c>
      <c r="CL277" s="129">
        <f>IFERROR(if($Y277=0,BA277*($W277/1.2),BA277*$Y277),"")</f>
        <v/>
      </c>
      <c r="CM277" s="129">
        <f>IFERROR(if($Y277=0,BB277*($W277/1.2),BB277*$Y277),"")</f>
        <v/>
      </c>
      <c r="CN277" s="129">
        <f>IFERROR(if($Y277=0,BC277*($W277/1.2),BC277*$Y277),"")</f>
        <v/>
      </c>
      <c r="CO277" s="130">
        <f>IFERROR(if($AA277=0,($W277/1.35)*BD277,BD277*$AA277),)</f>
        <v/>
      </c>
      <c r="CP277" s="130">
        <f>IFERROR(if($AA277=0,($W277/1.35)*BE277,BE277*$AA277),)</f>
        <v/>
      </c>
      <c r="CQ277" s="130">
        <f>IFERROR(if($AA277=0,($W277/1.35)*BF277,BF277*$AA277),)</f>
        <v/>
      </c>
      <c r="CR277" s="128">
        <f>IFERROR(if($AC277=0,($W277/0.74)*BG277,
BG277*$AC277),)</f>
        <v/>
      </c>
      <c r="CS277" s="128">
        <f>IFERROR(if($AC277=0,($W277/0.74)*BH277,
BH277*$AC277),)</f>
        <v/>
      </c>
      <c r="CT277" s="128">
        <f>IFERROR(if($AC277=0,($W277/0.74)*BI277,
BI277*$AC277),)</f>
        <v/>
      </c>
      <c r="CU277" s="128">
        <f>IFERROR(AI277*$V277,)</f>
        <v/>
      </c>
      <c r="CV277" s="128">
        <f>IFERROR(AJ277*$V277,)</f>
        <v/>
      </c>
      <c r="CW277" s="128">
        <f>IFERROR(AK277*$V277,)</f>
        <v/>
      </c>
      <c r="CX277" s="128">
        <f>IFERROR(AL277*$V277,)</f>
        <v/>
      </c>
      <c r="CY277" s="128">
        <f>IFERROR(AM277*$V277,)</f>
        <v/>
      </c>
      <c r="CZ277" s="128">
        <f>IFERROR(AN277*$V277,)</f>
        <v/>
      </c>
      <c r="DA277" s="128">
        <f>IFERROR(AO277*$V277,)</f>
        <v/>
      </c>
      <c r="DB277" s="128">
        <f>IFERROR(AP277*$V277,)</f>
        <v/>
      </c>
      <c r="DC277" s="128">
        <f>IFERROR(AQ277*$V277,)</f>
        <v/>
      </c>
      <c r="DD277" s="128">
        <f>IFERROR(AR277*$V277,)</f>
        <v/>
      </c>
      <c r="DE277" s="128">
        <f>IFERROR(AS277*$V277,)</f>
        <v/>
      </c>
      <c r="DF277" s="128">
        <f>IFERROR(AT277*$V277,)</f>
        <v/>
      </c>
      <c r="DG277" s="128">
        <f>IFERROR(AU277*$V277,)</f>
        <v/>
      </c>
      <c r="DH277" s="128">
        <f>IFERROR(AV277*$V277,)</f>
        <v/>
      </c>
      <c r="DI277" s="128">
        <f>IFERROR(AW277*$V277,)</f>
        <v/>
      </c>
      <c r="DJ277" s="128">
        <f>IFERROR(AX277*$V277,)</f>
        <v/>
      </c>
      <c r="DK277" s="128">
        <f>IFERROR(AY277*$V277,)</f>
        <v/>
      </c>
      <c r="DL277" s="128">
        <f>IFERROR(AZ277*$V277,)</f>
        <v/>
      </c>
      <c r="DM277" s="129">
        <f>IFERROR(if($X277=0,($V277/1.2)*BA277,
BA277*$X277),)</f>
        <v/>
      </c>
      <c r="DN277" s="129">
        <f>IFERROR(if($X277=0,($V277/1.2)*BB277,
BB277*$X277),)</f>
        <v/>
      </c>
      <c r="DO277" s="129">
        <f>IFERROR(if($X277=0,($V277/1.2)*BC277,
BC277*$X277),)</f>
        <v/>
      </c>
      <c r="DP277" s="130">
        <f>IFERROR(if($Z277=0,($V277/1.35)*BD277,
BD277*$Z277),)</f>
        <v/>
      </c>
      <c r="DQ277" s="130">
        <f>IFERROR(if($Z277=0,($V277/1.35)*BE277,
BE277*$Z277),)</f>
        <v/>
      </c>
      <c r="DR277" s="130">
        <f>IFERROR(if($Z277=0,($V277/1.35)*BF277,
BF277*$Z277),)</f>
        <v/>
      </c>
      <c r="DS277" s="128">
        <f>IFERROR(IF($AB277=0,($V277/0.74)*BG277,
BG277*$AB277),)</f>
        <v/>
      </c>
      <c r="DT277" s="128">
        <f>IFERROR(IF($AB277=0,($V277/0.74)*BH277,
BH277*$AB277),)</f>
        <v/>
      </c>
      <c r="DU277" s="128">
        <f>IFERROR(IF($AB277=0,($V277/0.74)*BI277,
BI277*$AB277),)</f>
        <v/>
      </c>
    </row>
    <row r="278" ht="131.25" customHeight="1" s="162">
      <c r="A278" s="115" t="n"/>
      <c r="B278" s="115" t="n"/>
      <c r="C278" s="115" t="n"/>
      <c r="D278" s="115" t="n"/>
      <c r="E278" s="115" t="n"/>
      <c r="F278" s="115" t="n"/>
      <c r="G278" s="115" t="n"/>
      <c r="H278" s="115" t="n"/>
      <c r="I278" s="115" t="n"/>
      <c r="J278" s="115" t="n"/>
      <c r="K278" s="115" t="n"/>
      <c r="L278" s="115" t="n"/>
      <c r="M278" s="115" t="n"/>
      <c r="N278" s="115" t="n"/>
      <c r="O278" s="115" t="n"/>
      <c r="P278" s="115" t="n"/>
      <c r="Q278" s="115" t="n"/>
      <c r="R278" s="115" t="n"/>
      <c r="S278" s="115" t="n"/>
      <c r="T278" s="115" t="n"/>
      <c r="U278" s="116" t="n"/>
      <c r="V278" s="116" t="n"/>
      <c r="W278" s="117" t="n"/>
      <c r="X278" s="118" t="n"/>
      <c r="Y278" s="119" t="n"/>
      <c r="Z278" s="120" t="n"/>
      <c r="AA278" s="121" t="n"/>
      <c r="AB278" s="122" t="n"/>
      <c r="AC278" s="117" t="n"/>
      <c r="AD278" s="123">
        <f>IF(SUM($AE278:$AH278)=0,"",SUM($AE278:$AH278))</f>
        <v/>
      </c>
      <c r="AE278" s="123">
        <f>iferror(IF(SUM($AI278:$AZ278)=0,"",SUM($AI278:$AZ278)),"")</f>
        <v/>
      </c>
      <c r="AF278" s="123">
        <f>iferror(IF(SUM($BA278:$BC278)=0,"",SUM($BA278:$BC278)),"")</f>
        <v/>
      </c>
      <c r="AG278" s="123">
        <f>iferror(IF(SUM($BD278:$BF278)=0,"",SUM($BD278:$BF278)),"")</f>
        <v/>
      </c>
      <c r="AH278" s="124">
        <f>iferror(IF(SUM($BG278:$BI278)=0,"",SUM($BG278:$BI278)),"")</f>
        <v/>
      </c>
      <c r="AI278" s="131" t="n"/>
      <c r="AJ278" s="132" t="n"/>
      <c r="AK278" s="132" t="n"/>
      <c r="AL278" s="132" t="n"/>
      <c r="AM278" s="132" t="n"/>
      <c r="AN278" s="132" t="n"/>
      <c r="AO278" s="132" t="n"/>
      <c r="AP278" s="132" t="n"/>
      <c r="AQ278" s="132" t="n"/>
      <c r="AR278" s="132" t="n"/>
      <c r="AS278" s="132" t="n"/>
      <c r="AT278" s="132" t="n"/>
      <c r="AU278" s="132" t="n"/>
      <c r="AV278" s="132" t="n"/>
      <c r="AW278" s="132" t="n"/>
      <c r="AX278" s="132" t="n"/>
      <c r="AY278" s="132" t="n"/>
      <c r="AZ278" s="133" t="n"/>
      <c r="BA278" s="131" t="n"/>
      <c r="BB278" s="132" t="n"/>
      <c r="BC278" s="133" t="n"/>
      <c r="BD278" s="131" t="n"/>
      <c r="BE278" s="132" t="n"/>
      <c r="BF278" s="133" t="n"/>
      <c r="BG278" s="131" t="n"/>
      <c r="BH278" s="132" t="n"/>
      <c r="BI278" s="132" t="n"/>
      <c r="BJ278" s="128">
        <f>iferror(SUM($BK278,($BL278*1.2),($BM278*1.35),($BN278*0.74)),)</f>
        <v/>
      </c>
      <c r="BK278" s="128">
        <f>IFERROR(SUM($BT278:$CK278),)</f>
        <v/>
      </c>
      <c r="BL278" s="129">
        <f>IFERROR(SUM($CL278:$CN278),)</f>
        <v/>
      </c>
      <c r="BM278" s="130">
        <f>IFERROR(SUM($CO278:$CQ278),)</f>
        <v/>
      </c>
      <c r="BN278" s="128">
        <f>IFERROR(SUM($CR278:$CT278),)</f>
        <v/>
      </c>
      <c r="BO278" s="128">
        <f>iferror(SUM($BP278,($BQ278*1.2),($BR278*1.35),($BS278*0.74)),)</f>
        <v/>
      </c>
      <c r="BP278" s="128">
        <f>IFERROR(SUM($CU278:$DL278),)</f>
        <v/>
      </c>
      <c r="BQ278" s="128">
        <f>IFERROR(SUM($DM278:$DO278),)</f>
        <v/>
      </c>
      <c r="BR278" s="128">
        <f>IFERROR(SUM($DP278:$DR278),)</f>
        <v/>
      </c>
      <c r="BS278" s="128">
        <f>IFERROR(SUM($DS278:$DU278),)</f>
        <v/>
      </c>
      <c r="BT278" s="128">
        <f>IFERROR(AI278*$W278,)</f>
        <v/>
      </c>
      <c r="BU278" s="128">
        <f>IFERROR(AJ278*$W278,)</f>
        <v/>
      </c>
      <c r="BV278" s="128">
        <f>IFERROR(AK278*$W278,)</f>
        <v/>
      </c>
      <c r="BW278" s="128">
        <f>IFERROR(AL278*$W278,)</f>
        <v/>
      </c>
      <c r="BX278" s="128">
        <f>IFERROR(AM278*$W278,)</f>
        <v/>
      </c>
      <c r="BY278" s="128">
        <f>IFERROR(AN278*$W278,)</f>
        <v/>
      </c>
      <c r="BZ278" s="128">
        <f>IFERROR(AO278*$W278,)</f>
        <v/>
      </c>
      <c r="CA278" s="128">
        <f>IFERROR(AP278*$W278,)</f>
        <v/>
      </c>
      <c r="CB278" s="128">
        <f>IFERROR(AQ278*$W278,)</f>
        <v/>
      </c>
      <c r="CC278" s="128">
        <f>IFERROR(AR278*$W278,)</f>
        <v/>
      </c>
      <c r="CD278" s="128">
        <f>IFERROR(AS278*$W278,)</f>
        <v/>
      </c>
      <c r="CE278" s="128">
        <f>IFERROR(AT278*$W278,)</f>
        <v/>
      </c>
      <c r="CF278" s="128">
        <f>IFERROR(AU278*$W278,)</f>
        <v/>
      </c>
      <c r="CG278" s="128">
        <f>IFERROR(AV278*$W278,)</f>
        <v/>
      </c>
      <c r="CH278" s="128">
        <f>IFERROR(AW278*$W278,)</f>
        <v/>
      </c>
      <c r="CI278" s="128">
        <f>IFERROR(AX278*$W278,)</f>
        <v/>
      </c>
      <c r="CJ278" s="128">
        <f>IFERROR(AY278*$W278,)</f>
        <v/>
      </c>
      <c r="CK278" s="128">
        <f>IFERROR(AZ278*$W278,)</f>
        <v/>
      </c>
      <c r="CL278" s="129">
        <f>IFERROR(if($Y278=0,BA278*($W278/1.2),BA278*$Y278),"")</f>
        <v/>
      </c>
      <c r="CM278" s="129">
        <f>IFERROR(if($Y278=0,BB278*($W278/1.2),BB278*$Y278),"")</f>
        <v/>
      </c>
      <c r="CN278" s="129">
        <f>IFERROR(if($Y278=0,BC278*($W278/1.2),BC278*$Y278),"")</f>
        <v/>
      </c>
      <c r="CO278" s="130">
        <f>IFERROR(if($AA278=0,($W278/1.35)*BD278,BD278*$AA278),)</f>
        <v/>
      </c>
      <c r="CP278" s="130">
        <f>IFERROR(if($AA278=0,($W278/1.35)*BE278,BE278*$AA278),)</f>
        <v/>
      </c>
      <c r="CQ278" s="130">
        <f>IFERROR(if($AA278=0,($W278/1.35)*BF278,BF278*$AA278),)</f>
        <v/>
      </c>
      <c r="CR278" s="128">
        <f>IFERROR(if($AC278=0,($W278/0.74)*BG278,
BG278*$AC278),)</f>
        <v/>
      </c>
      <c r="CS278" s="128">
        <f>IFERROR(if($AC278=0,($W278/0.74)*BH278,
BH278*$AC278),)</f>
        <v/>
      </c>
      <c r="CT278" s="128">
        <f>IFERROR(if($AC278=0,($W278/0.74)*BI278,
BI278*$AC278),)</f>
        <v/>
      </c>
      <c r="CU278" s="128">
        <f>IFERROR(AI278*$V278,)</f>
        <v/>
      </c>
      <c r="CV278" s="128">
        <f>IFERROR(AJ278*$V278,)</f>
        <v/>
      </c>
      <c r="CW278" s="128">
        <f>IFERROR(AK278*$V278,)</f>
        <v/>
      </c>
      <c r="CX278" s="128">
        <f>IFERROR(AL278*$V278,)</f>
        <v/>
      </c>
      <c r="CY278" s="128">
        <f>IFERROR(AM278*$V278,)</f>
        <v/>
      </c>
      <c r="CZ278" s="128">
        <f>IFERROR(AN278*$V278,)</f>
        <v/>
      </c>
      <c r="DA278" s="128">
        <f>IFERROR(AO278*$V278,)</f>
        <v/>
      </c>
      <c r="DB278" s="128">
        <f>IFERROR(AP278*$V278,)</f>
        <v/>
      </c>
      <c r="DC278" s="128">
        <f>IFERROR(AQ278*$V278,)</f>
        <v/>
      </c>
      <c r="DD278" s="128">
        <f>IFERROR(AR278*$V278,)</f>
        <v/>
      </c>
      <c r="DE278" s="128">
        <f>IFERROR(AS278*$V278,)</f>
        <v/>
      </c>
      <c r="DF278" s="128">
        <f>IFERROR(AT278*$V278,)</f>
        <v/>
      </c>
      <c r="DG278" s="128">
        <f>IFERROR(AU278*$V278,)</f>
        <v/>
      </c>
      <c r="DH278" s="128">
        <f>IFERROR(AV278*$V278,)</f>
        <v/>
      </c>
      <c r="DI278" s="128">
        <f>IFERROR(AW278*$V278,)</f>
        <v/>
      </c>
      <c r="DJ278" s="128">
        <f>IFERROR(AX278*$V278,)</f>
        <v/>
      </c>
      <c r="DK278" s="128">
        <f>IFERROR(AY278*$V278,)</f>
        <v/>
      </c>
      <c r="DL278" s="128">
        <f>IFERROR(AZ278*$V278,)</f>
        <v/>
      </c>
      <c r="DM278" s="129">
        <f>IFERROR(if($X278=0,($V278/1.2)*BA278,
BA278*$X278),)</f>
        <v/>
      </c>
      <c r="DN278" s="129">
        <f>IFERROR(if($X278=0,($V278/1.2)*BB278,
BB278*$X278),)</f>
        <v/>
      </c>
      <c r="DO278" s="129">
        <f>IFERROR(if($X278=0,($V278/1.2)*BC278,
BC278*$X278),)</f>
        <v/>
      </c>
      <c r="DP278" s="130">
        <f>IFERROR(if($Z278=0,($V278/1.35)*BD278,
BD278*$Z278),)</f>
        <v/>
      </c>
      <c r="DQ278" s="130">
        <f>IFERROR(if($Z278=0,($V278/1.35)*BE278,
BE278*$Z278),)</f>
        <v/>
      </c>
      <c r="DR278" s="130">
        <f>IFERROR(if($Z278=0,($V278/1.35)*BF278,
BF278*$Z278),)</f>
        <v/>
      </c>
      <c r="DS278" s="128">
        <f>IFERROR(IF($AB278=0,($V278/0.74)*BG278,
BG278*$AB278),)</f>
        <v/>
      </c>
      <c r="DT278" s="128">
        <f>IFERROR(IF($AB278=0,($V278/0.74)*BH278,
BH278*$AB278),)</f>
        <v/>
      </c>
      <c r="DU278" s="128">
        <f>IFERROR(IF($AB278=0,($V278/0.74)*BI278,
BI278*$AB278),)</f>
        <v/>
      </c>
    </row>
    <row r="279" ht="131.25" customHeight="1" s="162">
      <c r="A279" s="115" t="n"/>
      <c r="B279" s="115" t="n"/>
      <c r="C279" s="115" t="n"/>
      <c r="D279" s="115" t="n"/>
      <c r="E279" s="115" t="n"/>
      <c r="F279" s="115" t="n"/>
      <c r="G279" s="115" t="n"/>
      <c r="H279" s="115" t="n"/>
      <c r="I279" s="115" t="n"/>
      <c r="J279" s="115" t="n"/>
      <c r="K279" s="115" t="n"/>
      <c r="L279" s="115" t="n"/>
      <c r="M279" s="115" t="n"/>
      <c r="N279" s="115" t="n"/>
      <c r="O279" s="115" t="n"/>
      <c r="P279" s="115" t="n"/>
      <c r="Q279" s="115" t="n"/>
      <c r="R279" s="115" t="n"/>
      <c r="S279" s="115" t="n"/>
      <c r="T279" s="115" t="n"/>
      <c r="U279" s="116" t="n"/>
      <c r="V279" s="116" t="n"/>
      <c r="W279" s="117" t="n"/>
      <c r="X279" s="118" t="n"/>
      <c r="Y279" s="119" t="n"/>
      <c r="Z279" s="120" t="n"/>
      <c r="AA279" s="121" t="n"/>
      <c r="AB279" s="122" t="n"/>
      <c r="AC279" s="117" t="n"/>
      <c r="AD279" s="123">
        <f>IF(SUM($AE279:$AH279)=0,"",SUM($AE279:$AH279))</f>
        <v/>
      </c>
      <c r="AE279" s="123">
        <f>iferror(IF(SUM($AI279:$AZ279)=0,"",SUM($AI279:$AZ279)),"")</f>
        <v/>
      </c>
      <c r="AF279" s="123">
        <f>iferror(IF(SUM($BA279:$BC279)=0,"",SUM($BA279:$BC279)),"")</f>
        <v/>
      </c>
      <c r="AG279" s="123">
        <f>iferror(IF(SUM($BD279:$BF279)=0,"",SUM($BD279:$BF279)),"")</f>
        <v/>
      </c>
      <c r="AH279" s="124">
        <f>iferror(IF(SUM($BG279:$BI279)=0,"",SUM($BG279:$BI279)),"")</f>
        <v/>
      </c>
      <c r="AI279" s="131" t="n"/>
      <c r="AJ279" s="132" t="n"/>
      <c r="AK279" s="132" t="n"/>
      <c r="AL279" s="132" t="n"/>
      <c r="AM279" s="132" t="n"/>
      <c r="AN279" s="132" t="n"/>
      <c r="AO279" s="132" t="n"/>
      <c r="AP279" s="132" t="n"/>
      <c r="AQ279" s="132" t="n"/>
      <c r="AR279" s="132" t="n"/>
      <c r="AS279" s="132" t="n"/>
      <c r="AT279" s="132" t="n"/>
      <c r="AU279" s="132" t="n"/>
      <c r="AV279" s="132" t="n"/>
      <c r="AW279" s="132" t="n"/>
      <c r="AX279" s="132" t="n"/>
      <c r="AY279" s="132" t="n"/>
      <c r="AZ279" s="133" t="n"/>
      <c r="BA279" s="131" t="n"/>
      <c r="BB279" s="132" t="n"/>
      <c r="BC279" s="133" t="n"/>
      <c r="BD279" s="131" t="n"/>
      <c r="BE279" s="132" t="n"/>
      <c r="BF279" s="133" t="n"/>
      <c r="BG279" s="131" t="n"/>
      <c r="BH279" s="132" t="n"/>
      <c r="BI279" s="132" t="n"/>
      <c r="BJ279" s="128">
        <f>iferror(SUM($BK279,($BL279*1.2),($BM279*1.35),($BN279*0.74)),)</f>
        <v/>
      </c>
      <c r="BK279" s="128">
        <f>IFERROR(SUM($BT279:$CK279),)</f>
        <v/>
      </c>
      <c r="BL279" s="129">
        <f>IFERROR(SUM($CL279:$CN279),)</f>
        <v/>
      </c>
      <c r="BM279" s="130">
        <f>IFERROR(SUM($CO279:$CQ279),)</f>
        <v/>
      </c>
      <c r="BN279" s="128">
        <f>IFERROR(SUM($CR279:$CT279),)</f>
        <v/>
      </c>
      <c r="BO279" s="128">
        <f>iferror(SUM($BP279,($BQ279*1.2),($BR279*1.35),($BS279*0.74)),)</f>
        <v/>
      </c>
      <c r="BP279" s="128">
        <f>IFERROR(SUM($CU279:$DL279),)</f>
        <v/>
      </c>
      <c r="BQ279" s="128">
        <f>IFERROR(SUM($DM279:$DO279),)</f>
        <v/>
      </c>
      <c r="BR279" s="128">
        <f>IFERROR(SUM($DP279:$DR279),)</f>
        <v/>
      </c>
      <c r="BS279" s="128">
        <f>IFERROR(SUM($DS279:$DU279),)</f>
        <v/>
      </c>
      <c r="BT279" s="128">
        <f>IFERROR(AI279*$W279,)</f>
        <v/>
      </c>
      <c r="BU279" s="128">
        <f>IFERROR(AJ279*$W279,)</f>
        <v/>
      </c>
      <c r="BV279" s="128">
        <f>IFERROR(AK279*$W279,)</f>
        <v/>
      </c>
      <c r="BW279" s="128">
        <f>IFERROR(AL279*$W279,)</f>
        <v/>
      </c>
      <c r="BX279" s="128">
        <f>IFERROR(AM279*$W279,)</f>
        <v/>
      </c>
      <c r="BY279" s="128">
        <f>IFERROR(AN279*$W279,)</f>
        <v/>
      </c>
      <c r="BZ279" s="128">
        <f>IFERROR(AO279*$W279,)</f>
        <v/>
      </c>
      <c r="CA279" s="128">
        <f>IFERROR(AP279*$W279,)</f>
        <v/>
      </c>
      <c r="CB279" s="128">
        <f>IFERROR(AQ279*$W279,)</f>
        <v/>
      </c>
      <c r="CC279" s="128">
        <f>IFERROR(AR279*$W279,)</f>
        <v/>
      </c>
      <c r="CD279" s="128">
        <f>IFERROR(AS279*$W279,)</f>
        <v/>
      </c>
      <c r="CE279" s="128">
        <f>IFERROR(AT279*$W279,)</f>
        <v/>
      </c>
      <c r="CF279" s="128">
        <f>IFERROR(AU279*$W279,)</f>
        <v/>
      </c>
      <c r="CG279" s="128">
        <f>IFERROR(AV279*$W279,)</f>
        <v/>
      </c>
      <c r="CH279" s="128">
        <f>IFERROR(AW279*$W279,)</f>
        <v/>
      </c>
      <c r="CI279" s="128">
        <f>IFERROR(AX279*$W279,)</f>
        <v/>
      </c>
      <c r="CJ279" s="128">
        <f>IFERROR(AY279*$W279,)</f>
        <v/>
      </c>
      <c r="CK279" s="128">
        <f>IFERROR(AZ279*$W279,)</f>
        <v/>
      </c>
      <c r="CL279" s="129">
        <f>IFERROR(if($Y279=0,BA279*($W279/1.2),BA279*$Y279),"")</f>
        <v/>
      </c>
      <c r="CM279" s="129">
        <f>IFERROR(if($Y279=0,BB279*($W279/1.2),BB279*$Y279),"")</f>
        <v/>
      </c>
      <c r="CN279" s="129">
        <f>IFERROR(if($Y279=0,BC279*($W279/1.2),BC279*$Y279),"")</f>
        <v/>
      </c>
      <c r="CO279" s="130">
        <f>IFERROR(if($AA279=0,($W279/1.35)*BD279,BD279*$AA279),)</f>
        <v/>
      </c>
      <c r="CP279" s="130">
        <f>IFERROR(if($AA279=0,($W279/1.35)*BE279,BE279*$AA279),)</f>
        <v/>
      </c>
      <c r="CQ279" s="130">
        <f>IFERROR(if($AA279=0,($W279/1.35)*BF279,BF279*$AA279),)</f>
        <v/>
      </c>
      <c r="CR279" s="128">
        <f>IFERROR(if($AC279=0,($W279/0.74)*BG279,
BG279*$AC279),)</f>
        <v/>
      </c>
      <c r="CS279" s="128">
        <f>IFERROR(if($AC279=0,($W279/0.74)*BH279,
BH279*$AC279),)</f>
        <v/>
      </c>
      <c r="CT279" s="128">
        <f>IFERROR(if($AC279=0,($W279/0.74)*BI279,
BI279*$AC279),)</f>
        <v/>
      </c>
      <c r="CU279" s="128">
        <f>IFERROR(AI279*$V279,)</f>
        <v/>
      </c>
      <c r="CV279" s="128">
        <f>IFERROR(AJ279*$V279,)</f>
        <v/>
      </c>
      <c r="CW279" s="128">
        <f>IFERROR(AK279*$V279,)</f>
        <v/>
      </c>
      <c r="CX279" s="128">
        <f>IFERROR(AL279*$V279,)</f>
        <v/>
      </c>
      <c r="CY279" s="128">
        <f>IFERROR(AM279*$V279,)</f>
        <v/>
      </c>
      <c r="CZ279" s="128">
        <f>IFERROR(AN279*$V279,)</f>
        <v/>
      </c>
      <c r="DA279" s="128">
        <f>IFERROR(AO279*$V279,)</f>
        <v/>
      </c>
      <c r="DB279" s="128">
        <f>IFERROR(AP279*$V279,)</f>
        <v/>
      </c>
      <c r="DC279" s="128">
        <f>IFERROR(AQ279*$V279,)</f>
        <v/>
      </c>
      <c r="DD279" s="128">
        <f>IFERROR(AR279*$V279,)</f>
        <v/>
      </c>
      <c r="DE279" s="128">
        <f>IFERROR(AS279*$V279,)</f>
        <v/>
      </c>
      <c r="DF279" s="128">
        <f>IFERROR(AT279*$V279,)</f>
        <v/>
      </c>
      <c r="DG279" s="128">
        <f>IFERROR(AU279*$V279,)</f>
        <v/>
      </c>
      <c r="DH279" s="128">
        <f>IFERROR(AV279*$V279,)</f>
        <v/>
      </c>
      <c r="DI279" s="128">
        <f>IFERROR(AW279*$V279,)</f>
        <v/>
      </c>
      <c r="DJ279" s="128">
        <f>IFERROR(AX279*$V279,)</f>
        <v/>
      </c>
      <c r="DK279" s="128">
        <f>IFERROR(AY279*$V279,)</f>
        <v/>
      </c>
      <c r="DL279" s="128">
        <f>IFERROR(AZ279*$V279,)</f>
        <v/>
      </c>
      <c r="DM279" s="129">
        <f>IFERROR(if($X279=0,($V279/1.2)*BA279,
BA279*$X279),)</f>
        <v/>
      </c>
      <c r="DN279" s="129">
        <f>IFERROR(if($X279=0,($V279/1.2)*BB279,
BB279*$X279),)</f>
        <v/>
      </c>
      <c r="DO279" s="129">
        <f>IFERROR(if($X279=0,($V279/1.2)*BC279,
BC279*$X279),)</f>
        <v/>
      </c>
      <c r="DP279" s="130">
        <f>IFERROR(if($Z279=0,($V279/1.35)*BD279,
BD279*$Z279),)</f>
        <v/>
      </c>
      <c r="DQ279" s="130">
        <f>IFERROR(if($Z279=0,($V279/1.35)*BE279,
BE279*$Z279),)</f>
        <v/>
      </c>
      <c r="DR279" s="130">
        <f>IFERROR(if($Z279=0,($V279/1.35)*BF279,
BF279*$Z279),)</f>
        <v/>
      </c>
      <c r="DS279" s="128">
        <f>IFERROR(IF($AB279=0,($V279/0.74)*BG279,
BG279*$AB279),)</f>
        <v/>
      </c>
      <c r="DT279" s="128">
        <f>IFERROR(IF($AB279=0,($V279/0.74)*BH279,
BH279*$AB279),)</f>
        <v/>
      </c>
      <c r="DU279" s="128">
        <f>IFERROR(IF($AB279=0,($V279/0.74)*BI279,
BI279*$AB279),)</f>
        <v/>
      </c>
    </row>
    <row r="280" ht="131.25" customHeight="1" s="162">
      <c r="A280" s="115" t="n"/>
      <c r="B280" s="115" t="n"/>
      <c r="C280" s="115" t="n"/>
      <c r="D280" s="115" t="n"/>
      <c r="E280" s="115" t="n"/>
      <c r="F280" s="115" t="n"/>
      <c r="G280" s="115" t="n"/>
      <c r="H280" s="115" t="n"/>
      <c r="I280" s="115" t="n"/>
      <c r="J280" s="115" t="n"/>
      <c r="K280" s="115" t="n"/>
      <c r="L280" s="115" t="n"/>
      <c r="M280" s="115" t="n"/>
      <c r="N280" s="115" t="n"/>
      <c r="O280" s="115" t="n"/>
      <c r="P280" s="115" t="n"/>
      <c r="Q280" s="115" t="n"/>
      <c r="R280" s="115" t="n"/>
      <c r="S280" s="115" t="n"/>
      <c r="T280" s="115" t="n"/>
      <c r="U280" s="116" t="n"/>
      <c r="V280" s="116" t="n"/>
      <c r="W280" s="117" t="n"/>
      <c r="X280" s="118" t="n"/>
      <c r="Y280" s="119" t="n"/>
      <c r="Z280" s="120" t="n"/>
      <c r="AA280" s="121" t="n"/>
      <c r="AB280" s="122" t="n"/>
      <c r="AC280" s="117" t="n"/>
      <c r="AD280" s="123">
        <f>IF(SUM($AE280:$AH280)=0,"",SUM($AE280:$AH280))</f>
        <v/>
      </c>
      <c r="AE280" s="123">
        <f>iferror(IF(SUM($AI280:$AZ280)=0,"",SUM($AI280:$AZ280)),"")</f>
        <v/>
      </c>
      <c r="AF280" s="123">
        <f>iferror(IF(SUM($BA280:$BC280)=0,"",SUM($BA280:$BC280)),"")</f>
        <v/>
      </c>
      <c r="AG280" s="123">
        <f>iferror(IF(SUM($BD280:$BF280)=0,"",SUM($BD280:$BF280)),"")</f>
        <v/>
      </c>
      <c r="AH280" s="124">
        <f>iferror(IF(SUM($BG280:$BI280)=0,"",SUM($BG280:$BI280)),"")</f>
        <v/>
      </c>
      <c r="AI280" s="131" t="n"/>
      <c r="AJ280" s="132" t="n"/>
      <c r="AK280" s="132" t="n"/>
      <c r="AL280" s="132" t="n"/>
      <c r="AM280" s="132" t="n"/>
      <c r="AN280" s="132" t="n"/>
      <c r="AO280" s="132" t="n"/>
      <c r="AP280" s="132" t="n"/>
      <c r="AQ280" s="132" t="n"/>
      <c r="AR280" s="132" t="n"/>
      <c r="AS280" s="132" t="n"/>
      <c r="AT280" s="132" t="n"/>
      <c r="AU280" s="132" t="n"/>
      <c r="AV280" s="132" t="n"/>
      <c r="AW280" s="132" t="n"/>
      <c r="AX280" s="132" t="n"/>
      <c r="AY280" s="132" t="n"/>
      <c r="AZ280" s="133" t="n"/>
      <c r="BA280" s="131" t="n"/>
      <c r="BB280" s="132" t="n"/>
      <c r="BC280" s="133" t="n"/>
      <c r="BD280" s="131" t="n"/>
      <c r="BE280" s="132" t="n"/>
      <c r="BF280" s="133" t="n"/>
      <c r="BG280" s="131" t="n"/>
      <c r="BH280" s="132" t="n"/>
      <c r="BI280" s="132" t="n"/>
      <c r="BJ280" s="128">
        <f>iferror(SUM($BK280,($BL280*1.2),($BM280*1.35),($BN280*0.74)),)</f>
        <v/>
      </c>
      <c r="BK280" s="128">
        <f>IFERROR(SUM($BT280:$CK280),)</f>
        <v/>
      </c>
      <c r="BL280" s="129">
        <f>IFERROR(SUM($CL280:$CN280),)</f>
        <v/>
      </c>
      <c r="BM280" s="130">
        <f>IFERROR(SUM($CO280:$CQ280),)</f>
        <v/>
      </c>
      <c r="BN280" s="128">
        <f>IFERROR(SUM($CR280:$CT280),)</f>
        <v/>
      </c>
      <c r="BO280" s="128">
        <f>iferror(SUM($BP280,($BQ280*1.2),($BR280*1.35),($BS280*0.74)),)</f>
        <v/>
      </c>
      <c r="BP280" s="128">
        <f>IFERROR(SUM($CU280:$DL280),)</f>
        <v/>
      </c>
      <c r="BQ280" s="128">
        <f>IFERROR(SUM($DM280:$DO280),)</f>
        <v/>
      </c>
      <c r="BR280" s="128">
        <f>IFERROR(SUM($DP280:$DR280),)</f>
        <v/>
      </c>
      <c r="BS280" s="128">
        <f>IFERROR(SUM($DS280:$DU280),)</f>
        <v/>
      </c>
      <c r="BT280" s="128">
        <f>IFERROR(AI280*$W280,)</f>
        <v/>
      </c>
      <c r="BU280" s="128">
        <f>IFERROR(AJ280*$W280,)</f>
        <v/>
      </c>
      <c r="BV280" s="128">
        <f>IFERROR(AK280*$W280,)</f>
        <v/>
      </c>
      <c r="BW280" s="128">
        <f>IFERROR(AL280*$W280,)</f>
        <v/>
      </c>
      <c r="BX280" s="128">
        <f>IFERROR(AM280*$W280,)</f>
        <v/>
      </c>
      <c r="BY280" s="128">
        <f>IFERROR(AN280*$W280,)</f>
        <v/>
      </c>
      <c r="BZ280" s="128">
        <f>IFERROR(AO280*$W280,)</f>
        <v/>
      </c>
      <c r="CA280" s="128">
        <f>IFERROR(AP280*$W280,)</f>
        <v/>
      </c>
      <c r="CB280" s="128">
        <f>IFERROR(AQ280*$W280,)</f>
        <v/>
      </c>
      <c r="CC280" s="128">
        <f>IFERROR(AR280*$W280,)</f>
        <v/>
      </c>
      <c r="CD280" s="128">
        <f>IFERROR(AS280*$W280,)</f>
        <v/>
      </c>
      <c r="CE280" s="128">
        <f>IFERROR(AT280*$W280,)</f>
        <v/>
      </c>
      <c r="CF280" s="128">
        <f>IFERROR(AU280*$W280,)</f>
        <v/>
      </c>
      <c r="CG280" s="128">
        <f>IFERROR(AV280*$W280,)</f>
        <v/>
      </c>
      <c r="CH280" s="128">
        <f>IFERROR(AW280*$W280,)</f>
        <v/>
      </c>
      <c r="CI280" s="128">
        <f>IFERROR(AX280*$W280,)</f>
        <v/>
      </c>
      <c r="CJ280" s="128">
        <f>IFERROR(AY280*$W280,)</f>
        <v/>
      </c>
      <c r="CK280" s="128">
        <f>IFERROR(AZ280*$W280,)</f>
        <v/>
      </c>
      <c r="CL280" s="129">
        <f>IFERROR(if($Y280=0,BA280*($W280/1.2),BA280*$Y280),"")</f>
        <v/>
      </c>
      <c r="CM280" s="129">
        <f>IFERROR(if($Y280=0,BB280*($W280/1.2),BB280*$Y280),"")</f>
        <v/>
      </c>
      <c r="CN280" s="129">
        <f>IFERROR(if($Y280=0,BC280*($W280/1.2),BC280*$Y280),"")</f>
        <v/>
      </c>
      <c r="CO280" s="130">
        <f>IFERROR(if($AA280=0,($W280/1.35)*BD280,BD280*$AA280),)</f>
        <v/>
      </c>
      <c r="CP280" s="130">
        <f>IFERROR(if($AA280=0,($W280/1.35)*BE280,BE280*$AA280),)</f>
        <v/>
      </c>
      <c r="CQ280" s="130">
        <f>IFERROR(if($AA280=0,($W280/1.35)*BF280,BF280*$AA280),)</f>
        <v/>
      </c>
      <c r="CR280" s="128">
        <f>IFERROR(if($AC280=0,($W280/0.74)*BG280,
BG280*$AC280),)</f>
        <v/>
      </c>
      <c r="CS280" s="128">
        <f>IFERROR(if($AC280=0,($W280/0.74)*BH280,
BH280*$AC280),)</f>
        <v/>
      </c>
      <c r="CT280" s="128">
        <f>IFERROR(if($AC280=0,($W280/0.74)*BI280,
BI280*$AC280),)</f>
        <v/>
      </c>
      <c r="CU280" s="128">
        <f>IFERROR(AI280*$V280,)</f>
        <v/>
      </c>
      <c r="CV280" s="128">
        <f>IFERROR(AJ280*$V280,)</f>
        <v/>
      </c>
      <c r="CW280" s="128">
        <f>IFERROR(AK280*$V280,)</f>
        <v/>
      </c>
      <c r="CX280" s="128">
        <f>IFERROR(AL280*$V280,)</f>
        <v/>
      </c>
      <c r="CY280" s="128">
        <f>IFERROR(AM280*$V280,)</f>
        <v/>
      </c>
      <c r="CZ280" s="128">
        <f>IFERROR(AN280*$V280,)</f>
        <v/>
      </c>
      <c r="DA280" s="128">
        <f>IFERROR(AO280*$V280,)</f>
        <v/>
      </c>
      <c r="DB280" s="128">
        <f>IFERROR(AP280*$V280,)</f>
        <v/>
      </c>
      <c r="DC280" s="128">
        <f>IFERROR(AQ280*$V280,)</f>
        <v/>
      </c>
      <c r="DD280" s="128">
        <f>IFERROR(AR280*$V280,)</f>
        <v/>
      </c>
      <c r="DE280" s="128">
        <f>IFERROR(AS280*$V280,)</f>
        <v/>
      </c>
      <c r="DF280" s="128">
        <f>IFERROR(AT280*$V280,)</f>
        <v/>
      </c>
      <c r="DG280" s="128">
        <f>IFERROR(AU280*$V280,)</f>
        <v/>
      </c>
      <c r="DH280" s="128">
        <f>IFERROR(AV280*$V280,)</f>
        <v/>
      </c>
      <c r="DI280" s="128">
        <f>IFERROR(AW280*$V280,)</f>
        <v/>
      </c>
      <c r="DJ280" s="128">
        <f>IFERROR(AX280*$V280,)</f>
        <v/>
      </c>
      <c r="DK280" s="128">
        <f>IFERROR(AY280*$V280,)</f>
        <v/>
      </c>
      <c r="DL280" s="128">
        <f>IFERROR(AZ280*$V280,)</f>
        <v/>
      </c>
      <c r="DM280" s="129">
        <f>IFERROR(if($X280=0,($V280/1.2)*BA280,
BA280*$X280),)</f>
        <v/>
      </c>
      <c r="DN280" s="129">
        <f>IFERROR(if($X280=0,($V280/1.2)*BB280,
BB280*$X280),)</f>
        <v/>
      </c>
      <c r="DO280" s="129">
        <f>IFERROR(if($X280=0,($V280/1.2)*BC280,
BC280*$X280),)</f>
        <v/>
      </c>
      <c r="DP280" s="130">
        <f>IFERROR(if($Z280=0,($V280/1.35)*BD280,
BD280*$Z280),)</f>
        <v/>
      </c>
      <c r="DQ280" s="130">
        <f>IFERROR(if($Z280=0,($V280/1.35)*BE280,
BE280*$Z280),)</f>
        <v/>
      </c>
      <c r="DR280" s="130">
        <f>IFERROR(if($Z280=0,($V280/1.35)*BF280,
BF280*$Z280),)</f>
        <v/>
      </c>
      <c r="DS280" s="128">
        <f>IFERROR(IF($AB280=0,($V280/0.74)*BG280,
BG280*$AB280),)</f>
        <v/>
      </c>
      <c r="DT280" s="128">
        <f>IFERROR(IF($AB280=0,($V280/0.74)*BH280,
BH280*$AB280),)</f>
        <v/>
      </c>
      <c r="DU280" s="128">
        <f>IFERROR(IF($AB280=0,($V280/0.74)*BI280,
BI280*$AB280),)</f>
        <v/>
      </c>
    </row>
    <row r="281" ht="131.25" customHeight="1" s="162">
      <c r="A281" s="115" t="n"/>
      <c r="B281" s="115" t="n"/>
      <c r="C281" s="115" t="n"/>
      <c r="D281" s="115" t="n"/>
      <c r="E281" s="115" t="n"/>
      <c r="F281" s="115" t="n"/>
      <c r="G281" s="115" t="n"/>
      <c r="H281" s="115" t="n"/>
      <c r="I281" s="115" t="n"/>
      <c r="J281" s="115" t="n"/>
      <c r="K281" s="115" t="n"/>
      <c r="L281" s="115" t="n"/>
      <c r="M281" s="115" t="n"/>
      <c r="N281" s="115" t="n"/>
      <c r="O281" s="115" t="n"/>
      <c r="P281" s="115" t="n"/>
      <c r="Q281" s="115" t="n"/>
      <c r="R281" s="115" t="n"/>
      <c r="S281" s="115" t="n"/>
      <c r="T281" s="115" t="n"/>
      <c r="U281" s="116" t="n"/>
      <c r="V281" s="116" t="n"/>
      <c r="W281" s="117" t="n"/>
      <c r="X281" s="118" t="n"/>
      <c r="Y281" s="119" t="n"/>
      <c r="Z281" s="120" t="n"/>
      <c r="AA281" s="121" t="n"/>
      <c r="AB281" s="122" t="n"/>
      <c r="AC281" s="117" t="n"/>
      <c r="AD281" s="123">
        <f>IF(SUM($AE281:$AH281)=0,"",SUM($AE281:$AH281))</f>
        <v/>
      </c>
      <c r="AE281" s="123">
        <f>iferror(IF(SUM($AI281:$AZ281)=0,"",SUM($AI281:$AZ281)),"")</f>
        <v/>
      </c>
      <c r="AF281" s="123">
        <f>iferror(IF(SUM($BA281:$BC281)=0,"",SUM($BA281:$BC281)),"")</f>
        <v/>
      </c>
      <c r="AG281" s="123">
        <f>iferror(IF(SUM($BD281:$BF281)=0,"",SUM($BD281:$BF281)),"")</f>
        <v/>
      </c>
      <c r="AH281" s="124">
        <f>iferror(IF(SUM($BG281:$BI281)=0,"",SUM($BG281:$BI281)),"")</f>
        <v/>
      </c>
      <c r="AI281" s="131" t="n"/>
      <c r="AJ281" s="132" t="n"/>
      <c r="AK281" s="132" t="n"/>
      <c r="AL281" s="132" t="n"/>
      <c r="AM281" s="132" t="n"/>
      <c r="AN281" s="132" t="n"/>
      <c r="AO281" s="132" t="n"/>
      <c r="AP281" s="132" t="n"/>
      <c r="AQ281" s="132" t="n"/>
      <c r="AR281" s="132" t="n"/>
      <c r="AS281" s="132" t="n"/>
      <c r="AT281" s="132" t="n"/>
      <c r="AU281" s="132" t="n"/>
      <c r="AV281" s="132" t="n"/>
      <c r="AW281" s="132" t="n"/>
      <c r="AX281" s="132" t="n"/>
      <c r="AY281" s="132" t="n"/>
      <c r="AZ281" s="133" t="n"/>
      <c r="BA281" s="131" t="n"/>
      <c r="BB281" s="132" t="n"/>
      <c r="BC281" s="133" t="n"/>
      <c r="BD281" s="131" t="n"/>
      <c r="BE281" s="132" t="n"/>
      <c r="BF281" s="133" t="n"/>
      <c r="BG281" s="131" t="n"/>
      <c r="BH281" s="132" t="n"/>
      <c r="BI281" s="132" t="n"/>
      <c r="BJ281" s="128">
        <f>iferror(SUM($BK281,($BL281*1.2),($BM281*1.35),($BN281*0.74)),)</f>
        <v/>
      </c>
      <c r="BK281" s="128">
        <f>IFERROR(SUM($BT281:$CK281),)</f>
        <v/>
      </c>
      <c r="BL281" s="129">
        <f>IFERROR(SUM($CL281:$CN281),)</f>
        <v/>
      </c>
      <c r="BM281" s="130">
        <f>IFERROR(SUM($CO281:$CQ281),)</f>
        <v/>
      </c>
      <c r="BN281" s="128">
        <f>IFERROR(SUM($CR281:$CT281),)</f>
        <v/>
      </c>
      <c r="BO281" s="128">
        <f>iferror(SUM($BP281,($BQ281*1.2),($BR281*1.35),($BS281*0.74)),)</f>
        <v/>
      </c>
      <c r="BP281" s="128">
        <f>IFERROR(SUM($CU281:$DL281),)</f>
        <v/>
      </c>
      <c r="BQ281" s="128">
        <f>IFERROR(SUM($DM281:$DO281),)</f>
        <v/>
      </c>
      <c r="BR281" s="128">
        <f>IFERROR(SUM($DP281:$DR281),)</f>
        <v/>
      </c>
      <c r="BS281" s="128">
        <f>IFERROR(SUM($DS281:$DU281),)</f>
        <v/>
      </c>
      <c r="BT281" s="128">
        <f>IFERROR(AI281*$W281,)</f>
        <v/>
      </c>
      <c r="BU281" s="128">
        <f>IFERROR(AJ281*$W281,)</f>
        <v/>
      </c>
      <c r="BV281" s="128">
        <f>IFERROR(AK281*$W281,)</f>
        <v/>
      </c>
      <c r="BW281" s="128">
        <f>IFERROR(AL281*$W281,)</f>
        <v/>
      </c>
      <c r="BX281" s="128">
        <f>IFERROR(AM281*$W281,)</f>
        <v/>
      </c>
      <c r="BY281" s="128">
        <f>IFERROR(AN281*$W281,)</f>
        <v/>
      </c>
      <c r="BZ281" s="128">
        <f>IFERROR(AO281*$W281,)</f>
        <v/>
      </c>
      <c r="CA281" s="128">
        <f>IFERROR(AP281*$W281,)</f>
        <v/>
      </c>
      <c r="CB281" s="128">
        <f>IFERROR(AQ281*$W281,)</f>
        <v/>
      </c>
      <c r="CC281" s="128">
        <f>IFERROR(AR281*$W281,)</f>
        <v/>
      </c>
      <c r="CD281" s="128">
        <f>IFERROR(AS281*$W281,)</f>
        <v/>
      </c>
      <c r="CE281" s="128">
        <f>IFERROR(AT281*$W281,)</f>
        <v/>
      </c>
      <c r="CF281" s="128">
        <f>IFERROR(AU281*$W281,)</f>
        <v/>
      </c>
      <c r="CG281" s="128">
        <f>IFERROR(AV281*$W281,)</f>
        <v/>
      </c>
      <c r="CH281" s="128">
        <f>IFERROR(AW281*$W281,)</f>
        <v/>
      </c>
      <c r="CI281" s="128">
        <f>IFERROR(AX281*$W281,)</f>
        <v/>
      </c>
      <c r="CJ281" s="128">
        <f>IFERROR(AY281*$W281,)</f>
        <v/>
      </c>
      <c r="CK281" s="128">
        <f>IFERROR(AZ281*$W281,)</f>
        <v/>
      </c>
      <c r="CL281" s="129">
        <f>IFERROR(if($Y281=0,BA281*($W281/1.2),BA281*$Y281),"")</f>
        <v/>
      </c>
      <c r="CM281" s="129">
        <f>IFERROR(if($Y281=0,BB281*($W281/1.2),BB281*$Y281),"")</f>
        <v/>
      </c>
      <c r="CN281" s="129">
        <f>IFERROR(if($Y281=0,BC281*($W281/1.2),BC281*$Y281),"")</f>
        <v/>
      </c>
      <c r="CO281" s="130">
        <f>IFERROR(if($AA281=0,($W281/1.35)*BD281,BD281*$AA281),)</f>
        <v/>
      </c>
      <c r="CP281" s="130">
        <f>IFERROR(if($AA281=0,($W281/1.35)*BE281,BE281*$AA281),)</f>
        <v/>
      </c>
      <c r="CQ281" s="130">
        <f>IFERROR(if($AA281=0,($W281/1.35)*BF281,BF281*$AA281),)</f>
        <v/>
      </c>
      <c r="CR281" s="128">
        <f>IFERROR(if($AC281=0,($W281/0.74)*BG281,
BG281*$AC281),)</f>
        <v/>
      </c>
      <c r="CS281" s="128">
        <f>IFERROR(if($AC281=0,($W281/0.74)*BH281,
BH281*$AC281),)</f>
        <v/>
      </c>
      <c r="CT281" s="128">
        <f>IFERROR(if($AC281=0,($W281/0.74)*BI281,
BI281*$AC281),)</f>
        <v/>
      </c>
      <c r="CU281" s="128">
        <f>IFERROR(AI281*$V281,)</f>
        <v/>
      </c>
      <c r="CV281" s="128">
        <f>IFERROR(AJ281*$V281,)</f>
        <v/>
      </c>
      <c r="CW281" s="128">
        <f>IFERROR(AK281*$V281,)</f>
        <v/>
      </c>
      <c r="CX281" s="128">
        <f>IFERROR(AL281*$V281,)</f>
        <v/>
      </c>
      <c r="CY281" s="128">
        <f>IFERROR(AM281*$V281,)</f>
        <v/>
      </c>
      <c r="CZ281" s="128">
        <f>IFERROR(AN281*$V281,)</f>
        <v/>
      </c>
      <c r="DA281" s="128">
        <f>IFERROR(AO281*$V281,)</f>
        <v/>
      </c>
      <c r="DB281" s="128">
        <f>IFERROR(AP281*$V281,)</f>
        <v/>
      </c>
      <c r="DC281" s="128">
        <f>IFERROR(AQ281*$V281,)</f>
        <v/>
      </c>
      <c r="DD281" s="128">
        <f>IFERROR(AR281*$V281,)</f>
        <v/>
      </c>
      <c r="DE281" s="128">
        <f>IFERROR(AS281*$V281,)</f>
        <v/>
      </c>
      <c r="DF281" s="128">
        <f>IFERROR(AT281*$V281,)</f>
        <v/>
      </c>
      <c r="DG281" s="128">
        <f>IFERROR(AU281*$V281,)</f>
        <v/>
      </c>
      <c r="DH281" s="128">
        <f>IFERROR(AV281*$V281,)</f>
        <v/>
      </c>
      <c r="DI281" s="128">
        <f>IFERROR(AW281*$V281,)</f>
        <v/>
      </c>
      <c r="DJ281" s="128">
        <f>IFERROR(AX281*$V281,)</f>
        <v/>
      </c>
      <c r="DK281" s="128">
        <f>IFERROR(AY281*$V281,)</f>
        <v/>
      </c>
      <c r="DL281" s="128">
        <f>IFERROR(AZ281*$V281,)</f>
        <v/>
      </c>
      <c r="DM281" s="129">
        <f>IFERROR(if($X281=0,($V281/1.2)*BA281,
BA281*$X281),)</f>
        <v/>
      </c>
      <c r="DN281" s="129">
        <f>IFERROR(if($X281=0,($V281/1.2)*BB281,
BB281*$X281),)</f>
        <v/>
      </c>
      <c r="DO281" s="129">
        <f>IFERROR(if($X281=0,($V281/1.2)*BC281,
BC281*$X281),)</f>
        <v/>
      </c>
      <c r="DP281" s="130">
        <f>IFERROR(if($Z281=0,($V281/1.35)*BD281,
BD281*$Z281),)</f>
        <v/>
      </c>
      <c r="DQ281" s="130">
        <f>IFERROR(if($Z281=0,($V281/1.35)*BE281,
BE281*$Z281),)</f>
        <v/>
      </c>
      <c r="DR281" s="130">
        <f>IFERROR(if($Z281=0,($V281/1.35)*BF281,
BF281*$Z281),)</f>
        <v/>
      </c>
      <c r="DS281" s="128">
        <f>IFERROR(IF($AB281=0,($V281/0.74)*BG281,
BG281*$AB281),)</f>
        <v/>
      </c>
      <c r="DT281" s="128">
        <f>IFERROR(IF($AB281=0,($V281/0.74)*BH281,
BH281*$AB281),)</f>
        <v/>
      </c>
      <c r="DU281" s="128">
        <f>IFERROR(IF($AB281=0,($V281/0.74)*BI281,
BI281*$AB281),)</f>
        <v/>
      </c>
    </row>
    <row r="282" ht="131.25" customHeight="1" s="162">
      <c r="A282" s="115" t="n"/>
      <c r="B282" s="115" t="n"/>
      <c r="C282" s="115" t="n"/>
      <c r="D282" s="115" t="n"/>
      <c r="E282" s="115" t="n"/>
      <c r="F282" s="115" t="n"/>
      <c r="G282" s="115" t="n"/>
      <c r="H282" s="115" t="n"/>
      <c r="I282" s="115" t="n"/>
      <c r="J282" s="115" t="n"/>
      <c r="K282" s="115" t="n"/>
      <c r="L282" s="115" t="n"/>
      <c r="M282" s="115" t="n"/>
      <c r="N282" s="115" t="n"/>
      <c r="O282" s="115" t="n"/>
      <c r="P282" s="115" t="n"/>
      <c r="Q282" s="115" t="n"/>
      <c r="R282" s="115" t="n"/>
      <c r="S282" s="115" t="n"/>
      <c r="T282" s="115" t="n"/>
      <c r="U282" s="116" t="n"/>
      <c r="V282" s="116" t="n"/>
      <c r="W282" s="117" t="n"/>
      <c r="X282" s="118" t="n"/>
      <c r="Y282" s="119" t="n"/>
      <c r="Z282" s="120" t="n"/>
      <c r="AA282" s="121" t="n"/>
      <c r="AB282" s="122" t="n"/>
      <c r="AC282" s="117" t="n"/>
      <c r="AD282" s="123">
        <f>IF(SUM($AE282:$AH282)=0,"",SUM($AE282:$AH282))</f>
        <v/>
      </c>
      <c r="AE282" s="123">
        <f>iferror(IF(SUM($AI282:$AZ282)=0,"",SUM($AI282:$AZ282)),"")</f>
        <v/>
      </c>
      <c r="AF282" s="123">
        <f>iferror(IF(SUM($BA282:$BC282)=0,"",SUM($BA282:$BC282)),"")</f>
        <v/>
      </c>
      <c r="AG282" s="123">
        <f>iferror(IF(SUM($BD282:$BF282)=0,"",SUM($BD282:$BF282)),"")</f>
        <v/>
      </c>
      <c r="AH282" s="124">
        <f>iferror(IF(SUM($BG282:$BI282)=0,"",SUM($BG282:$BI282)),"")</f>
        <v/>
      </c>
      <c r="AI282" s="131" t="n"/>
      <c r="AJ282" s="132" t="n"/>
      <c r="AK282" s="132" t="n"/>
      <c r="AL282" s="132" t="n"/>
      <c r="AM282" s="132" t="n"/>
      <c r="AN282" s="132" t="n"/>
      <c r="AO282" s="132" t="n"/>
      <c r="AP282" s="132" t="n"/>
      <c r="AQ282" s="132" t="n"/>
      <c r="AR282" s="132" t="n"/>
      <c r="AS282" s="132" t="n"/>
      <c r="AT282" s="132" t="n"/>
      <c r="AU282" s="132" t="n"/>
      <c r="AV282" s="132" t="n"/>
      <c r="AW282" s="132" t="n"/>
      <c r="AX282" s="132" t="n"/>
      <c r="AY282" s="132" t="n"/>
      <c r="AZ282" s="133" t="n"/>
      <c r="BA282" s="131" t="n"/>
      <c r="BB282" s="132" t="n"/>
      <c r="BC282" s="133" t="n"/>
      <c r="BD282" s="131" t="n"/>
      <c r="BE282" s="132" t="n"/>
      <c r="BF282" s="133" t="n"/>
      <c r="BG282" s="131" t="n"/>
      <c r="BH282" s="132" t="n"/>
      <c r="BI282" s="132" t="n"/>
      <c r="BJ282" s="128">
        <f>iferror(SUM($BK282,($BL282*1.2),($BM282*1.35),($BN282*0.74)),)</f>
        <v/>
      </c>
      <c r="BK282" s="128">
        <f>IFERROR(SUM($BT282:$CK282),)</f>
        <v/>
      </c>
      <c r="BL282" s="129">
        <f>IFERROR(SUM($CL282:$CN282),)</f>
        <v/>
      </c>
      <c r="BM282" s="130">
        <f>IFERROR(SUM($CO282:$CQ282),)</f>
        <v/>
      </c>
      <c r="BN282" s="128">
        <f>IFERROR(SUM($CR282:$CT282),)</f>
        <v/>
      </c>
      <c r="BO282" s="128">
        <f>iferror(SUM($BP282,($BQ282*1.2),($BR282*1.35),($BS282*0.74)),)</f>
        <v/>
      </c>
      <c r="BP282" s="128">
        <f>IFERROR(SUM($CU282:$DL282),)</f>
        <v/>
      </c>
      <c r="BQ282" s="128">
        <f>IFERROR(SUM($DM282:$DO282),)</f>
        <v/>
      </c>
      <c r="BR282" s="128">
        <f>IFERROR(SUM($DP282:$DR282),)</f>
        <v/>
      </c>
      <c r="BS282" s="128">
        <f>IFERROR(SUM($DS282:$DU282),)</f>
        <v/>
      </c>
      <c r="BT282" s="128">
        <f>IFERROR(AI282*$W282,)</f>
        <v/>
      </c>
      <c r="BU282" s="128">
        <f>IFERROR(AJ282*$W282,)</f>
        <v/>
      </c>
      <c r="BV282" s="128">
        <f>IFERROR(AK282*$W282,)</f>
        <v/>
      </c>
      <c r="BW282" s="128">
        <f>IFERROR(AL282*$W282,)</f>
        <v/>
      </c>
      <c r="BX282" s="128">
        <f>IFERROR(AM282*$W282,)</f>
        <v/>
      </c>
      <c r="BY282" s="128">
        <f>IFERROR(AN282*$W282,)</f>
        <v/>
      </c>
      <c r="BZ282" s="128">
        <f>IFERROR(AO282*$W282,)</f>
        <v/>
      </c>
      <c r="CA282" s="128">
        <f>IFERROR(AP282*$W282,)</f>
        <v/>
      </c>
      <c r="CB282" s="128">
        <f>IFERROR(AQ282*$W282,)</f>
        <v/>
      </c>
      <c r="CC282" s="128">
        <f>IFERROR(AR282*$W282,)</f>
        <v/>
      </c>
      <c r="CD282" s="128">
        <f>IFERROR(AS282*$W282,)</f>
        <v/>
      </c>
      <c r="CE282" s="128">
        <f>IFERROR(AT282*$W282,)</f>
        <v/>
      </c>
      <c r="CF282" s="128">
        <f>IFERROR(AU282*$W282,)</f>
        <v/>
      </c>
      <c r="CG282" s="128">
        <f>IFERROR(AV282*$W282,)</f>
        <v/>
      </c>
      <c r="CH282" s="128">
        <f>IFERROR(AW282*$W282,)</f>
        <v/>
      </c>
      <c r="CI282" s="128">
        <f>IFERROR(AX282*$W282,)</f>
        <v/>
      </c>
      <c r="CJ282" s="128">
        <f>IFERROR(AY282*$W282,)</f>
        <v/>
      </c>
      <c r="CK282" s="128">
        <f>IFERROR(AZ282*$W282,)</f>
        <v/>
      </c>
      <c r="CL282" s="129">
        <f>IFERROR(if($Y282=0,BA282*($W282/1.2),BA282*$Y282),"")</f>
        <v/>
      </c>
      <c r="CM282" s="129">
        <f>IFERROR(if($Y282=0,BB282*($W282/1.2),BB282*$Y282),"")</f>
        <v/>
      </c>
      <c r="CN282" s="129">
        <f>IFERROR(if($Y282=0,BC282*($W282/1.2),BC282*$Y282),"")</f>
        <v/>
      </c>
      <c r="CO282" s="130">
        <f>IFERROR(if($AA282=0,($W282/1.35)*BD282,BD282*$AA282),)</f>
        <v/>
      </c>
      <c r="CP282" s="130">
        <f>IFERROR(if($AA282=0,($W282/1.35)*BE282,BE282*$AA282),)</f>
        <v/>
      </c>
      <c r="CQ282" s="130">
        <f>IFERROR(if($AA282=0,($W282/1.35)*BF282,BF282*$AA282),)</f>
        <v/>
      </c>
      <c r="CR282" s="128">
        <f>IFERROR(if($AC282=0,($W282/0.74)*BG282,
BG282*$AC282),)</f>
        <v/>
      </c>
      <c r="CS282" s="128">
        <f>IFERROR(if($AC282=0,($W282/0.74)*BH282,
BH282*$AC282),)</f>
        <v/>
      </c>
      <c r="CT282" s="128">
        <f>IFERROR(if($AC282=0,($W282/0.74)*BI282,
BI282*$AC282),)</f>
        <v/>
      </c>
      <c r="CU282" s="128">
        <f>IFERROR(AI282*$V282,)</f>
        <v/>
      </c>
      <c r="CV282" s="128">
        <f>IFERROR(AJ282*$V282,)</f>
        <v/>
      </c>
      <c r="CW282" s="128">
        <f>IFERROR(AK282*$V282,)</f>
        <v/>
      </c>
      <c r="CX282" s="128">
        <f>IFERROR(AL282*$V282,)</f>
        <v/>
      </c>
      <c r="CY282" s="128">
        <f>IFERROR(AM282*$V282,)</f>
        <v/>
      </c>
      <c r="CZ282" s="128">
        <f>IFERROR(AN282*$V282,)</f>
        <v/>
      </c>
      <c r="DA282" s="128">
        <f>IFERROR(AO282*$V282,)</f>
        <v/>
      </c>
      <c r="DB282" s="128">
        <f>IFERROR(AP282*$V282,)</f>
        <v/>
      </c>
      <c r="DC282" s="128">
        <f>IFERROR(AQ282*$V282,)</f>
        <v/>
      </c>
      <c r="DD282" s="128">
        <f>IFERROR(AR282*$V282,)</f>
        <v/>
      </c>
      <c r="DE282" s="128">
        <f>IFERROR(AS282*$V282,)</f>
        <v/>
      </c>
      <c r="DF282" s="128">
        <f>IFERROR(AT282*$V282,)</f>
        <v/>
      </c>
      <c r="DG282" s="128">
        <f>IFERROR(AU282*$V282,)</f>
        <v/>
      </c>
      <c r="DH282" s="128">
        <f>IFERROR(AV282*$V282,)</f>
        <v/>
      </c>
      <c r="DI282" s="128">
        <f>IFERROR(AW282*$V282,)</f>
        <v/>
      </c>
      <c r="DJ282" s="128">
        <f>IFERROR(AX282*$V282,)</f>
        <v/>
      </c>
      <c r="DK282" s="128">
        <f>IFERROR(AY282*$V282,)</f>
        <v/>
      </c>
      <c r="DL282" s="128">
        <f>IFERROR(AZ282*$V282,)</f>
        <v/>
      </c>
      <c r="DM282" s="129">
        <f>IFERROR(if($X282=0,($V282/1.2)*BA282,
BA282*$X282),)</f>
        <v/>
      </c>
      <c r="DN282" s="129">
        <f>IFERROR(if($X282=0,($V282/1.2)*BB282,
BB282*$X282),)</f>
        <v/>
      </c>
      <c r="DO282" s="129">
        <f>IFERROR(if($X282=0,($V282/1.2)*BC282,
BC282*$X282),)</f>
        <v/>
      </c>
      <c r="DP282" s="130">
        <f>IFERROR(if($Z282=0,($V282/1.35)*BD282,
BD282*$Z282),)</f>
        <v/>
      </c>
      <c r="DQ282" s="130">
        <f>IFERROR(if($Z282=0,($V282/1.35)*BE282,
BE282*$Z282),)</f>
        <v/>
      </c>
      <c r="DR282" s="130">
        <f>IFERROR(if($Z282=0,($V282/1.35)*BF282,
BF282*$Z282),)</f>
        <v/>
      </c>
      <c r="DS282" s="128">
        <f>IFERROR(IF($AB282=0,($V282/0.74)*BG282,
BG282*$AB282),)</f>
        <v/>
      </c>
      <c r="DT282" s="128">
        <f>IFERROR(IF($AB282=0,($V282/0.74)*BH282,
BH282*$AB282),)</f>
        <v/>
      </c>
      <c r="DU282" s="128">
        <f>IFERROR(IF($AB282=0,($V282/0.74)*BI282,
BI282*$AB282),)</f>
        <v/>
      </c>
    </row>
    <row r="283" ht="131.25" customHeight="1" s="162">
      <c r="A283" s="115" t="n"/>
      <c r="B283" s="115" t="n"/>
      <c r="C283" s="115" t="n"/>
      <c r="D283" s="115" t="n"/>
      <c r="E283" s="115" t="n"/>
      <c r="F283" s="115" t="n"/>
      <c r="G283" s="115" t="n"/>
      <c r="H283" s="115" t="n"/>
      <c r="I283" s="115" t="n"/>
      <c r="J283" s="115" t="n"/>
      <c r="K283" s="115" t="n"/>
      <c r="L283" s="115" t="n"/>
      <c r="M283" s="115" t="n"/>
      <c r="N283" s="115" t="n"/>
      <c r="O283" s="115" t="n"/>
      <c r="P283" s="115" t="n"/>
      <c r="Q283" s="115" t="n"/>
      <c r="R283" s="115" t="n"/>
      <c r="S283" s="115" t="n"/>
      <c r="T283" s="115" t="n"/>
      <c r="U283" s="116" t="n"/>
      <c r="V283" s="116" t="n"/>
      <c r="W283" s="117" t="n"/>
      <c r="X283" s="118" t="n"/>
      <c r="Y283" s="119" t="n"/>
      <c r="Z283" s="120" t="n"/>
      <c r="AA283" s="121" t="n"/>
      <c r="AB283" s="122" t="n"/>
      <c r="AC283" s="117" t="n"/>
      <c r="AD283" s="123">
        <f>IF(SUM($AE283:$AH283)=0,"",SUM($AE283:$AH283))</f>
        <v/>
      </c>
      <c r="AE283" s="123">
        <f>iferror(IF(SUM($AI283:$AZ283)=0,"",SUM($AI283:$AZ283)),"")</f>
        <v/>
      </c>
      <c r="AF283" s="123">
        <f>iferror(IF(SUM($BA283:$BC283)=0,"",SUM($BA283:$BC283)),"")</f>
        <v/>
      </c>
      <c r="AG283" s="123">
        <f>iferror(IF(SUM($BD283:$BF283)=0,"",SUM($BD283:$BF283)),"")</f>
        <v/>
      </c>
      <c r="AH283" s="124">
        <f>iferror(IF(SUM($BG283:$BI283)=0,"",SUM($BG283:$BI283)),"")</f>
        <v/>
      </c>
      <c r="AI283" s="131" t="n"/>
      <c r="AJ283" s="132" t="n"/>
      <c r="AK283" s="132" t="n"/>
      <c r="AL283" s="132" t="n"/>
      <c r="AM283" s="132" t="n"/>
      <c r="AN283" s="132" t="n"/>
      <c r="AO283" s="132" t="n"/>
      <c r="AP283" s="132" t="n"/>
      <c r="AQ283" s="132" t="n"/>
      <c r="AR283" s="132" t="n"/>
      <c r="AS283" s="132" t="n"/>
      <c r="AT283" s="132" t="n"/>
      <c r="AU283" s="132" t="n"/>
      <c r="AV283" s="132" t="n"/>
      <c r="AW283" s="132" t="n"/>
      <c r="AX283" s="132" t="n"/>
      <c r="AY283" s="132" t="n"/>
      <c r="AZ283" s="133" t="n"/>
      <c r="BA283" s="131" t="n"/>
      <c r="BB283" s="132" t="n"/>
      <c r="BC283" s="133" t="n"/>
      <c r="BD283" s="131" t="n"/>
      <c r="BE283" s="132" t="n"/>
      <c r="BF283" s="133" t="n"/>
      <c r="BG283" s="131" t="n"/>
      <c r="BH283" s="132" t="n"/>
      <c r="BI283" s="132" t="n"/>
      <c r="BJ283" s="128">
        <f>iferror(SUM($BK283,($BL283*1.2),($BM283*1.35),($BN283*0.74)),)</f>
        <v/>
      </c>
      <c r="BK283" s="128">
        <f>IFERROR(SUM($BT283:$CK283),)</f>
        <v/>
      </c>
      <c r="BL283" s="129">
        <f>IFERROR(SUM($CL283:$CN283),)</f>
        <v/>
      </c>
      <c r="BM283" s="130">
        <f>IFERROR(SUM($CO283:$CQ283),)</f>
        <v/>
      </c>
      <c r="BN283" s="128">
        <f>IFERROR(SUM($CR283:$CT283),)</f>
        <v/>
      </c>
      <c r="BO283" s="128">
        <f>iferror(SUM($BP283,($BQ283*1.2),($BR283*1.35),($BS283*0.74)),)</f>
        <v/>
      </c>
      <c r="BP283" s="128">
        <f>IFERROR(SUM($CU283:$DL283),)</f>
        <v/>
      </c>
      <c r="BQ283" s="128">
        <f>IFERROR(SUM($DM283:$DO283),)</f>
        <v/>
      </c>
      <c r="BR283" s="128">
        <f>IFERROR(SUM($DP283:$DR283),)</f>
        <v/>
      </c>
      <c r="BS283" s="128">
        <f>IFERROR(SUM($DS283:$DU283),)</f>
        <v/>
      </c>
      <c r="BT283" s="128">
        <f>IFERROR(AI283*$W283,)</f>
        <v/>
      </c>
      <c r="BU283" s="128">
        <f>IFERROR(AJ283*$W283,)</f>
        <v/>
      </c>
      <c r="BV283" s="128">
        <f>IFERROR(AK283*$W283,)</f>
        <v/>
      </c>
      <c r="BW283" s="128">
        <f>IFERROR(AL283*$W283,)</f>
        <v/>
      </c>
      <c r="BX283" s="128">
        <f>IFERROR(AM283*$W283,)</f>
        <v/>
      </c>
      <c r="BY283" s="128">
        <f>IFERROR(AN283*$W283,)</f>
        <v/>
      </c>
      <c r="BZ283" s="128">
        <f>IFERROR(AO283*$W283,)</f>
        <v/>
      </c>
      <c r="CA283" s="128">
        <f>IFERROR(AP283*$W283,)</f>
        <v/>
      </c>
      <c r="CB283" s="128">
        <f>IFERROR(AQ283*$W283,)</f>
        <v/>
      </c>
      <c r="CC283" s="128">
        <f>IFERROR(AR283*$W283,)</f>
        <v/>
      </c>
      <c r="CD283" s="128">
        <f>IFERROR(AS283*$W283,)</f>
        <v/>
      </c>
      <c r="CE283" s="128">
        <f>IFERROR(AT283*$W283,)</f>
        <v/>
      </c>
      <c r="CF283" s="128">
        <f>IFERROR(AU283*$W283,)</f>
        <v/>
      </c>
      <c r="CG283" s="128">
        <f>IFERROR(AV283*$W283,)</f>
        <v/>
      </c>
      <c r="CH283" s="128">
        <f>IFERROR(AW283*$W283,)</f>
        <v/>
      </c>
      <c r="CI283" s="128">
        <f>IFERROR(AX283*$W283,)</f>
        <v/>
      </c>
      <c r="CJ283" s="128">
        <f>IFERROR(AY283*$W283,)</f>
        <v/>
      </c>
      <c r="CK283" s="128">
        <f>IFERROR(AZ283*$W283,)</f>
        <v/>
      </c>
      <c r="CL283" s="129">
        <f>IFERROR(if($Y283=0,BA283*($W283/1.2),BA283*$Y283),"")</f>
        <v/>
      </c>
      <c r="CM283" s="129">
        <f>IFERROR(if($Y283=0,BB283*($W283/1.2),BB283*$Y283),"")</f>
        <v/>
      </c>
      <c r="CN283" s="129">
        <f>IFERROR(if($Y283=0,BC283*($W283/1.2),BC283*$Y283),"")</f>
        <v/>
      </c>
      <c r="CO283" s="130">
        <f>IFERROR(if($AA283=0,($W283/1.35)*BD283,BD283*$AA283),)</f>
        <v/>
      </c>
      <c r="CP283" s="130">
        <f>IFERROR(if($AA283=0,($W283/1.35)*BE283,BE283*$AA283),)</f>
        <v/>
      </c>
      <c r="CQ283" s="130">
        <f>IFERROR(if($AA283=0,($W283/1.35)*BF283,BF283*$AA283),)</f>
        <v/>
      </c>
      <c r="CR283" s="128">
        <f>IFERROR(if($AC283=0,($W283/0.74)*BG283,
BG283*$AC283),)</f>
        <v/>
      </c>
      <c r="CS283" s="128">
        <f>IFERROR(if($AC283=0,($W283/0.74)*BH283,
BH283*$AC283),)</f>
        <v/>
      </c>
      <c r="CT283" s="128">
        <f>IFERROR(if($AC283=0,($W283/0.74)*BI283,
BI283*$AC283),)</f>
        <v/>
      </c>
      <c r="CU283" s="128">
        <f>IFERROR(AI283*$V283,)</f>
        <v/>
      </c>
      <c r="CV283" s="128">
        <f>IFERROR(AJ283*$V283,)</f>
        <v/>
      </c>
      <c r="CW283" s="128">
        <f>IFERROR(AK283*$V283,)</f>
        <v/>
      </c>
      <c r="CX283" s="128">
        <f>IFERROR(AL283*$V283,)</f>
        <v/>
      </c>
      <c r="CY283" s="128">
        <f>IFERROR(AM283*$V283,)</f>
        <v/>
      </c>
      <c r="CZ283" s="128">
        <f>IFERROR(AN283*$V283,)</f>
        <v/>
      </c>
      <c r="DA283" s="128">
        <f>IFERROR(AO283*$V283,)</f>
        <v/>
      </c>
      <c r="DB283" s="128">
        <f>IFERROR(AP283*$V283,)</f>
        <v/>
      </c>
      <c r="DC283" s="128">
        <f>IFERROR(AQ283*$V283,)</f>
        <v/>
      </c>
      <c r="DD283" s="128">
        <f>IFERROR(AR283*$V283,)</f>
        <v/>
      </c>
      <c r="DE283" s="128">
        <f>IFERROR(AS283*$V283,)</f>
        <v/>
      </c>
      <c r="DF283" s="128">
        <f>IFERROR(AT283*$V283,)</f>
        <v/>
      </c>
      <c r="DG283" s="128">
        <f>IFERROR(AU283*$V283,)</f>
        <v/>
      </c>
      <c r="DH283" s="128">
        <f>IFERROR(AV283*$V283,)</f>
        <v/>
      </c>
      <c r="DI283" s="128">
        <f>IFERROR(AW283*$V283,)</f>
        <v/>
      </c>
      <c r="DJ283" s="128">
        <f>IFERROR(AX283*$V283,)</f>
        <v/>
      </c>
      <c r="DK283" s="128">
        <f>IFERROR(AY283*$V283,)</f>
        <v/>
      </c>
      <c r="DL283" s="128">
        <f>IFERROR(AZ283*$V283,)</f>
        <v/>
      </c>
      <c r="DM283" s="129">
        <f>IFERROR(if($X283=0,($V283/1.2)*BA283,
BA283*$X283),)</f>
        <v/>
      </c>
      <c r="DN283" s="129">
        <f>IFERROR(if($X283=0,($V283/1.2)*BB283,
BB283*$X283),)</f>
        <v/>
      </c>
      <c r="DO283" s="129">
        <f>IFERROR(if($X283=0,($V283/1.2)*BC283,
BC283*$X283),)</f>
        <v/>
      </c>
      <c r="DP283" s="130">
        <f>IFERROR(if($Z283=0,($V283/1.35)*BD283,
BD283*$Z283),)</f>
        <v/>
      </c>
      <c r="DQ283" s="130">
        <f>IFERROR(if($Z283=0,($V283/1.35)*BE283,
BE283*$Z283),)</f>
        <v/>
      </c>
      <c r="DR283" s="130">
        <f>IFERROR(if($Z283=0,($V283/1.35)*BF283,
BF283*$Z283),)</f>
        <v/>
      </c>
      <c r="DS283" s="128">
        <f>IFERROR(IF($AB283=0,($V283/0.74)*BG283,
BG283*$AB283),)</f>
        <v/>
      </c>
      <c r="DT283" s="128">
        <f>IFERROR(IF($AB283=0,($V283/0.74)*BH283,
BH283*$AB283),)</f>
        <v/>
      </c>
      <c r="DU283" s="128">
        <f>IFERROR(IF($AB283=0,($V283/0.74)*BI283,
BI283*$AB283),)</f>
        <v/>
      </c>
    </row>
    <row r="284" ht="131.25" customHeight="1" s="162">
      <c r="A284" s="115" t="n"/>
      <c r="B284" s="115" t="n"/>
      <c r="C284" s="115" t="n"/>
      <c r="D284" s="115" t="n"/>
      <c r="E284" s="115" t="n"/>
      <c r="F284" s="115" t="n"/>
      <c r="G284" s="115" t="n"/>
      <c r="H284" s="115" t="n"/>
      <c r="I284" s="115" t="n"/>
      <c r="J284" s="115" t="n"/>
      <c r="K284" s="115" t="n"/>
      <c r="L284" s="115" t="n"/>
      <c r="M284" s="115" t="n"/>
      <c r="N284" s="115" t="n"/>
      <c r="O284" s="115" t="n"/>
      <c r="P284" s="115" t="n"/>
      <c r="Q284" s="115" t="n"/>
      <c r="R284" s="115" t="n"/>
      <c r="S284" s="115" t="n"/>
      <c r="T284" s="115" t="n"/>
      <c r="U284" s="116" t="n"/>
      <c r="V284" s="116" t="n"/>
      <c r="W284" s="117" t="n"/>
      <c r="X284" s="118" t="n"/>
      <c r="Y284" s="119" t="n"/>
      <c r="Z284" s="120" t="n"/>
      <c r="AA284" s="121" t="n"/>
      <c r="AB284" s="122" t="n"/>
      <c r="AC284" s="117" t="n"/>
      <c r="AD284" s="123">
        <f>IF(SUM($AE284:$AH284)=0,"",SUM($AE284:$AH284))</f>
        <v/>
      </c>
      <c r="AE284" s="123">
        <f>iferror(IF(SUM($AI284:$AZ284)=0,"",SUM($AI284:$AZ284)),"")</f>
        <v/>
      </c>
      <c r="AF284" s="123">
        <f>iferror(IF(SUM($BA284:$BC284)=0,"",SUM($BA284:$BC284)),"")</f>
        <v/>
      </c>
      <c r="AG284" s="123">
        <f>iferror(IF(SUM($BD284:$BF284)=0,"",SUM($BD284:$BF284)),"")</f>
        <v/>
      </c>
      <c r="AH284" s="124">
        <f>iferror(IF(SUM($BG284:$BI284)=0,"",SUM($BG284:$BI284)),"")</f>
        <v/>
      </c>
      <c r="AI284" s="131" t="n"/>
      <c r="AJ284" s="132" t="n"/>
      <c r="AK284" s="132" t="n"/>
      <c r="AL284" s="132" t="n"/>
      <c r="AM284" s="132" t="n"/>
      <c r="AN284" s="132" t="n"/>
      <c r="AO284" s="132" t="n"/>
      <c r="AP284" s="132" t="n"/>
      <c r="AQ284" s="132" t="n"/>
      <c r="AR284" s="132" t="n"/>
      <c r="AS284" s="132" t="n"/>
      <c r="AT284" s="132" t="n"/>
      <c r="AU284" s="132" t="n"/>
      <c r="AV284" s="132" t="n"/>
      <c r="AW284" s="132" t="n"/>
      <c r="AX284" s="132" t="n"/>
      <c r="AY284" s="132" t="n"/>
      <c r="AZ284" s="133" t="n"/>
      <c r="BA284" s="131" t="n"/>
      <c r="BB284" s="132" t="n"/>
      <c r="BC284" s="133" t="n"/>
      <c r="BD284" s="131" t="n"/>
      <c r="BE284" s="132" t="n"/>
      <c r="BF284" s="133" t="n"/>
      <c r="BG284" s="131" t="n"/>
      <c r="BH284" s="132" t="n"/>
      <c r="BI284" s="132" t="n"/>
      <c r="BJ284" s="128">
        <f>iferror(SUM($BK284,($BL284*1.2),($BM284*1.35),($BN284*0.74)),)</f>
        <v/>
      </c>
      <c r="BK284" s="128">
        <f>IFERROR(SUM($BT284:$CK284),)</f>
        <v/>
      </c>
      <c r="BL284" s="129">
        <f>IFERROR(SUM($CL284:$CN284),)</f>
        <v/>
      </c>
      <c r="BM284" s="130">
        <f>IFERROR(SUM($CO284:$CQ284),)</f>
        <v/>
      </c>
      <c r="BN284" s="128">
        <f>IFERROR(SUM($CR284:$CT284),)</f>
        <v/>
      </c>
      <c r="BO284" s="128">
        <f>iferror(SUM($BP284,($BQ284*1.2),($BR284*1.35),($BS284*0.74)),)</f>
        <v/>
      </c>
      <c r="BP284" s="128">
        <f>IFERROR(SUM($CU284:$DL284),)</f>
        <v/>
      </c>
      <c r="BQ284" s="128">
        <f>IFERROR(SUM($DM284:$DO284),)</f>
        <v/>
      </c>
      <c r="BR284" s="128">
        <f>IFERROR(SUM($DP284:$DR284),)</f>
        <v/>
      </c>
      <c r="BS284" s="128">
        <f>IFERROR(SUM($DS284:$DU284),)</f>
        <v/>
      </c>
      <c r="BT284" s="128">
        <f>IFERROR(AI284*$W284,)</f>
        <v/>
      </c>
      <c r="BU284" s="128">
        <f>IFERROR(AJ284*$W284,)</f>
        <v/>
      </c>
      <c r="BV284" s="128">
        <f>IFERROR(AK284*$W284,)</f>
        <v/>
      </c>
      <c r="BW284" s="128">
        <f>IFERROR(AL284*$W284,)</f>
        <v/>
      </c>
      <c r="BX284" s="128">
        <f>IFERROR(AM284*$W284,)</f>
        <v/>
      </c>
      <c r="BY284" s="128">
        <f>IFERROR(AN284*$W284,)</f>
        <v/>
      </c>
      <c r="BZ284" s="128">
        <f>IFERROR(AO284*$W284,)</f>
        <v/>
      </c>
      <c r="CA284" s="128">
        <f>IFERROR(AP284*$W284,)</f>
        <v/>
      </c>
      <c r="CB284" s="128">
        <f>IFERROR(AQ284*$W284,)</f>
        <v/>
      </c>
      <c r="CC284" s="128">
        <f>IFERROR(AR284*$W284,)</f>
        <v/>
      </c>
      <c r="CD284" s="128">
        <f>IFERROR(AS284*$W284,)</f>
        <v/>
      </c>
      <c r="CE284" s="128">
        <f>IFERROR(AT284*$W284,)</f>
        <v/>
      </c>
      <c r="CF284" s="128">
        <f>IFERROR(AU284*$W284,)</f>
        <v/>
      </c>
      <c r="CG284" s="128">
        <f>IFERROR(AV284*$W284,)</f>
        <v/>
      </c>
      <c r="CH284" s="128">
        <f>IFERROR(AW284*$W284,)</f>
        <v/>
      </c>
      <c r="CI284" s="128">
        <f>IFERROR(AX284*$W284,)</f>
        <v/>
      </c>
      <c r="CJ284" s="128">
        <f>IFERROR(AY284*$W284,)</f>
        <v/>
      </c>
      <c r="CK284" s="128">
        <f>IFERROR(AZ284*$W284,)</f>
        <v/>
      </c>
      <c r="CL284" s="129">
        <f>IFERROR(if($Y284=0,BA284*($W284/1.2),BA284*$Y284),"")</f>
        <v/>
      </c>
      <c r="CM284" s="129">
        <f>IFERROR(if($Y284=0,BB284*($W284/1.2),BB284*$Y284),"")</f>
        <v/>
      </c>
      <c r="CN284" s="129">
        <f>IFERROR(if($Y284=0,BC284*($W284/1.2),BC284*$Y284),"")</f>
        <v/>
      </c>
      <c r="CO284" s="130">
        <f>IFERROR(if($AA284=0,($W284/1.35)*BD284,BD284*$AA284),)</f>
        <v/>
      </c>
      <c r="CP284" s="130">
        <f>IFERROR(if($AA284=0,($W284/1.35)*BE284,BE284*$AA284),)</f>
        <v/>
      </c>
      <c r="CQ284" s="130">
        <f>IFERROR(if($AA284=0,($W284/1.35)*BF284,BF284*$AA284),)</f>
        <v/>
      </c>
      <c r="CR284" s="128">
        <f>IFERROR(if($AC284=0,($W284/0.74)*BG284,
BG284*$AC284),)</f>
        <v/>
      </c>
      <c r="CS284" s="128">
        <f>IFERROR(if($AC284=0,($W284/0.74)*BH284,
BH284*$AC284),)</f>
        <v/>
      </c>
      <c r="CT284" s="128">
        <f>IFERROR(if($AC284=0,($W284/0.74)*BI284,
BI284*$AC284),)</f>
        <v/>
      </c>
      <c r="CU284" s="128">
        <f>IFERROR(AI284*$V284,)</f>
        <v/>
      </c>
      <c r="CV284" s="128">
        <f>IFERROR(AJ284*$V284,)</f>
        <v/>
      </c>
      <c r="CW284" s="128">
        <f>IFERROR(AK284*$V284,)</f>
        <v/>
      </c>
      <c r="CX284" s="128">
        <f>IFERROR(AL284*$V284,)</f>
        <v/>
      </c>
      <c r="CY284" s="128">
        <f>IFERROR(AM284*$V284,)</f>
        <v/>
      </c>
      <c r="CZ284" s="128">
        <f>IFERROR(AN284*$V284,)</f>
        <v/>
      </c>
      <c r="DA284" s="128">
        <f>IFERROR(AO284*$V284,)</f>
        <v/>
      </c>
      <c r="DB284" s="128">
        <f>IFERROR(AP284*$V284,)</f>
        <v/>
      </c>
      <c r="DC284" s="128">
        <f>IFERROR(AQ284*$V284,)</f>
        <v/>
      </c>
      <c r="DD284" s="128">
        <f>IFERROR(AR284*$V284,)</f>
        <v/>
      </c>
      <c r="DE284" s="128">
        <f>IFERROR(AS284*$V284,)</f>
        <v/>
      </c>
      <c r="DF284" s="128">
        <f>IFERROR(AT284*$V284,)</f>
        <v/>
      </c>
      <c r="DG284" s="128">
        <f>IFERROR(AU284*$V284,)</f>
        <v/>
      </c>
      <c r="DH284" s="128">
        <f>IFERROR(AV284*$V284,)</f>
        <v/>
      </c>
      <c r="DI284" s="128">
        <f>IFERROR(AW284*$V284,)</f>
        <v/>
      </c>
      <c r="DJ284" s="128">
        <f>IFERROR(AX284*$V284,)</f>
        <v/>
      </c>
      <c r="DK284" s="128">
        <f>IFERROR(AY284*$V284,)</f>
        <v/>
      </c>
      <c r="DL284" s="128">
        <f>IFERROR(AZ284*$V284,)</f>
        <v/>
      </c>
      <c r="DM284" s="129">
        <f>IFERROR(if($X284=0,($V284/1.2)*BA284,
BA284*$X284),)</f>
        <v/>
      </c>
      <c r="DN284" s="129">
        <f>IFERROR(if($X284=0,($V284/1.2)*BB284,
BB284*$X284),)</f>
        <v/>
      </c>
      <c r="DO284" s="129">
        <f>IFERROR(if($X284=0,($V284/1.2)*BC284,
BC284*$X284),)</f>
        <v/>
      </c>
      <c r="DP284" s="130">
        <f>IFERROR(if($Z284=0,($V284/1.35)*BD284,
BD284*$Z284),)</f>
        <v/>
      </c>
      <c r="DQ284" s="130">
        <f>IFERROR(if($Z284=0,($V284/1.35)*BE284,
BE284*$Z284),)</f>
        <v/>
      </c>
      <c r="DR284" s="130">
        <f>IFERROR(if($Z284=0,($V284/1.35)*BF284,
BF284*$Z284),)</f>
        <v/>
      </c>
      <c r="DS284" s="128">
        <f>IFERROR(IF($AB284=0,($V284/0.74)*BG284,
BG284*$AB284),)</f>
        <v/>
      </c>
      <c r="DT284" s="128">
        <f>IFERROR(IF($AB284=0,($V284/0.74)*BH284,
BH284*$AB284),)</f>
        <v/>
      </c>
      <c r="DU284" s="128">
        <f>IFERROR(IF($AB284=0,($V284/0.74)*BI284,
BI284*$AB284),)</f>
        <v/>
      </c>
    </row>
    <row r="285" ht="131.25" customHeight="1" s="162">
      <c r="A285" s="115" t="n"/>
      <c r="B285" s="115" t="n"/>
      <c r="C285" s="115" t="n"/>
      <c r="D285" s="115" t="n"/>
      <c r="E285" s="115" t="n"/>
      <c r="F285" s="115" t="n"/>
      <c r="G285" s="115" t="n"/>
      <c r="H285" s="115" t="n"/>
      <c r="I285" s="115" t="n"/>
      <c r="J285" s="115" t="n"/>
      <c r="K285" s="115" t="n"/>
      <c r="L285" s="115" t="n"/>
      <c r="M285" s="115" t="n"/>
      <c r="N285" s="115" t="n"/>
      <c r="O285" s="115" t="n"/>
      <c r="P285" s="115" t="n"/>
      <c r="Q285" s="115" t="n"/>
      <c r="R285" s="115" t="n"/>
      <c r="S285" s="115" t="n"/>
      <c r="T285" s="115" t="n"/>
      <c r="U285" s="116" t="n"/>
      <c r="V285" s="116" t="n"/>
      <c r="W285" s="117" t="n"/>
      <c r="X285" s="118" t="n"/>
      <c r="Y285" s="119" t="n"/>
      <c r="Z285" s="120" t="n"/>
      <c r="AA285" s="121" t="n"/>
      <c r="AB285" s="122" t="n"/>
      <c r="AC285" s="117" t="n"/>
      <c r="AD285" s="123">
        <f>IF(SUM($AE285:$AH285)=0,"",SUM($AE285:$AH285))</f>
        <v/>
      </c>
      <c r="AE285" s="123">
        <f>iferror(IF(SUM($AI285:$AZ285)=0,"",SUM($AI285:$AZ285)),"")</f>
        <v/>
      </c>
      <c r="AF285" s="123">
        <f>iferror(IF(SUM($BA285:$BC285)=0,"",SUM($BA285:$BC285)),"")</f>
        <v/>
      </c>
      <c r="AG285" s="123">
        <f>iferror(IF(SUM($BD285:$BF285)=0,"",SUM($BD285:$BF285)),"")</f>
        <v/>
      </c>
      <c r="AH285" s="124">
        <f>iferror(IF(SUM($BG285:$BI285)=0,"",SUM($BG285:$BI285)),"")</f>
        <v/>
      </c>
      <c r="AI285" s="131" t="n"/>
      <c r="AJ285" s="132" t="n"/>
      <c r="AK285" s="132" t="n"/>
      <c r="AL285" s="132" t="n"/>
      <c r="AM285" s="132" t="n"/>
      <c r="AN285" s="132" t="n"/>
      <c r="AO285" s="132" t="n"/>
      <c r="AP285" s="132" t="n"/>
      <c r="AQ285" s="132" t="n"/>
      <c r="AR285" s="132" t="n"/>
      <c r="AS285" s="132" t="n"/>
      <c r="AT285" s="132" t="n"/>
      <c r="AU285" s="132" t="n"/>
      <c r="AV285" s="132" t="n"/>
      <c r="AW285" s="132" t="n"/>
      <c r="AX285" s="132" t="n"/>
      <c r="AY285" s="132" t="n"/>
      <c r="AZ285" s="133" t="n"/>
      <c r="BA285" s="131" t="n"/>
      <c r="BB285" s="132" t="n"/>
      <c r="BC285" s="133" t="n"/>
      <c r="BD285" s="131" t="n"/>
      <c r="BE285" s="132" t="n"/>
      <c r="BF285" s="133" t="n"/>
      <c r="BG285" s="131" t="n"/>
      <c r="BH285" s="132" t="n"/>
      <c r="BI285" s="132" t="n"/>
      <c r="BJ285" s="128">
        <f>iferror(SUM($BK285,($BL285*1.2),($BM285*1.35),($BN285*0.74)),)</f>
        <v/>
      </c>
      <c r="BK285" s="128">
        <f>IFERROR(SUM($BT285:$CK285),)</f>
        <v/>
      </c>
      <c r="BL285" s="129">
        <f>IFERROR(SUM($CL285:$CN285),)</f>
        <v/>
      </c>
      <c r="BM285" s="130">
        <f>IFERROR(SUM($CO285:$CQ285),)</f>
        <v/>
      </c>
      <c r="BN285" s="128">
        <f>IFERROR(SUM($CR285:$CT285),)</f>
        <v/>
      </c>
      <c r="BO285" s="128">
        <f>iferror(SUM($BP285,($BQ285*1.2),($BR285*1.35),($BS285*0.74)),)</f>
        <v/>
      </c>
      <c r="BP285" s="128">
        <f>IFERROR(SUM($CU285:$DL285),)</f>
        <v/>
      </c>
      <c r="BQ285" s="128">
        <f>IFERROR(SUM($DM285:$DO285),)</f>
        <v/>
      </c>
      <c r="BR285" s="128">
        <f>IFERROR(SUM($DP285:$DR285),)</f>
        <v/>
      </c>
      <c r="BS285" s="128">
        <f>IFERROR(SUM($DS285:$DU285),)</f>
        <v/>
      </c>
      <c r="BT285" s="128">
        <f>IFERROR(AI285*$W285,)</f>
        <v/>
      </c>
      <c r="BU285" s="128">
        <f>IFERROR(AJ285*$W285,)</f>
        <v/>
      </c>
      <c r="BV285" s="128">
        <f>IFERROR(AK285*$W285,)</f>
        <v/>
      </c>
      <c r="BW285" s="128">
        <f>IFERROR(AL285*$W285,)</f>
        <v/>
      </c>
      <c r="BX285" s="128">
        <f>IFERROR(AM285*$W285,)</f>
        <v/>
      </c>
      <c r="BY285" s="128">
        <f>IFERROR(AN285*$W285,)</f>
        <v/>
      </c>
      <c r="BZ285" s="128">
        <f>IFERROR(AO285*$W285,)</f>
        <v/>
      </c>
      <c r="CA285" s="128">
        <f>IFERROR(AP285*$W285,)</f>
        <v/>
      </c>
      <c r="CB285" s="128">
        <f>IFERROR(AQ285*$W285,)</f>
        <v/>
      </c>
      <c r="CC285" s="128">
        <f>IFERROR(AR285*$W285,)</f>
        <v/>
      </c>
      <c r="CD285" s="128">
        <f>IFERROR(AS285*$W285,)</f>
        <v/>
      </c>
      <c r="CE285" s="128">
        <f>IFERROR(AT285*$W285,)</f>
        <v/>
      </c>
      <c r="CF285" s="128">
        <f>IFERROR(AU285*$W285,)</f>
        <v/>
      </c>
      <c r="CG285" s="128">
        <f>IFERROR(AV285*$W285,)</f>
        <v/>
      </c>
      <c r="CH285" s="128">
        <f>IFERROR(AW285*$W285,)</f>
        <v/>
      </c>
      <c r="CI285" s="128">
        <f>IFERROR(AX285*$W285,)</f>
        <v/>
      </c>
      <c r="CJ285" s="128">
        <f>IFERROR(AY285*$W285,)</f>
        <v/>
      </c>
      <c r="CK285" s="128">
        <f>IFERROR(AZ285*$W285,)</f>
        <v/>
      </c>
      <c r="CL285" s="129">
        <f>IFERROR(if($Y285=0,BA285*($W285/1.2),BA285*$Y285),"")</f>
        <v/>
      </c>
      <c r="CM285" s="129">
        <f>IFERROR(if($Y285=0,BB285*($W285/1.2),BB285*$Y285),"")</f>
        <v/>
      </c>
      <c r="CN285" s="129">
        <f>IFERROR(if($Y285=0,BC285*($W285/1.2),BC285*$Y285),"")</f>
        <v/>
      </c>
      <c r="CO285" s="130">
        <f>IFERROR(if($AA285=0,($W285/1.35)*BD285,BD285*$AA285),)</f>
        <v/>
      </c>
      <c r="CP285" s="130">
        <f>IFERROR(if($AA285=0,($W285/1.35)*BE285,BE285*$AA285),)</f>
        <v/>
      </c>
      <c r="CQ285" s="130">
        <f>IFERROR(if($AA285=0,($W285/1.35)*BF285,BF285*$AA285),)</f>
        <v/>
      </c>
      <c r="CR285" s="128">
        <f>IFERROR(if($AC285=0,($W285/0.74)*BG285,
BG285*$AC285),)</f>
        <v/>
      </c>
      <c r="CS285" s="128">
        <f>IFERROR(if($AC285=0,($W285/0.74)*BH285,
BH285*$AC285),)</f>
        <v/>
      </c>
      <c r="CT285" s="128">
        <f>IFERROR(if($AC285=0,($W285/0.74)*BI285,
BI285*$AC285),)</f>
        <v/>
      </c>
      <c r="CU285" s="128">
        <f>IFERROR(AI285*$V285,)</f>
        <v/>
      </c>
      <c r="CV285" s="128">
        <f>IFERROR(AJ285*$V285,)</f>
        <v/>
      </c>
      <c r="CW285" s="128">
        <f>IFERROR(AK285*$V285,)</f>
        <v/>
      </c>
      <c r="CX285" s="128">
        <f>IFERROR(AL285*$V285,)</f>
        <v/>
      </c>
      <c r="CY285" s="128">
        <f>IFERROR(AM285*$V285,)</f>
        <v/>
      </c>
      <c r="CZ285" s="128">
        <f>IFERROR(AN285*$V285,)</f>
        <v/>
      </c>
      <c r="DA285" s="128">
        <f>IFERROR(AO285*$V285,)</f>
        <v/>
      </c>
      <c r="DB285" s="128">
        <f>IFERROR(AP285*$V285,)</f>
        <v/>
      </c>
      <c r="DC285" s="128">
        <f>IFERROR(AQ285*$V285,)</f>
        <v/>
      </c>
      <c r="DD285" s="128">
        <f>IFERROR(AR285*$V285,)</f>
        <v/>
      </c>
      <c r="DE285" s="128">
        <f>IFERROR(AS285*$V285,)</f>
        <v/>
      </c>
      <c r="DF285" s="128">
        <f>IFERROR(AT285*$V285,)</f>
        <v/>
      </c>
      <c r="DG285" s="128">
        <f>IFERROR(AU285*$V285,)</f>
        <v/>
      </c>
      <c r="DH285" s="128">
        <f>IFERROR(AV285*$V285,)</f>
        <v/>
      </c>
      <c r="DI285" s="128">
        <f>IFERROR(AW285*$V285,)</f>
        <v/>
      </c>
      <c r="DJ285" s="128">
        <f>IFERROR(AX285*$V285,)</f>
        <v/>
      </c>
      <c r="DK285" s="128">
        <f>IFERROR(AY285*$V285,)</f>
        <v/>
      </c>
      <c r="DL285" s="128">
        <f>IFERROR(AZ285*$V285,)</f>
        <v/>
      </c>
      <c r="DM285" s="129">
        <f>IFERROR(if($X285=0,($V285/1.2)*BA285,
BA285*$X285),)</f>
        <v/>
      </c>
      <c r="DN285" s="129">
        <f>IFERROR(if($X285=0,($V285/1.2)*BB285,
BB285*$X285),)</f>
        <v/>
      </c>
      <c r="DO285" s="129">
        <f>IFERROR(if($X285=0,($V285/1.2)*BC285,
BC285*$X285),)</f>
        <v/>
      </c>
      <c r="DP285" s="130">
        <f>IFERROR(if($Z285=0,($V285/1.35)*BD285,
BD285*$Z285),)</f>
        <v/>
      </c>
      <c r="DQ285" s="130">
        <f>IFERROR(if($Z285=0,($V285/1.35)*BE285,
BE285*$Z285),)</f>
        <v/>
      </c>
      <c r="DR285" s="130">
        <f>IFERROR(if($Z285=0,($V285/1.35)*BF285,
BF285*$Z285),)</f>
        <v/>
      </c>
      <c r="DS285" s="128">
        <f>IFERROR(IF($AB285=0,($V285/0.74)*BG285,
BG285*$AB285),)</f>
        <v/>
      </c>
      <c r="DT285" s="128">
        <f>IFERROR(IF($AB285=0,($V285/0.74)*BH285,
BH285*$AB285),)</f>
        <v/>
      </c>
      <c r="DU285" s="128">
        <f>IFERROR(IF($AB285=0,($V285/0.74)*BI285,
BI285*$AB285),)</f>
        <v/>
      </c>
    </row>
    <row r="286" ht="131.25" customHeight="1" s="162">
      <c r="A286" s="115" t="n"/>
      <c r="B286" s="115" t="n"/>
      <c r="C286" s="115" t="n"/>
      <c r="D286" s="115" t="n"/>
      <c r="E286" s="115" t="n"/>
      <c r="F286" s="115" t="n"/>
      <c r="G286" s="115" t="n"/>
      <c r="H286" s="115" t="n"/>
      <c r="I286" s="115" t="n"/>
      <c r="J286" s="115" t="n"/>
      <c r="K286" s="115" t="n"/>
      <c r="L286" s="115" t="n"/>
      <c r="M286" s="115" t="n"/>
      <c r="N286" s="115" t="n"/>
      <c r="O286" s="115" t="n"/>
      <c r="P286" s="115" t="n"/>
      <c r="Q286" s="115" t="n"/>
      <c r="R286" s="115" t="n"/>
      <c r="S286" s="115" t="n"/>
      <c r="T286" s="115" t="n"/>
      <c r="U286" s="116" t="n"/>
      <c r="V286" s="116" t="n"/>
      <c r="W286" s="117" t="n"/>
      <c r="X286" s="118" t="n"/>
      <c r="Y286" s="119" t="n"/>
      <c r="Z286" s="120" t="n"/>
      <c r="AA286" s="121" t="n"/>
      <c r="AB286" s="122" t="n"/>
      <c r="AC286" s="117" t="n"/>
      <c r="AD286" s="123">
        <f>IF(SUM($AE286:$AH286)=0,"",SUM($AE286:$AH286))</f>
        <v/>
      </c>
      <c r="AE286" s="123">
        <f>iferror(IF(SUM($AI286:$AZ286)=0,"",SUM($AI286:$AZ286)),"")</f>
        <v/>
      </c>
      <c r="AF286" s="123">
        <f>iferror(IF(SUM($BA286:$BC286)=0,"",SUM($BA286:$BC286)),"")</f>
        <v/>
      </c>
      <c r="AG286" s="123">
        <f>iferror(IF(SUM($BD286:$BF286)=0,"",SUM($BD286:$BF286)),"")</f>
        <v/>
      </c>
      <c r="AH286" s="124">
        <f>iferror(IF(SUM($BG286:$BI286)=0,"",SUM($BG286:$BI286)),"")</f>
        <v/>
      </c>
      <c r="AI286" s="131" t="n"/>
      <c r="AJ286" s="132" t="n"/>
      <c r="AK286" s="132" t="n"/>
      <c r="AL286" s="132" t="n"/>
      <c r="AM286" s="132" t="n"/>
      <c r="AN286" s="132" t="n"/>
      <c r="AO286" s="132" t="n"/>
      <c r="AP286" s="132" t="n"/>
      <c r="AQ286" s="132" t="n"/>
      <c r="AR286" s="132" t="n"/>
      <c r="AS286" s="132" t="n"/>
      <c r="AT286" s="132" t="n"/>
      <c r="AU286" s="132" t="n"/>
      <c r="AV286" s="132" t="n"/>
      <c r="AW286" s="132" t="n"/>
      <c r="AX286" s="132" t="n"/>
      <c r="AY286" s="132" t="n"/>
      <c r="AZ286" s="133" t="n"/>
      <c r="BA286" s="131" t="n"/>
      <c r="BB286" s="132" t="n"/>
      <c r="BC286" s="133" t="n"/>
      <c r="BD286" s="131" t="n"/>
      <c r="BE286" s="132" t="n"/>
      <c r="BF286" s="133" t="n"/>
      <c r="BG286" s="131" t="n"/>
      <c r="BH286" s="132" t="n"/>
      <c r="BI286" s="132" t="n"/>
      <c r="BJ286" s="128">
        <f>iferror(SUM($BK286,($BL286*1.2),($BM286*1.35),($BN286*0.74)),)</f>
        <v/>
      </c>
      <c r="BK286" s="128">
        <f>IFERROR(SUM($BT286:$CK286),)</f>
        <v/>
      </c>
      <c r="BL286" s="129">
        <f>IFERROR(SUM($CL286:$CN286),)</f>
        <v/>
      </c>
      <c r="BM286" s="130">
        <f>IFERROR(SUM($CO286:$CQ286),)</f>
        <v/>
      </c>
      <c r="BN286" s="128">
        <f>IFERROR(SUM($CR286:$CT286),)</f>
        <v/>
      </c>
      <c r="BO286" s="128">
        <f>iferror(SUM($BP286,($BQ286*1.2),($BR286*1.35),($BS286*0.74)),)</f>
        <v/>
      </c>
      <c r="BP286" s="128">
        <f>IFERROR(SUM($CU286:$DL286),)</f>
        <v/>
      </c>
      <c r="BQ286" s="128">
        <f>IFERROR(SUM($DM286:$DO286),)</f>
        <v/>
      </c>
      <c r="BR286" s="128">
        <f>IFERROR(SUM($DP286:$DR286),)</f>
        <v/>
      </c>
      <c r="BS286" s="128">
        <f>IFERROR(SUM($DS286:$DU286),)</f>
        <v/>
      </c>
      <c r="BT286" s="128">
        <f>IFERROR(AI286*$W286,)</f>
        <v/>
      </c>
      <c r="BU286" s="128">
        <f>IFERROR(AJ286*$W286,)</f>
        <v/>
      </c>
      <c r="BV286" s="128">
        <f>IFERROR(AK286*$W286,)</f>
        <v/>
      </c>
      <c r="BW286" s="128">
        <f>IFERROR(AL286*$W286,)</f>
        <v/>
      </c>
      <c r="BX286" s="128">
        <f>IFERROR(AM286*$W286,)</f>
        <v/>
      </c>
      <c r="BY286" s="128">
        <f>IFERROR(AN286*$W286,)</f>
        <v/>
      </c>
      <c r="BZ286" s="128">
        <f>IFERROR(AO286*$W286,)</f>
        <v/>
      </c>
      <c r="CA286" s="128">
        <f>IFERROR(AP286*$W286,)</f>
        <v/>
      </c>
      <c r="CB286" s="128">
        <f>IFERROR(AQ286*$W286,)</f>
        <v/>
      </c>
      <c r="CC286" s="128">
        <f>IFERROR(AR286*$W286,)</f>
        <v/>
      </c>
      <c r="CD286" s="128">
        <f>IFERROR(AS286*$W286,)</f>
        <v/>
      </c>
      <c r="CE286" s="128">
        <f>IFERROR(AT286*$W286,)</f>
        <v/>
      </c>
      <c r="CF286" s="128">
        <f>IFERROR(AU286*$W286,)</f>
        <v/>
      </c>
      <c r="CG286" s="128">
        <f>IFERROR(AV286*$W286,)</f>
        <v/>
      </c>
      <c r="CH286" s="128">
        <f>IFERROR(AW286*$W286,)</f>
        <v/>
      </c>
      <c r="CI286" s="128">
        <f>IFERROR(AX286*$W286,)</f>
        <v/>
      </c>
      <c r="CJ286" s="128">
        <f>IFERROR(AY286*$W286,)</f>
        <v/>
      </c>
      <c r="CK286" s="128">
        <f>IFERROR(AZ286*$W286,)</f>
        <v/>
      </c>
      <c r="CL286" s="129">
        <f>IFERROR(if($Y286=0,BA286*($W286/1.2),BA286*$Y286),"")</f>
        <v/>
      </c>
      <c r="CM286" s="129">
        <f>IFERROR(if($Y286=0,BB286*($W286/1.2),BB286*$Y286),"")</f>
        <v/>
      </c>
      <c r="CN286" s="129">
        <f>IFERROR(if($Y286=0,BC286*($W286/1.2),BC286*$Y286),"")</f>
        <v/>
      </c>
      <c r="CO286" s="130">
        <f>IFERROR(if($AA286=0,($W286/1.35)*BD286,BD286*$AA286),)</f>
        <v/>
      </c>
      <c r="CP286" s="130">
        <f>IFERROR(if($AA286=0,($W286/1.35)*BE286,BE286*$AA286),)</f>
        <v/>
      </c>
      <c r="CQ286" s="130">
        <f>IFERROR(if($AA286=0,($W286/1.35)*BF286,BF286*$AA286),)</f>
        <v/>
      </c>
      <c r="CR286" s="128">
        <f>IFERROR(if($AC286=0,($W286/0.74)*BG286,
BG286*$AC286),)</f>
        <v/>
      </c>
      <c r="CS286" s="128">
        <f>IFERROR(if($AC286=0,($W286/0.74)*BH286,
BH286*$AC286),)</f>
        <v/>
      </c>
      <c r="CT286" s="128">
        <f>IFERROR(if($AC286=0,($W286/0.74)*BI286,
BI286*$AC286),)</f>
        <v/>
      </c>
      <c r="CU286" s="128">
        <f>IFERROR(AI286*$V286,)</f>
        <v/>
      </c>
      <c r="CV286" s="128">
        <f>IFERROR(AJ286*$V286,)</f>
        <v/>
      </c>
      <c r="CW286" s="128">
        <f>IFERROR(AK286*$V286,)</f>
        <v/>
      </c>
      <c r="CX286" s="128">
        <f>IFERROR(AL286*$V286,)</f>
        <v/>
      </c>
      <c r="CY286" s="128">
        <f>IFERROR(AM286*$V286,)</f>
        <v/>
      </c>
      <c r="CZ286" s="128">
        <f>IFERROR(AN286*$V286,)</f>
        <v/>
      </c>
      <c r="DA286" s="128">
        <f>IFERROR(AO286*$V286,)</f>
        <v/>
      </c>
      <c r="DB286" s="128">
        <f>IFERROR(AP286*$V286,)</f>
        <v/>
      </c>
      <c r="DC286" s="128">
        <f>IFERROR(AQ286*$V286,)</f>
        <v/>
      </c>
      <c r="DD286" s="128">
        <f>IFERROR(AR286*$V286,)</f>
        <v/>
      </c>
      <c r="DE286" s="128">
        <f>IFERROR(AS286*$V286,)</f>
        <v/>
      </c>
      <c r="DF286" s="128">
        <f>IFERROR(AT286*$V286,)</f>
        <v/>
      </c>
      <c r="DG286" s="128">
        <f>IFERROR(AU286*$V286,)</f>
        <v/>
      </c>
      <c r="DH286" s="128">
        <f>IFERROR(AV286*$V286,)</f>
        <v/>
      </c>
      <c r="DI286" s="128">
        <f>IFERROR(AW286*$V286,)</f>
        <v/>
      </c>
      <c r="DJ286" s="128">
        <f>IFERROR(AX286*$V286,)</f>
        <v/>
      </c>
      <c r="DK286" s="128">
        <f>IFERROR(AY286*$V286,)</f>
        <v/>
      </c>
      <c r="DL286" s="128">
        <f>IFERROR(AZ286*$V286,)</f>
        <v/>
      </c>
      <c r="DM286" s="129">
        <f>IFERROR(if($X286=0,($V286/1.2)*BA286,
BA286*$X286),)</f>
        <v/>
      </c>
      <c r="DN286" s="129">
        <f>IFERROR(if($X286=0,($V286/1.2)*BB286,
BB286*$X286),)</f>
        <v/>
      </c>
      <c r="DO286" s="129">
        <f>IFERROR(if($X286=0,($V286/1.2)*BC286,
BC286*$X286),)</f>
        <v/>
      </c>
      <c r="DP286" s="130">
        <f>IFERROR(if($Z286=0,($V286/1.35)*BD286,
BD286*$Z286),)</f>
        <v/>
      </c>
      <c r="DQ286" s="130">
        <f>IFERROR(if($Z286=0,($V286/1.35)*BE286,
BE286*$Z286),)</f>
        <v/>
      </c>
      <c r="DR286" s="130">
        <f>IFERROR(if($Z286=0,($V286/1.35)*BF286,
BF286*$Z286),)</f>
        <v/>
      </c>
      <c r="DS286" s="128">
        <f>IFERROR(IF($AB286=0,($V286/0.74)*BG286,
BG286*$AB286),)</f>
        <v/>
      </c>
      <c r="DT286" s="128">
        <f>IFERROR(IF($AB286=0,($V286/0.74)*BH286,
BH286*$AB286),)</f>
        <v/>
      </c>
      <c r="DU286" s="128">
        <f>IFERROR(IF($AB286=0,($V286/0.74)*BI286,
BI286*$AB286),)</f>
        <v/>
      </c>
    </row>
    <row r="287" ht="131.25" customHeight="1" s="162">
      <c r="A287" s="115" t="n"/>
      <c r="B287" s="115" t="n"/>
      <c r="C287" s="115" t="n"/>
      <c r="D287" s="115" t="n"/>
      <c r="E287" s="115" t="n"/>
      <c r="F287" s="115" t="n"/>
      <c r="G287" s="115" t="n"/>
      <c r="H287" s="115" t="n"/>
      <c r="I287" s="115" t="n"/>
      <c r="J287" s="115" t="n"/>
      <c r="K287" s="115" t="n"/>
      <c r="L287" s="115" t="n"/>
      <c r="M287" s="115" t="n"/>
      <c r="N287" s="115" t="n"/>
      <c r="O287" s="115" t="n"/>
      <c r="P287" s="115" t="n"/>
      <c r="Q287" s="115" t="n"/>
      <c r="R287" s="115" t="n"/>
      <c r="S287" s="115" t="n"/>
      <c r="T287" s="115" t="n"/>
      <c r="U287" s="116" t="n"/>
      <c r="V287" s="116" t="n"/>
      <c r="W287" s="117" t="n"/>
      <c r="X287" s="118" t="n"/>
      <c r="Y287" s="119" t="n"/>
      <c r="Z287" s="120" t="n"/>
      <c r="AA287" s="121" t="n"/>
      <c r="AB287" s="122" t="n"/>
      <c r="AC287" s="117" t="n"/>
      <c r="AD287" s="123">
        <f>IF(SUM($AE287:$AH287)=0,"",SUM($AE287:$AH287))</f>
        <v/>
      </c>
      <c r="AE287" s="123">
        <f>iferror(IF(SUM($AI287:$AZ287)=0,"",SUM($AI287:$AZ287)),"")</f>
        <v/>
      </c>
      <c r="AF287" s="123">
        <f>iferror(IF(SUM($BA287:$BC287)=0,"",SUM($BA287:$BC287)),"")</f>
        <v/>
      </c>
      <c r="AG287" s="123">
        <f>iferror(IF(SUM($BD287:$BF287)=0,"",SUM($BD287:$BF287)),"")</f>
        <v/>
      </c>
      <c r="AH287" s="124">
        <f>iferror(IF(SUM($BG287:$BI287)=0,"",SUM($BG287:$BI287)),"")</f>
        <v/>
      </c>
      <c r="AI287" s="131" t="n"/>
      <c r="AJ287" s="132" t="n"/>
      <c r="AK287" s="132" t="n"/>
      <c r="AL287" s="132" t="n"/>
      <c r="AM287" s="132" t="n"/>
      <c r="AN287" s="132" t="n"/>
      <c r="AO287" s="132" t="n"/>
      <c r="AP287" s="132" t="n"/>
      <c r="AQ287" s="132" t="n"/>
      <c r="AR287" s="132" t="n"/>
      <c r="AS287" s="132" t="n"/>
      <c r="AT287" s="132" t="n"/>
      <c r="AU287" s="132" t="n"/>
      <c r="AV287" s="132" t="n"/>
      <c r="AW287" s="132" t="n"/>
      <c r="AX287" s="132" t="n"/>
      <c r="AY287" s="132" t="n"/>
      <c r="AZ287" s="133" t="n"/>
      <c r="BA287" s="131" t="n"/>
      <c r="BB287" s="132" t="n"/>
      <c r="BC287" s="133" t="n"/>
      <c r="BD287" s="131" t="n"/>
      <c r="BE287" s="132" t="n"/>
      <c r="BF287" s="133" t="n"/>
      <c r="BG287" s="131" t="n"/>
      <c r="BH287" s="132" t="n"/>
      <c r="BI287" s="132" t="n"/>
      <c r="BJ287" s="128">
        <f>iferror(SUM($BK287,($BL287*1.2),($BM287*1.35),($BN287*0.74)),)</f>
        <v/>
      </c>
      <c r="BK287" s="128">
        <f>IFERROR(SUM($BT287:$CK287),)</f>
        <v/>
      </c>
      <c r="BL287" s="129">
        <f>IFERROR(SUM($CL287:$CN287),)</f>
        <v/>
      </c>
      <c r="BM287" s="130">
        <f>IFERROR(SUM($CO287:$CQ287),)</f>
        <v/>
      </c>
      <c r="BN287" s="128">
        <f>IFERROR(SUM($CR287:$CT287),)</f>
        <v/>
      </c>
      <c r="BO287" s="128">
        <f>iferror(SUM($BP287,($BQ287*1.2),($BR287*1.35),($BS287*0.74)),)</f>
        <v/>
      </c>
      <c r="BP287" s="128">
        <f>IFERROR(SUM($CU287:$DL287),)</f>
        <v/>
      </c>
      <c r="BQ287" s="128">
        <f>IFERROR(SUM($DM287:$DO287),)</f>
        <v/>
      </c>
      <c r="BR287" s="128">
        <f>IFERROR(SUM($DP287:$DR287),)</f>
        <v/>
      </c>
      <c r="BS287" s="128">
        <f>IFERROR(SUM($DS287:$DU287),)</f>
        <v/>
      </c>
      <c r="BT287" s="128">
        <f>IFERROR(AI287*$W287,)</f>
        <v/>
      </c>
      <c r="BU287" s="128">
        <f>IFERROR(AJ287*$W287,)</f>
        <v/>
      </c>
      <c r="BV287" s="128">
        <f>IFERROR(AK287*$W287,)</f>
        <v/>
      </c>
      <c r="BW287" s="128">
        <f>IFERROR(AL287*$W287,)</f>
        <v/>
      </c>
      <c r="BX287" s="128">
        <f>IFERROR(AM287*$W287,)</f>
        <v/>
      </c>
      <c r="BY287" s="128">
        <f>IFERROR(AN287*$W287,)</f>
        <v/>
      </c>
      <c r="BZ287" s="128">
        <f>IFERROR(AO287*$W287,)</f>
        <v/>
      </c>
      <c r="CA287" s="128">
        <f>IFERROR(AP287*$W287,)</f>
        <v/>
      </c>
      <c r="CB287" s="128">
        <f>IFERROR(AQ287*$W287,)</f>
        <v/>
      </c>
      <c r="CC287" s="128">
        <f>IFERROR(AR287*$W287,)</f>
        <v/>
      </c>
      <c r="CD287" s="128">
        <f>IFERROR(AS287*$W287,)</f>
        <v/>
      </c>
      <c r="CE287" s="128">
        <f>IFERROR(AT287*$W287,)</f>
        <v/>
      </c>
      <c r="CF287" s="128">
        <f>IFERROR(AU287*$W287,)</f>
        <v/>
      </c>
      <c r="CG287" s="128">
        <f>IFERROR(AV287*$W287,)</f>
        <v/>
      </c>
      <c r="CH287" s="128">
        <f>IFERROR(AW287*$W287,)</f>
        <v/>
      </c>
      <c r="CI287" s="128">
        <f>IFERROR(AX287*$W287,)</f>
        <v/>
      </c>
      <c r="CJ287" s="128">
        <f>IFERROR(AY287*$W287,)</f>
        <v/>
      </c>
      <c r="CK287" s="128">
        <f>IFERROR(AZ287*$W287,)</f>
        <v/>
      </c>
      <c r="CL287" s="129">
        <f>IFERROR(if($Y287=0,BA287*($W287/1.2),BA287*$Y287),"")</f>
        <v/>
      </c>
      <c r="CM287" s="129">
        <f>IFERROR(if($Y287=0,BB287*($W287/1.2),BB287*$Y287),"")</f>
        <v/>
      </c>
      <c r="CN287" s="129">
        <f>IFERROR(if($Y287=0,BC287*($W287/1.2),BC287*$Y287),"")</f>
        <v/>
      </c>
      <c r="CO287" s="130">
        <f>IFERROR(if($AA287=0,($W287/1.35)*BD287,BD287*$AA287),)</f>
        <v/>
      </c>
      <c r="CP287" s="130">
        <f>IFERROR(if($AA287=0,($W287/1.35)*BE287,BE287*$AA287),)</f>
        <v/>
      </c>
      <c r="CQ287" s="130">
        <f>IFERROR(if($AA287=0,($W287/1.35)*BF287,BF287*$AA287),)</f>
        <v/>
      </c>
      <c r="CR287" s="128">
        <f>IFERROR(if($AC287=0,($W287/0.74)*BG287,
BG287*$AC287),)</f>
        <v/>
      </c>
      <c r="CS287" s="128">
        <f>IFERROR(if($AC287=0,($W287/0.74)*BH287,
BH287*$AC287),)</f>
        <v/>
      </c>
      <c r="CT287" s="128">
        <f>IFERROR(if($AC287=0,($W287/0.74)*BI287,
BI287*$AC287),)</f>
        <v/>
      </c>
      <c r="CU287" s="128">
        <f>IFERROR(AI287*$V287,)</f>
        <v/>
      </c>
      <c r="CV287" s="128">
        <f>IFERROR(AJ287*$V287,)</f>
        <v/>
      </c>
      <c r="CW287" s="128">
        <f>IFERROR(AK287*$V287,)</f>
        <v/>
      </c>
      <c r="CX287" s="128">
        <f>IFERROR(AL287*$V287,)</f>
        <v/>
      </c>
      <c r="CY287" s="128">
        <f>IFERROR(AM287*$V287,)</f>
        <v/>
      </c>
      <c r="CZ287" s="128">
        <f>IFERROR(AN287*$V287,)</f>
        <v/>
      </c>
      <c r="DA287" s="128">
        <f>IFERROR(AO287*$V287,)</f>
        <v/>
      </c>
      <c r="DB287" s="128">
        <f>IFERROR(AP287*$V287,)</f>
        <v/>
      </c>
      <c r="DC287" s="128">
        <f>IFERROR(AQ287*$V287,)</f>
        <v/>
      </c>
      <c r="DD287" s="128">
        <f>IFERROR(AR287*$V287,)</f>
        <v/>
      </c>
      <c r="DE287" s="128">
        <f>IFERROR(AS287*$V287,)</f>
        <v/>
      </c>
      <c r="DF287" s="128">
        <f>IFERROR(AT287*$V287,)</f>
        <v/>
      </c>
      <c r="DG287" s="128">
        <f>IFERROR(AU287*$V287,)</f>
        <v/>
      </c>
      <c r="DH287" s="128">
        <f>IFERROR(AV287*$V287,)</f>
        <v/>
      </c>
      <c r="DI287" s="128">
        <f>IFERROR(AW287*$V287,)</f>
        <v/>
      </c>
      <c r="DJ287" s="128">
        <f>IFERROR(AX287*$V287,)</f>
        <v/>
      </c>
      <c r="DK287" s="128">
        <f>IFERROR(AY287*$V287,)</f>
        <v/>
      </c>
      <c r="DL287" s="128">
        <f>IFERROR(AZ287*$V287,)</f>
        <v/>
      </c>
      <c r="DM287" s="129">
        <f>IFERROR(if($X287=0,($V287/1.2)*BA287,
BA287*$X287),)</f>
        <v/>
      </c>
      <c r="DN287" s="129">
        <f>IFERROR(if($X287=0,($V287/1.2)*BB287,
BB287*$X287),)</f>
        <v/>
      </c>
      <c r="DO287" s="129">
        <f>IFERROR(if($X287=0,($V287/1.2)*BC287,
BC287*$X287),)</f>
        <v/>
      </c>
      <c r="DP287" s="130">
        <f>IFERROR(if($Z287=0,($V287/1.35)*BD287,
BD287*$Z287),)</f>
        <v/>
      </c>
      <c r="DQ287" s="130">
        <f>IFERROR(if($Z287=0,($V287/1.35)*BE287,
BE287*$Z287),)</f>
        <v/>
      </c>
      <c r="DR287" s="130">
        <f>IFERROR(if($Z287=0,($V287/1.35)*BF287,
BF287*$Z287),)</f>
        <v/>
      </c>
      <c r="DS287" s="128">
        <f>IFERROR(IF($AB287=0,($V287/0.74)*BG287,
BG287*$AB287),)</f>
        <v/>
      </c>
      <c r="DT287" s="128">
        <f>IFERROR(IF($AB287=0,($V287/0.74)*BH287,
BH287*$AB287),)</f>
        <v/>
      </c>
      <c r="DU287" s="128">
        <f>IFERROR(IF($AB287=0,($V287/0.74)*BI287,
BI287*$AB287),)</f>
        <v/>
      </c>
    </row>
    <row r="288" ht="131.25" customHeight="1" s="162">
      <c r="A288" s="115" t="n"/>
      <c r="B288" s="115" t="n"/>
      <c r="C288" s="115" t="n"/>
      <c r="D288" s="115" t="n"/>
      <c r="E288" s="115" t="n"/>
      <c r="F288" s="115" t="n"/>
      <c r="G288" s="115" t="n"/>
      <c r="H288" s="115" t="n"/>
      <c r="I288" s="115" t="n"/>
      <c r="J288" s="115" t="n"/>
      <c r="K288" s="115" t="n"/>
      <c r="L288" s="115" t="n"/>
      <c r="M288" s="115" t="n"/>
      <c r="N288" s="115" t="n"/>
      <c r="O288" s="115" t="n"/>
      <c r="P288" s="115" t="n"/>
      <c r="Q288" s="115" t="n"/>
      <c r="R288" s="115" t="n"/>
      <c r="S288" s="115" t="n"/>
      <c r="T288" s="115" t="n"/>
      <c r="U288" s="116" t="n"/>
      <c r="V288" s="116" t="n"/>
      <c r="W288" s="117" t="n"/>
      <c r="X288" s="118" t="n"/>
      <c r="Y288" s="119" t="n"/>
      <c r="Z288" s="120" t="n"/>
      <c r="AA288" s="121" t="n"/>
      <c r="AB288" s="122" t="n"/>
      <c r="AC288" s="117" t="n"/>
      <c r="AD288" s="123">
        <f>IF(SUM($AE288:$AH288)=0,"",SUM($AE288:$AH288))</f>
        <v/>
      </c>
      <c r="AE288" s="123">
        <f>iferror(IF(SUM($AI288:$AZ288)=0,"",SUM($AI288:$AZ288)),"")</f>
        <v/>
      </c>
      <c r="AF288" s="123">
        <f>iferror(IF(SUM($BA288:$BC288)=0,"",SUM($BA288:$BC288)),"")</f>
        <v/>
      </c>
      <c r="AG288" s="123">
        <f>iferror(IF(SUM($BD288:$BF288)=0,"",SUM($BD288:$BF288)),"")</f>
        <v/>
      </c>
      <c r="AH288" s="124">
        <f>iferror(IF(SUM($BG288:$BI288)=0,"",SUM($BG288:$BI288)),"")</f>
        <v/>
      </c>
      <c r="AI288" s="131" t="n"/>
      <c r="AJ288" s="132" t="n"/>
      <c r="AK288" s="132" t="n"/>
      <c r="AL288" s="132" t="n"/>
      <c r="AM288" s="132" t="n"/>
      <c r="AN288" s="132" t="n"/>
      <c r="AO288" s="132" t="n"/>
      <c r="AP288" s="132" t="n"/>
      <c r="AQ288" s="132" t="n"/>
      <c r="AR288" s="132" t="n"/>
      <c r="AS288" s="132" t="n"/>
      <c r="AT288" s="132" t="n"/>
      <c r="AU288" s="132" t="n"/>
      <c r="AV288" s="132" t="n"/>
      <c r="AW288" s="132" t="n"/>
      <c r="AX288" s="132" t="n"/>
      <c r="AY288" s="132" t="n"/>
      <c r="AZ288" s="133" t="n"/>
      <c r="BA288" s="131" t="n"/>
      <c r="BB288" s="132" t="n"/>
      <c r="BC288" s="133" t="n"/>
      <c r="BD288" s="131" t="n"/>
      <c r="BE288" s="132" t="n"/>
      <c r="BF288" s="133" t="n"/>
      <c r="BG288" s="131" t="n"/>
      <c r="BH288" s="132" t="n"/>
      <c r="BI288" s="132" t="n"/>
      <c r="BJ288" s="128">
        <f>iferror(SUM($BK288,($BL288*1.2),($BM288*1.35),($BN288*0.74)),)</f>
        <v/>
      </c>
      <c r="BK288" s="128">
        <f>IFERROR(SUM($BT288:$CK288),)</f>
        <v/>
      </c>
      <c r="BL288" s="129">
        <f>IFERROR(SUM($CL288:$CN288),)</f>
        <v/>
      </c>
      <c r="BM288" s="130">
        <f>IFERROR(SUM($CO288:$CQ288),)</f>
        <v/>
      </c>
      <c r="BN288" s="128">
        <f>IFERROR(SUM($CR288:$CT288),)</f>
        <v/>
      </c>
      <c r="BO288" s="128">
        <f>iferror(SUM($BP288,($BQ288*1.2),($BR288*1.35),($BS288*0.74)),)</f>
        <v/>
      </c>
      <c r="BP288" s="128">
        <f>IFERROR(SUM($CU288:$DL288),)</f>
        <v/>
      </c>
      <c r="BQ288" s="128">
        <f>IFERROR(SUM($DM288:$DO288),)</f>
        <v/>
      </c>
      <c r="BR288" s="128">
        <f>IFERROR(SUM($DP288:$DR288),)</f>
        <v/>
      </c>
      <c r="BS288" s="128">
        <f>IFERROR(SUM($DS288:$DU288),)</f>
        <v/>
      </c>
      <c r="BT288" s="128">
        <f>IFERROR(AI288*$W288,)</f>
        <v/>
      </c>
      <c r="BU288" s="128">
        <f>IFERROR(AJ288*$W288,)</f>
        <v/>
      </c>
      <c r="BV288" s="128">
        <f>IFERROR(AK288*$W288,)</f>
        <v/>
      </c>
      <c r="BW288" s="128">
        <f>IFERROR(AL288*$W288,)</f>
        <v/>
      </c>
      <c r="BX288" s="128">
        <f>IFERROR(AM288*$W288,)</f>
        <v/>
      </c>
      <c r="BY288" s="128">
        <f>IFERROR(AN288*$W288,)</f>
        <v/>
      </c>
      <c r="BZ288" s="128">
        <f>IFERROR(AO288*$W288,)</f>
        <v/>
      </c>
      <c r="CA288" s="128">
        <f>IFERROR(AP288*$W288,)</f>
        <v/>
      </c>
      <c r="CB288" s="128">
        <f>IFERROR(AQ288*$W288,)</f>
        <v/>
      </c>
      <c r="CC288" s="128">
        <f>IFERROR(AR288*$W288,)</f>
        <v/>
      </c>
      <c r="CD288" s="128">
        <f>IFERROR(AS288*$W288,)</f>
        <v/>
      </c>
      <c r="CE288" s="128">
        <f>IFERROR(AT288*$W288,)</f>
        <v/>
      </c>
      <c r="CF288" s="128">
        <f>IFERROR(AU288*$W288,)</f>
        <v/>
      </c>
      <c r="CG288" s="128">
        <f>IFERROR(AV288*$W288,)</f>
        <v/>
      </c>
      <c r="CH288" s="128">
        <f>IFERROR(AW288*$W288,)</f>
        <v/>
      </c>
      <c r="CI288" s="128">
        <f>IFERROR(AX288*$W288,)</f>
        <v/>
      </c>
      <c r="CJ288" s="128">
        <f>IFERROR(AY288*$W288,)</f>
        <v/>
      </c>
      <c r="CK288" s="128">
        <f>IFERROR(AZ288*$W288,)</f>
        <v/>
      </c>
      <c r="CL288" s="129">
        <f>IFERROR(if($Y288=0,BA288*($W288/1.2),BA288*$Y288),"")</f>
        <v/>
      </c>
      <c r="CM288" s="129">
        <f>IFERROR(if($Y288=0,BB288*($W288/1.2),BB288*$Y288),"")</f>
        <v/>
      </c>
      <c r="CN288" s="129">
        <f>IFERROR(if($Y288=0,BC288*($W288/1.2),BC288*$Y288),"")</f>
        <v/>
      </c>
      <c r="CO288" s="130">
        <f>IFERROR(if($AA288=0,($W288/1.35)*BD288,BD288*$AA288),)</f>
        <v/>
      </c>
      <c r="CP288" s="130">
        <f>IFERROR(if($AA288=0,($W288/1.35)*BE288,BE288*$AA288),)</f>
        <v/>
      </c>
      <c r="CQ288" s="130">
        <f>IFERROR(if($AA288=0,($W288/1.35)*BF288,BF288*$AA288),)</f>
        <v/>
      </c>
      <c r="CR288" s="128">
        <f>IFERROR(if($AC288=0,($W288/0.74)*BG288,
BG288*$AC288),)</f>
        <v/>
      </c>
      <c r="CS288" s="128">
        <f>IFERROR(if($AC288=0,($W288/0.74)*BH288,
BH288*$AC288),)</f>
        <v/>
      </c>
      <c r="CT288" s="128">
        <f>IFERROR(if($AC288=0,($W288/0.74)*BI288,
BI288*$AC288),)</f>
        <v/>
      </c>
      <c r="CU288" s="128">
        <f>IFERROR(AI288*$V288,)</f>
        <v/>
      </c>
      <c r="CV288" s="128">
        <f>IFERROR(AJ288*$V288,)</f>
        <v/>
      </c>
      <c r="CW288" s="128">
        <f>IFERROR(AK288*$V288,)</f>
        <v/>
      </c>
      <c r="CX288" s="128">
        <f>IFERROR(AL288*$V288,)</f>
        <v/>
      </c>
      <c r="CY288" s="128">
        <f>IFERROR(AM288*$V288,)</f>
        <v/>
      </c>
      <c r="CZ288" s="128">
        <f>IFERROR(AN288*$V288,)</f>
        <v/>
      </c>
      <c r="DA288" s="128">
        <f>IFERROR(AO288*$V288,)</f>
        <v/>
      </c>
      <c r="DB288" s="128">
        <f>IFERROR(AP288*$V288,)</f>
        <v/>
      </c>
      <c r="DC288" s="128">
        <f>IFERROR(AQ288*$V288,)</f>
        <v/>
      </c>
      <c r="DD288" s="128">
        <f>IFERROR(AR288*$V288,)</f>
        <v/>
      </c>
      <c r="DE288" s="128">
        <f>IFERROR(AS288*$V288,)</f>
        <v/>
      </c>
      <c r="DF288" s="128">
        <f>IFERROR(AT288*$V288,)</f>
        <v/>
      </c>
      <c r="DG288" s="128">
        <f>IFERROR(AU288*$V288,)</f>
        <v/>
      </c>
      <c r="DH288" s="128">
        <f>IFERROR(AV288*$V288,)</f>
        <v/>
      </c>
      <c r="DI288" s="128">
        <f>IFERROR(AW288*$V288,)</f>
        <v/>
      </c>
      <c r="DJ288" s="128">
        <f>IFERROR(AX288*$V288,)</f>
        <v/>
      </c>
      <c r="DK288" s="128">
        <f>IFERROR(AY288*$V288,)</f>
        <v/>
      </c>
      <c r="DL288" s="128">
        <f>IFERROR(AZ288*$V288,)</f>
        <v/>
      </c>
      <c r="DM288" s="129">
        <f>IFERROR(if($X288=0,($V288/1.2)*BA288,
BA288*$X288),)</f>
        <v/>
      </c>
      <c r="DN288" s="129">
        <f>IFERROR(if($X288=0,($V288/1.2)*BB288,
BB288*$X288),)</f>
        <v/>
      </c>
      <c r="DO288" s="129">
        <f>IFERROR(if($X288=0,($V288/1.2)*BC288,
BC288*$X288),)</f>
        <v/>
      </c>
      <c r="DP288" s="130">
        <f>IFERROR(if($Z288=0,($V288/1.35)*BD288,
BD288*$Z288),)</f>
        <v/>
      </c>
      <c r="DQ288" s="130">
        <f>IFERROR(if($Z288=0,($V288/1.35)*BE288,
BE288*$Z288),)</f>
        <v/>
      </c>
      <c r="DR288" s="130">
        <f>IFERROR(if($Z288=0,($V288/1.35)*BF288,
BF288*$Z288),)</f>
        <v/>
      </c>
      <c r="DS288" s="128">
        <f>IFERROR(IF($AB288=0,($V288/0.74)*BG288,
BG288*$AB288),)</f>
        <v/>
      </c>
      <c r="DT288" s="128">
        <f>IFERROR(IF($AB288=0,($V288/0.74)*BH288,
BH288*$AB288),)</f>
        <v/>
      </c>
      <c r="DU288" s="128">
        <f>IFERROR(IF($AB288=0,($V288/0.74)*BI288,
BI288*$AB288),)</f>
        <v/>
      </c>
    </row>
    <row r="289" ht="131.25" customHeight="1" s="162">
      <c r="A289" s="115" t="n"/>
      <c r="B289" s="115" t="n"/>
      <c r="C289" s="115" t="n"/>
      <c r="D289" s="115" t="n"/>
      <c r="E289" s="115" t="n"/>
      <c r="F289" s="115" t="n"/>
      <c r="G289" s="115" t="n"/>
      <c r="H289" s="115" t="n"/>
      <c r="I289" s="115" t="n"/>
      <c r="J289" s="115" t="n"/>
      <c r="K289" s="115" t="n"/>
      <c r="L289" s="115" t="n"/>
      <c r="M289" s="115" t="n"/>
      <c r="N289" s="115" t="n"/>
      <c r="O289" s="115" t="n"/>
      <c r="P289" s="115" t="n"/>
      <c r="Q289" s="115" t="n"/>
      <c r="R289" s="115" t="n"/>
      <c r="S289" s="115" t="n"/>
      <c r="T289" s="115" t="n"/>
      <c r="U289" s="116" t="n"/>
      <c r="V289" s="116" t="n"/>
      <c r="W289" s="117" t="n"/>
      <c r="X289" s="118" t="n"/>
      <c r="Y289" s="119" t="n"/>
      <c r="Z289" s="120" t="n"/>
      <c r="AA289" s="121" t="n"/>
      <c r="AB289" s="122" t="n"/>
      <c r="AC289" s="117" t="n"/>
      <c r="AD289" s="123">
        <f>IF(SUM($AE289:$AH289)=0,"",SUM($AE289:$AH289))</f>
        <v/>
      </c>
      <c r="AE289" s="123">
        <f>iferror(IF(SUM($AI289:$AZ289)=0,"",SUM($AI289:$AZ289)),"")</f>
        <v/>
      </c>
      <c r="AF289" s="123">
        <f>iferror(IF(SUM($BA289:$BC289)=0,"",SUM($BA289:$BC289)),"")</f>
        <v/>
      </c>
      <c r="AG289" s="123">
        <f>iferror(IF(SUM($BD289:$BF289)=0,"",SUM($BD289:$BF289)),"")</f>
        <v/>
      </c>
      <c r="AH289" s="124">
        <f>iferror(IF(SUM($BG289:$BI289)=0,"",SUM($BG289:$BI289)),"")</f>
        <v/>
      </c>
      <c r="AI289" s="131" t="n"/>
      <c r="AJ289" s="132" t="n"/>
      <c r="AK289" s="132" t="n"/>
      <c r="AL289" s="132" t="n"/>
      <c r="AM289" s="132" t="n"/>
      <c r="AN289" s="132" t="n"/>
      <c r="AO289" s="132" t="n"/>
      <c r="AP289" s="132" t="n"/>
      <c r="AQ289" s="132" t="n"/>
      <c r="AR289" s="132" t="n"/>
      <c r="AS289" s="132" t="n"/>
      <c r="AT289" s="132" t="n"/>
      <c r="AU289" s="132" t="n"/>
      <c r="AV289" s="132" t="n"/>
      <c r="AW289" s="132" t="n"/>
      <c r="AX289" s="132" t="n"/>
      <c r="AY289" s="132" t="n"/>
      <c r="AZ289" s="133" t="n"/>
      <c r="BA289" s="131" t="n"/>
      <c r="BB289" s="132" t="n"/>
      <c r="BC289" s="133" t="n"/>
      <c r="BD289" s="131" t="n"/>
      <c r="BE289" s="132" t="n"/>
      <c r="BF289" s="133" t="n"/>
      <c r="BG289" s="131" t="n"/>
      <c r="BH289" s="132" t="n"/>
      <c r="BI289" s="132" t="n"/>
      <c r="BJ289" s="128">
        <f>iferror(SUM($BK289,($BL289*1.2),($BM289*1.35),($BN289*0.74)),)</f>
        <v/>
      </c>
      <c r="BK289" s="128">
        <f>IFERROR(SUM($BT289:$CK289),)</f>
        <v/>
      </c>
      <c r="BL289" s="129">
        <f>IFERROR(SUM($CL289:$CN289),)</f>
        <v/>
      </c>
      <c r="BM289" s="130">
        <f>IFERROR(SUM($CO289:$CQ289),)</f>
        <v/>
      </c>
      <c r="BN289" s="128">
        <f>IFERROR(SUM($CR289:$CT289),)</f>
        <v/>
      </c>
      <c r="BO289" s="128">
        <f>iferror(SUM($BP289,($BQ289*1.2),($BR289*1.35),($BS289*0.74)),)</f>
        <v/>
      </c>
      <c r="BP289" s="128">
        <f>IFERROR(SUM($CU289:$DL289),)</f>
        <v/>
      </c>
      <c r="BQ289" s="128">
        <f>IFERROR(SUM($DM289:$DO289),)</f>
        <v/>
      </c>
      <c r="BR289" s="128">
        <f>IFERROR(SUM($DP289:$DR289),)</f>
        <v/>
      </c>
      <c r="BS289" s="128">
        <f>IFERROR(SUM($DS289:$DU289),)</f>
        <v/>
      </c>
      <c r="BT289" s="128">
        <f>IFERROR(AI289*$W289,)</f>
        <v/>
      </c>
      <c r="BU289" s="128">
        <f>IFERROR(AJ289*$W289,)</f>
        <v/>
      </c>
      <c r="BV289" s="128">
        <f>IFERROR(AK289*$W289,)</f>
        <v/>
      </c>
      <c r="BW289" s="128">
        <f>IFERROR(AL289*$W289,)</f>
        <v/>
      </c>
      <c r="BX289" s="128">
        <f>IFERROR(AM289*$W289,)</f>
        <v/>
      </c>
      <c r="BY289" s="128">
        <f>IFERROR(AN289*$W289,)</f>
        <v/>
      </c>
      <c r="BZ289" s="128">
        <f>IFERROR(AO289*$W289,)</f>
        <v/>
      </c>
      <c r="CA289" s="128">
        <f>IFERROR(AP289*$W289,)</f>
        <v/>
      </c>
      <c r="CB289" s="128">
        <f>IFERROR(AQ289*$W289,)</f>
        <v/>
      </c>
      <c r="CC289" s="128">
        <f>IFERROR(AR289*$W289,)</f>
        <v/>
      </c>
      <c r="CD289" s="128">
        <f>IFERROR(AS289*$W289,)</f>
        <v/>
      </c>
      <c r="CE289" s="128">
        <f>IFERROR(AT289*$W289,)</f>
        <v/>
      </c>
      <c r="CF289" s="128">
        <f>IFERROR(AU289*$W289,)</f>
        <v/>
      </c>
      <c r="CG289" s="128">
        <f>IFERROR(AV289*$W289,)</f>
        <v/>
      </c>
      <c r="CH289" s="128">
        <f>IFERROR(AW289*$W289,)</f>
        <v/>
      </c>
      <c r="CI289" s="128">
        <f>IFERROR(AX289*$W289,)</f>
        <v/>
      </c>
      <c r="CJ289" s="128">
        <f>IFERROR(AY289*$W289,)</f>
        <v/>
      </c>
      <c r="CK289" s="128">
        <f>IFERROR(AZ289*$W289,)</f>
        <v/>
      </c>
      <c r="CL289" s="129">
        <f>IFERROR(if($Y289=0,BA289*($W289/1.2),BA289*$Y289),"")</f>
        <v/>
      </c>
      <c r="CM289" s="129">
        <f>IFERROR(if($Y289=0,BB289*($W289/1.2),BB289*$Y289),"")</f>
        <v/>
      </c>
      <c r="CN289" s="129">
        <f>IFERROR(if($Y289=0,BC289*($W289/1.2),BC289*$Y289),"")</f>
        <v/>
      </c>
      <c r="CO289" s="130">
        <f>IFERROR(if($AA289=0,($W289/1.35)*BD289,BD289*$AA289),)</f>
        <v/>
      </c>
      <c r="CP289" s="130">
        <f>IFERROR(if($AA289=0,($W289/1.35)*BE289,BE289*$AA289),)</f>
        <v/>
      </c>
      <c r="CQ289" s="130">
        <f>IFERROR(if($AA289=0,($W289/1.35)*BF289,BF289*$AA289),)</f>
        <v/>
      </c>
      <c r="CR289" s="128">
        <f>IFERROR(if($AC289=0,($W289/0.74)*BG289,
BG289*$AC289),)</f>
        <v/>
      </c>
      <c r="CS289" s="128">
        <f>IFERROR(if($AC289=0,($W289/0.74)*BH289,
BH289*$AC289),)</f>
        <v/>
      </c>
      <c r="CT289" s="128">
        <f>IFERROR(if($AC289=0,($W289/0.74)*BI289,
BI289*$AC289),)</f>
        <v/>
      </c>
      <c r="CU289" s="128">
        <f>IFERROR(AI289*$V289,)</f>
        <v/>
      </c>
      <c r="CV289" s="128">
        <f>IFERROR(AJ289*$V289,)</f>
        <v/>
      </c>
      <c r="CW289" s="128">
        <f>IFERROR(AK289*$V289,)</f>
        <v/>
      </c>
      <c r="CX289" s="128">
        <f>IFERROR(AL289*$V289,)</f>
        <v/>
      </c>
      <c r="CY289" s="128">
        <f>IFERROR(AM289*$V289,)</f>
        <v/>
      </c>
      <c r="CZ289" s="128">
        <f>IFERROR(AN289*$V289,)</f>
        <v/>
      </c>
      <c r="DA289" s="128">
        <f>IFERROR(AO289*$V289,)</f>
        <v/>
      </c>
      <c r="DB289" s="128">
        <f>IFERROR(AP289*$V289,)</f>
        <v/>
      </c>
      <c r="DC289" s="128">
        <f>IFERROR(AQ289*$V289,)</f>
        <v/>
      </c>
      <c r="DD289" s="128">
        <f>IFERROR(AR289*$V289,)</f>
        <v/>
      </c>
      <c r="DE289" s="128">
        <f>IFERROR(AS289*$V289,)</f>
        <v/>
      </c>
      <c r="DF289" s="128">
        <f>IFERROR(AT289*$V289,)</f>
        <v/>
      </c>
      <c r="DG289" s="128">
        <f>IFERROR(AU289*$V289,)</f>
        <v/>
      </c>
      <c r="DH289" s="128">
        <f>IFERROR(AV289*$V289,)</f>
        <v/>
      </c>
      <c r="DI289" s="128">
        <f>IFERROR(AW289*$V289,)</f>
        <v/>
      </c>
      <c r="DJ289" s="128">
        <f>IFERROR(AX289*$V289,)</f>
        <v/>
      </c>
      <c r="DK289" s="128">
        <f>IFERROR(AY289*$V289,)</f>
        <v/>
      </c>
      <c r="DL289" s="128">
        <f>IFERROR(AZ289*$V289,)</f>
        <v/>
      </c>
      <c r="DM289" s="129">
        <f>IFERROR(if($X289=0,($V289/1.2)*BA289,
BA289*$X289),)</f>
        <v/>
      </c>
      <c r="DN289" s="129">
        <f>IFERROR(if($X289=0,($V289/1.2)*BB289,
BB289*$X289),)</f>
        <v/>
      </c>
      <c r="DO289" s="129">
        <f>IFERROR(if($X289=0,($V289/1.2)*BC289,
BC289*$X289),)</f>
        <v/>
      </c>
      <c r="DP289" s="130">
        <f>IFERROR(if($Z289=0,($V289/1.35)*BD289,
BD289*$Z289),)</f>
        <v/>
      </c>
      <c r="DQ289" s="130">
        <f>IFERROR(if($Z289=0,($V289/1.35)*BE289,
BE289*$Z289),)</f>
        <v/>
      </c>
      <c r="DR289" s="130">
        <f>IFERROR(if($Z289=0,($V289/1.35)*BF289,
BF289*$Z289),)</f>
        <v/>
      </c>
      <c r="DS289" s="128">
        <f>IFERROR(IF($AB289=0,($V289/0.74)*BG289,
BG289*$AB289),)</f>
        <v/>
      </c>
      <c r="DT289" s="128">
        <f>IFERROR(IF($AB289=0,($V289/0.74)*BH289,
BH289*$AB289),)</f>
        <v/>
      </c>
      <c r="DU289" s="128">
        <f>IFERROR(IF($AB289=0,($V289/0.74)*BI289,
BI289*$AB289),)</f>
        <v/>
      </c>
    </row>
    <row r="290" ht="131.25" customHeight="1" s="162">
      <c r="A290" s="115" t="n"/>
      <c r="B290" s="115" t="n"/>
      <c r="C290" s="115" t="n"/>
      <c r="D290" s="115" t="n"/>
      <c r="E290" s="115" t="n"/>
      <c r="F290" s="115" t="n"/>
      <c r="G290" s="115" t="n"/>
      <c r="H290" s="115" t="n"/>
      <c r="I290" s="115" t="n"/>
      <c r="J290" s="115" t="n"/>
      <c r="K290" s="115" t="n"/>
      <c r="L290" s="115" t="n"/>
      <c r="M290" s="115" t="n"/>
      <c r="N290" s="115" t="n"/>
      <c r="O290" s="115" t="n"/>
      <c r="P290" s="115" t="n"/>
      <c r="Q290" s="115" t="n"/>
      <c r="R290" s="115" t="n"/>
      <c r="S290" s="115" t="n"/>
      <c r="T290" s="115" t="n"/>
      <c r="U290" s="116" t="n"/>
      <c r="V290" s="116" t="n"/>
      <c r="W290" s="117" t="n"/>
      <c r="X290" s="118" t="n"/>
      <c r="Y290" s="119" t="n"/>
      <c r="Z290" s="120" t="n"/>
      <c r="AA290" s="121" t="n"/>
      <c r="AB290" s="122" t="n"/>
      <c r="AC290" s="117" t="n"/>
      <c r="AD290" s="123">
        <f>IF(SUM($AE290:$AH290)=0,"",SUM($AE290:$AH290))</f>
        <v/>
      </c>
      <c r="AE290" s="123">
        <f>iferror(IF(SUM($AI290:$AZ290)=0,"",SUM($AI290:$AZ290)),"")</f>
        <v/>
      </c>
      <c r="AF290" s="123">
        <f>iferror(IF(SUM($BA290:$BC290)=0,"",SUM($BA290:$BC290)),"")</f>
        <v/>
      </c>
      <c r="AG290" s="123">
        <f>iferror(IF(SUM($BD290:$BF290)=0,"",SUM($BD290:$BF290)),"")</f>
        <v/>
      </c>
      <c r="AH290" s="124">
        <f>iferror(IF(SUM($BG290:$BI290)=0,"",SUM($BG290:$BI290)),"")</f>
        <v/>
      </c>
      <c r="AI290" s="131" t="n"/>
      <c r="AJ290" s="132" t="n"/>
      <c r="AK290" s="132" t="n"/>
      <c r="AL290" s="132" t="n"/>
      <c r="AM290" s="132" t="n"/>
      <c r="AN290" s="132" t="n"/>
      <c r="AO290" s="132" t="n"/>
      <c r="AP290" s="132" t="n"/>
      <c r="AQ290" s="132" t="n"/>
      <c r="AR290" s="132" t="n"/>
      <c r="AS290" s="132" t="n"/>
      <c r="AT290" s="132" t="n"/>
      <c r="AU290" s="132" t="n"/>
      <c r="AV290" s="132" t="n"/>
      <c r="AW290" s="132" t="n"/>
      <c r="AX290" s="132" t="n"/>
      <c r="AY290" s="132" t="n"/>
      <c r="AZ290" s="133" t="n"/>
      <c r="BA290" s="131" t="n"/>
      <c r="BB290" s="132" t="n"/>
      <c r="BC290" s="133" t="n"/>
      <c r="BD290" s="131" t="n"/>
      <c r="BE290" s="132" t="n"/>
      <c r="BF290" s="133" t="n"/>
      <c r="BG290" s="131" t="n"/>
      <c r="BH290" s="132" t="n"/>
      <c r="BI290" s="132" t="n"/>
      <c r="BJ290" s="128">
        <f>iferror(SUM($BK290,($BL290*1.2),($BM290*1.35),($BN290*0.74)),)</f>
        <v/>
      </c>
      <c r="BK290" s="128">
        <f>IFERROR(SUM($BT290:$CK290),)</f>
        <v/>
      </c>
      <c r="BL290" s="129">
        <f>IFERROR(SUM($CL290:$CN290),)</f>
        <v/>
      </c>
      <c r="BM290" s="130">
        <f>IFERROR(SUM($CO290:$CQ290),)</f>
        <v/>
      </c>
      <c r="BN290" s="128">
        <f>IFERROR(SUM($CR290:$CT290),)</f>
        <v/>
      </c>
      <c r="BO290" s="128">
        <f>iferror(SUM($BP290,($BQ290*1.2),($BR290*1.35),($BS290*0.74)),)</f>
        <v/>
      </c>
      <c r="BP290" s="128">
        <f>IFERROR(SUM($CU290:$DL290),)</f>
        <v/>
      </c>
      <c r="BQ290" s="128">
        <f>IFERROR(SUM($DM290:$DO290),)</f>
        <v/>
      </c>
      <c r="BR290" s="128">
        <f>IFERROR(SUM($DP290:$DR290),)</f>
        <v/>
      </c>
      <c r="BS290" s="128">
        <f>IFERROR(SUM($DS290:$DU290),)</f>
        <v/>
      </c>
      <c r="BT290" s="128">
        <f>IFERROR(AI290*$W290,)</f>
        <v/>
      </c>
      <c r="BU290" s="128">
        <f>IFERROR(AJ290*$W290,)</f>
        <v/>
      </c>
      <c r="BV290" s="128">
        <f>IFERROR(AK290*$W290,)</f>
        <v/>
      </c>
      <c r="BW290" s="128">
        <f>IFERROR(AL290*$W290,)</f>
        <v/>
      </c>
      <c r="BX290" s="128">
        <f>IFERROR(AM290*$W290,)</f>
        <v/>
      </c>
      <c r="BY290" s="128">
        <f>IFERROR(AN290*$W290,)</f>
        <v/>
      </c>
      <c r="BZ290" s="128">
        <f>IFERROR(AO290*$W290,)</f>
        <v/>
      </c>
      <c r="CA290" s="128">
        <f>IFERROR(AP290*$W290,)</f>
        <v/>
      </c>
      <c r="CB290" s="128">
        <f>IFERROR(AQ290*$W290,)</f>
        <v/>
      </c>
      <c r="CC290" s="128">
        <f>IFERROR(AR290*$W290,)</f>
        <v/>
      </c>
      <c r="CD290" s="128">
        <f>IFERROR(AS290*$W290,)</f>
        <v/>
      </c>
      <c r="CE290" s="128">
        <f>IFERROR(AT290*$W290,)</f>
        <v/>
      </c>
      <c r="CF290" s="128">
        <f>IFERROR(AU290*$W290,)</f>
        <v/>
      </c>
      <c r="CG290" s="128">
        <f>IFERROR(AV290*$W290,)</f>
        <v/>
      </c>
      <c r="CH290" s="128">
        <f>IFERROR(AW290*$W290,)</f>
        <v/>
      </c>
      <c r="CI290" s="128">
        <f>IFERROR(AX290*$W290,)</f>
        <v/>
      </c>
      <c r="CJ290" s="128">
        <f>IFERROR(AY290*$W290,)</f>
        <v/>
      </c>
      <c r="CK290" s="128">
        <f>IFERROR(AZ290*$W290,)</f>
        <v/>
      </c>
      <c r="CL290" s="129">
        <f>IFERROR(if($Y290=0,BA290*($W290/1.2),BA290*$Y290),"")</f>
        <v/>
      </c>
      <c r="CM290" s="129">
        <f>IFERROR(if($Y290=0,BB290*($W290/1.2),BB290*$Y290),"")</f>
        <v/>
      </c>
      <c r="CN290" s="129">
        <f>IFERROR(if($Y290=0,BC290*($W290/1.2),BC290*$Y290),"")</f>
        <v/>
      </c>
      <c r="CO290" s="130">
        <f>IFERROR(if($AA290=0,($W290/1.35)*BD290,BD290*$AA290),)</f>
        <v/>
      </c>
      <c r="CP290" s="130">
        <f>IFERROR(if($AA290=0,($W290/1.35)*BE290,BE290*$AA290),)</f>
        <v/>
      </c>
      <c r="CQ290" s="130">
        <f>IFERROR(if($AA290=0,($W290/1.35)*BF290,BF290*$AA290),)</f>
        <v/>
      </c>
      <c r="CR290" s="128">
        <f>IFERROR(if($AC290=0,($W290/0.74)*BG290,
BG290*$AC290),)</f>
        <v/>
      </c>
      <c r="CS290" s="128">
        <f>IFERROR(if($AC290=0,($W290/0.74)*BH290,
BH290*$AC290),)</f>
        <v/>
      </c>
      <c r="CT290" s="128">
        <f>IFERROR(if($AC290=0,($W290/0.74)*BI290,
BI290*$AC290),)</f>
        <v/>
      </c>
      <c r="CU290" s="128">
        <f>IFERROR(AI290*$V290,)</f>
        <v/>
      </c>
      <c r="CV290" s="128">
        <f>IFERROR(AJ290*$V290,)</f>
        <v/>
      </c>
      <c r="CW290" s="128">
        <f>IFERROR(AK290*$V290,)</f>
        <v/>
      </c>
      <c r="CX290" s="128">
        <f>IFERROR(AL290*$V290,)</f>
        <v/>
      </c>
      <c r="CY290" s="128">
        <f>IFERROR(AM290*$V290,)</f>
        <v/>
      </c>
      <c r="CZ290" s="128">
        <f>IFERROR(AN290*$V290,)</f>
        <v/>
      </c>
      <c r="DA290" s="128">
        <f>IFERROR(AO290*$V290,)</f>
        <v/>
      </c>
      <c r="DB290" s="128">
        <f>IFERROR(AP290*$V290,)</f>
        <v/>
      </c>
      <c r="DC290" s="128">
        <f>IFERROR(AQ290*$V290,)</f>
        <v/>
      </c>
      <c r="DD290" s="128">
        <f>IFERROR(AR290*$V290,)</f>
        <v/>
      </c>
      <c r="DE290" s="128">
        <f>IFERROR(AS290*$V290,)</f>
        <v/>
      </c>
      <c r="DF290" s="128">
        <f>IFERROR(AT290*$V290,)</f>
        <v/>
      </c>
      <c r="DG290" s="128">
        <f>IFERROR(AU290*$V290,)</f>
        <v/>
      </c>
      <c r="DH290" s="128">
        <f>IFERROR(AV290*$V290,)</f>
        <v/>
      </c>
      <c r="DI290" s="128">
        <f>IFERROR(AW290*$V290,)</f>
        <v/>
      </c>
      <c r="DJ290" s="128">
        <f>IFERROR(AX290*$V290,)</f>
        <v/>
      </c>
      <c r="DK290" s="128">
        <f>IFERROR(AY290*$V290,)</f>
        <v/>
      </c>
      <c r="DL290" s="128">
        <f>IFERROR(AZ290*$V290,)</f>
        <v/>
      </c>
      <c r="DM290" s="129">
        <f>IFERROR(if($X290=0,($V290/1.2)*BA290,
BA290*$X290),)</f>
        <v/>
      </c>
      <c r="DN290" s="129">
        <f>IFERROR(if($X290=0,($V290/1.2)*BB290,
BB290*$X290),)</f>
        <v/>
      </c>
      <c r="DO290" s="129">
        <f>IFERROR(if($X290=0,($V290/1.2)*BC290,
BC290*$X290),)</f>
        <v/>
      </c>
      <c r="DP290" s="130">
        <f>IFERROR(if($Z290=0,($V290/1.35)*BD290,
BD290*$Z290),)</f>
        <v/>
      </c>
      <c r="DQ290" s="130">
        <f>IFERROR(if($Z290=0,($V290/1.35)*BE290,
BE290*$Z290),)</f>
        <v/>
      </c>
      <c r="DR290" s="130">
        <f>IFERROR(if($Z290=0,($V290/1.35)*BF290,
BF290*$Z290),)</f>
        <v/>
      </c>
      <c r="DS290" s="128">
        <f>IFERROR(IF($AB290=0,($V290/0.74)*BG290,
BG290*$AB290),)</f>
        <v/>
      </c>
      <c r="DT290" s="128">
        <f>IFERROR(IF($AB290=0,($V290/0.74)*BH290,
BH290*$AB290),)</f>
        <v/>
      </c>
      <c r="DU290" s="128">
        <f>IFERROR(IF($AB290=0,($V290/0.74)*BI290,
BI290*$AB290),)</f>
        <v/>
      </c>
    </row>
    <row r="291" ht="131.25" customHeight="1" s="162">
      <c r="A291" s="115" t="n"/>
      <c r="B291" s="115" t="n"/>
      <c r="C291" s="115" t="n"/>
      <c r="D291" s="115" t="n"/>
      <c r="E291" s="115" t="n"/>
      <c r="F291" s="115" t="n"/>
      <c r="G291" s="115" t="n"/>
      <c r="H291" s="115" t="n"/>
      <c r="I291" s="115" t="n"/>
      <c r="J291" s="115" t="n"/>
      <c r="K291" s="115" t="n"/>
      <c r="L291" s="115" t="n"/>
      <c r="M291" s="115" t="n"/>
      <c r="N291" s="115" t="n"/>
      <c r="O291" s="115" t="n"/>
      <c r="P291" s="115" t="n"/>
      <c r="Q291" s="115" t="n"/>
      <c r="R291" s="115" t="n"/>
      <c r="S291" s="115" t="n"/>
      <c r="T291" s="115" t="n"/>
      <c r="U291" s="116" t="n"/>
      <c r="V291" s="116" t="n"/>
      <c r="W291" s="117" t="n"/>
      <c r="X291" s="118" t="n"/>
      <c r="Y291" s="119" t="n"/>
      <c r="Z291" s="120" t="n"/>
      <c r="AA291" s="121" t="n"/>
      <c r="AB291" s="122" t="n"/>
      <c r="AC291" s="117" t="n"/>
      <c r="AD291" s="123">
        <f>IF(SUM($AE291:$AH291)=0,"",SUM($AE291:$AH291))</f>
        <v/>
      </c>
      <c r="AE291" s="123">
        <f>iferror(IF(SUM($AI291:$AZ291)=0,"",SUM($AI291:$AZ291)),"")</f>
        <v/>
      </c>
      <c r="AF291" s="123">
        <f>iferror(IF(SUM($BA291:$BC291)=0,"",SUM($BA291:$BC291)),"")</f>
        <v/>
      </c>
      <c r="AG291" s="123">
        <f>iferror(IF(SUM($BD291:$BF291)=0,"",SUM($BD291:$BF291)),"")</f>
        <v/>
      </c>
      <c r="AH291" s="124">
        <f>iferror(IF(SUM($BG291:$BI291)=0,"",SUM($BG291:$BI291)),"")</f>
        <v/>
      </c>
      <c r="AI291" s="131" t="n"/>
      <c r="AJ291" s="132" t="n"/>
      <c r="AK291" s="132" t="n"/>
      <c r="AL291" s="132" t="n"/>
      <c r="AM291" s="132" t="n"/>
      <c r="AN291" s="132" t="n"/>
      <c r="AO291" s="132" t="n"/>
      <c r="AP291" s="132" t="n"/>
      <c r="AQ291" s="132" t="n"/>
      <c r="AR291" s="132" t="n"/>
      <c r="AS291" s="132" t="n"/>
      <c r="AT291" s="132" t="n"/>
      <c r="AU291" s="132" t="n"/>
      <c r="AV291" s="132" t="n"/>
      <c r="AW291" s="132" t="n"/>
      <c r="AX291" s="132" t="n"/>
      <c r="AY291" s="132" t="n"/>
      <c r="AZ291" s="133" t="n"/>
      <c r="BA291" s="131" t="n"/>
      <c r="BB291" s="132" t="n"/>
      <c r="BC291" s="133" t="n"/>
      <c r="BD291" s="131" t="n"/>
      <c r="BE291" s="132" t="n"/>
      <c r="BF291" s="133" t="n"/>
      <c r="BG291" s="131" t="n"/>
      <c r="BH291" s="132" t="n"/>
      <c r="BI291" s="132" t="n"/>
      <c r="BJ291" s="128">
        <f>iferror(SUM($BK291,($BL291*1.2),($BM291*1.35),($BN291*0.74)),)</f>
        <v/>
      </c>
      <c r="BK291" s="128">
        <f>IFERROR(SUM($BT291:$CK291),)</f>
        <v/>
      </c>
      <c r="BL291" s="129">
        <f>IFERROR(SUM($CL291:$CN291),)</f>
        <v/>
      </c>
      <c r="BM291" s="130">
        <f>IFERROR(SUM($CO291:$CQ291),)</f>
        <v/>
      </c>
      <c r="BN291" s="128">
        <f>IFERROR(SUM($CR291:$CT291),)</f>
        <v/>
      </c>
      <c r="BO291" s="128">
        <f>iferror(SUM($BP291,($BQ291*1.2),($BR291*1.35),($BS291*0.74)),)</f>
        <v/>
      </c>
      <c r="BP291" s="128">
        <f>IFERROR(SUM($CU291:$DL291),)</f>
        <v/>
      </c>
      <c r="BQ291" s="128">
        <f>IFERROR(SUM($DM291:$DO291),)</f>
        <v/>
      </c>
      <c r="BR291" s="128">
        <f>IFERROR(SUM($DP291:$DR291),)</f>
        <v/>
      </c>
      <c r="BS291" s="128">
        <f>IFERROR(SUM($DS291:$DU291),)</f>
        <v/>
      </c>
      <c r="BT291" s="128">
        <f>IFERROR(AI291*$W291,)</f>
        <v/>
      </c>
      <c r="BU291" s="128">
        <f>IFERROR(AJ291*$W291,)</f>
        <v/>
      </c>
      <c r="BV291" s="128">
        <f>IFERROR(AK291*$W291,)</f>
        <v/>
      </c>
      <c r="BW291" s="128">
        <f>IFERROR(AL291*$W291,)</f>
        <v/>
      </c>
      <c r="BX291" s="128">
        <f>IFERROR(AM291*$W291,)</f>
        <v/>
      </c>
      <c r="BY291" s="128">
        <f>IFERROR(AN291*$W291,)</f>
        <v/>
      </c>
      <c r="BZ291" s="128">
        <f>IFERROR(AO291*$W291,)</f>
        <v/>
      </c>
      <c r="CA291" s="128">
        <f>IFERROR(AP291*$W291,)</f>
        <v/>
      </c>
      <c r="CB291" s="128">
        <f>IFERROR(AQ291*$W291,)</f>
        <v/>
      </c>
      <c r="CC291" s="128">
        <f>IFERROR(AR291*$W291,)</f>
        <v/>
      </c>
      <c r="CD291" s="128">
        <f>IFERROR(AS291*$W291,)</f>
        <v/>
      </c>
      <c r="CE291" s="128">
        <f>IFERROR(AT291*$W291,)</f>
        <v/>
      </c>
      <c r="CF291" s="128">
        <f>IFERROR(AU291*$W291,)</f>
        <v/>
      </c>
      <c r="CG291" s="128">
        <f>IFERROR(AV291*$W291,)</f>
        <v/>
      </c>
      <c r="CH291" s="128">
        <f>IFERROR(AW291*$W291,)</f>
        <v/>
      </c>
      <c r="CI291" s="128">
        <f>IFERROR(AX291*$W291,)</f>
        <v/>
      </c>
      <c r="CJ291" s="128">
        <f>IFERROR(AY291*$W291,)</f>
        <v/>
      </c>
      <c r="CK291" s="128">
        <f>IFERROR(AZ291*$W291,)</f>
        <v/>
      </c>
      <c r="CL291" s="129">
        <f>IFERROR(if($Y291=0,BA291*($W291/1.2),BA291*$Y291),"")</f>
        <v/>
      </c>
      <c r="CM291" s="129">
        <f>IFERROR(if($Y291=0,BB291*($W291/1.2),BB291*$Y291),"")</f>
        <v/>
      </c>
      <c r="CN291" s="129">
        <f>IFERROR(if($Y291=0,BC291*($W291/1.2),BC291*$Y291),"")</f>
        <v/>
      </c>
      <c r="CO291" s="130">
        <f>IFERROR(if($AA291=0,($W291/1.35)*BD291,BD291*$AA291),)</f>
        <v/>
      </c>
      <c r="CP291" s="130">
        <f>IFERROR(if($AA291=0,($W291/1.35)*BE291,BE291*$AA291),)</f>
        <v/>
      </c>
      <c r="CQ291" s="130">
        <f>IFERROR(if($AA291=0,($W291/1.35)*BF291,BF291*$AA291),)</f>
        <v/>
      </c>
      <c r="CR291" s="128">
        <f>IFERROR(if($AC291=0,($W291/0.74)*BG291,
BG291*$AC291),)</f>
        <v/>
      </c>
      <c r="CS291" s="128">
        <f>IFERROR(if($AC291=0,($W291/0.74)*BH291,
BH291*$AC291),)</f>
        <v/>
      </c>
      <c r="CT291" s="128">
        <f>IFERROR(if($AC291=0,($W291/0.74)*BI291,
BI291*$AC291),)</f>
        <v/>
      </c>
      <c r="CU291" s="128">
        <f>IFERROR(AI291*$V291,)</f>
        <v/>
      </c>
      <c r="CV291" s="128">
        <f>IFERROR(AJ291*$V291,)</f>
        <v/>
      </c>
      <c r="CW291" s="128">
        <f>IFERROR(AK291*$V291,)</f>
        <v/>
      </c>
      <c r="CX291" s="128">
        <f>IFERROR(AL291*$V291,)</f>
        <v/>
      </c>
      <c r="CY291" s="128">
        <f>IFERROR(AM291*$V291,)</f>
        <v/>
      </c>
      <c r="CZ291" s="128">
        <f>IFERROR(AN291*$V291,)</f>
        <v/>
      </c>
      <c r="DA291" s="128">
        <f>IFERROR(AO291*$V291,)</f>
        <v/>
      </c>
      <c r="DB291" s="128">
        <f>IFERROR(AP291*$V291,)</f>
        <v/>
      </c>
      <c r="DC291" s="128">
        <f>IFERROR(AQ291*$V291,)</f>
        <v/>
      </c>
      <c r="DD291" s="128">
        <f>IFERROR(AR291*$V291,)</f>
        <v/>
      </c>
      <c r="DE291" s="128">
        <f>IFERROR(AS291*$V291,)</f>
        <v/>
      </c>
      <c r="DF291" s="128">
        <f>IFERROR(AT291*$V291,)</f>
        <v/>
      </c>
      <c r="DG291" s="128">
        <f>IFERROR(AU291*$V291,)</f>
        <v/>
      </c>
      <c r="DH291" s="128">
        <f>IFERROR(AV291*$V291,)</f>
        <v/>
      </c>
      <c r="DI291" s="128">
        <f>IFERROR(AW291*$V291,)</f>
        <v/>
      </c>
      <c r="DJ291" s="128">
        <f>IFERROR(AX291*$V291,)</f>
        <v/>
      </c>
      <c r="DK291" s="128">
        <f>IFERROR(AY291*$V291,)</f>
        <v/>
      </c>
      <c r="DL291" s="128">
        <f>IFERROR(AZ291*$V291,)</f>
        <v/>
      </c>
      <c r="DM291" s="129">
        <f>IFERROR(if($X291=0,($V291/1.2)*BA291,
BA291*$X291),)</f>
        <v/>
      </c>
      <c r="DN291" s="129">
        <f>IFERROR(if($X291=0,($V291/1.2)*BB291,
BB291*$X291),)</f>
        <v/>
      </c>
      <c r="DO291" s="129">
        <f>IFERROR(if($X291=0,($V291/1.2)*BC291,
BC291*$X291),)</f>
        <v/>
      </c>
      <c r="DP291" s="130">
        <f>IFERROR(if($Z291=0,($V291/1.35)*BD291,
BD291*$Z291),)</f>
        <v/>
      </c>
      <c r="DQ291" s="130">
        <f>IFERROR(if($Z291=0,($V291/1.35)*BE291,
BE291*$Z291),)</f>
        <v/>
      </c>
      <c r="DR291" s="130">
        <f>IFERROR(if($Z291=0,($V291/1.35)*BF291,
BF291*$Z291),)</f>
        <v/>
      </c>
      <c r="DS291" s="128">
        <f>IFERROR(IF($AB291=0,($V291/0.74)*BG291,
BG291*$AB291),)</f>
        <v/>
      </c>
      <c r="DT291" s="128">
        <f>IFERROR(IF($AB291=0,($V291/0.74)*BH291,
BH291*$AB291),)</f>
        <v/>
      </c>
      <c r="DU291" s="128">
        <f>IFERROR(IF($AB291=0,($V291/0.74)*BI291,
BI291*$AB291),)</f>
        <v/>
      </c>
    </row>
    <row r="292" ht="131.25" customHeight="1" s="162">
      <c r="A292" s="115" t="n"/>
      <c r="B292" s="115" t="n"/>
      <c r="C292" s="115" t="n"/>
      <c r="D292" s="115" t="n"/>
      <c r="E292" s="115" t="n"/>
      <c r="F292" s="115" t="n"/>
      <c r="G292" s="115" t="n"/>
      <c r="H292" s="115" t="n"/>
      <c r="I292" s="115" t="n"/>
      <c r="J292" s="115" t="n"/>
      <c r="K292" s="115" t="n"/>
      <c r="L292" s="115" t="n"/>
      <c r="M292" s="115" t="n"/>
      <c r="N292" s="115" t="n"/>
      <c r="O292" s="115" t="n"/>
      <c r="P292" s="115" t="n"/>
      <c r="Q292" s="115" t="n"/>
      <c r="R292" s="115" t="n"/>
      <c r="S292" s="115" t="n"/>
      <c r="T292" s="115" t="n"/>
      <c r="U292" s="116" t="n"/>
      <c r="V292" s="116" t="n"/>
      <c r="W292" s="117" t="n"/>
      <c r="X292" s="118" t="n"/>
      <c r="Y292" s="119" t="n"/>
      <c r="Z292" s="120" t="n"/>
      <c r="AA292" s="121" t="n"/>
      <c r="AB292" s="122" t="n"/>
      <c r="AC292" s="117" t="n"/>
      <c r="AD292" s="123">
        <f>IF(SUM($AE292:$AH292)=0,"",SUM($AE292:$AH292))</f>
        <v/>
      </c>
      <c r="AE292" s="123">
        <f>iferror(IF(SUM($AI292:$AZ292)=0,"",SUM($AI292:$AZ292)),"")</f>
        <v/>
      </c>
      <c r="AF292" s="123">
        <f>iferror(IF(SUM($BA292:$BC292)=0,"",SUM($BA292:$BC292)),"")</f>
        <v/>
      </c>
      <c r="AG292" s="123">
        <f>iferror(IF(SUM($BD292:$BF292)=0,"",SUM($BD292:$BF292)),"")</f>
        <v/>
      </c>
      <c r="AH292" s="124">
        <f>iferror(IF(SUM($BG292:$BI292)=0,"",SUM($BG292:$BI292)),"")</f>
        <v/>
      </c>
      <c r="AI292" s="131" t="n"/>
      <c r="AJ292" s="132" t="n"/>
      <c r="AK292" s="132" t="n"/>
      <c r="AL292" s="132" t="n"/>
      <c r="AM292" s="132" t="n"/>
      <c r="AN292" s="132" t="n"/>
      <c r="AO292" s="132" t="n"/>
      <c r="AP292" s="132" t="n"/>
      <c r="AQ292" s="132" t="n"/>
      <c r="AR292" s="132" t="n"/>
      <c r="AS292" s="132" t="n"/>
      <c r="AT292" s="132" t="n"/>
      <c r="AU292" s="132" t="n"/>
      <c r="AV292" s="132" t="n"/>
      <c r="AW292" s="132" t="n"/>
      <c r="AX292" s="132" t="n"/>
      <c r="AY292" s="132" t="n"/>
      <c r="AZ292" s="133" t="n"/>
      <c r="BA292" s="131" t="n"/>
      <c r="BB292" s="132" t="n"/>
      <c r="BC292" s="133" t="n"/>
      <c r="BD292" s="131" t="n"/>
      <c r="BE292" s="132" t="n"/>
      <c r="BF292" s="133" t="n"/>
      <c r="BG292" s="131" t="n"/>
      <c r="BH292" s="132" t="n"/>
      <c r="BI292" s="132" t="n"/>
      <c r="BJ292" s="128">
        <f>iferror(SUM($BK292,($BL292*1.2),($BM292*1.35),($BN292*0.74)),)</f>
        <v/>
      </c>
      <c r="BK292" s="128">
        <f>IFERROR(SUM($BT292:$CK292),)</f>
        <v/>
      </c>
      <c r="BL292" s="129">
        <f>IFERROR(SUM($CL292:$CN292),)</f>
        <v/>
      </c>
      <c r="BM292" s="130">
        <f>IFERROR(SUM($CO292:$CQ292),)</f>
        <v/>
      </c>
      <c r="BN292" s="128">
        <f>IFERROR(SUM($CR292:$CT292),)</f>
        <v/>
      </c>
      <c r="BO292" s="128">
        <f>iferror(SUM($BP292,($BQ292*1.2),($BR292*1.35),($BS292*0.74)),)</f>
        <v/>
      </c>
      <c r="BP292" s="128">
        <f>IFERROR(SUM($CU292:$DL292),)</f>
        <v/>
      </c>
      <c r="BQ292" s="128">
        <f>IFERROR(SUM($DM292:$DO292),)</f>
        <v/>
      </c>
      <c r="BR292" s="128">
        <f>IFERROR(SUM($DP292:$DR292),)</f>
        <v/>
      </c>
      <c r="BS292" s="128">
        <f>IFERROR(SUM($DS292:$DU292),)</f>
        <v/>
      </c>
      <c r="BT292" s="128">
        <f>IFERROR(AI292*$W292,)</f>
        <v/>
      </c>
      <c r="BU292" s="128">
        <f>IFERROR(AJ292*$W292,)</f>
        <v/>
      </c>
      <c r="BV292" s="128">
        <f>IFERROR(AK292*$W292,)</f>
        <v/>
      </c>
      <c r="BW292" s="128">
        <f>IFERROR(AL292*$W292,)</f>
        <v/>
      </c>
      <c r="BX292" s="128">
        <f>IFERROR(AM292*$W292,)</f>
        <v/>
      </c>
      <c r="BY292" s="128">
        <f>IFERROR(AN292*$W292,)</f>
        <v/>
      </c>
      <c r="BZ292" s="128">
        <f>IFERROR(AO292*$W292,)</f>
        <v/>
      </c>
      <c r="CA292" s="128">
        <f>IFERROR(AP292*$W292,)</f>
        <v/>
      </c>
      <c r="CB292" s="128">
        <f>IFERROR(AQ292*$W292,)</f>
        <v/>
      </c>
      <c r="CC292" s="128">
        <f>IFERROR(AR292*$W292,)</f>
        <v/>
      </c>
      <c r="CD292" s="128">
        <f>IFERROR(AS292*$W292,)</f>
        <v/>
      </c>
      <c r="CE292" s="128">
        <f>IFERROR(AT292*$W292,)</f>
        <v/>
      </c>
      <c r="CF292" s="128">
        <f>IFERROR(AU292*$W292,)</f>
        <v/>
      </c>
      <c r="CG292" s="128">
        <f>IFERROR(AV292*$W292,)</f>
        <v/>
      </c>
      <c r="CH292" s="128">
        <f>IFERROR(AW292*$W292,)</f>
        <v/>
      </c>
      <c r="CI292" s="128">
        <f>IFERROR(AX292*$W292,)</f>
        <v/>
      </c>
      <c r="CJ292" s="128">
        <f>IFERROR(AY292*$W292,)</f>
        <v/>
      </c>
      <c r="CK292" s="128">
        <f>IFERROR(AZ292*$W292,)</f>
        <v/>
      </c>
      <c r="CL292" s="129">
        <f>IFERROR(if($Y292=0,BA292*($W292/1.2),BA292*$Y292),"")</f>
        <v/>
      </c>
      <c r="CM292" s="129">
        <f>IFERROR(if($Y292=0,BB292*($W292/1.2),BB292*$Y292),"")</f>
        <v/>
      </c>
      <c r="CN292" s="129">
        <f>IFERROR(if($Y292=0,BC292*($W292/1.2),BC292*$Y292),"")</f>
        <v/>
      </c>
      <c r="CO292" s="130">
        <f>IFERROR(if($AA292=0,($W292/1.35)*BD292,BD292*$AA292),)</f>
        <v/>
      </c>
      <c r="CP292" s="130">
        <f>IFERROR(if($AA292=0,($W292/1.35)*BE292,BE292*$AA292),)</f>
        <v/>
      </c>
      <c r="CQ292" s="130">
        <f>IFERROR(if($AA292=0,($W292/1.35)*BF292,BF292*$AA292),)</f>
        <v/>
      </c>
      <c r="CR292" s="128">
        <f>IFERROR(if($AC292=0,($W292/0.74)*BG292,
BG292*$AC292),)</f>
        <v/>
      </c>
      <c r="CS292" s="128">
        <f>IFERROR(if($AC292=0,($W292/0.74)*BH292,
BH292*$AC292),)</f>
        <v/>
      </c>
      <c r="CT292" s="128">
        <f>IFERROR(if($AC292=0,($W292/0.74)*BI292,
BI292*$AC292),)</f>
        <v/>
      </c>
      <c r="CU292" s="128">
        <f>IFERROR(AI292*$V292,)</f>
        <v/>
      </c>
      <c r="CV292" s="128">
        <f>IFERROR(AJ292*$V292,)</f>
        <v/>
      </c>
      <c r="CW292" s="128">
        <f>IFERROR(AK292*$V292,)</f>
        <v/>
      </c>
      <c r="CX292" s="128">
        <f>IFERROR(AL292*$V292,)</f>
        <v/>
      </c>
      <c r="CY292" s="128">
        <f>IFERROR(AM292*$V292,)</f>
        <v/>
      </c>
      <c r="CZ292" s="128">
        <f>IFERROR(AN292*$V292,)</f>
        <v/>
      </c>
      <c r="DA292" s="128">
        <f>IFERROR(AO292*$V292,)</f>
        <v/>
      </c>
      <c r="DB292" s="128">
        <f>IFERROR(AP292*$V292,)</f>
        <v/>
      </c>
      <c r="DC292" s="128">
        <f>IFERROR(AQ292*$V292,)</f>
        <v/>
      </c>
      <c r="DD292" s="128">
        <f>IFERROR(AR292*$V292,)</f>
        <v/>
      </c>
      <c r="DE292" s="128">
        <f>IFERROR(AS292*$V292,)</f>
        <v/>
      </c>
      <c r="DF292" s="128">
        <f>IFERROR(AT292*$V292,)</f>
        <v/>
      </c>
      <c r="DG292" s="128">
        <f>IFERROR(AU292*$V292,)</f>
        <v/>
      </c>
      <c r="DH292" s="128">
        <f>IFERROR(AV292*$V292,)</f>
        <v/>
      </c>
      <c r="DI292" s="128">
        <f>IFERROR(AW292*$V292,)</f>
        <v/>
      </c>
      <c r="DJ292" s="128">
        <f>IFERROR(AX292*$V292,)</f>
        <v/>
      </c>
      <c r="DK292" s="128">
        <f>IFERROR(AY292*$V292,)</f>
        <v/>
      </c>
      <c r="DL292" s="128">
        <f>IFERROR(AZ292*$V292,)</f>
        <v/>
      </c>
      <c r="DM292" s="129">
        <f>IFERROR(if($X292=0,($V292/1.2)*BA292,
BA292*$X292),)</f>
        <v/>
      </c>
      <c r="DN292" s="129">
        <f>IFERROR(if($X292=0,($V292/1.2)*BB292,
BB292*$X292),)</f>
        <v/>
      </c>
      <c r="DO292" s="129">
        <f>IFERROR(if($X292=0,($V292/1.2)*BC292,
BC292*$X292),)</f>
        <v/>
      </c>
      <c r="DP292" s="130">
        <f>IFERROR(if($Z292=0,($V292/1.35)*BD292,
BD292*$Z292),)</f>
        <v/>
      </c>
      <c r="DQ292" s="130">
        <f>IFERROR(if($Z292=0,($V292/1.35)*BE292,
BE292*$Z292),)</f>
        <v/>
      </c>
      <c r="DR292" s="130">
        <f>IFERROR(if($Z292=0,($V292/1.35)*BF292,
BF292*$Z292),)</f>
        <v/>
      </c>
      <c r="DS292" s="128">
        <f>IFERROR(IF($AB292=0,($V292/0.74)*BG292,
BG292*$AB292),)</f>
        <v/>
      </c>
      <c r="DT292" s="128">
        <f>IFERROR(IF($AB292=0,($V292/0.74)*BH292,
BH292*$AB292),)</f>
        <v/>
      </c>
      <c r="DU292" s="128">
        <f>IFERROR(IF($AB292=0,($V292/0.74)*BI292,
BI292*$AB292),)</f>
        <v/>
      </c>
    </row>
    <row r="293" ht="131.25" customHeight="1" s="162">
      <c r="A293" s="115" t="n"/>
      <c r="B293" s="115" t="n"/>
      <c r="C293" s="115" t="n"/>
      <c r="D293" s="115" t="n"/>
      <c r="E293" s="115" t="n"/>
      <c r="F293" s="115" t="n"/>
      <c r="G293" s="115" t="n"/>
      <c r="H293" s="115" t="n"/>
      <c r="I293" s="115" t="n"/>
      <c r="J293" s="115" t="n"/>
      <c r="K293" s="115" t="n"/>
      <c r="L293" s="115" t="n"/>
      <c r="M293" s="115" t="n"/>
      <c r="N293" s="115" t="n"/>
      <c r="O293" s="115" t="n"/>
      <c r="P293" s="115" t="n"/>
      <c r="Q293" s="115" t="n"/>
      <c r="R293" s="115" t="n"/>
      <c r="S293" s="115" t="n"/>
      <c r="T293" s="115" t="n"/>
      <c r="U293" s="116" t="n"/>
      <c r="V293" s="116" t="n"/>
      <c r="W293" s="117" t="n"/>
      <c r="X293" s="118" t="n"/>
      <c r="Y293" s="119" t="n"/>
      <c r="Z293" s="120" t="n"/>
      <c r="AA293" s="121" t="n"/>
      <c r="AB293" s="122" t="n"/>
      <c r="AC293" s="117" t="n"/>
      <c r="AD293" s="123">
        <f>IF(SUM($AE293:$AH293)=0,"",SUM($AE293:$AH293))</f>
        <v/>
      </c>
      <c r="AE293" s="123">
        <f>iferror(IF(SUM($AI293:$AZ293)=0,"",SUM($AI293:$AZ293)),"")</f>
        <v/>
      </c>
      <c r="AF293" s="123">
        <f>iferror(IF(SUM($BA293:$BC293)=0,"",SUM($BA293:$BC293)),"")</f>
        <v/>
      </c>
      <c r="AG293" s="123">
        <f>iferror(IF(SUM($BD293:$BF293)=0,"",SUM($BD293:$BF293)),"")</f>
        <v/>
      </c>
      <c r="AH293" s="124">
        <f>iferror(IF(SUM($BG293:$BI293)=0,"",SUM($BG293:$BI293)),"")</f>
        <v/>
      </c>
      <c r="AI293" s="131" t="n"/>
      <c r="AJ293" s="132" t="n"/>
      <c r="AK293" s="132" t="n"/>
      <c r="AL293" s="132" t="n"/>
      <c r="AM293" s="132" t="n"/>
      <c r="AN293" s="132" t="n"/>
      <c r="AO293" s="132" t="n"/>
      <c r="AP293" s="132" t="n"/>
      <c r="AQ293" s="132" t="n"/>
      <c r="AR293" s="132" t="n"/>
      <c r="AS293" s="132" t="n"/>
      <c r="AT293" s="132" t="n"/>
      <c r="AU293" s="132" t="n"/>
      <c r="AV293" s="132" t="n"/>
      <c r="AW293" s="132" t="n"/>
      <c r="AX293" s="132" t="n"/>
      <c r="AY293" s="132" t="n"/>
      <c r="AZ293" s="133" t="n"/>
      <c r="BA293" s="131" t="n"/>
      <c r="BB293" s="132" t="n"/>
      <c r="BC293" s="133" t="n"/>
      <c r="BD293" s="131" t="n"/>
      <c r="BE293" s="132" t="n"/>
      <c r="BF293" s="133" t="n"/>
      <c r="BG293" s="131" t="n"/>
      <c r="BH293" s="132" t="n"/>
      <c r="BI293" s="132" t="n"/>
      <c r="BJ293" s="128">
        <f>iferror(SUM($BK293,($BL293*1.2),($BM293*1.35),($BN293*0.74)),)</f>
        <v/>
      </c>
      <c r="BK293" s="128">
        <f>IFERROR(SUM($BT293:$CK293),)</f>
        <v/>
      </c>
      <c r="BL293" s="129">
        <f>IFERROR(SUM($CL293:$CN293),)</f>
        <v/>
      </c>
      <c r="BM293" s="130">
        <f>IFERROR(SUM($CO293:$CQ293),)</f>
        <v/>
      </c>
      <c r="BN293" s="128">
        <f>IFERROR(SUM($CR293:$CT293),)</f>
        <v/>
      </c>
      <c r="BO293" s="128">
        <f>iferror(SUM($BP293,($BQ293*1.2),($BR293*1.35),($BS293*0.74)),)</f>
        <v/>
      </c>
      <c r="BP293" s="128">
        <f>IFERROR(SUM($CU293:$DL293),)</f>
        <v/>
      </c>
      <c r="BQ293" s="128">
        <f>IFERROR(SUM($DM293:$DO293),)</f>
        <v/>
      </c>
      <c r="BR293" s="128">
        <f>IFERROR(SUM($DP293:$DR293),)</f>
        <v/>
      </c>
      <c r="BS293" s="128">
        <f>IFERROR(SUM($DS293:$DU293),)</f>
        <v/>
      </c>
      <c r="BT293" s="128">
        <f>IFERROR(AI293*$W293,)</f>
        <v/>
      </c>
      <c r="BU293" s="128">
        <f>IFERROR(AJ293*$W293,)</f>
        <v/>
      </c>
      <c r="BV293" s="128">
        <f>IFERROR(AK293*$W293,)</f>
        <v/>
      </c>
      <c r="BW293" s="128">
        <f>IFERROR(AL293*$W293,)</f>
        <v/>
      </c>
      <c r="BX293" s="128">
        <f>IFERROR(AM293*$W293,)</f>
        <v/>
      </c>
      <c r="BY293" s="128">
        <f>IFERROR(AN293*$W293,)</f>
        <v/>
      </c>
      <c r="BZ293" s="128">
        <f>IFERROR(AO293*$W293,)</f>
        <v/>
      </c>
      <c r="CA293" s="128">
        <f>IFERROR(AP293*$W293,)</f>
        <v/>
      </c>
      <c r="CB293" s="128">
        <f>IFERROR(AQ293*$W293,)</f>
        <v/>
      </c>
      <c r="CC293" s="128">
        <f>IFERROR(AR293*$W293,)</f>
        <v/>
      </c>
      <c r="CD293" s="128">
        <f>IFERROR(AS293*$W293,)</f>
        <v/>
      </c>
      <c r="CE293" s="128">
        <f>IFERROR(AT293*$W293,)</f>
        <v/>
      </c>
      <c r="CF293" s="128">
        <f>IFERROR(AU293*$W293,)</f>
        <v/>
      </c>
      <c r="CG293" s="128">
        <f>IFERROR(AV293*$W293,)</f>
        <v/>
      </c>
      <c r="CH293" s="128">
        <f>IFERROR(AW293*$W293,)</f>
        <v/>
      </c>
      <c r="CI293" s="128">
        <f>IFERROR(AX293*$W293,)</f>
        <v/>
      </c>
      <c r="CJ293" s="128">
        <f>IFERROR(AY293*$W293,)</f>
        <v/>
      </c>
      <c r="CK293" s="128">
        <f>IFERROR(AZ293*$W293,)</f>
        <v/>
      </c>
      <c r="CL293" s="129">
        <f>IFERROR(if($Y293=0,BA293*($W293/1.2),BA293*$Y293),"")</f>
        <v/>
      </c>
      <c r="CM293" s="129">
        <f>IFERROR(if($Y293=0,BB293*($W293/1.2),BB293*$Y293),"")</f>
        <v/>
      </c>
      <c r="CN293" s="129">
        <f>IFERROR(if($Y293=0,BC293*($W293/1.2),BC293*$Y293),"")</f>
        <v/>
      </c>
      <c r="CO293" s="130">
        <f>IFERROR(if($AA293=0,($W293/1.35)*BD293,BD293*$AA293),)</f>
        <v/>
      </c>
      <c r="CP293" s="130">
        <f>IFERROR(if($AA293=0,($W293/1.35)*BE293,BE293*$AA293),)</f>
        <v/>
      </c>
      <c r="CQ293" s="130">
        <f>IFERROR(if($AA293=0,($W293/1.35)*BF293,BF293*$AA293),)</f>
        <v/>
      </c>
      <c r="CR293" s="128">
        <f>IFERROR(if($AC293=0,($W293/0.74)*BG293,
BG293*$AC293),)</f>
        <v/>
      </c>
      <c r="CS293" s="128">
        <f>IFERROR(if($AC293=0,($W293/0.74)*BH293,
BH293*$AC293),)</f>
        <v/>
      </c>
      <c r="CT293" s="128">
        <f>IFERROR(if($AC293=0,($W293/0.74)*BI293,
BI293*$AC293),)</f>
        <v/>
      </c>
      <c r="CU293" s="128">
        <f>IFERROR(AI293*$V293,)</f>
        <v/>
      </c>
      <c r="CV293" s="128">
        <f>IFERROR(AJ293*$V293,)</f>
        <v/>
      </c>
      <c r="CW293" s="128">
        <f>IFERROR(AK293*$V293,)</f>
        <v/>
      </c>
      <c r="CX293" s="128">
        <f>IFERROR(AL293*$V293,)</f>
        <v/>
      </c>
      <c r="CY293" s="128">
        <f>IFERROR(AM293*$V293,)</f>
        <v/>
      </c>
      <c r="CZ293" s="128">
        <f>IFERROR(AN293*$V293,)</f>
        <v/>
      </c>
      <c r="DA293" s="128">
        <f>IFERROR(AO293*$V293,)</f>
        <v/>
      </c>
      <c r="DB293" s="128">
        <f>IFERROR(AP293*$V293,)</f>
        <v/>
      </c>
      <c r="DC293" s="128">
        <f>IFERROR(AQ293*$V293,)</f>
        <v/>
      </c>
      <c r="DD293" s="128">
        <f>IFERROR(AR293*$V293,)</f>
        <v/>
      </c>
      <c r="DE293" s="128">
        <f>IFERROR(AS293*$V293,)</f>
        <v/>
      </c>
      <c r="DF293" s="128">
        <f>IFERROR(AT293*$V293,)</f>
        <v/>
      </c>
      <c r="DG293" s="128">
        <f>IFERROR(AU293*$V293,)</f>
        <v/>
      </c>
      <c r="DH293" s="128">
        <f>IFERROR(AV293*$V293,)</f>
        <v/>
      </c>
      <c r="DI293" s="128">
        <f>IFERROR(AW293*$V293,)</f>
        <v/>
      </c>
      <c r="DJ293" s="128">
        <f>IFERROR(AX293*$V293,)</f>
        <v/>
      </c>
      <c r="DK293" s="128">
        <f>IFERROR(AY293*$V293,)</f>
        <v/>
      </c>
      <c r="DL293" s="128">
        <f>IFERROR(AZ293*$V293,)</f>
        <v/>
      </c>
      <c r="DM293" s="129">
        <f>IFERROR(if($X293=0,($V293/1.2)*BA293,
BA293*$X293),)</f>
        <v/>
      </c>
      <c r="DN293" s="129">
        <f>IFERROR(if($X293=0,($V293/1.2)*BB293,
BB293*$X293),)</f>
        <v/>
      </c>
      <c r="DO293" s="129">
        <f>IFERROR(if($X293=0,($V293/1.2)*BC293,
BC293*$X293),)</f>
        <v/>
      </c>
      <c r="DP293" s="130">
        <f>IFERROR(if($Z293=0,($V293/1.35)*BD293,
BD293*$Z293),)</f>
        <v/>
      </c>
      <c r="DQ293" s="130">
        <f>IFERROR(if($Z293=0,($V293/1.35)*BE293,
BE293*$Z293),)</f>
        <v/>
      </c>
      <c r="DR293" s="130">
        <f>IFERROR(if($Z293=0,($V293/1.35)*BF293,
BF293*$Z293),)</f>
        <v/>
      </c>
      <c r="DS293" s="128">
        <f>IFERROR(IF($AB293=0,($V293/0.74)*BG293,
BG293*$AB293),)</f>
        <v/>
      </c>
      <c r="DT293" s="128">
        <f>IFERROR(IF($AB293=0,($V293/0.74)*BH293,
BH293*$AB293),)</f>
        <v/>
      </c>
      <c r="DU293" s="128">
        <f>IFERROR(IF($AB293=0,($V293/0.74)*BI293,
BI293*$AB293),)</f>
        <v/>
      </c>
    </row>
    <row r="294" ht="131.25" customHeight="1" s="162">
      <c r="A294" s="115" t="n"/>
      <c r="B294" s="115" t="n"/>
      <c r="C294" s="115" t="n"/>
      <c r="D294" s="115" t="n"/>
      <c r="E294" s="115" t="n"/>
      <c r="F294" s="115" t="n"/>
      <c r="G294" s="115" t="n"/>
      <c r="H294" s="115" t="n"/>
      <c r="I294" s="115" t="n"/>
      <c r="J294" s="115" t="n"/>
      <c r="K294" s="115" t="n"/>
      <c r="L294" s="115" t="n"/>
      <c r="M294" s="115" t="n"/>
      <c r="N294" s="115" t="n"/>
      <c r="O294" s="115" t="n"/>
      <c r="P294" s="115" t="n"/>
      <c r="Q294" s="115" t="n"/>
      <c r="R294" s="115" t="n"/>
      <c r="S294" s="115" t="n"/>
      <c r="T294" s="115" t="n"/>
      <c r="U294" s="116" t="n"/>
      <c r="V294" s="116" t="n"/>
      <c r="W294" s="117" t="n"/>
      <c r="X294" s="118" t="n"/>
      <c r="Y294" s="119" t="n"/>
      <c r="Z294" s="120" t="n"/>
      <c r="AA294" s="121" t="n"/>
      <c r="AB294" s="122" t="n"/>
      <c r="AC294" s="117" t="n"/>
      <c r="AD294" s="123">
        <f>IF(SUM($AE294:$AH294)=0,"",SUM($AE294:$AH294))</f>
        <v/>
      </c>
      <c r="AE294" s="123">
        <f>iferror(IF(SUM($AI294:$AZ294)=0,"",SUM($AI294:$AZ294)),"")</f>
        <v/>
      </c>
      <c r="AF294" s="123">
        <f>iferror(IF(SUM($BA294:$BC294)=0,"",SUM($BA294:$BC294)),"")</f>
        <v/>
      </c>
      <c r="AG294" s="123">
        <f>iferror(IF(SUM($BD294:$BF294)=0,"",SUM($BD294:$BF294)),"")</f>
        <v/>
      </c>
      <c r="AH294" s="124">
        <f>iferror(IF(SUM($BG294:$BI294)=0,"",SUM($BG294:$BI294)),"")</f>
        <v/>
      </c>
      <c r="AI294" s="131" t="n"/>
      <c r="AJ294" s="132" t="n"/>
      <c r="AK294" s="132" t="n"/>
      <c r="AL294" s="132" t="n"/>
      <c r="AM294" s="132" t="n"/>
      <c r="AN294" s="132" t="n"/>
      <c r="AO294" s="132" t="n"/>
      <c r="AP294" s="132" t="n"/>
      <c r="AQ294" s="132" t="n"/>
      <c r="AR294" s="132" t="n"/>
      <c r="AS294" s="132" t="n"/>
      <c r="AT294" s="132" t="n"/>
      <c r="AU294" s="132" t="n"/>
      <c r="AV294" s="132" t="n"/>
      <c r="AW294" s="132" t="n"/>
      <c r="AX294" s="132" t="n"/>
      <c r="AY294" s="132" t="n"/>
      <c r="AZ294" s="133" t="n"/>
      <c r="BA294" s="131" t="n"/>
      <c r="BB294" s="132" t="n"/>
      <c r="BC294" s="133" t="n"/>
      <c r="BD294" s="131" t="n"/>
      <c r="BE294" s="132" t="n"/>
      <c r="BF294" s="133" t="n"/>
      <c r="BG294" s="131" t="n"/>
      <c r="BH294" s="132" t="n"/>
      <c r="BI294" s="132" t="n"/>
      <c r="BJ294" s="128">
        <f>iferror(SUM($BK294,($BL294*1.2),($BM294*1.35),($BN294*0.74)),)</f>
        <v/>
      </c>
      <c r="BK294" s="128">
        <f>IFERROR(SUM($BT294:$CK294),)</f>
        <v/>
      </c>
      <c r="BL294" s="129">
        <f>IFERROR(SUM($CL294:$CN294),)</f>
        <v/>
      </c>
      <c r="BM294" s="130">
        <f>IFERROR(SUM($CO294:$CQ294),)</f>
        <v/>
      </c>
      <c r="BN294" s="128">
        <f>IFERROR(SUM($CR294:$CT294),)</f>
        <v/>
      </c>
      <c r="BO294" s="128">
        <f>iferror(SUM($BP294,($BQ294*1.2),($BR294*1.35),($BS294*0.74)),)</f>
        <v/>
      </c>
      <c r="BP294" s="128">
        <f>IFERROR(SUM($CU294:$DL294),)</f>
        <v/>
      </c>
      <c r="BQ294" s="128">
        <f>IFERROR(SUM($DM294:$DO294),)</f>
        <v/>
      </c>
      <c r="BR294" s="128">
        <f>IFERROR(SUM($DP294:$DR294),)</f>
        <v/>
      </c>
      <c r="BS294" s="128">
        <f>IFERROR(SUM($DS294:$DU294),)</f>
        <v/>
      </c>
      <c r="BT294" s="128">
        <f>IFERROR(AI294*$W294,)</f>
        <v/>
      </c>
      <c r="BU294" s="128">
        <f>IFERROR(AJ294*$W294,)</f>
        <v/>
      </c>
      <c r="BV294" s="128">
        <f>IFERROR(AK294*$W294,)</f>
        <v/>
      </c>
      <c r="BW294" s="128">
        <f>IFERROR(AL294*$W294,)</f>
        <v/>
      </c>
      <c r="BX294" s="128">
        <f>IFERROR(AM294*$W294,)</f>
        <v/>
      </c>
      <c r="BY294" s="128">
        <f>IFERROR(AN294*$W294,)</f>
        <v/>
      </c>
      <c r="BZ294" s="128">
        <f>IFERROR(AO294*$W294,)</f>
        <v/>
      </c>
      <c r="CA294" s="128">
        <f>IFERROR(AP294*$W294,)</f>
        <v/>
      </c>
      <c r="CB294" s="128">
        <f>IFERROR(AQ294*$W294,)</f>
        <v/>
      </c>
      <c r="CC294" s="128">
        <f>IFERROR(AR294*$W294,)</f>
        <v/>
      </c>
      <c r="CD294" s="128">
        <f>IFERROR(AS294*$W294,)</f>
        <v/>
      </c>
      <c r="CE294" s="128">
        <f>IFERROR(AT294*$W294,)</f>
        <v/>
      </c>
      <c r="CF294" s="128">
        <f>IFERROR(AU294*$W294,)</f>
        <v/>
      </c>
      <c r="CG294" s="128">
        <f>IFERROR(AV294*$W294,)</f>
        <v/>
      </c>
      <c r="CH294" s="128">
        <f>IFERROR(AW294*$W294,)</f>
        <v/>
      </c>
      <c r="CI294" s="128">
        <f>IFERROR(AX294*$W294,)</f>
        <v/>
      </c>
      <c r="CJ294" s="128">
        <f>IFERROR(AY294*$W294,)</f>
        <v/>
      </c>
      <c r="CK294" s="128">
        <f>IFERROR(AZ294*$W294,)</f>
        <v/>
      </c>
      <c r="CL294" s="129">
        <f>IFERROR(if($Y294=0,BA294*($W294/1.2),BA294*$Y294),"")</f>
        <v/>
      </c>
      <c r="CM294" s="129">
        <f>IFERROR(if($Y294=0,BB294*($W294/1.2),BB294*$Y294),"")</f>
        <v/>
      </c>
      <c r="CN294" s="129">
        <f>IFERROR(if($Y294=0,BC294*($W294/1.2),BC294*$Y294),"")</f>
        <v/>
      </c>
      <c r="CO294" s="130">
        <f>IFERROR(if($AA294=0,($W294/1.35)*BD294,BD294*$AA294),)</f>
        <v/>
      </c>
      <c r="CP294" s="130">
        <f>IFERROR(if($AA294=0,($W294/1.35)*BE294,BE294*$AA294),)</f>
        <v/>
      </c>
      <c r="CQ294" s="130">
        <f>IFERROR(if($AA294=0,($W294/1.35)*BF294,BF294*$AA294),)</f>
        <v/>
      </c>
      <c r="CR294" s="128">
        <f>IFERROR(if($AC294=0,($W294/0.74)*BG294,
BG294*$AC294),)</f>
        <v/>
      </c>
      <c r="CS294" s="128">
        <f>IFERROR(if($AC294=0,($W294/0.74)*BH294,
BH294*$AC294),)</f>
        <v/>
      </c>
      <c r="CT294" s="128">
        <f>IFERROR(if($AC294=0,($W294/0.74)*BI294,
BI294*$AC294),)</f>
        <v/>
      </c>
      <c r="CU294" s="128">
        <f>IFERROR(AI294*$V294,)</f>
        <v/>
      </c>
      <c r="CV294" s="128">
        <f>IFERROR(AJ294*$V294,)</f>
        <v/>
      </c>
      <c r="CW294" s="128">
        <f>IFERROR(AK294*$V294,)</f>
        <v/>
      </c>
      <c r="CX294" s="128">
        <f>IFERROR(AL294*$V294,)</f>
        <v/>
      </c>
      <c r="CY294" s="128">
        <f>IFERROR(AM294*$V294,)</f>
        <v/>
      </c>
      <c r="CZ294" s="128">
        <f>IFERROR(AN294*$V294,)</f>
        <v/>
      </c>
      <c r="DA294" s="128">
        <f>IFERROR(AO294*$V294,)</f>
        <v/>
      </c>
      <c r="DB294" s="128">
        <f>IFERROR(AP294*$V294,)</f>
        <v/>
      </c>
      <c r="DC294" s="128">
        <f>IFERROR(AQ294*$V294,)</f>
        <v/>
      </c>
      <c r="DD294" s="128">
        <f>IFERROR(AR294*$V294,)</f>
        <v/>
      </c>
      <c r="DE294" s="128">
        <f>IFERROR(AS294*$V294,)</f>
        <v/>
      </c>
      <c r="DF294" s="128">
        <f>IFERROR(AT294*$V294,)</f>
        <v/>
      </c>
      <c r="DG294" s="128">
        <f>IFERROR(AU294*$V294,)</f>
        <v/>
      </c>
      <c r="DH294" s="128">
        <f>IFERROR(AV294*$V294,)</f>
        <v/>
      </c>
      <c r="DI294" s="128">
        <f>IFERROR(AW294*$V294,)</f>
        <v/>
      </c>
      <c r="DJ294" s="128">
        <f>IFERROR(AX294*$V294,)</f>
        <v/>
      </c>
      <c r="DK294" s="128">
        <f>IFERROR(AY294*$V294,)</f>
        <v/>
      </c>
      <c r="DL294" s="128">
        <f>IFERROR(AZ294*$V294,)</f>
        <v/>
      </c>
      <c r="DM294" s="129">
        <f>IFERROR(if($X294=0,($V294/1.2)*BA294,
BA294*$X294),)</f>
        <v/>
      </c>
      <c r="DN294" s="129">
        <f>IFERROR(if($X294=0,($V294/1.2)*BB294,
BB294*$X294),)</f>
        <v/>
      </c>
      <c r="DO294" s="129">
        <f>IFERROR(if($X294=0,($V294/1.2)*BC294,
BC294*$X294),)</f>
        <v/>
      </c>
      <c r="DP294" s="130">
        <f>IFERROR(if($Z294=0,($V294/1.35)*BD294,
BD294*$Z294),)</f>
        <v/>
      </c>
      <c r="DQ294" s="130">
        <f>IFERROR(if($Z294=0,($V294/1.35)*BE294,
BE294*$Z294),)</f>
        <v/>
      </c>
      <c r="DR294" s="130">
        <f>IFERROR(if($Z294=0,($V294/1.35)*BF294,
BF294*$Z294),)</f>
        <v/>
      </c>
      <c r="DS294" s="128">
        <f>IFERROR(IF($AB294=0,($V294/0.74)*BG294,
BG294*$AB294),)</f>
        <v/>
      </c>
      <c r="DT294" s="128">
        <f>IFERROR(IF($AB294=0,($V294/0.74)*BH294,
BH294*$AB294),)</f>
        <v/>
      </c>
      <c r="DU294" s="128">
        <f>IFERROR(IF($AB294=0,($V294/0.74)*BI294,
BI294*$AB294),)</f>
        <v/>
      </c>
    </row>
    <row r="295" ht="131.25" customHeight="1" s="162">
      <c r="A295" s="115" t="n"/>
      <c r="B295" s="115" t="n"/>
      <c r="C295" s="115" t="n"/>
      <c r="D295" s="115" t="n"/>
      <c r="E295" s="115" t="n"/>
      <c r="F295" s="115" t="n"/>
      <c r="G295" s="115" t="n"/>
      <c r="H295" s="115" t="n"/>
      <c r="I295" s="115" t="n"/>
      <c r="J295" s="115" t="n"/>
      <c r="K295" s="115" t="n"/>
      <c r="L295" s="115" t="n"/>
      <c r="M295" s="115" t="n"/>
      <c r="N295" s="115" t="n"/>
      <c r="O295" s="115" t="n"/>
      <c r="P295" s="115" t="n"/>
      <c r="Q295" s="115" t="n"/>
      <c r="R295" s="115" t="n"/>
      <c r="S295" s="115" t="n"/>
      <c r="T295" s="115" t="n"/>
      <c r="U295" s="116" t="n"/>
      <c r="V295" s="116" t="n"/>
      <c r="W295" s="117" t="n"/>
      <c r="X295" s="118" t="n"/>
      <c r="Y295" s="119" t="n"/>
      <c r="Z295" s="120" t="n"/>
      <c r="AA295" s="121" t="n"/>
      <c r="AB295" s="122" t="n"/>
      <c r="AC295" s="117" t="n"/>
      <c r="AD295" s="123">
        <f>IF(SUM($AE295:$AH295)=0,"",SUM($AE295:$AH295))</f>
        <v/>
      </c>
      <c r="AE295" s="123">
        <f>iferror(IF(SUM($AI295:$AZ295)=0,"",SUM($AI295:$AZ295)),"")</f>
        <v/>
      </c>
      <c r="AF295" s="123">
        <f>iferror(IF(SUM($BA295:$BC295)=0,"",SUM($BA295:$BC295)),"")</f>
        <v/>
      </c>
      <c r="AG295" s="123">
        <f>iferror(IF(SUM($BD295:$BF295)=0,"",SUM($BD295:$BF295)),"")</f>
        <v/>
      </c>
      <c r="AH295" s="124">
        <f>iferror(IF(SUM($BG295:$BI295)=0,"",SUM($BG295:$BI295)),"")</f>
        <v/>
      </c>
      <c r="AI295" s="131" t="n"/>
      <c r="AJ295" s="132" t="n"/>
      <c r="AK295" s="132" t="n"/>
      <c r="AL295" s="132" t="n"/>
      <c r="AM295" s="132" t="n"/>
      <c r="AN295" s="132" t="n"/>
      <c r="AO295" s="132" t="n"/>
      <c r="AP295" s="132" t="n"/>
      <c r="AQ295" s="132" t="n"/>
      <c r="AR295" s="132" t="n"/>
      <c r="AS295" s="132" t="n"/>
      <c r="AT295" s="132" t="n"/>
      <c r="AU295" s="132" t="n"/>
      <c r="AV295" s="132" t="n"/>
      <c r="AW295" s="132" t="n"/>
      <c r="AX295" s="132" t="n"/>
      <c r="AY295" s="132" t="n"/>
      <c r="AZ295" s="133" t="n"/>
      <c r="BA295" s="131" t="n"/>
      <c r="BB295" s="132" t="n"/>
      <c r="BC295" s="133" t="n"/>
      <c r="BD295" s="131" t="n"/>
      <c r="BE295" s="132" t="n"/>
      <c r="BF295" s="133" t="n"/>
      <c r="BG295" s="131" t="n"/>
      <c r="BH295" s="132" t="n"/>
      <c r="BI295" s="132" t="n"/>
      <c r="BJ295" s="128">
        <f>iferror(SUM($BK295,($BL295*1.2),($BM295*1.35),($BN295*0.74)),)</f>
        <v/>
      </c>
      <c r="BK295" s="128">
        <f>IFERROR(SUM($BT295:$CK295),)</f>
        <v/>
      </c>
      <c r="BL295" s="129">
        <f>IFERROR(SUM($CL295:$CN295),)</f>
        <v/>
      </c>
      <c r="BM295" s="130">
        <f>IFERROR(SUM($CO295:$CQ295),)</f>
        <v/>
      </c>
      <c r="BN295" s="128">
        <f>IFERROR(SUM($CR295:$CT295),)</f>
        <v/>
      </c>
      <c r="BO295" s="128">
        <f>iferror(SUM($BP295,($BQ295*1.2),($BR295*1.35),($BS295*0.74)),)</f>
        <v/>
      </c>
      <c r="BP295" s="128">
        <f>IFERROR(SUM($CU295:$DL295),)</f>
        <v/>
      </c>
      <c r="BQ295" s="128">
        <f>IFERROR(SUM($DM295:$DO295),)</f>
        <v/>
      </c>
      <c r="BR295" s="128">
        <f>IFERROR(SUM($DP295:$DR295),)</f>
        <v/>
      </c>
      <c r="BS295" s="128">
        <f>IFERROR(SUM($DS295:$DU295),)</f>
        <v/>
      </c>
      <c r="BT295" s="128">
        <f>IFERROR(AI295*$W295,)</f>
        <v/>
      </c>
      <c r="BU295" s="128">
        <f>IFERROR(AJ295*$W295,)</f>
        <v/>
      </c>
      <c r="BV295" s="128">
        <f>IFERROR(AK295*$W295,)</f>
        <v/>
      </c>
      <c r="BW295" s="128">
        <f>IFERROR(AL295*$W295,)</f>
        <v/>
      </c>
      <c r="BX295" s="128">
        <f>IFERROR(AM295*$W295,)</f>
        <v/>
      </c>
      <c r="BY295" s="128">
        <f>IFERROR(AN295*$W295,)</f>
        <v/>
      </c>
      <c r="BZ295" s="128">
        <f>IFERROR(AO295*$W295,)</f>
        <v/>
      </c>
      <c r="CA295" s="128">
        <f>IFERROR(AP295*$W295,)</f>
        <v/>
      </c>
      <c r="CB295" s="128">
        <f>IFERROR(AQ295*$W295,)</f>
        <v/>
      </c>
      <c r="CC295" s="128">
        <f>IFERROR(AR295*$W295,)</f>
        <v/>
      </c>
      <c r="CD295" s="128">
        <f>IFERROR(AS295*$W295,)</f>
        <v/>
      </c>
      <c r="CE295" s="128">
        <f>IFERROR(AT295*$W295,)</f>
        <v/>
      </c>
      <c r="CF295" s="128">
        <f>IFERROR(AU295*$W295,)</f>
        <v/>
      </c>
      <c r="CG295" s="128">
        <f>IFERROR(AV295*$W295,)</f>
        <v/>
      </c>
      <c r="CH295" s="128">
        <f>IFERROR(AW295*$W295,)</f>
        <v/>
      </c>
      <c r="CI295" s="128">
        <f>IFERROR(AX295*$W295,)</f>
        <v/>
      </c>
      <c r="CJ295" s="128">
        <f>IFERROR(AY295*$W295,)</f>
        <v/>
      </c>
      <c r="CK295" s="128">
        <f>IFERROR(AZ295*$W295,)</f>
        <v/>
      </c>
      <c r="CL295" s="129">
        <f>IFERROR(if($Y295=0,BA295*($W295/1.2),BA295*$Y295),"")</f>
        <v/>
      </c>
      <c r="CM295" s="129">
        <f>IFERROR(if($Y295=0,BB295*($W295/1.2),BB295*$Y295),"")</f>
        <v/>
      </c>
      <c r="CN295" s="129">
        <f>IFERROR(if($Y295=0,BC295*($W295/1.2),BC295*$Y295),"")</f>
        <v/>
      </c>
      <c r="CO295" s="130">
        <f>IFERROR(if($AA295=0,($W295/1.35)*BD295,BD295*$AA295),)</f>
        <v/>
      </c>
      <c r="CP295" s="130">
        <f>IFERROR(if($AA295=0,($W295/1.35)*BE295,BE295*$AA295),)</f>
        <v/>
      </c>
      <c r="CQ295" s="130">
        <f>IFERROR(if($AA295=0,($W295/1.35)*BF295,BF295*$AA295),)</f>
        <v/>
      </c>
      <c r="CR295" s="128">
        <f>IFERROR(if($AC295=0,($W295/0.74)*BG295,
BG295*$AC295),)</f>
        <v/>
      </c>
      <c r="CS295" s="128">
        <f>IFERROR(if($AC295=0,($W295/0.74)*BH295,
BH295*$AC295),)</f>
        <v/>
      </c>
      <c r="CT295" s="128">
        <f>IFERROR(if($AC295=0,($W295/0.74)*BI295,
BI295*$AC295),)</f>
        <v/>
      </c>
      <c r="CU295" s="128">
        <f>IFERROR(AI295*$V295,)</f>
        <v/>
      </c>
      <c r="CV295" s="128">
        <f>IFERROR(AJ295*$V295,)</f>
        <v/>
      </c>
      <c r="CW295" s="128">
        <f>IFERROR(AK295*$V295,)</f>
        <v/>
      </c>
      <c r="CX295" s="128">
        <f>IFERROR(AL295*$V295,)</f>
        <v/>
      </c>
      <c r="CY295" s="128">
        <f>IFERROR(AM295*$V295,)</f>
        <v/>
      </c>
      <c r="CZ295" s="128">
        <f>IFERROR(AN295*$V295,)</f>
        <v/>
      </c>
      <c r="DA295" s="128">
        <f>IFERROR(AO295*$V295,)</f>
        <v/>
      </c>
      <c r="DB295" s="128">
        <f>IFERROR(AP295*$V295,)</f>
        <v/>
      </c>
      <c r="DC295" s="128">
        <f>IFERROR(AQ295*$V295,)</f>
        <v/>
      </c>
      <c r="DD295" s="128">
        <f>IFERROR(AR295*$V295,)</f>
        <v/>
      </c>
      <c r="DE295" s="128">
        <f>IFERROR(AS295*$V295,)</f>
        <v/>
      </c>
      <c r="DF295" s="128">
        <f>IFERROR(AT295*$V295,)</f>
        <v/>
      </c>
      <c r="DG295" s="128">
        <f>IFERROR(AU295*$V295,)</f>
        <v/>
      </c>
      <c r="DH295" s="128">
        <f>IFERROR(AV295*$V295,)</f>
        <v/>
      </c>
      <c r="DI295" s="128">
        <f>IFERROR(AW295*$V295,)</f>
        <v/>
      </c>
      <c r="DJ295" s="128">
        <f>IFERROR(AX295*$V295,)</f>
        <v/>
      </c>
      <c r="DK295" s="128">
        <f>IFERROR(AY295*$V295,)</f>
        <v/>
      </c>
      <c r="DL295" s="128">
        <f>IFERROR(AZ295*$V295,)</f>
        <v/>
      </c>
      <c r="DM295" s="129">
        <f>IFERROR(if($X295=0,($V295/1.2)*BA295,
BA295*$X295),)</f>
        <v/>
      </c>
      <c r="DN295" s="129">
        <f>IFERROR(if($X295=0,($V295/1.2)*BB295,
BB295*$X295),)</f>
        <v/>
      </c>
      <c r="DO295" s="129">
        <f>IFERROR(if($X295=0,($V295/1.2)*BC295,
BC295*$X295),)</f>
        <v/>
      </c>
      <c r="DP295" s="130">
        <f>IFERROR(if($Z295=0,($V295/1.35)*BD295,
BD295*$Z295),)</f>
        <v/>
      </c>
      <c r="DQ295" s="130">
        <f>IFERROR(if($Z295=0,($V295/1.35)*BE295,
BE295*$Z295),)</f>
        <v/>
      </c>
      <c r="DR295" s="130">
        <f>IFERROR(if($Z295=0,($V295/1.35)*BF295,
BF295*$Z295),)</f>
        <v/>
      </c>
      <c r="DS295" s="128">
        <f>IFERROR(IF($AB295=0,($V295/0.74)*BG295,
BG295*$AB295),)</f>
        <v/>
      </c>
      <c r="DT295" s="128">
        <f>IFERROR(IF($AB295=0,($V295/0.74)*BH295,
BH295*$AB295),)</f>
        <v/>
      </c>
      <c r="DU295" s="128">
        <f>IFERROR(IF($AB295=0,($V295/0.74)*BI295,
BI295*$AB295),)</f>
        <v/>
      </c>
    </row>
    <row r="296" ht="131.25" customHeight="1" s="162">
      <c r="A296" s="115" t="n"/>
      <c r="B296" s="115" t="n"/>
      <c r="C296" s="115" t="n"/>
      <c r="D296" s="115" t="n"/>
      <c r="E296" s="115" t="n"/>
      <c r="F296" s="115" t="n"/>
      <c r="G296" s="115" t="n"/>
      <c r="H296" s="115" t="n"/>
      <c r="I296" s="115" t="n"/>
      <c r="J296" s="115" t="n"/>
      <c r="K296" s="115" t="n"/>
      <c r="L296" s="115" t="n"/>
      <c r="M296" s="115" t="n"/>
      <c r="N296" s="115" t="n"/>
      <c r="O296" s="115" t="n"/>
      <c r="P296" s="115" t="n"/>
      <c r="Q296" s="115" t="n"/>
      <c r="R296" s="115" t="n"/>
      <c r="S296" s="115" t="n"/>
      <c r="T296" s="115" t="n"/>
      <c r="U296" s="116" t="n"/>
      <c r="V296" s="116" t="n"/>
      <c r="W296" s="117" t="n"/>
      <c r="X296" s="118" t="n"/>
      <c r="Y296" s="119" t="n"/>
      <c r="Z296" s="120" t="n"/>
      <c r="AA296" s="121" t="n"/>
      <c r="AB296" s="122" t="n"/>
      <c r="AC296" s="117" t="n"/>
      <c r="AD296" s="123">
        <f>IF(SUM($AE296:$AH296)=0,"",SUM($AE296:$AH296))</f>
        <v/>
      </c>
      <c r="AE296" s="123">
        <f>iferror(IF(SUM($AI296:$AZ296)=0,"",SUM($AI296:$AZ296)),"")</f>
        <v/>
      </c>
      <c r="AF296" s="123">
        <f>iferror(IF(SUM($BA296:$BC296)=0,"",SUM($BA296:$BC296)),"")</f>
        <v/>
      </c>
      <c r="AG296" s="123">
        <f>iferror(IF(SUM($BD296:$BF296)=0,"",SUM($BD296:$BF296)),"")</f>
        <v/>
      </c>
      <c r="AH296" s="124">
        <f>iferror(IF(SUM($BG296:$BI296)=0,"",SUM($BG296:$BI296)),"")</f>
        <v/>
      </c>
      <c r="AI296" s="131" t="n"/>
      <c r="AJ296" s="132" t="n"/>
      <c r="AK296" s="132" t="n"/>
      <c r="AL296" s="132" t="n"/>
      <c r="AM296" s="132" t="n"/>
      <c r="AN296" s="132" t="n"/>
      <c r="AO296" s="132" t="n"/>
      <c r="AP296" s="132" t="n"/>
      <c r="AQ296" s="132" t="n"/>
      <c r="AR296" s="132" t="n"/>
      <c r="AS296" s="132" t="n"/>
      <c r="AT296" s="132" t="n"/>
      <c r="AU296" s="132" t="n"/>
      <c r="AV296" s="132" t="n"/>
      <c r="AW296" s="132" t="n"/>
      <c r="AX296" s="132" t="n"/>
      <c r="AY296" s="132" t="n"/>
      <c r="AZ296" s="133" t="n"/>
      <c r="BA296" s="131" t="n"/>
      <c r="BB296" s="132" t="n"/>
      <c r="BC296" s="133" t="n"/>
      <c r="BD296" s="131" t="n"/>
      <c r="BE296" s="132" t="n"/>
      <c r="BF296" s="133" t="n"/>
      <c r="BG296" s="131" t="n"/>
      <c r="BH296" s="132" t="n"/>
      <c r="BI296" s="132" t="n"/>
      <c r="BJ296" s="128">
        <f>iferror(SUM($BK296,($BL296*1.2),($BM296*1.35),($BN296*0.74)),)</f>
        <v/>
      </c>
      <c r="BK296" s="128">
        <f>IFERROR(SUM($BT296:$CK296),)</f>
        <v/>
      </c>
      <c r="BL296" s="129">
        <f>IFERROR(SUM($CL296:$CN296),)</f>
        <v/>
      </c>
      <c r="BM296" s="130">
        <f>IFERROR(SUM($CO296:$CQ296),)</f>
        <v/>
      </c>
      <c r="BN296" s="128">
        <f>IFERROR(SUM($CR296:$CT296),)</f>
        <v/>
      </c>
      <c r="BO296" s="128">
        <f>iferror(SUM($BP296,($BQ296*1.2),($BR296*1.35),($BS296*0.74)),)</f>
        <v/>
      </c>
      <c r="BP296" s="128">
        <f>IFERROR(SUM($CU296:$DL296),)</f>
        <v/>
      </c>
      <c r="BQ296" s="128">
        <f>IFERROR(SUM($DM296:$DO296),)</f>
        <v/>
      </c>
      <c r="BR296" s="128">
        <f>IFERROR(SUM($DP296:$DR296),)</f>
        <v/>
      </c>
      <c r="BS296" s="128">
        <f>IFERROR(SUM($DS296:$DU296),)</f>
        <v/>
      </c>
      <c r="BT296" s="128">
        <f>IFERROR(AI296*$W296,)</f>
        <v/>
      </c>
      <c r="BU296" s="128">
        <f>IFERROR(AJ296*$W296,)</f>
        <v/>
      </c>
      <c r="BV296" s="128">
        <f>IFERROR(AK296*$W296,)</f>
        <v/>
      </c>
      <c r="BW296" s="128">
        <f>IFERROR(AL296*$W296,)</f>
        <v/>
      </c>
      <c r="BX296" s="128">
        <f>IFERROR(AM296*$W296,)</f>
        <v/>
      </c>
      <c r="BY296" s="128">
        <f>IFERROR(AN296*$W296,)</f>
        <v/>
      </c>
      <c r="BZ296" s="128">
        <f>IFERROR(AO296*$W296,)</f>
        <v/>
      </c>
      <c r="CA296" s="128">
        <f>IFERROR(AP296*$W296,)</f>
        <v/>
      </c>
      <c r="CB296" s="128">
        <f>IFERROR(AQ296*$W296,)</f>
        <v/>
      </c>
      <c r="CC296" s="128">
        <f>IFERROR(AR296*$W296,)</f>
        <v/>
      </c>
      <c r="CD296" s="128">
        <f>IFERROR(AS296*$W296,)</f>
        <v/>
      </c>
      <c r="CE296" s="128">
        <f>IFERROR(AT296*$W296,)</f>
        <v/>
      </c>
      <c r="CF296" s="128">
        <f>IFERROR(AU296*$W296,)</f>
        <v/>
      </c>
      <c r="CG296" s="128">
        <f>IFERROR(AV296*$W296,)</f>
        <v/>
      </c>
      <c r="CH296" s="128">
        <f>IFERROR(AW296*$W296,)</f>
        <v/>
      </c>
      <c r="CI296" s="128">
        <f>IFERROR(AX296*$W296,)</f>
        <v/>
      </c>
      <c r="CJ296" s="128">
        <f>IFERROR(AY296*$W296,)</f>
        <v/>
      </c>
      <c r="CK296" s="128">
        <f>IFERROR(AZ296*$W296,)</f>
        <v/>
      </c>
      <c r="CL296" s="129">
        <f>IFERROR(if($Y296=0,BA296*($W296/1.2),BA296*$Y296),"")</f>
        <v/>
      </c>
      <c r="CM296" s="129">
        <f>IFERROR(if($Y296=0,BB296*($W296/1.2),BB296*$Y296),"")</f>
        <v/>
      </c>
      <c r="CN296" s="129">
        <f>IFERROR(if($Y296=0,BC296*($W296/1.2),BC296*$Y296),"")</f>
        <v/>
      </c>
      <c r="CO296" s="130">
        <f>IFERROR(if($AA296=0,($W296/1.35)*BD296,BD296*$AA296),)</f>
        <v/>
      </c>
      <c r="CP296" s="130">
        <f>IFERROR(if($AA296=0,($W296/1.35)*BE296,BE296*$AA296),)</f>
        <v/>
      </c>
      <c r="CQ296" s="130">
        <f>IFERROR(if($AA296=0,($W296/1.35)*BF296,BF296*$AA296),)</f>
        <v/>
      </c>
      <c r="CR296" s="128">
        <f>IFERROR(if($AC296=0,($W296/0.74)*BG296,
BG296*$AC296),)</f>
        <v/>
      </c>
      <c r="CS296" s="128">
        <f>IFERROR(if($AC296=0,($W296/0.74)*BH296,
BH296*$AC296),)</f>
        <v/>
      </c>
      <c r="CT296" s="128">
        <f>IFERROR(if($AC296=0,($W296/0.74)*BI296,
BI296*$AC296),)</f>
        <v/>
      </c>
      <c r="CU296" s="128">
        <f>IFERROR(AI296*$V296,)</f>
        <v/>
      </c>
      <c r="CV296" s="128">
        <f>IFERROR(AJ296*$V296,)</f>
        <v/>
      </c>
      <c r="CW296" s="128">
        <f>IFERROR(AK296*$V296,)</f>
        <v/>
      </c>
      <c r="CX296" s="128">
        <f>IFERROR(AL296*$V296,)</f>
        <v/>
      </c>
      <c r="CY296" s="128">
        <f>IFERROR(AM296*$V296,)</f>
        <v/>
      </c>
      <c r="CZ296" s="128">
        <f>IFERROR(AN296*$V296,)</f>
        <v/>
      </c>
      <c r="DA296" s="128">
        <f>IFERROR(AO296*$V296,)</f>
        <v/>
      </c>
      <c r="DB296" s="128">
        <f>IFERROR(AP296*$V296,)</f>
        <v/>
      </c>
      <c r="DC296" s="128">
        <f>IFERROR(AQ296*$V296,)</f>
        <v/>
      </c>
      <c r="DD296" s="128">
        <f>IFERROR(AR296*$V296,)</f>
        <v/>
      </c>
      <c r="DE296" s="128">
        <f>IFERROR(AS296*$V296,)</f>
        <v/>
      </c>
      <c r="DF296" s="128">
        <f>IFERROR(AT296*$V296,)</f>
        <v/>
      </c>
      <c r="DG296" s="128">
        <f>IFERROR(AU296*$V296,)</f>
        <v/>
      </c>
      <c r="DH296" s="128">
        <f>IFERROR(AV296*$V296,)</f>
        <v/>
      </c>
      <c r="DI296" s="128">
        <f>IFERROR(AW296*$V296,)</f>
        <v/>
      </c>
      <c r="DJ296" s="128">
        <f>IFERROR(AX296*$V296,)</f>
        <v/>
      </c>
      <c r="DK296" s="128">
        <f>IFERROR(AY296*$V296,)</f>
        <v/>
      </c>
      <c r="DL296" s="128">
        <f>IFERROR(AZ296*$V296,)</f>
        <v/>
      </c>
      <c r="DM296" s="129">
        <f>IFERROR(if($X296=0,($V296/1.2)*BA296,
BA296*$X296),)</f>
        <v/>
      </c>
      <c r="DN296" s="129">
        <f>IFERROR(if($X296=0,($V296/1.2)*BB296,
BB296*$X296),)</f>
        <v/>
      </c>
      <c r="DO296" s="129">
        <f>IFERROR(if($X296=0,($V296/1.2)*BC296,
BC296*$X296),)</f>
        <v/>
      </c>
      <c r="DP296" s="130">
        <f>IFERROR(if($Z296=0,($V296/1.35)*BD296,
BD296*$Z296),)</f>
        <v/>
      </c>
      <c r="DQ296" s="130">
        <f>IFERROR(if($Z296=0,($V296/1.35)*BE296,
BE296*$Z296),)</f>
        <v/>
      </c>
      <c r="DR296" s="130">
        <f>IFERROR(if($Z296=0,($V296/1.35)*BF296,
BF296*$Z296),)</f>
        <v/>
      </c>
      <c r="DS296" s="128">
        <f>IFERROR(IF($AB296=0,($V296/0.74)*BG296,
BG296*$AB296),)</f>
        <v/>
      </c>
      <c r="DT296" s="128">
        <f>IFERROR(IF($AB296=0,($V296/0.74)*BH296,
BH296*$AB296),)</f>
        <v/>
      </c>
      <c r="DU296" s="128">
        <f>IFERROR(IF($AB296=0,($V296/0.74)*BI296,
BI296*$AB296),)</f>
        <v/>
      </c>
    </row>
    <row r="297" ht="131.25" customHeight="1" s="162">
      <c r="A297" s="115" t="n"/>
      <c r="B297" s="115" t="n"/>
      <c r="C297" s="115" t="n"/>
      <c r="D297" s="115" t="n"/>
      <c r="E297" s="115" t="n"/>
      <c r="F297" s="115" t="n"/>
      <c r="G297" s="115" t="n"/>
      <c r="H297" s="115" t="n"/>
      <c r="I297" s="115" t="n"/>
      <c r="J297" s="115" t="n"/>
      <c r="K297" s="115" t="n"/>
      <c r="L297" s="115" t="n"/>
      <c r="M297" s="115" t="n"/>
      <c r="N297" s="115" t="n"/>
      <c r="O297" s="115" t="n"/>
      <c r="P297" s="115" t="n"/>
      <c r="Q297" s="115" t="n"/>
      <c r="R297" s="115" t="n"/>
      <c r="S297" s="115" t="n"/>
      <c r="T297" s="115" t="n"/>
      <c r="U297" s="116" t="n"/>
      <c r="V297" s="116" t="n"/>
      <c r="W297" s="117" t="n"/>
      <c r="X297" s="118" t="n"/>
      <c r="Y297" s="119" t="n"/>
      <c r="Z297" s="120" t="n"/>
      <c r="AA297" s="121" t="n"/>
      <c r="AB297" s="122" t="n"/>
      <c r="AC297" s="117" t="n"/>
      <c r="AD297" s="123">
        <f>IF(SUM($AE297:$AH297)=0,"",SUM($AE297:$AH297))</f>
        <v/>
      </c>
      <c r="AE297" s="123">
        <f>iferror(IF(SUM($AI297:$AZ297)=0,"",SUM($AI297:$AZ297)),"")</f>
        <v/>
      </c>
      <c r="AF297" s="123">
        <f>iferror(IF(SUM($BA297:$BC297)=0,"",SUM($BA297:$BC297)),"")</f>
        <v/>
      </c>
      <c r="AG297" s="123">
        <f>iferror(IF(SUM($BD297:$BF297)=0,"",SUM($BD297:$BF297)),"")</f>
        <v/>
      </c>
      <c r="AH297" s="124">
        <f>iferror(IF(SUM($BG297:$BI297)=0,"",SUM($BG297:$BI297)),"")</f>
        <v/>
      </c>
      <c r="AI297" s="131" t="n"/>
      <c r="AJ297" s="132" t="n"/>
      <c r="AK297" s="132" t="n"/>
      <c r="AL297" s="132" t="n"/>
      <c r="AM297" s="132" t="n"/>
      <c r="AN297" s="132" t="n"/>
      <c r="AO297" s="132" t="n"/>
      <c r="AP297" s="132" t="n"/>
      <c r="AQ297" s="132" t="n"/>
      <c r="AR297" s="132" t="n"/>
      <c r="AS297" s="132" t="n"/>
      <c r="AT297" s="132" t="n"/>
      <c r="AU297" s="132" t="n"/>
      <c r="AV297" s="132" t="n"/>
      <c r="AW297" s="132" t="n"/>
      <c r="AX297" s="132" t="n"/>
      <c r="AY297" s="132" t="n"/>
      <c r="AZ297" s="133" t="n"/>
      <c r="BA297" s="131" t="n"/>
      <c r="BB297" s="132" t="n"/>
      <c r="BC297" s="133" t="n"/>
      <c r="BD297" s="131" t="n"/>
      <c r="BE297" s="132" t="n"/>
      <c r="BF297" s="133" t="n"/>
      <c r="BG297" s="131" t="n"/>
      <c r="BH297" s="132" t="n"/>
      <c r="BI297" s="132" t="n"/>
      <c r="BJ297" s="128">
        <f>iferror(SUM($BK297,($BL297*1.2),($BM297*1.35),($BN297*0.74)),)</f>
        <v/>
      </c>
      <c r="BK297" s="128">
        <f>IFERROR(SUM($BT297:$CK297),)</f>
        <v/>
      </c>
      <c r="BL297" s="129">
        <f>IFERROR(SUM($CL297:$CN297),)</f>
        <v/>
      </c>
      <c r="BM297" s="130">
        <f>IFERROR(SUM($CO297:$CQ297),)</f>
        <v/>
      </c>
      <c r="BN297" s="128">
        <f>IFERROR(SUM($CR297:$CT297),)</f>
        <v/>
      </c>
      <c r="BO297" s="128">
        <f>iferror(SUM($BP297,($BQ297*1.2),($BR297*1.35),($BS297*0.74)),)</f>
        <v/>
      </c>
      <c r="BP297" s="128">
        <f>IFERROR(SUM($CU297:$DL297),)</f>
        <v/>
      </c>
      <c r="BQ297" s="128">
        <f>IFERROR(SUM($DM297:$DO297),)</f>
        <v/>
      </c>
      <c r="BR297" s="128">
        <f>IFERROR(SUM($DP297:$DR297),)</f>
        <v/>
      </c>
      <c r="BS297" s="128">
        <f>IFERROR(SUM($DS297:$DU297),)</f>
        <v/>
      </c>
      <c r="BT297" s="128">
        <f>IFERROR(AI297*$W297,)</f>
        <v/>
      </c>
      <c r="BU297" s="128">
        <f>IFERROR(AJ297*$W297,)</f>
        <v/>
      </c>
      <c r="BV297" s="128">
        <f>IFERROR(AK297*$W297,)</f>
        <v/>
      </c>
      <c r="BW297" s="128">
        <f>IFERROR(AL297*$W297,)</f>
        <v/>
      </c>
      <c r="BX297" s="128">
        <f>IFERROR(AM297*$W297,)</f>
        <v/>
      </c>
      <c r="BY297" s="128">
        <f>IFERROR(AN297*$W297,)</f>
        <v/>
      </c>
      <c r="BZ297" s="128">
        <f>IFERROR(AO297*$W297,)</f>
        <v/>
      </c>
      <c r="CA297" s="128">
        <f>IFERROR(AP297*$W297,)</f>
        <v/>
      </c>
      <c r="CB297" s="128">
        <f>IFERROR(AQ297*$W297,)</f>
        <v/>
      </c>
      <c r="CC297" s="128">
        <f>IFERROR(AR297*$W297,)</f>
        <v/>
      </c>
      <c r="CD297" s="128">
        <f>IFERROR(AS297*$W297,)</f>
        <v/>
      </c>
      <c r="CE297" s="128">
        <f>IFERROR(AT297*$W297,)</f>
        <v/>
      </c>
      <c r="CF297" s="128">
        <f>IFERROR(AU297*$W297,)</f>
        <v/>
      </c>
      <c r="CG297" s="128">
        <f>IFERROR(AV297*$W297,)</f>
        <v/>
      </c>
      <c r="CH297" s="128">
        <f>IFERROR(AW297*$W297,)</f>
        <v/>
      </c>
      <c r="CI297" s="128">
        <f>IFERROR(AX297*$W297,)</f>
        <v/>
      </c>
      <c r="CJ297" s="128">
        <f>IFERROR(AY297*$W297,)</f>
        <v/>
      </c>
      <c r="CK297" s="128">
        <f>IFERROR(AZ297*$W297,)</f>
        <v/>
      </c>
      <c r="CL297" s="129">
        <f>IFERROR(if($Y297=0,BA297*($W297/1.2),BA297*$Y297),"")</f>
        <v/>
      </c>
      <c r="CM297" s="129">
        <f>IFERROR(if($Y297=0,BB297*($W297/1.2),BB297*$Y297),"")</f>
        <v/>
      </c>
      <c r="CN297" s="129">
        <f>IFERROR(if($Y297=0,BC297*($W297/1.2),BC297*$Y297),"")</f>
        <v/>
      </c>
      <c r="CO297" s="130">
        <f>IFERROR(if($AA297=0,($W297/1.35)*BD297,BD297*$AA297),)</f>
        <v/>
      </c>
      <c r="CP297" s="130">
        <f>IFERROR(if($AA297=0,($W297/1.35)*BE297,BE297*$AA297),)</f>
        <v/>
      </c>
      <c r="CQ297" s="130">
        <f>IFERROR(if($AA297=0,($W297/1.35)*BF297,BF297*$AA297),)</f>
        <v/>
      </c>
      <c r="CR297" s="128">
        <f>IFERROR(if($AC297=0,($W297/0.74)*BG297,
BG297*$AC297),)</f>
        <v/>
      </c>
      <c r="CS297" s="128">
        <f>IFERROR(if($AC297=0,($W297/0.74)*BH297,
BH297*$AC297),)</f>
        <v/>
      </c>
      <c r="CT297" s="128">
        <f>IFERROR(if($AC297=0,($W297/0.74)*BI297,
BI297*$AC297),)</f>
        <v/>
      </c>
      <c r="CU297" s="128">
        <f>IFERROR(AI297*$V297,)</f>
        <v/>
      </c>
      <c r="CV297" s="128">
        <f>IFERROR(AJ297*$V297,)</f>
        <v/>
      </c>
      <c r="CW297" s="128">
        <f>IFERROR(AK297*$V297,)</f>
        <v/>
      </c>
      <c r="CX297" s="128">
        <f>IFERROR(AL297*$V297,)</f>
        <v/>
      </c>
      <c r="CY297" s="128">
        <f>IFERROR(AM297*$V297,)</f>
        <v/>
      </c>
      <c r="CZ297" s="128">
        <f>IFERROR(AN297*$V297,)</f>
        <v/>
      </c>
      <c r="DA297" s="128">
        <f>IFERROR(AO297*$V297,)</f>
        <v/>
      </c>
      <c r="DB297" s="128">
        <f>IFERROR(AP297*$V297,)</f>
        <v/>
      </c>
      <c r="DC297" s="128">
        <f>IFERROR(AQ297*$V297,)</f>
        <v/>
      </c>
      <c r="DD297" s="128">
        <f>IFERROR(AR297*$V297,)</f>
        <v/>
      </c>
      <c r="DE297" s="128">
        <f>IFERROR(AS297*$V297,)</f>
        <v/>
      </c>
      <c r="DF297" s="128">
        <f>IFERROR(AT297*$V297,)</f>
        <v/>
      </c>
      <c r="DG297" s="128">
        <f>IFERROR(AU297*$V297,)</f>
        <v/>
      </c>
      <c r="DH297" s="128">
        <f>IFERROR(AV297*$V297,)</f>
        <v/>
      </c>
      <c r="DI297" s="128">
        <f>IFERROR(AW297*$V297,)</f>
        <v/>
      </c>
      <c r="DJ297" s="128">
        <f>IFERROR(AX297*$V297,)</f>
        <v/>
      </c>
      <c r="DK297" s="128">
        <f>IFERROR(AY297*$V297,)</f>
        <v/>
      </c>
      <c r="DL297" s="128">
        <f>IFERROR(AZ297*$V297,)</f>
        <v/>
      </c>
      <c r="DM297" s="129">
        <f>IFERROR(if($X297=0,($V297/1.2)*BA297,
BA297*$X297),)</f>
        <v/>
      </c>
      <c r="DN297" s="129">
        <f>IFERROR(if($X297=0,($V297/1.2)*BB297,
BB297*$X297),)</f>
        <v/>
      </c>
      <c r="DO297" s="129">
        <f>IFERROR(if($X297=0,($V297/1.2)*BC297,
BC297*$X297),)</f>
        <v/>
      </c>
      <c r="DP297" s="130">
        <f>IFERROR(if($Z297=0,($V297/1.35)*BD297,
BD297*$Z297),)</f>
        <v/>
      </c>
      <c r="DQ297" s="130">
        <f>IFERROR(if($Z297=0,($V297/1.35)*BE297,
BE297*$Z297),)</f>
        <v/>
      </c>
      <c r="DR297" s="130">
        <f>IFERROR(if($Z297=0,($V297/1.35)*BF297,
BF297*$Z297),)</f>
        <v/>
      </c>
      <c r="DS297" s="128">
        <f>IFERROR(IF($AB297=0,($V297/0.74)*BG297,
BG297*$AB297),)</f>
        <v/>
      </c>
      <c r="DT297" s="128">
        <f>IFERROR(IF($AB297=0,($V297/0.74)*BH297,
BH297*$AB297),)</f>
        <v/>
      </c>
      <c r="DU297" s="128">
        <f>IFERROR(IF($AB297=0,($V297/0.74)*BI297,
BI297*$AB297),)</f>
        <v/>
      </c>
    </row>
    <row r="298" ht="131.25" customHeight="1" s="162">
      <c r="A298" s="115" t="n"/>
      <c r="B298" s="115" t="n"/>
      <c r="C298" s="115" t="n"/>
      <c r="D298" s="115" t="n"/>
      <c r="E298" s="115" t="n"/>
      <c r="F298" s="115" t="n"/>
      <c r="G298" s="115" t="n"/>
      <c r="H298" s="115" t="n"/>
      <c r="I298" s="115" t="n"/>
      <c r="J298" s="115" t="n"/>
      <c r="K298" s="115" t="n"/>
      <c r="L298" s="115" t="n"/>
      <c r="M298" s="115" t="n"/>
      <c r="N298" s="115" t="n"/>
      <c r="O298" s="115" t="n"/>
      <c r="P298" s="115" t="n"/>
      <c r="Q298" s="115" t="n"/>
      <c r="R298" s="115" t="n"/>
      <c r="S298" s="115" t="n"/>
      <c r="T298" s="115" t="n"/>
      <c r="U298" s="116" t="n"/>
      <c r="V298" s="116" t="n"/>
      <c r="W298" s="117" t="n"/>
      <c r="X298" s="118" t="n"/>
      <c r="Y298" s="119" t="n"/>
      <c r="Z298" s="120" t="n"/>
      <c r="AA298" s="121" t="n"/>
      <c r="AB298" s="122" t="n"/>
      <c r="AC298" s="117" t="n"/>
      <c r="AD298" s="123">
        <f>IF(SUM($AE298:$AH298)=0,"",SUM($AE298:$AH298))</f>
        <v/>
      </c>
      <c r="AE298" s="123">
        <f>iferror(IF(SUM($AI298:$AZ298)=0,"",SUM($AI298:$AZ298)),"")</f>
        <v/>
      </c>
      <c r="AF298" s="123">
        <f>iferror(IF(SUM($BA298:$BC298)=0,"",SUM($BA298:$BC298)),"")</f>
        <v/>
      </c>
      <c r="AG298" s="123">
        <f>iferror(IF(SUM($BD298:$BF298)=0,"",SUM($BD298:$BF298)),"")</f>
        <v/>
      </c>
      <c r="AH298" s="124">
        <f>iferror(IF(SUM($BG298:$BI298)=0,"",SUM($BG298:$BI298)),"")</f>
        <v/>
      </c>
      <c r="AI298" s="131" t="n"/>
      <c r="AJ298" s="132" t="n"/>
      <c r="AK298" s="132" t="n"/>
      <c r="AL298" s="132" t="n"/>
      <c r="AM298" s="132" t="n"/>
      <c r="AN298" s="132" t="n"/>
      <c r="AO298" s="132" t="n"/>
      <c r="AP298" s="132" t="n"/>
      <c r="AQ298" s="132" t="n"/>
      <c r="AR298" s="132" t="n"/>
      <c r="AS298" s="132" t="n"/>
      <c r="AT298" s="132" t="n"/>
      <c r="AU298" s="132" t="n"/>
      <c r="AV298" s="132" t="n"/>
      <c r="AW298" s="132" t="n"/>
      <c r="AX298" s="132" t="n"/>
      <c r="AY298" s="132" t="n"/>
      <c r="AZ298" s="133" t="n"/>
      <c r="BA298" s="131" t="n"/>
      <c r="BB298" s="132" t="n"/>
      <c r="BC298" s="133" t="n"/>
      <c r="BD298" s="131" t="n"/>
      <c r="BE298" s="132" t="n"/>
      <c r="BF298" s="133" t="n"/>
      <c r="BG298" s="131" t="n"/>
      <c r="BH298" s="132" t="n"/>
      <c r="BI298" s="132" t="n"/>
      <c r="BJ298" s="128">
        <f>iferror(SUM($BK298,($BL298*1.2),($BM298*1.35),($BN298*0.74)),)</f>
        <v/>
      </c>
      <c r="BK298" s="128">
        <f>IFERROR(SUM($BT298:$CK298),)</f>
        <v/>
      </c>
      <c r="BL298" s="129">
        <f>IFERROR(SUM($CL298:$CN298),)</f>
        <v/>
      </c>
      <c r="BM298" s="130">
        <f>IFERROR(SUM($CO298:$CQ298),)</f>
        <v/>
      </c>
      <c r="BN298" s="128">
        <f>IFERROR(SUM($CR298:$CT298),)</f>
        <v/>
      </c>
      <c r="BO298" s="128">
        <f>iferror(SUM($BP298,($BQ298*1.2),($BR298*1.35),($BS298*0.74)),)</f>
        <v/>
      </c>
      <c r="BP298" s="128">
        <f>IFERROR(SUM($CU298:$DL298),)</f>
        <v/>
      </c>
      <c r="BQ298" s="128">
        <f>IFERROR(SUM($DM298:$DO298),)</f>
        <v/>
      </c>
      <c r="BR298" s="128">
        <f>IFERROR(SUM($DP298:$DR298),)</f>
        <v/>
      </c>
      <c r="BS298" s="128">
        <f>IFERROR(SUM($DS298:$DU298),)</f>
        <v/>
      </c>
      <c r="BT298" s="128">
        <f>IFERROR(AI298*$W298,)</f>
        <v/>
      </c>
      <c r="BU298" s="128">
        <f>IFERROR(AJ298*$W298,)</f>
        <v/>
      </c>
      <c r="BV298" s="128">
        <f>IFERROR(AK298*$W298,)</f>
        <v/>
      </c>
      <c r="BW298" s="128">
        <f>IFERROR(AL298*$W298,)</f>
        <v/>
      </c>
      <c r="BX298" s="128">
        <f>IFERROR(AM298*$W298,)</f>
        <v/>
      </c>
      <c r="BY298" s="128">
        <f>IFERROR(AN298*$W298,)</f>
        <v/>
      </c>
      <c r="BZ298" s="128">
        <f>IFERROR(AO298*$W298,)</f>
        <v/>
      </c>
      <c r="CA298" s="128">
        <f>IFERROR(AP298*$W298,)</f>
        <v/>
      </c>
      <c r="CB298" s="128">
        <f>IFERROR(AQ298*$W298,)</f>
        <v/>
      </c>
      <c r="CC298" s="128">
        <f>IFERROR(AR298*$W298,)</f>
        <v/>
      </c>
      <c r="CD298" s="128">
        <f>IFERROR(AS298*$W298,)</f>
        <v/>
      </c>
      <c r="CE298" s="128">
        <f>IFERROR(AT298*$W298,)</f>
        <v/>
      </c>
      <c r="CF298" s="128">
        <f>IFERROR(AU298*$W298,)</f>
        <v/>
      </c>
      <c r="CG298" s="128">
        <f>IFERROR(AV298*$W298,)</f>
        <v/>
      </c>
      <c r="CH298" s="128">
        <f>IFERROR(AW298*$W298,)</f>
        <v/>
      </c>
      <c r="CI298" s="128">
        <f>IFERROR(AX298*$W298,)</f>
        <v/>
      </c>
      <c r="CJ298" s="128">
        <f>IFERROR(AY298*$W298,)</f>
        <v/>
      </c>
      <c r="CK298" s="128">
        <f>IFERROR(AZ298*$W298,)</f>
        <v/>
      </c>
      <c r="CL298" s="129">
        <f>IFERROR(if($Y298=0,BA298*($W298/1.2),BA298*$Y298),"")</f>
        <v/>
      </c>
      <c r="CM298" s="129">
        <f>IFERROR(if($Y298=0,BB298*($W298/1.2),BB298*$Y298),"")</f>
        <v/>
      </c>
      <c r="CN298" s="129">
        <f>IFERROR(if($Y298=0,BC298*($W298/1.2),BC298*$Y298),"")</f>
        <v/>
      </c>
      <c r="CO298" s="130">
        <f>IFERROR(if($AA298=0,($W298/1.35)*BD298,BD298*$AA298),)</f>
        <v/>
      </c>
      <c r="CP298" s="130">
        <f>IFERROR(if($AA298=0,($W298/1.35)*BE298,BE298*$AA298),)</f>
        <v/>
      </c>
      <c r="CQ298" s="130">
        <f>IFERROR(if($AA298=0,($W298/1.35)*BF298,BF298*$AA298),)</f>
        <v/>
      </c>
      <c r="CR298" s="128">
        <f>IFERROR(if($AC298=0,($W298/0.74)*BG298,
BG298*$AC298),)</f>
        <v/>
      </c>
      <c r="CS298" s="128">
        <f>IFERROR(if($AC298=0,($W298/0.74)*BH298,
BH298*$AC298),)</f>
        <v/>
      </c>
      <c r="CT298" s="128">
        <f>IFERROR(if($AC298=0,($W298/0.74)*BI298,
BI298*$AC298),)</f>
        <v/>
      </c>
      <c r="CU298" s="128">
        <f>IFERROR(AI298*$V298,)</f>
        <v/>
      </c>
      <c r="CV298" s="128">
        <f>IFERROR(AJ298*$V298,)</f>
        <v/>
      </c>
      <c r="CW298" s="128">
        <f>IFERROR(AK298*$V298,)</f>
        <v/>
      </c>
      <c r="CX298" s="128">
        <f>IFERROR(AL298*$V298,)</f>
        <v/>
      </c>
      <c r="CY298" s="128">
        <f>IFERROR(AM298*$V298,)</f>
        <v/>
      </c>
      <c r="CZ298" s="128">
        <f>IFERROR(AN298*$V298,)</f>
        <v/>
      </c>
      <c r="DA298" s="128">
        <f>IFERROR(AO298*$V298,)</f>
        <v/>
      </c>
      <c r="DB298" s="128">
        <f>IFERROR(AP298*$V298,)</f>
        <v/>
      </c>
      <c r="DC298" s="128">
        <f>IFERROR(AQ298*$V298,)</f>
        <v/>
      </c>
      <c r="DD298" s="128">
        <f>IFERROR(AR298*$V298,)</f>
        <v/>
      </c>
      <c r="DE298" s="128">
        <f>IFERROR(AS298*$V298,)</f>
        <v/>
      </c>
      <c r="DF298" s="128">
        <f>IFERROR(AT298*$V298,)</f>
        <v/>
      </c>
      <c r="DG298" s="128">
        <f>IFERROR(AU298*$V298,)</f>
        <v/>
      </c>
      <c r="DH298" s="128">
        <f>IFERROR(AV298*$V298,)</f>
        <v/>
      </c>
      <c r="DI298" s="128">
        <f>IFERROR(AW298*$V298,)</f>
        <v/>
      </c>
      <c r="DJ298" s="128">
        <f>IFERROR(AX298*$V298,)</f>
        <v/>
      </c>
      <c r="DK298" s="128">
        <f>IFERROR(AY298*$V298,)</f>
        <v/>
      </c>
      <c r="DL298" s="128">
        <f>IFERROR(AZ298*$V298,)</f>
        <v/>
      </c>
      <c r="DM298" s="129">
        <f>IFERROR(if($X298=0,($V298/1.2)*BA298,
BA298*$X298),)</f>
        <v/>
      </c>
      <c r="DN298" s="129">
        <f>IFERROR(if($X298=0,($V298/1.2)*BB298,
BB298*$X298),)</f>
        <v/>
      </c>
      <c r="DO298" s="129">
        <f>IFERROR(if($X298=0,($V298/1.2)*BC298,
BC298*$X298),)</f>
        <v/>
      </c>
      <c r="DP298" s="130">
        <f>IFERROR(if($Z298=0,($V298/1.35)*BD298,
BD298*$Z298),)</f>
        <v/>
      </c>
      <c r="DQ298" s="130">
        <f>IFERROR(if($Z298=0,($V298/1.35)*BE298,
BE298*$Z298),)</f>
        <v/>
      </c>
      <c r="DR298" s="130">
        <f>IFERROR(if($Z298=0,($V298/1.35)*BF298,
BF298*$Z298),)</f>
        <v/>
      </c>
      <c r="DS298" s="128">
        <f>IFERROR(IF($AB298=0,($V298/0.74)*BG298,
BG298*$AB298),)</f>
        <v/>
      </c>
      <c r="DT298" s="128">
        <f>IFERROR(IF($AB298=0,($V298/0.74)*BH298,
BH298*$AB298),)</f>
        <v/>
      </c>
      <c r="DU298" s="128">
        <f>IFERROR(IF($AB298=0,($V298/0.74)*BI298,
BI298*$AB298),)</f>
        <v/>
      </c>
    </row>
    <row r="299" ht="131.25" customHeight="1" s="162">
      <c r="A299" s="115" t="n"/>
      <c r="B299" s="115" t="n"/>
      <c r="C299" s="115" t="n"/>
      <c r="D299" s="115" t="n"/>
      <c r="E299" s="115" t="n"/>
      <c r="F299" s="115" t="n"/>
      <c r="G299" s="115" t="n"/>
      <c r="H299" s="115" t="n"/>
      <c r="I299" s="115" t="n"/>
      <c r="J299" s="115" t="n"/>
      <c r="K299" s="115" t="n"/>
      <c r="L299" s="115" t="n"/>
      <c r="M299" s="115" t="n"/>
      <c r="N299" s="115" t="n"/>
      <c r="O299" s="115" t="n"/>
      <c r="P299" s="115" t="n"/>
      <c r="Q299" s="115" t="n"/>
      <c r="R299" s="115" t="n"/>
      <c r="S299" s="115" t="n"/>
      <c r="T299" s="115" t="n"/>
      <c r="U299" s="116" t="n"/>
      <c r="V299" s="116" t="n"/>
      <c r="W299" s="117" t="n"/>
      <c r="X299" s="118" t="n"/>
      <c r="Y299" s="119" t="n"/>
      <c r="Z299" s="120" t="n"/>
      <c r="AA299" s="121" t="n"/>
      <c r="AB299" s="122" t="n"/>
      <c r="AC299" s="117" t="n"/>
      <c r="AD299" s="123">
        <f>IF(SUM($AE299:$AH299)=0,"",SUM($AE299:$AH299))</f>
        <v/>
      </c>
      <c r="AE299" s="123">
        <f>iferror(IF(SUM($AI299:$AZ299)=0,"",SUM($AI299:$AZ299)),"")</f>
        <v/>
      </c>
      <c r="AF299" s="123">
        <f>iferror(IF(SUM($BA299:$BC299)=0,"",SUM($BA299:$BC299)),"")</f>
        <v/>
      </c>
      <c r="AG299" s="123">
        <f>iferror(IF(SUM($BD299:$BF299)=0,"",SUM($BD299:$BF299)),"")</f>
        <v/>
      </c>
      <c r="AH299" s="124">
        <f>iferror(IF(SUM($BG299:$BI299)=0,"",SUM($BG299:$BI299)),"")</f>
        <v/>
      </c>
      <c r="AI299" s="131" t="n"/>
      <c r="AJ299" s="132" t="n"/>
      <c r="AK299" s="132" t="n"/>
      <c r="AL299" s="132" t="n"/>
      <c r="AM299" s="132" t="n"/>
      <c r="AN299" s="132" t="n"/>
      <c r="AO299" s="132" t="n"/>
      <c r="AP299" s="132" t="n"/>
      <c r="AQ299" s="132" t="n"/>
      <c r="AR299" s="132" t="n"/>
      <c r="AS299" s="132" t="n"/>
      <c r="AT299" s="132" t="n"/>
      <c r="AU299" s="132" t="n"/>
      <c r="AV299" s="132" t="n"/>
      <c r="AW299" s="132" t="n"/>
      <c r="AX299" s="132" t="n"/>
      <c r="AY299" s="132" t="n"/>
      <c r="AZ299" s="133" t="n"/>
      <c r="BA299" s="131" t="n"/>
      <c r="BB299" s="132" t="n"/>
      <c r="BC299" s="133" t="n"/>
      <c r="BD299" s="131" t="n"/>
      <c r="BE299" s="132" t="n"/>
      <c r="BF299" s="133" t="n"/>
      <c r="BG299" s="131" t="n"/>
      <c r="BH299" s="132" t="n"/>
      <c r="BI299" s="132" t="n"/>
      <c r="BJ299" s="128">
        <f>iferror(SUM($BK299,($BL299*1.2),($BM299*1.35),($BN299*0.74)),)</f>
        <v/>
      </c>
      <c r="BK299" s="128">
        <f>IFERROR(SUM($BT299:$CK299),)</f>
        <v/>
      </c>
      <c r="BL299" s="129">
        <f>IFERROR(SUM($CL299:$CN299),)</f>
        <v/>
      </c>
      <c r="BM299" s="130">
        <f>IFERROR(SUM($CO299:$CQ299),)</f>
        <v/>
      </c>
      <c r="BN299" s="128">
        <f>IFERROR(SUM($CR299:$CT299),)</f>
        <v/>
      </c>
      <c r="BO299" s="128">
        <f>iferror(SUM($BP299,($BQ299*1.2),($BR299*1.35),($BS299*0.74)),)</f>
        <v/>
      </c>
      <c r="BP299" s="128">
        <f>IFERROR(SUM($CU299:$DL299),)</f>
        <v/>
      </c>
      <c r="BQ299" s="128">
        <f>IFERROR(SUM($DM299:$DO299),)</f>
        <v/>
      </c>
      <c r="BR299" s="128">
        <f>IFERROR(SUM($DP299:$DR299),)</f>
        <v/>
      </c>
      <c r="BS299" s="128">
        <f>IFERROR(SUM($DS299:$DU299),)</f>
        <v/>
      </c>
      <c r="BT299" s="128">
        <f>IFERROR(AI299*$W299,)</f>
        <v/>
      </c>
      <c r="BU299" s="128">
        <f>IFERROR(AJ299*$W299,)</f>
        <v/>
      </c>
      <c r="BV299" s="128">
        <f>IFERROR(AK299*$W299,)</f>
        <v/>
      </c>
      <c r="BW299" s="128">
        <f>IFERROR(AL299*$W299,)</f>
        <v/>
      </c>
      <c r="BX299" s="128">
        <f>IFERROR(AM299*$W299,)</f>
        <v/>
      </c>
      <c r="BY299" s="128">
        <f>IFERROR(AN299*$W299,)</f>
        <v/>
      </c>
      <c r="BZ299" s="128">
        <f>IFERROR(AO299*$W299,)</f>
        <v/>
      </c>
      <c r="CA299" s="128">
        <f>IFERROR(AP299*$W299,)</f>
        <v/>
      </c>
      <c r="CB299" s="128">
        <f>IFERROR(AQ299*$W299,)</f>
        <v/>
      </c>
      <c r="CC299" s="128">
        <f>IFERROR(AR299*$W299,)</f>
        <v/>
      </c>
      <c r="CD299" s="128">
        <f>IFERROR(AS299*$W299,)</f>
        <v/>
      </c>
      <c r="CE299" s="128">
        <f>IFERROR(AT299*$W299,)</f>
        <v/>
      </c>
      <c r="CF299" s="128">
        <f>IFERROR(AU299*$W299,)</f>
        <v/>
      </c>
      <c r="CG299" s="128">
        <f>IFERROR(AV299*$W299,)</f>
        <v/>
      </c>
      <c r="CH299" s="128">
        <f>IFERROR(AW299*$W299,)</f>
        <v/>
      </c>
      <c r="CI299" s="128">
        <f>IFERROR(AX299*$W299,)</f>
        <v/>
      </c>
      <c r="CJ299" s="128">
        <f>IFERROR(AY299*$W299,)</f>
        <v/>
      </c>
      <c r="CK299" s="128">
        <f>IFERROR(AZ299*$W299,)</f>
        <v/>
      </c>
      <c r="CL299" s="129">
        <f>IFERROR(if($Y299=0,BA299*($W299/1.2),BA299*$Y299),"")</f>
        <v/>
      </c>
      <c r="CM299" s="129">
        <f>IFERROR(if($Y299=0,BB299*($W299/1.2),BB299*$Y299),"")</f>
        <v/>
      </c>
      <c r="CN299" s="129">
        <f>IFERROR(if($Y299=0,BC299*($W299/1.2),BC299*$Y299),"")</f>
        <v/>
      </c>
      <c r="CO299" s="130">
        <f>IFERROR(if($AA299=0,($W299/1.35)*BD299,BD299*$AA299),)</f>
        <v/>
      </c>
      <c r="CP299" s="130">
        <f>IFERROR(if($AA299=0,($W299/1.35)*BE299,BE299*$AA299),)</f>
        <v/>
      </c>
      <c r="CQ299" s="130">
        <f>IFERROR(if($AA299=0,($W299/1.35)*BF299,BF299*$AA299),)</f>
        <v/>
      </c>
      <c r="CR299" s="128">
        <f>IFERROR(if($AC299=0,($W299/0.74)*BG299,
BG299*$AC299),)</f>
        <v/>
      </c>
      <c r="CS299" s="128">
        <f>IFERROR(if($AC299=0,($W299/0.74)*BH299,
BH299*$AC299),)</f>
        <v/>
      </c>
      <c r="CT299" s="128">
        <f>IFERROR(if($AC299=0,($W299/0.74)*BI299,
BI299*$AC299),)</f>
        <v/>
      </c>
      <c r="CU299" s="128">
        <f>IFERROR(AI299*$V299,)</f>
        <v/>
      </c>
      <c r="CV299" s="128">
        <f>IFERROR(AJ299*$V299,)</f>
        <v/>
      </c>
      <c r="CW299" s="128">
        <f>IFERROR(AK299*$V299,)</f>
        <v/>
      </c>
      <c r="CX299" s="128">
        <f>IFERROR(AL299*$V299,)</f>
        <v/>
      </c>
      <c r="CY299" s="128">
        <f>IFERROR(AM299*$V299,)</f>
        <v/>
      </c>
      <c r="CZ299" s="128">
        <f>IFERROR(AN299*$V299,)</f>
        <v/>
      </c>
      <c r="DA299" s="128">
        <f>IFERROR(AO299*$V299,)</f>
        <v/>
      </c>
      <c r="DB299" s="128">
        <f>IFERROR(AP299*$V299,)</f>
        <v/>
      </c>
      <c r="DC299" s="128">
        <f>IFERROR(AQ299*$V299,)</f>
        <v/>
      </c>
      <c r="DD299" s="128">
        <f>IFERROR(AR299*$V299,)</f>
        <v/>
      </c>
      <c r="DE299" s="128">
        <f>IFERROR(AS299*$V299,)</f>
        <v/>
      </c>
      <c r="DF299" s="128">
        <f>IFERROR(AT299*$V299,)</f>
        <v/>
      </c>
      <c r="DG299" s="128">
        <f>IFERROR(AU299*$V299,)</f>
        <v/>
      </c>
      <c r="DH299" s="128">
        <f>IFERROR(AV299*$V299,)</f>
        <v/>
      </c>
      <c r="DI299" s="128">
        <f>IFERROR(AW299*$V299,)</f>
        <v/>
      </c>
      <c r="DJ299" s="128">
        <f>IFERROR(AX299*$V299,)</f>
        <v/>
      </c>
      <c r="DK299" s="128">
        <f>IFERROR(AY299*$V299,)</f>
        <v/>
      </c>
      <c r="DL299" s="128">
        <f>IFERROR(AZ299*$V299,)</f>
        <v/>
      </c>
      <c r="DM299" s="129">
        <f>IFERROR(if($X299=0,($V299/1.2)*BA299,
BA299*$X299),)</f>
        <v/>
      </c>
      <c r="DN299" s="129">
        <f>IFERROR(if($X299=0,($V299/1.2)*BB299,
BB299*$X299),)</f>
        <v/>
      </c>
      <c r="DO299" s="129">
        <f>IFERROR(if($X299=0,($V299/1.2)*BC299,
BC299*$X299),)</f>
        <v/>
      </c>
      <c r="DP299" s="130">
        <f>IFERROR(if($Z299=0,($V299/1.35)*BD299,
BD299*$Z299),)</f>
        <v/>
      </c>
      <c r="DQ299" s="130">
        <f>IFERROR(if($Z299=0,($V299/1.35)*BE299,
BE299*$Z299),)</f>
        <v/>
      </c>
      <c r="DR299" s="130">
        <f>IFERROR(if($Z299=0,($V299/1.35)*BF299,
BF299*$Z299),)</f>
        <v/>
      </c>
      <c r="DS299" s="128">
        <f>IFERROR(IF($AB299=0,($V299/0.74)*BG299,
BG299*$AB299),)</f>
        <v/>
      </c>
      <c r="DT299" s="128">
        <f>IFERROR(IF($AB299=0,($V299/0.74)*BH299,
BH299*$AB299),)</f>
        <v/>
      </c>
      <c r="DU299" s="128">
        <f>IFERROR(IF($AB299=0,($V299/0.74)*BI299,
BI299*$AB299),)</f>
        <v/>
      </c>
    </row>
    <row r="300" ht="131.25" customHeight="1" s="162">
      <c r="A300" s="115" t="n"/>
      <c r="B300" s="115" t="n"/>
      <c r="C300" s="115" t="n"/>
      <c r="D300" s="115" t="n"/>
      <c r="E300" s="115" t="n"/>
      <c r="F300" s="115" t="n"/>
      <c r="G300" s="115" t="n"/>
      <c r="H300" s="115" t="n"/>
      <c r="I300" s="115" t="n"/>
      <c r="J300" s="115" t="n"/>
      <c r="K300" s="115" t="n"/>
      <c r="L300" s="115" t="n"/>
      <c r="M300" s="115" t="n"/>
      <c r="N300" s="115" t="n"/>
      <c r="O300" s="115" t="n"/>
      <c r="P300" s="115" t="n"/>
      <c r="Q300" s="115" t="n"/>
      <c r="R300" s="115" t="n"/>
      <c r="S300" s="115" t="n"/>
      <c r="T300" s="115" t="n"/>
      <c r="U300" s="116" t="n"/>
      <c r="V300" s="116" t="n"/>
      <c r="W300" s="117" t="n"/>
      <c r="X300" s="118" t="n"/>
      <c r="Y300" s="119" t="n"/>
      <c r="Z300" s="120" t="n"/>
      <c r="AA300" s="121" t="n"/>
      <c r="AB300" s="122" t="n"/>
      <c r="AC300" s="117" t="n"/>
      <c r="AD300" s="123">
        <f>IF(SUM($AE300:$AH300)=0,"",SUM($AE300:$AH300))</f>
        <v/>
      </c>
      <c r="AE300" s="123">
        <f>iferror(IF(SUM($AI300:$AZ300)=0,"",SUM($AI300:$AZ300)),"")</f>
        <v/>
      </c>
      <c r="AF300" s="123">
        <f>iferror(IF(SUM($BA300:$BC300)=0,"",SUM($BA300:$BC300)),"")</f>
        <v/>
      </c>
      <c r="AG300" s="123">
        <f>iferror(IF(SUM($BD300:$BF300)=0,"",SUM($BD300:$BF300)),"")</f>
        <v/>
      </c>
      <c r="AH300" s="124">
        <f>iferror(IF(SUM($BG300:$BI300)=0,"",SUM($BG300:$BI300)),"")</f>
        <v/>
      </c>
      <c r="AI300" s="131" t="n"/>
      <c r="AJ300" s="132" t="n"/>
      <c r="AK300" s="132" t="n"/>
      <c r="AL300" s="132" t="n"/>
      <c r="AM300" s="132" t="n"/>
      <c r="AN300" s="132" t="n"/>
      <c r="AO300" s="132" t="n"/>
      <c r="AP300" s="132" t="n"/>
      <c r="AQ300" s="132" t="n"/>
      <c r="AR300" s="132" t="n"/>
      <c r="AS300" s="132" t="n"/>
      <c r="AT300" s="132" t="n"/>
      <c r="AU300" s="132" t="n"/>
      <c r="AV300" s="132" t="n"/>
      <c r="AW300" s="132" t="n"/>
      <c r="AX300" s="132" t="n"/>
      <c r="AY300" s="132" t="n"/>
      <c r="AZ300" s="133" t="n"/>
      <c r="BA300" s="131" t="n"/>
      <c r="BB300" s="132" t="n"/>
      <c r="BC300" s="133" t="n"/>
      <c r="BD300" s="131" t="n"/>
      <c r="BE300" s="132" t="n"/>
      <c r="BF300" s="133" t="n"/>
      <c r="BG300" s="131" t="n"/>
      <c r="BH300" s="132" t="n"/>
      <c r="BI300" s="132" t="n"/>
      <c r="BJ300" s="128">
        <f>iferror(SUM($BK300,($BL300*1.2),($BM300*1.35),($BN300*0.74)),)</f>
        <v/>
      </c>
      <c r="BK300" s="128">
        <f>IFERROR(SUM($BT300:$CK300),)</f>
        <v/>
      </c>
      <c r="BL300" s="129">
        <f>IFERROR(SUM($CL300:$CN300),)</f>
        <v/>
      </c>
      <c r="BM300" s="130">
        <f>IFERROR(SUM($CO300:$CQ300),)</f>
        <v/>
      </c>
      <c r="BN300" s="128">
        <f>IFERROR(SUM($CR300:$CT300),)</f>
        <v/>
      </c>
      <c r="BO300" s="128">
        <f>iferror(SUM($BP300,($BQ300*1.2),($BR300*1.35),($BS300*0.74)),)</f>
        <v/>
      </c>
      <c r="BP300" s="128">
        <f>IFERROR(SUM($CU300:$DL300),)</f>
        <v/>
      </c>
      <c r="BQ300" s="128">
        <f>IFERROR(SUM($DM300:$DO300),)</f>
        <v/>
      </c>
      <c r="BR300" s="128">
        <f>IFERROR(SUM($DP300:$DR300),)</f>
        <v/>
      </c>
      <c r="BS300" s="128">
        <f>IFERROR(SUM($DS300:$DU300),)</f>
        <v/>
      </c>
      <c r="BT300" s="128">
        <f>IFERROR(AI300*$W300,)</f>
        <v/>
      </c>
      <c r="BU300" s="128">
        <f>IFERROR(AJ300*$W300,)</f>
        <v/>
      </c>
      <c r="BV300" s="128">
        <f>IFERROR(AK300*$W300,)</f>
        <v/>
      </c>
      <c r="BW300" s="128">
        <f>IFERROR(AL300*$W300,)</f>
        <v/>
      </c>
      <c r="BX300" s="128">
        <f>IFERROR(AM300*$W300,)</f>
        <v/>
      </c>
      <c r="BY300" s="128">
        <f>IFERROR(AN300*$W300,)</f>
        <v/>
      </c>
      <c r="BZ300" s="128">
        <f>IFERROR(AO300*$W300,)</f>
        <v/>
      </c>
      <c r="CA300" s="128">
        <f>IFERROR(AP300*$W300,)</f>
        <v/>
      </c>
      <c r="CB300" s="128">
        <f>IFERROR(AQ300*$W300,)</f>
        <v/>
      </c>
      <c r="CC300" s="128">
        <f>IFERROR(AR300*$W300,)</f>
        <v/>
      </c>
      <c r="CD300" s="128">
        <f>IFERROR(AS300*$W300,)</f>
        <v/>
      </c>
      <c r="CE300" s="128">
        <f>IFERROR(AT300*$W300,)</f>
        <v/>
      </c>
      <c r="CF300" s="128">
        <f>IFERROR(AU300*$W300,)</f>
        <v/>
      </c>
      <c r="CG300" s="128">
        <f>IFERROR(AV300*$W300,)</f>
        <v/>
      </c>
      <c r="CH300" s="128">
        <f>IFERROR(AW300*$W300,)</f>
        <v/>
      </c>
      <c r="CI300" s="128">
        <f>IFERROR(AX300*$W300,)</f>
        <v/>
      </c>
      <c r="CJ300" s="128">
        <f>IFERROR(AY300*$W300,)</f>
        <v/>
      </c>
      <c r="CK300" s="128">
        <f>IFERROR(AZ300*$W300,)</f>
        <v/>
      </c>
      <c r="CL300" s="129">
        <f>IFERROR(if($Y300=0,BA300*($W300/1.2),BA300*$Y300),"")</f>
        <v/>
      </c>
      <c r="CM300" s="129">
        <f>IFERROR(if($Y300=0,BB300*($W300/1.2),BB300*$Y300),"")</f>
        <v/>
      </c>
      <c r="CN300" s="129">
        <f>IFERROR(if($Y300=0,BC300*($W300/1.2),BC300*$Y300),"")</f>
        <v/>
      </c>
      <c r="CO300" s="130">
        <f>IFERROR(if($AA300=0,($W300/1.35)*BD300,BD300*$AA300),)</f>
        <v/>
      </c>
      <c r="CP300" s="130">
        <f>IFERROR(if($AA300=0,($W300/1.35)*BE300,BE300*$AA300),)</f>
        <v/>
      </c>
      <c r="CQ300" s="130">
        <f>IFERROR(if($AA300=0,($W300/1.35)*BF300,BF300*$AA300),)</f>
        <v/>
      </c>
      <c r="CR300" s="128">
        <f>IFERROR(if($AC300=0,($W300/0.74)*BG300,
BG300*$AC300),)</f>
        <v/>
      </c>
      <c r="CS300" s="128">
        <f>IFERROR(if($AC300=0,($W300/0.74)*BH300,
BH300*$AC300),)</f>
        <v/>
      </c>
      <c r="CT300" s="128">
        <f>IFERROR(if($AC300=0,($W300/0.74)*BI300,
BI300*$AC300),)</f>
        <v/>
      </c>
      <c r="CU300" s="128">
        <f>IFERROR(AI300*$V300,)</f>
        <v/>
      </c>
      <c r="CV300" s="128">
        <f>IFERROR(AJ300*$V300,)</f>
        <v/>
      </c>
      <c r="CW300" s="128">
        <f>IFERROR(AK300*$V300,)</f>
        <v/>
      </c>
      <c r="CX300" s="128">
        <f>IFERROR(AL300*$V300,)</f>
        <v/>
      </c>
      <c r="CY300" s="128">
        <f>IFERROR(AM300*$V300,)</f>
        <v/>
      </c>
      <c r="CZ300" s="128">
        <f>IFERROR(AN300*$V300,)</f>
        <v/>
      </c>
      <c r="DA300" s="128">
        <f>IFERROR(AO300*$V300,)</f>
        <v/>
      </c>
      <c r="DB300" s="128">
        <f>IFERROR(AP300*$V300,)</f>
        <v/>
      </c>
      <c r="DC300" s="128">
        <f>IFERROR(AQ300*$V300,)</f>
        <v/>
      </c>
      <c r="DD300" s="128">
        <f>IFERROR(AR300*$V300,)</f>
        <v/>
      </c>
      <c r="DE300" s="128">
        <f>IFERROR(AS300*$V300,)</f>
        <v/>
      </c>
      <c r="DF300" s="128">
        <f>IFERROR(AT300*$V300,)</f>
        <v/>
      </c>
      <c r="DG300" s="128">
        <f>IFERROR(AU300*$V300,)</f>
        <v/>
      </c>
      <c r="DH300" s="128">
        <f>IFERROR(AV300*$V300,)</f>
        <v/>
      </c>
      <c r="DI300" s="128">
        <f>IFERROR(AW300*$V300,)</f>
        <v/>
      </c>
      <c r="DJ300" s="128">
        <f>IFERROR(AX300*$V300,)</f>
        <v/>
      </c>
      <c r="DK300" s="128">
        <f>IFERROR(AY300*$V300,)</f>
        <v/>
      </c>
      <c r="DL300" s="128">
        <f>IFERROR(AZ300*$V300,)</f>
        <v/>
      </c>
      <c r="DM300" s="129">
        <f>IFERROR(if($X300=0,($V300/1.2)*BA300,
BA300*$X300),)</f>
        <v/>
      </c>
      <c r="DN300" s="129">
        <f>IFERROR(if($X300=0,($V300/1.2)*BB300,
BB300*$X300),)</f>
        <v/>
      </c>
      <c r="DO300" s="129">
        <f>IFERROR(if($X300=0,($V300/1.2)*BC300,
BC300*$X300),)</f>
        <v/>
      </c>
      <c r="DP300" s="130">
        <f>IFERROR(if($Z300=0,($V300/1.35)*BD300,
BD300*$Z300),)</f>
        <v/>
      </c>
      <c r="DQ300" s="130">
        <f>IFERROR(if($Z300=0,($V300/1.35)*BE300,
BE300*$Z300),)</f>
        <v/>
      </c>
      <c r="DR300" s="130">
        <f>IFERROR(if($Z300=0,($V300/1.35)*BF300,
BF300*$Z300),)</f>
        <v/>
      </c>
      <c r="DS300" s="128">
        <f>IFERROR(IF($AB300=0,($V300/0.74)*BG300,
BG300*$AB300),)</f>
        <v/>
      </c>
      <c r="DT300" s="128">
        <f>IFERROR(IF($AB300=0,($V300/0.74)*BH300,
BH300*$AB300),)</f>
        <v/>
      </c>
      <c r="DU300" s="128">
        <f>IFERROR(IF($AB300=0,($V300/0.74)*BI300,
BI300*$AB300),)</f>
        <v/>
      </c>
    </row>
    <row r="301" ht="131.25" customHeight="1" s="162">
      <c r="A301" s="115" t="n"/>
      <c r="B301" s="115" t="n"/>
      <c r="C301" s="115" t="n"/>
      <c r="D301" s="115" t="n"/>
      <c r="E301" s="115" t="n"/>
      <c r="F301" s="115" t="n"/>
      <c r="G301" s="115" t="n"/>
      <c r="H301" s="115" t="n"/>
      <c r="I301" s="115" t="n"/>
      <c r="J301" s="115" t="n"/>
      <c r="K301" s="115" t="n"/>
      <c r="L301" s="115" t="n"/>
      <c r="M301" s="115" t="n"/>
      <c r="N301" s="115" t="n"/>
      <c r="O301" s="115" t="n"/>
      <c r="P301" s="115" t="n"/>
      <c r="Q301" s="115" t="n"/>
      <c r="R301" s="115" t="n"/>
      <c r="S301" s="115" t="n"/>
      <c r="T301" s="115" t="n"/>
      <c r="U301" s="116" t="n"/>
      <c r="V301" s="116" t="n"/>
      <c r="W301" s="117" t="n"/>
      <c r="X301" s="118" t="n"/>
      <c r="Y301" s="119" t="n"/>
      <c r="Z301" s="120" t="n"/>
      <c r="AA301" s="121" t="n"/>
      <c r="AB301" s="122" t="n"/>
      <c r="AC301" s="117" t="n"/>
      <c r="AD301" s="123">
        <f>IF(SUM($AE301:$AH301)=0,"",SUM($AE301:$AH301))</f>
        <v/>
      </c>
      <c r="AE301" s="123">
        <f>iferror(IF(SUM($AI301:$AZ301)=0,"",SUM($AI301:$AZ301)),"")</f>
        <v/>
      </c>
      <c r="AF301" s="123">
        <f>iferror(IF(SUM($BA301:$BC301)=0,"",SUM($BA301:$BC301)),"")</f>
        <v/>
      </c>
      <c r="AG301" s="123">
        <f>iferror(IF(SUM($BD301:$BF301)=0,"",SUM($BD301:$BF301)),"")</f>
        <v/>
      </c>
      <c r="AH301" s="124">
        <f>iferror(IF(SUM($BG301:$BI301)=0,"",SUM($BG301:$BI301)),"")</f>
        <v/>
      </c>
      <c r="AI301" s="131" t="n"/>
      <c r="AJ301" s="132" t="n"/>
      <c r="AK301" s="132" t="n"/>
      <c r="AL301" s="132" t="n"/>
      <c r="AM301" s="132" t="n"/>
      <c r="AN301" s="132" t="n"/>
      <c r="AO301" s="132" t="n"/>
      <c r="AP301" s="132" t="n"/>
      <c r="AQ301" s="132" t="n"/>
      <c r="AR301" s="132" t="n"/>
      <c r="AS301" s="132" t="n"/>
      <c r="AT301" s="132" t="n"/>
      <c r="AU301" s="132" t="n"/>
      <c r="AV301" s="132" t="n"/>
      <c r="AW301" s="132" t="n"/>
      <c r="AX301" s="132" t="n"/>
      <c r="AY301" s="132" t="n"/>
      <c r="AZ301" s="133" t="n"/>
      <c r="BA301" s="131" t="n"/>
      <c r="BB301" s="132" t="n"/>
      <c r="BC301" s="133" t="n"/>
      <c r="BD301" s="131" t="n"/>
      <c r="BE301" s="132" t="n"/>
      <c r="BF301" s="133" t="n"/>
      <c r="BG301" s="131" t="n"/>
      <c r="BH301" s="132" t="n"/>
      <c r="BI301" s="132" t="n"/>
      <c r="BJ301" s="128">
        <f>iferror(SUM($BK301,($BL301*1.2),($BM301*1.35),($BN301*0.74)),)</f>
        <v/>
      </c>
      <c r="BK301" s="128">
        <f>IFERROR(SUM($BT301:$CK301),)</f>
        <v/>
      </c>
      <c r="BL301" s="129">
        <f>IFERROR(SUM($CL301:$CN301),)</f>
        <v/>
      </c>
      <c r="BM301" s="130">
        <f>IFERROR(SUM($CO301:$CQ301),)</f>
        <v/>
      </c>
      <c r="BN301" s="128">
        <f>IFERROR(SUM($CR301:$CT301),)</f>
        <v/>
      </c>
      <c r="BO301" s="128">
        <f>iferror(SUM($BP301,($BQ301*1.2),($BR301*1.35),($BS301*0.74)),)</f>
        <v/>
      </c>
      <c r="BP301" s="128">
        <f>IFERROR(SUM($CU301:$DL301),)</f>
        <v/>
      </c>
      <c r="BQ301" s="128">
        <f>IFERROR(SUM($DM301:$DO301),)</f>
        <v/>
      </c>
      <c r="BR301" s="128">
        <f>IFERROR(SUM($DP301:$DR301),)</f>
        <v/>
      </c>
      <c r="BS301" s="128">
        <f>IFERROR(SUM($DS301:$DU301),)</f>
        <v/>
      </c>
      <c r="BT301" s="128">
        <f>IFERROR(AI301*$W301,)</f>
        <v/>
      </c>
      <c r="BU301" s="128">
        <f>IFERROR(AJ301*$W301,)</f>
        <v/>
      </c>
      <c r="BV301" s="128">
        <f>IFERROR(AK301*$W301,)</f>
        <v/>
      </c>
      <c r="BW301" s="128">
        <f>IFERROR(AL301*$W301,)</f>
        <v/>
      </c>
      <c r="BX301" s="128">
        <f>IFERROR(AM301*$W301,)</f>
        <v/>
      </c>
      <c r="BY301" s="128">
        <f>IFERROR(AN301*$W301,)</f>
        <v/>
      </c>
      <c r="BZ301" s="128">
        <f>IFERROR(AO301*$W301,)</f>
        <v/>
      </c>
      <c r="CA301" s="128">
        <f>IFERROR(AP301*$W301,)</f>
        <v/>
      </c>
      <c r="CB301" s="128">
        <f>IFERROR(AQ301*$W301,)</f>
        <v/>
      </c>
      <c r="CC301" s="128">
        <f>IFERROR(AR301*$W301,)</f>
        <v/>
      </c>
      <c r="CD301" s="128">
        <f>IFERROR(AS301*$W301,)</f>
        <v/>
      </c>
      <c r="CE301" s="128">
        <f>IFERROR(AT301*$W301,)</f>
        <v/>
      </c>
      <c r="CF301" s="128">
        <f>IFERROR(AU301*$W301,)</f>
        <v/>
      </c>
      <c r="CG301" s="128">
        <f>IFERROR(AV301*$W301,)</f>
        <v/>
      </c>
      <c r="CH301" s="128">
        <f>IFERROR(AW301*$W301,)</f>
        <v/>
      </c>
      <c r="CI301" s="128">
        <f>IFERROR(AX301*$W301,)</f>
        <v/>
      </c>
      <c r="CJ301" s="128">
        <f>IFERROR(AY301*$W301,)</f>
        <v/>
      </c>
      <c r="CK301" s="128">
        <f>IFERROR(AZ301*$W301,)</f>
        <v/>
      </c>
      <c r="CL301" s="129">
        <f>IFERROR(if($Y301=0,BA301*($W301/1.2),BA301*$Y301),"")</f>
        <v/>
      </c>
      <c r="CM301" s="129">
        <f>IFERROR(if($Y301=0,BB301*($W301/1.2),BB301*$Y301),"")</f>
        <v/>
      </c>
      <c r="CN301" s="129">
        <f>IFERROR(if($Y301=0,BC301*($W301/1.2),BC301*$Y301),"")</f>
        <v/>
      </c>
      <c r="CO301" s="130">
        <f>IFERROR(if($AA301=0,($W301/1.35)*BD301,BD301*$AA301),)</f>
        <v/>
      </c>
      <c r="CP301" s="130">
        <f>IFERROR(if($AA301=0,($W301/1.35)*BE301,BE301*$AA301),)</f>
        <v/>
      </c>
      <c r="CQ301" s="130">
        <f>IFERROR(if($AA301=0,($W301/1.35)*BF301,BF301*$AA301),)</f>
        <v/>
      </c>
      <c r="CR301" s="128">
        <f>IFERROR(if($AC301=0,($W301/0.74)*BG301,
BG301*$AC301),)</f>
        <v/>
      </c>
      <c r="CS301" s="128">
        <f>IFERROR(if($AC301=0,($W301/0.74)*BH301,
BH301*$AC301),)</f>
        <v/>
      </c>
      <c r="CT301" s="128">
        <f>IFERROR(if($AC301=0,($W301/0.74)*BI301,
BI301*$AC301),)</f>
        <v/>
      </c>
      <c r="CU301" s="128">
        <f>IFERROR(AI301*$V301,)</f>
        <v/>
      </c>
      <c r="CV301" s="128">
        <f>IFERROR(AJ301*$V301,)</f>
        <v/>
      </c>
      <c r="CW301" s="128">
        <f>IFERROR(AK301*$V301,)</f>
        <v/>
      </c>
      <c r="CX301" s="128">
        <f>IFERROR(AL301*$V301,)</f>
        <v/>
      </c>
      <c r="CY301" s="128">
        <f>IFERROR(AM301*$V301,)</f>
        <v/>
      </c>
      <c r="CZ301" s="128">
        <f>IFERROR(AN301*$V301,)</f>
        <v/>
      </c>
      <c r="DA301" s="128">
        <f>IFERROR(AO301*$V301,)</f>
        <v/>
      </c>
      <c r="DB301" s="128">
        <f>IFERROR(AP301*$V301,)</f>
        <v/>
      </c>
      <c r="DC301" s="128">
        <f>IFERROR(AQ301*$V301,)</f>
        <v/>
      </c>
      <c r="DD301" s="128">
        <f>IFERROR(AR301*$V301,)</f>
        <v/>
      </c>
      <c r="DE301" s="128">
        <f>IFERROR(AS301*$V301,)</f>
        <v/>
      </c>
      <c r="DF301" s="128">
        <f>IFERROR(AT301*$V301,)</f>
        <v/>
      </c>
      <c r="DG301" s="128">
        <f>IFERROR(AU301*$V301,)</f>
        <v/>
      </c>
      <c r="DH301" s="128">
        <f>IFERROR(AV301*$V301,)</f>
        <v/>
      </c>
      <c r="DI301" s="128">
        <f>IFERROR(AW301*$V301,)</f>
        <v/>
      </c>
      <c r="DJ301" s="128">
        <f>IFERROR(AX301*$V301,)</f>
        <v/>
      </c>
      <c r="DK301" s="128">
        <f>IFERROR(AY301*$V301,)</f>
        <v/>
      </c>
      <c r="DL301" s="128">
        <f>IFERROR(AZ301*$V301,)</f>
        <v/>
      </c>
      <c r="DM301" s="129">
        <f>IFERROR(if($X301=0,($V301/1.2)*BA301,
BA301*$X301),)</f>
        <v/>
      </c>
      <c r="DN301" s="129">
        <f>IFERROR(if($X301=0,($V301/1.2)*BB301,
BB301*$X301),)</f>
        <v/>
      </c>
      <c r="DO301" s="129">
        <f>IFERROR(if($X301=0,($V301/1.2)*BC301,
BC301*$X301),)</f>
        <v/>
      </c>
      <c r="DP301" s="130">
        <f>IFERROR(if($Z301=0,($V301/1.35)*BD301,
BD301*$Z301),)</f>
        <v/>
      </c>
      <c r="DQ301" s="130">
        <f>IFERROR(if($Z301=0,($V301/1.35)*BE301,
BE301*$Z301),)</f>
        <v/>
      </c>
      <c r="DR301" s="130">
        <f>IFERROR(if($Z301=0,($V301/1.35)*BF301,
BF301*$Z301),)</f>
        <v/>
      </c>
      <c r="DS301" s="128">
        <f>IFERROR(IF($AB301=0,($V301/0.74)*BG301,
BG301*$AB301),)</f>
        <v/>
      </c>
      <c r="DT301" s="128">
        <f>IFERROR(IF($AB301=0,($V301/0.74)*BH301,
BH301*$AB301),)</f>
        <v/>
      </c>
      <c r="DU301" s="128">
        <f>IFERROR(IF($AB301=0,($V301/0.74)*BI301,
BI301*$AB301),)</f>
        <v/>
      </c>
    </row>
    <row r="302" ht="131.25" customHeight="1" s="162">
      <c r="A302" s="115" t="n"/>
      <c r="B302" s="115" t="n"/>
      <c r="C302" s="115" t="n"/>
      <c r="D302" s="115" t="n"/>
      <c r="E302" s="115" t="n"/>
      <c r="F302" s="115" t="n"/>
      <c r="G302" s="115" t="n"/>
      <c r="H302" s="115" t="n"/>
      <c r="I302" s="115" t="n"/>
      <c r="J302" s="115" t="n"/>
      <c r="K302" s="115" t="n"/>
      <c r="L302" s="115" t="n"/>
      <c r="M302" s="115" t="n"/>
      <c r="N302" s="115" t="n"/>
      <c r="O302" s="115" t="n"/>
      <c r="P302" s="115" t="n"/>
      <c r="Q302" s="115" t="n"/>
      <c r="R302" s="115" t="n"/>
      <c r="S302" s="115" t="n"/>
      <c r="T302" s="115" t="n"/>
      <c r="U302" s="116" t="n"/>
      <c r="V302" s="116" t="n"/>
      <c r="W302" s="117" t="n"/>
      <c r="X302" s="118" t="n"/>
      <c r="Y302" s="119" t="n"/>
      <c r="Z302" s="120" t="n"/>
      <c r="AA302" s="121" t="n"/>
      <c r="AB302" s="122" t="n"/>
      <c r="AC302" s="117" t="n"/>
      <c r="AD302" s="123">
        <f>IF(SUM($AE302:$AH302)=0,"",SUM($AE302:$AH302))</f>
        <v/>
      </c>
      <c r="AE302" s="123">
        <f>iferror(IF(SUM($AI302:$AZ302)=0,"",SUM($AI302:$AZ302)),"")</f>
        <v/>
      </c>
      <c r="AF302" s="123">
        <f>iferror(IF(SUM($BA302:$BC302)=0,"",SUM($BA302:$BC302)),"")</f>
        <v/>
      </c>
      <c r="AG302" s="123">
        <f>iferror(IF(SUM($BD302:$BF302)=0,"",SUM($BD302:$BF302)),"")</f>
        <v/>
      </c>
      <c r="AH302" s="124">
        <f>iferror(IF(SUM($BG302:$BI302)=0,"",SUM($BG302:$BI302)),"")</f>
        <v/>
      </c>
      <c r="AI302" s="131" t="n"/>
      <c r="AJ302" s="132" t="n"/>
      <c r="AK302" s="132" t="n"/>
      <c r="AL302" s="132" t="n"/>
      <c r="AM302" s="132" t="n"/>
      <c r="AN302" s="132" t="n"/>
      <c r="AO302" s="132" t="n"/>
      <c r="AP302" s="132" t="n"/>
      <c r="AQ302" s="132" t="n"/>
      <c r="AR302" s="132" t="n"/>
      <c r="AS302" s="132" t="n"/>
      <c r="AT302" s="132" t="n"/>
      <c r="AU302" s="132" t="n"/>
      <c r="AV302" s="132" t="n"/>
      <c r="AW302" s="132" t="n"/>
      <c r="AX302" s="132" t="n"/>
      <c r="AY302" s="132" t="n"/>
      <c r="AZ302" s="133" t="n"/>
      <c r="BA302" s="131" t="n"/>
      <c r="BB302" s="132" t="n"/>
      <c r="BC302" s="133" t="n"/>
      <c r="BD302" s="131" t="n"/>
      <c r="BE302" s="132" t="n"/>
      <c r="BF302" s="133" t="n"/>
      <c r="BG302" s="131" t="n"/>
      <c r="BH302" s="132" t="n"/>
      <c r="BI302" s="132" t="n"/>
      <c r="BJ302" s="128">
        <f>iferror(SUM($BK302,($BL302*1.2),($BM302*1.35),($BN302*0.74)),)</f>
        <v/>
      </c>
      <c r="BK302" s="128">
        <f>IFERROR(SUM($BT302:$CK302),)</f>
        <v/>
      </c>
      <c r="BL302" s="129">
        <f>IFERROR(SUM($CL302:$CN302),)</f>
        <v/>
      </c>
      <c r="BM302" s="130">
        <f>IFERROR(SUM($CO302:$CQ302),)</f>
        <v/>
      </c>
      <c r="BN302" s="128">
        <f>IFERROR(SUM($CR302:$CT302),)</f>
        <v/>
      </c>
      <c r="BO302" s="128">
        <f>iferror(SUM($BP302,($BQ302*1.2),($BR302*1.35),($BS302*0.74)),)</f>
        <v/>
      </c>
      <c r="BP302" s="128">
        <f>IFERROR(SUM($CU302:$DL302),)</f>
        <v/>
      </c>
      <c r="BQ302" s="128">
        <f>IFERROR(SUM($DM302:$DO302),)</f>
        <v/>
      </c>
      <c r="BR302" s="128">
        <f>IFERROR(SUM($DP302:$DR302),)</f>
        <v/>
      </c>
      <c r="BS302" s="128">
        <f>IFERROR(SUM($DS302:$DU302),)</f>
        <v/>
      </c>
      <c r="BT302" s="128">
        <f>IFERROR(AI302*$W302,)</f>
        <v/>
      </c>
      <c r="BU302" s="128">
        <f>IFERROR(AJ302*$W302,)</f>
        <v/>
      </c>
      <c r="BV302" s="128">
        <f>IFERROR(AK302*$W302,)</f>
        <v/>
      </c>
      <c r="BW302" s="128">
        <f>IFERROR(AL302*$W302,)</f>
        <v/>
      </c>
      <c r="BX302" s="128">
        <f>IFERROR(AM302*$W302,)</f>
        <v/>
      </c>
      <c r="BY302" s="128">
        <f>IFERROR(AN302*$W302,)</f>
        <v/>
      </c>
      <c r="BZ302" s="128">
        <f>IFERROR(AO302*$W302,)</f>
        <v/>
      </c>
      <c r="CA302" s="128">
        <f>IFERROR(AP302*$W302,)</f>
        <v/>
      </c>
      <c r="CB302" s="128">
        <f>IFERROR(AQ302*$W302,)</f>
        <v/>
      </c>
      <c r="CC302" s="128">
        <f>IFERROR(AR302*$W302,)</f>
        <v/>
      </c>
      <c r="CD302" s="128">
        <f>IFERROR(AS302*$W302,)</f>
        <v/>
      </c>
      <c r="CE302" s="128">
        <f>IFERROR(AT302*$W302,)</f>
        <v/>
      </c>
      <c r="CF302" s="128">
        <f>IFERROR(AU302*$W302,)</f>
        <v/>
      </c>
      <c r="CG302" s="128">
        <f>IFERROR(AV302*$W302,)</f>
        <v/>
      </c>
      <c r="CH302" s="128">
        <f>IFERROR(AW302*$W302,)</f>
        <v/>
      </c>
      <c r="CI302" s="128">
        <f>IFERROR(AX302*$W302,)</f>
        <v/>
      </c>
      <c r="CJ302" s="128">
        <f>IFERROR(AY302*$W302,)</f>
        <v/>
      </c>
      <c r="CK302" s="128">
        <f>IFERROR(AZ302*$W302,)</f>
        <v/>
      </c>
      <c r="CL302" s="129">
        <f>IFERROR(if($Y302=0,BA302*($W302/1.2),BA302*$Y302),"")</f>
        <v/>
      </c>
      <c r="CM302" s="129">
        <f>IFERROR(if($Y302=0,BB302*($W302/1.2),BB302*$Y302),"")</f>
        <v/>
      </c>
      <c r="CN302" s="129">
        <f>IFERROR(if($Y302=0,BC302*($W302/1.2),BC302*$Y302),"")</f>
        <v/>
      </c>
      <c r="CO302" s="130">
        <f>IFERROR(if($AA302=0,($W302/1.35)*BD302,BD302*$AA302),)</f>
        <v/>
      </c>
      <c r="CP302" s="130">
        <f>IFERROR(if($AA302=0,($W302/1.35)*BE302,BE302*$AA302),)</f>
        <v/>
      </c>
      <c r="CQ302" s="130">
        <f>IFERROR(if($AA302=0,($W302/1.35)*BF302,BF302*$AA302),)</f>
        <v/>
      </c>
      <c r="CR302" s="128">
        <f>IFERROR(if($AC302=0,($W302/0.74)*BG302,
BG302*$AC302),)</f>
        <v/>
      </c>
      <c r="CS302" s="128">
        <f>IFERROR(if($AC302=0,($W302/0.74)*BH302,
BH302*$AC302),)</f>
        <v/>
      </c>
      <c r="CT302" s="128">
        <f>IFERROR(if($AC302=0,($W302/0.74)*BI302,
BI302*$AC302),)</f>
        <v/>
      </c>
      <c r="CU302" s="128">
        <f>IFERROR(AI302*$V302,)</f>
        <v/>
      </c>
      <c r="CV302" s="128">
        <f>IFERROR(AJ302*$V302,)</f>
        <v/>
      </c>
      <c r="CW302" s="128">
        <f>IFERROR(AK302*$V302,)</f>
        <v/>
      </c>
      <c r="CX302" s="128">
        <f>IFERROR(AL302*$V302,)</f>
        <v/>
      </c>
      <c r="CY302" s="128">
        <f>IFERROR(AM302*$V302,)</f>
        <v/>
      </c>
      <c r="CZ302" s="128">
        <f>IFERROR(AN302*$V302,)</f>
        <v/>
      </c>
      <c r="DA302" s="128">
        <f>IFERROR(AO302*$V302,)</f>
        <v/>
      </c>
      <c r="DB302" s="128">
        <f>IFERROR(AP302*$V302,)</f>
        <v/>
      </c>
      <c r="DC302" s="128">
        <f>IFERROR(AQ302*$V302,)</f>
        <v/>
      </c>
      <c r="DD302" s="128">
        <f>IFERROR(AR302*$V302,)</f>
        <v/>
      </c>
      <c r="DE302" s="128">
        <f>IFERROR(AS302*$V302,)</f>
        <v/>
      </c>
      <c r="DF302" s="128">
        <f>IFERROR(AT302*$V302,)</f>
        <v/>
      </c>
      <c r="DG302" s="128">
        <f>IFERROR(AU302*$V302,)</f>
        <v/>
      </c>
      <c r="DH302" s="128">
        <f>IFERROR(AV302*$V302,)</f>
        <v/>
      </c>
      <c r="DI302" s="128">
        <f>IFERROR(AW302*$V302,)</f>
        <v/>
      </c>
      <c r="DJ302" s="128">
        <f>IFERROR(AX302*$V302,)</f>
        <v/>
      </c>
      <c r="DK302" s="128">
        <f>IFERROR(AY302*$V302,)</f>
        <v/>
      </c>
      <c r="DL302" s="128">
        <f>IFERROR(AZ302*$V302,)</f>
        <v/>
      </c>
      <c r="DM302" s="129">
        <f>IFERROR(if($X302=0,($V302/1.2)*BA302,
BA302*$X302),)</f>
        <v/>
      </c>
      <c r="DN302" s="129">
        <f>IFERROR(if($X302=0,($V302/1.2)*BB302,
BB302*$X302),)</f>
        <v/>
      </c>
      <c r="DO302" s="129">
        <f>IFERROR(if($X302=0,($V302/1.2)*BC302,
BC302*$X302),)</f>
        <v/>
      </c>
      <c r="DP302" s="130">
        <f>IFERROR(if($Z302=0,($V302/1.35)*BD302,
BD302*$Z302),)</f>
        <v/>
      </c>
      <c r="DQ302" s="130">
        <f>IFERROR(if($Z302=0,($V302/1.35)*BE302,
BE302*$Z302),)</f>
        <v/>
      </c>
      <c r="DR302" s="130">
        <f>IFERROR(if($Z302=0,($V302/1.35)*BF302,
BF302*$Z302),)</f>
        <v/>
      </c>
      <c r="DS302" s="128">
        <f>IFERROR(IF($AB302=0,($V302/0.74)*BG302,
BG302*$AB302),)</f>
        <v/>
      </c>
      <c r="DT302" s="128">
        <f>IFERROR(IF($AB302=0,($V302/0.74)*BH302,
BH302*$AB302),)</f>
        <v/>
      </c>
      <c r="DU302" s="128">
        <f>IFERROR(IF($AB302=0,($V302/0.74)*BI302,
BI302*$AB302),)</f>
        <v/>
      </c>
    </row>
    <row r="303" ht="131.25" customHeight="1" s="162">
      <c r="A303" s="115" t="n"/>
      <c r="B303" s="115" t="n"/>
      <c r="C303" s="115" t="n"/>
      <c r="D303" s="115" t="n"/>
      <c r="E303" s="115" t="n"/>
      <c r="F303" s="115" t="n"/>
      <c r="G303" s="115" t="n"/>
      <c r="H303" s="115" t="n"/>
      <c r="I303" s="115" t="n"/>
      <c r="J303" s="115" t="n"/>
      <c r="K303" s="115" t="n"/>
      <c r="L303" s="115" t="n"/>
      <c r="M303" s="115" t="n"/>
      <c r="N303" s="115" t="n"/>
      <c r="O303" s="115" t="n"/>
      <c r="P303" s="115" t="n"/>
      <c r="Q303" s="115" t="n"/>
      <c r="R303" s="115" t="n"/>
      <c r="S303" s="115" t="n"/>
      <c r="T303" s="115" t="n"/>
      <c r="U303" s="116" t="n"/>
      <c r="V303" s="116" t="n"/>
      <c r="W303" s="117" t="n"/>
      <c r="X303" s="118" t="n"/>
      <c r="Y303" s="119" t="n"/>
      <c r="Z303" s="120" t="n"/>
      <c r="AA303" s="121" t="n"/>
      <c r="AB303" s="122" t="n"/>
      <c r="AC303" s="117" t="n"/>
      <c r="AD303" s="123">
        <f>IF(SUM($AE303:$AH303)=0,"",SUM($AE303:$AH303))</f>
        <v/>
      </c>
      <c r="AE303" s="123">
        <f>iferror(IF(SUM($AI303:$AZ303)=0,"",SUM($AI303:$AZ303)),"")</f>
        <v/>
      </c>
      <c r="AF303" s="123">
        <f>iferror(IF(SUM($BA303:$BC303)=0,"",SUM($BA303:$BC303)),"")</f>
        <v/>
      </c>
      <c r="AG303" s="123">
        <f>iferror(IF(SUM($BD303:$BF303)=0,"",SUM($BD303:$BF303)),"")</f>
        <v/>
      </c>
      <c r="AH303" s="124">
        <f>iferror(IF(SUM($BG303:$BI303)=0,"",SUM($BG303:$BI303)),"")</f>
        <v/>
      </c>
      <c r="AI303" s="131" t="n"/>
      <c r="AJ303" s="132" t="n"/>
      <c r="AK303" s="132" t="n"/>
      <c r="AL303" s="132" t="n"/>
      <c r="AM303" s="132" t="n"/>
      <c r="AN303" s="132" t="n"/>
      <c r="AO303" s="132" t="n"/>
      <c r="AP303" s="132" t="n"/>
      <c r="AQ303" s="132" t="n"/>
      <c r="AR303" s="132" t="n"/>
      <c r="AS303" s="132" t="n"/>
      <c r="AT303" s="132" t="n"/>
      <c r="AU303" s="132" t="n"/>
      <c r="AV303" s="132" t="n"/>
      <c r="AW303" s="132" t="n"/>
      <c r="AX303" s="132" t="n"/>
      <c r="AY303" s="132" t="n"/>
      <c r="AZ303" s="133" t="n"/>
      <c r="BA303" s="131" t="n"/>
      <c r="BB303" s="132" t="n"/>
      <c r="BC303" s="133" t="n"/>
      <c r="BD303" s="131" t="n"/>
      <c r="BE303" s="132" t="n"/>
      <c r="BF303" s="133" t="n"/>
      <c r="BG303" s="131" t="n"/>
      <c r="BH303" s="132" t="n"/>
      <c r="BI303" s="132" t="n"/>
      <c r="BJ303" s="128">
        <f>iferror(SUM($BK303,($BL303*1.2),($BM303*1.35),($BN303*0.74)),)</f>
        <v/>
      </c>
      <c r="BK303" s="128">
        <f>IFERROR(SUM($BT303:$CK303),)</f>
        <v/>
      </c>
      <c r="BL303" s="129">
        <f>IFERROR(SUM($CL303:$CN303),)</f>
        <v/>
      </c>
      <c r="BM303" s="130">
        <f>IFERROR(SUM($CO303:$CQ303),)</f>
        <v/>
      </c>
      <c r="BN303" s="128">
        <f>IFERROR(SUM($CR303:$CT303),)</f>
        <v/>
      </c>
      <c r="BO303" s="128">
        <f>iferror(SUM($BP303,($BQ303*1.2),($BR303*1.35),($BS303*0.74)),)</f>
        <v/>
      </c>
      <c r="BP303" s="128">
        <f>IFERROR(SUM($CU303:$DL303),)</f>
        <v/>
      </c>
      <c r="BQ303" s="128">
        <f>IFERROR(SUM($DM303:$DO303),)</f>
        <v/>
      </c>
      <c r="BR303" s="128">
        <f>IFERROR(SUM($DP303:$DR303),)</f>
        <v/>
      </c>
      <c r="BS303" s="128">
        <f>IFERROR(SUM($DS303:$DU303),)</f>
        <v/>
      </c>
      <c r="BT303" s="128">
        <f>IFERROR(AI303*$W303,)</f>
        <v/>
      </c>
      <c r="BU303" s="128">
        <f>IFERROR(AJ303*$W303,)</f>
        <v/>
      </c>
      <c r="BV303" s="128">
        <f>IFERROR(AK303*$W303,)</f>
        <v/>
      </c>
      <c r="BW303" s="128">
        <f>IFERROR(AL303*$W303,)</f>
        <v/>
      </c>
      <c r="BX303" s="128">
        <f>IFERROR(AM303*$W303,)</f>
        <v/>
      </c>
      <c r="BY303" s="128">
        <f>IFERROR(AN303*$W303,)</f>
        <v/>
      </c>
      <c r="BZ303" s="128">
        <f>IFERROR(AO303*$W303,)</f>
        <v/>
      </c>
      <c r="CA303" s="128">
        <f>IFERROR(AP303*$W303,)</f>
        <v/>
      </c>
      <c r="CB303" s="128">
        <f>IFERROR(AQ303*$W303,)</f>
        <v/>
      </c>
      <c r="CC303" s="128">
        <f>IFERROR(AR303*$W303,)</f>
        <v/>
      </c>
      <c r="CD303" s="128">
        <f>IFERROR(AS303*$W303,)</f>
        <v/>
      </c>
      <c r="CE303" s="128">
        <f>IFERROR(AT303*$W303,)</f>
        <v/>
      </c>
      <c r="CF303" s="128">
        <f>IFERROR(AU303*$W303,)</f>
        <v/>
      </c>
      <c r="CG303" s="128">
        <f>IFERROR(AV303*$W303,)</f>
        <v/>
      </c>
      <c r="CH303" s="128">
        <f>IFERROR(AW303*$W303,)</f>
        <v/>
      </c>
      <c r="CI303" s="128">
        <f>IFERROR(AX303*$W303,)</f>
        <v/>
      </c>
      <c r="CJ303" s="128">
        <f>IFERROR(AY303*$W303,)</f>
        <v/>
      </c>
      <c r="CK303" s="128">
        <f>IFERROR(AZ303*$W303,)</f>
        <v/>
      </c>
      <c r="CL303" s="129">
        <f>IFERROR(if($Y303=0,BA303*($W303/1.2),BA303*$Y303),"")</f>
        <v/>
      </c>
      <c r="CM303" s="129">
        <f>IFERROR(if($Y303=0,BB303*($W303/1.2),BB303*$Y303),"")</f>
        <v/>
      </c>
      <c r="CN303" s="129">
        <f>IFERROR(if($Y303=0,BC303*($W303/1.2),BC303*$Y303),"")</f>
        <v/>
      </c>
      <c r="CO303" s="130">
        <f>IFERROR(if($AA303=0,($W303/1.35)*BD303,BD303*$AA303),)</f>
        <v/>
      </c>
      <c r="CP303" s="130">
        <f>IFERROR(if($AA303=0,($W303/1.35)*BE303,BE303*$AA303),)</f>
        <v/>
      </c>
      <c r="CQ303" s="130">
        <f>IFERROR(if($AA303=0,($W303/1.35)*BF303,BF303*$AA303),)</f>
        <v/>
      </c>
      <c r="CR303" s="128">
        <f>IFERROR(if($AC303=0,($W303/0.74)*BG303,
BG303*$AC303),)</f>
        <v/>
      </c>
      <c r="CS303" s="128">
        <f>IFERROR(if($AC303=0,($W303/0.74)*BH303,
BH303*$AC303),)</f>
        <v/>
      </c>
      <c r="CT303" s="128">
        <f>IFERROR(if($AC303=0,($W303/0.74)*BI303,
BI303*$AC303),)</f>
        <v/>
      </c>
      <c r="CU303" s="128">
        <f>IFERROR(AI303*$V303,)</f>
        <v/>
      </c>
      <c r="CV303" s="128">
        <f>IFERROR(AJ303*$V303,)</f>
        <v/>
      </c>
      <c r="CW303" s="128">
        <f>IFERROR(AK303*$V303,)</f>
        <v/>
      </c>
      <c r="CX303" s="128">
        <f>IFERROR(AL303*$V303,)</f>
        <v/>
      </c>
      <c r="CY303" s="128">
        <f>IFERROR(AM303*$V303,)</f>
        <v/>
      </c>
      <c r="CZ303" s="128">
        <f>IFERROR(AN303*$V303,)</f>
        <v/>
      </c>
      <c r="DA303" s="128">
        <f>IFERROR(AO303*$V303,)</f>
        <v/>
      </c>
      <c r="DB303" s="128">
        <f>IFERROR(AP303*$V303,)</f>
        <v/>
      </c>
      <c r="DC303" s="128">
        <f>IFERROR(AQ303*$V303,)</f>
        <v/>
      </c>
      <c r="DD303" s="128">
        <f>IFERROR(AR303*$V303,)</f>
        <v/>
      </c>
      <c r="DE303" s="128">
        <f>IFERROR(AS303*$V303,)</f>
        <v/>
      </c>
      <c r="DF303" s="128">
        <f>IFERROR(AT303*$V303,)</f>
        <v/>
      </c>
      <c r="DG303" s="128">
        <f>IFERROR(AU303*$V303,)</f>
        <v/>
      </c>
      <c r="DH303" s="128">
        <f>IFERROR(AV303*$V303,)</f>
        <v/>
      </c>
      <c r="DI303" s="128">
        <f>IFERROR(AW303*$V303,)</f>
        <v/>
      </c>
      <c r="DJ303" s="128">
        <f>IFERROR(AX303*$V303,)</f>
        <v/>
      </c>
      <c r="DK303" s="128">
        <f>IFERROR(AY303*$V303,)</f>
        <v/>
      </c>
      <c r="DL303" s="128">
        <f>IFERROR(AZ303*$V303,)</f>
        <v/>
      </c>
      <c r="DM303" s="129">
        <f>IFERROR(if($X303=0,($V303/1.2)*BA303,
BA303*$X303),)</f>
        <v/>
      </c>
      <c r="DN303" s="129">
        <f>IFERROR(if($X303=0,($V303/1.2)*BB303,
BB303*$X303),)</f>
        <v/>
      </c>
      <c r="DO303" s="129">
        <f>IFERROR(if($X303=0,($V303/1.2)*BC303,
BC303*$X303),)</f>
        <v/>
      </c>
      <c r="DP303" s="130">
        <f>IFERROR(if($Z303=0,($V303/1.35)*BD303,
BD303*$Z303),)</f>
        <v/>
      </c>
      <c r="DQ303" s="130">
        <f>IFERROR(if($Z303=0,($V303/1.35)*BE303,
BE303*$Z303),)</f>
        <v/>
      </c>
      <c r="DR303" s="130">
        <f>IFERROR(if($Z303=0,($V303/1.35)*BF303,
BF303*$Z303),)</f>
        <v/>
      </c>
      <c r="DS303" s="128">
        <f>IFERROR(IF($AB303=0,($V303/0.74)*BG303,
BG303*$AB303),)</f>
        <v/>
      </c>
      <c r="DT303" s="128">
        <f>IFERROR(IF($AB303=0,($V303/0.74)*BH303,
BH303*$AB303),)</f>
        <v/>
      </c>
      <c r="DU303" s="128">
        <f>IFERROR(IF($AB303=0,($V303/0.74)*BI303,
BI303*$AB303),)</f>
        <v/>
      </c>
    </row>
    <row r="304" ht="131.25" customHeight="1" s="162">
      <c r="A304" s="115" t="n"/>
      <c r="B304" s="115" t="n"/>
      <c r="C304" s="115" t="n"/>
      <c r="D304" s="115" t="n"/>
      <c r="E304" s="115" t="n"/>
      <c r="F304" s="115" t="n"/>
      <c r="G304" s="115" t="n"/>
      <c r="H304" s="115" t="n"/>
      <c r="I304" s="115" t="n"/>
      <c r="J304" s="115" t="n"/>
      <c r="K304" s="115" t="n"/>
      <c r="L304" s="115" t="n"/>
      <c r="M304" s="115" t="n"/>
      <c r="N304" s="115" t="n"/>
      <c r="O304" s="115" t="n"/>
      <c r="P304" s="115" t="n"/>
      <c r="Q304" s="115" t="n"/>
      <c r="R304" s="115" t="n"/>
      <c r="S304" s="115" t="n"/>
      <c r="T304" s="115" t="n"/>
      <c r="U304" s="116" t="n"/>
      <c r="V304" s="116" t="n"/>
      <c r="W304" s="117" t="n"/>
      <c r="X304" s="118" t="n"/>
      <c r="Y304" s="119" t="n"/>
      <c r="Z304" s="120" t="n"/>
      <c r="AA304" s="121" t="n"/>
      <c r="AB304" s="122" t="n"/>
      <c r="AC304" s="117" t="n"/>
      <c r="AD304" s="123">
        <f>IF(SUM($AE304:$AH304)=0,"",SUM($AE304:$AH304))</f>
        <v/>
      </c>
      <c r="AE304" s="123">
        <f>iferror(IF(SUM($AI304:$AZ304)=0,"",SUM($AI304:$AZ304)),"")</f>
        <v/>
      </c>
      <c r="AF304" s="123">
        <f>iferror(IF(SUM($BA304:$BC304)=0,"",SUM($BA304:$BC304)),"")</f>
        <v/>
      </c>
      <c r="AG304" s="123">
        <f>iferror(IF(SUM($BD304:$BF304)=0,"",SUM($BD304:$BF304)),"")</f>
        <v/>
      </c>
      <c r="AH304" s="124">
        <f>iferror(IF(SUM($BG304:$BI304)=0,"",SUM($BG304:$BI304)),"")</f>
        <v/>
      </c>
      <c r="AI304" s="131" t="n"/>
      <c r="AJ304" s="132" t="n"/>
      <c r="AK304" s="132" t="n"/>
      <c r="AL304" s="132" t="n"/>
      <c r="AM304" s="132" t="n"/>
      <c r="AN304" s="132" t="n"/>
      <c r="AO304" s="132" t="n"/>
      <c r="AP304" s="132" t="n"/>
      <c r="AQ304" s="132" t="n"/>
      <c r="AR304" s="132" t="n"/>
      <c r="AS304" s="132" t="n"/>
      <c r="AT304" s="132" t="n"/>
      <c r="AU304" s="132" t="n"/>
      <c r="AV304" s="132" t="n"/>
      <c r="AW304" s="132" t="n"/>
      <c r="AX304" s="132" t="n"/>
      <c r="AY304" s="132" t="n"/>
      <c r="AZ304" s="133" t="n"/>
      <c r="BA304" s="131" t="n"/>
      <c r="BB304" s="132" t="n"/>
      <c r="BC304" s="133" t="n"/>
      <c r="BD304" s="131" t="n"/>
      <c r="BE304" s="132" t="n"/>
      <c r="BF304" s="133" t="n"/>
      <c r="BG304" s="131" t="n"/>
      <c r="BH304" s="132" t="n"/>
      <c r="BI304" s="132" t="n"/>
      <c r="BJ304" s="128">
        <f>iferror(SUM($BK304,($BL304*1.2),($BM304*1.35),($BN304*0.74)),)</f>
        <v/>
      </c>
      <c r="BK304" s="128">
        <f>IFERROR(SUM($BT304:$CK304),)</f>
        <v/>
      </c>
      <c r="BL304" s="129">
        <f>IFERROR(SUM($CL304:$CN304),)</f>
        <v/>
      </c>
      <c r="BM304" s="130">
        <f>IFERROR(SUM($CO304:$CQ304),)</f>
        <v/>
      </c>
      <c r="BN304" s="128">
        <f>IFERROR(SUM($CR304:$CT304),)</f>
        <v/>
      </c>
      <c r="BO304" s="128">
        <f>iferror(SUM($BP304,($BQ304*1.2),($BR304*1.35),($BS304*0.74)),)</f>
        <v/>
      </c>
      <c r="BP304" s="128">
        <f>IFERROR(SUM($CU304:$DL304),)</f>
        <v/>
      </c>
      <c r="BQ304" s="128">
        <f>IFERROR(SUM($DM304:$DO304),)</f>
        <v/>
      </c>
      <c r="BR304" s="128">
        <f>IFERROR(SUM($DP304:$DR304),)</f>
        <v/>
      </c>
      <c r="BS304" s="128">
        <f>IFERROR(SUM($DS304:$DU304),)</f>
        <v/>
      </c>
      <c r="BT304" s="128">
        <f>IFERROR(AI304*$W304,)</f>
        <v/>
      </c>
      <c r="BU304" s="128">
        <f>IFERROR(AJ304*$W304,)</f>
        <v/>
      </c>
      <c r="BV304" s="128">
        <f>IFERROR(AK304*$W304,)</f>
        <v/>
      </c>
      <c r="BW304" s="128">
        <f>IFERROR(AL304*$W304,)</f>
        <v/>
      </c>
      <c r="BX304" s="128">
        <f>IFERROR(AM304*$W304,)</f>
        <v/>
      </c>
      <c r="BY304" s="128">
        <f>IFERROR(AN304*$W304,)</f>
        <v/>
      </c>
      <c r="BZ304" s="128">
        <f>IFERROR(AO304*$W304,)</f>
        <v/>
      </c>
      <c r="CA304" s="128">
        <f>IFERROR(AP304*$W304,)</f>
        <v/>
      </c>
      <c r="CB304" s="128">
        <f>IFERROR(AQ304*$W304,)</f>
        <v/>
      </c>
      <c r="CC304" s="128">
        <f>IFERROR(AR304*$W304,)</f>
        <v/>
      </c>
      <c r="CD304" s="128">
        <f>IFERROR(AS304*$W304,)</f>
        <v/>
      </c>
      <c r="CE304" s="128">
        <f>IFERROR(AT304*$W304,)</f>
        <v/>
      </c>
      <c r="CF304" s="128">
        <f>IFERROR(AU304*$W304,)</f>
        <v/>
      </c>
      <c r="CG304" s="128">
        <f>IFERROR(AV304*$W304,)</f>
        <v/>
      </c>
      <c r="CH304" s="128">
        <f>IFERROR(AW304*$W304,)</f>
        <v/>
      </c>
      <c r="CI304" s="128">
        <f>IFERROR(AX304*$W304,)</f>
        <v/>
      </c>
      <c r="CJ304" s="128">
        <f>IFERROR(AY304*$W304,)</f>
        <v/>
      </c>
      <c r="CK304" s="128">
        <f>IFERROR(AZ304*$W304,)</f>
        <v/>
      </c>
      <c r="CL304" s="129">
        <f>IFERROR(if($Y304=0,BA304*($W304/1.2),BA304*$Y304),"")</f>
        <v/>
      </c>
      <c r="CM304" s="129">
        <f>IFERROR(if($Y304=0,BB304*($W304/1.2),BB304*$Y304),"")</f>
        <v/>
      </c>
      <c r="CN304" s="129">
        <f>IFERROR(if($Y304=0,BC304*($W304/1.2),BC304*$Y304),"")</f>
        <v/>
      </c>
      <c r="CO304" s="130">
        <f>IFERROR(if($AA304=0,($W304/1.35)*BD304,BD304*$AA304),)</f>
        <v/>
      </c>
      <c r="CP304" s="130">
        <f>IFERROR(if($AA304=0,($W304/1.35)*BE304,BE304*$AA304),)</f>
        <v/>
      </c>
      <c r="CQ304" s="130">
        <f>IFERROR(if($AA304=0,($W304/1.35)*BF304,BF304*$AA304),)</f>
        <v/>
      </c>
      <c r="CR304" s="128">
        <f>IFERROR(if($AC304=0,($W304/0.74)*BG304,
BG304*$AC304),)</f>
        <v/>
      </c>
      <c r="CS304" s="128">
        <f>IFERROR(if($AC304=0,($W304/0.74)*BH304,
BH304*$AC304),)</f>
        <v/>
      </c>
      <c r="CT304" s="128">
        <f>IFERROR(if($AC304=0,($W304/0.74)*BI304,
BI304*$AC304),)</f>
        <v/>
      </c>
      <c r="CU304" s="128">
        <f>IFERROR(AI304*$V304,)</f>
        <v/>
      </c>
      <c r="CV304" s="128">
        <f>IFERROR(AJ304*$V304,)</f>
        <v/>
      </c>
      <c r="CW304" s="128">
        <f>IFERROR(AK304*$V304,)</f>
        <v/>
      </c>
      <c r="CX304" s="128">
        <f>IFERROR(AL304*$V304,)</f>
        <v/>
      </c>
      <c r="CY304" s="128">
        <f>IFERROR(AM304*$V304,)</f>
        <v/>
      </c>
      <c r="CZ304" s="128">
        <f>IFERROR(AN304*$V304,)</f>
        <v/>
      </c>
      <c r="DA304" s="128">
        <f>IFERROR(AO304*$V304,)</f>
        <v/>
      </c>
      <c r="DB304" s="128">
        <f>IFERROR(AP304*$V304,)</f>
        <v/>
      </c>
      <c r="DC304" s="128">
        <f>IFERROR(AQ304*$V304,)</f>
        <v/>
      </c>
      <c r="DD304" s="128">
        <f>IFERROR(AR304*$V304,)</f>
        <v/>
      </c>
      <c r="DE304" s="128">
        <f>IFERROR(AS304*$V304,)</f>
        <v/>
      </c>
      <c r="DF304" s="128">
        <f>IFERROR(AT304*$V304,)</f>
        <v/>
      </c>
      <c r="DG304" s="128">
        <f>IFERROR(AU304*$V304,)</f>
        <v/>
      </c>
      <c r="DH304" s="128">
        <f>IFERROR(AV304*$V304,)</f>
        <v/>
      </c>
      <c r="DI304" s="128">
        <f>IFERROR(AW304*$V304,)</f>
        <v/>
      </c>
      <c r="DJ304" s="128">
        <f>IFERROR(AX304*$V304,)</f>
        <v/>
      </c>
      <c r="DK304" s="128">
        <f>IFERROR(AY304*$V304,)</f>
        <v/>
      </c>
      <c r="DL304" s="128">
        <f>IFERROR(AZ304*$V304,)</f>
        <v/>
      </c>
      <c r="DM304" s="129">
        <f>IFERROR(if($X304=0,($V304/1.2)*BA304,
BA304*$X304),)</f>
        <v/>
      </c>
      <c r="DN304" s="129">
        <f>IFERROR(if($X304=0,($V304/1.2)*BB304,
BB304*$X304),)</f>
        <v/>
      </c>
      <c r="DO304" s="129">
        <f>IFERROR(if($X304=0,($V304/1.2)*BC304,
BC304*$X304),)</f>
        <v/>
      </c>
      <c r="DP304" s="130">
        <f>IFERROR(if($Z304=0,($V304/1.35)*BD304,
BD304*$Z304),)</f>
        <v/>
      </c>
      <c r="DQ304" s="130">
        <f>IFERROR(if($Z304=0,($V304/1.35)*BE304,
BE304*$Z304),)</f>
        <v/>
      </c>
      <c r="DR304" s="130">
        <f>IFERROR(if($Z304=0,($V304/1.35)*BF304,
BF304*$Z304),)</f>
        <v/>
      </c>
      <c r="DS304" s="128">
        <f>IFERROR(IF($AB304=0,($V304/0.74)*BG304,
BG304*$AB304),)</f>
        <v/>
      </c>
      <c r="DT304" s="128">
        <f>IFERROR(IF($AB304=0,($V304/0.74)*BH304,
BH304*$AB304),)</f>
        <v/>
      </c>
      <c r="DU304" s="128">
        <f>IFERROR(IF($AB304=0,($V304/0.74)*BI304,
BI304*$AB304),)</f>
        <v/>
      </c>
    </row>
    <row r="305" ht="131.25" customHeight="1" s="162">
      <c r="A305" s="115" t="n"/>
      <c r="B305" s="115" t="n"/>
      <c r="C305" s="115" t="n"/>
      <c r="D305" s="115" t="n"/>
      <c r="E305" s="115" t="n"/>
      <c r="F305" s="115" t="n"/>
      <c r="G305" s="115" t="n"/>
      <c r="H305" s="115" t="n"/>
      <c r="I305" s="115" t="n"/>
      <c r="J305" s="115" t="n"/>
      <c r="K305" s="115" t="n"/>
      <c r="L305" s="115" t="n"/>
      <c r="M305" s="115" t="n"/>
      <c r="N305" s="115" t="n"/>
      <c r="O305" s="115" t="n"/>
      <c r="P305" s="115" t="n"/>
      <c r="Q305" s="115" t="n"/>
      <c r="R305" s="115" t="n"/>
      <c r="S305" s="115" t="n"/>
      <c r="T305" s="115" t="n"/>
      <c r="U305" s="116" t="n"/>
      <c r="V305" s="116" t="n"/>
      <c r="W305" s="117" t="n"/>
      <c r="X305" s="118" t="n"/>
      <c r="Y305" s="119" t="n"/>
      <c r="Z305" s="120" t="n"/>
      <c r="AA305" s="121" t="n"/>
      <c r="AB305" s="122" t="n"/>
      <c r="AC305" s="117" t="n"/>
      <c r="AD305" s="123">
        <f>IF(SUM($AE305:$AH305)=0,"",SUM($AE305:$AH305))</f>
        <v/>
      </c>
      <c r="AE305" s="123">
        <f>iferror(IF(SUM($AI305:$AZ305)=0,"",SUM($AI305:$AZ305)),"")</f>
        <v/>
      </c>
      <c r="AF305" s="123">
        <f>iferror(IF(SUM($BA305:$BC305)=0,"",SUM($BA305:$BC305)),"")</f>
        <v/>
      </c>
      <c r="AG305" s="123">
        <f>iferror(IF(SUM($BD305:$BF305)=0,"",SUM($BD305:$BF305)),"")</f>
        <v/>
      </c>
      <c r="AH305" s="124">
        <f>iferror(IF(SUM($BG305:$BI305)=0,"",SUM($BG305:$BI305)),"")</f>
        <v/>
      </c>
      <c r="AI305" s="131" t="n"/>
      <c r="AJ305" s="132" t="n"/>
      <c r="AK305" s="132" t="n"/>
      <c r="AL305" s="132" t="n"/>
      <c r="AM305" s="132" t="n"/>
      <c r="AN305" s="132" t="n"/>
      <c r="AO305" s="132" t="n"/>
      <c r="AP305" s="132" t="n"/>
      <c r="AQ305" s="132" t="n"/>
      <c r="AR305" s="132" t="n"/>
      <c r="AS305" s="132" t="n"/>
      <c r="AT305" s="132" t="n"/>
      <c r="AU305" s="132" t="n"/>
      <c r="AV305" s="132" t="n"/>
      <c r="AW305" s="132" t="n"/>
      <c r="AX305" s="132" t="n"/>
      <c r="AY305" s="132" t="n"/>
      <c r="AZ305" s="133" t="n"/>
      <c r="BA305" s="131" t="n"/>
      <c r="BB305" s="132" t="n"/>
      <c r="BC305" s="133" t="n"/>
      <c r="BD305" s="131" t="n"/>
      <c r="BE305" s="132" t="n"/>
      <c r="BF305" s="133" t="n"/>
      <c r="BG305" s="131" t="n"/>
      <c r="BH305" s="132" t="n"/>
      <c r="BI305" s="132" t="n"/>
      <c r="BJ305" s="128">
        <f>iferror(SUM($BK305,($BL305*1.2),($BM305*1.35),($BN305*0.74)),)</f>
        <v/>
      </c>
      <c r="BK305" s="128">
        <f>IFERROR(SUM($BT305:$CK305),)</f>
        <v/>
      </c>
      <c r="BL305" s="129">
        <f>IFERROR(SUM($CL305:$CN305),)</f>
        <v/>
      </c>
      <c r="BM305" s="130">
        <f>IFERROR(SUM($CO305:$CQ305),)</f>
        <v/>
      </c>
      <c r="BN305" s="128">
        <f>IFERROR(SUM($CR305:$CT305),)</f>
        <v/>
      </c>
      <c r="BO305" s="128">
        <f>iferror(SUM($BP305,($BQ305*1.2),($BR305*1.35),($BS305*0.74)),)</f>
        <v/>
      </c>
      <c r="BP305" s="128">
        <f>IFERROR(SUM($CU305:$DL305),)</f>
        <v/>
      </c>
      <c r="BQ305" s="128">
        <f>IFERROR(SUM($DM305:$DO305),)</f>
        <v/>
      </c>
      <c r="BR305" s="128">
        <f>IFERROR(SUM($DP305:$DR305),)</f>
        <v/>
      </c>
      <c r="BS305" s="128">
        <f>IFERROR(SUM($DS305:$DU305),)</f>
        <v/>
      </c>
      <c r="BT305" s="128">
        <f>IFERROR(AI305*$W305,)</f>
        <v/>
      </c>
      <c r="BU305" s="128">
        <f>IFERROR(AJ305*$W305,)</f>
        <v/>
      </c>
      <c r="BV305" s="128">
        <f>IFERROR(AK305*$W305,)</f>
        <v/>
      </c>
      <c r="BW305" s="128">
        <f>IFERROR(AL305*$W305,)</f>
        <v/>
      </c>
      <c r="BX305" s="128">
        <f>IFERROR(AM305*$W305,)</f>
        <v/>
      </c>
      <c r="BY305" s="128">
        <f>IFERROR(AN305*$W305,)</f>
        <v/>
      </c>
      <c r="BZ305" s="128">
        <f>IFERROR(AO305*$W305,)</f>
        <v/>
      </c>
      <c r="CA305" s="128">
        <f>IFERROR(AP305*$W305,)</f>
        <v/>
      </c>
      <c r="CB305" s="128">
        <f>IFERROR(AQ305*$W305,)</f>
        <v/>
      </c>
      <c r="CC305" s="128">
        <f>IFERROR(AR305*$W305,)</f>
        <v/>
      </c>
      <c r="CD305" s="128">
        <f>IFERROR(AS305*$W305,)</f>
        <v/>
      </c>
      <c r="CE305" s="128">
        <f>IFERROR(AT305*$W305,)</f>
        <v/>
      </c>
      <c r="CF305" s="128">
        <f>IFERROR(AU305*$W305,)</f>
        <v/>
      </c>
      <c r="CG305" s="128">
        <f>IFERROR(AV305*$W305,)</f>
        <v/>
      </c>
      <c r="CH305" s="128">
        <f>IFERROR(AW305*$W305,)</f>
        <v/>
      </c>
      <c r="CI305" s="128">
        <f>IFERROR(AX305*$W305,)</f>
        <v/>
      </c>
      <c r="CJ305" s="128">
        <f>IFERROR(AY305*$W305,)</f>
        <v/>
      </c>
      <c r="CK305" s="128">
        <f>IFERROR(AZ305*$W305,)</f>
        <v/>
      </c>
      <c r="CL305" s="129">
        <f>IFERROR(if($Y305=0,BA305*($W305/1.2),BA305*$Y305),"")</f>
        <v/>
      </c>
      <c r="CM305" s="129">
        <f>IFERROR(if($Y305=0,BB305*($W305/1.2),BB305*$Y305),"")</f>
        <v/>
      </c>
      <c r="CN305" s="129">
        <f>IFERROR(if($Y305=0,BC305*($W305/1.2),BC305*$Y305),"")</f>
        <v/>
      </c>
      <c r="CO305" s="130">
        <f>IFERROR(if($AA305=0,($W305/1.35)*BD305,BD305*$AA305),)</f>
        <v/>
      </c>
      <c r="CP305" s="130">
        <f>IFERROR(if($AA305=0,($W305/1.35)*BE305,BE305*$AA305),)</f>
        <v/>
      </c>
      <c r="CQ305" s="130">
        <f>IFERROR(if($AA305=0,($W305/1.35)*BF305,BF305*$AA305),)</f>
        <v/>
      </c>
      <c r="CR305" s="128">
        <f>IFERROR(if($AC305=0,($W305/0.74)*BG305,
BG305*$AC305),)</f>
        <v/>
      </c>
      <c r="CS305" s="128">
        <f>IFERROR(if($AC305=0,($W305/0.74)*BH305,
BH305*$AC305),)</f>
        <v/>
      </c>
      <c r="CT305" s="128">
        <f>IFERROR(if($AC305=0,($W305/0.74)*BI305,
BI305*$AC305),)</f>
        <v/>
      </c>
      <c r="CU305" s="128">
        <f>IFERROR(AI305*$V305,)</f>
        <v/>
      </c>
      <c r="CV305" s="128">
        <f>IFERROR(AJ305*$V305,)</f>
        <v/>
      </c>
      <c r="CW305" s="128">
        <f>IFERROR(AK305*$V305,)</f>
        <v/>
      </c>
      <c r="CX305" s="128">
        <f>IFERROR(AL305*$V305,)</f>
        <v/>
      </c>
      <c r="CY305" s="128">
        <f>IFERROR(AM305*$V305,)</f>
        <v/>
      </c>
      <c r="CZ305" s="128">
        <f>IFERROR(AN305*$V305,)</f>
        <v/>
      </c>
      <c r="DA305" s="128">
        <f>IFERROR(AO305*$V305,)</f>
        <v/>
      </c>
      <c r="DB305" s="128">
        <f>IFERROR(AP305*$V305,)</f>
        <v/>
      </c>
      <c r="DC305" s="128">
        <f>IFERROR(AQ305*$V305,)</f>
        <v/>
      </c>
      <c r="DD305" s="128">
        <f>IFERROR(AR305*$V305,)</f>
        <v/>
      </c>
      <c r="DE305" s="128">
        <f>IFERROR(AS305*$V305,)</f>
        <v/>
      </c>
      <c r="DF305" s="128">
        <f>IFERROR(AT305*$V305,)</f>
        <v/>
      </c>
      <c r="DG305" s="128">
        <f>IFERROR(AU305*$V305,)</f>
        <v/>
      </c>
      <c r="DH305" s="128">
        <f>IFERROR(AV305*$V305,)</f>
        <v/>
      </c>
      <c r="DI305" s="128">
        <f>IFERROR(AW305*$V305,)</f>
        <v/>
      </c>
      <c r="DJ305" s="128">
        <f>IFERROR(AX305*$V305,)</f>
        <v/>
      </c>
      <c r="DK305" s="128">
        <f>IFERROR(AY305*$V305,)</f>
        <v/>
      </c>
      <c r="DL305" s="128">
        <f>IFERROR(AZ305*$V305,)</f>
        <v/>
      </c>
      <c r="DM305" s="129">
        <f>IFERROR(if($X305=0,($V305/1.2)*BA305,
BA305*$X305),)</f>
        <v/>
      </c>
      <c r="DN305" s="129">
        <f>IFERROR(if($X305=0,($V305/1.2)*BB305,
BB305*$X305),)</f>
        <v/>
      </c>
      <c r="DO305" s="129">
        <f>IFERROR(if($X305=0,($V305/1.2)*BC305,
BC305*$X305),)</f>
        <v/>
      </c>
      <c r="DP305" s="130">
        <f>IFERROR(if($Z305=0,($V305/1.35)*BD305,
BD305*$Z305),)</f>
        <v/>
      </c>
      <c r="DQ305" s="130">
        <f>IFERROR(if($Z305=0,($V305/1.35)*BE305,
BE305*$Z305),)</f>
        <v/>
      </c>
      <c r="DR305" s="130">
        <f>IFERROR(if($Z305=0,($V305/1.35)*BF305,
BF305*$Z305),)</f>
        <v/>
      </c>
      <c r="DS305" s="128">
        <f>IFERROR(IF($AB305=0,($V305/0.74)*BG305,
BG305*$AB305),)</f>
        <v/>
      </c>
      <c r="DT305" s="128">
        <f>IFERROR(IF($AB305=0,($V305/0.74)*BH305,
BH305*$AB305),)</f>
        <v/>
      </c>
      <c r="DU305" s="128">
        <f>IFERROR(IF($AB305=0,($V305/0.74)*BI305,
BI305*$AB305),)</f>
        <v/>
      </c>
    </row>
    <row r="306" ht="131.25" customHeight="1" s="162">
      <c r="A306" s="115" t="n"/>
      <c r="B306" s="115" t="n"/>
      <c r="C306" s="115" t="n"/>
      <c r="D306" s="115" t="n"/>
      <c r="E306" s="115" t="n"/>
      <c r="F306" s="115" t="n"/>
      <c r="G306" s="115" t="n"/>
      <c r="H306" s="115" t="n"/>
      <c r="I306" s="115" t="n"/>
      <c r="J306" s="115" t="n"/>
      <c r="K306" s="115" t="n"/>
      <c r="L306" s="115" t="n"/>
      <c r="M306" s="115" t="n"/>
      <c r="N306" s="115" t="n"/>
      <c r="O306" s="115" t="n"/>
      <c r="P306" s="115" t="n"/>
      <c r="Q306" s="115" t="n"/>
      <c r="R306" s="115" t="n"/>
      <c r="S306" s="115" t="n"/>
      <c r="T306" s="115" t="n"/>
      <c r="U306" s="116" t="n"/>
      <c r="V306" s="116" t="n"/>
      <c r="W306" s="117" t="n"/>
      <c r="X306" s="118" t="n"/>
      <c r="Y306" s="119" t="n"/>
      <c r="Z306" s="120" t="n"/>
      <c r="AA306" s="121" t="n"/>
      <c r="AB306" s="122" t="n"/>
      <c r="AC306" s="117" t="n"/>
      <c r="AD306" s="123">
        <f>IF(SUM($AE306:$AH306)=0,"",SUM($AE306:$AH306))</f>
        <v/>
      </c>
      <c r="AE306" s="123">
        <f>iferror(IF(SUM($AI306:$AZ306)=0,"",SUM($AI306:$AZ306)),"")</f>
        <v/>
      </c>
      <c r="AF306" s="123">
        <f>iferror(IF(SUM($BA306:$BC306)=0,"",SUM($BA306:$BC306)),"")</f>
        <v/>
      </c>
      <c r="AG306" s="123">
        <f>iferror(IF(SUM($BD306:$BF306)=0,"",SUM($BD306:$BF306)),"")</f>
        <v/>
      </c>
      <c r="AH306" s="124">
        <f>iferror(IF(SUM($BG306:$BI306)=0,"",SUM($BG306:$BI306)),"")</f>
        <v/>
      </c>
      <c r="AI306" s="131" t="n"/>
      <c r="AJ306" s="132" t="n"/>
      <c r="AK306" s="132" t="n"/>
      <c r="AL306" s="132" t="n"/>
      <c r="AM306" s="132" t="n"/>
      <c r="AN306" s="132" t="n"/>
      <c r="AO306" s="132" t="n"/>
      <c r="AP306" s="132" t="n"/>
      <c r="AQ306" s="132" t="n"/>
      <c r="AR306" s="132" t="n"/>
      <c r="AS306" s="132" t="n"/>
      <c r="AT306" s="132" t="n"/>
      <c r="AU306" s="132" t="n"/>
      <c r="AV306" s="132" t="n"/>
      <c r="AW306" s="132" t="n"/>
      <c r="AX306" s="132" t="n"/>
      <c r="AY306" s="132" t="n"/>
      <c r="AZ306" s="133" t="n"/>
      <c r="BA306" s="131" t="n"/>
      <c r="BB306" s="132" t="n"/>
      <c r="BC306" s="133" t="n"/>
      <c r="BD306" s="131" t="n"/>
      <c r="BE306" s="132" t="n"/>
      <c r="BF306" s="133" t="n"/>
      <c r="BG306" s="131" t="n"/>
      <c r="BH306" s="132" t="n"/>
      <c r="BI306" s="132" t="n"/>
      <c r="BJ306" s="128">
        <f>iferror(SUM($BK306,($BL306*1.2),($BM306*1.35),($BN306*0.74)),)</f>
        <v/>
      </c>
      <c r="BK306" s="128">
        <f>IFERROR(SUM($BT306:$CK306),)</f>
        <v/>
      </c>
      <c r="BL306" s="129">
        <f>IFERROR(SUM($CL306:$CN306),)</f>
        <v/>
      </c>
      <c r="BM306" s="130">
        <f>IFERROR(SUM($CO306:$CQ306),)</f>
        <v/>
      </c>
      <c r="BN306" s="128">
        <f>IFERROR(SUM($CR306:$CT306),)</f>
        <v/>
      </c>
      <c r="BO306" s="128">
        <f>iferror(SUM($BP306,($BQ306*1.2),($BR306*1.35),($BS306*0.74)),)</f>
        <v/>
      </c>
      <c r="BP306" s="128">
        <f>IFERROR(SUM($CU306:$DL306),)</f>
        <v/>
      </c>
      <c r="BQ306" s="128">
        <f>IFERROR(SUM($DM306:$DO306),)</f>
        <v/>
      </c>
      <c r="BR306" s="128">
        <f>IFERROR(SUM($DP306:$DR306),)</f>
        <v/>
      </c>
      <c r="BS306" s="128">
        <f>IFERROR(SUM($DS306:$DU306),)</f>
        <v/>
      </c>
      <c r="BT306" s="128">
        <f>IFERROR(AI306*$W306,)</f>
        <v/>
      </c>
      <c r="BU306" s="128">
        <f>IFERROR(AJ306*$W306,)</f>
        <v/>
      </c>
      <c r="BV306" s="128">
        <f>IFERROR(AK306*$W306,)</f>
        <v/>
      </c>
      <c r="BW306" s="128">
        <f>IFERROR(AL306*$W306,)</f>
        <v/>
      </c>
      <c r="BX306" s="128">
        <f>IFERROR(AM306*$W306,)</f>
        <v/>
      </c>
      <c r="BY306" s="128">
        <f>IFERROR(AN306*$W306,)</f>
        <v/>
      </c>
      <c r="BZ306" s="128">
        <f>IFERROR(AO306*$W306,)</f>
        <v/>
      </c>
      <c r="CA306" s="128">
        <f>IFERROR(AP306*$W306,)</f>
        <v/>
      </c>
      <c r="CB306" s="128">
        <f>IFERROR(AQ306*$W306,)</f>
        <v/>
      </c>
      <c r="CC306" s="128">
        <f>IFERROR(AR306*$W306,)</f>
        <v/>
      </c>
      <c r="CD306" s="128">
        <f>IFERROR(AS306*$W306,)</f>
        <v/>
      </c>
      <c r="CE306" s="128">
        <f>IFERROR(AT306*$W306,)</f>
        <v/>
      </c>
      <c r="CF306" s="128">
        <f>IFERROR(AU306*$W306,)</f>
        <v/>
      </c>
      <c r="CG306" s="128">
        <f>IFERROR(AV306*$W306,)</f>
        <v/>
      </c>
      <c r="CH306" s="128">
        <f>IFERROR(AW306*$W306,)</f>
        <v/>
      </c>
      <c r="CI306" s="128">
        <f>IFERROR(AX306*$W306,)</f>
        <v/>
      </c>
      <c r="CJ306" s="128">
        <f>IFERROR(AY306*$W306,)</f>
        <v/>
      </c>
      <c r="CK306" s="128">
        <f>IFERROR(AZ306*$W306,)</f>
        <v/>
      </c>
      <c r="CL306" s="129">
        <f>IFERROR(if($Y306=0,BA306*($W306/1.2),BA306*$Y306),"")</f>
        <v/>
      </c>
      <c r="CM306" s="129">
        <f>IFERROR(if($Y306=0,BB306*($W306/1.2),BB306*$Y306),"")</f>
        <v/>
      </c>
      <c r="CN306" s="129">
        <f>IFERROR(if($Y306=0,BC306*($W306/1.2),BC306*$Y306),"")</f>
        <v/>
      </c>
      <c r="CO306" s="130">
        <f>IFERROR(if($AA306=0,($W306/1.35)*BD306,BD306*$AA306),)</f>
        <v/>
      </c>
      <c r="CP306" s="130">
        <f>IFERROR(if($AA306=0,($W306/1.35)*BE306,BE306*$AA306),)</f>
        <v/>
      </c>
      <c r="CQ306" s="130">
        <f>IFERROR(if($AA306=0,($W306/1.35)*BF306,BF306*$AA306),)</f>
        <v/>
      </c>
      <c r="CR306" s="128">
        <f>IFERROR(if($AC306=0,($W306/0.74)*BG306,
BG306*$AC306),)</f>
        <v/>
      </c>
      <c r="CS306" s="128">
        <f>IFERROR(if($AC306=0,($W306/0.74)*BH306,
BH306*$AC306),)</f>
        <v/>
      </c>
      <c r="CT306" s="128">
        <f>IFERROR(if($AC306=0,($W306/0.74)*BI306,
BI306*$AC306),)</f>
        <v/>
      </c>
      <c r="CU306" s="128">
        <f>IFERROR(AI306*$V306,)</f>
        <v/>
      </c>
      <c r="CV306" s="128">
        <f>IFERROR(AJ306*$V306,)</f>
        <v/>
      </c>
      <c r="CW306" s="128">
        <f>IFERROR(AK306*$V306,)</f>
        <v/>
      </c>
      <c r="CX306" s="128">
        <f>IFERROR(AL306*$V306,)</f>
        <v/>
      </c>
      <c r="CY306" s="128">
        <f>IFERROR(AM306*$V306,)</f>
        <v/>
      </c>
      <c r="CZ306" s="128">
        <f>IFERROR(AN306*$V306,)</f>
        <v/>
      </c>
      <c r="DA306" s="128">
        <f>IFERROR(AO306*$V306,)</f>
        <v/>
      </c>
      <c r="DB306" s="128">
        <f>IFERROR(AP306*$V306,)</f>
        <v/>
      </c>
      <c r="DC306" s="128">
        <f>IFERROR(AQ306*$V306,)</f>
        <v/>
      </c>
      <c r="DD306" s="128">
        <f>IFERROR(AR306*$V306,)</f>
        <v/>
      </c>
      <c r="DE306" s="128">
        <f>IFERROR(AS306*$V306,)</f>
        <v/>
      </c>
      <c r="DF306" s="128">
        <f>IFERROR(AT306*$V306,)</f>
        <v/>
      </c>
      <c r="DG306" s="128">
        <f>IFERROR(AU306*$V306,)</f>
        <v/>
      </c>
      <c r="DH306" s="128">
        <f>IFERROR(AV306*$V306,)</f>
        <v/>
      </c>
      <c r="DI306" s="128">
        <f>IFERROR(AW306*$V306,)</f>
        <v/>
      </c>
      <c r="DJ306" s="128">
        <f>IFERROR(AX306*$V306,)</f>
        <v/>
      </c>
      <c r="DK306" s="128">
        <f>IFERROR(AY306*$V306,)</f>
        <v/>
      </c>
      <c r="DL306" s="128">
        <f>IFERROR(AZ306*$V306,)</f>
        <v/>
      </c>
      <c r="DM306" s="129">
        <f>IFERROR(if($X306=0,($V306/1.2)*BA306,
BA306*$X306),)</f>
        <v/>
      </c>
      <c r="DN306" s="129">
        <f>IFERROR(if($X306=0,($V306/1.2)*BB306,
BB306*$X306),)</f>
        <v/>
      </c>
      <c r="DO306" s="129">
        <f>IFERROR(if($X306=0,($V306/1.2)*BC306,
BC306*$X306),)</f>
        <v/>
      </c>
      <c r="DP306" s="130">
        <f>IFERROR(if($Z306=0,($V306/1.35)*BD306,
BD306*$Z306),)</f>
        <v/>
      </c>
      <c r="DQ306" s="130">
        <f>IFERROR(if($Z306=0,($V306/1.35)*BE306,
BE306*$Z306),)</f>
        <v/>
      </c>
      <c r="DR306" s="130">
        <f>IFERROR(if($Z306=0,($V306/1.35)*BF306,
BF306*$Z306),)</f>
        <v/>
      </c>
      <c r="DS306" s="128">
        <f>IFERROR(IF($AB306=0,($V306/0.74)*BG306,
BG306*$AB306),)</f>
        <v/>
      </c>
      <c r="DT306" s="128">
        <f>IFERROR(IF($AB306=0,($V306/0.74)*BH306,
BH306*$AB306),)</f>
        <v/>
      </c>
      <c r="DU306" s="128">
        <f>IFERROR(IF($AB306=0,($V306/0.74)*BI306,
BI306*$AB306),)</f>
        <v/>
      </c>
    </row>
    <row r="307" ht="131.25" customHeight="1" s="162">
      <c r="A307" s="115" t="n"/>
      <c r="B307" s="115" t="n"/>
      <c r="C307" s="115" t="n"/>
      <c r="D307" s="115" t="n"/>
      <c r="E307" s="115" t="n"/>
      <c r="F307" s="115" t="n"/>
      <c r="G307" s="115" t="n"/>
      <c r="H307" s="115" t="n"/>
      <c r="I307" s="115" t="n"/>
      <c r="J307" s="115" t="n"/>
      <c r="K307" s="115" t="n"/>
      <c r="L307" s="115" t="n"/>
      <c r="M307" s="115" t="n"/>
      <c r="N307" s="115" t="n"/>
      <c r="O307" s="115" t="n"/>
      <c r="P307" s="115" t="n"/>
      <c r="Q307" s="115" t="n"/>
      <c r="R307" s="115" t="n"/>
      <c r="S307" s="115" t="n"/>
      <c r="T307" s="115" t="n"/>
      <c r="U307" s="116" t="n"/>
      <c r="V307" s="116" t="n"/>
      <c r="W307" s="117" t="n"/>
      <c r="X307" s="118" t="n"/>
      <c r="Y307" s="119" t="n"/>
      <c r="Z307" s="120" t="n"/>
      <c r="AA307" s="121" t="n"/>
      <c r="AB307" s="122" t="n"/>
      <c r="AC307" s="117" t="n"/>
      <c r="AD307" s="123">
        <f>IF(SUM($AE307:$AH307)=0,"",SUM($AE307:$AH307))</f>
        <v/>
      </c>
      <c r="AE307" s="123">
        <f>iferror(IF(SUM($AI307:$AZ307)=0,"",SUM($AI307:$AZ307)),"")</f>
        <v/>
      </c>
      <c r="AF307" s="123">
        <f>iferror(IF(SUM($BA307:$BC307)=0,"",SUM($BA307:$BC307)),"")</f>
        <v/>
      </c>
      <c r="AG307" s="123">
        <f>iferror(IF(SUM($BD307:$BF307)=0,"",SUM($BD307:$BF307)),"")</f>
        <v/>
      </c>
      <c r="AH307" s="124">
        <f>iferror(IF(SUM($BG307:$BI307)=0,"",SUM($BG307:$BI307)),"")</f>
        <v/>
      </c>
      <c r="AI307" s="131" t="n"/>
      <c r="AJ307" s="132" t="n"/>
      <c r="AK307" s="132" t="n"/>
      <c r="AL307" s="132" t="n"/>
      <c r="AM307" s="132" t="n"/>
      <c r="AN307" s="132" t="n"/>
      <c r="AO307" s="132" t="n"/>
      <c r="AP307" s="132" t="n"/>
      <c r="AQ307" s="132" t="n"/>
      <c r="AR307" s="132" t="n"/>
      <c r="AS307" s="132" t="n"/>
      <c r="AT307" s="132" t="n"/>
      <c r="AU307" s="132" t="n"/>
      <c r="AV307" s="132" t="n"/>
      <c r="AW307" s="132" t="n"/>
      <c r="AX307" s="132" t="n"/>
      <c r="AY307" s="132" t="n"/>
      <c r="AZ307" s="133" t="n"/>
      <c r="BA307" s="131" t="n"/>
      <c r="BB307" s="132" t="n"/>
      <c r="BC307" s="133" t="n"/>
      <c r="BD307" s="131" t="n"/>
      <c r="BE307" s="132" t="n"/>
      <c r="BF307" s="133" t="n"/>
      <c r="BG307" s="131" t="n"/>
      <c r="BH307" s="132" t="n"/>
      <c r="BI307" s="132" t="n"/>
      <c r="BJ307" s="128">
        <f>iferror(SUM($BK307,($BL307*1.2),($BM307*1.35),($BN307*0.74)),)</f>
        <v/>
      </c>
      <c r="BK307" s="128">
        <f>IFERROR(SUM($BT307:$CK307),)</f>
        <v/>
      </c>
      <c r="BL307" s="129">
        <f>IFERROR(SUM($CL307:$CN307),)</f>
        <v/>
      </c>
      <c r="BM307" s="130">
        <f>IFERROR(SUM($CO307:$CQ307),)</f>
        <v/>
      </c>
      <c r="BN307" s="128">
        <f>IFERROR(SUM($CR307:$CT307),)</f>
        <v/>
      </c>
      <c r="BO307" s="128">
        <f>iferror(SUM($BP307,($BQ307*1.2),($BR307*1.35),($BS307*0.74)),)</f>
        <v/>
      </c>
      <c r="BP307" s="128">
        <f>IFERROR(SUM($CU307:$DL307),)</f>
        <v/>
      </c>
      <c r="BQ307" s="128">
        <f>IFERROR(SUM($DM307:$DO307),)</f>
        <v/>
      </c>
      <c r="BR307" s="128">
        <f>IFERROR(SUM($DP307:$DR307),)</f>
        <v/>
      </c>
      <c r="BS307" s="128">
        <f>IFERROR(SUM($DS307:$DU307),)</f>
        <v/>
      </c>
      <c r="BT307" s="128">
        <f>IFERROR(AI307*$W307,)</f>
        <v/>
      </c>
      <c r="BU307" s="128">
        <f>IFERROR(AJ307*$W307,)</f>
        <v/>
      </c>
      <c r="BV307" s="128">
        <f>IFERROR(AK307*$W307,)</f>
        <v/>
      </c>
      <c r="BW307" s="128">
        <f>IFERROR(AL307*$W307,)</f>
        <v/>
      </c>
      <c r="BX307" s="128">
        <f>IFERROR(AM307*$W307,)</f>
        <v/>
      </c>
      <c r="BY307" s="128">
        <f>IFERROR(AN307*$W307,)</f>
        <v/>
      </c>
      <c r="BZ307" s="128">
        <f>IFERROR(AO307*$W307,)</f>
        <v/>
      </c>
      <c r="CA307" s="128">
        <f>IFERROR(AP307*$W307,)</f>
        <v/>
      </c>
      <c r="CB307" s="128">
        <f>IFERROR(AQ307*$W307,)</f>
        <v/>
      </c>
      <c r="CC307" s="128">
        <f>IFERROR(AR307*$W307,)</f>
        <v/>
      </c>
      <c r="CD307" s="128">
        <f>IFERROR(AS307*$W307,)</f>
        <v/>
      </c>
      <c r="CE307" s="128">
        <f>IFERROR(AT307*$W307,)</f>
        <v/>
      </c>
      <c r="CF307" s="128">
        <f>IFERROR(AU307*$W307,)</f>
        <v/>
      </c>
      <c r="CG307" s="128">
        <f>IFERROR(AV307*$W307,)</f>
        <v/>
      </c>
      <c r="CH307" s="128">
        <f>IFERROR(AW307*$W307,)</f>
        <v/>
      </c>
      <c r="CI307" s="128">
        <f>IFERROR(AX307*$W307,)</f>
        <v/>
      </c>
      <c r="CJ307" s="128">
        <f>IFERROR(AY307*$W307,)</f>
        <v/>
      </c>
      <c r="CK307" s="128">
        <f>IFERROR(AZ307*$W307,)</f>
        <v/>
      </c>
      <c r="CL307" s="129">
        <f>IFERROR(if($Y307=0,BA307*($W307/1.2),BA307*$Y307),"")</f>
        <v/>
      </c>
      <c r="CM307" s="129">
        <f>IFERROR(if($Y307=0,BB307*($W307/1.2),BB307*$Y307),"")</f>
        <v/>
      </c>
      <c r="CN307" s="129">
        <f>IFERROR(if($Y307=0,BC307*($W307/1.2),BC307*$Y307),"")</f>
        <v/>
      </c>
      <c r="CO307" s="130">
        <f>IFERROR(if($AA307=0,($W307/1.35)*BD307,BD307*$AA307),)</f>
        <v/>
      </c>
      <c r="CP307" s="130">
        <f>IFERROR(if($AA307=0,($W307/1.35)*BE307,BE307*$AA307),)</f>
        <v/>
      </c>
      <c r="CQ307" s="130">
        <f>IFERROR(if($AA307=0,($W307/1.35)*BF307,BF307*$AA307),)</f>
        <v/>
      </c>
      <c r="CR307" s="128">
        <f>IFERROR(if($AC307=0,($W307/0.74)*BG307,
BG307*$AC307),)</f>
        <v/>
      </c>
      <c r="CS307" s="128">
        <f>IFERROR(if($AC307=0,($W307/0.74)*BH307,
BH307*$AC307),)</f>
        <v/>
      </c>
      <c r="CT307" s="128">
        <f>IFERROR(if($AC307=0,($W307/0.74)*BI307,
BI307*$AC307),)</f>
        <v/>
      </c>
      <c r="CU307" s="128">
        <f>IFERROR(AI307*$V307,)</f>
        <v/>
      </c>
      <c r="CV307" s="128">
        <f>IFERROR(AJ307*$V307,)</f>
        <v/>
      </c>
      <c r="CW307" s="128">
        <f>IFERROR(AK307*$V307,)</f>
        <v/>
      </c>
      <c r="CX307" s="128">
        <f>IFERROR(AL307*$V307,)</f>
        <v/>
      </c>
      <c r="CY307" s="128">
        <f>IFERROR(AM307*$V307,)</f>
        <v/>
      </c>
      <c r="CZ307" s="128">
        <f>IFERROR(AN307*$V307,)</f>
        <v/>
      </c>
      <c r="DA307" s="128">
        <f>IFERROR(AO307*$V307,)</f>
        <v/>
      </c>
      <c r="DB307" s="128">
        <f>IFERROR(AP307*$V307,)</f>
        <v/>
      </c>
      <c r="DC307" s="128">
        <f>IFERROR(AQ307*$V307,)</f>
        <v/>
      </c>
      <c r="DD307" s="128">
        <f>IFERROR(AR307*$V307,)</f>
        <v/>
      </c>
      <c r="DE307" s="128">
        <f>IFERROR(AS307*$V307,)</f>
        <v/>
      </c>
      <c r="DF307" s="128">
        <f>IFERROR(AT307*$V307,)</f>
        <v/>
      </c>
      <c r="DG307" s="128">
        <f>IFERROR(AU307*$V307,)</f>
        <v/>
      </c>
      <c r="DH307" s="128">
        <f>IFERROR(AV307*$V307,)</f>
        <v/>
      </c>
      <c r="DI307" s="128">
        <f>IFERROR(AW307*$V307,)</f>
        <v/>
      </c>
      <c r="DJ307" s="128">
        <f>IFERROR(AX307*$V307,)</f>
        <v/>
      </c>
      <c r="DK307" s="128">
        <f>IFERROR(AY307*$V307,)</f>
        <v/>
      </c>
      <c r="DL307" s="128">
        <f>IFERROR(AZ307*$V307,)</f>
        <v/>
      </c>
      <c r="DM307" s="129">
        <f>IFERROR(if($X307=0,($V307/1.2)*BA307,
BA307*$X307),)</f>
        <v/>
      </c>
      <c r="DN307" s="129">
        <f>IFERROR(if($X307=0,($V307/1.2)*BB307,
BB307*$X307),)</f>
        <v/>
      </c>
      <c r="DO307" s="129">
        <f>IFERROR(if($X307=0,($V307/1.2)*BC307,
BC307*$X307),)</f>
        <v/>
      </c>
      <c r="DP307" s="130">
        <f>IFERROR(if($Z307=0,($V307/1.35)*BD307,
BD307*$Z307),)</f>
        <v/>
      </c>
      <c r="DQ307" s="130">
        <f>IFERROR(if($Z307=0,($V307/1.35)*BE307,
BE307*$Z307),)</f>
        <v/>
      </c>
      <c r="DR307" s="130">
        <f>IFERROR(if($Z307=0,($V307/1.35)*BF307,
BF307*$Z307),)</f>
        <v/>
      </c>
      <c r="DS307" s="128">
        <f>IFERROR(IF($AB307=0,($V307/0.74)*BG307,
BG307*$AB307),)</f>
        <v/>
      </c>
      <c r="DT307" s="128">
        <f>IFERROR(IF($AB307=0,($V307/0.74)*BH307,
BH307*$AB307),)</f>
        <v/>
      </c>
      <c r="DU307" s="128">
        <f>IFERROR(IF($AB307=0,($V307/0.74)*BI307,
BI307*$AB307),)</f>
        <v/>
      </c>
    </row>
    <row r="308" ht="131.25" customHeight="1" s="162">
      <c r="A308" s="115" t="n"/>
      <c r="B308" s="115" t="n"/>
      <c r="C308" s="115" t="n"/>
      <c r="D308" s="115" t="n"/>
      <c r="E308" s="115" t="n"/>
      <c r="F308" s="115" t="n"/>
      <c r="G308" s="115" t="n"/>
      <c r="H308" s="115" t="n"/>
      <c r="I308" s="115" t="n"/>
      <c r="J308" s="115" t="n"/>
      <c r="K308" s="115" t="n"/>
      <c r="L308" s="115" t="n"/>
      <c r="M308" s="115" t="n"/>
      <c r="N308" s="115" t="n"/>
      <c r="O308" s="115" t="n"/>
      <c r="P308" s="115" t="n"/>
      <c r="Q308" s="115" t="n"/>
      <c r="R308" s="115" t="n"/>
      <c r="S308" s="115" t="n"/>
      <c r="T308" s="115" t="n"/>
      <c r="U308" s="116" t="n"/>
      <c r="V308" s="116" t="n"/>
      <c r="W308" s="117" t="n"/>
      <c r="X308" s="118" t="n"/>
      <c r="Y308" s="119" t="n"/>
      <c r="Z308" s="120" t="n"/>
      <c r="AA308" s="121" t="n"/>
      <c r="AB308" s="122" t="n"/>
      <c r="AC308" s="117" t="n"/>
      <c r="AD308" s="123">
        <f>IF(SUM($AE308:$AH308)=0,"",SUM($AE308:$AH308))</f>
        <v/>
      </c>
      <c r="AE308" s="123">
        <f>iferror(IF(SUM($AI308:$AZ308)=0,"",SUM($AI308:$AZ308)),"")</f>
        <v/>
      </c>
      <c r="AF308" s="123">
        <f>iferror(IF(SUM($BA308:$BC308)=0,"",SUM($BA308:$BC308)),"")</f>
        <v/>
      </c>
      <c r="AG308" s="123">
        <f>iferror(IF(SUM($BD308:$BF308)=0,"",SUM($BD308:$BF308)),"")</f>
        <v/>
      </c>
      <c r="AH308" s="124">
        <f>iferror(IF(SUM($BG308:$BI308)=0,"",SUM($BG308:$BI308)),"")</f>
        <v/>
      </c>
      <c r="AI308" s="131" t="n"/>
      <c r="AJ308" s="132" t="n"/>
      <c r="AK308" s="132" t="n"/>
      <c r="AL308" s="132" t="n"/>
      <c r="AM308" s="132" t="n"/>
      <c r="AN308" s="132" t="n"/>
      <c r="AO308" s="132" t="n"/>
      <c r="AP308" s="132" t="n"/>
      <c r="AQ308" s="132" t="n"/>
      <c r="AR308" s="132" t="n"/>
      <c r="AS308" s="132" t="n"/>
      <c r="AT308" s="132" t="n"/>
      <c r="AU308" s="132" t="n"/>
      <c r="AV308" s="132" t="n"/>
      <c r="AW308" s="132" t="n"/>
      <c r="AX308" s="132" t="n"/>
      <c r="AY308" s="132" t="n"/>
      <c r="AZ308" s="133" t="n"/>
      <c r="BA308" s="131" t="n"/>
      <c r="BB308" s="132" t="n"/>
      <c r="BC308" s="133" t="n"/>
      <c r="BD308" s="131" t="n"/>
      <c r="BE308" s="132" t="n"/>
      <c r="BF308" s="133" t="n"/>
      <c r="BG308" s="131" t="n"/>
      <c r="BH308" s="132" t="n"/>
      <c r="BI308" s="132" t="n"/>
      <c r="BJ308" s="128">
        <f>iferror(SUM($BK308,($BL308*1.2),($BM308*1.35),($BN308*0.74)),)</f>
        <v/>
      </c>
      <c r="BK308" s="128">
        <f>IFERROR(SUM($BT308:$CK308),)</f>
        <v/>
      </c>
      <c r="BL308" s="129">
        <f>IFERROR(SUM($CL308:$CN308),)</f>
        <v/>
      </c>
      <c r="BM308" s="130">
        <f>IFERROR(SUM($CO308:$CQ308),)</f>
        <v/>
      </c>
      <c r="BN308" s="128">
        <f>IFERROR(SUM($CR308:$CT308),)</f>
        <v/>
      </c>
      <c r="BO308" s="128">
        <f>iferror(SUM($BP308,($BQ308*1.2),($BR308*1.35),($BS308*0.74)),)</f>
        <v/>
      </c>
      <c r="BP308" s="128">
        <f>IFERROR(SUM($CU308:$DL308),)</f>
        <v/>
      </c>
      <c r="BQ308" s="128">
        <f>IFERROR(SUM($DM308:$DO308),)</f>
        <v/>
      </c>
      <c r="BR308" s="128">
        <f>IFERROR(SUM($DP308:$DR308),)</f>
        <v/>
      </c>
      <c r="BS308" s="128">
        <f>IFERROR(SUM($DS308:$DU308),)</f>
        <v/>
      </c>
      <c r="BT308" s="128">
        <f>IFERROR(AI308*$W308,)</f>
        <v/>
      </c>
      <c r="BU308" s="128">
        <f>IFERROR(AJ308*$W308,)</f>
        <v/>
      </c>
      <c r="BV308" s="128">
        <f>IFERROR(AK308*$W308,)</f>
        <v/>
      </c>
      <c r="BW308" s="128">
        <f>IFERROR(AL308*$W308,)</f>
        <v/>
      </c>
      <c r="BX308" s="128">
        <f>IFERROR(AM308*$W308,)</f>
        <v/>
      </c>
      <c r="BY308" s="128">
        <f>IFERROR(AN308*$W308,)</f>
        <v/>
      </c>
      <c r="BZ308" s="128">
        <f>IFERROR(AO308*$W308,)</f>
        <v/>
      </c>
      <c r="CA308" s="128">
        <f>IFERROR(AP308*$W308,)</f>
        <v/>
      </c>
      <c r="CB308" s="128">
        <f>IFERROR(AQ308*$W308,)</f>
        <v/>
      </c>
      <c r="CC308" s="128">
        <f>IFERROR(AR308*$W308,)</f>
        <v/>
      </c>
      <c r="CD308" s="128">
        <f>IFERROR(AS308*$W308,)</f>
        <v/>
      </c>
      <c r="CE308" s="128">
        <f>IFERROR(AT308*$W308,)</f>
        <v/>
      </c>
      <c r="CF308" s="128">
        <f>IFERROR(AU308*$W308,)</f>
        <v/>
      </c>
      <c r="CG308" s="128">
        <f>IFERROR(AV308*$W308,)</f>
        <v/>
      </c>
      <c r="CH308" s="128">
        <f>IFERROR(AW308*$W308,)</f>
        <v/>
      </c>
      <c r="CI308" s="128">
        <f>IFERROR(AX308*$W308,)</f>
        <v/>
      </c>
      <c r="CJ308" s="128">
        <f>IFERROR(AY308*$W308,)</f>
        <v/>
      </c>
      <c r="CK308" s="128">
        <f>IFERROR(AZ308*$W308,)</f>
        <v/>
      </c>
      <c r="CL308" s="129">
        <f>IFERROR(if($Y308=0,BA308*($W308/1.2),BA308*$Y308),"")</f>
        <v/>
      </c>
      <c r="CM308" s="129">
        <f>IFERROR(if($Y308=0,BB308*($W308/1.2),BB308*$Y308),"")</f>
        <v/>
      </c>
      <c r="CN308" s="129">
        <f>IFERROR(if($Y308=0,BC308*($W308/1.2),BC308*$Y308),"")</f>
        <v/>
      </c>
      <c r="CO308" s="130">
        <f>IFERROR(if($AA308=0,($W308/1.35)*BD308,BD308*$AA308),)</f>
        <v/>
      </c>
      <c r="CP308" s="130">
        <f>IFERROR(if($AA308=0,($W308/1.35)*BE308,BE308*$AA308),)</f>
        <v/>
      </c>
      <c r="CQ308" s="130">
        <f>IFERROR(if($AA308=0,($W308/1.35)*BF308,BF308*$AA308),)</f>
        <v/>
      </c>
      <c r="CR308" s="128">
        <f>IFERROR(if($AC308=0,($W308/0.74)*BG308,
BG308*$AC308),)</f>
        <v/>
      </c>
      <c r="CS308" s="128">
        <f>IFERROR(if($AC308=0,($W308/0.74)*BH308,
BH308*$AC308),)</f>
        <v/>
      </c>
      <c r="CT308" s="128">
        <f>IFERROR(if($AC308=0,($W308/0.74)*BI308,
BI308*$AC308),)</f>
        <v/>
      </c>
      <c r="CU308" s="128">
        <f>IFERROR(AI308*$V308,)</f>
        <v/>
      </c>
      <c r="CV308" s="128">
        <f>IFERROR(AJ308*$V308,)</f>
        <v/>
      </c>
      <c r="CW308" s="128">
        <f>IFERROR(AK308*$V308,)</f>
        <v/>
      </c>
      <c r="CX308" s="128">
        <f>IFERROR(AL308*$V308,)</f>
        <v/>
      </c>
      <c r="CY308" s="128">
        <f>IFERROR(AM308*$V308,)</f>
        <v/>
      </c>
      <c r="CZ308" s="128">
        <f>IFERROR(AN308*$V308,)</f>
        <v/>
      </c>
      <c r="DA308" s="128">
        <f>IFERROR(AO308*$V308,)</f>
        <v/>
      </c>
      <c r="DB308" s="128">
        <f>IFERROR(AP308*$V308,)</f>
        <v/>
      </c>
      <c r="DC308" s="128">
        <f>IFERROR(AQ308*$V308,)</f>
        <v/>
      </c>
      <c r="DD308" s="128">
        <f>IFERROR(AR308*$V308,)</f>
        <v/>
      </c>
      <c r="DE308" s="128">
        <f>IFERROR(AS308*$V308,)</f>
        <v/>
      </c>
      <c r="DF308" s="128">
        <f>IFERROR(AT308*$V308,)</f>
        <v/>
      </c>
      <c r="DG308" s="128">
        <f>IFERROR(AU308*$V308,)</f>
        <v/>
      </c>
      <c r="DH308" s="128">
        <f>IFERROR(AV308*$V308,)</f>
        <v/>
      </c>
      <c r="DI308" s="128">
        <f>IFERROR(AW308*$V308,)</f>
        <v/>
      </c>
      <c r="DJ308" s="128">
        <f>IFERROR(AX308*$V308,)</f>
        <v/>
      </c>
      <c r="DK308" s="128">
        <f>IFERROR(AY308*$V308,)</f>
        <v/>
      </c>
      <c r="DL308" s="128">
        <f>IFERROR(AZ308*$V308,)</f>
        <v/>
      </c>
      <c r="DM308" s="129">
        <f>IFERROR(if($X308=0,($V308/1.2)*BA308,
BA308*$X308),)</f>
        <v/>
      </c>
      <c r="DN308" s="129">
        <f>IFERROR(if($X308=0,($V308/1.2)*BB308,
BB308*$X308),)</f>
        <v/>
      </c>
      <c r="DO308" s="129">
        <f>IFERROR(if($X308=0,($V308/1.2)*BC308,
BC308*$X308),)</f>
        <v/>
      </c>
      <c r="DP308" s="130">
        <f>IFERROR(if($Z308=0,($V308/1.35)*BD308,
BD308*$Z308),)</f>
        <v/>
      </c>
      <c r="DQ308" s="130">
        <f>IFERROR(if($Z308=0,($V308/1.35)*BE308,
BE308*$Z308),)</f>
        <v/>
      </c>
      <c r="DR308" s="130">
        <f>IFERROR(if($Z308=0,($V308/1.35)*BF308,
BF308*$Z308),)</f>
        <v/>
      </c>
      <c r="DS308" s="128">
        <f>IFERROR(IF($AB308=0,($V308/0.74)*BG308,
BG308*$AB308),)</f>
        <v/>
      </c>
      <c r="DT308" s="128">
        <f>IFERROR(IF($AB308=0,($V308/0.74)*BH308,
BH308*$AB308),)</f>
        <v/>
      </c>
      <c r="DU308" s="128">
        <f>IFERROR(IF($AB308=0,($V308/0.74)*BI308,
BI308*$AB308),)</f>
        <v/>
      </c>
    </row>
    <row r="309" ht="131.25" customHeight="1" s="162">
      <c r="A309" s="115" t="n"/>
      <c r="B309" s="115" t="n"/>
      <c r="C309" s="115" t="n"/>
      <c r="D309" s="115" t="n"/>
      <c r="E309" s="115" t="n"/>
      <c r="F309" s="115" t="n"/>
      <c r="G309" s="115" t="n"/>
      <c r="H309" s="115" t="n"/>
      <c r="I309" s="115" t="n"/>
      <c r="J309" s="115" t="n"/>
      <c r="K309" s="115" t="n"/>
      <c r="L309" s="115" t="n"/>
      <c r="M309" s="115" t="n"/>
      <c r="N309" s="115" t="n"/>
      <c r="O309" s="115" t="n"/>
      <c r="P309" s="115" t="n"/>
      <c r="Q309" s="115" t="n"/>
      <c r="R309" s="115" t="n"/>
      <c r="S309" s="115" t="n"/>
      <c r="T309" s="115" t="n"/>
      <c r="U309" s="116" t="n"/>
      <c r="V309" s="116" t="n"/>
      <c r="W309" s="117" t="n"/>
      <c r="X309" s="118" t="n"/>
      <c r="Y309" s="119" t="n"/>
      <c r="Z309" s="120" t="n"/>
      <c r="AA309" s="121" t="n"/>
      <c r="AB309" s="122" t="n"/>
      <c r="AC309" s="117" t="n"/>
      <c r="AD309" s="123">
        <f>IF(SUM($AE309:$AH309)=0,"",SUM($AE309:$AH309))</f>
        <v/>
      </c>
      <c r="AE309" s="123">
        <f>iferror(IF(SUM($AI309:$AZ309)=0,"",SUM($AI309:$AZ309)),"")</f>
        <v/>
      </c>
      <c r="AF309" s="123">
        <f>iferror(IF(SUM($BA309:$BC309)=0,"",SUM($BA309:$BC309)),"")</f>
        <v/>
      </c>
      <c r="AG309" s="123">
        <f>iferror(IF(SUM($BD309:$BF309)=0,"",SUM($BD309:$BF309)),"")</f>
        <v/>
      </c>
      <c r="AH309" s="124">
        <f>iferror(IF(SUM($BG309:$BI309)=0,"",SUM($BG309:$BI309)),"")</f>
        <v/>
      </c>
      <c r="AI309" s="131" t="n"/>
      <c r="AJ309" s="132" t="n"/>
      <c r="AK309" s="132" t="n"/>
      <c r="AL309" s="132" t="n"/>
      <c r="AM309" s="132" t="n"/>
      <c r="AN309" s="132" t="n"/>
      <c r="AO309" s="132" t="n"/>
      <c r="AP309" s="132" t="n"/>
      <c r="AQ309" s="132" t="n"/>
      <c r="AR309" s="132" t="n"/>
      <c r="AS309" s="132" t="n"/>
      <c r="AT309" s="132" t="n"/>
      <c r="AU309" s="132" t="n"/>
      <c r="AV309" s="132" t="n"/>
      <c r="AW309" s="132" t="n"/>
      <c r="AX309" s="132" t="n"/>
      <c r="AY309" s="132" t="n"/>
      <c r="AZ309" s="133" t="n"/>
      <c r="BA309" s="131" t="n"/>
      <c r="BB309" s="132" t="n"/>
      <c r="BC309" s="133" t="n"/>
      <c r="BD309" s="131" t="n"/>
      <c r="BE309" s="132" t="n"/>
      <c r="BF309" s="133" t="n"/>
      <c r="BG309" s="131" t="n"/>
      <c r="BH309" s="132" t="n"/>
      <c r="BI309" s="132" t="n"/>
      <c r="BJ309" s="128">
        <f>iferror(SUM($BK309,($BL309*1.2),($BM309*1.35),($BN309*0.74)),)</f>
        <v/>
      </c>
      <c r="BK309" s="128">
        <f>IFERROR(SUM($BT309:$CK309),)</f>
        <v/>
      </c>
      <c r="BL309" s="129">
        <f>IFERROR(SUM($CL309:$CN309),)</f>
        <v/>
      </c>
      <c r="BM309" s="130">
        <f>IFERROR(SUM($CO309:$CQ309),)</f>
        <v/>
      </c>
      <c r="BN309" s="128">
        <f>IFERROR(SUM($CR309:$CT309),)</f>
        <v/>
      </c>
      <c r="BO309" s="128">
        <f>iferror(SUM($BP309,($BQ309*1.2),($BR309*1.35),($BS309*0.74)),)</f>
        <v/>
      </c>
      <c r="BP309" s="128">
        <f>IFERROR(SUM($CU309:$DL309),)</f>
        <v/>
      </c>
      <c r="BQ309" s="128">
        <f>IFERROR(SUM($DM309:$DO309),)</f>
        <v/>
      </c>
      <c r="BR309" s="128">
        <f>IFERROR(SUM($DP309:$DR309),)</f>
        <v/>
      </c>
      <c r="BS309" s="128">
        <f>IFERROR(SUM($DS309:$DU309),)</f>
        <v/>
      </c>
      <c r="BT309" s="128">
        <f>IFERROR(AI309*$W309,)</f>
        <v/>
      </c>
      <c r="BU309" s="128">
        <f>IFERROR(AJ309*$W309,)</f>
        <v/>
      </c>
      <c r="BV309" s="128">
        <f>IFERROR(AK309*$W309,)</f>
        <v/>
      </c>
      <c r="BW309" s="128">
        <f>IFERROR(AL309*$W309,)</f>
        <v/>
      </c>
      <c r="BX309" s="128">
        <f>IFERROR(AM309*$W309,)</f>
        <v/>
      </c>
      <c r="BY309" s="128">
        <f>IFERROR(AN309*$W309,)</f>
        <v/>
      </c>
      <c r="BZ309" s="128">
        <f>IFERROR(AO309*$W309,)</f>
        <v/>
      </c>
      <c r="CA309" s="128">
        <f>IFERROR(AP309*$W309,)</f>
        <v/>
      </c>
      <c r="CB309" s="128">
        <f>IFERROR(AQ309*$W309,)</f>
        <v/>
      </c>
      <c r="CC309" s="128">
        <f>IFERROR(AR309*$W309,)</f>
        <v/>
      </c>
      <c r="CD309" s="128">
        <f>IFERROR(AS309*$W309,)</f>
        <v/>
      </c>
      <c r="CE309" s="128">
        <f>IFERROR(AT309*$W309,)</f>
        <v/>
      </c>
      <c r="CF309" s="128">
        <f>IFERROR(AU309*$W309,)</f>
        <v/>
      </c>
      <c r="CG309" s="128">
        <f>IFERROR(AV309*$W309,)</f>
        <v/>
      </c>
      <c r="CH309" s="128">
        <f>IFERROR(AW309*$W309,)</f>
        <v/>
      </c>
      <c r="CI309" s="128">
        <f>IFERROR(AX309*$W309,)</f>
        <v/>
      </c>
      <c r="CJ309" s="128">
        <f>IFERROR(AY309*$W309,)</f>
        <v/>
      </c>
      <c r="CK309" s="128">
        <f>IFERROR(AZ309*$W309,)</f>
        <v/>
      </c>
      <c r="CL309" s="129">
        <f>IFERROR(if($Y309=0,BA309*($W309/1.2),BA309*$Y309),"")</f>
        <v/>
      </c>
      <c r="CM309" s="129">
        <f>IFERROR(if($Y309=0,BB309*($W309/1.2),BB309*$Y309),"")</f>
        <v/>
      </c>
      <c r="CN309" s="129">
        <f>IFERROR(if($Y309=0,BC309*($W309/1.2),BC309*$Y309),"")</f>
        <v/>
      </c>
      <c r="CO309" s="130">
        <f>IFERROR(if($AA309=0,($W309/1.35)*BD309,BD309*$AA309),)</f>
        <v/>
      </c>
      <c r="CP309" s="130">
        <f>IFERROR(if($AA309=0,($W309/1.35)*BE309,BE309*$AA309),)</f>
        <v/>
      </c>
      <c r="CQ309" s="130">
        <f>IFERROR(if($AA309=0,($W309/1.35)*BF309,BF309*$AA309),)</f>
        <v/>
      </c>
      <c r="CR309" s="128">
        <f>IFERROR(if($AC309=0,($W309/0.74)*BG309,
BG309*$AC309),)</f>
        <v/>
      </c>
      <c r="CS309" s="128">
        <f>IFERROR(if($AC309=0,($W309/0.74)*BH309,
BH309*$AC309),)</f>
        <v/>
      </c>
      <c r="CT309" s="128">
        <f>IFERROR(if($AC309=0,($W309/0.74)*BI309,
BI309*$AC309),)</f>
        <v/>
      </c>
      <c r="CU309" s="128">
        <f>IFERROR(AI309*$V309,)</f>
        <v/>
      </c>
      <c r="CV309" s="128">
        <f>IFERROR(AJ309*$V309,)</f>
        <v/>
      </c>
      <c r="CW309" s="128">
        <f>IFERROR(AK309*$V309,)</f>
        <v/>
      </c>
      <c r="CX309" s="128">
        <f>IFERROR(AL309*$V309,)</f>
        <v/>
      </c>
      <c r="CY309" s="128">
        <f>IFERROR(AM309*$V309,)</f>
        <v/>
      </c>
      <c r="CZ309" s="128">
        <f>IFERROR(AN309*$V309,)</f>
        <v/>
      </c>
      <c r="DA309" s="128">
        <f>IFERROR(AO309*$V309,)</f>
        <v/>
      </c>
      <c r="DB309" s="128">
        <f>IFERROR(AP309*$V309,)</f>
        <v/>
      </c>
      <c r="DC309" s="128">
        <f>IFERROR(AQ309*$V309,)</f>
        <v/>
      </c>
      <c r="DD309" s="128">
        <f>IFERROR(AR309*$V309,)</f>
        <v/>
      </c>
      <c r="DE309" s="128">
        <f>IFERROR(AS309*$V309,)</f>
        <v/>
      </c>
      <c r="DF309" s="128">
        <f>IFERROR(AT309*$V309,)</f>
        <v/>
      </c>
      <c r="DG309" s="128">
        <f>IFERROR(AU309*$V309,)</f>
        <v/>
      </c>
      <c r="DH309" s="128">
        <f>IFERROR(AV309*$V309,)</f>
        <v/>
      </c>
      <c r="DI309" s="128">
        <f>IFERROR(AW309*$V309,)</f>
        <v/>
      </c>
      <c r="DJ309" s="128">
        <f>IFERROR(AX309*$V309,)</f>
        <v/>
      </c>
      <c r="DK309" s="128">
        <f>IFERROR(AY309*$V309,)</f>
        <v/>
      </c>
      <c r="DL309" s="128">
        <f>IFERROR(AZ309*$V309,)</f>
        <v/>
      </c>
      <c r="DM309" s="129">
        <f>IFERROR(if($X309=0,($V309/1.2)*BA309,
BA309*$X309),)</f>
        <v/>
      </c>
      <c r="DN309" s="129">
        <f>IFERROR(if($X309=0,($V309/1.2)*BB309,
BB309*$X309),)</f>
        <v/>
      </c>
      <c r="DO309" s="129">
        <f>IFERROR(if($X309=0,($V309/1.2)*BC309,
BC309*$X309),)</f>
        <v/>
      </c>
      <c r="DP309" s="130">
        <f>IFERROR(if($Z309=0,($V309/1.35)*BD309,
BD309*$Z309),)</f>
        <v/>
      </c>
      <c r="DQ309" s="130">
        <f>IFERROR(if($Z309=0,($V309/1.35)*BE309,
BE309*$Z309),)</f>
        <v/>
      </c>
      <c r="DR309" s="130">
        <f>IFERROR(if($Z309=0,($V309/1.35)*BF309,
BF309*$Z309),)</f>
        <v/>
      </c>
      <c r="DS309" s="128">
        <f>IFERROR(IF($AB309=0,($V309/0.74)*BG309,
BG309*$AB309),)</f>
        <v/>
      </c>
      <c r="DT309" s="128">
        <f>IFERROR(IF($AB309=0,($V309/0.74)*BH309,
BH309*$AB309),)</f>
        <v/>
      </c>
      <c r="DU309" s="128">
        <f>IFERROR(IF($AB309=0,($V309/0.74)*BI309,
BI309*$AB309),)</f>
        <v/>
      </c>
    </row>
    <row r="310" ht="131.25" customHeight="1" s="162">
      <c r="A310" s="115" t="n"/>
      <c r="B310" s="115" t="n"/>
      <c r="C310" s="115" t="n"/>
      <c r="D310" s="115" t="n"/>
      <c r="E310" s="115" t="n"/>
      <c r="F310" s="115" t="n"/>
      <c r="G310" s="115" t="n"/>
      <c r="H310" s="115" t="n"/>
      <c r="I310" s="115" t="n"/>
      <c r="J310" s="115" t="n"/>
      <c r="K310" s="115" t="n"/>
      <c r="L310" s="115" t="n"/>
      <c r="M310" s="115" t="n"/>
      <c r="N310" s="115" t="n"/>
      <c r="O310" s="115" t="n"/>
      <c r="P310" s="115" t="n"/>
      <c r="Q310" s="115" t="n"/>
      <c r="R310" s="115" t="n"/>
      <c r="S310" s="115" t="n"/>
      <c r="T310" s="115" t="n"/>
      <c r="U310" s="116" t="n"/>
      <c r="V310" s="116" t="n"/>
      <c r="W310" s="117" t="n"/>
      <c r="X310" s="118" t="n"/>
      <c r="Y310" s="119" t="n"/>
      <c r="Z310" s="120" t="n"/>
      <c r="AA310" s="121" t="n"/>
      <c r="AB310" s="122" t="n"/>
      <c r="AC310" s="117" t="n"/>
      <c r="AD310" s="123">
        <f>IF(SUM($AE310:$AH310)=0,"",SUM($AE310:$AH310))</f>
        <v/>
      </c>
      <c r="AE310" s="123">
        <f>iferror(IF(SUM($AI310:$AZ310)=0,"",SUM($AI310:$AZ310)),"")</f>
        <v/>
      </c>
      <c r="AF310" s="123">
        <f>iferror(IF(SUM($BA310:$BC310)=0,"",SUM($BA310:$BC310)),"")</f>
        <v/>
      </c>
      <c r="AG310" s="123">
        <f>iferror(IF(SUM($BD310:$BF310)=0,"",SUM($BD310:$BF310)),"")</f>
        <v/>
      </c>
      <c r="AH310" s="124">
        <f>iferror(IF(SUM($BG310:$BI310)=0,"",SUM($BG310:$BI310)),"")</f>
        <v/>
      </c>
      <c r="AI310" s="131" t="n"/>
      <c r="AJ310" s="132" t="n"/>
      <c r="AK310" s="132" t="n"/>
      <c r="AL310" s="132" t="n"/>
      <c r="AM310" s="132" t="n"/>
      <c r="AN310" s="132" t="n"/>
      <c r="AO310" s="132" t="n"/>
      <c r="AP310" s="132" t="n"/>
      <c r="AQ310" s="132" t="n"/>
      <c r="AR310" s="132" t="n"/>
      <c r="AS310" s="132" t="n"/>
      <c r="AT310" s="132" t="n"/>
      <c r="AU310" s="132" t="n"/>
      <c r="AV310" s="132" t="n"/>
      <c r="AW310" s="132" t="n"/>
      <c r="AX310" s="132" t="n"/>
      <c r="AY310" s="132" t="n"/>
      <c r="AZ310" s="133" t="n"/>
      <c r="BA310" s="131" t="n"/>
      <c r="BB310" s="132" t="n"/>
      <c r="BC310" s="133" t="n"/>
      <c r="BD310" s="131" t="n"/>
      <c r="BE310" s="132" t="n"/>
      <c r="BF310" s="133" t="n"/>
      <c r="BG310" s="131" t="n"/>
      <c r="BH310" s="132" t="n"/>
      <c r="BI310" s="132" t="n"/>
      <c r="BJ310" s="128">
        <f>iferror(SUM($BK310,($BL310*1.2),($BM310*1.35),($BN310*0.74)),)</f>
        <v/>
      </c>
      <c r="BK310" s="128">
        <f>IFERROR(SUM($BT310:$CK310),)</f>
        <v/>
      </c>
      <c r="BL310" s="129">
        <f>IFERROR(SUM($CL310:$CN310),)</f>
        <v/>
      </c>
      <c r="BM310" s="130">
        <f>IFERROR(SUM($CO310:$CQ310),)</f>
        <v/>
      </c>
      <c r="BN310" s="128">
        <f>IFERROR(SUM($CR310:$CT310),)</f>
        <v/>
      </c>
      <c r="BO310" s="128">
        <f>iferror(SUM($BP310,($BQ310*1.2),($BR310*1.35),($BS310*0.74)),)</f>
        <v/>
      </c>
      <c r="BP310" s="128">
        <f>IFERROR(SUM($CU310:$DL310),)</f>
        <v/>
      </c>
      <c r="BQ310" s="128">
        <f>IFERROR(SUM($DM310:$DO310),)</f>
        <v/>
      </c>
      <c r="BR310" s="128">
        <f>IFERROR(SUM($DP310:$DR310),)</f>
        <v/>
      </c>
      <c r="BS310" s="128">
        <f>IFERROR(SUM($DS310:$DU310),)</f>
        <v/>
      </c>
      <c r="BT310" s="128">
        <f>IFERROR(AI310*$W310,)</f>
        <v/>
      </c>
      <c r="BU310" s="128">
        <f>IFERROR(AJ310*$W310,)</f>
        <v/>
      </c>
      <c r="BV310" s="128">
        <f>IFERROR(AK310*$W310,)</f>
        <v/>
      </c>
      <c r="BW310" s="128">
        <f>IFERROR(AL310*$W310,)</f>
        <v/>
      </c>
      <c r="BX310" s="128">
        <f>IFERROR(AM310*$W310,)</f>
        <v/>
      </c>
      <c r="BY310" s="128">
        <f>IFERROR(AN310*$W310,)</f>
        <v/>
      </c>
      <c r="BZ310" s="128">
        <f>IFERROR(AO310*$W310,)</f>
        <v/>
      </c>
      <c r="CA310" s="128">
        <f>IFERROR(AP310*$W310,)</f>
        <v/>
      </c>
      <c r="CB310" s="128">
        <f>IFERROR(AQ310*$W310,)</f>
        <v/>
      </c>
      <c r="CC310" s="128">
        <f>IFERROR(AR310*$W310,)</f>
        <v/>
      </c>
      <c r="CD310" s="128">
        <f>IFERROR(AS310*$W310,)</f>
        <v/>
      </c>
      <c r="CE310" s="128">
        <f>IFERROR(AT310*$W310,)</f>
        <v/>
      </c>
      <c r="CF310" s="128">
        <f>IFERROR(AU310*$W310,)</f>
        <v/>
      </c>
      <c r="CG310" s="128">
        <f>IFERROR(AV310*$W310,)</f>
        <v/>
      </c>
      <c r="CH310" s="128">
        <f>IFERROR(AW310*$W310,)</f>
        <v/>
      </c>
      <c r="CI310" s="128">
        <f>IFERROR(AX310*$W310,)</f>
        <v/>
      </c>
      <c r="CJ310" s="128">
        <f>IFERROR(AY310*$W310,)</f>
        <v/>
      </c>
      <c r="CK310" s="128">
        <f>IFERROR(AZ310*$W310,)</f>
        <v/>
      </c>
      <c r="CL310" s="129">
        <f>IFERROR(if($Y310=0,BA310*($W310/1.2),BA310*$Y310),"")</f>
        <v/>
      </c>
      <c r="CM310" s="129">
        <f>IFERROR(if($Y310=0,BB310*($W310/1.2),BB310*$Y310),"")</f>
        <v/>
      </c>
      <c r="CN310" s="129">
        <f>IFERROR(if($Y310=0,BC310*($W310/1.2),BC310*$Y310),"")</f>
        <v/>
      </c>
      <c r="CO310" s="130">
        <f>IFERROR(if($AA310=0,($W310/1.35)*BD310,BD310*$AA310),)</f>
        <v/>
      </c>
      <c r="CP310" s="130">
        <f>IFERROR(if($AA310=0,($W310/1.35)*BE310,BE310*$AA310),)</f>
        <v/>
      </c>
      <c r="CQ310" s="130">
        <f>IFERROR(if($AA310=0,($W310/1.35)*BF310,BF310*$AA310),)</f>
        <v/>
      </c>
      <c r="CR310" s="128">
        <f>IFERROR(if($AC310=0,($W310/0.74)*BG310,
BG310*$AC310),)</f>
        <v/>
      </c>
      <c r="CS310" s="128">
        <f>IFERROR(if($AC310=0,($W310/0.74)*BH310,
BH310*$AC310),)</f>
        <v/>
      </c>
      <c r="CT310" s="128">
        <f>IFERROR(if($AC310=0,($W310/0.74)*BI310,
BI310*$AC310),)</f>
        <v/>
      </c>
      <c r="CU310" s="128">
        <f>IFERROR(AI310*$V310,)</f>
        <v/>
      </c>
      <c r="CV310" s="128">
        <f>IFERROR(AJ310*$V310,)</f>
        <v/>
      </c>
      <c r="CW310" s="128">
        <f>IFERROR(AK310*$V310,)</f>
        <v/>
      </c>
      <c r="CX310" s="128">
        <f>IFERROR(AL310*$V310,)</f>
        <v/>
      </c>
      <c r="CY310" s="128">
        <f>IFERROR(AM310*$V310,)</f>
        <v/>
      </c>
      <c r="CZ310" s="128">
        <f>IFERROR(AN310*$V310,)</f>
        <v/>
      </c>
      <c r="DA310" s="128">
        <f>IFERROR(AO310*$V310,)</f>
        <v/>
      </c>
      <c r="DB310" s="128">
        <f>IFERROR(AP310*$V310,)</f>
        <v/>
      </c>
      <c r="DC310" s="128">
        <f>IFERROR(AQ310*$V310,)</f>
        <v/>
      </c>
      <c r="DD310" s="128">
        <f>IFERROR(AR310*$V310,)</f>
        <v/>
      </c>
      <c r="DE310" s="128">
        <f>IFERROR(AS310*$V310,)</f>
        <v/>
      </c>
      <c r="DF310" s="128">
        <f>IFERROR(AT310*$V310,)</f>
        <v/>
      </c>
      <c r="DG310" s="128">
        <f>IFERROR(AU310*$V310,)</f>
        <v/>
      </c>
      <c r="DH310" s="128">
        <f>IFERROR(AV310*$V310,)</f>
        <v/>
      </c>
      <c r="DI310" s="128">
        <f>IFERROR(AW310*$V310,)</f>
        <v/>
      </c>
      <c r="DJ310" s="128">
        <f>IFERROR(AX310*$V310,)</f>
        <v/>
      </c>
      <c r="DK310" s="128">
        <f>IFERROR(AY310*$V310,)</f>
        <v/>
      </c>
      <c r="DL310" s="128">
        <f>IFERROR(AZ310*$V310,)</f>
        <v/>
      </c>
      <c r="DM310" s="129">
        <f>IFERROR(if($X310=0,($V310/1.2)*BA310,
BA310*$X310),)</f>
        <v/>
      </c>
      <c r="DN310" s="129">
        <f>IFERROR(if($X310=0,($V310/1.2)*BB310,
BB310*$X310),)</f>
        <v/>
      </c>
      <c r="DO310" s="129">
        <f>IFERROR(if($X310=0,($V310/1.2)*BC310,
BC310*$X310),)</f>
        <v/>
      </c>
      <c r="DP310" s="130">
        <f>IFERROR(if($Z310=0,($V310/1.35)*BD310,
BD310*$Z310),)</f>
        <v/>
      </c>
      <c r="DQ310" s="130">
        <f>IFERROR(if($Z310=0,($V310/1.35)*BE310,
BE310*$Z310),)</f>
        <v/>
      </c>
      <c r="DR310" s="130">
        <f>IFERROR(if($Z310=0,($V310/1.35)*BF310,
BF310*$Z310),)</f>
        <v/>
      </c>
      <c r="DS310" s="128">
        <f>IFERROR(IF($AB310=0,($V310/0.74)*BG310,
BG310*$AB310),)</f>
        <v/>
      </c>
      <c r="DT310" s="128">
        <f>IFERROR(IF($AB310=0,($V310/0.74)*BH310,
BH310*$AB310),)</f>
        <v/>
      </c>
      <c r="DU310" s="128">
        <f>IFERROR(IF($AB310=0,($V310/0.74)*BI310,
BI310*$AB310),)</f>
        <v/>
      </c>
    </row>
    <row r="311" ht="131.25" customHeight="1" s="162">
      <c r="A311" s="115" t="n"/>
      <c r="B311" s="115" t="n"/>
      <c r="C311" s="115" t="n"/>
      <c r="D311" s="115" t="n"/>
      <c r="E311" s="115" t="n"/>
      <c r="F311" s="115" t="n"/>
      <c r="G311" s="115" t="n"/>
      <c r="H311" s="115" t="n"/>
      <c r="I311" s="115" t="n"/>
      <c r="J311" s="115" t="n"/>
      <c r="K311" s="115" t="n"/>
      <c r="L311" s="115" t="n"/>
      <c r="M311" s="115" t="n"/>
      <c r="N311" s="115" t="n"/>
      <c r="O311" s="115" t="n"/>
      <c r="P311" s="115" t="n"/>
      <c r="Q311" s="115" t="n"/>
      <c r="R311" s="115" t="n"/>
      <c r="S311" s="115" t="n"/>
      <c r="T311" s="115" t="n"/>
      <c r="U311" s="116" t="n"/>
      <c r="V311" s="116" t="n"/>
      <c r="W311" s="117" t="n"/>
      <c r="X311" s="118" t="n"/>
      <c r="Y311" s="119" t="n"/>
      <c r="Z311" s="120" t="n"/>
      <c r="AA311" s="121" t="n"/>
      <c r="AB311" s="122" t="n"/>
      <c r="AC311" s="117" t="n"/>
      <c r="AD311" s="123">
        <f>IF(SUM($AE311:$AH311)=0,"",SUM($AE311:$AH311))</f>
        <v/>
      </c>
      <c r="AE311" s="123">
        <f>iferror(IF(SUM($AI311:$AZ311)=0,"",SUM($AI311:$AZ311)),"")</f>
        <v/>
      </c>
      <c r="AF311" s="123">
        <f>iferror(IF(SUM($BA311:$BC311)=0,"",SUM($BA311:$BC311)),"")</f>
        <v/>
      </c>
      <c r="AG311" s="123">
        <f>iferror(IF(SUM($BD311:$BF311)=0,"",SUM($BD311:$BF311)),"")</f>
        <v/>
      </c>
      <c r="AH311" s="124">
        <f>iferror(IF(SUM($BG311:$BI311)=0,"",SUM($BG311:$BI311)),"")</f>
        <v/>
      </c>
      <c r="AI311" s="131" t="n"/>
      <c r="AJ311" s="132" t="n"/>
      <c r="AK311" s="132" t="n"/>
      <c r="AL311" s="132" t="n"/>
      <c r="AM311" s="132" t="n"/>
      <c r="AN311" s="132" t="n"/>
      <c r="AO311" s="132" t="n"/>
      <c r="AP311" s="132" t="n"/>
      <c r="AQ311" s="132" t="n"/>
      <c r="AR311" s="132" t="n"/>
      <c r="AS311" s="132" t="n"/>
      <c r="AT311" s="132" t="n"/>
      <c r="AU311" s="132" t="n"/>
      <c r="AV311" s="132" t="n"/>
      <c r="AW311" s="132" t="n"/>
      <c r="AX311" s="132" t="n"/>
      <c r="AY311" s="132" t="n"/>
      <c r="AZ311" s="133" t="n"/>
      <c r="BA311" s="131" t="n"/>
      <c r="BB311" s="132" t="n"/>
      <c r="BC311" s="133" t="n"/>
      <c r="BD311" s="131" t="n"/>
      <c r="BE311" s="132" t="n"/>
      <c r="BF311" s="133" t="n"/>
      <c r="BG311" s="131" t="n"/>
      <c r="BH311" s="132" t="n"/>
      <c r="BI311" s="132" t="n"/>
      <c r="BJ311" s="128">
        <f>iferror(SUM($BK311,($BL311*1.2),($BM311*1.35),($BN311*0.74)),)</f>
        <v/>
      </c>
      <c r="BK311" s="128">
        <f>IFERROR(SUM($BT311:$CK311),)</f>
        <v/>
      </c>
      <c r="BL311" s="129">
        <f>IFERROR(SUM($CL311:$CN311),)</f>
        <v/>
      </c>
      <c r="BM311" s="130">
        <f>IFERROR(SUM($CO311:$CQ311),)</f>
        <v/>
      </c>
      <c r="BN311" s="128">
        <f>IFERROR(SUM($CR311:$CT311),)</f>
        <v/>
      </c>
      <c r="BO311" s="128">
        <f>iferror(SUM($BP311,($BQ311*1.2),($BR311*1.35),($BS311*0.74)),)</f>
        <v/>
      </c>
      <c r="BP311" s="128">
        <f>IFERROR(SUM($CU311:$DL311),)</f>
        <v/>
      </c>
      <c r="BQ311" s="128">
        <f>IFERROR(SUM($DM311:$DO311),)</f>
        <v/>
      </c>
      <c r="BR311" s="128">
        <f>IFERROR(SUM($DP311:$DR311),)</f>
        <v/>
      </c>
      <c r="BS311" s="128">
        <f>IFERROR(SUM($DS311:$DU311),)</f>
        <v/>
      </c>
      <c r="BT311" s="128">
        <f>IFERROR(AI311*$W311,)</f>
        <v/>
      </c>
      <c r="BU311" s="128">
        <f>IFERROR(AJ311*$W311,)</f>
        <v/>
      </c>
      <c r="BV311" s="128">
        <f>IFERROR(AK311*$W311,)</f>
        <v/>
      </c>
      <c r="BW311" s="128">
        <f>IFERROR(AL311*$W311,)</f>
        <v/>
      </c>
      <c r="BX311" s="128">
        <f>IFERROR(AM311*$W311,)</f>
        <v/>
      </c>
      <c r="BY311" s="128">
        <f>IFERROR(AN311*$W311,)</f>
        <v/>
      </c>
      <c r="BZ311" s="128">
        <f>IFERROR(AO311*$W311,)</f>
        <v/>
      </c>
      <c r="CA311" s="128">
        <f>IFERROR(AP311*$W311,)</f>
        <v/>
      </c>
      <c r="CB311" s="128">
        <f>IFERROR(AQ311*$W311,)</f>
        <v/>
      </c>
      <c r="CC311" s="128">
        <f>IFERROR(AR311*$W311,)</f>
        <v/>
      </c>
      <c r="CD311" s="128">
        <f>IFERROR(AS311*$W311,)</f>
        <v/>
      </c>
      <c r="CE311" s="128">
        <f>IFERROR(AT311*$W311,)</f>
        <v/>
      </c>
      <c r="CF311" s="128">
        <f>IFERROR(AU311*$W311,)</f>
        <v/>
      </c>
      <c r="CG311" s="128">
        <f>IFERROR(AV311*$W311,)</f>
        <v/>
      </c>
      <c r="CH311" s="128">
        <f>IFERROR(AW311*$W311,)</f>
        <v/>
      </c>
      <c r="CI311" s="128">
        <f>IFERROR(AX311*$W311,)</f>
        <v/>
      </c>
      <c r="CJ311" s="128">
        <f>IFERROR(AY311*$W311,)</f>
        <v/>
      </c>
      <c r="CK311" s="128">
        <f>IFERROR(AZ311*$W311,)</f>
        <v/>
      </c>
      <c r="CL311" s="129">
        <f>IFERROR(if($Y311=0,BA311*($W311/1.2),BA311*$Y311),"")</f>
        <v/>
      </c>
      <c r="CM311" s="129">
        <f>IFERROR(if($Y311=0,BB311*($W311/1.2),BB311*$Y311),"")</f>
        <v/>
      </c>
      <c r="CN311" s="129">
        <f>IFERROR(if($Y311=0,BC311*($W311/1.2),BC311*$Y311),"")</f>
        <v/>
      </c>
      <c r="CO311" s="130">
        <f>IFERROR(if($AA311=0,($W311/1.35)*BD311,BD311*$AA311),)</f>
        <v/>
      </c>
      <c r="CP311" s="130">
        <f>IFERROR(if($AA311=0,($W311/1.35)*BE311,BE311*$AA311),)</f>
        <v/>
      </c>
      <c r="CQ311" s="130">
        <f>IFERROR(if($AA311=0,($W311/1.35)*BF311,BF311*$AA311),)</f>
        <v/>
      </c>
      <c r="CR311" s="128">
        <f>IFERROR(if($AC311=0,($W311/0.74)*BG311,
BG311*$AC311),)</f>
        <v/>
      </c>
      <c r="CS311" s="128">
        <f>IFERROR(if($AC311=0,($W311/0.74)*BH311,
BH311*$AC311),)</f>
        <v/>
      </c>
      <c r="CT311" s="128">
        <f>IFERROR(if($AC311=0,($W311/0.74)*BI311,
BI311*$AC311),)</f>
        <v/>
      </c>
      <c r="CU311" s="128">
        <f>IFERROR(AI311*$V311,)</f>
        <v/>
      </c>
      <c r="CV311" s="128">
        <f>IFERROR(AJ311*$V311,)</f>
        <v/>
      </c>
      <c r="CW311" s="128">
        <f>IFERROR(AK311*$V311,)</f>
        <v/>
      </c>
      <c r="CX311" s="128">
        <f>IFERROR(AL311*$V311,)</f>
        <v/>
      </c>
      <c r="CY311" s="128">
        <f>IFERROR(AM311*$V311,)</f>
        <v/>
      </c>
      <c r="CZ311" s="128">
        <f>IFERROR(AN311*$V311,)</f>
        <v/>
      </c>
      <c r="DA311" s="128">
        <f>IFERROR(AO311*$V311,)</f>
        <v/>
      </c>
      <c r="DB311" s="128">
        <f>IFERROR(AP311*$V311,)</f>
        <v/>
      </c>
      <c r="DC311" s="128">
        <f>IFERROR(AQ311*$V311,)</f>
        <v/>
      </c>
      <c r="DD311" s="128">
        <f>IFERROR(AR311*$V311,)</f>
        <v/>
      </c>
      <c r="DE311" s="128">
        <f>IFERROR(AS311*$V311,)</f>
        <v/>
      </c>
      <c r="DF311" s="128">
        <f>IFERROR(AT311*$V311,)</f>
        <v/>
      </c>
      <c r="DG311" s="128">
        <f>IFERROR(AU311*$V311,)</f>
        <v/>
      </c>
      <c r="DH311" s="128">
        <f>IFERROR(AV311*$V311,)</f>
        <v/>
      </c>
      <c r="DI311" s="128">
        <f>IFERROR(AW311*$V311,)</f>
        <v/>
      </c>
      <c r="DJ311" s="128">
        <f>IFERROR(AX311*$V311,)</f>
        <v/>
      </c>
      <c r="DK311" s="128">
        <f>IFERROR(AY311*$V311,)</f>
        <v/>
      </c>
      <c r="DL311" s="128">
        <f>IFERROR(AZ311*$V311,)</f>
        <v/>
      </c>
      <c r="DM311" s="129">
        <f>IFERROR(if($X311=0,($V311/1.2)*BA311,
BA311*$X311),)</f>
        <v/>
      </c>
      <c r="DN311" s="129">
        <f>IFERROR(if($X311=0,($V311/1.2)*BB311,
BB311*$X311),)</f>
        <v/>
      </c>
      <c r="DO311" s="129">
        <f>IFERROR(if($X311=0,($V311/1.2)*BC311,
BC311*$X311),)</f>
        <v/>
      </c>
      <c r="DP311" s="130">
        <f>IFERROR(if($Z311=0,($V311/1.35)*BD311,
BD311*$Z311),)</f>
        <v/>
      </c>
      <c r="DQ311" s="130">
        <f>IFERROR(if($Z311=0,($V311/1.35)*BE311,
BE311*$Z311),)</f>
        <v/>
      </c>
      <c r="DR311" s="130">
        <f>IFERROR(if($Z311=0,($V311/1.35)*BF311,
BF311*$Z311),)</f>
        <v/>
      </c>
      <c r="DS311" s="128">
        <f>IFERROR(IF($AB311=0,($V311/0.74)*BG311,
BG311*$AB311),)</f>
        <v/>
      </c>
      <c r="DT311" s="128">
        <f>IFERROR(IF($AB311=0,($V311/0.74)*BH311,
BH311*$AB311),)</f>
        <v/>
      </c>
      <c r="DU311" s="128">
        <f>IFERROR(IF($AB311=0,($V311/0.74)*BI311,
BI311*$AB311),)</f>
        <v/>
      </c>
    </row>
    <row r="312" ht="131.25" customHeight="1" s="162">
      <c r="A312" s="115" t="n"/>
      <c r="B312" s="115" t="n"/>
      <c r="C312" s="115" t="n"/>
      <c r="D312" s="115" t="n"/>
      <c r="E312" s="115" t="n"/>
      <c r="F312" s="115" t="n"/>
      <c r="G312" s="115" t="n"/>
      <c r="H312" s="115" t="n"/>
      <c r="I312" s="115" t="n"/>
      <c r="J312" s="115" t="n"/>
      <c r="K312" s="115" t="n"/>
      <c r="L312" s="115" t="n"/>
      <c r="M312" s="115" t="n"/>
      <c r="N312" s="115" t="n"/>
      <c r="O312" s="115" t="n"/>
      <c r="P312" s="115" t="n"/>
      <c r="Q312" s="115" t="n"/>
      <c r="R312" s="115" t="n"/>
      <c r="S312" s="115" t="n"/>
      <c r="T312" s="115" t="n"/>
      <c r="U312" s="116" t="n"/>
      <c r="V312" s="116" t="n"/>
      <c r="W312" s="117" t="n"/>
      <c r="X312" s="118" t="n"/>
      <c r="Y312" s="119" t="n"/>
      <c r="Z312" s="120" t="n"/>
      <c r="AA312" s="121" t="n"/>
      <c r="AB312" s="122" t="n"/>
      <c r="AC312" s="117" t="n"/>
      <c r="AD312" s="123">
        <f>IF(SUM($AE312:$AH312)=0,"",SUM($AE312:$AH312))</f>
        <v/>
      </c>
      <c r="AE312" s="123">
        <f>iferror(IF(SUM($AI312:$AZ312)=0,"",SUM($AI312:$AZ312)),"")</f>
        <v/>
      </c>
      <c r="AF312" s="123">
        <f>iferror(IF(SUM($BA312:$BC312)=0,"",SUM($BA312:$BC312)),"")</f>
        <v/>
      </c>
      <c r="AG312" s="123">
        <f>iferror(IF(SUM($BD312:$BF312)=0,"",SUM($BD312:$BF312)),"")</f>
        <v/>
      </c>
      <c r="AH312" s="124">
        <f>iferror(IF(SUM($BG312:$BI312)=0,"",SUM($BG312:$BI312)),"")</f>
        <v/>
      </c>
      <c r="AI312" s="131" t="n"/>
      <c r="AJ312" s="132" t="n"/>
      <c r="AK312" s="132" t="n"/>
      <c r="AL312" s="132" t="n"/>
      <c r="AM312" s="132" t="n"/>
      <c r="AN312" s="132" t="n"/>
      <c r="AO312" s="132" t="n"/>
      <c r="AP312" s="132" t="n"/>
      <c r="AQ312" s="132" t="n"/>
      <c r="AR312" s="132" t="n"/>
      <c r="AS312" s="132" t="n"/>
      <c r="AT312" s="132" t="n"/>
      <c r="AU312" s="132" t="n"/>
      <c r="AV312" s="132" t="n"/>
      <c r="AW312" s="132" t="n"/>
      <c r="AX312" s="132" t="n"/>
      <c r="AY312" s="132" t="n"/>
      <c r="AZ312" s="133" t="n"/>
      <c r="BA312" s="131" t="n"/>
      <c r="BB312" s="132" t="n"/>
      <c r="BC312" s="133" t="n"/>
      <c r="BD312" s="131" t="n"/>
      <c r="BE312" s="132" t="n"/>
      <c r="BF312" s="133" t="n"/>
      <c r="BG312" s="131" t="n"/>
      <c r="BH312" s="132" t="n"/>
      <c r="BI312" s="132" t="n"/>
      <c r="BJ312" s="128">
        <f>iferror(SUM($BK312,($BL312*1.2),($BM312*1.35),($BN312*0.74)),)</f>
        <v/>
      </c>
      <c r="BK312" s="128">
        <f>IFERROR(SUM($BT312:$CK312),)</f>
        <v/>
      </c>
      <c r="BL312" s="129">
        <f>IFERROR(SUM($CL312:$CN312),)</f>
        <v/>
      </c>
      <c r="BM312" s="130">
        <f>IFERROR(SUM($CO312:$CQ312),)</f>
        <v/>
      </c>
      <c r="BN312" s="128">
        <f>IFERROR(SUM($CR312:$CT312),)</f>
        <v/>
      </c>
      <c r="BO312" s="128">
        <f>iferror(SUM($BP312,($BQ312*1.2),($BR312*1.35),($BS312*0.74)),)</f>
        <v/>
      </c>
      <c r="BP312" s="128">
        <f>IFERROR(SUM($CU312:$DL312),)</f>
        <v/>
      </c>
      <c r="BQ312" s="128">
        <f>IFERROR(SUM($DM312:$DO312),)</f>
        <v/>
      </c>
      <c r="BR312" s="128">
        <f>IFERROR(SUM($DP312:$DR312),)</f>
        <v/>
      </c>
      <c r="BS312" s="128">
        <f>IFERROR(SUM($DS312:$DU312),)</f>
        <v/>
      </c>
      <c r="BT312" s="128">
        <f>IFERROR(AI312*$W312,)</f>
        <v/>
      </c>
      <c r="BU312" s="128">
        <f>IFERROR(AJ312*$W312,)</f>
        <v/>
      </c>
      <c r="BV312" s="128">
        <f>IFERROR(AK312*$W312,)</f>
        <v/>
      </c>
      <c r="BW312" s="128">
        <f>IFERROR(AL312*$W312,)</f>
        <v/>
      </c>
      <c r="BX312" s="128">
        <f>IFERROR(AM312*$W312,)</f>
        <v/>
      </c>
      <c r="BY312" s="128">
        <f>IFERROR(AN312*$W312,)</f>
        <v/>
      </c>
      <c r="BZ312" s="128">
        <f>IFERROR(AO312*$W312,)</f>
        <v/>
      </c>
      <c r="CA312" s="128">
        <f>IFERROR(AP312*$W312,)</f>
        <v/>
      </c>
      <c r="CB312" s="128">
        <f>IFERROR(AQ312*$W312,)</f>
        <v/>
      </c>
      <c r="CC312" s="128">
        <f>IFERROR(AR312*$W312,)</f>
        <v/>
      </c>
      <c r="CD312" s="128">
        <f>IFERROR(AS312*$W312,)</f>
        <v/>
      </c>
      <c r="CE312" s="128">
        <f>IFERROR(AT312*$W312,)</f>
        <v/>
      </c>
      <c r="CF312" s="128">
        <f>IFERROR(AU312*$W312,)</f>
        <v/>
      </c>
      <c r="CG312" s="128">
        <f>IFERROR(AV312*$W312,)</f>
        <v/>
      </c>
      <c r="CH312" s="128">
        <f>IFERROR(AW312*$W312,)</f>
        <v/>
      </c>
      <c r="CI312" s="128">
        <f>IFERROR(AX312*$W312,)</f>
        <v/>
      </c>
      <c r="CJ312" s="128">
        <f>IFERROR(AY312*$W312,)</f>
        <v/>
      </c>
      <c r="CK312" s="128">
        <f>IFERROR(AZ312*$W312,)</f>
        <v/>
      </c>
      <c r="CL312" s="129">
        <f>IFERROR(if($Y312=0,BA312*($W312/1.2),BA312*$Y312),"")</f>
        <v/>
      </c>
      <c r="CM312" s="129">
        <f>IFERROR(if($Y312=0,BB312*($W312/1.2),BB312*$Y312),"")</f>
        <v/>
      </c>
      <c r="CN312" s="129">
        <f>IFERROR(if($Y312=0,BC312*($W312/1.2),BC312*$Y312),"")</f>
        <v/>
      </c>
      <c r="CO312" s="130">
        <f>IFERROR(if($AA312=0,($W312/1.35)*BD312,BD312*$AA312),)</f>
        <v/>
      </c>
      <c r="CP312" s="130">
        <f>IFERROR(if($AA312=0,($W312/1.35)*BE312,BE312*$AA312),)</f>
        <v/>
      </c>
      <c r="CQ312" s="130">
        <f>IFERROR(if($AA312=0,($W312/1.35)*BF312,BF312*$AA312),)</f>
        <v/>
      </c>
      <c r="CR312" s="128">
        <f>IFERROR(if($AC312=0,($W312/0.74)*BG312,
BG312*$AC312),)</f>
        <v/>
      </c>
      <c r="CS312" s="128">
        <f>IFERROR(if($AC312=0,($W312/0.74)*BH312,
BH312*$AC312),)</f>
        <v/>
      </c>
      <c r="CT312" s="128">
        <f>IFERROR(if($AC312=0,($W312/0.74)*BI312,
BI312*$AC312),)</f>
        <v/>
      </c>
      <c r="CU312" s="128">
        <f>IFERROR(AI312*$V312,)</f>
        <v/>
      </c>
      <c r="CV312" s="128">
        <f>IFERROR(AJ312*$V312,)</f>
        <v/>
      </c>
      <c r="CW312" s="128">
        <f>IFERROR(AK312*$V312,)</f>
        <v/>
      </c>
      <c r="CX312" s="128">
        <f>IFERROR(AL312*$V312,)</f>
        <v/>
      </c>
      <c r="CY312" s="128">
        <f>IFERROR(AM312*$V312,)</f>
        <v/>
      </c>
      <c r="CZ312" s="128">
        <f>IFERROR(AN312*$V312,)</f>
        <v/>
      </c>
      <c r="DA312" s="128">
        <f>IFERROR(AO312*$V312,)</f>
        <v/>
      </c>
      <c r="DB312" s="128">
        <f>IFERROR(AP312*$V312,)</f>
        <v/>
      </c>
      <c r="DC312" s="128">
        <f>IFERROR(AQ312*$V312,)</f>
        <v/>
      </c>
      <c r="DD312" s="128">
        <f>IFERROR(AR312*$V312,)</f>
        <v/>
      </c>
      <c r="DE312" s="128">
        <f>IFERROR(AS312*$V312,)</f>
        <v/>
      </c>
      <c r="DF312" s="128">
        <f>IFERROR(AT312*$V312,)</f>
        <v/>
      </c>
      <c r="DG312" s="128">
        <f>IFERROR(AU312*$V312,)</f>
        <v/>
      </c>
      <c r="DH312" s="128">
        <f>IFERROR(AV312*$V312,)</f>
        <v/>
      </c>
      <c r="DI312" s="128">
        <f>IFERROR(AW312*$V312,)</f>
        <v/>
      </c>
      <c r="DJ312" s="128">
        <f>IFERROR(AX312*$V312,)</f>
        <v/>
      </c>
      <c r="DK312" s="128">
        <f>IFERROR(AY312*$V312,)</f>
        <v/>
      </c>
      <c r="DL312" s="128">
        <f>IFERROR(AZ312*$V312,)</f>
        <v/>
      </c>
      <c r="DM312" s="129">
        <f>IFERROR(if($X312=0,($V312/1.2)*BA312,
BA312*$X312),)</f>
        <v/>
      </c>
      <c r="DN312" s="129">
        <f>IFERROR(if($X312=0,($V312/1.2)*BB312,
BB312*$X312),)</f>
        <v/>
      </c>
      <c r="DO312" s="129">
        <f>IFERROR(if($X312=0,($V312/1.2)*BC312,
BC312*$X312),)</f>
        <v/>
      </c>
      <c r="DP312" s="130">
        <f>IFERROR(if($Z312=0,($V312/1.35)*BD312,
BD312*$Z312),)</f>
        <v/>
      </c>
      <c r="DQ312" s="130">
        <f>IFERROR(if($Z312=0,($V312/1.35)*BE312,
BE312*$Z312),)</f>
        <v/>
      </c>
      <c r="DR312" s="130">
        <f>IFERROR(if($Z312=0,($V312/1.35)*BF312,
BF312*$Z312),)</f>
        <v/>
      </c>
      <c r="DS312" s="128">
        <f>IFERROR(IF($AB312=0,($V312/0.74)*BG312,
BG312*$AB312),)</f>
        <v/>
      </c>
      <c r="DT312" s="128">
        <f>IFERROR(IF($AB312=0,($V312/0.74)*BH312,
BH312*$AB312),)</f>
        <v/>
      </c>
      <c r="DU312" s="128">
        <f>IFERROR(IF($AB312=0,($V312/0.74)*BI312,
BI312*$AB312),)</f>
        <v/>
      </c>
    </row>
    <row r="313" ht="131.25" customHeight="1" s="162">
      <c r="A313" s="115" t="n"/>
      <c r="B313" s="115" t="n"/>
      <c r="C313" s="115" t="n"/>
      <c r="D313" s="115" t="n"/>
      <c r="E313" s="115" t="n"/>
      <c r="F313" s="115" t="n"/>
      <c r="G313" s="115" t="n"/>
      <c r="H313" s="115" t="n"/>
      <c r="I313" s="115" t="n"/>
      <c r="J313" s="115" t="n"/>
      <c r="K313" s="115" t="n"/>
      <c r="L313" s="115" t="n"/>
      <c r="M313" s="115" t="n"/>
      <c r="N313" s="115" t="n"/>
      <c r="O313" s="115" t="n"/>
      <c r="P313" s="115" t="n"/>
      <c r="Q313" s="115" t="n"/>
      <c r="R313" s="115" t="n"/>
      <c r="S313" s="115" t="n"/>
      <c r="T313" s="115" t="n"/>
      <c r="U313" s="116" t="n"/>
      <c r="V313" s="116" t="n"/>
      <c r="W313" s="117" t="n"/>
      <c r="X313" s="118" t="n"/>
      <c r="Y313" s="119" t="n"/>
      <c r="Z313" s="120" t="n"/>
      <c r="AA313" s="121" t="n"/>
      <c r="AB313" s="122" t="n"/>
      <c r="AC313" s="117" t="n"/>
      <c r="AD313" s="123">
        <f>IF(SUM($AE313:$AH313)=0,"",SUM($AE313:$AH313))</f>
        <v/>
      </c>
      <c r="AE313" s="123">
        <f>iferror(IF(SUM($AI313:$AZ313)=0,"",SUM($AI313:$AZ313)),"")</f>
        <v/>
      </c>
      <c r="AF313" s="123">
        <f>iferror(IF(SUM($BA313:$BC313)=0,"",SUM($BA313:$BC313)),"")</f>
        <v/>
      </c>
      <c r="AG313" s="123">
        <f>iferror(IF(SUM($BD313:$BF313)=0,"",SUM($BD313:$BF313)),"")</f>
        <v/>
      </c>
      <c r="AH313" s="124">
        <f>iferror(IF(SUM($BG313:$BI313)=0,"",SUM($BG313:$BI313)),"")</f>
        <v/>
      </c>
      <c r="AI313" s="131" t="n"/>
      <c r="AJ313" s="132" t="n"/>
      <c r="AK313" s="132" t="n"/>
      <c r="AL313" s="132" t="n"/>
      <c r="AM313" s="132" t="n"/>
      <c r="AN313" s="132" t="n"/>
      <c r="AO313" s="132" t="n"/>
      <c r="AP313" s="132" t="n"/>
      <c r="AQ313" s="132" t="n"/>
      <c r="AR313" s="132" t="n"/>
      <c r="AS313" s="132" t="n"/>
      <c r="AT313" s="132" t="n"/>
      <c r="AU313" s="132" t="n"/>
      <c r="AV313" s="132" t="n"/>
      <c r="AW313" s="132" t="n"/>
      <c r="AX313" s="132" t="n"/>
      <c r="AY313" s="132" t="n"/>
      <c r="AZ313" s="133" t="n"/>
      <c r="BA313" s="131" t="n"/>
      <c r="BB313" s="132" t="n"/>
      <c r="BC313" s="133" t="n"/>
      <c r="BD313" s="131" t="n"/>
      <c r="BE313" s="132" t="n"/>
      <c r="BF313" s="133" t="n"/>
      <c r="BG313" s="131" t="n"/>
      <c r="BH313" s="132" t="n"/>
      <c r="BI313" s="132" t="n"/>
      <c r="BJ313" s="128">
        <f>iferror(SUM($BK313,($BL313*1.2),($BM313*1.35),($BN313*0.74)),)</f>
        <v/>
      </c>
      <c r="BK313" s="128">
        <f>IFERROR(SUM($BT313:$CK313),)</f>
        <v/>
      </c>
      <c r="BL313" s="129">
        <f>IFERROR(SUM($CL313:$CN313),)</f>
        <v/>
      </c>
      <c r="BM313" s="130">
        <f>IFERROR(SUM($CO313:$CQ313),)</f>
        <v/>
      </c>
      <c r="BN313" s="128">
        <f>IFERROR(SUM($CR313:$CT313),)</f>
        <v/>
      </c>
      <c r="BO313" s="128">
        <f>iferror(SUM($BP313,($BQ313*1.2),($BR313*1.35),($BS313*0.74)),)</f>
        <v/>
      </c>
      <c r="BP313" s="128">
        <f>IFERROR(SUM($CU313:$DL313),)</f>
        <v/>
      </c>
      <c r="BQ313" s="128">
        <f>IFERROR(SUM($DM313:$DO313),)</f>
        <v/>
      </c>
      <c r="BR313" s="128">
        <f>IFERROR(SUM($DP313:$DR313),)</f>
        <v/>
      </c>
      <c r="BS313" s="128">
        <f>IFERROR(SUM($DS313:$DU313),)</f>
        <v/>
      </c>
      <c r="BT313" s="128">
        <f>IFERROR(AI313*$W313,)</f>
        <v/>
      </c>
      <c r="BU313" s="128">
        <f>IFERROR(AJ313*$W313,)</f>
        <v/>
      </c>
      <c r="BV313" s="128">
        <f>IFERROR(AK313*$W313,)</f>
        <v/>
      </c>
      <c r="BW313" s="128">
        <f>IFERROR(AL313*$W313,)</f>
        <v/>
      </c>
      <c r="BX313" s="128">
        <f>IFERROR(AM313*$W313,)</f>
        <v/>
      </c>
      <c r="BY313" s="128">
        <f>IFERROR(AN313*$W313,)</f>
        <v/>
      </c>
      <c r="BZ313" s="128">
        <f>IFERROR(AO313*$W313,)</f>
        <v/>
      </c>
      <c r="CA313" s="128">
        <f>IFERROR(AP313*$W313,)</f>
        <v/>
      </c>
      <c r="CB313" s="128">
        <f>IFERROR(AQ313*$W313,)</f>
        <v/>
      </c>
      <c r="CC313" s="128">
        <f>IFERROR(AR313*$W313,)</f>
        <v/>
      </c>
      <c r="CD313" s="128">
        <f>IFERROR(AS313*$W313,)</f>
        <v/>
      </c>
      <c r="CE313" s="128">
        <f>IFERROR(AT313*$W313,)</f>
        <v/>
      </c>
      <c r="CF313" s="128">
        <f>IFERROR(AU313*$W313,)</f>
        <v/>
      </c>
      <c r="CG313" s="128">
        <f>IFERROR(AV313*$W313,)</f>
        <v/>
      </c>
      <c r="CH313" s="128">
        <f>IFERROR(AW313*$W313,)</f>
        <v/>
      </c>
      <c r="CI313" s="128">
        <f>IFERROR(AX313*$W313,)</f>
        <v/>
      </c>
      <c r="CJ313" s="128">
        <f>IFERROR(AY313*$W313,)</f>
        <v/>
      </c>
      <c r="CK313" s="128">
        <f>IFERROR(AZ313*$W313,)</f>
        <v/>
      </c>
      <c r="CL313" s="129">
        <f>IFERROR(if($Y313=0,BA313*($W313/1.2),BA313*$Y313),"")</f>
        <v/>
      </c>
      <c r="CM313" s="129">
        <f>IFERROR(if($Y313=0,BB313*($W313/1.2),BB313*$Y313),"")</f>
        <v/>
      </c>
      <c r="CN313" s="129">
        <f>IFERROR(if($Y313=0,BC313*($W313/1.2),BC313*$Y313),"")</f>
        <v/>
      </c>
      <c r="CO313" s="130">
        <f>IFERROR(if($AA313=0,($W313/1.35)*BD313,BD313*$AA313),)</f>
        <v/>
      </c>
      <c r="CP313" s="130">
        <f>IFERROR(if($AA313=0,($W313/1.35)*BE313,BE313*$AA313),)</f>
        <v/>
      </c>
      <c r="CQ313" s="130">
        <f>IFERROR(if($AA313=0,($W313/1.35)*BF313,BF313*$AA313),)</f>
        <v/>
      </c>
      <c r="CR313" s="128">
        <f>IFERROR(if($AC313=0,($W313/0.74)*BG313,
BG313*$AC313),)</f>
        <v/>
      </c>
      <c r="CS313" s="128">
        <f>IFERROR(if($AC313=0,($W313/0.74)*BH313,
BH313*$AC313),)</f>
        <v/>
      </c>
      <c r="CT313" s="128">
        <f>IFERROR(if($AC313=0,($W313/0.74)*BI313,
BI313*$AC313),)</f>
        <v/>
      </c>
      <c r="CU313" s="128">
        <f>IFERROR(AI313*$V313,)</f>
        <v/>
      </c>
      <c r="CV313" s="128">
        <f>IFERROR(AJ313*$V313,)</f>
        <v/>
      </c>
      <c r="CW313" s="128">
        <f>IFERROR(AK313*$V313,)</f>
        <v/>
      </c>
      <c r="CX313" s="128">
        <f>IFERROR(AL313*$V313,)</f>
        <v/>
      </c>
      <c r="CY313" s="128">
        <f>IFERROR(AM313*$V313,)</f>
        <v/>
      </c>
      <c r="CZ313" s="128">
        <f>IFERROR(AN313*$V313,)</f>
        <v/>
      </c>
      <c r="DA313" s="128">
        <f>IFERROR(AO313*$V313,)</f>
        <v/>
      </c>
      <c r="DB313" s="128">
        <f>IFERROR(AP313*$V313,)</f>
        <v/>
      </c>
      <c r="DC313" s="128">
        <f>IFERROR(AQ313*$V313,)</f>
        <v/>
      </c>
      <c r="DD313" s="128">
        <f>IFERROR(AR313*$V313,)</f>
        <v/>
      </c>
      <c r="DE313" s="128">
        <f>IFERROR(AS313*$V313,)</f>
        <v/>
      </c>
      <c r="DF313" s="128">
        <f>IFERROR(AT313*$V313,)</f>
        <v/>
      </c>
      <c r="DG313" s="128">
        <f>IFERROR(AU313*$V313,)</f>
        <v/>
      </c>
      <c r="DH313" s="128">
        <f>IFERROR(AV313*$V313,)</f>
        <v/>
      </c>
      <c r="DI313" s="128">
        <f>IFERROR(AW313*$V313,)</f>
        <v/>
      </c>
      <c r="DJ313" s="128">
        <f>IFERROR(AX313*$V313,)</f>
        <v/>
      </c>
      <c r="DK313" s="128">
        <f>IFERROR(AY313*$V313,)</f>
        <v/>
      </c>
      <c r="DL313" s="128">
        <f>IFERROR(AZ313*$V313,)</f>
        <v/>
      </c>
      <c r="DM313" s="129">
        <f>IFERROR(if($X313=0,($V313/1.2)*BA313,
BA313*$X313),)</f>
        <v/>
      </c>
      <c r="DN313" s="129">
        <f>IFERROR(if($X313=0,($V313/1.2)*BB313,
BB313*$X313),)</f>
        <v/>
      </c>
      <c r="DO313" s="129">
        <f>IFERROR(if($X313=0,($V313/1.2)*BC313,
BC313*$X313),)</f>
        <v/>
      </c>
      <c r="DP313" s="130">
        <f>IFERROR(if($Z313=0,($V313/1.35)*BD313,
BD313*$Z313),)</f>
        <v/>
      </c>
      <c r="DQ313" s="130">
        <f>IFERROR(if($Z313=0,($V313/1.35)*BE313,
BE313*$Z313),)</f>
        <v/>
      </c>
      <c r="DR313" s="130">
        <f>IFERROR(if($Z313=0,($V313/1.35)*BF313,
BF313*$Z313),)</f>
        <v/>
      </c>
      <c r="DS313" s="128">
        <f>IFERROR(IF($AB313=0,($V313/0.74)*BG313,
BG313*$AB313),)</f>
        <v/>
      </c>
      <c r="DT313" s="128">
        <f>IFERROR(IF($AB313=0,($V313/0.74)*BH313,
BH313*$AB313),)</f>
        <v/>
      </c>
      <c r="DU313" s="128">
        <f>IFERROR(IF($AB313=0,($V313/0.74)*BI313,
BI313*$AB313),)</f>
        <v/>
      </c>
    </row>
    <row r="314" ht="131.25" customHeight="1" s="162">
      <c r="A314" s="115" t="n"/>
      <c r="B314" s="115" t="n"/>
      <c r="C314" s="115" t="n"/>
      <c r="D314" s="115" t="n"/>
      <c r="E314" s="115" t="n"/>
      <c r="F314" s="115" t="n"/>
      <c r="G314" s="115" t="n"/>
      <c r="H314" s="115" t="n"/>
      <c r="I314" s="115" t="n"/>
      <c r="J314" s="115" t="n"/>
      <c r="K314" s="115" t="n"/>
      <c r="L314" s="115" t="n"/>
      <c r="M314" s="115" t="n"/>
      <c r="N314" s="115" t="n"/>
      <c r="O314" s="115" t="n"/>
      <c r="P314" s="115" t="n"/>
      <c r="Q314" s="115" t="n"/>
      <c r="R314" s="115" t="n"/>
      <c r="S314" s="115" t="n"/>
      <c r="T314" s="115" t="n"/>
      <c r="U314" s="116" t="n"/>
      <c r="V314" s="116" t="n"/>
      <c r="W314" s="117" t="n"/>
      <c r="X314" s="118" t="n"/>
      <c r="Y314" s="119" t="n"/>
      <c r="Z314" s="120" t="n"/>
      <c r="AA314" s="121" t="n"/>
      <c r="AB314" s="122" t="n"/>
      <c r="AC314" s="117" t="n"/>
      <c r="AD314" s="123">
        <f>IF(SUM($AE314:$AH314)=0,"",SUM($AE314:$AH314))</f>
        <v/>
      </c>
      <c r="AE314" s="123">
        <f>iferror(IF(SUM($AI314:$AZ314)=0,"",SUM($AI314:$AZ314)),"")</f>
        <v/>
      </c>
      <c r="AF314" s="123">
        <f>iferror(IF(SUM($BA314:$BC314)=0,"",SUM($BA314:$BC314)),"")</f>
        <v/>
      </c>
      <c r="AG314" s="123">
        <f>iferror(IF(SUM($BD314:$BF314)=0,"",SUM($BD314:$BF314)),"")</f>
        <v/>
      </c>
      <c r="AH314" s="124">
        <f>iferror(IF(SUM($BG314:$BI314)=0,"",SUM($BG314:$BI314)),"")</f>
        <v/>
      </c>
      <c r="AI314" s="131" t="n"/>
      <c r="AJ314" s="132" t="n"/>
      <c r="AK314" s="132" t="n"/>
      <c r="AL314" s="132" t="n"/>
      <c r="AM314" s="132" t="n"/>
      <c r="AN314" s="132" t="n"/>
      <c r="AO314" s="132" t="n"/>
      <c r="AP314" s="132" t="n"/>
      <c r="AQ314" s="132" t="n"/>
      <c r="AR314" s="132" t="n"/>
      <c r="AS314" s="132" t="n"/>
      <c r="AT314" s="132" t="n"/>
      <c r="AU314" s="132" t="n"/>
      <c r="AV314" s="132" t="n"/>
      <c r="AW314" s="132" t="n"/>
      <c r="AX314" s="132" t="n"/>
      <c r="AY314" s="132" t="n"/>
      <c r="AZ314" s="133" t="n"/>
      <c r="BA314" s="131" t="n"/>
      <c r="BB314" s="132" t="n"/>
      <c r="BC314" s="133" t="n"/>
      <c r="BD314" s="131" t="n"/>
      <c r="BE314" s="132" t="n"/>
      <c r="BF314" s="133" t="n"/>
      <c r="BG314" s="131" t="n"/>
      <c r="BH314" s="132" t="n"/>
      <c r="BI314" s="132" t="n"/>
      <c r="BJ314" s="128">
        <f>iferror(SUM($BK314,($BL314*1.2),($BM314*1.35),($BN314*0.74)),)</f>
        <v/>
      </c>
      <c r="BK314" s="128">
        <f>IFERROR(SUM($BT314:$CK314),)</f>
        <v/>
      </c>
      <c r="BL314" s="129">
        <f>IFERROR(SUM($CL314:$CN314),)</f>
        <v/>
      </c>
      <c r="BM314" s="130">
        <f>IFERROR(SUM($CO314:$CQ314),)</f>
        <v/>
      </c>
      <c r="BN314" s="128">
        <f>IFERROR(SUM($CR314:$CT314),)</f>
        <v/>
      </c>
      <c r="BO314" s="128">
        <f>iferror(SUM($BP314,($BQ314*1.2),($BR314*1.35),($BS314*0.74)),)</f>
        <v/>
      </c>
      <c r="BP314" s="128">
        <f>IFERROR(SUM($CU314:$DL314),)</f>
        <v/>
      </c>
      <c r="BQ314" s="128">
        <f>IFERROR(SUM($DM314:$DO314),)</f>
        <v/>
      </c>
      <c r="BR314" s="128">
        <f>IFERROR(SUM($DP314:$DR314),)</f>
        <v/>
      </c>
      <c r="BS314" s="128">
        <f>IFERROR(SUM($DS314:$DU314),)</f>
        <v/>
      </c>
      <c r="BT314" s="128">
        <f>IFERROR(AI314*$W314,)</f>
        <v/>
      </c>
      <c r="BU314" s="128">
        <f>IFERROR(AJ314*$W314,)</f>
        <v/>
      </c>
      <c r="BV314" s="128">
        <f>IFERROR(AK314*$W314,)</f>
        <v/>
      </c>
      <c r="BW314" s="128">
        <f>IFERROR(AL314*$W314,)</f>
        <v/>
      </c>
      <c r="BX314" s="128">
        <f>IFERROR(AM314*$W314,)</f>
        <v/>
      </c>
      <c r="BY314" s="128">
        <f>IFERROR(AN314*$W314,)</f>
        <v/>
      </c>
      <c r="BZ314" s="128">
        <f>IFERROR(AO314*$W314,)</f>
        <v/>
      </c>
      <c r="CA314" s="128">
        <f>IFERROR(AP314*$W314,)</f>
        <v/>
      </c>
      <c r="CB314" s="128">
        <f>IFERROR(AQ314*$W314,)</f>
        <v/>
      </c>
      <c r="CC314" s="128">
        <f>IFERROR(AR314*$W314,)</f>
        <v/>
      </c>
      <c r="CD314" s="128">
        <f>IFERROR(AS314*$W314,)</f>
        <v/>
      </c>
      <c r="CE314" s="128">
        <f>IFERROR(AT314*$W314,)</f>
        <v/>
      </c>
      <c r="CF314" s="128">
        <f>IFERROR(AU314*$W314,)</f>
        <v/>
      </c>
      <c r="CG314" s="128">
        <f>IFERROR(AV314*$W314,)</f>
        <v/>
      </c>
      <c r="CH314" s="128">
        <f>IFERROR(AW314*$W314,)</f>
        <v/>
      </c>
      <c r="CI314" s="128">
        <f>IFERROR(AX314*$W314,)</f>
        <v/>
      </c>
      <c r="CJ314" s="128">
        <f>IFERROR(AY314*$W314,)</f>
        <v/>
      </c>
      <c r="CK314" s="128">
        <f>IFERROR(AZ314*$W314,)</f>
        <v/>
      </c>
      <c r="CL314" s="129">
        <f>IFERROR(if($Y314=0,BA314*($W314/1.2),BA314*$Y314),"")</f>
        <v/>
      </c>
      <c r="CM314" s="129">
        <f>IFERROR(if($Y314=0,BB314*($W314/1.2),BB314*$Y314),"")</f>
        <v/>
      </c>
      <c r="CN314" s="129">
        <f>IFERROR(if($Y314=0,BC314*($W314/1.2),BC314*$Y314),"")</f>
        <v/>
      </c>
      <c r="CO314" s="130">
        <f>IFERROR(if($AA314=0,($W314/1.35)*BD314,BD314*$AA314),)</f>
        <v/>
      </c>
      <c r="CP314" s="130">
        <f>IFERROR(if($AA314=0,($W314/1.35)*BE314,BE314*$AA314),)</f>
        <v/>
      </c>
      <c r="CQ314" s="130">
        <f>IFERROR(if($AA314=0,($W314/1.35)*BF314,BF314*$AA314),)</f>
        <v/>
      </c>
      <c r="CR314" s="128">
        <f>IFERROR(if($AC314=0,($W314/0.74)*BG314,
BG314*$AC314),)</f>
        <v/>
      </c>
      <c r="CS314" s="128">
        <f>IFERROR(if($AC314=0,($W314/0.74)*BH314,
BH314*$AC314),)</f>
        <v/>
      </c>
      <c r="CT314" s="128">
        <f>IFERROR(if($AC314=0,($W314/0.74)*BI314,
BI314*$AC314),)</f>
        <v/>
      </c>
      <c r="CU314" s="128">
        <f>IFERROR(AI314*$V314,)</f>
        <v/>
      </c>
      <c r="CV314" s="128">
        <f>IFERROR(AJ314*$V314,)</f>
        <v/>
      </c>
      <c r="CW314" s="128">
        <f>IFERROR(AK314*$V314,)</f>
        <v/>
      </c>
      <c r="CX314" s="128">
        <f>IFERROR(AL314*$V314,)</f>
        <v/>
      </c>
      <c r="CY314" s="128">
        <f>IFERROR(AM314*$V314,)</f>
        <v/>
      </c>
      <c r="CZ314" s="128">
        <f>IFERROR(AN314*$V314,)</f>
        <v/>
      </c>
      <c r="DA314" s="128">
        <f>IFERROR(AO314*$V314,)</f>
        <v/>
      </c>
      <c r="DB314" s="128">
        <f>IFERROR(AP314*$V314,)</f>
        <v/>
      </c>
      <c r="DC314" s="128">
        <f>IFERROR(AQ314*$V314,)</f>
        <v/>
      </c>
      <c r="DD314" s="128">
        <f>IFERROR(AR314*$V314,)</f>
        <v/>
      </c>
      <c r="DE314" s="128">
        <f>IFERROR(AS314*$V314,)</f>
        <v/>
      </c>
      <c r="DF314" s="128">
        <f>IFERROR(AT314*$V314,)</f>
        <v/>
      </c>
      <c r="DG314" s="128">
        <f>IFERROR(AU314*$V314,)</f>
        <v/>
      </c>
      <c r="DH314" s="128">
        <f>IFERROR(AV314*$V314,)</f>
        <v/>
      </c>
      <c r="DI314" s="128">
        <f>IFERROR(AW314*$V314,)</f>
        <v/>
      </c>
      <c r="DJ314" s="128">
        <f>IFERROR(AX314*$V314,)</f>
        <v/>
      </c>
      <c r="DK314" s="128">
        <f>IFERROR(AY314*$V314,)</f>
        <v/>
      </c>
      <c r="DL314" s="128">
        <f>IFERROR(AZ314*$V314,)</f>
        <v/>
      </c>
      <c r="DM314" s="129">
        <f>IFERROR(if($X314=0,($V314/1.2)*BA314,
BA314*$X314),)</f>
        <v/>
      </c>
      <c r="DN314" s="129">
        <f>IFERROR(if($X314=0,($V314/1.2)*BB314,
BB314*$X314),)</f>
        <v/>
      </c>
      <c r="DO314" s="129">
        <f>IFERROR(if($X314=0,($V314/1.2)*BC314,
BC314*$X314),)</f>
        <v/>
      </c>
      <c r="DP314" s="130">
        <f>IFERROR(if($Z314=0,($V314/1.35)*BD314,
BD314*$Z314),)</f>
        <v/>
      </c>
      <c r="DQ314" s="130">
        <f>IFERROR(if($Z314=0,($V314/1.35)*BE314,
BE314*$Z314),)</f>
        <v/>
      </c>
      <c r="DR314" s="130">
        <f>IFERROR(if($Z314=0,($V314/1.35)*BF314,
BF314*$Z314),)</f>
        <v/>
      </c>
      <c r="DS314" s="128">
        <f>IFERROR(IF($AB314=0,($V314/0.74)*BG314,
BG314*$AB314),)</f>
        <v/>
      </c>
      <c r="DT314" s="128">
        <f>IFERROR(IF($AB314=0,($V314/0.74)*BH314,
BH314*$AB314),)</f>
        <v/>
      </c>
      <c r="DU314" s="128">
        <f>IFERROR(IF($AB314=0,($V314/0.74)*BI314,
BI314*$AB314),)</f>
        <v/>
      </c>
    </row>
    <row r="315" ht="131.25" customHeight="1" s="162">
      <c r="A315" s="115" t="n"/>
      <c r="B315" s="115" t="n"/>
      <c r="C315" s="115" t="n"/>
      <c r="D315" s="115" t="n"/>
      <c r="E315" s="115" t="n"/>
      <c r="F315" s="115" t="n"/>
      <c r="G315" s="115" t="n"/>
      <c r="H315" s="115" t="n"/>
      <c r="I315" s="115" t="n"/>
      <c r="J315" s="115" t="n"/>
      <c r="K315" s="115" t="n"/>
      <c r="L315" s="115" t="n"/>
      <c r="M315" s="115" t="n"/>
      <c r="N315" s="115" t="n"/>
      <c r="O315" s="115" t="n"/>
      <c r="P315" s="115" t="n"/>
      <c r="Q315" s="115" t="n"/>
      <c r="R315" s="115" t="n"/>
      <c r="S315" s="115" t="n"/>
      <c r="T315" s="115" t="n"/>
      <c r="U315" s="116" t="n"/>
      <c r="V315" s="116" t="n"/>
      <c r="W315" s="117" t="n"/>
      <c r="X315" s="118" t="n"/>
      <c r="Y315" s="119" t="n"/>
      <c r="Z315" s="120" t="n"/>
      <c r="AA315" s="121" t="n"/>
      <c r="AB315" s="122" t="n"/>
      <c r="AC315" s="117" t="n"/>
      <c r="AD315" s="123">
        <f>IF(SUM($AE315:$AH315)=0,"",SUM($AE315:$AH315))</f>
        <v/>
      </c>
      <c r="AE315" s="123">
        <f>iferror(IF(SUM($AI315:$AZ315)=0,"",SUM($AI315:$AZ315)),"")</f>
        <v/>
      </c>
      <c r="AF315" s="123">
        <f>iferror(IF(SUM($BA315:$BC315)=0,"",SUM($BA315:$BC315)),"")</f>
        <v/>
      </c>
      <c r="AG315" s="123">
        <f>iferror(IF(SUM($BD315:$BF315)=0,"",SUM($BD315:$BF315)),"")</f>
        <v/>
      </c>
      <c r="AH315" s="124">
        <f>iferror(IF(SUM($BG315:$BI315)=0,"",SUM($BG315:$BI315)),"")</f>
        <v/>
      </c>
      <c r="AI315" s="131" t="n"/>
      <c r="AJ315" s="132" t="n"/>
      <c r="AK315" s="132" t="n"/>
      <c r="AL315" s="132" t="n"/>
      <c r="AM315" s="132" t="n"/>
      <c r="AN315" s="132" t="n"/>
      <c r="AO315" s="132" t="n"/>
      <c r="AP315" s="132" t="n"/>
      <c r="AQ315" s="132" t="n"/>
      <c r="AR315" s="132" t="n"/>
      <c r="AS315" s="132" t="n"/>
      <c r="AT315" s="132" t="n"/>
      <c r="AU315" s="132" t="n"/>
      <c r="AV315" s="132" t="n"/>
      <c r="AW315" s="132" t="n"/>
      <c r="AX315" s="132" t="n"/>
      <c r="AY315" s="132" t="n"/>
      <c r="AZ315" s="133" t="n"/>
      <c r="BA315" s="131" t="n"/>
      <c r="BB315" s="132" t="n"/>
      <c r="BC315" s="133" t="n"/>
      <c r="BD315" s="131" t="n"/>
      <c r="BE315" s="132" t="n"/>
      <c r="BF315" s="133" t="n"/>
      <c r="BG315" s="131" t="n"/>
      <c r="BH315" s="132" t="n"/>
      <c r="BI315" s="132" t="n"/>
      <c r="BJ315" s="128">
        <f>iferror(SUM($BK315,($BL315*1.2),($BM315*1.35),($BN315*0.74)),)</f>
        <v/>
      </c>
      <c r="BK315" s="128">
        <f>IFERROR(SUM($BT315:$CK315),)</f>
        <v/>
      </c>
      <c r="BL315" s="129">
        <f>IFERROR(SUM($CL315:$CN315),)</f>
        <v/>
      </c>
      <c r="BM315" s="130">
        <f>IFERROR(SUM($CO315:$CQ315),)</f>
        <v/>
      </c>
      <c r="BN315" s="128">
        <f>IFERROR(SUM($CR315:$CT315),)</f>
        <v/>
      </c>
      <c r="BO315" s="128">
        <f>iferror(SUM($BP315,($BQ315*1.2),($BR315*1.35),($BS315*0.74)),)</f>
        <v/>
      </c>
      <c r="BP315" s="128">
        <f>IFERROR(SUM($CU315:$DL315),)</f>
        <v/>
      </c>
      <c r="BQ315" s="128">
        <f>IFERROR(SUM($DM315:$DO315),)</f>
        <v/>
      </c>
      <c r="BR315" s="128">
        <f>IFERROR(SUM($DP315:$DR315),)</f>
        <v/>
      </c>
      <c r="BS315" s="128">
        <f>IFERROR(SUM($DS315:$DU315),)</f>
        <v/>
      </c>
      <c r="BT315" s="128">
        <f>IFERROR(AI315*$W315,)</f>
        <v/>
      </c>
      <c r="BU315" s="128">
        <f>IFERROR(AJ315*$W315,)</f>
        <v/>
      </c>
      <c r="BV315" s="128">
        <f>IFERROR(AK315*$W315,)</f>
        <v/>
      </c>
      <c r="BW315" s="128">
        <f>IFERROR(AL315*$W315,)</f>
        <v/>
      </c>
      <c r="BX315" s="128">
        <f>IFERROR(AM315*$W315,)</f>
        <v/>
      </c>
      <c r="BY315" s="128">
        <f>IFERROR(AN315*$W315,)</f>
        <v/>
      </c>
      <c r="BZ315" s="128">
        <f>IFERROR(AO315*$W315,)</f>
        <v/>
      </c>
      <c r="CA315" s="128">
        <f>IFERROR(AP315*$W315,)</f>
        <v/>
      </c>
      <c r="CB315" s="128">
        <f>IFERROR(AQ315*$W315,)</f>
        <v/>
      </c>
      <c r="CC315" s="128">
        <f>IFERROR(AR315*$W315,)</f>
        <v/>
      </c>
      <c r="CD315" s="128">
        <f>IFERROR(AS315*$W315,)</f>
        <v/>
      </c>
      <c r="CE315" s="128">
        <f>IFERROR(AT315*$W315,)</f>
        <v/>
      </c>
      <c r="CF315" s="128">
        <f>IFERROR(AU315*$W315,)</f>
        <v/>
      </c>
      <c r="CG315" s="128">
        <f>IFERROR(AV315*$W315,)</f>
        <v/>
      </c>
      <c r="CH315" s="128">
        <f>IFERROR(AW315*$W315,)</f>
        <v/>
      </c>
      <c r="CI315" s="128">
        <f>IFERROR(AX315*$W315,)</f>
        <v/>
      </c>
      <c r="CJ315" s="128">
        <f>IFERROR(AY315*$W315,)</f>
        <v/>
      </c>
      <c r="CK315" s="128">
        <f>IFERROR(AZ315*$W315,)</f>
        <v/>
      </c>
      <c r="CL315" s="129">
        <f>IFERROR(if($Y315=0,BA315*($W315/1.2),BA315*$Y315),"")</f>
        <v/>
      </c>
      <c r="CM315" s="129">
        <f>IFERROR(if($Y315=0,BB315*($W315/1.2),BB315*$Y315),"")</f>
        <v/>
      </c>
      <c r="CN315" s="129">
        <f>IFERROR(if($Y315=0,BC315*($W315/1.2),BC315*$Y315),"")</f>
        <v/>
      </c>
      <c r="CO315" s="130">
        <f>IFERROR(if($AA315=0,($W315/1.35)*BD315,BD315*$AA315),)</f>
        <v/>
      </c>
      <c r="CP315" s="130">
        <f>IFERROR(if($AA315=0,($W315/1.35)*BE315,BE315*$AA315),)</f>
        <v/>
      </c>
      <c r="CQ315" s="130">
        <f>IFERROR(if($AA315=0,($W315/1.35)*BF315,BF315*$AA315),)</f>
        <v/>
      </c>
      <c r="CR315" s="128">
        <f>IFERROR(if($AC315=0,($W315/0.74)*BG315,
BG315*$AC315),)</f>
        <v/>
      </c>
      <c r="CS315" s="128">
        <f>IFERROR(if($AC315=0,($W315/0.74)*BH315,
BH315*$AC315),)</f>
        <v/>
      </c>
      <c r="CT315" s="128">
        <f>IFERROR(if($AC315=0,($W315/0.74)*BI315,
BI315*$AC315),)</f>
        <v/>
      </c>
      <c r="CU315" s="128">
        <f>IFERROR(AI315*$V315,)</f>
        <v/>
      </c>
      <c r="CV315" s="128">
        <f>IFERROR(AJ315*$V315,)</f>
        <v/>
      </c>
      <c r="CW315" s="128">
        <f>IFERROR(AK315*$V315,)</f>
        <v/>
      </c>
      <c r="CX315" s="128">
        <f>IFERROR(AL315*$V315,)</f>
        <v/>
      </c>
      <c r="CY315" s="128">
        <f>IFERROR(AM315*$V315,)</f>
        <v/>
      </c>
      <c r="CZ315" s="128">
        <f>IFERROR(AN315*$V315,)</f>
        <v/>
      </c>
      <c r="DA315" s="128">
        <f>IFERROR(AO315*$V315,)</f>
        <v/>
      </c>
      <c r="DB315" s="128">
        <f>IFERROR(AP315*$V315,)</f>
        <v/>
      </c>
      <c r="DC315" s="128">
        <f>IFERROR(AQ315*$V315,)</f>
        <v/>
      </c>
      <c r="DD315" s="128">
        <f>IFERROR(AR315*$V315,)</f>
        <v/>
      </c>
      <c r="DE315" s="128">
        <f>IFERROR(AS315*$V315,)</f>
        <v/>
      </c>
      <c r="DF315" s="128">
        <f>IFERROR(AT315*$V315,)</f>
        <v/>
      </c>
      <c r="DG315" s="128">
        <f>IFERROR(AU315*$V315,)</f>
        <v/>
      </c>
      <c r="DH315" s="128">
        <f>IFERROR(AV315*$V315,)</f>
        <v/>
      </c>
      <c r="DI315" s="128">
        <f>IFERROR(AW315*$V315,)</f>
        <v/>
      </c>
      <c r="DJ315" s="128">
        <f>IFERROR(AX315*$V315,)</f>
        <v/>
      </c>
      <c r="DK315" s="128">
        <f>IFERROR(AY315*$V315,)</f>
        <v/>
      </c>
      <c r="DL315" s="128">
        <f>IFERROR(AZ315*$V315,)</f>
        <v/>
      </c>
      <c r="DM315" s="129">
        <f>IFERROR(if($X315=0,($V315/1.2)*BA315,
BA315*$X315),)</f>
        <v/>
      </c>
      <c r="DN315" s="129">
        <f>IFERROR(if($X315=0,($V315/1.2)*BB315,
BB315*$X315),)</f>
        <v/>
      </c>
      <c r="DO315" s="129">
        <f>IFERROR(if($X315=0,($V315/1.2)*BC315,
BC315*$X315),)</f>
        <v/>
      </c>
      <c r="DP315" s="130">
        <f>IFERROR(if($Z315=0,($V315/1.35)*BD315,
BD315*$Z315),)</f>
        <v/>
      </c>
      <c r="DQ315" s="130">
        <f>IFERROR(if($Z315=0,($V315/1.35)*BE315,
BE315*$Z315),)</f>
        <v/>
      </c>
      <c r="DR315" s="130">
        <f>IFERROR(if($Z315=0,($V315/1.35)*BF315,
BF315*$Z315),)</f>
        <v/>
      </c>
      <c r="DS315" s="128">
        <f>IFERROR(IF($AB315=0,($V315/0.74)*BG315,
BG315*$AB315),)</f>
        <v/>
      </c>
      <c r="DT315" s="128">
        <f>IFERROR(IF($AB315=0,($V315/0.74)*BH315,
BH315*$AB315),)</f>
        <v/>
      </c>
      <c r="DU315" s="128">
        <f>IFERROR(IF($AB315=0,($V315/0.74)*BI315,
BI315*$AB315),)</f>
        <v/>
      </c>
    </row>
    <row r="316" ht="131.25" customHeight="1" s="162">
      <c r="A316" s="115" t="n"/>
      <c r="B316" s="115" t="n"/>
      <c r="C316" s="115" t="n"/>
      <c r="D316" s="115" t="n"/>
      <c r="E316" s="115" t="n"/>
      <c r="F316" s="115" t="n"/>
      <c r="G316" s="115" t="n"/>
      <c r="H316" s="115" t="n"/>
      <c r="I316" s="115" t="n"/>
      <c r="J316" s="115" t="n"/>
      <c r="K316" s="115" t="n"/>
      <c r="L316" s="115" t="n"/>
      <c r="M316" s="115" t="n"/>
      <c r="N316" s="115" t="n"/>
      <c r="O316" s="115" t="n"/>
      <c r="P316" s="115" t="n"/>
      <c r="Q316" s="115" t="n"/>
      <c r="R316" s="115" t="n"/>
      <c r="S316" s="115" t="n"/>
      <c r="T316" s="115" t="n"/>
      <c r="U316" s="116" t="n"/>
      <c r="V316" s="116" t="n"/>
      <c r="W316" s="117" t="n"/>
      <c r="X316" s="118" t="n"/>
      <c r="Y316" s="119" t="n"/>
      <c r="Z316" s="120" t="n"/>
      <c r="AA316" s="121" t="n"/>
      <c r="AB316" s="122" t="n"/>
      <c r="AC316" s="117" t="n"/>
      <c r="AD316" s="123">
        <f>IF(SUM($AE316:$AH316)=0,"",SUM($AE316:$AH316))</f>
        <v/>
      </c>
      <c r="AE316" s="123">
        <f>iferror(IF(SUM($AI316:$AZ316)=0,"",SUM($AI316:$AZ316)),"")</f>
        <v/>
      </c>
      <c r="AF316" s="123">
        <f>iferror(IF(SUM($BA316:$BC316)=0,"",SUM($BA316:$BC316)),"")</f>
        <v/>
      </c>
      <c r="AG316" s="123">
        <f>iferror(IF(SUM($BD316:$BF316)=0,"",SUM($BD316:$BF316)),"")</f>
        <v/>
      </c>
      <c r="AH316" s="124">
        <f>iferror(IF(SUM($BG316:$BI316)=0,"",SUM($BG316:$BI316)),"")</f>
        <v/>
      </c>
      <c r="AI316" s="131" t="n"/>
      <c r="AJ316" s="132" t="n"/>
      <c r="AK316" s="132" t="n"/>
      <c r="AL316" s="132" t="n"/>
      <c r="AM316" s="132" t="n"/>
      <c r="AN316" s="132" t="n"/>
      <c r="AO316" s="132" t="n"/>
      <c r="AP316" s="132" t="n"/>
      <c r="AQ316" s="132" t="n"/>
      <c r="AR316" s="132" t="n"/>
      <c r="AS316" s="132" t="n"/>
      <c r="AT316" s="132" t="n"/>
      <c r="AU316" s="132" t="n"/>
      <c r="AV316" s="132" t="n"/>
      <c r="AW316" s="132" t="n"/>
      <c r="AX316" s="132" t="n"/>
      <c r="AY316" s="132" t="n"/>
      <c r="AZ316" s="133" t="n"/>
      <c r="BA316" s="131" t="n"/>
      <c r="BB316" s="132" t="n"/>
      <c r="BC316" s="133" t="n"/>
      <c r="BD316" s="131" t="n"/>
      <c r="BE316" s="132" t="n"/>
      <c r="BF316" s="133" t="n"/>
      <c r="BG316" s="131" t="n"/>
      <c r="BH316" s="132" t="n"/>
      <c r="BI316" s="132" t="n"/>
      <c r="BJ316" s="128">
        <f>iferror(SUM($BK316,($BL316*1.2),($BM316*1.35),($BN316*0.74)),)</f>
        <v/>
      </c>
      <c r="BK316" s="128">
        <f>IFERROR(SUM($BT316:$CK316),)</f>
        <v/>
      </c>
      <c r="BL316" s="129">
        <f>IFERROR(SUM($CL316:$CN316),)</f>
        <v/>
      </c>
      <c r="BM316" s="130">
        <f>IFERROR(SUM($CO316:$CQ316),)</f>
        <v/>
      </c>
      <c r="BN316" s="128">
        <f>IFERROR(SUM($CR316:$CT316),)</f>
        <v/>
      </c>
      <c r="BO316" s="128">
        <f>iferror(SUM($BP316,($BQ316*1.2),($BR316*1.35),($BS316*0.74)),)</f>
        <v/>
      </c>
      <c r="BP316" s="128">
        <f>IFERROR(SUM($CU316:$DL316),)</f>
        <v/>
      </c>
      <c r="BQ316" s="128">
        <f>IFERROR(SUM($DM316:$DO316),)</f>
        <v/>
      </c>
      <c r="BR316" s="128">
        <f>IFERROR(SUM($DP316:$DR316),)</f>
        <v/>
      </c>
      <c r="BS316" s="128">
        <f>IFERROR(SUM($DS316:$DU316),)</f>
        <v/>
      </c>
      <c r="BT316" s="128">
        <f>IFERROR(AI316*$W316,)</f>
        <v/>
      </c>
      <c r="BU316" s="128">
        <f>IFERROR(AJ316*$W316,)</f>
        <v/>
      </c>
      <c r="BV316" s="128">
        <f>IFERROR(AK316*$W316,)</f>
        <v/>
      </c>
      <c r="BW316" s="128">
        <f>IFERROR(AL316*$W316,)</f>
        <v/>
      </c>
      <c r="BX316" s="128">
        <f>IFERROR(AM316*$W316,)</f>
        <v/>
      </c>
      <c r="BY316" s="128">
        <f>IFERROR(AN316*$W316,)</f>
        <v/>
      </c>
      <c r="BZ316" s="128">
        <f>IFERROR(AO316*$W316,)</f>
        <v/>
      </c>
      <c r="CA316" s="128">
        <f>IFERROR(AP316*$W316,)</f>
        <v/>
      </c>
      <c r="CB316" s="128">
        <f>IFERROR(AQ316*$W316,)</f>
        <v/>
      </c>
      <c r="CC316" s="128">
        <f>IFERROR(AR316*$W316,)</f>
        <v/>
      </c>
      <c r="CD316" s="128">
        <f>IFERROR(AS316*$W316,)</f>
        <v/>
      </c>
      <c r="CE316" s="128">
        <f>IFERROR(AT316*$W316,)</f>
        <v/>
      </c>
      <c r="CF316" s="128">
        <f>IFERROR(AU316*$W316,)</f>
        <v/>
      </c>
      <c r="CG316" s="128">
        <f>IFERROR(AV316*$W316,)</f>
        <v/>
      </c>
      <c r="CH316" s="128">
        <f>IFERROR(AW316*$W316,)</f>
        <v/>
      </c>
      <c r="CI316" s="128">
        <f>IFERROR(AX316*$W316,)</f>
        <v/>
      </c>
      <c r="CJ316" s="128">
        <f>IFERROR(AY316*$W316,)</f>
        <v/>
      </c>
      <c r="CK316" s="128">
        <f>IFERROR(AZ316*$W316,)</f>
        <v/>
      </c>
      <c r="CL316" s="129">
        <f>IFERROR(if($Y316=0,BA316*($W316/1.2),BA316*$Y316),"")</f>
        <v/>
      </c>
      <c r="CM316" s="129">
        <f>IFERROR(if($Y316=0,BB316*($W316/1.2),BB316*$Y316),"")</f>
        <v/>
      </c>
      <c r="CN316" s="129">
        <f>IFERROR(if($Y316=0,BC316*($W316/1.2),BC316*$Y316),"")</f>
        <v/>
      </c>
      <c r="CO316" s="130">
        <f>IFERROR(if($AA316=0,($W316/1.35)*BD316,BD316*$AA316),)</f>
        <v/>
      </c>
      <c r="CP316" s="130">
        <f>IFERROR(if($AA316=0,($W316/1.35)*BE316,BE316*$AA316),)</f>
        <v/>
      </c>
      <c r="CQ316" s="130">
        <f>IFERROR(if($AA316=0,($W316/1.35)*BF316,BF316*$AA316),)</f>
        <v/>
      </c>
      <c r="CR316" s="128">
        <f>IFERROR(if($AC316=0,($W316/0.74)*BG316,
BG316*$AC316),)</f>
        <v/>
      </c>
      <c r="CS316" s="128">
        <f>IFERROR(if($AC316=0,($W316/0.74)*BH316,
BH316*$AC316),)</f>
        <v/>
      </c>
      <c r="CT316" s="128">
        <f>IFERROR(if($AC316=0,($W316/0.74)*BI316,
BI316*$AC316),)</f>
        <v/>
      </c>
      <c r="CU316" s="128">
        <f>IFERROR(AI316*$V316,)</f>
        <v/>
      </c>
      <c r="CV316" s="128">
        <f>IFERROR(AJ316*$V316,)</f>
        <v/>
      </c>
      <c r="CW316" s="128">
        <f>IFERROR(AK316*$V316,)</f>
        <v/>
      </c>
      <c r="CX316" s="128">
        <f>IFERROR(AL316*$V316,)</f>
        <v/>
      </c>
      <c r="CY316" s="128">
        <f>IFERROR(AM316*$V316,)</f>
        <v/>
      </c>
      <c r="CZ316" s="128">
        <f>IFERROR(AN316*$V316,)</f>
        <v/>
      </c>
      <c r="DA316" s="128">
        <f>IFERROR(AO316*$V316,)</f>
        <v/>
      </c>
      <c r="DB316" s="128">
        <f>IFERROR(AP316*$V316,)</f>
        <v/>
      </c>
      <c r="DC316" s="128">
        <f>IFERROR(AQ316*$V316,)</f>
        <v/>
      </c>
      <c r="DD316" s="128">
        <f>IFERROR(AR316*$V316,)</f>
        <v/>
      </c>
      <c r="DE316" s="128">
        <f>IFERROR(AS316*$V316,)</f>
        <v/>
      </c>
      <c r="DF316" s="128">
        <f>IFERROR(AT316*$V316,)</f>
        <v/>
      </c>
      <c r="DG316" s="128">
        <f>IFERROR(AU316*$V316,)</f>
        <v/>
      </c>
      <c r="DH316" s="128">
        <f>IFERROR(AV316*$V316,)</f>
        <v/>
      </c>
      <c r="DI316" s="128">
        <f>IFERROR(AW316*$V316,)</f>
        <v/>
      </c>
      <c r="DJ316" s="128">
        <f>IFERROR(AX316*$V316,)</f>
        <v/>
      </c>
      <c r="DK316" s="128">
        <f>IFERROR(AY316*$V316,)</f>
        <v/>
      </c>
      <c r="DL316" s="128">
        <f>IFERROR(AZ316*$V316,)</f>
        <v/>
      </c>
      <c r="DM316" s="129">
        <f>IFERROR(if($X316=0,($V316/1.2)*BA316,
BA316*$X316),)</f>
        <v/>
      </c>
      <c r="DN316" s="129">
        <f>IFERROR(if($X316=0,($V316/1.2)*BB316,
BB316*$X316),)</f>
        <v/>
      </c>
      <c r="DO316" s="129">
        <f>IFERROR(if($X316=0,($V316/1.2)*BC316,
BC316*$X316),)</f>
        <v/>
      </c>
      <c r="DP316" s="130">
        <f>IFERROR(if($Z316=0,($V316/1.35)*BD316,
BD316*$Z316),)</f>
        <v/>
      </c>
      <c r="DQ316" s="130">
        <f>IFERROR(if($Z316=0,($V316/1.35)*BE316,
BE316*$Z316),)</f>
        <v/>
      </c>
      <c r="DR316" s="130">
        <f>IFERROR(if($Z316=0,($V316/1.35)*BF316,
BF316*$Z316),)</f>
        <v/>
      </c>
      <c r="DS316" s="128">
        <f>IFERROR(IF($AB316=0,($V316/0.74)*BG316,
BG316*$AB316),)</f>
        <v/>
      </c>
      <c r="DT316" s="128">
        <f>IFERROR(IF($AB316=0,($V316/0.74)*BH316,
BH316*$AB316),)</f>
        <v/>
      </c>
      <c r="DU316" s="128">
        <f>IFERROR(IF($AB316=0,($V316/0.74)*BI316,
BI316*$AB316),)</f>
        <v/>
      </c>
    </row>
    <row r="317" ht="131.25" customHeight="1" s="162">
      <c r="A317" s="115" t="n"/>
      <c r="B317" s="115" t="n"/>
      <c r="C317" s="115" t="n"/>
      <c r="D317" s="115" t="n"/>
      <c r="E317" s="115" t="n"/>
      <c r="F317" s="115" t="n"/>
      <c r="G317" s="115" t="n"/>
      <c r="H317" s="115" t="n"/>
      <c r="I317" s="115" t="n"/>
      <c r="J317" s="115" t="n"/>
      <c r="K317" s="115" t="n"/>
      <c r="L317" s="115" t="n"/>
      <c r="M317" s="115" t="n"/>
      <c r="N317" s="115" t="n"/>
      <c r="O317" s="115" t="n"/>
      <c r="P317" s="115" t="n"/>
      <c r="Q317" s="115" t="n"/>
      <c r="R317" s="115" t="n"/>
      <c r="S317" s="115" t="n"/>
      <c r="T317" s="115" t="n"/>
      <c r="U317" s="116" t="n"/>
      <c r="V317" s="116" t="n"/>
      <c r="W317" s="117" t="n"/>
      <c r="X317" s="118" t="n"/>
      <c r="Y317" s="119" t="n"/>
      <c r="Z317" s="120" t="n"/>
      <c r="AA317" s="121" t="n"/>
      <c r="AB317" s="122" t="n"/>
      <c r="AC317" s="117" t="n"/>
      <c r="AD317" s="123">
        <f>IF(SUM($AE317:$AH317)=0,"",SUM($AE317:$AH317))</f>
        <v/>
      </c>
      <c r="AE317" s="123">
        <f>iferror(IF(SUM($AI317:$AZ317)=0,"",SUM($AI317:$AZ317)),"")</f>
        <v/>
      </c>
      <c r="AF317" s="123">
        <f>iferror(IF(SUM($BA317:$BC317)=0,"",SUM($BA317:$BC317)),"")</f>
        <v/>
      </c>
      <c r="AG317" s="123">
        <f>iferror(IF(SUM($BD317:$BF317)=0,"",SUM($BD317:$BF317)),"")</f>
        <v/>
      </c>
      <c r="AH317" s="124">
        <f>iferror(IF(SUM($BG317:$BI317)=0,"",SUM($BG317:$BI317)),"")</f>
        <v/>
      </c>
      <c r="AI317" s="131" t="n"/>
      <c r="AJ317" s="132" t="n"/>
      <c r="AK317" s="132" t="n"/>
      <c r="AL317" s="132" t="n"/>
      <c r="AM317" s="132" t="n"/>
      <c r="AN317" s="132" t="n"/>
      <c r="AO317" s="132" t="n"/>
      <c r="AP317" s="132" t="n"/>
      <c r="AQ317" s="132" t="n"/>
      <c r="AR317" s="132" t="n"/>
      <c r="AS317" s="132" t="n"/>
      <c r="AT317" s="132" t="n"/>
      <c r="AU317" s="132" t="n"/>
      <c r="AV317" s="132" t="n"/>
      <c r="AW317" s="132" t="n"/>
      <c r="AX317" s="132" t="n"/>
      <c r="AY317" s="132" t="n"/>
      <c r="AZ317" s="133" t="n"/>
      <c r="BA317" s="131" t="n"/>
      <c r="BB317" s="132" t="n"/>
      <c r="BC317" s="133" t="n"/>
      <c r="BD317" s="131" t="n"/>
      <c r="BE317" s="132" t="n"/>
      <c r="BF317" s="133" t="n"/>
      <c r="BG317" s="131" t="n"/>
      <c r="BH317" s="132" t="n"/>
      <c r="BI317" s="132" t="n"/>
      <c r="BJ317" s="128">
        <f>iferror(SUM($BK317,($BL317*1.2),($BM317*1.35),($BN317*0.74)),)</f>
        <v/>
      </c>
      <c r="BK317" s="128">
        <f>IFERROR(SUM($BT317:$CK317),)</f>
        <v/>
      </c>
      <c r="BL317" s="129">
        <f>IFERROR(SUM($CL317:$CN317),)</f>
        <v/>
      </c>
      <c r="BM317" s="130">
        <f>IFERROR(SUM($CO317:$CQ317),)</f>
        <v/>
      </c>
      <c r="BN317" s="128">
        <f>IFERROR(SUM($CR317:$CT317),)</f>
        <v/>
      </c>
      <c r="BO317" s="128">
        <f>iferror(SUM($BP317,($BQ317*1.2),($BR317*1.35),($BS317*0.74)),)</f>
        <v/>
      </c>
      <c r="BP317" s="128">
        <f>IFERROR(SUM($CU317:$DL317),)</f>
        <v/>
      </c>
      <c r="BQ317" s="128">
        <f>IFERROR(SUM($DM317:$DO317),)</f>
        <v/>
      </c>
      <c r="BR317" s="128">
        <f>IFERROR(SUM($DP317:$DR317),)</f>
        <v/>
      </c>
      <c r="BS317" s="128">
        <f>IFERROR(SUM($DS317:$DU317),)</f>
        <v/>
      </c>
      <c r="BT317" s="128">
        <f>IFERROR(AI317*$W317,)</f>
        <v/>
      </c>
      <c r="BU317" s="128">
        <f>IFERROR(AJ317*$W317,)</f>
        <v/>
      </c>
      <c r="BV317" s="128">
        <f>IFERROR(AK317*$W317,)</f>
        <v/>
      </c>
      <c r="BW317" s="128">
        <f>IFERROR(AL317*$W317,)</f>
        <v/>
      </c>
      <c r="BX317" s="128">
        <f>IFERROR(AM317*$W317,)</f>
        <v/>
      </c>
      <c r="BY317" s="128">
        <f>IFERROR(AN317*$W317,)</f>
        <v/>
      </c>
      <c r="BZ317" s="128">
        <f>IFERROR(AO317*$W317,)</f>
        <v/>
      </c>
      <c r="CA317" s="128">
        <f>IFERROR(AP317*$W317,)</f>
        <v/>
      </c>
      <c r="CB317" s="128">
        <f>IFERROR(AQ317*$W317,)</f>
        <v/>
      </c>
      <c r="CC317" s="128">
        <f>IFERROR(AR317*$W317,)</f>
        <v/>
      </c>
      <c r="CD317" s="128">
        <f>IFERROR(AS317*$W317,)</f>
        <v/>
      </c>
      <c r="CE317" s="128">
        <f>IFERROR(AT317*$W317,)</f>
        <v/>
      </c>
      <c r="CF317" s="128">
        <f>IFERROR(AU317*$W317,)</f>
        <v/>
      </c>
      <c r="CG317" s="128">
        <f>IFERROR(AV317*$W317,)</f>
        <v/>
      </c>
      <c r="CH317" s="128">
        <f>IFERROR(AW317*$W317,)</f>
        <v/>
      </c>
      <c r="CI317" s="128">
        <f>IFERROR(AX317*$W317,)</f>
        <v/>
      </c>
      <c r="CJ317" s="128">
        <f>IFERROR(AY317*$W317,)</f>
        <v/>
      </c>
      <c r="CK317" s="128">
        <f>IFERROR(AZ317*$W317,)</f>
        <v/>
      </c>
      <c r="CL317" s="129">
        <f>IFERROR(if($Y317=0,BA317*($W317/1.2),BA317*$Y317),"")</f>
        <v/>
      </c>
      <c r="CM317" s="129">
        <f>IFERROR(if($Y317=0,BB317*($W317/1.2),BB317*$Y317),"")</f>
        <v/>
      </c>
      <c r="CN317" s="129">
        <f>IFERROR(if($Y317=0,BC317*($W317/1.2),BC317*$Y317),"")</f>
        <v/>
      </c>
      <c r="CO317" s="130">
        <f>IFERROR(if($AA317=0,($W317/1.35)*BD317,BD317*$AA317),)</f>
        <v/>
      </c>
      <c r="CP317" s="130">
        <f>IFERROR(if($AA317=0,($W317/1.35)*BE317,BE317*$AA317),)</f>
        <v/>
      </c>
      <c r="CQ317" s="130">
        <f>IFERROR(if($AA317=0,($W317/1.35)*BF317,BF317*$AA317),)</f>
        <v/>
      </c>
      <c r="CR317" s="128">
        <f>IFERROR(if($AC317=0,($W317/0.74)*BG317,
BG317*$AC317),)</f>
        <v/>
      </c>
      <c r="CS317" s="128">
        <f>IFERROR(if($AC317=0,($W317/0.74)*BH317,
BH317*$AC317),)</f>
        <v/>
      </c>
      <c r="CT317" s="128">
        <f>IFERROR(if($AC317=0,($W317/0.74)*BI317,
BI317*$AC317),)</f>
        <v/>
      </c>
      <c r="CU317" s="128">
        <f>IFERROR(AI317*$V317,)</f>
        <v/>
      </c>
      <c r="CV317" s="128">
        <f>IFERROR(AJ317*$V317,)</f>
        <v/>
      </c>
      <c r="CW317" s="128">
        <f>IFERROR(AK317*$V317,)</f>
        <v/>
      </c>
      <c r="CX317" s="128">
        <f>IFERROR(AL317*$V317,)</f>
        <v/>
      </c>
      <c r="CY317" s="128">
        <f>IFERROR(AM317*$V317,)</f>
        <v/>
      </c>
      <c r="CZ317" s="128">
        <f>IFERROR(AN317*$V317,)</f>
        <v/>
      </c>
      <c r="DA317" s="128">
        <f>IFERROR(AO317*$V317,)</f>
        <v/>
      </c>
      <c r="DB317" s="128">
        <f>IFERROR(AP317*$V317,)</f>
        <v/>
      </c>
      <c r="DC317" s="128">
        <f>IFERROR(AQ317*$V317,)</f>
        <v/>
      </c>
      <c r="DD317" s="128">
        <f>IFERROR(AR317*$V317,)</f>
        <v/>
      </c>
      <c r="DE317" s="128">
        <f>IFERROR(AS317*$V317,)</f>
        <v/>
      </c>
      <c r="DF317" s="128">
        <f>IFERROR(AT317*$V317,)</f>
        <v/>
      </c>
      <c r="DG317" s="128">
        <f>IFERROR(AU317*$V317,)</f>
        <v/>
      </c>
      <c r="DH317" s="128">
        <f>IFERROR(AV317*$V317,)</f>
        <v/>
      </c>
      <c r="DI317" s="128">
        <f>IFERROR(AW317*$V317,)</f>
        <v/>
      </c>
      <c r="DJ317" s="128">
        <f>IFERROR(AX317*$V317,)</f>
        <v/>
      </c>
      <c r="DK317" s="128">
        <f>IFERROR(AY317*$V317,)</f>
        <v/>
      </c>
      <c r="DL317" s="128">
        <f>IFERROR(AZ317*$V317,)</f>
        <v/>
      </c>
      <c r="DM317" s="129">
        <f>IFERROR(if($X317=0,($V317/1.2)*BA317,
BA317*$X317),)</f>
        <v/>
      </c>
      <c r="DN317" s="129">
        <f>IFERROR(if($X317=0,($V317/1.2)*BB317,
BB317*$X317),)</f>
        <v/>
      </c>
      <c r="DO317" s="129">
        <f>IFERROR(if($X317=0,($V317/1.2)*BC317,
BC317*$X317),)</f>
        <v/>
      </c>
      <c r="DP317" s="130">
        <f>IFERROR(if($Z317=0,($V317/1.35)*BD317,
BD317*$Z317),)</f>
        <v/>
      </c>
      <c r="DQ317" s="130">
        <f>IFERROR(if($Z317=0,($V317/1.35)*BE317,
BE317*$Z317),)</f>
        <v/>
      </c>
      <c r="DR317" s="130">
        <f>IFERROR(if($Z317=0,($V317/1.35)*BF317,
BF317*$Z317),)</f>
        <v/>
      </c>
      <c r="DS317" s="128">
        <f>IFERROR(IF($AB317=0,($V317/0.74)*BG317,
BG317*$AB317),)</f>
        <v/>
      </c>
      <c r="DT317" s="128">
        <f>IFERROR(IF($AB317=0,($V317/0.74)*BH317,
BH317*$AB317),)</f>
        <v/>
      </c>
      <c r="DU317" s="128">
        <f>IFERROR(IF($AB317=0,($V317/0.74)*BI317,
BI317*$AB317),)</f>
        <v/>
      </c>
    </row>
    <row r="318" ht="131.25" customHeight="1" s="162">
      <c r="A318" s="115" t="n"/>
      <c r="B318" s="115" t="n"/>
      <c r="C318" s="115" t="n"/>
      <c r="D318" s="115" t="n"/>
      <c r="E318" s="115" t="n"/>
      <c r="F318" s="115" t="n"/>
      <c r="G318" s="115" t="n"/>
      <c r="H318" s="115" t="n"/>
      <c r="I318" s="115" t="n"/>
      <c r="J318" s="115" t="n"/>
      <c r="K318" s="115" t="n"/>
      <c r="L318" s="115" t="n"/>
      <c r="M318" s="115" t="n"/>
      <c r="N318" s="115" t="n"/>
      <c r="O318" s="115" t="n"/>
      <c r="P318" s="115" t="n"/>
      <c r="Q318" s="115" t="n"/>
      <c r="R318" s="115" t="n"/>
      <c r="S318" s="115" t="n"/>
      <c r="T318" s="115" t="n"/>
      <c r="U318" s="116" t="n"/>
      <c r="V318" s="116" t="n"/>
      <c r="W318" s="117" t="n"/>
      <c r="X318" s="118" t="n"/>
      <c r="Y318" s="119" t="n"/>
      <c r="Z318" s="120" t="n"/>
      <c r="AA318" s="121" t="n"/>
      <c r="AB318" s="122" t="n"/>
      <c r="AC318" s="117" t="n"/>
      <c r="AD318" s="123">
        <f>IF(SUM($AE318:$AH318)=0,"",SUM($AE318:$AH318))</f>
        <v/>
      </c>
      <c r="AE318" s="123">
        <f>iferror(IF(SUM($AI318:$AZ318)=0,"",SUM($AI318:$AZ318)),"")</f>
        <v/>
      </c>
      <c r="AF318" s="123">
        <f>iferror(IF(SUM($BA318:$BC318)=0,"",SUM($BA318:$BC318)),"")</f>
        <v/>
      </c>
      <c r="AG318" s="123">
        <f>iferror(IF(SUM($BD318:$BF318)=0,"",SUM($BD318:$BF318)),"")</f>
        <v/>
      </c>
      <c r="AH318" s="124">
        <f>iferror(IF(SUM($BG318:$BI318)=0,"",SUM($BG318:$BI318)),"")</f>
        <v/>
      </c>
      <c r="AI318" s="131" t="n"/>
      <c r="AJ318" s="132" t="n"/>
      <c r="AK318" s="132" t="n"/>
      <c r="AL318" s="132" t="n"/>
      <c r="AM318" s="132" t="n"/>
      <c r="AN318" s="132" t="n"/>
      <c r="AO318" s="132" t="n"/>
      <c r="AP318" s="132" t="n"/>
      <c r="AQ318" s="132" t="n"/>
      <c r="AR318" s="132" t="n"/>
      <c r="AS318" s="132" t="n"/>
      <c r="AT318" s="132" t="n"/>
      <c r="AU318" s="132" t="n"/>
      <c r="AV318" s="132" t="n"/>
      <c r="AW318" s="132" t="n"/>
      <c r="AX318" s="132" t="n"/>
      <c r="AY318" s="132" t="n"/>
      <c r="AZ318" s="133" t="n"/>
      <c r="BA318" s="131" t="n"/>
      <c r="BB318" s="132" t="n"/>
      <c r="BC318" s="133" t="n"/>
      <c r="BD318" s="131" t="n"/>
      <c r="BE318" s="132" t="n"/>
      <c r="BF318" s="133" t="n"/>
      <c r="BG318" s="131" t="n"/>
      <c r="BH318" s="132" t="n"/>
      <c r="BI318" s="132" t="n"/>
      <c r="BJ318" s="128">
        <f>iferror(SUM($BK318,($BL318*1.2),($BM318*1.35),($BN318*0.74)),)</f>
        <v/>
      </c>
      <c r="BK318" s="128">
        <f>IFERROR(SUM($BT318:$CK318),)</f>
        <v/>
      </c>
      <c r="BL318" s="129">
        <f>IFERROR(SUM($CL318:$CN318),)</f>
        <v/>
      </c>
      <c r="BM318" s="130">
        <f>IFERROR(SUM($CO318:$CQ318),)</f>
        <v/>
      </c>
      <c r="BN318" s="128">
        <f>IFERROR(SUM($CR318:$CT318),)</f>
        <v/>
      </c>
      <c r="BO318" s="128">
        <f>iferror(SUM($BP318,($BQ318*1.2),($BR318*1.35),($BS318*0.74)),)</f>
        <v/>
      </c>
      <c r="BP318" s="128">
        <f>IFERROR(SUM($CU318:$DL318),)</f>
        <v/>
      </c>
      <c r="BQ318" s="128">
        <f>IFERROR(SUM($DM318:$DO318),)</f>
        <v/>
      </c>
      <c r="BR318" s="128">
        <f>IFERROR(SUM($DP318:$DR318),)</f>
        <v/>
      </c>
      <c r="BS318" s="128">
        <f>IFERROR(SUM($DS318:$DU318),)</f>
        <v/>
      </c>
      <c r="BT318" s="128">
        <f>IFERROR(AI318*$W318,)</f>
        <v/>
      </c>
      <c r="BU318" s="128">
        <f>IFERROR(AJ318*$W318,)</f>
        <v/>
      </c>
      <c r="BV318" s="128">
        <f>IFERROR(AK318*$W318,)</f>
        <v/>
      </c>
      <c r="BW318" s="128">
        <f>IFERROR(AL318*$W318,)</f>
        <v/>
      </c>
      <c r="BX318" s="128">
        <f>IFERROR(AM318*$W318,)</f>
        <v/>
      </c>
      <c r="BY318" s="128">
        <f>IFERROR(AN318*$W318,)</f>
        <v/>
      </c>
      <c r="BZ318" s="128">
        <f>IFERROR(AO318*$W318,)</f>
        <v/>
      </c>
      <c r="CA318" s="128">
        <f>IFERROR(AP318*$W318,)</f>
        <v/>
      </c>
      <c r="CB318" s="128">
        <f>IFERROR(AQ318*$W318,)</f>
        <v/>
      </c>
      <c r="CC318" s="128">
        <f>IFERROR(AR318*$W318,)</f>
        <v/>
      </c>
      <c r="CD318" s="128">
        <f>IFERROR(AS318*$W318,)</f>
        <v/>
      </c>
      <c r="CE318" s="128">
        <f>IFERROR(AT318*$W318,)</f>
        <v/>
      </c>
      <c r="CF318" s="128">
        <f>IFERROR(AU318*$W318,)</f>
        <v/>
      </c>
      <c r="CG318" s="128">
        <f>IFERROR(AV318*$W318,)</f>
        <v/>
      </c>
      <c r="CH318" s="128">
        <f>IFERROR(AW318*$W318,)</f>
        <v/>
      </c>
      <c r="CI318" s="128">
        <f>IFERROR(AX318*$W318,)</f>
        <v/>
      </c>
      <c r="CJ318" s="128">
        <f>IFERROR(AY318*$W318,)</f>
        <v/>
      </c>
      <c r="CK318" s="128">
        <f>IFERROR(AZ318*$W318,)</f>
        <v/>
      </c>
      <c r="CL318" s="129">
        <f>IFERROR(if($Y318=0,BA318*($W318/1.2),BA318*$Y318),"")</f>
        <v/>
      </c>
      <c r="CM318" s="129">
        <f>IFERROR(if($Y318=0,BB318*($W318/1.2),BB318*$Y318),"")</f>
        <v/>
      </c>
      <c r="CN318" s="129">
        <f>IFERROR(if($Y318=0,BC318*($W318/1.2),BC318*$Y318),"")</f>
        <v/>
      </c>
      <c r="CO318" s="130">
        <f>IFERROR(if($AA318=0,($W318/1.35)*BD318,BD318*$AA318),)</f>
        <v/>
      </c>
      <c r="CP318" s="130">
        <f>IFERROR(if($AA318=0,($W318/1.35)*BE318,BE318*$AA318),)</f>
        <v/>
      </c>
      <c r="CQ318" s="130">
        <f>IFERROR(if($AA318=0,($W318/1.35)*BF318,BF318*$AA318),)</f>
        <v/>
      </c>
      <c r="CR318" s="128">
        <f>IFERROR(if($AC318=0,($W318/0.74)*BG318,
BG318*$AC318),)</f>
        <v/>
      </c>
      <c r="CS318" s="128">
        <f>IFERROR(if($AC318=0,($W318/0.74)*BH318,
BH318*$AC318),)</f>
        <v/>
      </c>
      <c r="CT318" s="128">
        <f>IFERROR(if($AC318=0,($W318/0.74)*BI318,
BI318*$AC318),)</f>
        <v/>
      </c>
      <c r="CU318" s="128">
        <f>IFERROR(AI318*$V318,)</f>
        <v/>
      </c>
      <c r="CV318" s="128">
        <f>IFERROR(AJ318*$V318,)</f>
        <v/>
      </c>
      <c r="CW318" s="128">
        <f>IFERROR(AK318*$V318,)</f>
        <v/>
      </c>
      <c r="CX318" s="128">
        <f>IFERROR(AL318*$V318,)</f>
        <v/>
      </c>
      <c r="CY318" s="128">
        <f>IFERROR(AM318*$V318,)</f>
        <v/>
      </c>
      <c r="CZ318" s="128">
        <f>IFERROR(AN318*$V318,)</f>
        <v/>
      </c>
      <c r="DA318" s="128">
        <f>IFERROR(AO318*$V318,)</f>
        <v/>
      </c>
      <c r="DB318" s="128">
        <f>IFERROR(AP318*$V318,)</f>
        <v/>
      </c>
      <c r="DC318" s="128">
        <f>IFERROR(AQ318*$V318,)</f>
        <v/>
      </c>
      <c r="DD318" s="128">
        <f>IFERROR(AR318*$V318,)</f>
        <v/>
      </c>
      <c r="DE318" s="128">
        <f>IFERROR(AS318*$V318,)</f>
        <v/>
      </c>
      <c r="DF318" s="128">
        <f>IFERROR(AT318*$V318,)</f>
        <v/>
      </c>
      <c r="DG318" s="128">
        <f>IFERROR(AU318*$V318,)</f>
        <v/>
      </c>
      <c r="DH318" s="128">
        <f>IFERROR(AV318*$V318,)</f>
        <v/>
      </c>
      <c r="DI318" s="128">
        <f>IFERROR(AW318*$V318,)</f>
        <v/>
      </c>
      <c r="DJ318" s="128">
        <f>IFERROR(AX318*$V318,)</f>
        <v/>
      </c>
      <c r="DK318" s="128">
        <f>IFERROR(AY318*$V318,)</f>
        <v/>
      </c>
      <c r="DL318" s="128">
        <f>IFERROR(AZ318*$V318,)</f>
        <v/>
      </c>
      <c r="DM318" s="129">
        <f>IFERROR(if($X318=0,($V318/1.2)*BA318,
BA318*$X318),)</f>
        <v/>
      </c>
      <c r="DN318" s="129">
        <f>IFERROR(if($X318=0,($V318/1.2)*BB318,
BB318*$X318),)</f>
        <v/>
      </c>
      <c r="DO318" s="129">
        <f>IFERROR(if($X318=0,($V318/1.2)*BC318,
BC318*$X318),)</f>
        <v/>
      </c>
      <c r="DP318" s="130">
        <f>IFERROR(if($Z318=0,($V318/1.35)*BD318,
BD318*$Z318),)</f>
        <v/>
      </c>
      <c r="DQ318" s="130">
        <f>IFERROR(if($Z318=0,($V318/1.35)*BE318,
BE318*$Z318),)</f>
        <v/>
      </c>
      <c r="DR318" s="130">
        <f>IFERROR(if($Z318=0,($V318/1.35)*BF318,
BF318*$Z318),)</f>
        <v/>
      </c>
      <c r="DS318" s="128">
        <f>IFERROR(IF($AB318=0,($V318/0.74)*BG318,
BG318*$AB318),)</f>
        <v/>
      </c>
      <c r="DT318" s="128">
        <f>IFERROR(IF($AB318=0,($V318/0.74)*BH318,
BH318*$AB318),)</f>
        <v/>
      </c>
      <c r="DU318" s="128">
        <f>IFERROR(IF($AB318=0,($V318/0.74)*BI318,
BI318*$AB318),)</f>
        <v/>
      </c>
    </row>
    <row r="319" ht="131.25" customHeight="1" s="162">
      <c r="A319" s="115" t="n"/>
      <c r="B319" s="115" t="n"/>
      <c r="C319" s="115" t="n"/>
      <c r="D319" s="115" t="n"/>
      <c r="E319" s="115" t="n"/>
      <c r="F319" s="115" t="n"/>
      <c r="G319" s="115" t="n"/>
      <c r="H319" s="115" t="n"/>
      <c r="I319" s="115" t="n"/>
      <c r="J319" s="115" t="n"/>
      <c r="K319" s="115" t="n"/>
      <c r="L319" s="115" t="n"/>
      <c r="M319" s="115" t="n"/>
      <c r="N319" s="115" t="n"/>
      <c r="O319" s="115" t="n"/>
      <c r="P319" s="115" t="n"/>
      <c r="Q319" s="115" t="n"/>
      <c r="R319" s="115" t="n"/>
      <c r="S319" s="115" t="n"/>
      <c r="T319" s="115" t="n"/>
      <c r="U319" s="116" t="n"/>
      <c r="V319" s="116" t="n"/>
      <c r="W319" s="117" t="n"/>
      <c r="X319" s="118" t="n"/>
      <c r="Y319" s="119" t="n"/>
      <c r="Z319" s="120" t="n"/>
      <c r="AA319" s="121" t="n"/>
      <c r="AB319" s="122" t="n"/>
      <c r="AC319" s="117" t="n"/>
      <c r="AD319" s="123">
        <f>IF(SUM($AE319:$AH319)=0,"",SUM($AE319:$AH319))</f>
        <v/>
      </c>
      <c r="AE319" s="123">
        <f>iferror(IF(SUM($AI319:$AZ319)=0,"",SUM($AI319:$AZ319)),"")</f>
        <v/>
      </c>
      <c r="AF319" s="123">
        <f>iferror(IF(SUM($BA319:$BC319)=0,"",SUM($BA319:$BC319)),"")</f>
        <v/>
      </c>
      <c r="AG319" s="123">
        <f>iferror(IF(SUM($BD319:$BF319)=0,"",SUM($BD319:$BF319)),"")</f>
        <v/>
      </c>
      <c r="AH319" s="124">
        <f>iferror(IF(SUM($BG319:$BI319)=0,"",SUM($BG319:$BI319)),"")</f>
        <v/>
      </c>
      <c r="AI319" s="131" t="n"/>
      <c r="AJ319" s="132" t="n"/>
      <c r="AK319" s="132" t="n"/>
      <c r="AL319" s="132" t="n"/>
      <c r="AM319" s="132" t="n"/>
      <c r="AN319" s="132" t="n"/>
      <c r="AO319" s="132" t="n"/>
      <c r="AP319" s="132" t="n"/>
      <c r="AQ319" s="132" t="n"/>
      <c r="AR319" s="132" t="n"/>
      <c r="AS319" s="132" t="n"/>
      <c r="AT319" s="132" t="n"/>
      <c r="AU319" s="132" t="n"/>
      <c r="AV319" s="132" t="n"/>
      <c r="AW319" s="132" t="n"/>
      <c r="AX319" s="132" t="n"/>
      <c r="AY319" s="132" t="n"/>
      <c r="AZ319" s="133" t="n"/>
      <c r="BA319" s="131" t="n"/>
      <c r="BB319" s="132" t="n"/>
      <c r="BC319" s="133" t="n"/>
      <c r="BD319" s="131" t="n"/>
      <c r="BE319" s="132" t="n"/>
      <c r="BF319" s="133" t="n"/>
      <c r="BG319" s="131" t="n"/>
      <c r="BH319" s="132" t="n"/>
      <c r="BI319" s="132" t="n"/>
      <c r="BJ319" s="128">
        <f>iferror(SUM($BK319,($BL319*1.2),($BM319*1.35),($BN319*0.74)),)</f>
        <v/>
      </c>
      <c r="BK319" s="128">
        <f>IFERROR(SUM($BT319:$CK319),)</f>
        <v/>
      </c>
      <c r="BL319" s="129">
        <f>IFERROR(SUM($CL319:$CN319),)</f>
        <v/>
      </c>
      <c r="BM319" s="130">
        <f>IFERROR(SUM($CO319:$CQ319),)</f>
        <v/>
      </c>
      <c r="BN319" s="128">
        <f>IFERROR(SUM($CR319:$CT319),)</f>
        <v/>
      </c>
      <c r="BO319" s="128">
        <f>iferror(SUM($BP319,($BQ319*1.2),($BR319*1.35),($BS319*0.74)),)</f>
        <v/>
      </c>
      <c r="BP319" s="128">
        <f>IFERROR(SUM($CU319:$DL319),)</f>
        <v/>
      </c>
      <c r="BQ319" s="128">
        <f>IFERROR(SUM($DM319:$DO319),)</f>
        <v/>
      </c>
      <c r="BR319" s="128">
        <f>IFERROR(SUM($DP319:$DR319),)</f>
        <v/>
      </c>
      <c r="BS319" s="128">
        <f>IFERROR(SUM($DS319:$DU319),)</f>
        <v/>
      </c>
      <c r="BT319" s="128">
        <f>IFERROR(AI319*$W319,)</f>
        <v/>
      </c>
      <c r="BU319" s="128">
        <f>IFERROR(AJ319*$W319,)</f>
        <v/>
      </c>
      <c r="BV319" s="128">
        <f>IFERROR(AK319*$W319,)</f>
        <v/>
      </c>
      <c r="BW319" s="128">
        <f>IFERROR(AL319*$W319,)</f>
        <v/>
      </c>
      <c r="BX319" s="128">
        <f>IFERROR(AM319*$W319,)</f>
        <v/>
      </c>
      <c r="BY319" s="128">
        <f>IFERROR(AN319*$W319,)</f>
        <v/>
      </c>
      <c r="BZ319" s="128">
        <f>IFERROR(AO319*$W319,)</f>
        <v/>
      </c>
      <c r="CA319" s="128">
        <f>IFERROR(AP319*$W319,)</f>
        <v/>
      </c>
      <c r="CB319" s="128">
        <f>IFERROR(AQ319*$W319,)</f>
        <v/>
      </c>
      <c r="CC319" s="128">
        <f>IFERROR(AR319*$W319,)</f>
        <v/>
      </c>
      <c r="CD319" s="128">
        <f>IFERROR(AS319*$W319,)</f>
        <v/>
      </c>
      <c r="CE319" s="128">
        <f>IFERROR(AT319*$W319,)</f>
        <v/>
      </c>
      <c r="CF319" s="128">
        <f>IFERROR(AU319*$W319,)</f>
        <v/>
      </c>
      <c r="CG319" s="128">
        <f>IFERROR(AV319*$W319,)</f>
        <v/>
      </c>
      <c r="CH319" s="128">
        <f>IFERROR(AW319*$W319,)</f>
        <v/>
      </c>
      <c r="CI319" s="128">
        <f>IFERROR(AX319*$W319,)</f>
        <v/>
      </c>
      <c r="CJ319" s="128">
        <f>IFERROR(AY319*$W319,)</f>
        <v/>
      </c>
      <c r="CK319" s="128">
        <f>IFERROR(AZ319*$W319,)</f>
        <v/>
      </c>
      <c r="CL319" s="129">
        <f>IFERROR(if($Y319=0,BA319*($W319/1.2),BA319*$Y319),"")</f>
        <v/>
      </c>
      <c r="CM319" s="129">
        <f>IFERROR(if($Y319=0,BB319*($W319/1.2),BB319*$Y319),"")</f>
        <v/>
      </c>
      <c r="CN319" s="129">
        <f>IFERROR(if($Y319=0,BC319*($W319/1.2),BC319*$Y319),"")</f>
        <v/>
      </c>
      <c r="CO319" s="130">
        <f>IFERROR(if($AA319=0,($W319/1.35)*BD319,BD319*$AA319),)</f>
        <v/>
      </c>
      <c r="CP319" s="130">
        <f>IFERROR(if($AA319=0,($W319/1.35)*BE319,BE319*$AA319),)</f>
        <v/>
      </c>
      <c r="CQ319" s="130">
        <f>IFERROR(if($AA319=0,($W319/1.35)*BF319,BF319*$AA319),)</f>
        <v/>
      </c>
      <c r="CR319" s="128">
        <f>IFERROR(if($AC319=0,($W319/0.74)*BG319,
BG319*$AC319),)</f>
        <v/>
      </c>
      <c r="CS319" s="128">
        <f>IFERROR(if($AC319=0,($W319/0.74)*BH319,
BH319*$AC319),)</f>
        <v/>
      </c>
      <c r="CT319" s="128">
        <f>IFERROR(if($AC319=0,($W319/0.74)*BI319,
BI319*$AC319),)</f>
        <v/>
      </c>
      <c r="CU319" s="128">
        <f>IFERROR(AI319*$V319,)</f>
        <v/>
      </c>
      <c r="CV319" s="128">
        <f>IFERROR(AJ319*$V319,)</f>
        <v/>
      </c>
      <c r="CW319" s="128">
        <f>IFERROR(AK319*$V319,)</f>
        <v/>
      </c>
      <c r="CX319" s="128">
        <f>IFERROR(AL319*$V319,)</f>
        <v/>
      </c>
      <c r="CY319" s="128">
        <f>IFERROR(AM319*$V319,)</f>
        <v/>
      </c>
      <c r="CZ319" s="128">
        <f>IFERROR(AN319*$V319,)</f>
        <v/>
      </c>
      <c r="DA319" s="128">
        <f>IFERROR(AO319*$V319,)</f>
        <v/>
      </c>
      <c r="DB319" s="128">
        <f>IFERROR(AP319*$V319,)</f>
        <v/>
      </c>
      <c r="DC319" s="128">
        <f>IFERROR(AQ319*$V319,)</f>
        <v/>
      </c>
      <c r="DD319" s="128">
        <f>IFERROR(AR319*$V319,)</f>
        <v/>
      </c>
      <c r="DE319" s="128">
        <f>IFERROR(AS319*$V319,)</f>
        <v/>
      </c>
      <c r="DF319" s="128">
        <f>IFERROR(AT319*$V319,)</f>
        <v/>
      </c>
      <c r="DG319" s="128">
        <f>IFERROR(AU319*$V319,)</f>
        <v/>
      </c>
      <c r="DH319" s="128">
        <f>IFERROR(AV319*$V319,)</f>
        <v/>
      </c>
      <c r="DI319" s="128">
        <f>IFERROR(AW319*$V319,)</f>
        <v/>
      </c>
      <c r="DJ319" s="128">
        <f>IFERROR(AX319*$V319,)</f>
        <v/>
      </c>
      <c r="DK319" s="128">
        <f>IFERROR(AY319*$V319,)</f>
        <v/>
      </c>
      <c r="DL319" s="128">
        <f>IFERROR(AZ319*$V319,)</f>
        <v/>
      </c>
      <c r="DM319" s="129">
        <f>IFERROR(if($X319=0,($V319/1.2)*BA319,
BA319*$X319),)</f>
        <v/>
      </c>
      <c r="DN319" s="129">
        <f>IFERROR(if($X319=0,($V319/1.2)*BB319,
BB319*$X319),)</f>
        <v/>
      </c>
      <c r="DO319" s="129">
        <f>IFERROR(if($X319=0,($V319/1.2)*BC319,
BC319*$X319),)</f>
        <v/>
      </c>
      <c r="DP319" s="130">
        <f>IFERROR(if($Z319=0,($V319/1.35)*BD319,
BD319*$Z319),)</f>
        <v/>
      </c>
      <c r="DQ319" s="130">
        <f>IFERROR(if($Z319=0,($V319/1.35)*BE319,
BE319*$Z319),)</f>
        <v/>
      </c>
      <c r="DR319" s="130">
        <f>IFERROR(if($Z319=0,($V319/1.35)*BF319,
BF319*$Z319),)</f>
        <v/>
      </c>
      <c r="DS319" s="128">
        <f>IFERROR(IF($AB319=0,($V319/0.74)*BG319,
BG319*$AB319),)</f>
        <v/>
      </c>
      <c r="DT319" s="128">
        <f>IFERROR(IF($AB319=0,($V319/0.74)*BH319,
BH319*$AB319),)</f>
        <v/>
      </c>
      <c r="DU319" s="128">
        <f>IFERROR(IF($AB319=0,($V319/0.74)*BI319,
BI319*$AB319),)</f>
        <v/>
      </c>
    </row>
    <row r="320" ht="131.25" customHeight="1" s="162">
      <c r="A320" s="115" t="n"/>
      <c r="B320" s="115" t="n"/>
      <c r="C320" s="115" t="n"/>
      <c r="D320" s="115" t="n"/>
      <c r="E320" s="115" t="n"/>
      <c r="F320" s="115" t="n"/>
      <c r="G320" s="115" t="n"/>
      <c r="H320" s="115" t="n"/>
      <c r="I320" s="115" t="n"/>
      <c r="J320" s="115" t="n"/>
      <c r="K320" s="115" t="n"/>
      <c r="L320" s="115" t="n"/>
      <c r="M320" s="115" t="n"/>
      <c r="N320" s="115" t="n"/>
      <c r="O320" s="115" t="n"/>
      <c r="P320" s="115" t="n"/>
      <c r="Q320" s="115" t="n"/>
      <c r="R320" s="115" t="n"/>
      <c r="S320" s="115" t="n"/>
      <c r="T320" s="115" t="n"/>
      <c r="U320" s="116" t="n"/>
      <c r="V320" s="116" t="n"/>
      <c r="W320" s="117" t="n"/>
      <c r="X320" s="118" t="n"/>
      <c r="Y320" s="119" t="n"/>
      <c r="Z320" s="120" t="n"/>
      <c r="AA320" s="121" t="n"/>
      <c r="AB320" s="122" t="n"/>
      <c r="AC320" s="117" t="n"/>
      <c r="AD320" s="123">
        <f>IF(SUM($AE320:$AH320)=0,"",SUM($AE320:$AH320))</f>
        <v/>
      </c>
      <c r="AE320" s="123">
        <f>iferror(IF(SUM($AI320:$AZ320)=0,"",SUM($AI320:$AZ320)),"")</f>
        <v/>
      </c>
      <c r="AF320" s="123">
        <f>iferror(IF(SUM($BA320:$BC320)=0,"",SUM($BA320:$BC320)),"")</f>
        <v/>
      </c>
      <c r="AG320" s="123">
        <f>iferror(IF(SUM($BD320:$BF320)=0,"",SUM($BD320:$BF320)),"")</f>
        <v/>
      </c>
      <c r="AH320" s="124">
        <f>iferror(IF(SUM($BG320:$BI320)=0,"",SUM($BG320:$BI320)),"")</f>
        <v/>
      </c>
      <c r="AI320" s="131" t="n"/>
      <c r="AJ320" s="132" t="n"/>
      <c r="AK320" s="132" t="n"/>
      <c r="AL320" s="132" t="n"/>
      <c r="AM320" s="132" t="n"/>
      <c r="AN320" s="132" t="n"/>
      <c r="AO320" s="132" t="n"/>
      <c r="AP320" s="132" t="n"/>
      <c r="AQ320" s="132" t="n"/>
      <c r="AR320" s="132" t="n"/>
      <c r="AS320" s="132" t="n"/>
      <c r="AT320" s="132" t="n"/>
      <c r="AU320" s="132" t="n"/>
      <c r="AV320" s="132" t="n"/>
      <c r="AW320" s="132" t="n"/>
      <c r="AX320" s="132" t="n"/>
      <c r="AY320" s="132" t="n"/>
      <c r="AZ320" s="133" t="n"/>
      <c r="BA320" s="131" t="n"/>
      <c r="BB320" s="132" t="n"/>
      <c r="BC320" s="133" t="n"/>
      <c r="BD320" s="131" t="n"/>
      <c r="BE320" s="132" t="n"/>
      <c r="BF320" s="133" t="n"/>
      <c r="BG320" s="131" t="n"/>
      <c r="BH320" s="132" t="n"/>
      <c r="BI320" s="132" t="n"/>
      <c r="BJ320" s="128">
        <f>iferror(SUM($BK320,($BL320*1.2),($BM320*1.35),($BN320*0.74)),)</f>
        <v/>
      </c>
      <c r="BK320" s="128">
        <f>IFERROR(SUM($BT320:$CK320),)</f>
        <v/>
      </c>
      <c r="BL320" s="129">
        <f>IFERROR(SUM($CL320:$CN320),)</f>
        <v/>
      </c>
      <c r="BM320" s="130">
        <f>IFERROR(SUM($CO320:$CQ320),)</f>
        <v/>
      </c>
      <c r="BN320" s="128">
        <f>IFERROR(SUM($CR320:$CT320),)</f>
        <v/>
      </c>
      <c r="BO320" s="128">
        <f>iferror(SUM($BP320,($BQ320*1.2),($BR320*1.35),($BS320*0.74)),)</f>
        <v/>
      </c>
      <c r="BP320" s="128">
        <f>IFERROR(SUM($CU320:$DL320),)</f>
        <v/>
      </c>
      <c r="BQ320" s="128">
        <f>IFERROR(SUM($DM320:$DO320),)</f>
        <v/>
      </c>
      <c r="BR320" s="128">
        <f>IFERROR(SUM($DP320:$DR320),)</f>
        <v/>
      </c>
      <c r="BS320" s="128">
        <f>IFERROR(SUM($DS320:$DU320),)</f>
        <v/>
      </c>
      <c r="BT320" s="128">
        <f>IFERROR(AI320*$W320,)</f>
        <v/>
      </c>
      <c r="BU320" s="128">
        <f>IFERROR(AJ320*$W320,)</f>
        <v/>
      </c>
      <c r="BV320" s="128">
        <f>IFERROR(AK320*$W320,)</f>
        <v/>
      </c>
      <c r="BW320" s="128">
        <f>IFERROR(AL320*$W320,)</f>
        <v/>
      </c>
      <c r="BX320" s="128">
        <f>IFERROR(AM320*$W320,)</f>
        <v/>
      </c>
      <c r="BY320" s="128">
        <f>IFERROR(AN320*$W320,)</f>
        <v/>
      </c>
      <c r="BZ320" s="128">
        <f>IFERROR(AO320*$W320,)</f>
        <v/>
      </c>
      <c r="CA320" s="128">
        <f>IFERROR(AP320*$W320,)</f>
        <v/>
      </c>
      <c r="CB320" s="128">
        <f>IFERROR(AQ320*$W320,)</f>
        <v/>
      </c>
      <c r="CC320" s="128">
        <f>IFERROR(AR320*$W320,)</f>
        <v/>
      </c>
      <c r="CD320" s="128">
        <f>IFERROR(AS320*$W320,)</f>
        <v/>
      </c>
      <c r="CE320" s="128">
        <f>IFERROR(AT320*$W320,)</f>
        <v/>
      </c>
      <c r="CF320" s="128">
        <f>IFERROR(AU320*$W320,)</f>
        <v/>
      </c>
      <c r="CG320" s="128">
        <f>IFERROR(AV320*$W320,)</f>
        <v/>
      </c>
      <c r="CH320" s="128">
        <f>IFERROR(AW320*$W320,)</f>
        <v/>
      </c>
      <c r="CI320" s="128">
        <f>IFERROR(AX320*$W320,)</f>
        <v/>
      </c>
      <c r="CJ320" s="128">
        <f>IFERROR(AY320*$W320,)</f>
        <v/>
      </c>
      <c r="CK320" s="128">
        <f>IFERROR(AZ320*$W320,)</f>
        <v/>
      </c>
      <c r="CL320" s="129">
        <f>IFERROR(if($Y320=0,BA320*($W320/1.2),BA320*$Y320),"")</f>
        <v/>
      </c>
      <c r="CM320" s="129">
        <f>IFERROR(if($Y320=0,BB320*($W320/1.2),BB320*$Y320),"")</f>
        <v/>
      </c>
      <c r="CN320" s="129">
        <f>IFERROR(if($Y320=0,BC320*($W320/1.2),BC320*$Y320),"")</f>
        <v/>
      </c>
      <c r="CO320" s="130">
        <f>IFERROR(if($AA320=0,($W320/1.35)*BD320,BD320*$AA320),)</f>
        <v/>
      </c>
      <c r="CP320" s="130">
        <f>IFERROR(if($AA320=0,($W320/1.35)*BE320,BE320*$AA320),)</f>
        <v/>
      </c>
      <c r="CQ320" s="130">
        <f>IFERROR(if($AA320=0,($W320/1.35)*BF320,BF320*$AA320),)</f>
        <v/>
      </c>
      <c r="CR320" s="128">
        <f>IFERROR(if($AC320=0,($W320/0.74)*BG320,
BG320*$AC320),)</f>
        <v/>
      </c>
      <c r="CS320" s="128">
        <f>IFERROR(if($AC320=0,($W320/0.74)*BH320,
BH320*$AC320),)</f>
        <v/>
      </c>
      <c r="CT320" s="128">
        <f>IFERROR(if($AC320=0,($W320/0.74)*BI320,
BI320*$AC320),)</f>
        <v/>
      </c>
      <c r="CU320" s="128">
        <f>IFERROR(AI320*$V320,)</f>
        <v/>
      </c>
      <c r="CV320" s="128">
        <f>IFERROR(AJ320*$V320,)</f>
        <v/>
      </c>
      <c r="CW320" s="128">
        <f>IFERROR(AK320*$V320,)</f>
        <v/>
      </c>
      <c r="CX320" s="128">
        <f>IFERROR(AL320*$V320,)</f>
        <v/>
      </c>
      <c r="CY320" s="128">
        <f>IFERROR(AM320*$V320,)</f>
        <v/>
      </c>
      <c r="CZ320" s="128">
        <f>IFERROR(AN320*$V320,)</f>
        <v/>
      </c>
      <c r="DA320" s="128">
        <f>IFERROR(AO320*$V320,)</f>
        <v/>
      </c>
      <c r="DB320" s="128">
        <f>IFERROR(AP320*$V320,)</f>
        <v/>
      </c>
      <c r="DC320" s="128">
        <f>IFERROR(AQ320*$V320,)</f>
        <v/>
      </c>
      <c r="DD320" s="128">
        <f>IFERROR(AR320*$V320,)</f>
        <v/>
      </c>
      <c r="DE320" s="128">
        <f>IFERROR(AS320*$V320,)</f>
        <v/>
      </c>
      <c r="DF320" s="128">
        <f>IFERROR(AT320*$V320,)</f>
        <v/>
      </c>
      <c r="DG320" s="128">
        <f>IFERROR(AU320*$V320,)</f>
        <v/>
      </c>
      <c r="DH320" s="128">
        <f>IFERROR(AV320*$V320,)</f>
        <v/>
      </c>
      <c r="DI320" s="128">
        <f>IFERROR(AW320*$V320,)</f>
        <v/>
      </c>
      <c r="DJ320" s="128">
        <f>IFERROR(AX320*$V320,)</f>
        <v/>
      </c>
      <c r="DK320" s="128">
        <f>IFERROR(AY320*$V320,)</f>
        <v/>
      </c>
      <c r="DL320" s="128">
        <f>IFERROR(AZ320*$V320,)</f>
        <v/>
      </c>
      <c r="DM320" s="129">
        <f>IFERROR(if($X320=0,($V320/1.2)*BA320,
BA320*$X320),)</f>
        <v/>
      </c>
      <c r="DN320" s="129">
        <f>IFERROR(if($X320=0,($V320/1.2)*BB320,
BB320*$X320),)</f>
        <v/>
      </c>
      <c r="DO320" s="129">
        <f>IFERROR(if($X320=0,($V320/1.2)*BC320,
BC320*$X320),)</f>
        <v/>
      </c>
      <c r="DP320" s="130">
        <f>IFERROR(if($Z320=0,($V320/1.35)*BD320,
BD320*$Z320),)</f>
        <v/>
      </c>
      <c r="DQ320" s="130">
        <f>IFERROR(if($Z320=0,($V320/1.35)*BE320,
BE320*$Z320),)</f>
        <v/>
      </c>
      <c r="DR320" s="130">
        <f>IFERROR(if($Z320=0,($V320/1.35)*BF320,
BF320*$Z320),)</f>
        <v/>
      </c>
      <c r="DS320" s="128">
        <f>IFERROR(IF($AB320=0,($V320/0.74)*BG320,
BG320*$AB320),)</f>
        <v/>
      </c>
      <c r="DT320" s="128">
        <f>IFERROR(IF($AB320=0,($V320/0.74)*BH320,
BH320*$AB320),)</f>
        <v/>
      </c>
      <c r="DU320" s="128">
        <f>IFERROR(IF($AB320=0,($V320/0.74)*BI320,
BI320*$AB320),)</f>
        <v/>
      </c>
    </row>
    <row r="321" ht="131.25" customHeight="1" s="162">
      <c r="A321" s="115" t="n"/>
      <c r="B321" s="115" t="n"/>
      <c r="C321" s="115" t="n"/>
      <c r="D321" s="115" t="n"/>
      <c r="E321" s="115" t="n"/>
      <c r="F321" s="115" t="n"/>
      <c r="G321" s="115" t="n"/>
      <c r="H321" s="115" t="n"/>
      <c r="I321" s="115" t="n"/>
      <c r="J321" s="115" t="n"/>
      <c r="K321" s="115" t="n"/>
      <c r="L321" s="115" t="n"/>
      <c r="M321" s="115" t="n"/>
      <c r="N321" s="115" t="n"/>
      <c r="O321" s="115" t="n"/>
      <c r="P321" s="115" t="n"/>
      <c r="Q321" s="115" t="n"/>
      <c r="R321" s="115" t="n"/>
      <c r="S321" s="115" t="n"/>
      <c r="T321" s="115" t="n"/>
      <c r="U321" s="116" t="n"/>
      <c r="V321" s="116" t="n"/>
      <c r="W321" s="117" t="n"/>
      <c r="X321" s="118" t="n"/>
      <c r="Y321" s="119" t="n"/>
      <c r="Z321" s="120" t="n"/>
      <c r="AA321" s="121" t="n"/>
      <c r="AB321" s="122" t="n"/>
      <c r="AC321" s="117" t="n"/>
      <c r="AD321" s="123">
        <f>IF(SUM($AE321:$AH321)=0,"",SUM($AE321:$AH321))</f>
        <v/>
      </c>
      <c r="AE321" s="123">
        <f>iferror(IF(SUM($AI321:$AZ321)=0,"",SUM($AI321:$AZ321)),"")</f>
        <v/>
      </c>
      <c r="AF321" s="123">
        <f>iferror(IF(SUM($BA321:$BC321)=0,"",SUM($BA321:$BC321)),"")</f>
        <v/>
      </c>
      <c r="AG321" s="123">
        <f>iferror(IF(SUM($BD321:$BF321)=0,"",SUM($BD321:$BF321)),"")</f>
        <v/>
      </c>
      <c r="AH321" s="124">
        <f>iferror(IF(SUM($BG321:$BI321)=0,"",SUM($BG321:$BI321)),"")</f>
        <v/>
      </c>
      <c r="AI321" s="131" t="n"/>
      <c r="AJ321" s="132" t="n"/>
      <c r="AK321" s="132" t="n"/>
      <c r="AL321" s="132" t="n"/>
      <c r="AM321" s="132" t="n"/>
      <c r="AN321" s="132" t="n"/>
      <c r="AO321" s="132" t="n"/>
      <c r="AP321" s="132" t="n"/>
      <c r="AQ321" s="132" t="n"/>
      <c r="AR321" s="132" t="n"/>
      <c r="AS321" s="132" t="n"/>
      <c r="AT321" s="132" t="n"/>
      <c r="AU321" s="132" t="n"/>
      <c r="AV321" s="132" t="n"/>
      <c r="AW321" s="132" t="n"/>
      <c r="AX321" s="132" t="n"/>
      <c r="AY321" s="132" t="n"/>
      <c r="AZ321" s="133" t="n"/>
      <c r="BA321" s="131" t="n"/>
      <c r="BB321" s="132" t="n"/>
      <c r="BC321" s="133" t="n"/>
      <c r="BD321" s="131" t="n"/>
      <c r="BE321" s="132" t="n"/>
      <c r="BF321" s="133" t="n"/>
      <c r="BG321" s="131" t="n"/>
      <c r="BH321" s="132" t="n"/>
      <c r="BI321" s="132" t="n"/>
      <c r="BJ321" s="128">
        <f>iferror(SUM($BK321,($BL321*1.2),($BM321*1.35),($BN321*0.74)),)</f>
        <v/>
      </c>
      <c r="BK321" s="128">
        <f>IFERROR(SUM($BT321:$CK321),)</f>
        <v/>
      </c>
      <c r="BL321" s="129">
        <f>IFERROR(SUM($CL321:$CN321),)</f>
        <v/>
      </c>
      <c r="BM321" s="130">
        <f>IFERROR(SUM($CO321:$CQ321),)</f>
        <v/>
      </c>
      <c r="BN321" s="128">
        <f>IFERROR(SUM($CR321:$CT321),)</f>
        <v/>
      </c>
      <c r="BO321" s="128">
        <f>iferror(SUM($BP321,($BQ321*1.2),($BR321*1.35),($BS321*0.74)),)</f>
        <v/>
      </c>
      <c r="BP321" s="128">
        <f>IFERROR(SUM($CU321:$DL321),)</f>
        <v/>
      </c>
      <c r="BQ321" s="128">
        <f>IFERROR(SUM($DM321:$DO321),)</f>
        <v/>
      </c>
      <c r="BR321" s="128">
        <f>IFERROR(SUM($DP321:$DR321),)</f>
        <v/>
      </c>
      <c r="BS321" s="128">
        <f>IFERROR(SUM($DS321:$DU321),)</f>
        <v/>
      </c>
      <c r="BT321" s="128">
        <f>IFERROR(AI321*$W321,)</f>
        <v/>
      </c>
      <c r="BU321" s="128">
        <f>IFERROR(AJ321*$W321,)</f>
        <v/>
      </c>
      <c r="BV321" s="128">
        <f>IFERROR(AK321*$W321,)</f>
        <v/>
      </c>
      <c r="BW321" s="128">
        <f>IFERROR(AL321*$W321,)</f>
        <v/>
      </c>
      <c r="BX321" s="128">
        <f>IFERROR(AM321*$W321,)</f>
        <v/>
      </c>
      <c r="BY321" s="128">
        <f>IFERROR(AN321*$W321,)</f>
        <v/>
      </c>
      <c r="BZ321" s="128">
        <f>IFERROR(AO321*$W321,)</f>
        <v/>
      </c>
      <c r="CA321" s="128">
        <f>IFERROR(AP321*$W321,)</f>
        <v/>
      </c>
      <c r="CB321" s="128">
        <f>IFERROR(AQ321*$W321,)</f>
        <v/>
      </c>
      <c r="CC321" s="128">
        <f>IFERROR(AR321*$W321,)</f>
        <v/>
      </c>
      <c r="CD321" s="128">
        <f>IFERROR(AS321*$W321,)</f>
        <v/>
      </c>
      <c r="CE321" s="128">
        <f>IFERROR(AT321*$W321,)</f>
        <v/>
      </c>
      <c r="CF321" s="128">
        <f>IFERROR(AU321*$W321,)</f>
        <v/>
      </c>
      <c r="CG321" s="128">
        <f>IFERROR(AV321*$W321,)</f>
        <v/>
      </c>
      <c r="CH321" s="128">
        <f>IFERROR(AW321*$W321,)</f>
        <v/>
      </c>
      <c r="CI321" s="128">
        <f>IFERROR(AX321*$W321,)</f>
        <v/>
      </c>
      <c r="CJ321" s="128">
        <f>IFERROR(AY321*$W321,)</f>
        <v/>
      </c>
      <c r="CK321" s="128">
        <f>IFERROR(AZ321*$W321,)</f>
        <v/>
      </c>
      <c r="CL321" s="129">
        <f>IFERROR(if($Y321=0,BA321*($W321/1.2),BA321*$Y321),"")</f>
        <v/>
      </c>
      <c r="CM321" s="129">
        <f>IFERROR(if($Y321=0,BB321*($W321/1.2),BB321*$Y321),"")</f>
        <v/>
      </c>
      <c r="CN321" s="129">
        <f>IFERROR(if($Y321=0,BC321*($W321/1.2),BC321*$Y321),"")</f>
        <v/>
      </c>
      <c r="CO321" s="130">
        <f>IFERROR(if($AA321=0,($W321/1.35)*BD321,BD321*$AA321),)</f>
        <v/>
      </c>
      <c r="CP321" s="130">
        <f>IFERROR(if($AA321=0,($W321/1.35)*BE321,BE321*$AA321),)</f>
        <v/>
      </c>
      <c r="CQ321" s="130">
        <f>IFERROR(if($AA321=0,($W321/1.35)*BF321,BF321*$AA321),)</f>
        <v/>
      </c>
      <c r="CR321" s="128">
        <f>IFERROR(if($AC321=0,($W321/0.74)*BG321,
BG321*$AC321),)</f>
        <v/>
      </c>
      <c r="CS321" s="128">
        <f>IFERROR(if($AC321=0,($W321/0.74)*BH321,
BH321*$AC321),)</f>
        <v/>
      </c>
      <c r="CT321" s="128">
        <f>IFERROR(if($AC321=0,($W321/0.74)*BI321,
BI321*$AC321),)</f>
        <v/>
      </c>
      <c r="CU321" s="128">
        <f>IFERROR(AI321*$V321,)</f>
        <v/>
      </c>
      <c r="CV321" s="128">
        <f>IFERROR(AJ321*$V321,)</f>
        <v/>
      </c>
      <c r="CW321" s="128">
        <f>IFERROR(AK321*$V321,)</f>
        <v/>
      </c>
      <c r="CX321" s="128">
        <f>IFERROR(AL321*$V321,)</f>
        <v/>
      </c>
      <c r="CY321" s="128">
        <f>IFERROR(AM321*$V321,)</f>
        <v/>
      </c>
      <c r="CZ321" s="128">
        <f>IFERROR(AN321*$V321,)</f>
        <v/>
      </c>
      <c r="DA321" s="128">
        <f>IFERROR(AO321*$V321,)</f>
        <v/>
      </c>
      <c r="DB321" s="128">
        <f>IFERROR(AP321*$V321,)</f>
        <v/>
      </c>
      <c r="DC321" s="128">
        <f>IFERROR(AQ321*$V321,)</f>
        <v/>
      </c>
      <c r="DD321" s="128">
        <f>IFERROR(AR321*$V321,)</f>
        <v/>
      </c>
      <c r="DE321" s="128">
        <f>IFERROR(AS321*$V321,)</f>
        <v/>
      </c>
      <c r="DF321" s="128">
        <f>IFERROR(AT321*$V321,)</f>
        <v/>
      </c>
      <c r="DG321" s="128">
        <f>IFERROR(AU321*$V321,)</f>
        <v/>
      </c>
      <c r="DH321" s="128">
        <f>IFERROR(AV321*$V321,)</f>
        <v/>
      </c>
      <c r="DI321" s="128">
        <f>IFERROR(AW321*$V321,)</f>
        <v/>
      </c>
      <c r="DJ321" s="128">
        <f>IFERROR(AX321*$V321,)</f>
        <v/>
      </c>
      <c r="DK321" s="128">
        <f>IFERROR(AY321*$V321,)</f>
        <v/>
      </c>
      <c r="DL321" s="128">
        <f>IFERROR(AZ321*$V321,)</f>
        <v/>
      </c>
      <c r="DM321" s="129">
        <f>IFERROR(if($X321=0,($V321/1.2)*BA321,
BA321*$X321),)</f>
        <v/>
      </c>
      <c r="DN321" s="129">
        <f>IFERROR(if($X321=0,($V321/1.2)*BB321,
BB321*$X321),)</f>
        <v/>
      </c>
      <c r="DO321" s="129">
        <f>IFERROR(if($X321=0,($V321/1.2)*BC321,
BC321*$X321),)</f>
        <v/>
      </c>
      <c r="DP321" s="130">
        <f>IFERROR(if($Z321=0,($V321/1.35)*BD321,
BD321*$Z321),)</f>
        <v/>
      </c>
      <c r="DQ321" s="130">
        <f>IFERROR(if($Z321=0,($V321/1.35)*BE321,
BE321*$Z321),)</f>
        <v/>
      </c>
      <c r="DR321" s="130">
        <f>IFERROR(if($Z321=0,($V321/1.35)*BF321,
BF321*$Z321),)</f>
        <v/>
      </c>
      <c r="DS321" s="128">
        <f>IFERROR(IF($AB321=0,($V321/0.74)*BG321,
BG321*$AB321),)</f>
        <v/>
      </c>
      <c r="DT321" s="128">
        <f>IFERROR(IF($AB321=0,($V321/0.74)*BH321,
BH321*$AB321),)</f>
        <v/>
      </c>
      <c r="DU321" s="128">
        <f>IFERROR(IF($AB321=0,($V321/0.74)*BI321,
BI321*$AB321),)</f>
        <v/>
      </c>
    </row>
    <row r="322" ht="131.25" customHeight="1" s="162">
      <c r="A322" s="115" t="n"/>
      <c r="B322" s="115" t="n"/>
      <c r="C322" s="115" t="n"/>
      <c r="D322" s="115" t="n"/>
      <c r="E322" s="115" t="n"/>
      <c r="F322" s="115" t="n"/>
      <c r="G322" s="115" t="n"/>
      <c r="H322" s="115" t="n"/>
      <c r="I322" s="115" t="n"/>
      <c r="J322" s="115" t="n"/>
      <c r="K322" s="115" t="n"/>
      <c r="L322" s="115" t="n"/>
      <c r="M322" s="115" t="n"/>
      <c r="N322" s="115" t="n"/>
      <c r="O322" s="115" t="n"/>
      <c r="P322" s="115" t="n"/>
      <c r="Q322" s="115" t="n"/>
      <c r="R322" s="115" t="n"/>
      <c r="S322" s="115" t="n"/>
      <c r="T322" s="115" t="n"/>
      <c r="U322" s="116" t="n"/>
      <c r="V322" s="116" t="n"/>
      <c r="W322" s="117" t="n"/>
      <c r="X322" s="118" t="n"/>
      <c r="Y322" s="119" t="n"/>
      <c r="Z322" s="120" t="n"/>
      <c r="AA322" s="121" t="n"/>
      <c r="AB322" s="122" t="n"/>
      <c r="AC322" s="117" t="n"/>
      <c r="AD322" s="123">
        <f>IF(SUM($AE322:$AH322)=0,"",SUM($AE322:$AH322))</f>
        <v/>
      </c>
      <c r="AE322" s="123">
        <f>iferror(IF(SUM($AI322:$AZ322)=0,"",SUM($AI322:$AZ322)),"")</f>
        <v/>
      </c>
      <c r="AF322" s="123">
        <f>iferror(IF(SUM($BA322:$BC322)=0,"",SUM($BA322:$BC322)),"")</f>
        <v/>
      </c>
      <c r="AG322" s="123">
        <f>iferror(IF(SUM($BD322:$BF322)=0,"",SUM($BD322:$BF322)),"")</f>
        <v/>
      </c>
      <c r="AH322" s="124">
        <f>iferror(IF(SUM($BG322:$BI322)=0,"",SUM($BG322:$BI322)),"")</f>
        <v/>
      </c>
      <c r="AI322" s="131" t="n"/>
      <c r="AJ322" s="132" t="n"/>
      <c r="AK322" s="132" t="n"/>
      <c r="AL322" s="132" t="n"/>
      <c r="AM322" s="132" t="n"/>
      <c r="AN322" s="132" t="n"/>
      <c r="AO322" s="132" t="n"/>
      <c r="AP322" s="132" t="n"/>
      <c r="AQ322" s="132" t="n"/>
      <c r="AR322" s="132" t="n"/>
      <c r="AS322" s="132" t="n"/>
      <c r="AT322" s="132" t="n"/>
      <c r="AU322" s="132" t="n"/>
      <c r="AV322" s="132" t="n"/>
      <c r="AW322" s="132" t="n"/>
      <c r="AX322" s="132" t="n"/>
      <c r="AY322" s="132" t="n"/>
      <c r="AZ322" s="133" t="n"/>
      <c r="BA322" s="131" t="n"/>
      <c r="BB322" s="132" t="n"/>
      <c r="BC322" s="133" t="n"/>
      <c r="BD322" s="131" t="n"/>
      <c r="BE322" s="132" t="n"/>
      <c r="BF322" s="133" t="n"/>
      <c r="BG322" s="131" t="n"/>
      <c r="BH322" s="132" t="n"/>
      <c r="BI322" s="132" t="n"/>
      <c r="BJ322" s="128">
        <f>iferror(SUM($BK322,($BL322*1.2),($BM322*1.35),($BN322*0.74)),)</f>
        <v/>
      </c>
      <c r="BK322" s="128">
        <f>IFERROR(SUM($BT322:$CK322),)</f>
        <v/>
      </c>
      <c r="BL322" s="129">
        <f>IFERROR(SUM($CL322:$CN322),)</f>
        <v/>
      </c>
      <c r="BM322" s="130">
        <f>IFERROR(SUM($CO322:$CQ322),)</f>
        <v/>
      </c>
      <c r="BN322" s="128">
        <f>IFERROR(SUM($CR322:$CT322),)</f>
        <v/>
      </c>
      <c r="BO322" s="128">
        <f>iferror(SUM($BP322,($BQ322*1.2),($BR322*1.35),($BS322*0.74)),)</f>
        <v/>
      </c>
      <c r="BP322" s="128">
        <f>IFERROR(SUM($CU322:$DL322),)</f>
        <v/>
      </c>
      <c r="BQ322" s="128">
        <f>IFERROR(SUM($DM322:$DO322),)</f>
        <v/>
      </c>
      <c r="BR322" s="128">
        <f>IFERROR(SUM($DP322:$DR322),)</f>
        <v/>
      </c>
      <c r="BS322" s="128">
        <f>IFERROR(SUM($DS322:$DU322),)</f>
        <v/>
      </c>
      <c r="BT322" s="128">
        <f>IFERROR(AI322*$W322,)</f>
        <v/>
      </c>
      <c r="BU322" s="128">
        <f>IFERROR(AJ322*$W322,)</f>
        <v/>
      </c>
      <c r="BV322" s="128">
        <f>IFERROR(AK322*$W322,)</f>
        <v/>
      </c>
      <c r="BW322" s="128">
        <f>IFERROR(AL322*$W322,)</f>
        <v/>
      </c>
      <c r="BX322" s="128">
        <f>IFERROR(AM322*$W322,)</f>
        <v/>
      </c>
      <c r="BY322" s="128">
        <f>IFERROR(AN322*$W322,)</f>
        <v/>
      </c>
      <c r="BZ322" s="128">
        <f>IFERROR(AO322*$W322,)</f>
        <v/>
      </c>
      <c r="CA322" s="128">
        <f>IFERROR(AP322*$W322,)</f>
        <v/>
      </c>
      <c r="CB322" s="128">
        <f>IFERROR(AQ322*$W322,)</f>
        <v/>
      </c>
      <c r="CC322" s="128">
        <f>IFERROR(AR322*$W322,)</f>
        <v/>
      </c>
      <c r="CD322" s="128">
        <f>IFERROR(AS322*$W322,)</f>
        <v/>
      </c>
      <c r="CE322" s="128">
        <f>IFERROR(AT322*$W322,)</f>
        <v/>
      </c>
      <c r="CF322" s="128">
        <f>IFERROR(AU322*$W322,)</f>
        <v/>
      </c>
      <c r="CG322" s="128">
        <f>IFERROR(AV322*$W322,)</f>
        <v/>
      </c>
      <c r="CH322" s="128">
        <f>IFERROR(AW322*$W322,)</f>
        <v/>
      </c>
      <c r="CI322" s="128">
        <f>IFERROR(AX322*$W322,)</f>
        <v/>
      </c>
      <c r="CJ322" s="128">
        <f>IFERROR(AY322*$W322,)</f>
        <v/>
      </c>
      <c r="CK322" s="128">
        <f>IFERROR(AZ322*$W322,)</f>
        <v/>
      </c>
      <c r="CL322" s="129">
        <f>IFERROR(if($Y322=0,BA322*($W322/1.2),BA322*$Y322),"")</f>
        <v/>
      </c>
      <c r="CM322" s="129">
        <f>IFERROR(if($Y322=0,BB322*($W322/1.2),BB322*$Y322),"")</f>
        <v/>
      </c>
      <c r="CN322" s="129">
        <f>IFERROR(if($Y322=0,BC322*($W322/1.2),BC322*$Y322),"")</f>
        <v/>
      </c>
      <c r="CO322" s="130">
        <f>IFERROR(if($AA322=0,($W322/1.35)*BD322,BD322*$AA322),)</f>
        <v/>
      </c>
      <c r="CP322" s="130">
        <f>IFERROR(if($AA322=0,($W322/1.35)*BE322,BE322*$AA322),)</f>
        <v/>
      </c>
      <c r="CQ322" s="130">
        <f>IFERROR(if($AA322=0,($W322/1.35)*BF322,BF322*$AA322),)</f>
        <v/>
      </c>
      <c r="CR322" s="128">
        <f>IFERROR(if($AC322=0,($W322/0.74)*BG322,
BG322*$AC322),)</f>
        <v/>
      </c>
      <c r="CS322" s="128">
        <f>IFERROR(if($AC322=0,($W322/0.74)*BH322,
BH322*$AC322),)</f>
        <v/>
      </c>
      <c r="CT322" s="128">
        <f>IFERROR(if($AC322=0,($W322/0.74)*BI322,
BI322*$AC322),)</f>
        <v/>
      </c>
      <c r="CU322" s="128">
        <f>IFERROR(AI322*$V322,)</f>
        <v/>
      </c>
      <c r="CV322" s="128">
        <f>IFERROR(AJ322*$V322,)</f>
        <v/>
      </c>
      <c r="CW322" s="128">
        <f>IFERROR(AK322*$V322,)</f>
        <v/>
      </c>
      <c r="CX322" s="128">
        <f>IFERROR(AL322*$V322,)</f>
        <v/>
      </c>
      <c r="CY322" s="128">
        <f>IFERROR(AM322*$V322,)</f>
        <v/>
      </c>
      <c r="CZ322" s="128">
        <f>IFERROR(AN322*$V322,)</f>
        <v/>
      </c>
      <c r="DA322" s="128">
        <f>IFERROR(AO322*$V322,)</f>
        <v/>
      </c>
      <c r="DB322" s="128">
        <f>IFERROR(AP322*$V322,)</f>
        <v/>
      </c>
      <c r="DC322" s="128">
        <f>IFERROR(AQ322*$V322,)</f>
        <v/>
      </c>
      <c r="DD322" s="128">
        <f>IFERROR(AR322*$V322,)</f>
        <v/>
      </c>
      <c r="DE322" s="128">
        <f>IFERROR(AS322*$V322,)</f>
        <v/>
      </c>
      <c r="DF322" s="128">
        <f>IFERROR(AT322*$V322,)</f>
        <v/>
      </c>
      <c r="DG322" s="128">
        <f>IFERROR(AU322*$V322,)</f>
        <v/>
      </c>
      <c r="DH322" s="128">
        <f>IFERROR(AV322*$V322,)</f>
        <v/>
      </c>
      <c r="DI322" s="128">
        <f>IFERROR(AW322*$V322,)</f>
        <v/>
      </c>
      <c r="DJ322" s="128">
        <f>IFERROR(AX322*$V322,)</f>
        <v/>
      </c>
      <c r="DK322" s="128">
        <f>IFERROR(AY322*$V322,)</f>
        <v/>
      </c>
      <c r="DL322" s="128">
        <f>IFERROR(AZ322*$V322,)</f>
        <v/>
      </c>
      <c r="DM322" s="129">
        <f>IFERROR(if($X322=0,($V322/1.2)*BA322,
BA322*$X322),)</f>
        <v/>
      </c>
      <c r="DN322" s="129">
        <f>IFERROR(if($X322=0,($V322/1.2)*BB322,
BB322*$X322),)</f>
        <v/>
      </c>
      <c r="DO322" s="129">
        <f>IFERROR(if($X322=0,($V322/1.2)*BC322,
BC322*$X322),)</f>
        <v/>
      </c>
      <c r="DP322" s="130">
        <f>IFERROR(if($Z322=0,($V322/1.35)*BD322,
BD322*$Z322),)</f>
        <v/>
      </c>
      <c r="DQ322" s="130">
        <f>IFERROR(if($Z322=0,($V322/1.35)*BE322,
BE322*$Z322),)</f>
        <v/>
      </c>
      <c r="DR322" s="130">
        <f>IFERROR(if($Z322=0,($V322/1.35)*BF322,
BF322*$Z322),)</f>
        <v/>
      </c>
      <c r="DS322" s="128">
        <f>IFERROR(IF($AB322=0,($V322/0.74)*BG322,
BG322*$AB322),)</f>
        <v/>
      </c>
      <c r="DT322" s="128">
        <f>IFERROR(IF($AB322=0,($V322/0.74)*BH322,
BH322*$AB322),)</f>
        <v/>
      </c>
      <c r="DU322" s="128">
        <f>IFERROR(IF($AB322=0,($V322/0.74)*BI322,
BI322*$AB322),)</f>
        <v/>
      </c>
    </row>
    <row r="323" ht="131.25" customHeight="1" s="162">
      <c r="A323" s="115" t="n"/>
      <c r="B323" s="115" t="n"/>
      <c r="C323" s="115" t="n"/>
      <c r="D323" s="115" t="n"/>
      <c r="E323" s="115" t="n"/>
      <c r="F323" s="115" t="n"/>
      <c r="G323" s="115" t="n"/>
      <c r="H323" s="115" t="n"/>
      <c r="I323" s="115" t="n"/>
      <c r="J323" s="115" t="n"/>
      <c r="K323" s="115" t="n"/>
      <c r="L323" s="115" t="n"/>
      <c r="M323" s="115" t="n"/>
      <c r="N323" s="115" t="n"/>
      <c r="O323" s="115" t="n"/>
      <c r="P323" s="115" t="n"/>
      <c r="Q323" s="115" t="n"/>
      <c r="R323" s="115" t="n"/>
      <c r="S323" s="115" t="n"/>
      <c r="T323" s="115" t="n"/>
      <c r="U323" s="116" t="n"/>
      <c r="V323" s="116" t="n"/>
      <c r="W323" s="117" t="n"/>
      <c r="X323" s="118" t="n"/>
      <c r="Y323" s="119" t="n"/>
      <c r="Z323" s="120" t="n"/>
      <c r="AA323" s="121" t="n"/>
      <c r="AB323" s="122" t="n"/>
      <c r="AC323" s="117" t="n"/>
      <c r="AD323" s="123">
        <f>IF(SUM($AE323:$AH323)=0,"",SUM($AE323:$AH323))</f>
        <v/>
      </c>
      <c r="AE323" s="123">
        <f>iferror(IF(SUM($AI323:$AZ323)=0,"",SUM($AI323:$AZ323)),"")</f>
        <v/>
      </c>
      <c r="AF323" s="123">
        <f>iferror(IF(SUM($BA323:$BC323)=0,"",SUM($BA323:$BC323)),"")</f>
        <v/>
      </c>
      <c r="AG323" s="123">
        <f>iferror(IF(SUM($BD323:$BF323)=0,"",SUM($BD323:$BF323)),"")</f>
        <v/>
      </c>
      <c r="AH323" s="124">
        <f>iferror(IF(SUM($BG323:$BI323)=0,"",SUM($BG323:$BI323)),"")</f>
        <v/>
      </c>
      <c r="AI323" s="131" t="n"/>
      <c r="AJ323" s="132" t="n"/>
      <c r="AK323" s="132" t="n"/>
      <c r="AL323" s="132" t="n"/>
      <c r="AM323" s="132" t="n"/>
      <c r="AN323" s="132" t="n"/>
      <c r="AO323" s="132" t="n"/>
      <c r="AP323" s="132" t="n"/>
      <c r="AQ323" s="132" t="n"/>
      <c r="AR323" s="132" t="n"/>
      <c r="AS323" s="132" t="n"/>
      <c r="AT323" s="132" t="n"/>
      <c r="AU323" s="132" t="n"/>
      <c r="AV323" s="132" t="n"/>
      <c r="AW323" s="132" t="n"/>
      <c r="AX323" s="132" t="n"/>
      <c r="AY323" s="132" t="n"/>
      <c r="AZ323" s="133" t="n"/>
      <c r="BA323" s="131" t="n"/>
      <c r="BB323" s="132" t="n"/>
      <c r="BC323" s="133" t="n"/>
      <c r="BD323" s="131" t="n"/>
      <c r="BE323" s="132" t="n"/>
      <c r="BF323" s="133" t="n"/>
      <c r="BG323" s="131" t="n"/>
      <c r="BH323" s="132" t="n"/>
      <c r="BI323" s="132" t="n"/>
      <c r="BJ323" s="128">
        <f>iferror(SUM($BK323,($BL323*1.2),($BM323*1.35),($BN323*0.74)),)</f>
        <v/>
      </c>
      <c r="BK323" s="128">
        <f>IFERROR(SUM($BT323:$CK323),)</f>
        <v/>
      </c>
      <c r="BL323" s="129">
        <f>IFERROR(SUM($CL323:$CN323),)</f>
        <v/>
      </c>
      <c r="BM323" s="130">
        <f>IFERROR(SUM($CO323:$CQ323),)</f>
        <v/>
      </c>
      <c r="BN323" s="128">
        <f>IFERROR(SUM($CR323:$CT323),)</f>
        <v/>
      </c>
      <c r="BO323" s="128">
        <f>iferror(SUM($BP323,($BQ323*1.2),($BR323*1.35),($BS323*0.74)),)</f>
        <v/>
      </c>
      <c r="BP323" s="128">
        <f>IFERROR(SUM($CU323:$DL323),)</f>
        <v/>
      </c>
      <c r="BQ323" s="128">
        <f>IFERROR(SUM($DM323:$DO323),)</f>
        <v/>
      </c>
      <c r="BR323" s="128">
        <f>IFERROR(SUM($DP323:$DR323),)</f>
        <v/>
      </c>
      <c r="BS323" s="128">
        <f>IFERROR(SUM($DS323:$DU323),)</f>
        <v/>
      </c>
      <c r="BT323" s="128">
        <f>IFERROR(AI323*$W323,)</f>
        <v/>
      </c>
      <c r="BU323" s="128">
        <f>IFERROR(AJ323*$W323,)</f>
        <v/>
      </c>
      <c r="BV323" s="128">
        <f>IFERROR(AK323*$W323,)</f>
        <v/>
      </c>
      <c r="BW323" s="128">
        <f>IFERROR(AL323*$W323,)</f>
        <v/>
      </c>
      <c r="BX323" s="128">
        <f>IFERROR(AM323*$W323,)</f>
        <v/>
      </c>
      <c r="BY323" s="128">
        <f>IFERROR(AN323*$W323,)</f>
        <v/>
      </c>
      <c r="BZ323" s="128">
        <f>IFERROR(AO323*$W323,)</f>
        <v/>
      </c>
      <c r="CA323" s="128">
        <f>IFERROR(AP323*$W323,)</f>
        <v/>
      </c>
      <c r="CB323" s="128">
        <f>IFERROR(AQ323*$W323,)</f>
        <v/>
      </c>
      <c r="CC323" s="128">
        <f>IFERROR(AR323*$W323,)</f>
        <v/>
      </c>
      <c r="CD323" s="128">
        <f>IFERROR(AS323*$W323,)</f>
        <v/>
      </c>
      <c r="CE323" s="128">
        <f>IFERROR(AT323*$W323,)</f>
        <v/>
      </c>
      <c r="CF323" s="128">
        <f>IFERROR(AU323*$W323,)</f>
        <v/>
      </c>
      <c r="CG323" s="128">
        <f>IFERROR(AV323*$W323,)</f>
        <v/>
      </c>
      <c r="CH323" s="128">
        <f>IFERROR(AW323*$W323,)</f>
        <v/>
      </c>
      <c r="CI323" s="128">
        <f>IFERROR(AX323*$W323,)</f>
        <v/>
      </c>
      <c r="CJ323" s="128">
        <f>IFERROR(AY323*$W323,)</f>
        <v/>
      </c>
      <c r="CK323" s="128">
        <f>IFERROR(AZ323*$W323,)</f>
        <v/>
      </c>
      <c r="CL323" s="129">
        <f>IFERROR(if($Y323=0,BA323*($W323/1.2),BA323*$Y323),"")</f>
        <v/>
      </c>
      <c r="CM323" s="129">
        <f>IFERROR(if($Y323=0,BB323*($W323/1.2),BB323*$Y323),"")</f>
        <v/>
      </c>
      <c r="CN323" s="129">
        <f>IFERROR(if($Y323=0,BC323*($W323/1.2),BC323*$Y323),"")</f>
        <v/>
      </c>
      <c r="CO323" s="130">
        <f>IFERROR(if($AA323=0,($W323/1.35)*BD323,BD323*$AA323),)</f>
        <v/>
      </c>
      <c r="CP323" s="130">
        <f>IFERROR(if($AA323=0,($W323/1.35)*BE323,BE323*$AA323),)</f>
        <v/>
      </c>
      <c r="CQ323" s="130">
        <f>IFERROR(if($AA323=0,($W323/1.35)*BF323,BF323*$AA323),)</f>
        <v/>
      </c>
      <c r="CR323" s="128">
        <f>IFERROR(if($AC323=0,($W323/0.74)*BG323,
BG323*$AC323),)</f>
        <v/>
      </c>
      <c r="CS323" s="128">
        <f>IFERROR(if($AC323=0,($W323/0.74)*BH323,
BH323*$AC323),)</f>
        <v/>
      </c>
      <c r="CT323" s="128">
        <f>IFERROR(if($AC323=0,($W323/0.74)*BI323,
BI323*$AC323),)</f>
        <v/>
      </c>
      <c r="CU323" s="128">
        <f>IFERROR(AI323*$V323,)</f>
        <v/>
      </c>
      <c r="CV323" s="128">
        <f>IFERROR(AJ323*$V323,)</f>
        <v/>
      </c>
      <c r="CW323" s="128">
        <f>IFERROR(AK323*$V323,)</f>
        <v/>
      </c>
      <c r="CX323" s="128">
        <f>IFERROR(AL323*$V323,)</f>
        <v/>
      </c>
      <c r="CY323" s="128">
        <f>IFERROR(AM323*$V323,)</f>
        <v/>
      </c>
      <c r="CZ323" s="128">
        <f>IFERROR(AN323*$V323,)</f>
        <v/>
      </c>
      <c r="DA323" s="128">
        <f>IFERROR(AO323*$V323,)</f>
        <v/>
      </c>
      <c r="DB323" s="128">
        <f>IFERROR(AP323*$V323,)</f>
        <v/>
      </c>
      <c r="DC323" s="128">
        <f>IFERROR(AQ323*$V323,)</f>
        <v/>
      </c>
      <c r="DD323" s="128">
        <f>IFERROR(AR323*$V323,)</f>
        <v/>
      </c>
      <c r="DE323" s="128">
        <f>IFERROR(AS323*$V323,)</f>
        <v/>
      </c>
      <c r="DF323" s="128">
        <f>IFERROR(AT323*$V323,)</f>
        <v/>
      </c>
      <c r="DG323" s="128">
        <f>IFERROR(AU323*$V323,)</f>
        <v/>
      </c>
      <c r="DH323" s="128">
        <f>IFERROR(AV323*$V323,)</f>
        <v/>
      </c>
      <c r="DI323" s="128">
        <f>IFERROR(AW323*$V323,)</f>
        <v/>
      </c>
      <c r="DJ323" s="128">
        <f>IFERROR(AX323*$V323,)</f>
        <v/>
      </c>
      <c r="DK323" s="128">
        <f>IFERROR(AY323*$V323,)</f>
        <v/>
      </c>
      <c r="DL323" s="128">
        <f>IFERROR(AZ323*$V323,)</f>
        <v/>
      </c>
      <c r="DM323" s="129">
        <f>IFERROR(if($X323=0,($V323/1.2)*BA323,
BA323*$X323),)</f>
        <v/>
      </c>
      <c r="DN323" s="129">
        <f>IFERROR(if($X323=0,($V323/1.2)*BB323,
BB323*$X323),)</f>
        <v/>
      </c>
      <c r="DO323" s="129">
        <f>IFERROR(if($X323=0,($V323/1.2)*BC323,
BC323*$X323),)</f>
        <v/>
      </c>
      <c r="DP323" s="130">
        <f>IFERROR(if($Z323=0,($V323/1.35)*BD323,
BD323*$Z323),)</f>
        <v/>
      </c>
      <c r="DQ323" s="130">
        <f>IFERROR(if($Z323=0,($V323/1.35)*BE323,
BE323*$Z323),)</f>
        <v/>
      </c>
      <c r="DR323" s="130">
        <f>IFERROR(if($Z323=0,($V323/1.35)*BF323,
BF323*$Z323),)</f>
        <v/>
      </c>
      <c r="DS323" s="128">
        <f>IFERROR(IF($AB323=0,($V323/0.74)*BG323,
BG323*$AB323),)</f>
        <v/>
      </c>
      <c r="DT323" s="128">
        <f>IFERROR(IF($AB323=0,($V323/0.74)*BH323,
BH323*$AB323),)</f>
        <v/>
      </c>
      <c r="DU323" s="128">
        <f>IFERROR(IF($AB323=0,($V323/0.74)*BI323,
BI323*$AB323),)</f>
        <v/>
      </c>
    </row>
    <row r="324" ht="131.25" customHeight="1" s="162">
      <c r="A324" s="115" t="n"/>
      <c r="B324" s="115" t="n"/>
      <c r="C324" s="115" t="n"/>
      <c r="D324" s="115" t="n"/>
      <c r="E324" s="115" t="n"/>
      <c r="F324" s="115" t="n"/>
      <c r="G324" s="115" t="n"/>
      <c r="H324" s="115" t="n"/>
      <c r="I324" s="115" t="n"/>
      <c r="J324" s="115" t="n"/>
      <c r="K324" s="115" t="n"/>
      <c r="L324" s="115" t="n"/>
      <c r="M324" s="115" t="n"/>
      <c r="N324" s="115" t="n"/>
      <c r="O324" s="115" t="n"/>
      <c r="P324" s="115" t="n"/>
      <c r="Q324" s="115" t="n"/>
      <c r="R324" s="115" t="n"/>
      <c r="S324" s="115" t="n"/>
      <c r="T324" s="115" t="n"/>
      <c r="U324" s="116" t="n"/>
      <c r="V324" s="116" t="n"/>
      <c r="W324" s="117" t="n"/>
      <c r="X324" s="118" t="n"/>
      <c r="Y324" s="119" t="n"/>
      <c r="Z324" s="120" t="n"/>
      <c r="AA324" s="121" t="n"/>
      <c r="AB324" s="122" t="n"/>
      <c r="AC324" s="117" t="n"/>
      <c r="AD324" s="123">
        <f>IF(SUM($AE324:$AH324)=0,"",SUM($AE324:$AH324))</f>
        <v/>
      </c>
      <c r="AE324" s="123">
        <f>iferror(IF(SUM($AI324:$AZ324)=0,"",SUM($AI324:$AZ324)),"")</f>
        <v/>
      </c>
      <c r="AF324" s="123">
        <f>iferror(IF(SUM($BA324:$BC324)=0,"",SUM($BA324:$BC324)),"")</f>
        <v/>
      </c>
      <c r="AG324" s="123">
        <f>iferror(IF(SUM($BD324:$BF324)=0,"",SUM($BD324:$BF324)),"")</f>
        <v/>
      </c>
      <c r="AH324" s="124">
        <f>iferror(IF(SUM($BG324:$BI324)=0,"",SUM($BG324:$BI324)),"")</f>
        <v/>
      </c>
      <c r="AI324" s="131" t="n"/>
      <c r="AJ324" s="132" t="n"/>
      <c r="AK324" s="132" t="n"/>
      <c r="AL324" s="132" t="n"/>
      <c r="AM324" s="132" t="n"/>
      <c r="AN324" s="132" t="n"/>
      <c r="AO324" s="132" t="n"/>
      <c r="AP324" s="132" t="n"/>
      <c r="AQ324" s="132" t="n"/>
      <c r="AR324" s="132" t="n"/>
      <c r="AS324" s="132" t="n"/>
      <c r="AT324" s="132" t="n"/>
      <c r="AU324" s="132" t="n"/>
      <c r="AV324" s="132" t="n"/>
      <c r="AW324" s="132" t="n"/>
      <c r="AX324" s="132" t="n"/>
      <c r="AY324" s="132" t="n"/>
      <c r="AZ324" s="133" t="n"/>
      <c r="BA324" s="131" t="n"/>
      <c r="BB324" s="132" t="n"/>
      <c r="BC324" s="133" t="n"/>
      <c r="BD324" s="131" t="n"/>
      <c r="BE324" s="132" t="n"/>
      <c r="BF324" s="133" t="n"/>
      <c r="BG324" s="131" t="n"/>
      <c r="BH324" s="132" t="n"/>
      <c r="BI324" s="132" t="n"/>
      <c r="BJ324" s="128">
        <f>iferror(SUM($BK324,($BL324*1.2),($BM324*1.35),($BN324*0.74)),)</f>
        <v/>
      </c>
      <c r="BK324" s="128">
        <f>IFERROR(SUM($BT324:$CK324),)</f>
        <v/>
      </c>
      <c r="BL324" s="129">
        <f>IFERROR(SUM($CL324:$CN324),)</f>
        <v/>
      </c>
      <c r="BM324" s="130">
        <f>IFERROR(SUM($CO324:$CQ324),)</f>
        <v/>
      </c>
      <c r="BN324" s="128">
        <f>IFERROR(SUM($CR324:$CT324),)</f>
        <v/>
      </c>
      <c r="BO324" s="128">
        <f>iferror(SUM($BP324,($BQ324*1.2),($BR324*1.35),($BS324*0.74)),)</f>
        <v/>
      </c>
      <c r="BP324" s="128">
        <f>IFERROR(SUM($CU324:$DL324),)</f>
        <v/>
      </c>
      <c r="BQ324" s="128">
        <f>IFERROR(SUM($DM324:$DO324),)</f>
        <v/>
      </c>
      <c r="BR324" s="128">
        <f>IFERROR(SUM($DP324:$DR324),)</f>
        <v/>
      </c>
      <c r="BS324" s="128">
        <f>IFERROR(SUM($DS324:$DU324),)</f>
        <v/>
      </c>
      <c r="BT324" s="128">
        <f>IFERROR(AI324*$W324,)</f>
        <v/>
      </c>
      <c r="BU324" s="128">
        <f>IFERROR(AJ324*$W324,)</f>
        <v/>
      </c>
      <c r="BV324" s="128">
        <f>IFERROR(AK324*$W324,)</f>
        <v/>
      </c>
      <c r="BW324" s="128">
        <f>IFERROR(AL324*$W324,)</f>
        <v/>
      </c>
      <c r="BX324" s="128">
        <f>IFERROR(AM324*$W324,)</f>
        <v/>
      </c>
      <c r="BY324" s="128">
        <f>IFERROR(AN324*$W324,)</f>
        <v/>
      </c>
      <c r="BZ324" s="128">
        <f>IFERROR(AO324*$W324,)</f>
        <v/>
      </c>
      <c r="CA324" s="128">
        <f>IFERROR(AP324*$W324,)</f>
        <v/>
      </c>
      <c r="CB324" s="128">
        <f>IFERROR(AQ324*$W324,)</f>
        <v/>
      </c>
      <c r="CC324" s="128">
        <f>IFERROR(AR324*$W324,)</f>
        <v/>
      </c>
      <c r="CD324" s="128">
        <f>IFERROR(AS324*$W324,)</f>
        <v/>
      </c>
      <c r="CE324" s="128">
        <f>IFERROR(AT324*$W324,)</f>
        <v/>
      </c>
      <c r="CF324" s="128">
        <f>IFERROR(AU324*$W324,)</f>
        <v/>
      </c>
      <c r="CG324" s="128">
        <f>IFERROR(AV324*$W324,)</f>
        <v/>
      </c>
      <c r="CH324" s="128">
        <f>IFERROR(AW324*$W324,)</f>
        <v/>
      </c>
      <c r="CI324" s="128">
        <f>IFERROR(AX324*$W324,)</f>
        <v/>
      </c>
      <c r="CJ324" s="128">
        <f>IFERROR(AY324*$W324,)</f>
        <v/>
      </c>
      <c r="CK324" s="128">
        <f>IFERROR(AZ324*$W324,)</f>
        <v/>
      </c>
      <c r="CL324" s="129">
        <f>IFERROR(if($Y324=0,BA324*($W324/1.2),BA324*$Y324),"")</f>
        <v/>
      </c>
      <c r="CM324" s="129">
        <f>IFERROR(if($Y324=0,BB324*($W324/1.2),BB324*$Y324),"")</f>
        <v/>
      </c>
      <c r="CN324" s="129">
        <f>IFERROR(if($Y324=0,BC324*($W324/1.2),BC324*$Y324),"")</f>
        <v/>
      </c>
      <c r="CO324" s="130">
        <f>IFERROR(if($AA324=0,($W324/1.35)*BD324,BD324*$AA324),)</f>
        <v/>
      </c>
      <c r="CP324" s="130">
        <f>IFERROR(if($AA324=0,($W324/1.35)*BE324,BE324*$AA324),)</f>
        <v/>
      </c>
      <c r="CQ324" s="130">
        <f>IFERROR(if($AA324=0,($W324/1.35)*BF324,BF324*$AA324),)</f>
        <v/>
      </c>
      <c r="CR324" s="128">
        <f>IFERROR(if($AC324=0,($W324/0.74)*BG324,
BG324*$AC324),)</f>
        <v/>
      </c>
      <c r="CS324" s="128">
        <f>IFERROR(if($AC324=0,($W324/0.74)*BH324,
BH324*$AC324),)</f>
        <v/>
      </c>
      <c r="CT324" s="128">
        <f>IFERROR(if($AC324=0,($W324/0.74)*BI324,
BI324*$AC324),)</f>
        <v/>
      </c>
      <c r="CU324" s="128">
        <f>IFERROR(AI324*$V324,)</f>
        <v/>
      </c>
      <c r="CV324" s="128">
        <f>IFERROR(AJ324*$V324,)</f>
        <v/>
      </c>
      <c r="CW324" s="128">
        <f>IFERROR(AK324*$V324,)</f>
        <v/>
      </c>
      <c r="CX324" s="128">
        <f>IFERROR(AL324*$V324,)</f>
        <v/>
      </c>
      <c r="CY324" s="128">
        <f>IFERROR(AM324*$V324,)</f>
        <v/>
      </c>
      <c r="CZ324" s="128">
        <f>IFERROR(AN324*$V324,)</f>
        <v/>
      </c>
      <c r="DA324" s="128">
        <f>IFERROR(AO324*$V324,)</f>
        <v/>
      </c>
      <c r="DB324" s="128">
        <f>IFERROR(AP324*$V324,)</f>
        <v/>
      </c>
      <c r="DC324" s="128">
        <f>IFERROR(AQ324*$V324,)</f>
        <v/>
      </c>
      <c r="DD324" s="128">
        <f>IFERROR(AR324*$V324,)</f>
        <v/>
      </c>
      <c r="DE324" s="128">
        <f>IFERROR(AS324*$V324,)</f>
        <v/>
      </c>
      <c r="DF324" s="128">
        <f>IFERROR(AT324*$V324,)</f>
        <v/>
      </c>
      <c r="DG324" s="128">
        <f>IFERROR(AU324*$V324,)</f>
        <v/>
      </c>
      <c r="DH324" s="128">
        <f>IFERROR(AV324*$V324,)</f>
        <v/>
      </c>
      <c r="DI324" s="128">
        <f>IFERROR(AW324*$V324,)</f>
        <v/>
      </c>
      <c r="DJ324" s="128">
        <f>IFERROR(AX324*$V324,)</f>
        <v/>
      </c>
      <c r="DK324" s="128">
        <f>IFERROR(AY324*$V324,)</f>
        <v/>
      </c>
      <c r="DL324" s="128">
        <f>IFERROR(AZ324*$V324,)</f>
        <v/>
      </c>
      <c r="DM324" s="129">
        <f>IFERROR(if($X324=0,($V324/1.2)*BA324,
BA324*$X324),)</f>
        <v/>
      </c>
      <c r="DN324" s="129">
        <f>IFERROR(if($X324=0,($V324/1.2)*BB324,
BB324*$X324),)</f>
        <v/>
      </c>
      <c r="DO324" s="129">
        <f>IFERROR(if($X324=0,($V324/1.2)*BC324,
BC324*$X324),)</f>
        <v/>
      </c>
      <c r="DP324" s="130">
        <f>IFERROR(if($Z324=0,($V324/1.35)*BD324,
BD324*$Z324),)</f>
        <v/>
      </c>
      <c r="DQ324" s="130">
        <f>IFERROR(if($Z324=0,($V324/1.35)*BE324,
BE324*$Z324),)</f>
        <v/>
      </c>
      <c r="DR324" s="130">
        <f>IFERROR(if($Z324=0,($V324/1.35)*BF324,
BF324*$Z324),)</f>
        <v/>
      </c>
      <c r="DS324" s="128">
        <f>IFERROR(IF($AB324=0,($V324/0.74)*BG324,
BG324*$AB324),)</f>
        <v/>
      </c>
      <c r="DT324" s="128">
        <f>IFERROR(IF($AB324=0,($V324/0.74)*BH324,
BH324*$AB324),)</f>
        <v/>
      </c>
      <c r="DU324" s="128">
        <f>IFERROR(IF($AB324=0,($V324/0.74)*BI324,
BI324*$AB324),)</f>
        <v/>
      </c>
    </row>
    <row r="325" ht="131.25" customHeight="1" s="162">
      <c r="A325" s="115" t="n"/>
      <c r="B325" s="115" t="n"/>
      <c r="C325" s="115" t="n"/>
      <c r="D325" s="115" t="n"/>
      <c r="E325" s="115" t="n"/>
      <c r="F325" s="115" t="n"/>
      <c r="G325" s="115" t="n"/>
      <c r="H325" s="115" t="n"/>
      <c r="I325" s="115" t="n"/>
      <c r="J325" s="115" t="n"/>
      <c r="K325" s="115" t="n"/>
      <c r="L325" s="115" t="n"/>
      <c r="M325" s="115" t="n"/>
      <c r="N325" s="115" t="n"/>
      <c r="O325" s="115" t="n"/>
      <c r="P325" s="115" t="n"/>
      <c r="Q325" s="115" t="n"/>
      <c r="R325" s="115" t="n"/>
      <c r="S325" s="115" t="n"/>
      <c r="T325" s="115" t="n"/>
      <c r="U325" s="116" t="n"/>
      <c r="V325" s="116" t="n"/>
      <c r="W325" s="117" t="n"/>
      <c r="X325" s="118" t="n"/>
      <c r="Y325" s="119" t="n"/>
      <c r="Z325" s="120" t="n"/>
      <c r="AA325" s="121" t="n"/>
      <c r="AB325" s="122" t="n"/>
      <c r="AC325" s="117" t="n"/>
      <c r="AD325" s="123">
        <f>IF(SUM($AE325:$AH325)=0,"",SUM($AE325:$AH325))</f>
        <v/>
      </c>
      <c r="AE325" s="123">
        <f>iferror(IF(SUM($AI325:$AZ325)=0,"",SUM($AI325:$AZ325)),"")</f>
        <v/>
      </c>
      <c r="AF325" s="123">
        <f>iferror(IF(SUM($BA325:$BC325)=0,"",SUM($BA325:$BC325)),"")</f>
        <v/>
      </c>
      <c r="AG325" s="123">
        <f>iferror(IF(SUM($BD325:$BF325)=0,"",SUM($BD325:$BF325)),"")</f>
        <v/>
      </c>
      <c r="AH325" s="124">
        <f>iferror(IF(SUM($BG325:$BI325)=0,"",SUM($BG325:$BI325)),"")</f>
        <v/>
      </c>
      <c r="AI325" s="131" t="n"/>
      <c r="AJ325" s="132" t="n"/>
      <c r="AK325" s="132" t="n"/>
      <c r="AL325" s="132" t="n"/>
      <c r="AM325" s="132" t="n"/>
      <c r="AN325" s="132" t="n"/>
      <c r="AO325" s="132" t="n"/>
      <c r="AP325" s="132" t="n"/>
      <c r="AQ325" s="132" t="n"/>
      <c r="AR325" s="132" t="n"/>
      <c r="AS325" s="132" t="n"/>
      <c r="AT325" s="132" t="n"/>
      <c r="AU325" s="132" t="n"/>
      <c r="AV325" s="132" t="n"/>
      <c r="AW325" s="132" t="n"/>
      <c r="AX325" s="132" t="n"/>
      <c r="AY325" s="132" t="n"/>
      <c r="AZ325" s="133" t="n"/>
      <c r="BA325" s="131" t="n"/>
      <c r="BB325" s="132" t="n"/>
      <c r="BC325" s="133" t="n"/>
      <c r="BD325" s="131" t="n"/>
      <c r="BE325" s="132" t="n"/>
      <c r="BF325" s="133" t="n"/>
      <c r="BG325" s="131" t="n"/>
      <c r="BH325" s="132" t="n"/>
      <c r="BI325" s="132" t="n"/>
      <c r="BJ325" s="128">
        <f>iferror(SUM($BK325,($BL325*1.2),($BM325*1.35),($BN325*0.74)),)</f>
        <v/>
      </c>
      <c r="BK325" s="128">
        <f>IFERROR(SUM($BT325:$CK325),)</f>
        <v/>
      </c>
      <c r="BL325" s="129">
        <f>IFERROR(SUM($CL325:$CN325),)</f>
        <v/>
      </c>
      <c r="BM325" s="130">
        <f>IFERROR(SUM($CO325:$CQ325),)</f>
        <v/>
      </c>
      <c r="BN325" s="128">
        <f>IFERROR(SUM($CR325:$CT325),)</f>
        <v/>
      </c>
      <c r="BO325" s="128">
        <f>iferror(SUM($BP325,($BQ325*1.2),($BR325*1.35),($BS325*0.74)),)</f>
        <v/>
      </c>
      <c r="BP325" s="128">
        <f>IFERROR(SUM($CU325:$DL325),)</f>
        <v/>
      </c>
      <c r="BQ325" s="128">
        <f>IFERROR(SUM($DM325:$DO325),)</f>
        <v/>
      </c>
      <c r="BR325" s="128">
        <f>IFERROR(SUM($DP325:$DR325),)</f>
        <v/>
      </c>
      <c r="BS325" s="128">
        <f>IFERROR(SUM($DS325:$DU325),)</f>
        <v/>
      </c>
      <c r="BT325" s="128">
        <f>IFERROR(AI325*$W325,)</f>
        <v/>
      </c>
      <c r="BU325" s="128">
        <f>IFERROR(AJ325*$W325,)</f>
        <v/>
      </c>
      <c r="BV325" s="128">
        <f>IFERROR(AK325*$W325,)</f>
        <v/>
      </c>
      <c r="BW325" s="128">
        <f>IFERROR(AL325*$W325,)</f>
        <v/>
      </c>
      <c r="BX325" s="128">
        <f>IFERROR(AM325*$W325,)</f>
        <v/>
      </c>
      <c r="BY325" s="128">
        <f>IFERROR(AN325*$W325,)</f>
        <v/>
      </c>
      <c r="BZ325" s="128">
        <f>IFERROR(AO325*$W325,)</f>
        <v/>
      </c>
      <c r="CA325" s="128">
        <f>IFERROR(AP325*$W325,)</f>
        <v/>
      </c>
      <c r="CB325" s="128">
        <f>IFERROR(AQ325*$W325,)</f>
        <v/>
      </c>
      <c r="CC325" s="128">
        <f>IFERROR(AR325*$W325,)</f>
        <v/>
      </c>
      <c r="CD325" s="128">
        <f>IFERROR(AS325*$W325,)</f>
        <v/>
      </c>
      <c r="CE325" s="128">
        <f>IFERROR(AT325*$W325,)</f>
        <v/>
      </c>
      <c r="CF325" s="128">
        <f>IFERROR(AU325*$W325,)</f>
        <v/>
      </c>
      <c r="CG325" s="128">
        <f>IFERROR(AV325*$W325,)</f>
        <v/>
      </c>
      <c r="CH325" s="128">
        <f>IFERROR(AW325*$W325,)</f>
        <v/>
      </c>
      <c r="CI325" s="128">
        <f>IFERROR(AX325*$W325,)</f>
        <v/>
      </c>
      <c r="CJ325" s="128">
        <f>IFERROR(AY325*$W325,)</f>
        <v/>
      </c>
      <c r="CK325" s="128">
        <f>IFERROR(AZ325*$W325,)</f>
        <v/>
      </c>
      <c r="CL325" s="129">
        <f>IFERROR(if($Y325=0,BA325*($W325/1.2),BA325*$Y325),"")</f>
        <v/>
      </c>
      <c r="CM325" s="129">
        <f>IFERROR(if($Y325=0,BB325*($W325/1.2),BB325*$Y325),"")</f>
        <v/>
      </c>
      <c r="CN325" s="129">
        <f>IFERROR(if($Y325=0,BC325*($W325/1.2),BC325*$Y325),"")</f>
        <v/>
      </c>
      <c r="CO325" s="130">
        <f>IFERROR(if($AA325=0,($W325/1.35)*BD325,BD325*$AA325),)</f>
        <v/>
      </c>
      <c r="CP325" s="130">
        <f>IFERROR(if($AA325=0,($W325/1.35)*BE325,BE325*$AA325),)</f>
        <v/>
      </c>
      <c r="CQ325" s="130">
        <f>IFERROR(if($AA325=0,($W325/1.35)*BF325,BF325*$AA325),)</f>
        <v/>
      </c>
      <c r="CR325" s="128">
        <f>IFERROR(if($AC325=0,($W325/0.74)*BG325,
BG325*$AC325),)</f>
        <v/>
      </c>
      <c r="CS325" s="128">
        <f>IFERROR(if($AC325=0,($W325/0.74)*BH325,
BH325*$AC325),)</f>
        <v/>
      </c>
      <c r="CT325" s="128">
        <f>IFERROR(if($AC325=0,($W325/0.74)*BI325,
BI325*$AC325),)</f>
        <v/>
      </c>
      <c r="CU325" s="128">
        <f>IFERROR(AI325*$V325,)</f>
        <v/>
      </c>
      <c r="CV325" s="128">
        <f>IFERROR(AJ325*$V325,)</f>
        <v/>
      </c>
      <c r="CW325" s="128">
        <f>IFERROR(AK325*$V325,)</f>
        <v/>
      </c>
      <c r="CX325" s="128">
        <f>IFERROR(AL325*$V325,)</f>
        <v/>
      </c>
      <c r="CY325" s="128">
        <f>IFERROR(AM325*$V325,)</f>
        <v/>
      </c>
      <c r="CZ325" s="128">
        <f>IFERROR(AN325*$V325,)</f>
        <v/>
      </c>
      <c r="DA325" s="128">
        <f>IFERROR(AO325*$V325,)</f>
        <v/>
      </c>
      <c r="DB325" s="128">
        <f>IFERROR(AP325*$V325,)</f>
        <v/>
      </c>
      <c r="DC325" s="128">
        <f>IFERROR(AQ325*$V325,)</f>
        <v/>
      </c>
      <c r="DD325" s="128">
        <f>IFERROR(AR325*$V325,)</f>
        <v/>
      </c>
      <c r="DE325" s="128">
        <f>IFERROR(AS325*$V325,)</f>
        <v/>
      </c>
      <c r="DF325" s="128">
        <f>IFERROR(AT325*$V325,)</f>
        <v/>
      </c>
      <c r="DG325" s="128">
        <f>IFERROR(AU325*$V325,)</f>
        <v/>
      </c>
      <c r="DH325" s="128">
        <f>IFERROR(AV325*$V325,)</f>
        <v/>
      </c>
      <c r="DI325" s="128">
        <f>IFERROR(AW325*$V325,)</f>
        <v/>
      </c>
      <c r="DJ325" s="128">
        <f>IFERROR(AX325*$V325,)</f>
        <v/>
      </c>
      <c r="DK325" s="128">
        <f>IFERROR(AY325*$V325,)</f>
        <v/>
      </c>
      <c r="DL325" s="128">
        <f>IFERROR(AZ325*$V325,)</f>
        <v/>
      </c>
      <c r="DM325" s="129">
        <f>IFERROR(if($X325=0,($V325/1.2)*BA325,
BA325*$X325),)</f>
        <v/>
      </c>
      <c r="DN325" s="129">
        <f>IFERROR(if($X325=0,($V325/1.2)*BB325,
BB325*$X325),)</f>
        <v/>
      </c>
      <c r="DO325" s="129">
        <f>IFERROR(if($X325=0,($V325/1.2)*BC325,
BC325*$X325),)</f>
        <v/>
      </c>
      <c r="DP325" s="130">
        <f>IFERROR(if($Z325=0,($V325/1.35)*BD325,
BD325*$Z325),)</f>
        <v/>
      </c>
      <c r="DQ325" s="130">
        <f>IFERROR(if($Z325=0,($V325/1.35)*BE325,
BE325*$Z325),)</f>
        <v/>
      </c>
      <c r="DR325" s="130">
        <f>IFERROR(if($Z325=0,($V325/1.35)*BF325,
BF325*$Z325),)</f>
        <v/>
      </c>
      <c r="DS325" s="128">
        <f>IFERROR(IF($AB325=0,($V325/0.74)*BG325,
BG325*$AB325),)</f>
        <v/>
      </c>
      <c r="DT325" s="128">
        <f>IFERROR(IF($AB325=0,($V325/0.74)*BH325,
BH325*$AB325),)</f>
        <v/>
      </c>
      <c r="DU325" s="128">
        <f>IFERROR(IF($AB325=0,($V325/0.74)*BI325,
BI325*$AB325),)</f>
        <v/>
      </c>
    </row>
    <row r="326" ht="131.25" customHeight="1" s="162">
      <c r="A326" s="115" t="n"/>
      <c r="B326" s="115" t="n"/>
      <c r="C326" s="115" t="n"/>
      <c r="D326" s="115" t="n"/>
      <c r="E326" s="115" t="n"/>
      <c r="F326" s="115" t="n"/>
      <c r="G326" s="115" t="n"/>
      <c r="H326" s="115" t="n"/>
      <c r="I326" s="115" t="n"/>
      <c r="J326" s="115" t="n"/>
      <c r="K326" s="115" t="n"/>
      <c r="L326" s="115" t="n"/>
      <c r="M326" s="115" t="n"/>
      <c r="N326" s="115" t="n"/>
      <c r="O326" s="115" t="n"/>
      <c r="P326" s="115" t="n"/>
      <c r="Q326" s="115" t="n"/>
      <c r="R326" s="115" t="n"/>
      <c r="S326" s="115" t="n"/>
      <c r="T326" s="115" t="n"/>
      <c r="U326" s="116" t="n"/>
      <c r="V326" s="116" t="n"/>
      <c r="W326" s="117" t="n"/>
      <c r="X326" s="118" t="n"/>
      <c r="Y326" s="119" t="n"/>
      <c r="Z326" s="120" t="n"/>
      <c r="AA326" s="121" t="n"/>
      <c r="AB326" s="122" t="n"/>
      <c r="AC326" s="117" t="n"/>
      <c r="AD326" s="123">
        <f>IF(SUM($AE326:$AH326)=0,"",SUM($AE326:$AH326))</f>
        <v/>
      </c>
      <c r="AE326" s="123">
        <f>iferror(IF(SUM($AI326:$AZ326)=0,"",SUM($AI326:$AZ326)),"")</f>
        <v/>
      </c>
      <c r="AF326" s="123">
        <f>iferror(IF(SUM($BA326:$BC326)=0,"",SUM($BA326:$BC326)),"")</f>
        <v/>
      </c>
      <c r="AG326" s="123">
        <f>iferror(IF(SUM($BD326:$BF326)=0,"",SUM($BD326:$BF326)),"")</f>
        <v/>
      </c>
      <c r="AH326" s="124">
        <f>iferror(IF(SUM($BG326:$BI326)=0,"",SUM($BG326:$BI326)),"")</f>
        <v/>
      </c>
      <c r="AI326" s="131" t="n"/>
      <c r="AJ326" s="132" t="n"/>
      <c r="AK326" s="132" t="n"/>
      <c r="AL326" s="132" t="n"/>
      <c r="AM326" s="132" t="n"/>
      <c r="AN326" s="132" t="n"/>
      <c r="AO326" s="132" t="n"/>
      <c r="AP326" s="132" t="n"/>
      <c r="AQ326" s="132" t="n"/>
      <c r="AR326" s="132" t="n"/>
      <c r="AS326" s="132" t="n"/>
      <c r="AT326" s="132" t="n"/>
      <c r="AU326" s="132" t="n"/>
      <c r="AV326" s="132" t="n"/>
      <c r="AW326" s="132" t="n"/>
      <c r="AX326" s="132" t="n"/>
      <c r="AY326" s="132" t="n"/>
      <c r="AZ326" s="133" t="n"/>
      <c r="BA326" s="131" t="n"/>
      <c r="BB326" s="132" t="n"/>
      <c r="BC326" s="133" t="n"/>
      <c r="BD326" s="131" t="n"/>
      <c r="BE326" s="132" t="n"/>
      <c r="BF326" s="133" t="n"/>
      <c r="BG326" s="131" t="n"/>
      <c r="BH326" s="132" t="n"/>
      <c r="BI326" s="132" t="n"/>
      <c r="BJ326" s="128">
        <f>iferror(SUM($BK326,($BL326*1.2),($BM326*1.35),($BN326*0.74)),)</f>
        <v/>
      </c>
      <c r="BK326" s="128">
        <f>IFERROR(SUM($BT326:$CK326),)</f>
        <v/>
      </c>
      <c r="BL326" s="129">
        <f>IFERROR(SUM($CL326:$CN326),)</f>
        <v/>
      </c>
      <c r="BM326" s="130">
        <f>IFERROR(SUM($CO326:$CQ326),)</f>
        <v/>
      </c>
      <c r="BN326" s="128">
        <f>IFERROR(SUM($CR326:$CT326),)</f>
        <v/>
      </c>
      <c r="BO326" s="128">
        <f>iferror(SUM($BP326,($BQ326*1.2),($BR326*1.35),($BS326*0.74)),)</f>
        <v/>
      </c>
      <c r="BP326" s="128">
        <f>IFERROR(SUM($CU326:$DL326),)</f>
        <v/>
      </c>
      <c r="BQ326" s="128">
        <f>IFERROR(SUM($DM326:$DO326),)</f>
        <v/>
      </c>
      <c r="BR326" s="128">
        <f>IFERROR(SUM($DP326:$DR326),)</f>
        <v/>
      </c>
      <c r="BS326" s="128">
        <f>IFERROR(SUM($DS326:$DU326),)</f>
        <v/>
      </c>
      <c r="BT326" s="128">
        <f>IFERROR(AI326*$W326,)</f>
        <v/>
      </c>
      <c r="BU326" s="128">
        <f>IFERROR(AJ326*$W326,)</f>
        <v/>
      </c>
      <c r="BV326" s="128">
        <f>IFERROR(AK326*$W326,)</f>
        <v/>
      </c>
      <c r="BW326" s="128">
        <f>IFERROR(AL326*$W326,)</f>
        <v/>
      </c>
      <c r="BX326" s="128">
        <f>IFERROR(AM326*$W326,)</f>
        <v/>
      </c>
      <c r="BY326" s="128">
        <f>IFERROR(AN326*$W326,)</f>
        <v/>
      </c>
      <c r="BZ326" s="128">
        <f>IFERROR(AO326*$W326,)</f>
        <v/>
      </c>
      <c r="CA326" s="128">
        <f>IFERROR(AP326*$W326,)</f>
        <v/>
      </c>
      <c r="CB326" s="128">
        <f>IFERROR(AQ326*$W326,)</f>
        <v/>
      </c>
      <c r="CC326" s="128">
        <f>IFERROR(AR326*$W326,)</f>
        <v/>
      </c>
      <c r="CD326" s="128">
        <f>IFERROR(AS326*$W326,)</f>
        <v/>
      </c>
      <c r="CE326" s="128">
        <f>IFERROR(AT326*$W326,)</f>
        <v/>
      </c>
      <c r="CF326" s="128">
        <f>IFERROR(AU326*$W326,)</f>
        <v/>
      </c>
      <c r="CG326" s="128">
        <f>IFERROR(AV326*$W326,)</f>
        <v/>
      </c>
      <c r="CH326" s="128">
        <f>IFERROR(AW326*$W326,)</f>
        <v/>
      </c>
      <c r="CI326" s="128">
        <f>IFERROR(AX326*$W326,)</f>
        <v/>
      </c>
      <c r="CJ326" s="128">
        <f>IFERROR(AY326*$W326,)</f>
        <v/>
      </c>
      <c r="CK326" s="128">
        <f>IFERROR(AZ326*$W326,)</f>
        <v/>
      </c>
      <c r="CL326" s="129">
        <f>IFERROR(if($Y326=0,BA326*($W326/1.2),BA326*$Y326),"")</f>
        <v/>
      </c>
      <c r="CM326" s="129">
        <f>IFERROR(if($Y326=0,BB326*($W326/1.2),BB326*$Y326),"")</f>
        <v/>
      </c>
      <c r="CN326" s="129">
        <f>IFERROR(if($Y326=0,BC326*($W326/1.2),BC326*$Y326),"")</f>
        <v/>
      </c>
      <c r="CO326" s="130">
        <f>IFERROR(if($AA326=0,($W326/1.35)*BD326,BD326*$AA326),)</f>
        <v/>
      </c>
      <c r="CP326" s="130">
        <f>IFERROR(if($AA326=0,($W326/1.35)*BE326,BE326*$AA326),)</f>
        <v/>
      </c>
      <c r="CQ326" s="130">
        <f>IFERROR(if($AA326=0,($W326/1.35)*BF326,BF326*$AA326),)</f>
        <v/>
      </c>
      <c r="CR326" s="128">
        <f>IFERROR(if($AC326=0,($W326/0.74)*BG326,
BG326*$AC326),)</f>
        <v/>
      </c>
      <c r="CS326" s="128">
        <f>IFERROR(if($AC326=0,($W326/0.74)*BH326,
BH326*$AC326),)</f>
        <v/>
      </c>
      <c r="CT326" s="128">
        <f>IFERROR(if($AC326=0,($W326/0.74)*BI326,
BI326*$AC326),)</f>
        <v/>
      </c>
      <c r="CU326" s="128">
        <f>IFERROR(AI326*$V326,)</f>
        <v/>
      </c>
      <c r="CV326" s="128">
        <f>IFERROR(AJ326*$V326,)</f>
        <v/>
      </c>
      <c r="CW326" s="128">
        <f>IFERROR(AK326*$V326,)</f>
        <v/>
      </c>
      <c r="CX326" s="128">
        <f>IFERROR(AL326*$V326,)</f>
        <v/>
      </c>
      <c r="CY326" s="128">
        <f>IFERROR(AM326*$V326,)</f>
        <v/>
      </c>
      <c r="CZ326" s="128">
        <f>IFERROR(AN326*$V326,)</f>
        <v/>
      </c>
      <c r="DA326" s="128">
        <f>IFERROR(AO326*$V326,)</f>
        <v/>
      </c>
      <c r="DB326" s="128">
        <f>IFERROR(AP326*$V326,)</f>
        <v/>
      </c>
      <c r="DC326" s="128">
        <f>IFERROR(AQ326*$V326,)</f>
        <v/>
      </c>
      <c r="DD326" s="128">
        <f>IFERROR(AR326*$V326,)</f>
        <v/>
      </c>
      <c r="DE326" s="128">
        <f>IFERROR(AS326*$V326,)</f>
        <v/>
      </c>
      <c r="DF326" s="128">
        <f>IFERROR(AT326*$V326,)</f>
        <v/>
      </c>
      <c r="DG326" s="128">
        <f>IFERROR(AU326*$V326,)</f>
        <v/>
      </c>
      <c r="DH326" s="128">
        <f>IFERROR(AV326*$V326,)</f>
        <v/>
      </c>
      <c r="DI326" s="128">
        <f>IFERROR(AW326*$V326,)</f>
        <v/>
      </c>
      <c r="DJ326" s="128">
        <f>IFERROR(AX326*$V326,)</f>
        <v/>
      </c>
      <c r="DK326" s="128">
        <f>IFERROR(AY326*$V326,)</f>
        <v/>
      </c>
      <c r="DL326" s="128">
        <f>IFERROR(AZ326*$V326,)</f>
        <v/>
      </c>
      <c r="DM326" s="129">
        <f>IFERROR(if($X326=0,($V326/1.2)*BA326,
BA326*$X326),)</f>
        <v/>
      </c>
      <c r="DN326" s="129">
        <f>IFERROR(if($X326=0,($V326/1.2)*BB326,
BB326*$X326),)</f>
        <v/>
      </c>
      <c r="DO326" s="129">
        <f>IFERROR(if($X326=0,($V326/1.2)*BC326,
BC326*$X326),)</f>
        <v/>
      </c>
      <c r="DP326" s="130">
        <f>IFERROR(if($Z326=0,($V326/1.35)*BD326,
BD326*$Z326),)</f>
        <v/>
      </c>
      <c r="DQ326" s="130">
        <f>IFERROR(if($Z326=0,($V326/1.35)*BE326,
BE326*$Z326),)</f>
        <v/>
      </c>
      <c r="DR326" s="130">
        <f>IFERROR(if($Z326=0,($V326/1.35)*BF326,
BF326*$Z326),)</f>
        <v/>
      </c>
      <c r="DS326" s="128">
        <f>IFERROR(IF($AB326=0,($V326/0.74)*BG326,
BG326*$AB326),)</f>
        <v/>
      </c>
      <c r="DT326" s="128">
        <f>IFERROR(IF($AB326=0,($V326/0.74)*BH326,
BH326*$AB326),)</f>
        <v/>
      </c>
      <c r="DU326" s="128">
        <f>IFERROR(IF($AB326=0,($V326/0.74)*BI326,
BI326*$AB326),)</f>
        <v/>
      </c>
    </row>
    <row r="327" ht="131.25" customHeight="1" s="162">
      <c r="A327" s="115" t="n"/>
      <c r="B327" s="115" t="n"/>
      <c r="C327" s="115" t="n"/>
      <c r="D327" s="115" t="n"/>
      <c r="E327" s="115" t="n"/>
      <c r="F327" s="115" t="n"/>
      <c r="G327" s="115" t="n"/>
      <c r="H327" s="115" t="n"/>
      <c r="I327" s="115" t="n"/>
      <c r="J327" s="115" t="n"/>
      <c r="K327" s="115" t="n"/>
      <c r="L327" s="115" t="n"/>
      <c r="M327" s="115" t="n"/>
      <c r="N327" s="115" t="n"/>
      <c r="O327" s="115" t="n"/>
      <c r="P327" s="115" t="n"/>
      <c r="Q327" s="115" t="n"/>
      <c r="R327" s="115" t="n"/>
      <c r="S327" s="115" t="n"/>
      <c r="T327" s="115" t="n"/>
      <c r="U327" s="116" t="n"/>
      <c r="V327" s="116" t="n"/>
      <c r="W327" s="117" t="n"/>
      <c r="X327" s="118" t="n"/>
      <c r="Y327" s="119" t="n"/>
      <c r="Z327" s="120" t="n"/>
      <c r="AA327" s="121" t="n"/>
      <c r="AB327" s="122" t="n"/>
      <c r="AC327" s="117" t="n"/>
      <c r="AD327" s="123">
        <f>IF(SUM($AE327:$AH327)=0,"",SUM($AE327:$AH327))</f>
        <v/>
      </c>
      <c r="AE327" s="123">
        <f>iferror(IF(SUM($AI327:$AZ327)=0,"",SUM($AI327:$AZ327)),"")</f>
        <v/>
      </c>
      <c r="AF327" s="123">
        <f>iferror(IF(SUM($BA327:$BC327)=0,"",SUM($BA327:$BC327)),"")</f>
        <v/>
      </c>
      <c r="AG327" s="123">
        <f>iferror(IF(SUM($BD327:$BF327)=0,"",SUM($BD327:$BF327)),"")</f>
        <v/>
      </c>
      <c r="AH327" s="124">
        <f>iferror(IF(SUM($BG327:$BI327)=0,"",SUM($BG327:$BI327)),"")</f>
        <v/>
      </c>
      <c r="AI327" s="131" t="n"/>
      <c r="AJ327" s="132" t="n"/>
      <c r="AK327" s="132" t="n"/>
      <c r="AL327" s="132" t="n"/>
      <c r="AM327" s="132" t="n"/>
      <c r="AN327" s="132" t="n"/>
      <c r="AO327" s="132" t="n"/>
      <c r="AP327" s="132" t="n"/>
      <c r="AQ327" s="132" t="n"/>
      <c r="AR327" s="132" t="n"/>
      <c r="AS327" s="132" t="n"/>
      <c r="AT327" s="132" t="n"/>
      <c r="AU327" s="132" t="n"/>
      <c r="AV327" s="132" t="n"/>
      <c r="AW327" s="132" t="n"/>
      <c r="AX327" s="132" t="n"/>
      <c r="AY327" s="132" t="n"/>
      <c r="AZ327" s="133" t="n"/>
      <c r="BA327" s="131" t="n"/>
      <c r="BB327" s="132" t="n"/>
      <c r="BC327" s="133" t="n"/>
      <c r="BD327" s="131" t="n"/>
      <c r="BE327" s="132" t="n"/>
      <c r="BF327" s="133" t="n"/>
      <c r="BG327" s="131" t="n"/>
      <c r="BH327" s="132" t="n"/>
      <c r="BI327" s="132" t="n"/>
      <c r="BJ327" s="128">
        <f>iferror(SUM($BK327,($BL327*1.2),($BM327*1.35),($BN327*0.74)),)</f>
        <v/>
      </c>
      <c r="BK327" s="128">
        <f>IFERROR(SUM($BT327:$CK327),)</f>
        <v/>
      </c>
      <c r="BL327" s="129">
        <f>IFERROR(SUM($CL327:$CN327),)</f>
        <v/>
      </c>
      <c r="BM327" s="130">
        <f>IFERROR(SUM($CO327:$CQ327),)</f>
        <v/>
      </c>
      <c r="BN327" s="128">
        <f>IFERROR(SUM($CR327:$CT327),)</f>
        <v/>
      </c>
      <c r="BO327" s="128">
        <f>iferror(SUM($BP327,($BQ327*1.2),($BR327*1.35),($BS327*0.74)),)</f>
        <v/>
      </c>
      <c r="BP327" s="128">
        <f>IFERROR(SUM($CU327:$DL327),)</f>
        <v/>
      </c>
      <c r="BQ327" s="128">
        <f>IFERROR(SUM($DM327:$DO327),)</f>
        <v/>
      </c>
      <c r="BR327" s="128">
        <f>IFERROR(SUM($DP327:$DR327),)</f>
        <v/>
      </c>
      <c r="BS327" s="128">
        <f>IFERROR(SUM($DS327:$DU327),)</f>
        <v/>
      </c>
      <c r="BT327" s="128">
        <f>IFERROR(AI327*$W327,)</f>
        <v/>
      </c>
      <c r="BU327" s="128">
        <f>IFERROR(AJ327*$W327,)</f>
        <v/>
      </c>
      <c r="BV327" s="128">
        <f>IFERROR(AK327*$W327,)</f>
        <v/>
      </c>
      <c r="BW327" s="128">
        <f>IFERROR(AL327*$W327,)</f>
        <v/>
      </c>
      <c r="BX327" s="128">
        <f>IFERROR(AM327*$W327,)</f>
        <v/>
      </c>
      <c r="BY327" s="128">
        <f>IFERROR(AN327*$W327,)</f>
        <v/>
      </c>
      <c r="BZ327" s="128">
        <f>IFERROR(AO327*$W327,)</f>
        <v/>
      </c>
      <c r="CA327" s="128">
        <f>IFERROR(AP327*$W327,)</f>
        <v/>
      </c>
      <c r="CB327" s="128">
        <f>IFERROR(AQ327*$W327,)</f>
        <v/>
      </c>
      <c r="CC327" s="128">
        <f>IFERROR(AR327*$W327,)</f>
        <v/>
      </c>
      <c r="CD327" s="128">
        <f>IFERROR(AS327*$W327,)</f>
        <v/>
      </c>
      <c r="CE327" s="128">
        <f>IFERROR(AT327*$W327,)</f>
        <v/>
      </c>
      <c r="CF327" s="128">
        <f>IFERROR(AU327*$W327,)</f>
        <v/>
      </c>
      <c r="CG327" s="128">
        <f>IFERROR(AV327*$W327,)</f>
        <v/>
      </c>
      <c r="CH327" s="128">
        <f>IFERROR(AW327*$W327,)</f>
        <v/>
      </c>
      <c r="CI327" s="128">
        <f>IFERROR(AX327*$W327,)</f>
        <v/>
      </c>
      <c r="CJ327" s="128">
        <f>IFERROR(AY327*$W327,)</f>
        <v/>
      </c>
      <c r="CK327" s="128">
        <f>IFERROR(AZ327*$W327,)</f>
        <v/>
      </c>
      <c r="CL327" s="129">
        <f>IFERROR(if($Y327=0,BA327*($W327/1.2),BA327*$Y327),"")</f>
        <v/>
      </c>
      <c r="CM327" s="129">
        <f>IFERROR(if($Y327=0,BB327*($W327/1.2),BB327*$Y327),"")</f>
        <v/>
      </c>
      <c r="CN327" s="129">
        <f>IFERROR(if($Y327=0,BC327*($W327/1.2),BC327*$Y327),"")</f>
        <v/>
      </c>
      <c r="CO327" s="130">
        <f>IFERROR(if($AA327=0,($W327/1.35)*BD327,BD327*$AA327),)</f>
        <v/>
      </c>
      <c r="CP327" s="130">
        <f>IFERROR(if($AA327=0,($W327/1.35)*BE327,BE327*$AA327),)</f>
        <v/>
      </c>
      <c r="CQ327" s="130">
        <f>IFERROR(if($AA327=0,($W327/1.35)*BF327,BF327*$AA327),)</f>
        <v/>
      </c>
      <c r="CR327" s="128">
        <f>IFERROR(if($AC327=0,($W327/0.74)*BG327,
BG327*$AC327),)</f>
        <v/>
      </c>
      <c r="CS327" s="128">
        <f>IFERROR(if($AC327=0,($W327/0.74)*BH327,
BH327*$AC327),)</f>
        <v/>
      </c>
      <c r="CT327" s="128">
        <f>IFERROR(if($AC327=0,($W327/0.74)*BI327,
BI327*$AC327),)</f>
        <v/>
      </c>
      <c r="CU327" s="128">
        <f>IFERROR(AI327*$V327,)</f>
        <v/>
      </c>
      <c r="CV327" s="128">
        <f>IFERROR(AJ327*$V327,)</f>
        <v/>
      </c>
      <c r="CW327" s="128">
        <f>IFERROR(AK327*$V327,)</f>
        <v/>
      </c>
      <c r="CX327" s="128">
        <f>IFERROR(AL327*$V327,)</f>
        <v/>
      </c>
      <c r="CY327" s="128">
        <f>IFERROR(AM327*$V327,)</f>
        <v/>
      </c>
      <c r="CZ327" s="128">
        <f>IFERROR(AN327*$V327,)</f>
        <v/>
      </c>
      <c r="DA327" s="128">
        <f>IFERROR(AO327*$V327,)</f>
        <v/>
      </c>
      <c r="DB327" s="128">
        <f>IFERROR(AP327*$V327,)</f>
        <v/>
      </c>
      <c r="DC327" s="128">
        <f>IFERROR(AQ327*$V327,)</f>
        <v/>
      </c>
      <c r="DD327" s="128">
        <f>IFERROR(AR327*$V327,)</f>
        <v/>
      </c>
      <c r="DE327" s="128">
        <f>IFERROR(AS327*$V327,)</f>
        <v/>
      </c>
      <c r="DF327" s="128">
        <f>IFERROR(AT327*$V327,)</f>
        <v/>
      </c>
      <c r="DG327" s="128">
        <f>IFERROR(AU327*$V327,)</f>
        <v/>
      </c>
      <c r="DH327" s="128">
        <f>IFERROR(AV327*$V327,)</f>
        <v/>
      </c>
      <c r="DI327" s="128">
        <f>IFERROR(AW327*$V327,)</f>
        <v/>
      </c>
      <c r="DJ327" s="128">
        <f>IFERROR(AX327*$V327,)</f>
        <v/>
      </c>
      <c r="DK327" s="128">
        <f>IFERROR(AY327*$V327,)</f>
        <v/>
      </c>
      <c r="DL327" s="128">
        <f>IFERROR(AZ327*$V327,)</f>
        <v/>
      </c>
      <c r="DM327" s="129">
        <f>IFERROR(if($X327=0,($V327/1.2)*BA327,
BA327*$X327),)</f>
        <v/>
      </c>
      <c r="DN327" s="129">
        <f>IFERROR(if($X327=0,($V327/1.2)*BB327,
BB327*$X327),)</f>
        <v/>
      </c>
      <c r="DO327" s="129">
        <f>IFERROR(if($X327=0,($V327/1.2)*BC327,
BC327*$X327),)</f>
        <v/>
      </c>
      <c r="DP327" s="130">
        <f>IFERROR(if($Z327=0,($V327/1.35)*BD327,
BD327*$Z327),)</f>
        <v/>
      </c>
      <c r="DQ327" s="130">
        <f>IFERROR(if($Z327=0,($V327/1.35)*BE327,
BE327*$Z327),)</f>
        <v/>
      </c>
      <c r="DR327" s="130">
        <f>IFERROR(if($Z327=0,($V327/1.35)*BF327,
BF327*$Z327),)</f>
        <v/>
      </c>
      <c r="DS327" s="128">
        <f>IFERROR(IF($AB327=0,($V327/0.74)*BG327,
BG327*$AB327),)</f>
        <v/>
      </c>
      <c r="DT327" s="128">
        <f>IFERROR(IF($AB327=0,($V327/0.74)*BH327,
BH327*$AB327),)</f>
        <v/>
      </c>
      <c r="DU327" s="128">
        <f>IFERROR(IF($AB327=0,($V327/0.74)*BI327,
BI327*$AB327),)</f>
        <v/>
      </c>
    </row>
    <row r="328" ht="131.25" customHeight="1" s="162">
      <c r="A328" s="115" t="n"/>
      <c r="B328" s="115" t="n"/>
      <c r="C328" s="115" t="n"/>
      <c r="D328" s="115" t="n"/>
      <c r="E328" s="115" t="n"/>
      <c r="F328" s="115" t="n"/>
      <c r="G328" s="115" t="n"/>
      <c r="H328" s="115" t="n"/>
      <c r="I328" s="115" t="n"/>
      <c r="J328" s="115" t="n"/>
      <c r="K328" s="115" t="n"/>
      <c r="L328" s="115" t="n"/>
      <c r="M328" s="115" t="n"/>
      <c r="N328" s="115" t="n"/>
      <c r="O328" s="115" t="n"/>
      <c r="P328" s="115" t="n"/>
      <c r="Q328" s="115" t="n"/>
      <c r="R328" s="115" t="n"/>
      <c r="S328" s="115" t="n"/>
      <c r="T328" s="115" t="n"/>
      <c r="U328" s="116" t="n"/>
      <c r="V328" s="116" t="n"/>
      <c r="W328" s="117" t="n"/>
      <c r="X328" s="118" t="n"/>
      <c r="Y328" s="119" t="n"/>
      <c r="Z328" s="120" t="n"/>
      <c r="AA328" s="121" t="n"/>
      <c r="AB328" s="122" t="n"/>
      <c r="AC328" s="117" t="n"/>
      <c r="AD328" s="123">
        <f>IF(SUM($AE328:$AH328)=0,"",SUM($AE328:$AH328))</f>
        <v/>
      </c>
      <c r="AE328" s="123">
        <f>iferror(IF(SUM($AI328:$AZ328)=0,"",SUM($AI328:$AZ328)),"")</f>
        <v/>
      </c>
      <c r="AF328" s="123">
        <f>iferror(IF(SUM($BA328:$BC328)=0,"",SUM($BA328:$BC328)),"")</f>
        <v/>
      </c>
      <c r="AG328" s="123">
        <f>iferror(IF(SUM($BD328:$BF328)=0,"",SUM($BD328:$BF328)),"")</f>
        <v/>
      </c>
      <c r="AH328" s="124">
        <f>iferror(IF(SUM($BG328:$BI328)=0,"",SUM($BG328:$BI328)),"")</f>
        <v/>
      </c>
      <c r="AI328" s="131" t="n"/>
      <c r="AJ328" s="132" t="n"/>
      <c r="AK328" s="132" t="n"/>
      <c r="AL328" s="132" t="n"/>
      <c r="AM328" s="132" t="n"/>
      <c r="AN328" s="132" t="n"/>
      <c r="AO328" s="132" t="n"/>
      <c r="AP328" s="132" t="n"/>
      <c r="AQ328" s="132" t="n"/>
      <c r="AR328" s="132" t="n"/>
      <c r="AS328" s="132" t="n"/>
      <c r="AT328" s="132" t="n"/>
      <c r="AU328" s="132" t="n"/>
      <c r="AV328" s="132" t="n"/>
      <c r="AW328" s="132" t="n"/>
      <c r="AX328" s="132" t="n"/>
      <c r="AY328" s="132" t="n"/>
      <c r="AZ328" s="133" t="n"/>
      <c r="BA328" s="131" t="n"/>
      <c r="BB328" s="132" t="n"/>
      <c r="BC328" s="133" t="n"/>
      <c r="BD328" s="131" t="n"/>
      <c r="BE328" s="132" t="n"/>
      <c r="BF328" s="133" t="n"/>
      <c r="BG328" s="131" t="n"/>
      <c r="BH328" s="132" t="n"/>
      <c r="BI328" s="132" t="n"/>
      <c r="BJ328" s="128">
        <f>iferror(SUM($BK328,($BL328*1.2),($BM328*1.35),($BN328*0.74)),)</f>
        <v/>
      </c>
      <c r="BK328" s="128">
        <f>IFERROR(SUM($BT328:$CK328),)</f>
        <v/>
      </c>
      <c r="BL328" s="129">
        <f>IFERROR(SUM($CL328:$CN328),)</f>
        <v/>
      </c>
      <c r="BM328" s="130">
        <f>IFERROR(SUM($CO328:$CQ328),)</f>
        <v/>
      </c>
      <c r="BN328" s="128">
        <f>IFERROR(SUM($CR328:$CT328),)</f>
        <v/>
      </c>
      <c r="BO328" s="128">
        <f>iferror(SUM($BP328,($BQ328*1.2),($BR328*1.35),($BS328*0.74)),)</f>
        <v/>
      </c>
      <c r="BP328" s="128">
        <f>IFERROR(SUM($CU328:$DL328),)</f>
        <v/>
      </c>
      <c r="BQ328" s="128">
        <f>IFERROR(SUM($DM328:$DO328),)</f>
        <v/>
      </c>
      <c r="BR328" s="128">
        <f>IFERROR(SUM($DP328:$DR328),)</f>
        <v/>
      </c>
      <c r="BS328" s="128">
        <f>IFERROR(SUM($DS328:$DU328),)</f>
        <v/>
      </c>
      <c r="BT328" s="128">
        <f>IFERROR(AI328*$W328,)</f>
        <v/>
      </c>
      <c r="BU328" s="128">
        <f>IFERROR(AJ328*$W328,)</f>
        <v/>
      </c>
      <c r="BV328" s="128">
        <f>IFERROR(AK328*$W328,)</f>
        <v/>
      </c>
      <c r="BW328" s="128">
        <f>IFERROR(AL328*$W328,)</f>
        <v/>
      </c>
      <c r="BX328" s="128">
        <f>IFERROR(AM328*$W328,)</f>
        <v/>
      </c>
      <c r="BY328" s="128">
        <f>IFERROR(AN328*$W328,)</f>
        <v/>
      </c>
      <c r="BZ328" s="128">
        <f>IFERROR(AO328*$W328,)</f>
        <v/>
      </c>
      <c r="CA328" s="128">
        <f>IFERROR(AP328*$W328,)</f>
        <v/>
      </c>
      <c r="CB328" s="128">
        <f>IFERROR(AQ328*$W328,)</f>
        <v/>
      </c>
      <c r="CC328" s="128">
        <f>IFERROR(AR328*$W328,)</f>
        <v/>
      </c>
      <c r="CD328" s="128">
        <f>IFERROR(AS328*$W328,)</f>
        <v/>
      </c>
      <c r="CE328" s="128">
        <f>IFERROR(AT328*$W328,)</f>
        <v/>
      </c>
      <c r="CF328" s="128">
        <f>IFERROR(AU328*$W328,)</f>
        <v/>
      </c>
      <c r="CG328" s="128">
        <f>IFERROR(AV328*$W328,)</f>
        <v/>
      </c>
      <c r="CH328" s="128">
        <f>IFERROR(AW328*$W328,)</f>
        <v/>
      </c>
      <c r="CI328" s="128">
        <f>IFERROR(AX328*$W328,)</f>
        <v/>
      </c>
      <c r="CJ328" s="128">
        <f>IFERROR(AY328*$W328,)</f>
        <v/>
      </c>
      <c r="CK328" s="128">
        <f>IFERROR(AZ328*$W328,)</f>
        <v/>
      </c>
      <c r="CL328" s="129">
        <f>IFERROR(if($Y328=0,BA328*($W328/1.2),BA328*$Y328),"")</f>
        <v/>
      </c>
      <c r="CM328" s="129">
        <f>IFERROR(if($Y328=0,BB328*($W328/1.2),BB328*$Y328),"")</f>
        <v/>
      </c>
      <c r="CN328" s="129">
        <f>IFERROR(if($Y328=0,BC328*($W328/1.2),BC328*$Y328),"")</f>
        <v/>
      </c>
      <c r="CO328" s="130">
        <f>IFERROR(if($AA328=0,($W328/1.35)*BD328,BD328*$AA328),)</f>
        <v/>
      </c>
      <c r="CP328" s="130">
        <f>IFERROR(if($AA328=0,($W328/1.35)*BE328,BE328*$AA328),)</f>
        <v/>
      </c>
      <c r="CQ328" s="130">
        <f>IFERROR(if($AA328=0,($W328/1.35)*BF328,BF328*$AA328),)</f>
        <v/>
      </c>
      <c r="CR328" s="128">
        <f>IFERROR(if($AC328=0,($W328/0.74)*BG328,
BG328*$AC328),)</f>
        <v/>
      </c>
      <c r="CS328" s="128">
        <f>IFERROR(if($AC328=0,($W328/0.74)*BH328,
BH328*$AC328),)</f>
        <v/>
      </c>
      <c r="CT328" s="128">
        <f>IFERROR(if($AC328=0,($W328/0.74)*BI328,
BI328*$AC328),)</f>
        <v/>
      </c>
      <c r="CU328" s="128">
        <f>IFERROR(AI328*$V328,)</f>
        <v/>
      </c>
      <c r="CV328" s="128">
        <f>IFERROR(AJ328*$V328,)</f>
        <v/>
      </c>
      <c r="CW328" s="128">
        <f>IFERROR(AK328*$V328,)</f>
        <v/>
      </c>
      <c r="CX328" s="128">
        <f>IFERROR(AL328*$V328,)</f>
        <v/>
      </c>
      <c r="CY328" s="128">
        <f>IFERROR(AM328*$V328,)</f>
        <v/>
      </c>
      <c r="CZ328" s="128">
        <f>IFERROR(AN328*$V328,)</f>
        <v/>
      </c>
      <c r="DA328" s="128">
        <f>IFERROR(AO328*$V328,)</f>
        <v/>
      </c>
      <c r="DB328" s="128">
        <f>IFERROR(AP328*$V328,)</f>
        <v/>
      </c>
      <c r="DC328" s="128">
        <f>IFERROR(AQ328*$V328,)</f>
        <v/>
      </c>
      <c r="DD328" s="128">
        <f>IFERROR(AR328*$V328,)</f>
        <v/>
      </c>
      <c r="DE328" s="128">
        <f>IFERROR(AS328*$V328,)</f>
        <v/>
      </c>
      <c r="DF328" s="128">
        <f>IFERROR(AT328*$V328,)</f>
        <v/>
      </c>
      <c r="DG328" s="128">
        <f>IFERROR(AU328*$V328,)</f>
        <v/>
      </c>
      <c r="DH328" s="128">
        <f>IFERROR(AV328*$V328,)</f>
        <v/>
      </c>
      <c r="DI328" s="128">
        <f>IFERROR(AW328*$V328,)</f>
        <v/>
      </c>
      <c r="DJ328" s="128">
        <f>IFERROR(AX328*$V328,)</f>
        <v/>
      </c>
      <c r="DK328" s="128">
        <f>IFERROR(AY328*$V328,)</f>
        <v/>
      </c>
      <c r="DL328" s="128">
        <f>IFERROR(AZ328*$V328,)</f>
        <v/>
      </c>
      <c r="DM328" s="129">
        <f>IFERROR(if($X328=0,($V328/1.2)*BA328,
BA328*$X328),)</f>
        <v/>
      </c>
      <c r="DN328" s="129">
        <f>IFERROR(if($X328=0,($V328/1.2)*BB328,
BB328*$X328),)</f>
        <v/>
      </c>
      <c r="DO328" s="129">
        <f>IFERROR(if($X328=0,($V328/1.2)*BC328,
BC328*$X328),)</f>
        <v/>
      </c>
      <c r="DP328" s="130">
        <f>IFERROR(if($Z328=0,($V328/1.35)*BD328,
BD328*$Z328),)</f>
        <v/>
      </c>
      <c r="DQ328" s="130">
        <f>IFERROR(if($Z328=0,($V328/1.35)*BE328,
BE328*$Z328),)</f>
        <v/>
      </c>
      <c r="DR328" s="130">
        <f>IFERROR(if($Z328=0,($V328/1.35)*BF328,
BF328*$Z328),)</f>
        <v/>
      </c>
      <c r="DS328" s="128">
        <f>IFERROR(IF($AB328=0,($V328/0.74)*BG328,
BG328*$AB328),)</f>
        <v/>
      </c>
      <c r="DT328" s="128">
        <f>IFERROR(IF($AB328=0,($V328/0.74)*BH328,
BH328*$AB328),)</f>
        <v/>
      </c>
      <c r="DU328" s="128">
        <f>IFERROR(IF($AB328=0,($V328/0.74)*BI328,
BI328*$AB328),)</f>
        <v/>
      </c>
    </row>
    <row r="329" ht="131.25" customHeight="1" s="162">
      <c r="A329" s="115" t="n"/>
      <c r="B329" s="115" t="n"/>
      <c r="C329" s="115" t="n"/>
      <c r="D329" s="115" t="n"/>
      <c r="E329" s="115" t="n"/>
      <c r="F329" s="115" t="n"/>
      <c r="G329" s="115" t="n"/>
      <c r="H329" s="115" t="n"/>
      <c r="I329" s="115" t="n"/>
      <c r="J329" s="115" t="n"/>
      <c r="K329" s="115" t="n"/>
      <c r="L329" s="115" t="n"/>
      <c r="M329" s="115" t="n"/>
      <c r="N329" s="115" t="n"/>
      <c r="O329" s="115" t="n"/>
      <c r="P329" s="115" t="n"/>
      <c r="Q329" s="115" t="n"/>
      <c r="R329" s="115" t="n"/>
      <c r="S329" s="115" t="n"/>
      <c r="T329" s="115" t="n"/>
      <c r="U329" s="116" t="n"/>
      <c r="V329" s="116" t="n"/>
      <c r="W329" s="117" t="n"/>
      <c r="X329" s="118" t="n"/>
      <c r="Y329" s="119" t="n"/>
      <c r="Z329" s="120" t="n"/>
      <c r="AA329" s="121" t="n"/>
      <c r="AB329" s="122" t="n"/>
      <c r="AC329" s="117" t="n"/>
      <c r="AD329" s="123">
        <f>IF(SUM($AE329:$AH329)=0,"",SUM($AE329:$AH329))</f>
        <v/>
      </c>
      <c r="AE329" s="123">
        <f>iferror(IF(SUM($AI329:$AZ329)=0,"",SUM($AI329:$AZ329)),"")</f>
        <v/>
      </c>
      <c r="AF329" s="123">
        <f>iferror(IF(SUM($BA329:$BC329)=0,"",SUM($BA329:$BC329)),"")</f>
        <v/>
      </c>
      <c r="AG329" s="123">
        <f>iferror(IF(SUM($BD329:$BF329)=0,"",SUM($BD329:$BF329)),"")</f>
        <v/>
      </c>
      <c r="AH329" s="124">
        <f>iferror(IF(SUM($BG329:$BI329)=0,"",SUM($BG329:$BI329)),"")</f>
        <v/>
      </c>
      <c r="AI329" s="131" t="n"/>
      <c r="AJ329" s="132" t="n"/>
      <c r="AK329" s="132" t="n"/>
      <c r="AL329" s="132" t="n"/>
      <c r="AM329" s="132" t="n"/>
      <c r="AN329" s="132" t="n"/>
      <c r="AO329" s="132" t="n"/>
      <c r="AP329" s="132" t="n"/>
      <c r="AQ329" s="132" t="n"/>
      <c r="AR329" s="132" t="n"/>
      <c r="AS329" s="132" t="n"/>
      <c r="AT329" s="132" t="n"/>
      <c r="AU329" s="132" t="n"/>
      <c r="AV329" s="132" t="n"/>
      <c r="AW329" s="132" t="n"/>
      <c r="AX329" s="132" t="n"/>
      <c r="AY329" s="132" t="n"/>
      <c r="AZ329" s="133" t="n"/>
      <c r="BA329" s="131" t="n"/>
      <c r="BB329" s="132" t="n"/>
      <c r="BC329" s="133" t="n"/>
      <c r="BD329" s="131" t="n"/>
      <c r="BE329" s="132" t="n"/>
      <c r="BF329" s="133" t="n"/>
      <c r="BG329" s="131" t="n"/>
      <c r="BH329" s="132" t="n"/>
      <c r="BI329" s="132" t="n"/>
      <c r="BJ329" s="128">
        <f>iferror(SUM($BK329,($BL329*1.2),($BM329*1.35),($BN329*0.74)),)</f>
        <v/>
      </c>
      <c r="BK329" s="128">
        <f>IFERROR(SUM($BT329:$CK329),)</f>
        <v/>
      </c>
      <c r="BL329" s="129">
        <f>IFERROR(SUM($CL329:$CN329),)</f>
        <v/>
      </c>
      <c r="BM329" s="130">
        <f>IFERROR(SUM($CO329:$CQ329),)</f>
        <v/>
      </c>
      <c r="BN329" s="128">
        <f>IFERROR(SUM($CR329:$CT329),)</f>
        <v/>
      </c>
      <c r="BO329" s="128">
        <f>iferror(SUM($BP329,($BQ329*1.2),($BR329*1.35),($BS329*0.74)),)</f>
        <v/>
      </c>
      <c r="BP329" s="128">
        <f>IFERROR(SUM($CU329:$DL329),)</f>
        <v/>
      </c>
      <c r="BQ329" s="128">
        <f>IFERROR(SUM($DM329:$DO329),)</f>
        <v/>
      </c>
      <c r="BR329" s="128">
        <f>IFERROR(SUM($DP329:$DR329),)</f>
        <v/>
      </c>
      <c r="BS329" s="128">
        <f>IFERROR(SUM($DS329:$DU329),)</f>
        <v/>
      </c>
      <c r="BT329" s="128">
        <f>IFERROR(AI329*$W329,)</f>
        <v/>
      </c>
      <c r="BU329" s="128">
        <f>IFERROR(AJ329*$W329,)</f>
        <v/>
      </c>
      <c r="BV329" s="128">
        <f>IFERROR(AK329*$W329,)</f>
        <v/>
      </c>
      <c r="BW329" s="128">
        <f>IFERROR(AL329*$W329,)</f>
        <v/>
      </c>
      <c r="BX329" s="128">
        <f>IFERROR(AM329*$W329,)</f>
        <v/>
      </c>
      <c r="BY329" s="128">
        <f>IFERROR(AN329*$W329,)</f>
        <v/>
      </c>
      <c r="BZ329" s="128">
        <f>IFERROR(AO329*$W329,)</f>
        <v/>
      </c>
      <c r="CA329" s="128">
        <f>IFERROR(AP329*$W329,)</f>
        <v/>
      </c>
      <c r="CB329" s="128">
        <f>IFERROR(AQ329*$W329,)</f>
        <v/>
      </c>
      <c r="CC329" s="128">
        <f>IFERROR(AR329*$W329,)</f>
        <v/>
      </c>
      <c r="CD329" s="128">
        <f>IFERROR(AS329*$W329,)</f>
        <v/>
      </c>
      <c r="CE329" s="128">
        <f>IFERROR(AT329*$W329,)</f>
        <v/>
      </c>
      <c r="CF329" s="128">
        <f>IFERROR(AU329*$W329,)</f>
        <v/>
      </c>
      <c r="CG329" s="128">
        <f>IFERROR(AV329*$W329,)</f>
        <v/>
      </c>
      <c r="CH329" s="128">
        <f>IFERROR(AW329*$W329,)</f>
        <v/>
      </c>
      <c r="CI329" s="128">
        <f>IFERROR(AX329*$W329,)</f>
        <v/>
      </c>
      <c r="CJ329" s="128">
        <f>IFERROR(AY329*$W329,)</f>
        <v/>
      </c>
      <c r="CK329" s="128">
        <f>IFERROR(AZ329*$W329,)</f>
        <v/>
      </c>
      <c r="CL329" s="129">
        <f>IFERROR(if($Y329=0,BA329*($W329/1.2),BA329*$Y329),"")</f>
        <v/>
      </c>
      <c r="CM329" s="129">
        <f>IFERROR(if($Y329=0,BB329*($W329/1.2),BB329*$Y329),"")</f>
        <v/>
      </c>
      <c r="CN329" s="129">
        <f>IFERROR(if($Y329=0,BC329*($W329/1.2),BC329*$Y329),"")</f>
        <v/>
      </c>
      <c r="CO329" s="130">
        <f>IFERROR(if($AA329=0,($W329/1.35)*BD329,BD329*$AA329),)</f>
        <v/>
      </c>
      <c r="CP329" s="130">
        <f>IFERROR(if($AA329=0,($W329/1.35)*BE329,BE329*$AA329),)</f>
        <v/>
      </c>
      <c r="CQ329" s="130">
        <f>IFERROR(if($AA329=0,($W329/1.35)*BF329,BF329*$AA329),)</f>
        <v/>
      </c>
      <c r="CR329" s="128">
        <f>IFERROR(if($AC329=0,($W329/0.74)*BG329,
BG329*$AC329),)</f>
        <v/>
      </c>
      <c r="CS329" s="128">
        <f>IFERROR(if($AC329=0,($W329/0.74)*BH329,
BH329*$AC329),)</f>
        <v/>
      </c>
      <c r="CT329" s="128">
        <f>IFERROR(if($AC329=0,($W329/0.74)*BI329,
BI329*$AC329),)</f>
        <v/>
      </c>
      <c r="CU329" s="128">
        <f>IFERROR(AI329*$V329,)</f>
        <v/>
      </c>
      <c r="CV329" s="128">
        <f>IFERROR(AJ329*$V329,)</f>
        <v/>
      </c>
      <c r="CW329" s="128">
        <f>IFERROR(AK329*$V329,)</f>
        <v/>
      </c>
      <c r="CX329" s="128">
        <f>IFERROR(AL329*$V329,)</f>
        <v/>
      </c>
      <c r="CY329" s="128">
        <f>IFERROR(AM329*$V329,)</f>
        <v/>
      </c>
      <c r="CZ329" s="128">
        <f>IFERROR(AN329*$V329,)</f>
        <v/>
      </c>
      <c r="DA329" s="128">
        <f>IFERROR(AO329*$V329,)</f>
        <v/>
      </c>
      <c r="DB329" s="128">
        <f>IFERROR(AP329*$V329,)</f>
        <v/>
      </c>
      <c r="DC329" s="128">
        <f>IFERROR(AQ329*$V329,)</f>
        <v/>
      </c>
      <c r="DD329" s="128">
        <f>IFERROR(AR329*$V329,)</f>
        <v/>
      </c>
      <c r="DE329" s="128">
        <f>IFERROR(AS329*$V329,)</f>
        <v/>
      </c>
      <c r="DF329" s="128">
        <f>IFERROR(AT329*$V329,)</f>
        <v/>
      </c>
      <c r="DG329" s="128">
        <f>IFERROR(AU329*$V329,)</f>
        <v/>
      </c>
      <c r="DH329" s="128">
        <f>IFERROR(AV329*$V329,)</f>
        <v/>
      </c>
      <c r="DI329" s="128">
        <f>IFERROR(AW329*$V329,)</f>
        <v/>
      </c>
      <c r="DJ329" s="128">
        <f>IFERROR(AX329*$V329,)</f>
        <v/>
      </c>
      <c r="DK329" s="128">
        <f>IFERROR(AY329*$V329,)</f>
        <v/>
      </c>
      <c r="DL329" s="128">
        <f>IFERROR(AZ329*$V329,)</f>
        <v/>
      </c>
      <c r="DM329" s="129">
        <f>IFERROR(if($X329=0,($V329/1.2)*BA329,
BA329*$X329),)</f>
        <v/>
      </c>
      <c r="DN329" s="129">
        <f>IFERROR(if($X329=0,($V329/1.2)*BB329,
BB329*$X329),)</f>
        <v/>
      </c>
      <c r="DO329" s="129">
        <f>IFERROR(if($X329=0,($V329/1.2)*BC329,
BC329*$X329),)</f>
        <v/>
      </c>
      <c r="DP329" s="130">
        <f>IFERROR(if($Z329=0,($V329/1.35)*BD329,
BD329*$Z329),)</f>
        <v/>
      </c>
      <c r="DQ329" s="130">
        <f>IFERROR(if($Z329=0,($V329/1.35)*BE329,
BE329*$Z329),)</f>
        <v/>
      </c>
      <c r="DR329" s="130">
        <f>IFERROR(if($Z329=0,($V329/1.35)*BF329,
BF329*$Z329),)</f>
        <v/>
      </c>
      <c r="DS329" s="128">
        <f>IFERROR(IF($AB329=0,($V329/0.74)*BG329,
BG329*$AB329),)</f>
        <v/>
      </c>
      <c r="DT329" s="128">
        <f>IFERROR(IF($AB329=0,($V329/0.74)*BH329,
BH329*$AB329),)</f>
        <v/>
      </c>
      <c r="DU329" s="128">
        <f>IFERROR(IF($AB329=0,($V329/0.74)*BI329,
BI329*$AB329),)</f>
        <v/>
      </c>
    </row>
    <row r="330" ht="131.25" customHeight="1" s="162">
      <c r="A330" s="115" t="n"/>
      <c r="B330" s="115" t="n"/>
      <c r="C330" s="115" t="n"/>
      <c r="D330" s="115" t="n"/>
      <c r="E330" s="115" t="n"/>
      <c r="F330" s="115" t="n"/>
      <c r="G330" s="115" t="n"/>
      <c r="H330" s="115" t="n"/>
      <c r="I330" s="115" t="n"/>
      <c r="J330" s="115" t="n"/>
      <c r="K330" s="115" t="n"/>
      <c r="L330" s="115" t="n"/>
      <c r="M330" s="115" t="n"/>
      <c r="N330" s="115" t="n"/>
      <c r="O330" s="115" t="n"/>
      <c r="P330" s="115" t="n"/>
      <c r="Q330" s="115" t="n"/>
      <c r="R330" s="115" t="n"/>
      <c r="S330" s="115" t="n"/>
      <c r="T330" s="115" t="n"/>
      <c r="U330" s="116" t="n"/>
      <c r="V330" s="116" t="n"/>
      <c r="W330" s="117" t="n"/>
      <c r="X330" s="118" t="n"/>
      <c r="Y330" s="119" t="n"/>
      <c r="Z330" s="120" t="n"/>
      <c r="AA330" s="121" t="n"/>
      <c r="AB330" s="122" t="n"/>
      <c r="AC330" s="117" t="n"/>
      <c r="AD330" s="123">
        <f>IF(SUM($AE330:$AH330)=0,"",SUM($AE330:$AH330))</f>
        <v/>
      </c>
      <c r="AE330" s="123">
        <f>iferror(IF(SUM($AI330:$AZ330)=0,"",SUM($AI330:$AZ330)),"")</f>
        <v/>
      </c>
      <c r="AF330" s="123">
        <f>iferror(IF(SUM($BA330:$BC330)=0,"",SUM($BA330:$BC330)),"")</f>
        <v/>
      </c>
      <c r="AG330" s="123">
        <f>iferror(IF(SUM($BD330:$BF330)=0,"",SUM($BD330:$BF330)),"")</f>
        <v/>
      </c>
      <c r="AH330" s="124">
        <f>iferror(IF(SUM($BG330:$BI330)=0,"",SUM($BG330:$BI330)),"")</f>
        <v/>
      </c>
      <c r="AI330" s="131" t="n"/>
      <c r="AJ330" s="132" t="n"/>
      <c r="AK330" s="132" t="n"/>
      <c r="AL330" s="132" t="n"/>
      <c r="AM330" s="132" t="n"/>
      <c r="AN330" s="132" t="n"/>
      <c r="AO330" s="132" t="n"/>
      <c r="AP330" s="132" t="n"/>
      <c r="AQ330" s="132" t="n"/>
      <c r="AR330" s="132" t="n"/>
      <c r="AS330" s="132" t="n"/>
      <c r="AT330" s="132" t="n"/>
      <c r="AU330" s="132" t="n"/>
      <c r="AV330" s="132" t="n"/>
      <c r="AW330" s="132" t="n"/>
      <c r="AX330" s="132" t="n"/>
      <c r="AY330" s="132" t="n"/>
      <c r="AZ330" s="133" t="n"/>
      <c r="BA330" s="131" t="n"/>
      <c r="BB330" s="132" t="n"/>
      <c r="BC330" s="133" t="n"/>
      <c r="BD330" s="131" t="n"/>
      <c r="BE330" s="132" t="n"/>
      <c r="BF330" s="133" t="n"/>
      <c r="BG330" s="131" t="n"/>
      <c r="BH330" s="132" t="n"/>
      <c r="BI330" s="132" t="n"/>
      <c r="BJ330" s="128">
        <f>iferror(SUM($BK330,($BL330*1.2),($BM330*1.35),($BN330*0.74)),)</f>
        <v/>
      </c>
      <c r="BK330" s="128">
        <f>IFERROR(SUM($BT330:$CK330),)</f>
        <v/>
      </c>
      <c r="BL330" s="129">
        <f>IFERROR(SUM($CL330:$CN330),)</f>
        <v/>
      </c>
      <c r="BM330" s="130">
        <f>IFERROR(SUM($CO330:$CQ330),)</f>
        <v/>
      </c>
      <c r="BN330" s="128">
        <f>IFERROR(SUM($CR330:$CT330),)</f>
        <v/>
      </c>
      <c r="BO330" s="128">
        <f>iferror(SUM($BP330,($BQ330*1.2),($BR330*1.35),($BS330*0.74)),)</f>
        <v/>
      </c>
      <c r="BP330" s="128">
        <f>IFERROR(SUM($CU330:$DL330),)</f>
        <v/>
      </c>
      <c r="BQ330" s="128">
        <f>IFERROR(SUM($DM330:$DO330),)</f>
        <v/>
      </c>
      <c r="BR330" s="128">
        <f>IFERROR(SUM($DP330:$DR330),)</f>
        <v/>
      </c>
      <c r="BS330" s="128">
        <f>IFERROR(SUM($DS330:$DU330),)</f>
        <v/>
      </c>
      <c r="BT330" s="128">
        <f>IFERROR(AI330*$W330,)</f>
        <v/>
      </c>
      <c r="BU330" s="128">
        <f>IFERROR(AJ330*$W330,)</f>
        <v/>
      </c>
      <c r="BV330" s="128">
        <f>IFERROR(AK330*$W330,)</f>
        <v/>
      </c>
      <c r="BW330" s="128">
        <f>IFERROR(AL330*$W330,)</f>
        <v/>
      </c>
      <c r="BX330" s="128">
        <f>IFERROR(AM330*$W330,)</f>
        <v/>
      </c>
      <c r="BY330" s="128">
        <f>IFERROR(AN330*$W330,)</f>
        <v/>
      </c>
      <c r="BZ330" s="128">
        <f>IFERROR(AO330*$W330,)</f>
        <v/>
      </c>
      <c r="CA330" s="128">
        <f>IFERROR(AP330*$W330,)</f>
        <v/>
      </c>
      <c r="CB330" s="128">
        <f>IFERROR(AQ330*$W330,)</f>
        <v/>
      </c>
      <c r="CC330" s="128">
        <f>IFERROR(AR330*$W330,)</f>
        <v/>
      </c>
      <c r="CD330" s="128">
        <f>IFERROR(AS330*$W330,)</f>
        <v/>
      </c>
      <c r="CE330" s="128">
        <f>IFERROR(AT330*$W330,)</f>
        <v/>
      </c>
      <c r="CF330" s="128">
        <f>IFERROR(AU330*$W330,)</f>
        <v/>
      </c>
      <c r="CG330" s="128">
        <f>IFERROR(AV330*$W330,)</f>
        <v/>
      </c>
      <c r="CH330" s="128">
        <f>IFERROR(AW330*$W330,)</f>
        <v/>
      </c>
      <c r="CI330" s="128">
        <f>IFERROR(AX330*$W330,)</f>
        <v/>
      </c>
      <c r="CJ330" s="128">
        <f>IFERROR(AY330*$W330,)</f>
        <v/>
      </c>
      <c r="CK330" s="128">
        <f>IFERROR(AZ330*$W330,)</f>
        <v/>
      </c>
      <c r="CL330" s="129">
        <f>IFERROR(if($Y330=0,BA330*($W330/1.2),BA330*$Y330),"")</f>
        <v/>
      </c>
      <c r="CM330" s="129">
        <f>IFERROR(if($Y330=0,BB330*($W330/1.2),BB330*$Y330),"")</f>
        <v/>
      </c>
      <c r="CN330" s="129">
        <f>IFERROR(if($Y330=0,BC330*($W330/1.2),BC330*$Y330),"")</f>
        <v/>
      </c>
      <c r="CO330" s="130">
        <f>IFERROR(if($AA330=0,($W330/1.35)*BD330,BD330*$AA330),)</f>
        <v/>
      </c>
      <c r="CP330" s="130">
        <f>IFERROR(if($AA330=0,($W330/1.35)*BE330,BE330*$AA330),)</f>
        <v/>
      </c>
      <c r="CQ330" s="130">
        <f>IFERROR(if($AA330=0,($W330/1.35)*BF330,BF330*$AA330),)</f>
        <v/>
      </c>
      <c r="CR330" s="128">
        <f>IFERROR(if($AC330=0,($W330/0.74)*BG330,
BG330*$AC330),)</f>
        <v/>
      </c>
      <c r="CS330" s="128">
        <f>IFERROR(if($AC330=0,($W330/0.74)*BH330,
BH330*$AC330),)</f>
        <v/>
      </c>
      <c r="CT330" s="128">
        <f>IFERROR(if($AC330=0,($W330/0.74)*BI330,
BI330*$AC330),)</f>
        <v/>
      </c>
      <c r="CU330" s="128">
        <f>IFERROR(AI330*$V330,)</f>
        <v/>
      </c>
      <c r="CV330" s="128">
        <f>IFERROR(AJ330*$V330,)</f>
        <v/>
      </c>
      <c r="CW330" s="128">
        <f>IFERROR(AK330*$V330,)</f>
        <v/>
      </c>
      <c r="CX330" s="128">
        <f>IFERROR(AL330*$V330,)</f>
        <v/>
      </c>
      <c r="CY330" s="128">
        <f>IFERROR(AM330*$V330,)</f>
        <v/>
      </c>
      <c r="CZ330" s="128">
        <f>IFERROR(AN330*$V330,)</f>
        <v/>
      </c>
      <c r="DA330" s="128">
        <f>IFERROR(AO330*$V330,)</f>
        <v/>
      </c>
      <c r="DB330" s="128">
        <f>IFERROR(AP330*$V330,)</f>
        <v/>
      </c>
      <c r="DC330" s="128">
        <f>IFERROR(AQ330*$V330,)</f>
        <v/>
      </c>
      <c r="DD330" s="128">
        <f>IFERROR(AR330*$V330,)</f>
        <v/>
      </c>
      <c r="DE330" s="128">
        <f>IFERROR(AS330*$V330,)</f>
        <v/>
      </c>
      <c r="DF330" s="128">
        <f>IFERROR(AT330*$V330,)</f>
        <v/>
      </c>
      <c r="DG330" s="128">
        <f>IFERROR(AU330*$V330,)</f>
        <v/>
      </c>
      <c r="DH330" s="128">
        <f>IFERROR(AV330*$V330,)</f>
        <v/>
      </c>
      <c r="DI330" s="128">
        <f>IFERROR(AW330*$V330,)</f>
        <v/>
      </c>
      <c r="DJ330" s="128">
        <f>IFERROR(AX330*$V330,)</f>
        <v/>
      </c>
      <c r="DK330" s="128">
        <f>IFERROR(AY330*$V330,)</f>
        <v/>
      </c>
      <c r="DL330" s="128">
        <f>IFERROR(AZ330*$V330,)</f>
        <v/>
      </c>
      <c r="DM330" s="129">
        <f>IFERROR(if($X330=0,($V330/1.2)*BA330,
BA330*$X330),)</f>
        <v/>
      </c>
      <c r="DN330" s="129">
        <f>IFERROR(if($X330=0,($V330/1.2)*BB330,
BB330*$X330),)</f>
        <v/>
      </c>
      <c r="DO330" s="129">
        <f>IFERROR(if($X330=0,($V330/1.2)*BC330,
BC330*$X330),)</f>
        <v/>
      </c>
      <c r="DP330" s="130">
        <f>IFERROR(if($Z330=0,($V330/1.35)*BD330,
BD330*$Z330),)</f>
        <v/>
      </c>
      <c r="DQ330" s="130">
        <f>IFERROR(if($Z330=0,($V330/1.35)*BE330,
BE330*$Z330),)</f>
        <v/>
      </c>
      <c r="DR330" s="130">
        <f>IFERROR(if($Z330=0,($V330/1.35)*BF330,
BF330*$Z330),)</f>
        <v/>
      </c>
      <c r="DS330" s="128">
        <f>IFERROR(IF($AB330=0,($V330/0.74)*BG330,
BG330*$AB330),)</f>
        <v/>
      </c>
      <c r="DT330" s="128">
        <f>IFERROR(IF($AB330=0,($V330/0.74)*BH330,
BH330*$AB330),)</f>
        <v/>
      </c>
      <c r="DU330" s="128">
        <f>IFERROR(IF($AB330=0,($V330/0.74)*BI330,
BI330*$AB330),)</f>
        <v/>
      </c>
    </row>
    <row r="331" ht="131.25" customHeight="1" s="162">
      <c r="A331" s="115" t="n"/>
      <c r="B331" s="115" t="n"/>
      <c r="C331" s="115" t="n"/>
      <c r="D331" s="115" t="n"/>
      <c r="E331" s="115" t="n"/>
      <c r="F331" s="115" t="n"/>
      <c r="G331" s="115" t="n"/>
      <c r="H331" s="115" t="n"/>
      <c r="I331" s="115" t="n"/>
      <c r="J331" s="115" t="n"/>
      <c r="K331" s="115" t="n"/>
      <c r="L331" s="115" t="n"/>
      <c r="M331" s="115" t="n"/>
      <c r="N331" s="115" t="n"/>
      <c r="O331" s="115" t="n"/>
      <c r="P331" s="115" t="n"/>
      <c r="Q331" s="115" t="n"/>
      <c r="R331" s="115" t="n"/>
      <c r="S331" s="115" t="n"/>
      <c r="T331" s="115" t="n"/>
      <c r="U331" s="116" t="n"/>
      <c r="V331" s="116" t="n"/>
      <c r="W331" s="117" t="n"/>
      <c r="X331" s="118" t="n"/>
      <c r="Y331" s="119" t="n"/>
      <c r="Z331" s="120" t="n"/>
      <c r="AA331" s="121" t="n"/>
      <c r="AB331" s="122" t="n"/>
      <c r="AC331" s="117" t="n"/>
      <c r="AD331" s="123">
        <f>IF(SUM($AE331:$AH331)=0,"",SUM($AE331:$AH331))</f>
        <v/>
      </c>
      <c r="AE331" s="123">
        <f>iferror(IF(SUM($AI331:$AZ331)=0,"",SUM($AI331:$AZ331)),"")</f>
        <v/>
      </c>
      <c r="AF331" s="123">
        <f>iferror(IF(SUM($BA331:$BC331)=0,"",SUM($BA331:$BC331)),"")</f>
        <v/>
      </c>
      <c r="AG331" s="123">
        <f>iferror(IF(SUM($BD331:$BF331)=0,"",SUM($BD331:$BF331)),"")</f>
        <v/>
      </c>
      <c r="AH331" s="124">
        <f>iferror(IF(SUM($BG331:$BI331)=0,"",SUM($BG331:$BI331)),"")</f>
        <v/>
      </c>
      <c r="AI331" s="131" t="n"/>
      <c r="AJ331" s="132" t="n"/>
      <c r="AK331" s="132" t="n"/>
      <c r="AL331" s="132" t="n"/>
      <c r="AM331" s="132" t="n"/>
      <c r="AN331" s="132" t="n"/>
      <c r="AO331" s="132" t="n"/>
      <c r="AP331" s="132" t="n"/>
      <c r="AQ331" s="132" t="n"/>
      <c r="AR331" s="132" t="n"/>
      <c r="AS331" s="132" t="n"/>
      <c r="AT331" s="132" t="n"/>
      <c r="AU331" s="132" t="n"/>
      <c r="AV331" s="132" t="n"/>
      <c r="AW331" s="132" t="n"/>
      <c r="AX331" s="132" t="n"/>
      <c r="AY331" s="132" t="n"/>
      <c r="AZ331" s="133" t="n"/>
      <c r="BA331" s="131" t="n"/>
      <c r="BB331" s="132" t="n"/>
      <c r="BC331" s="133" t="n"/>
      <c r="BD331" s="131" t="n"/>
      <c r="BE331" s="132" t="n"/>
      <c r="BF331" s="133" t="n"/>
      <c r="BG331" s="131" t="n"/>
      <c r="BH331" s="132" t="n"/>
      <c r="BI331" s="132" t="n"/>
      <c r="BJ331" s="128">
        <f>iferror(SUM($BK331,($BL331*1.2),($BM331*1.35),($BN331*0.74)),)</f>
        <v/>
      </c>
      <c r="BK331" s="128">
        <f>IFERROR(SUM($BT331:$CK331),)</f>
        <v/>
      </c>
      <c r="BL331" s="129">
        <f>IFERROR(SUM($CL331:$CN331),)</f>
        <v/>
      </c>
      <c r="BM331" s="130">
        <f>IFERROR(SUM($CO331:$CQ331),)</f>
        <v/>
      </c>
      <c r="BN331" s="128">
        <f>IFERROR(SUM($CR331:$CT331),)</f>
        <v/>
      </c>
      <c r="BO331" s="128">
        <f>iferror(SUM($BP331,($BQ331*1.2),($BR331*1.35),($BS331*0.74)),)</f>
        <v/>
      </c>
      <c r="BP331" s="128">
        <f>IFERROR(SUM($CU331:$DL331),)</f>
        <v/>
      </c>
      <c r="BQ331" s="128">
        <f>IFERROR(SUM($DM331:$DO331),)</f>
        <v/>
      </c>
      <c r="BR331" s="128">
        <f>IFERROR(SUM($DP331:$DR331),)</f>
        <v/>
      </c>
      <c r="BS331" s="128">
        <f>IFERROR(SUM($DS331:$DU331),)</f>
        <v/>
      </c>
      <c r="BT331" s="128">
        <f>IFERROR(AI331*$W331,)</f>
        <v/>
      </c>
      <c r="BU331" s="128">
        <f>IFERROR(AJ331*$W331,)</f>
        <v/>
      </c>
      <c r="BV331" s="128">
        <f>IFERROR(AK331*$W331,)</f>
        <v/>
      </c>
      <c r="BW331" s="128">
        <f>IFERROR(AL331*$W331,)</f>
        <v/>
      </c>
      <c r="BX331" s="128">
        <f>IFERROR(AM331*$W331,)</f>
        <v/>
      </c>
      <c r="BY331" s="128">
        <f>IFERROR(AN331*$W331,)</f>
        <v/>
      </c>
      <c r="BZ331" s="128">
        <f>IFERROR(AO331*$W331,)</f>
        <v/>
      </c>
      <c r="CA331" s="128">
        <f>IFERROR(AP331*$W331,)</f>
        <v/>
      </c>
      <c r="CB331" s="128">
        <f>IFERROR(AQ331*$W331,)</f>
        <v/>
      </c>
      <c r="CC331" s="128">
        <f>IFERROR(AR331*$W331,)</f>
        <v/>
      </c>
      <c r="CD331" s="128">
        <f>IFERROR(AS331*$W331,)</f>
        <v/>
      </c>
      <c r="CE331" s="128">
        <f>IFERROR(AT331*$W331,)</f>
        <v/>
      </c>
      <c r="CF331" s="128">
        <f>IFERROR(AU331*$W331,)</f>
        <v/>
      </c>
      <c r="CG331" s="128">
        <f>IFERROR(AV331*$W331,)</f>
        <v/>
      </c>
      <c r="CH331" s="128">
        <f>IFERROR(AW331*$W331,)</f>
        <v/>
      </c>
      <c r="CI331" s="128">
        <f>IFERROR(AX331*$W331,)</f>
        <v/>
      </c>
      <c r="CJ331" s="128">
        <f>IFERROR(AY331*$W331,)</f>
        <v/>
      </c>
      <c r="CK331" s="128">
        <f>IFERROR(AZ331*$W331,)</f>
        <v/>
      </c>
      <c r="CL331" s="129">
        <f>IFERROR(if($Y331=0,BA331*($W331/1.2),BA331*$Y331),"")</f>
        <v/>
      </c>
      <c r="CM331" s="129">
        <f>IFERROR(if($Y331=0,BB331*($W331/1.2),BB331*$Y331),"")</f>
        <v/>
      </c>
      <c r="CN331" s="129">
        <f>IFERROR(if($Y331=0,BC331*($W331/1.2),BC331*$Y331),"")</f>
        <v/>
      </c>
      <c r="CO331" s="130">
        <f>IFERROR(if($AA331=0,($W331/1.35)*BD331,BD331*$AA331),)</f>
        <v/>
      </c>
      <c r="CP331" s="130">
        <f>IFERROR(if($AA331=0,($W331/1.35)*BE331,BE331*$AA331),)</f>
        <v/>
      </c>
      <c r="CQ331" s="130">
        <f>IFERROR(if($AA331=0,($W331/1.35)*BF331,BF331*$AA331),)</f>
        <v/>
      </c>
      <c r="CR331" s="128">
        <f>IFERROR(if($AC331=0,($W331/0.74)*BG331,
BG331*$AC331),)</f>
        <v/>
      </c>
      <c r="CS331" s="128">
        <f>IFERROR(if($AC331=0,($W331/0.74)*BH331,
BH331*$AC331),)</f>
        <v/>
      </c>
      <c r="CT331" s="128">
        <f>IFERROR(if($AC331=0,($W331/0.74)*BI331,
BI331*$AC331),)</f>
        <v/>
      </c>
      <c r="CU331" s="128">
        <f>IFERROR(AI331*$V331,)</f>
        <v/>
      </c>
      <c r="CV331" s="128">
        <f>IFERROR(AJ331*$V331,)</f>
        <v/>
      </c>
      <c r="CW331" s="128">
        <f>IFERROR(AK331*$V331,)</f>
        <v/>
      </c>
      <c r="CX331" s="128">
        <f>IFERROR(AL331*$V331,)</f>
        <v/>
      </c>
      <c r="CY331" s="128">
        <f>IFERROR(AM331*$V331,)</f>
        <v/>
      </c>
      <c r="CZ331" s="128">
        <f>IFERROR(AN331*$V331,)</f>
        <v/>
      </c>
      <c r="DA331" s="128">
        <f>IFERROR(AO331*$V331,)</f>
        <v/>
      </c>
      <c r="DB331" s="128">
        <f>IFERROR(AP331*$V331,)</f>
        <v/>
      </c>
      <c r="DC331" s="128">
        <f>IFERROR(AQ331*$V331,)</f>
        <v/>
      </c>
      <c r="DD331" s="128">
        <f>IFERROR(AR331*$V331,)</f>
        <v/>
      </c>
      <c r="DE331" s="128">
        <f>IFERROR(AS331*$V331,)</f>
        <v/>
      </c>
      <c r="DF331" s="128">
        <f>IFERROR(AT331*$V331,)</f>
        <v/>
      </c>
      <c r="DG331" s="128">
        <f>IFERROR(AU331*$V331,)</f>
        <v/>
      </c>
      <c r="DH331" s="128">
        <f>IFERROR(AV331*$V331,)</f>
        <v/>
      </c>
      <c r="DI331" s="128">
        <f>IFERROR(AW331*$V331,)</f>
        <v/>
      </c>
      <c r="DJ331" s="128">
        <f>IFERROR(AX331*$V331,)</f>
        <v/>
      </c>
      <c r="DK331" s="128">
        <f>IFERROR(AY331*$V331,)</f>
        <v/>
      </c>
      <c r="DL331" s="128">
        <f>IFERROR(AZ331*$V331,)</f>
        <v/>
      </c>
      <c r="DM331" s="129">
        <f>IFERROR(if($X331=0,($V331/1.2)*BA331,
BA331*$X331),)</f>
        <v/>
      </c>
      <c r="DN331" s="129">
        <f>IFERROR(if($X331=0,($V331/1.2)*BB331,
BB331*$X331),)</f>
        <v/>
      </c>
      <c r="DO331" s="129">
        <f>IFERROR(if($X331=0,($V331/1.2)*BC331,
BC331*$X331),)</f>
        <v/>
      </c>
      <c r="DP331" s="130">
        <f>IFERROR(if($Z331=0,($V331/1.35)*BD331,
BD331*$Z331),)</f>
        <v/>
      </c>
      <c r="DQ331" s="130">
        <f>IFERROR(if($Z331=0,($V331/1.35)*BE331,
BE331*$Z331),)</f>
        <v/>
      </c>
      <c r="DR331" s="130">
        <f>IFERROR(if($Z331=0,($V331/1.35)*BF331,
BF331*$Z331),)</f>
        <v/>
      </c>
      <c r="DS331" s="128">
        <f>IFERROR(IF($AB331=0,($V331/0.74)*BG331,
BG331*$AB331),)</f>
        <v/>
      </c>
      <c r="DT331" s="128">
        <f>IFERROR(IF($AB331=0,($V331/0.74)*BH331,
BH331*$AB331),)</f>
        <v/>
      </c>
      <c r="DU331" s="128">
        <f>IFERROR(IF($AB331=0,($V331/0.74)*BI331,
BI331*$AB331),)</f>
        <v/>
      </c>
    </row>
    <row r="332" ht="131.25" customHeight="1" s="162">
      <c r="A332" s="115" t="n"/>
      <c r="B332" s="115" t="n"/>
      <c r="C332" s="115" t="n"/>
      <c r="D332" s="115" t="n"/>
      <c r="E332" s="115" t="n"/>
      <c r="F332" s="115" t="n"/>
      <c r="G332" s="115" t="n"/>
      <c r="H332" s="115" t="n"/>
      <c r="I332" s="115" t="n"/>
      <c r="J332" s="115" t="n"/>
      <c r="K332" s="115" t="n"/>
      <c r="L332" s="115" t="n"/>
      <c r="M332" s="115" t="n"/>
      <c r="N332" s="115" t="n"/>
      <c r="O332" s="115" t="n"/>
      <c r="P332" s="115" t="n"/>
      <c r="Q332" s="115" t="n"/>
      <c r="R332" s="115" t="n"/>
      <c r="S332" s="115" t="n"/>
      <c r="T332" s="115" t="n"/>
      <c r="U332" s="116" t="n"/>
      <c r="V332" s="116" t="n"/>
      <c r="W332" s="117" t="n"/>
      <c r="X332" s="118" t="n"/>
      <c r="Y332" s="119" t="n"/>
      <c r="Z332" s="120" t="n"/>
      <c r="AA332" s="121" t="n"/>
      <c r="AB332" s="122" t="n"/>
      <c r="AC332" s="117" t="n"/>
      <c r="AD332" s="123">
        <f>IF(SUM($AE332:$AH332)=0,"",SUM($AE332:$AH332))</f>
        <v/>
      </c>
      <c r="AE332" s="123">
        <f>iferror(IF(SUM($AI332:$AZ332)=0,"",SUM($AI332:$AZ332)),"")</f>
        <v/>
      </c>
      <c r="AF332" s="123">
        <f>iferror(IF(SUM($BA332:$BC332)=0,"",SUM($BA332:$BC332)),"")</f>
        <v/>
      </c>
      <c r="AG332" s="123">
        <f>iferror(IF(SUM($BD332:$BF332)=0,"",SUM($BD332:$BF332)),"")</f>
        <v/>
      </c>
      <c r="AH332" s="124">
        <f>iferror(IF(SUM($BG332:$BI332)=0,"",SUM($BG332:$BI332)),"")</f>
        <v/>
      </c>
      <c r="AI332" s="131" t="n"/>
      <c r="AJ332" s="132" t="n"/>
      <c r="AK332" s="132" t="n"/>
      <c r="AL332" s="132" t="n"/>
      <c r="AM332" s="132" t="n"/>
      <c r="AN332" s="132" t="n"/>
      <c r="AO332" s="132" t="n"/>
      <c r="AP332" s="132" t="n"/>
      <c r="AQ332" s="132" t="n"/>
      <c r="AR332" s="132" t="n"/>
      <c r="AS332" s="132" t="n"/>
      <c r="AT332" s="132" t="n"/>
      <c r="AU332" s="132" t="n"/>
      <c r="AV332" s="132" t="n"/>
      <c r="AW332" s="132" t="n"/>
      <c r="AX332" s="132" t="n"/>
      <c r="AY332" s="132" t="n"/>
      <c r="AZ332" s="133" t="n"/>
      <c r="BA332" s="131" t="n"/>
      <c r="BB332" s="132" t="n"/>
      <c r="BC332" s="133" t="n"/>
      <c r="BD332" s="131" t="n"/>
      <c r="BE332" s="132" t="n"/>
      <c r="BF332" s="133" t="n"/>
      <c r="BG332" s="131" t="n"/>
      <c r="BH332" s="132" t="n"/>
      <c r="BI332" s="132" t="n"/>
      <c r="BJ332" s="128">
        <f>iferror(SUM($BK332,($BL332*1.2),($BM332*1.35),($BN332*0.74)),)</f>
        <v/>
      </c>
      <c r="BK332" s="128">
        <f>IFERROR(SUM($BT332:$CK332),)</f>
        <v/>
      </c>
      <c r="BL332" s="129">
        <f>IFERROR(SUM($CL332:$CN332),)</f>
        <v/>
      </c>
      <c r="BM332" s="130">
        <f>IFERROR(SUM($CO332:$CQ332),)</f>
        <v/>
      </c>
      <c r="BN332" s="128">
        <f>IFERROR(SUM($CR332:$CT332),)</f>
        <v/>
      </c>
      <c r="BO332" s="128">
        <f>iferror(SUM($BP332,($BQ332*1.2),($BR332*1.35),($BS332*0.74)),)</f>
        <v/>
      </c>
      <c r="BP332" s="128">
        <f>IFERROR(SUM($CU332:$DL332),)</f>
        <v/>
      </c>
      <c r="BQ332" s="128">
        <f>IFERROR(SUM($DM332:$DO332),)</f>
        <v/>
      </c>
      <c r="BR332" s="128">
        <f>IFERROR(SUM($DP332:$DR332),)</f>
        <v/>
      </c>
      <c r="BS332" s="128">
        <f>IFERROR(SUM($DS332:$DU332),)</f>
        <v/>
      </c>
      <c r="BT332" s="128">
        <f>IFERROR(AI332*$W332,)</f>
        <v/>
      </c>
      <c r="BU332" s="128">
        <f>IFERROR(AJ332*$W332,)</f>
        <v/>
      </c>
      <c r="BV332" s="128">
        <f>IFERROR(AK332*$W332,)</f>
        <v/>
      </c>
      <c r="BW332" s="128">
        <f>IFERROR(AL332*$W332,)</f>
        <v/>
      </c>
      <c r="BX332" s="128">
        <f>IFERROR(AM332*$W332,)</f>
        <v/>
      </c>
      <c r="BY332" s="128">
        <f>IFERROR(AN332*$W332,)</f>
        <v/>
      </c>
      <c r="BZ332" s="128">
        <f>IFERROR(AO332*$W332,)</f>
        <v/>
      </c>
      <c r="CA332" s="128">
        <f>IFERROR(AP332*$W332,)</f>
        <v/>
      </c>
      <c r="CB332" s="128">
        <f>IFERROR(AQ332*$W332,)</f>
        <v/>
      </c>
      <c r="CC332" s="128">
        <f>IFERROR(AR332*$W332,)</f>
        <v/>
      </c>
      <c r="CD332" s="128">
        <f>IFERROR(AS332*$W332,)</f>
        <v/>
      </c>
      <c r="CE332" s="128">
        <f>IFERROR(AT332*$W332,)</f>
        <v/>
      </c>
      <c r="CF332" s="128">
        <f>IFERROR(AU332*$W332,)</f>
        <v/>
      </c>
      <c r="CG332" s="128">
        <f>IFERROR(AV332*$W332,)</f>
        <v/>
      </c>
      <c r="CH332" s="128">
        <f>IFERROR(AW332*$W332,)</f>
        <v/>
      </c>
      <c r="CI332" s="128">
        <f>IFERROR(AX332*$W332,)</f>
        <v/>
      </c>
      <c r="CJ332" s="128">
        <f>IFERROR(AY332*$W332,)</f>
        <v/>
      </c>
      <c r="CK332" s="128">
        <f>IFERROR(AZ332*$W332,)</f>
        <v/>
      </c>
      <c r="CL332" s="129">
        <f>IFERROR(if($Y332=0,BA332*($W332/1.2),BA332*$Y332),"")</f>
        <v/>
      </c>
      <c r="CM332" s="129">
        <f>IFERROR(if($Y332=0,BB332*($W332/1.2),BB332*$Y332),"")</f>
        <v/>
      </c>
      <c r="CN332" s="129">
        <f>IFERROR(if($Y332=0,BC332*($W332/1.2),BC332*$Y332),"")</f>
        <v/>
      </c>
      <c r="CO332" s="130">
        <f>IFERROR(if($AA332=0,($W332/1.35)*BD332,BD332*$AA332),)</f>
        <v/>
      </c>
      <c r="CP332" s="130">
        <f>IFERROR(if($AA332=0,($W332/1.35)*BE332,BE332*$AA332),)</f>
        <v/>
      </c>
      <c r="CQ332" s="130">
        <f>IFERROR(if($AA332=0,($W332/1.35)*BF332,BF332*$AA332),)</f>
        <v/>
      </c>
      <c r="CR332" s="128">
        <f>IFERROR(if($AC332=0,($W332/0.74)*BG332,
BG332*$AC332),)</f>
        <v/>
      </c>
      <c r="CS332" s="128">
        <f>IFERROR(if($AC332=0,($W332/0.74)*BH332,
BH332*$AC332),)</f>
        <v/>
      </c>
      <c r="CT332" s="128">
        <f>IFERROR(if($AC332=0,($W332/0.74)*BI332,
BI332*$AC332),)</f>
        <v/>
      </c>
      <c r="CU332" s="128">
        <f>IFERROR(AI332*$V332,)</f>
        <v/>
      </c>
      <c r="CV332" s="128">
        <f>IFERROR(AJ332*$V332,)</f>
        <v/>
      </c>
      <c r="CW332" s="128">
        <f>IFERROR(AK332*$V332,)</f>
        <v/>
      </c>
      <c r="CX332" s="128">
        <f>IFERROR(AL332*$V332,)</f>
        <v/>
      </c>
      <c r="CY332" s="128">
        <f>IFERROR(AM332*$V332,)</f>
        <v/>
      </c>
      <c r="CZ332" s="128">
        <f>IFERROR(AN332*$V332,)</f>
        <v/>
      </c>
      <c r="DA332" s="128">
        <f>IFERROR(AO332*$V332,)</f>
        <v/>
      </c>
      <c r="DB332" s="128">
        <f>IFERROR(AP332*$V332,)</f>
        <v/>
      </c>
      <c r="DC332" s="128">
        <f>IFERROR(AQ332*$V332,)</f>
        <v/>
      </c>
      <c r="DD332" s="128">
        <f>IFERROR(AR332*$V332,)</f>
        <v/>
      </c>
      <c r="DE332" s="128">
        <f>IFERROR(AS332*$V332,)</f>
        <v/>
      </c>
      <c r="DF332" s="128">
        <f>IFERROR(AT332*$V332,)</f>
        <v/>
      </c>
      <c r="DG332" s="128">
        <f>IFERROR(AU332*$V332,)</f>
        <v/>
      </c>
      <c r="DH332" s="128">
        <f>IFERROR(AV332*$V332,)</f>
        <v/>
      </c>
      <c r="DI332" s="128">
        <f>IFERROR(AW332*$V332,)</f>
        <v/>
      </c>
      <c r="DJ332" s="128">
        <f>IFERROR(AX332*$V332,)</f>
        <v/>
      </c>
      <c r="DK332" s="128">
        <f>IFERROR(AY332*$V332,)</f>
        <v/>
      </c>
      <c r="DL332" s="128">
        <f>IFERROR(AZ332*$V332,)</f>
        <v/>
      </c>
      <c r="DM332" s="129">
        <f>IFERROR(if($X332=0,($V332/1.2)*BA332,
BA332*$X332),)</f>
        <v/>
      </c>
      <c r="DN332" s="129">
        <f>IFERROR(if($X332=0,($V332/1.2)*BB332,
BB332*$X332),)</f>
        <v/>
      </c>
      <c r="DO332" s="129">
        <f>IFERROR(if($X332=0,($V332/1.2)*BC332,
BC332*$X332),)</f>
        <v/>
      </c>
      <c r="DP332" s="130">
        <f>IFERROR(if($Z332=0,($V332/1.35)*BD332,
BD332*$Z332),)</f>
        <v/>
      </c>
      <c r="DQ332" s="130">
        <f>IFERROR(if($Z332=0,($V332/1.35)*BE332,
BE332*$Z332),)</f>
        <v/>
      </c>
      <c r="DR332" s="130">
        <f>IFERROR(if($Z332=0,($V332/1.35)*BF332,
BF332*$Z332),)</f>
        <v/>
      </c>
      <c r="DS332" s="128">
        <f>IFERROR(IF($AB332=0,($V332/0.74)*BG332,
BG332*$AB332),)</f>
        <v/>
      </c>
      <c r="DT332" s="128">
        <f>IFERROR(IF($AB332=0,($V332/0.74)*BH332,
BH332*$AB332),)</f>
        <v/>
      </c>
      <c r="DU332" s="128">
        <f>IFERROR(IF($AB332=0,($V332/0.74)*BI332,
BI332*$AB332),)</f>
        <v/>
      </c>
    </row>
    <row r="333" ht="131.25" customHeight="1" s="162">
      <c r="A333" s="115" t="n"/>
      <c r="B333" s="115" t="n"/>
      <c r="C333" s="115" t="n"/>
      <c r="D333" s="115" t="n"/>
      <c r="E333" s="115" t="n"/>
      <c r="F333" s="115" t="n"/>
      <c r="G333" s="115" t="n"/>
      <c r="H333" s="115" t="n"/>
      <c r="I333" s="115" t="n"/>
      <c r="J333" s="115" t="n"/>
      <c r="K333" s="115" t="n"/>
      <c r="L333" s="115" t="n"/>
      <c r="M333" s="115" t="n"/>
      <c r="N333" s="115" t="n"/>
      <c r="O333" s="115" t="n"/>
      <c r="P333" s="115" t="n"/>
      <c r="Q333" s="115" t="n"/>
      <c r="R333" s="115" t="n"/>
      <c r="S333" s="115" t="n"/>
      <c r="T333" s="115" t="n"/>
      <c r="U333" s="116" t="n"/>
      <c r="V333" s="116" t="n"/>
      <c r="W333" s="117" t="n"/>
      <c r="X333" s="118" t="n"/>
      <c r="Y333" s="119" t="n"/>
      <c r="Z333" s="120" t="n"/>
      <c r="AA333" s="121" t="n"/>
      <c r="AB333" s="122" t="n"/>
      <c r="AC333" s="117" t="n"/>
      <c r="AD333" s="123">
        <f>IF(SUM($AE333:$AH333)=0,"",SUM($AE333:$AH333))</f>
        <v/>
      </c>
      <c r="AE333" s="123">
        <f>iferror(IF(SUM($AI333:$AZ333)=0,"",SUM($AI333:$AZ333)),"")</f>
        <v/>
      </c>
      <c r="AF333" s="123">
        <f>iferror(IF(SUM($BA333:$BC333)=0,"",SUM($BA333:$BC333)),"")</f>
        <v/>
      </c>
      <c r="AG333" s="123">
        <f>iferror(IF(SUM($BD333:$BF333)=0,"",SUM($BD333:$BF333)),"")</f>
        <v/>
      </c>
      <c r="AH333" s="124">
        <f>iferror(IF(SUM($BG333:$BI333)=0,"",SUM($BG333:$BI333)),"")</f>
        <v/>
      </c>
      <c r="AI333" s="131" t="n"/>
      <c r="AJ333" s="132" t="n"/>
      <c r="AK333" s="132" t="n"/>
      <c r="AL333" s="132" t="n"/>
      <c r="AM333" s="132" t="n"/>
      <c r="AN333" s="132" t="n"/>
      <c r="AO333" s="132" t="n"/>
      <c r="AP333" s="132" t="n"/>
      <c r="AQ333" s="132" t="n"/>
      <c r="AR333" s="132" t="n"/>
      <c r="AS333" s="132" t="n"/>
      <c r="AT333" s="132" t="n"/>
      <c r="AU333" s="132" t="n"/>
      <c r="AV333" s="132" t="n"/>
      <c r="AW333" s="132" t="n"/>
      <c r="AX333" s="132" t="n"/>
      <c r="AY333" s="132" t="n"/>
      <c r="AZ333" s="133" t="n"/>
      <c r="BA333" s="131" t="n"/>
      <c r="BB333" s="132" t="n"/>
      <c r="BC333" s="133" t="n"/>
      <c r="BD333" s="131" t="n"/>
      <c r="BE333" s="132" t="n"/>
      <c r="BF333" s="133" t="n"/>
      <c r="BG333" s="131" t="n"/>
      <c r="BH333" s="132" t="n"/>
      <c r="BI333" s="132" t="n"/>
      <c r="BJ333" s="128">
        <f>iferror(SUM($BK333,($BL333*1.2),($BM333*1.35),($BN333*0.74)),)</f>
        <v/>
      </c>
      <c r="BK333" s="128">
        <f>IFERROR(SUM($BT333:$CK333),)</f>
        <v/>
      </c>
      <c r="BL333" s="129">
        <f>IFERROR(SUM($CL333:$CN333),)</f>
        <v/>
      </c>
      <c r="BM333" s="130">
        <f>IFERROR(SUM($CO333:$CQ333),)</f>
        <v/>
      </c>
      <c r="BN333" s="128">
        <f>IFERROR(SUM($CR333:$CT333),)</f>
        <v/>
      </c>
      <c r="BO333" s="128">
        <f>iferror(SUM($BP333,($BQ333*1.2),($BR333*1.35),($BS333*0.74)),)</f>
        <v/>
      </c>
      <c r="BP333" s="128">
        <f>IFERROR(SUM($CU333:$DL333),)</f>
        <v/>
      </c>
      <c r="BQ333" s="128">
        <f>IFERROR(SUM($DM333:$DO333),)</f>
        <v/>
      </c>
      <c r="BR333" s="128">
        <f>IFERROR(SUM($DP333:$DR333),)</f>
        <v/>
      </c>
      <c r="BS333" s="128">
        <f>IFERROR(SUM($DS333:$DU333),)</f>
        <v/>
      </c>
      <c r="BT333" s="128">
        <f>IFERROR(AI333*$W333,)</f>
        <v/>
      </c>
      <c r="BU333" s="128">
        <f>IFERROR(AJ333*$W333,)</f>
        <v/>
      </c>
      <c r="BV333" s="128">
        <f>IFERROR(AK333*$W333,)</f>
        <v/>
      </c>
      <c r="BW333" s="128">
        <f>IFERROR(AL333*$W333,)</f>
        <v/>
      </c>
      <c r="BX333" s="128">
        <f>IFERROR(AM333*$W333,)</f>
        <v/>
      </c>
      <c r="BY333" s="128">
        <f>IFERROR(AN333*$W333,)</f>
        <v/>
      </c>
      <c r="BZ333" s="128">
        <f>IFERROR(AO333*$W333,)</f>
        <v/>
      </c>
      <c r="CA333" s="128">
        <f>IFERROR(AP333*$W333,)</f>
        <v/>
      </c>
      <c r="CB333" s="128">
        <f>IFERROR(AQ333*$W333,)</f>
        <v/>
      </c>
      <c r="CC333" s="128">
        <f>IFERROR(AR333*$W333,)</f>
        <v/>
      </c>
      <c r="CD333" s="128">
        <f>IFERROR(AS333*$W333,)</f>
        <v/>
      </c>
      <c r="CE333" s="128">
        <f>IFERROR(AT333*$W333,)</f>
        <v/>
      </c>
      <c r="CF333" s="128">
        <f>IFERROR(AU333*$W333,)</f>
        <v/>
      </c>
      <c r="CG333" s="128">
        <f>IFERROR(AV333*$W333,)</f>
        <v/>
      </c>
      <c r="CH333" s="128">
        <f>IFERROR(AW333*$W333,)</f>
        <v/>
      </c>
      <c r="CI333" s="128">
        <f>IFERROR(AX333*$W333,)</f>
        <v/>
      </c>
      <c r="CJ333" s="128">
        <f>IFERROR(AY333*$W333,)</f>
        <v/>
      </c>
      <c r="CK333" s="128">
        <f>IFERROR(AZ333*$W333,)</f>
        <v/>
      </c>
      <c r="CL333" s="129">
        <f>IFERROR(if($Y333=0,BA333*($W333/1.2),BA333*$Y333),"")</f>
        <v/>
      </c>
      <c r="CM333" s="129">
        <f>IFERROR(if($Y333=0,BB333*($W333/1.2),BB333*$Y333),"")</f>
        <v/>
      </c>
      <c r="CN333" s="129">
        <f>IFERROR(if($Y333=0,BC333*($W333/1.2),BC333*$Y333),"")</f>
        <v/>
      </c>
      <c r="CO333" s="130">
        <f>IFERROR(if($AA333=0,($W333/1.35)*BD333,BD333*$AA333),)</f>
        <v/>
      </c>
      <c r="CP333" s="130">
        <f>IFERROR(if($AA333=0,($W333/1.35)*BE333,BE333*$AA333),)</f>
        <v/>
      </c>
      <c r="CQ333" s="130">
        <f>IFERROR(if($AA333=0,($W333/1.35)*BF333,BF333*$AA333),)</f>
        <v/>
      </c>
      <c r="CR333" s="128">
        <f>IFERROR(if($AC333=0,($W333/0.74)*BG333,
BG333*$AC333),)</f>
        <v/>
      </c>
      <c r="CS333" s="128">
        <f>IFERROR(if($AC333=0,($W333/0.74)*BH333,
BH333*$AC333),)</f>
        <v/>
      </c>
      <c r="CT333" s="128">
        <f>IFERROR(if($AC333=0,($W333/0.74)*BI333,
BI333*$AC333),)</f>
        <v/>
      </c>
      <c r="CU333" s="128">
        <f>IFERROR(AI333*$V333,)</f>
        <v/>
      </c>
      <c r="CV333" s="128">
        <f>IFERROR(AJ333*$V333,)</f>
        <v/>
      </c>
      <c r="CW333" s="128">
        <f>IFERROR(AK333*$V333,)</f>
        <v/>
      </c>
      <c r="CX333" s="128">
        <f>IFERROR(AL333*$V333,)</f>
        <v/>
      </c>
      <c r="CY333" s="128">
        <f>IFERROR(AM333*$V333,)</f>
        <v/>
      </c>
      <c r="CZ333" s="128">
        <f>IFERROR(AN333*$V333,)</f>
        <v/>
      </c>
      <c r="DA333" s="128">
        <f>IFERROR(AO333*$V333,)</f>
        <v/>
      </c>
      <c r="DB333" s="128">
        <f>IFERROR(AP333*$V333,)</f>
        <v/>
      </c>
      <c r="DC333" s="128">
        <f>IFERROR(AQ333*$V333,)</f>
        <v/>
      </c>
      <c r="DD333" s="128">
        <f>IFERROR(AR333*$V333,)</f>
        <v/>
      </c>
      <c r="DE333" s="128">
        <f>IFERROR(AS333*$V333,)</f>
        <v/>
      </c>
      <c r="DF333" s="128">
        <f>IFERROR(AT333*$V333,)</f>
        <v/>
      </c>
      <c r="DG333" s="128">
        <f>IFERROR(AU333*$V333,)</f>
        <v/>
      </c>
      <c r="DH333" s="128">
        <f>IFERROR(AV333*$V333,)</f>
        <v/>
      </c>
      <c r="DI333" s="128">
        <f>IFERROR(AW333*$V333,)</f>
        <v/>
      </c>
      <c r="DJ333" s="128">
        <f>IFERROR(AX333*$V333,)</f>
        <v/>
      </c>
      <c r="DK333" s="128">
        <f>IFERROR(AY333*$V333,)</f>
        <v/>
      </c>
      <c r="DL333" s="128">
        <f>IFERROR(AZ333*$V333,)</f>
        <v/>
      </c>
      <c r="DM333" s="129">
        <f>IFERROR(if($X333=0,($V333/1.2)*BA333,
BA333*$X333),)</f>
        <v/>
      </c>
      <c r="DN333" s="129">
        <f>IFERROR(if($X333=0,($V333/1.2)*BB333,
BB333*$X333),)</f>
        <v/>
      </c>
      <c r="DO333" s="129">
        <f>IFERROR(if($X333=0,($V333/1.2)*BC333,
BC333*$X333),)</f>
        <v/>
      </c>
      <c r="DP333" s="130">
        <f>IFERROR(if($Z333=0,($V333/1.35)*BD333,
BD333*$Z333),)</f>
        <v/>
      </c>
      <c r="DQ333" s="130">
        <f>IFERROR(if($Z333=0,($V333/1.35)*BE333,
BE333*$Z333),)</f>
        <v/>
      </c>
      <c r="DR333" s="130">
        <f>IFERROR(if($Z333=0,($V333/1.35)*BF333,
BF333*$Z333),)</f>
        <v/>
      </c>
      <c r="DS333" s="128">
        <f>IFERROR(IF($AB333=0,($V333/0.74)*BG333,
BG333*$AB333),)</f>
        <v/>
      </c>
      <c r="DT333" s="128">
        <f>IFERROR(IF($AB333=0,($V333/0.74)*BH333,
BH333*$AB333),)</f>
        <v/>
      </c>
      <c r="DU333" s="128">
        <f>IFERROR(IF($AB333=0,($V333/0.74)*BI333,
BI333*$AB333),)</f>
        <v/>
      </c>
    </row>
    <row r="334" ht="131.25" customHeight="1" s="162">
      <c r="A334" s="115" t="n"/>
      <c r="B334" s="115" t="n"/>
      <c r="C334" s="115" t="n"/>
      <c r="D334" s="115" t="n"/>
      <c r="E334" s="115" t="n"/>
      <c r="F334" s="115" t="n"/>
      <c r="G334" s="115" t="n"/>
      <c r="H334" s="115" t="n"/>
      <c r="I334" s="115" t="n"/>
      <c r="J334" s="115" t="n"/>
      <c r="K334" s="115" t="n"/>
      <c r="L334" s="115" t="n"/>
      <c r="M334" s="115" t="n"/>
      <c r="N334" s="115" t="n"/>
      <c r="O334" s="115" t="n"/>
      <c r="P334" s="115" t="n"/>
      <c r="Q334" s="115" t="n"/>
      <c r="R334" s="115" t="n"/>
      <c r="S334" s="115" t="n"/>
      <c r="T334" s="115" t="n"/>
      <c r="U334" s="116" t="n"/>
      <c r="V334" s="116" t="n"/>
      <c r="W334" s="117" t="n"/>
      <c r="X334" s="118" t="n"/>
      <c r="Y334" s="119" t="n"/>
      <c r="Z334" s="120" t="n"/>
      <c r="AA334" s="121" t="n"/>
      <c r="AB334" s="122" t="n"/>
      <c r="AC334" s="117" t="n"/>
      <c r="AD334" s="123">
        <f>IF(SUM($AE334:$AH334)=0,"",SUM($AE334:$AH334))</f>
        <v/>
      </c>
      <c r="AE334" s="123">
        <f>iferror(IF(SUM($AI334:$AZ334)=0,"",SUM($AI334:$AZ334)),"")</f>
        <v/>
      </c>
      <c r="AF334" s="123">
        <f>iferror(IF(SUM($BA334:$BC334)=0,"",SUM($BA334:$BC334)),"")</f>
        <v/>
      </c>
      <c r="AG334" s="123">
        <f>iferror(IF(SUM($BD334:$BF334)=0,"",SUM($BD334:$BF334)),"")</f>
        <v/>
      </c>
      <c r="AH334" s="124">
        <f>iferror(IF(SUM($BG334:$BI334)=0,"",SUM($BG334:$BI334)),"")</f>
        <v/>
      </c>
      <c r="AI334" s="131" t="n"/>
      <c r="AJ334" s="132" t="n"/>
      <c r="AK334" s="132" t="n"/>
      <c r="AL334" s="132" t="n"/>
      <c r="AM334" s="132" t="n"/>
      <c r="AN334" s="132" t="n"/>
      <c r="AO334" s="132" t="n"/>
      <c r="AP334" s="132" t="n"/>
      <c r="AQ334" s="132" t="n"/>
      <c r="AR334" s="132" t="n"/>
      <c r="AS334" s="132" t="n"/>
      <c r="AT334" s="132" t="n"/>
      <c r="AU334" s="132" t="n"/>
      <c r="AV334" s="132" t="n"/>
      <c r="AW334" s="132" t="n"/>
      <c r="AX334" s="132" t="n"/>
      <c r="AY334" s="132" t="n"/>
      <c r="AZ334" s="133" t="n"/>
      <c r="BA334" s="131" t="n"/>
      <c r="BB334" s="132" t="n"/>
      <c r="BC334" s="133" t="n"/>
      <c r="BD334" s="131" t="n"/>
      <c r="BE334" s="132" t="n"/>
      <c r="BF334" s="133" t="n"/>
      <c r="BG334" s="131" t="n"/>
      <c r="BH334" s="132" t="n"/>
      <c r="BI334" s="132" t="n"/>
      <c r="BJ334" s="128">
        <f>iferror(SUM($BK334,($BL334*1.2),($BM334*1.35),($BN334*0.74)),)</f>
        <v/>
      </c>
      <c r="BK334" s="128">
        <f>IFERROR(SUM($BT334:$CK334),)</f>
        <v/>
      </c>
      <c r="BL334" s="129">
        <f>IFERROR(SUM($CL334:$CN334),)</f>
        <v/>
      </c>
      <c r="BM334" s="130">
        <f>IFERROR(SUM($CO334:$CQ334),)</f>
        <v/>
      </c>
      <c r="BN334" s="128">
        <f>IFERROR(SUM($CR334:$CT334),)</f>
        <v/>
      </c>
      <c r="BO334" s="128">
        <f>iferror(SUM($BP334,($BQ334*1.2),($BR334*1.35),($BS334*0.74)),)</f>
        <v/>
      </c>
      <c r="BP334" s="128">
        <f>IFERROR(SUM($CU334:$DL334),)</f>
        <v/>
      </c>
      <c r="BQ334" s="128">
        <f>IFERROR(SUM($DM334:$DO334),)</f>
        <v/>
      </c>
      <c r="BR334" s="128">
        <f>IFERROR(SUM($DP334:$DR334),)</f>
        <v/>
      </c>
      <c r="BS334" s="128">
        <f>IFERROR(SUM($DS334:$DU334),)</f>
        <v/>
      </c>
      <c r="BT334" s="128">
        <f>IFERROR(AI334*$W334,)</f>
        <v/>
      </c>
      <c r="BU334" s="128">
        <f>IFERROR(AJ334*$W334,)</f>
        <v/>
      </c>
      <c r="BV334" s="128">
        <f>IFERROR(AK334*$W334,)</f>
        <v/>
      </c>
      <c r="BW334" s="128">
        <f>IFERROR(AL334*$W334,)</f>
        <v/>
      </c>
      <c r="BX334" s="128">
        <f>IFERROR(AM334*$W334,)</f>
        <v/>
      </c>
      <c r="BY334" s="128">
        <f>IFERROR(AN334*$W334,)</f>
        <v/>
      </c>
      <c r="BZ334" s="128">
        <f>IFERROR(AO334*$W334,)</f>
        <v/>
      </c>
      <c r="CA334" s="128">
        <f>IFERROR(AP334*$W334,)</f>
        <v/>
      </c>
      <c r="CB334" s="128">
        <f>IFERROR(AQ334*$W334,)</f>
        <v/>
      </c>
      <c r="CC334" s="128">
        <f>IFERROR(AR334*$W334,)</f>
        <v/>
      </c>
      <c r="CD334" s="128">
        <f>IFERROR(AS334*$W334,)</f>
        <v/>
      </c>
      <c r="CE334" s="128">
        <f>IFERROR(AT334*$W334,)</f>
        <v/>
      </c>
      <c r="CF334" s="128">
        <f>IFERROR(AU334*$W334,)</f>
        <v/>
      </c>
      <c r="CG334" s="128">
        <f>IFERROR(AV334*$W334,)</f>
        <v/>
      </c>
      <c r="CH334" s="128">
        <f>IFERROR(AW334*$W334,)</f>
        <v/>
      </c>
      <c r="CI334" s="128">
        <f>IFERROR(AX334*$W334,)</f>
        <v/>
      </c>
      <c r="CJ334" s="128">
        <f>IFERROR(AY334*$W334,)</f>
        <v/>
      </c>
      <c r="CK334" s="128">
        <f>IFERROR(AZ334*$W334,)</f>
        <v/>
      </c>
      <c r="CL334" s="129">
        <f>IFERROR(if($Y334=0,BA334*($W334/1.2),BA334*$Y334),"")</f>
        <v/>
      </c>
      <c r="CM334" s="129">
        <f>IFERROR(if($Y334=0,BB334*($W334/1.2),BB334*$Y334),"")</f>
        <v/>
      </c>
      <c r="CN334" s="129">
        <f>IFERROR(if($Y334=0,BC334*($W334/1.2),BC334*$Y334),"")</f>
        <v/>
      </c>
      <c r="CO334" s="130">
        <f>IFERROR(if($AA334=0,($W334/1.35)*BD334,BD334*$AA334),)</f>
        <v/>
      </c>
      <c r="CP334" s="130">
        <f>IFERROR(if($AA334=0,($W334/1.35)*BE334,BE334*$AA334),)</f>
        <v/>
      </c>
      <c r="CQ334" s="130">
        <f>IFERROR(if($AA334=0,($W334/1.35)*BF334,BF334*$AA334),)</f>
        <v/>
      </c>
      <c r="CR334" s="128">
        <f>IFERROR(if($AC334=0,($W334/0.74)*BG334,
BG334*$AC334),)</f>
        <v/>
      </c>
      <c r="CS334" s="128">
        <f>IFERROR(if($AC334=0,($W334/0.74)*BH334,
BH334*$AC334),)</f>
        <v/>
      </c>
      <c r="CT334" s="128">
        <f>IFERROR(if($AC334=0,($W334/0.74)*BI334,
BI334*$AC334),)</f>
        <v/>
      </c>
      <c r="CU334" s="128">
        <f>IFERROR(AI334*$V334,)</f>
        <v/>
      </c>
      <c r="CV334" s="128">
        <f>IFERROR(AJ334*$V334,)</f>
        <v/>
      </c>
      <c r="CW334" s="128">
        <f>IFERROR(AK334*$V334,)</f>
        <v/>
      </c>
      <c r="CX334" s="128">
        <f>IFERROR(AL334*$V334,)</f>
        <v/>
      </c>
      <c r="CY334" s="128">
        <f>IFERROR(AM334*$V334,)</f>
        <v/>
      </c>
      <c r="CZ334" s="128">
        <f>IFERROR(AN334*$V334,)</f>
        <v/>
      </c>
      <c r="DA334" s="128">
        <f>IFERROR(AO334*$V334,)</f>
        <v/>
      </c>
      <c r="DB334" s="128">
        <f>IFERROR(AP334*$V334,)</f>
        <v/>
      </c>
      <c r="DC334" s="128">
        <f>IFERROR(AQ334*$V334,)</f>
        <v/>
      </c>
      <c r="DD334" s="128">
        <f>IFERROR(AR334*$V334,)</f>
        <v/>
      </c>
      <c r="DE334" s="128">
        <f>IFERROR(AS334*$V334,)</f>
        <v/>
      </c>
      <c r="DF334" s="128">
        <f>IFERROR(AT334*$V334,)</f>
        <v/>
      </c>
      <c r="DG334" s="128">
        <f>IFERROR(AU334*$V334,)</f>
        <v/>
      </c>
      <c r="DH334" s="128">
        <f>IFERROR(AV334*$V334,)</f>
        <v/>
      </c>
      <c r="DI334" s="128">
        <f>IFERROR(AW334*$V334,)</f>
        <v/>
      </c>
      <c r="DJ334" s="128">
        <f>IFERROR(AX334*$V334,)</f>
        <v/>
      </c>
      <c r="DK334" s="128">
        <f>IFERROR(AY334*$V334,)</f>
        <v/>
      </c>
      <c r="DL334" s="128">
        <f>IFERROR(AZ334*$V334,)</f>
        <v/>
      </c>
      <c r="DM334" s="129">
        <f>IFERROR(if($X334=0,($V334/1.2)*BA334,
BA334*$X334),)</f>
        <v/>
      </c>
      <c r="DN334" s="129">
        <f>IFERROR(if($X334=0,($V334/1.2)*BB334,
BB334*$X334),)</f>
        <v/>
      </c>
      <c r="DO334" s="129">
        <f>IFERROR(if($X334=0,($V334/1.2)*BC334,
BC334*$X334),)</f>
        <v/>
      </c>
      <c r="DP334" s="130">
        <f>IFERROR(if($Z334=0,($V334/1.35)*BD334,
BD334*$Z334),)</f>
        <v/>
      </c>
      <c r="DQ334" s="130">
        <f>IFERROR(if($Z334=0,($V334/1.35)*BE334,
BE334*$Z334),)</f>
        <v/>
      </c>
      <c r="DR334" s="130">
        <f>IFERROR(if($Z334=0,($V334/1.35)*BF334,
BF334*$Z334),)</f>
        <v/>
      </c>
      <c r="DS334" s="128">
        <f>IFERROR(IF($AB334=0,($V334/0.74)*BG334,
BG334*$AB334),)</f>
        <v/>
      </c>
      <c r="DT334" s="128">
        <f>IFERROR(IF($AB334=0,($V334/0.74)*BH334,
BH334*$AB334),)</f>
        <v/>
      </c>
      <c r="DU334" s="128">
        <f>IFERROR(IF($AB334=0,($V334/0.74)*BI334,
BI334*$AB334),)</f>
        <v/>
      </c>
    </row>
    <row r="335" ht="131.25" customHeight="1" s="162">
      <c r="A335" s="115" t="n"/>
      <c r="B335" s="115" t="n"/>
      <c r="C335" s="115" t="n"/>
      <c r="D335" s="115" t="n"/>
      <c r="E335" s="115" t="n"/>
      <c r="F335" s="115" t="n"/>
      <c r="G335" s="115" t="n"/>
      <c r="H335" s="115" t="n"/>
      <c r="I335" s="115" t="n"/>
      <c r="J335" s="115" t="n"/>
      <c r="K335" s="115" t="n"/>
      <c r="L335" s="115" t="n"/>
      <c r="M335" s="115" t="n"/>
      <c r="N335" s="115" t="n"/>
      <c r="O335" s="115" t="n"/>
      <c r="P335" s="115" t="n"/>
      <c r="Q335" s="115" t="n"/>
      <c r="R335" s="115" t="n"/>
      <c r="S335" s="115" t="n"/>
      <c r="T335" s="115" t="n"/>
      <c r="U335" s="116" t="n"/>
      <c r="V335" s="116" t="n"/>
      <c r="W335" s="117" t="n"/>
      <c r="X335" s="118" t="n"/>
      <c r="Y335" s="119" t="n"/>
      <c r="Z335" s="120" t="n"/>
      <c r="AA335" s="121" t="n"/>
      <c r="AB335" s="122" t="n"/>
      <c r="AC335" s="117" t="n"/>
      <c r="AD335" s="123">
        <f>IF(SUM($AE335:$AH335)=0,"",SUM($AE335:$AH335))</f>
        <v/>
      </c>
      <c r="AE335" s="123">
        <f>iferror(IF(SUM($AI335:$AZ335)=0,"",SUM($AI335:$AZ335)),"")</f>
        <v/>
      </c>
      <c r="AF335" s="123">
        <f>iferror(IF(SUM($BA335:$BC335)=0,"",SUM($BA335:$BC335)),"")</f>
        <v/>
      </c>
      <c r="AG335" s="123">
        <f>iferror(IF(SUM($BD335:$BF335)=0,"",SUM($BD335:$BF335)),"")</f>
        <v/>
      </c>
      <c r="AH335" s="124">
        <f>iferror(IF(SUM($BG335:$BI335)=0,"",SUM($BG335:$BI335)),"")</f>
        <v/>
      </c>
      <c r="AI335" s="131" t="n"/>
      <c r="AJ335" s="132" t="n"/>
      <c r="AK335" s="132" t="n"/>
      <c r="AL335" s="132" t="n"/>
      <c r="AM335" s="132" t="n"/>
      <c r="AN335" s="132" t="n"/>
      <c r="AO335" s="132" t="n"/>
      <c r="AP335" s="132" t="n"/>
      <c r="AQ335" s="132" t="n"/>
      <c r="AR335" s="132" t="n"/>
      <c r="AS335" s="132" t="n"/>
      <c r="AT335" s="132" t="n"/>
      <c r="AU335" s="132" t="n"/>
      <c r="AV335" s="132" t="n"/>
      <c r="AW335" s="132" t="n"/>
      <c r="AX335" s="132" t="n"/>
      <c r="AY335" s="132" t="n"/>
      <c r="AZ335" s="133" t="n"/>
      <c r="BA335" s="131" t="n"/>
      <c r="BB335" s="132" t="n"/>
      <c r="BC335" s="133" t="n"/>
      <c r="BD335" s="131" t="n"/>
      <c r="BE335" s="132" t="n"/>
      <c r="BF335" s="133" t="n"/>
      <c r="BG335" s="131" t="n"/>
      <c r="BH335" s="132" t="n"/>
      <c r="BI335" s="132" t="n"/>
      <c r="BJ335" s="128">
        <f>iferror(SUM($BK335,($BL335*1.2),($BM335*1.35),($BN335*0.74)),)</f>
        <v/>
      </c>
      <c r="BK335" s="128">
        <f>IFERROR(SUM($BT335:$CK335),)</f>
        <v/>
      </c>
      <c r="BL335" s="129">
        <f>IFERROR(SUM($CL335:$CN335),)</f>
        <v/>
      </c>
      <c r="BM335" s="130">
        <f>IFERROR(SUM($CO335:$CQ335),)</f>
        <v/>
      </c>
      <c r="BN335" s="128">
        <f>IFERROR(SUM($CR335:$CT335),)</f>
        <v/>
      </c>
      <c r="BO335" s="128">
        <f>iferror(SUM($BP335,($BQ335*1.2),($BR335*1.35),($BS335*0.74)),)</f>
        <v/>
      </c>
      <c r="BP335" s="128">
        <f>IFERROR(SUM($CU335:$DL335),)</f>
        <v/>
      </c>
      <c r="BQ335" s="128">
        <f>IFERROR(SUM($DM335:$DO335),)</f>
        <v/>
      </c>
      <c r="BR335" s="128">
        <f>IFERROR(SUM($DP335:$DR335),)</f>
        <v/>
      </c>
      <c r="BS335" s="128">
        <f>IFERROR(SUM($DS335:$DU335),)</f>
        <v/>
      </c>
      <c r="BT335" s="128">
        <f>IFERROR(AI335*$W335,)</f>
        <v/>
      </c>
      <c r="BU335" s="128">
        <f>IFERROR(AJ335*$W335,)</f>
        <v/>
      </c>
      <c r="BV335" s="128">
        <f>IFERROR(AK335*$W335,)</f>
        <v/>
      </c>
      <c r="BW335" s="128">
        <f>IFERROR(AL335*$W335,)</f>
        <v/>
      </c>
      <c r="BX335" s="128">
        <f>IFERROR(AM335*$W335,)</f>
        <v/>
      </c>
      <c r="BY335" s="128">
        <f>IFERROR(AN335*$W335,)</f>
        <v/>
      </c>
      <c r="BZ335" s="128">
        <f>IFERROR(AO335*$W335,)</f>
        <v/>
      </c>
      <c r="CA335" s="128">
        <f>IFERROR(AP335*$W335,)</f>
        <v/>
      </c>
      <c r="CB335" s="128">
        <f>IFERROR(AQ335*$W335,)</f>
        <v/>
      </c>
      <c r="CC335" s="128">
        <f>IFERROR(AR335*$W335,)</f>
        <v/>
      </c>
      <c r="CD335" s="128">
        <f>IFERROR(AS335*$W335,)</f>
        <v/>
      </c>
      <c r="CE335" s="128">
        <f>IFERROR(AT335*$W335,)</f>
        <v/>
      </c>
      <c r="CF335" s="128">
        <f>IFERROR(AU335*$W335,)</f>
        <v/>
      </c>
      <c r="CG335" s="128">
        <f>IFERROR(AV335*$W335,)</f>
        <v/>
      </c>
      <c r="CH335" s="128">
        <f>IFERROR(AW335*$W335,)</f>
        <v/>
      </c>
      <c r="CI335" s="128">
        <f>IFERROR(AX335*$W335,)</f>
        <v/>
      </c>
      <c r="CJ335" s="128">
        <f>IFERROR(AY335*$W335,)</f>
        <v/>
      </c>
      <c r="CK335" s="128">
        <f>IFERROR(AZ335*$W335,)</f>
        <v/>
      </c>
      <c r="CL335" s="129">
        <f>IFERROR(if($Y335=0,BA335*($W335/1.2),BA335*$Y335),"")</f>
        <v/>
      </c>
      <c r="CM335" s="129">
        <f>IFERROR(if($Y335=0,BB335*($W335/1.2),BB335*$Y335),"")</f>
        <v/>
      </c>
      <c r="CN335" s="129">
        <f>IFERROR(if($Y335=0,BC335*($W335/1.2),BC335*$Y335),"")</f>
        <v/>
      </c>
      <c r="CO335" s="130">
        <f>IFERROR(if($AA335=0,($W335/1.35)*BD335,BD335*$AA335),)</f>
        <v/>
      </c>
      <c r="CP335" s="130">
        <f>IFERROR(if($AA335=0,($W335/1.35)*BE335,BE335*$AA335),)</f>
        <v/>
      </c>
      <c r="CQ335" s="130">
        <f>IFERROR(if($AA335=0,($W335/1.35)*BF335,BF335*$AA335),)</f>
        <v/>
      </c>
      <c r="CR335" s="128">
        <f>IFERROR(if($AC335=0,($W335/0.74)*BG335,
BG335*$AC335),)</f>
        <v/>
      </c>
      <c r="CS335" s="128">
        <f>IFERROR(if($AC335=0,($W335/0.74)*BH335,
BH335*$AC335),)</f>
        <v/>
      </c>
      <c r="CT335" s="128">
        <f>IFERROR(if($AC335=0,($W335/0.74)*BI335,
BI335*$AC335),)</f>
        <v/>
      </c>
      <c r="CU335" s="128">
        <f>IFERROR(AI335*$V335,)</f>
        <v/>
      </c>
      <c r="CV335" s="128">
        <f>IFERROR(AJ335*$V335,)</f>
        <v/>
      </c>
      <c r="CW335" s="128">
        <f>IFERROR(AK335*$V335,)</f>
        <v/>
      </c>
      <c r="CX335" s="128">
        <f>IFERROR(AL335*$V335,)</f>
        <v/>
      </c>
      <c r="CY335" s="128">
        <f>IFERROR(AM335*$V335,)</f>
        <v/>
      </c>
      <c r="CZ335" s="128">
        <f>IFERROR(AN335*$V335,)</f>
        <v/>
      </c>
      <c r="DA335" s="128">
        <f>IFERROR(AO335*$V335,)</f>
        <v/>
      </c>
      <c r="DB335" s="128">
        <f>IFERROR(AP335*$V335,)</f>
        <v/>
      </c>
      <c r="DC335" s="128">
        <f>IFERROR(AQ335*$V335,)</f>
        <v/>
      </c>
      <c r="DD335" s="128">
        <f>IFERROR(AR335*$V335,)</f>
        <v/>
      </c>
      <c r="DE335" s="128">
        <f>IFERROR(AS335*$V335,)</f>
        <v/>
      </c>
      <c r="DF335" s="128">
        <f>IFERROR(AT335*$V335,)</f>
        <v/>
      </c>
      <c r="DG335" s="128">
        <f>IFERROR(AU335*$V335,)</f>
        <v/>
      </c>
      <c r="DH335" s="128">
        <f>IFERROR(AV335*$V335,)</f>
        <v/>
      </c>
      <c r="DI335" s="128">
        <f>IFERROR(AW335*$V335,)</f>
        <v/>
      </c>
      <c r="DJ335" s="128">
        <f>IFERROR(AX335*$V335,)</f>
        <v/>
      </c>
      <c r="DK335" s="128">
        <f>IFERROR(AY335*$V335,)</f>
        <v/>
      </c>
      <c r="DL335" s="128">
        <f>IFERROR(AZ335*$V335,)</f>
        <v/>
      </c>
      <c r="DM335" s="129">
        <f>IFERROR(if($X335=0,($V335/1.2)*BA335,
BA335*$X335),)</f>
        <v/>
      </c>
      <c r="DN335" s="129">
        <f>IFERROR(if($X335=0,($V335/1.2)*BB335,
BB335*$X335),)</f>
        <v/>
      </c>
      <c r="DO335" s="129">
        <f>IFERROR(if($X335=0,($V335/1.2)*BC335,
BC335*$X335),)</f>
        <v/>
      </c>
      <c r="DP335" s="130">
        <f>IFERROR(if($Z335=0,($V335/1.35)*BD335,
BD335*$Z335),)</f>
        <v/>
      </c>
      <c r="DQ335" s="130">
        <f>IFERROR(if($Z335=0,($V335/1.35)*BE335,
BE335*$Z335),)</f>
        <v/>
      </c>
      <c r="DR335" s="130">
        <f>IFERROR(if($Z335=0,($V335/1.35)*BF335,
BF335*$Z335),)</f>
        <v/>
      </c>
      <c r="DS335" s="128">
        <f>IFERROR(IF($AB335=0,($V335/0.74)*BG335,
BG335*$AB335),)</f>
        <v/>
      </c>
      <c r="DT335" s="128">
        <f>IFERROR(IF($AB335=0,($V335/0.74)*BH335,
BH335*$AB335),)</f>
        <v/>
      </c>
      <c r="DU335" s="128">
        <f>IFERROR(IF($AB335=0,($V335/0.74)*BI335,
BI335*$AB335),)</f>
        <v/>
      </c>
    </row>
    <row r="336" ht="131.25" customHeight="1" s="162">
      <c r="A336" s="115" t="n"/>
      <c r="B336" s="115" t="n"/>
      <c r="C336" s="115" t="n"/>
      <c r="D336" s="115" t="n"/>
      <c r="E336" s="115" t="n"/>
      <c r="F336" s="115" t="n"/>
      <c r="G336" s="115" t="n"/>
      <c r="H336" s="115" t="n"/>
      <c r="I336" s="115" t="n"/>
      <c r="J336" s="115" t="n"/>
      <c r="K336" s="115" t="n"/>
      <c r="L336" s="115" t="n"/>
      <c r="M336" s="115" t="n"/>
      <c r="N336" s="115" t="n"/>
      <c r="O336" s="115" t="n"/>
      <c r="P336" s="115" t="n"/>
      <c r="Q336" s="115" t="n"/>
      <c r="R336" s="115" t="n"/>
      <c r="S336" s="115" t="n"/>
      <c r="T336" s="115" t="n"/>
      <c r="U336" s="116" t="n"/>
      <c r="V336" s="116" t="n"/>
      <c r="W336" s="117" t="n"/>
      <c r="X336" s="118" t="n"/>
      <c r="Y336" s="119" t="n"/>
      <c r="Z336" s="120" t="n"/>
      <c r="AA336" s="121" t="n"/>
      <c r="AB336" s="122" t="n"/>
      <c r="AC336" s="117" t="n"/>
      <c r="AD336" s="123">
        <f>IF(SUM($AE336:$AH336)=0,"",SUM($AE336:$AH336))</f>
        <v/>
      </c>
      <c r="AE336" s="123">
        <f>iferror(IF(SUM($AI336:$AZ336)=0,"",SUM($AI336:$AZ336)),"")</f>
        <v/>
      </c>
      <c r="AF336" s="123">
        <f>iferror(IF(SUM($BA336:$BC336)=0,"",SUM($BA336:$BC336)),"")</f>
        <v/>
      </c>
      <c r="AG336" s="123">
        <f>iferror(IF(SUM($BD336:$BF336)=0,"",SUM($BD336:$BF336)),"")</f>
        <v/>
      </c>
      <c r="AH336" s="124">
        <f>iferror(IF(SUM($BG336:$BI336)=0,"",SUM($BG336:$BI336)),"")</f>
        <v/>
      </c>
      <c r="AI336" s="131" t="n"/>
      <c r="AJ336" s="132" t="n"/>
      <c r="AK336" s="132" t="n"/>
      <c r="AL336" s="132" t="n"/>
      <c r="AM336" s="132" t="n"/>
      <c r="AN336" s="132" t="n"/>
      <c r="AO336" s="132" t="n"/>
      <c r="AP336" s="132" t="n"/>
      <c r="AQ336" s="132" t="n"/>
      <c r="AR336" s="132" t="n"/>
      <c r="AS336" s="132" t="n"/>
      <c r="AT336" s="132" t="n"/>
      <c r="AU336" s="132" t="n"/>
      <c r="AV336" s="132" t="n"/>
      <c r="AW336" s="132" t="n"/>
      <c r="AX336" s="132" t="n"/>
      <c r="AY336" s="132" t="n"/>
      <c r="AZ336" s="133" t="n"/>
      <c r="BA336" s="131" t="n"/>
      <c r="BB336" s="132" t="n"/>
      <c r="BC336" s="133" t="n"/>
      <c r="BD336" s="131" t="n"/>
      <c r="BE336" s="132" t="n"/>
      <c r="BF336" s="133" t="n"/>
      <c r="BG336" s="131" t="n"/>
      <c r="BH336" s="132" t="n"/>
      <c r="BI336" s="132" t="n"/>
      <c r="BJ336" s="128">
        <f>iferror(SUM($BK336,($BL336*1.2),($BM336*1.35),($BN336*0.74)),)</f>
        <v/>
      </c>
      <c r="BK336" s="128">
        <f>IFERROR(SUM($BT336:$CK336),)</f>
        <v/>
      </c>
      <c r="BL336" s="129">
        <f>IFERROR(SUM($CL336:$CN336),)</f>
        <v/>
      </c>
      <c r="BM336" s="130">
        <f>IFERROR(SUM($CO336:$CQ336),)</f>
        <v/>
      </c>
      <c r="BN336" s="128">
        <f>IFERROR(SUM($CR336:$CT336),)</f>
        <v/>
      </c>
      <c r="BO336" s="128">
        <f>iferror(SUM($BP336,($BQ336*1.2),($BR336*1.35),($BS336*0.74)),)</f>
        <v/>
      </c>
      <c r="BP336" s="128">
        <f>IFERROR(SUM($CU336:$DL336),)</f>
        <v/>
      </c>
      <c r="BQ336" s="128">
        <f>IFERROR(SUM($DM336:$DO336),)</f>
        <v/>
      </c>
      <c r="BR336" s="128">
        <f>IFERROR(SUM($DP336:$DR336),)</f>
        <v/>
      </c>
      <c r="BS336" s="128">
        <f>IFERROR(SUM($DS336:$DU336),)</f>
        <v/>
      </c>
      <c r="BT336" s="128">
        <f>IFERROR(AI336*$W336,)</f>
        <v/>
      </c>
      <c r="BU336" s="128">
        <f>IFERROR(AJ336*$W336,)</f>
        <v/>
      </c>
      <c r="BV336" s="128">
        <f>IFERROR(AK336*$W336,)</f>
        <v/>
      </c>
      <c r="BW336" s="128">
        <f>IFERROR(AL336*$W336,)</f>
        <v/>
      </c>
      <c r="BX336" s="128">
        <f>IFERROR(AM336*$W336,)</f>
        <v/>
      </c>
      <c r="BY336" s="128">
        <f>IFERROR(AN336*$W336,)</f>
        <v/>
      </c>
      <c r="BZ336" s="128">
        <f>IFERROR(AO336*$W336,)</f>
        <v/>
      </c>
      <c r="CA336" s="128">
        <f>IFERROR(AP336*$W336,)</f>
        <v/>
      </c>
      <c r="CB336" s="128">
        <f>IFERROR(AQ336*$W336,)</f>
        <v/>
      </c>
      <c r="CC336" s="128">
        <f>IFERROR(AR336*$W336,)</f>
        <v/>
      </c>
      <c r="CD336" s="128">
        <f>IFERROR(AS336*$W336,)</f>
        <v/>
      </c>
      <c r="CE336" s="128">
        <f>IFERROR(AT336*$W336,)</f>
        <v/>
      </c>
      <c r="CF336" s="128">
        <f>IFERROR(AU336*$W336,)</f>
        <v/>
      </c>
      <c r="CG336" s="128">
        <f>IFERROR(AV336*$W336,)</f>
        <v/>
      </c>
      <c r="CH336" s="128">
        <f>IFERROR(AW336*$W336,)</f>
        <v/>
      </c>
      <c r="CI336" s="128">
        <f>IFERROR(AX336*$W336,)</f>
        <v/>
      </c>
      <c r="CJ336" s="128">
        <f>IFERROR(AY336*$W336,)</f>
        <v/>
      </c>
      <c r="CK336" s="128">
        <f>IFERROR(AZ336*$W336,)</f>
        <v/>
      </c>
      <c r="CL336" s="129">
        <f>IFERROR(if($Y336=0,BA336*($W336/1.2),BA336*$Y336),"")</f>
        <v/>
      </c>
      <c r="CM336" s="129">
        <f>IFERROR(if($Y336=0,BB336*($W336/1.2),BB336*$Y336),"")</f>
        <v/>
      </c>
      <c r="CN336" s="129">
        <f>IFERROR(if($Y336=0,BC336*($W336/1.2),BC336*$Y336),"")</f>
        <v/>
      </c>
      <c r="CO336" s="130">
        <f>IFERROR(if($AA336=0,($W336/1.35)*BD336,BD336*$AA336),)</f>
        <v/>
      </c>
      <c r="CP336" s="130">
        <f>IFERROR(if($AA336=0,($W336/1.35)*BE336,BE336*$AA336),)</f>
        <v/>
      </c>
      <c r="CQ336" s="130">
        <f>IFERROR(if($AA336=0,($W336/1.35)*BF336,BF336*$AA336),)</f>
        <v/>
      </c>
      <c r="CR336" s="128">
        <f>IFERROR(if($AC336=0,($W336/0.74)*BG336,
BG336*$AC336),)</f>
        <v/>
      </c>
      <c r="CS336" s="128">
        <f>IFERROR(if($AC336=0,($W336/0.74)*BH336,
BH336*$AC336),)</f>
        <v/>
      </c>
      <c r="CT336" s="128">
        <f>IFERROR(if($AC336=0,($W336/0.74)*BI336,
BI336*$AC336),)</f>
        <v/>
      </c>
      <c r="CU336" s="128">
        <f>IFERROR(AI336*$V336,)</f>
        <v/>
      </c>
      <c r="CV336" s="128">
        <f>IFERROR(AJ336*$V336,)</f>
        <v/>
      </c>
      <c r="CW336" s="128">
        <f>IFERROR(AK336*$V336,)</f>
        <v/>
      </c>
      <c r="CX336" s="128">
        <f>IFERROR(AL336*$V336,)</f>
        <v/>
      </c>
      <c r="CY336" s="128">
        <f>IFERROR(AM336*$V336,)</f>
        <v/>
      </c>
      <c r="CZ336" s="128">
        <f>IFERROR(AN336*$V336,)</f>
        <v/>
      </c>
      <c r="DA336" s="128">
        <f>IFERROR(AO336*$V336,)</f>
        <v/>
      </c>
      <c r="DB336" s="128">
        <f>IFERROR(AP336*$V336,)</f>
        <v/>
      </c>
      <c r="DC336" s="128">
        <f>IFERROR(AQ336*$V336,)</f>
        <v/>
      </c>
      <c r="DD336" s="128">
        <f>IFERROR(AR336*$V336,)</f>
        <v/>
      </c>
      <c r="DE336" s="128">
        <f>IFERROR(AS336*$V336,)</f>
        <v/>
      </c>
      <c r="DF336" s="128">
        <f>IFERROR(AT336*$V336,)</f>
        <v/>
      </c>
      <c r="DG336" s="128">
        <f>IFERROR(AU336*$V336,)</f>
        <v/>
      </c>
      <c r="DH336" s="128">
        <f>IFERROR(AV336*$V336,)</f>
        <v/>
      </c>
      <c r="DI336" s="128">
        <f>IFERROR(AW336*$V336,)</f>
        <v/>
      </c>
      <c r="DJ336" s="128">
        <f>IFERROR(AX336*$V336,)</f>
        <v/>
      </c>
      <c r="DK336" s="128">
        <f>IFERROR(AY336*$V336,)</f>
        <v/>
      </c>
      <c r="DL336" s="128">
        <f>IFERROR(AZ336*$V336,)</f>
        <v/>
      </c>
      <c r="DM336" s="129">
        <f>IFERROR(if($X336=0,($V336/1.2)*BA336,
BA336*$X336),)</f>
        <v/>
      </c>
      <c r="DN336" s="129">
        <f>IFERROR(if($X336=0,($V336/1.2)*BB336,
BB336*$X336),)</f>
        <v/>
      </c>
      <c r="DO336" s="129">
        <f>IFERROR(if($X336=0,($V336/1.2)*BC336,
BC336*$X336),)</f>
        <v/>
      </c>
      <c r="DP336" s="130">
        <f>IFERROR(if($Z336=0,($V336/1.35)*BD336,
BD336*$Z336),)</f>
        <v/>
      </c>
      <c r="DQ336" s="130">
        <f>IFERROR(if($Z336=0,($V336/1.35)*BE336,
BE336*$Z336),)</f>
        <v/>
      </c>
      <c r="DR336" s="130">
        <f>IFERROR(if($Z336=0,($V336/1.35)*BF336,
BF336*$Z336),)</f>
        <v/>
      </c>
      <c r="DS336" s="128">
        <f>IFERROR(IF($AB336=0,($V336/0.74)*BG336,
BG336*$AB336),)</f>
        <v/>
      </c>
      <c r="DT336" s="128">
        <f>IFERROR(IF($AB336=0,($V336/0.74)*BH336,
BH336*$AB336),)</f>
        <v/>
      </c>
      <c r="DU336" s="128">
        <f>IFERROR(IF($AB336=0,($V336/0.74)*BI336,
BI336*$AB336),)</f>
        <v/>
      </c>
    </row>
    <row r="337" ht="131.25" customHeight="1" s="162">
      <c r="A337" s="115" t="n"/>
      <c r="B337" s="115" t="n"/>
      <c r="C337" s="115" t="n"/>
      <c r="D337" s="115" t="n"/>
      <c r="E337" s="115" t="n"/>
      <c r="F337" s="115" t="n"/>
      <c r="G337" s="115" t="n"/>
      <c r="H337" s="115" t="n"/>
      <c r="I337" s="115" t="n"/>
      <c r="J337" s="115" t="n"/>
      <c r="K337" s="115" t="n"/>
      <c r="L337" s="115" t="n"/>
      <c r="M337" s="115" t="n"/>
      <c r="N337" s="115" t="n"/>
      <c r="O337" s="115" t="n"/>
      <c r="P337" s="115" t="n"/>
      <c r="Q337" s="115" t="n"/>
      <c r="R337" s="115" t="n"/>
      <c r="S337" s="115" t="n"/>
      <c r="T337" s="115" t="n"/>
      <c r="U337" s="116" t="n"/>
      <c r="V337" s="116" t="n"/>
      <c r="W337" s="117" t="n"/>
      <c r="X337" s="118" t="n"/>
      <c r="Y337" s="119" t="n"/>
      <c r="Z337" s="120" t="n"/>
      <c r="AA337" s="121" t="n"/>
      <c r="AB337" s="122" t="n"/>
      <c r="AC337" s="117" t="n"/>
      <c r="AD337" s="123">
        <f>IF(SUM($AE337:$AH337)=0,"",SUM($AE337:$AH337))</f>
        <v/>
      </c>
      <c r="AE337" s="123">
        <f>iferror(IF(SUM($AI337:$AZ337)=0,"",SUM($AI337:$AZ337)),"")</f>
        <v/>
      </c>
      <c r="AF337" s="123">
        <f>iferror(IF(SUM($BA337:$BC337)=0,"",SUM($BA337:$BC337)),"")</f>
        <v/>
      </c>
      <c r="AG337" s="123">
        <f>iferror(IF(SUM($BD337:$BF337)=0,"",SUM($BD337:$BF337)),"")</f>
        <v/>
      </c>
      <c r="AH337" s="124">
        <f>iferror(IF(SUM($BG337:$BI337)=0,"",SUM($BG337:$BI337)),"")</f>
        <v/>
      </c>
      <c r="AI337" s="131" t="n"/>
      <c r="AJ337" s="132" t="n"/>
      <c r="AK337" s="132" t="n"/>
      <c r="AL337" s="132" t="n"/>
      <c r="AM337" s="132" t="n"/>
      <c r="AN337" s="132" t="n"/>
      <c r="AO337" s="132" t="n"/>
      <c r="AP337" s="132" t="n"/>
      <c r="AQ337" s="132" t="n"/>
      <c r="AR337" s="132" t="n"/>
      <c r="AS337" s="132" t="n"/>
      <c r="AT337" s="132" t="n"/>
      <c r="AU337" s="132" t="n"/>
      <c r="AV337" s="132" t="n"/>
      <c r="AW337" s="132" t="n"/>
      <c r="AX337" s="132" t="n"/>
      <c r="AY337" s="132" t="n"/>
      <c r="AZ337" s="133" t="n"/>
      <c r="BA337" s="131" t="n"/>
      <c r="BB337" s="132" t="n"/>
      <c r="BC337" s="133" t="n"/>
      <c r="BD337" s="131" t="n"/>
      <c r="BE337" s="132" t="n"/>
      <c r="BF337" s="133" t="n"/>
      <c r="BG337" s="131" t="n"/>
      <c r="BH337" s="132" t="n"/>
      <c r="BI337" s="132" t="n"/>
      <c r="BJ337" s="128">
        <f>iferror(SUM($BK337,($BL337*1.2),($BM337*1.35),($BN337*0.74)),)</f>
        <v/>
      </c>
      <c r="BK337" s="128">
        <f>IFERROR(SUM($BT337:$CK337),)</f>
        <v/>
      </c>
      <c r="BL337" s="129">
        <f>IFERROR(SUM($CL337:$CN337),)</f>
        <v/>
      </c>
      <c r="BM337" s="130">
        <f>IFERROR(SUM($CO337:$CQ337),)</f>
        <v/>
      </c>
      <c r="BN337" s="128">
        <f>IFERROR(SUM($CR337:$CT337),)</f>
        <v/>
      </c>
      <c r="BO337" s="128">
        <f>iferror(SUM($BP337,($BQ337*1.2),($BR337*1.35),($BS337*0.74)),)</f>
        <v/>
      </c>
      <c r="BP337" s="128">
        <f>IFERROR(SUM($CU337:$DL337),)</f>
        <v/>
      </c>
      <c r="BQ337" s="128">
        <f>IFERROR(SUM($DM337:$DO337),)</f>
        <v/>
      </c>
      <c r="BR337" s="128">
        <f>IFERROR(SUM($DP337:$DR337),)</f>
        <v/>
      </c>
      <c r="BS337" s="128">
        <f>IFERROR(SUM($DS337:$DU337),)</f>
        <v/>
      </c>
      <c r="BT337" s="128">
        <f>IFERROR(AI337*$W337,)</f>
        <v/>
      </c>
      <c r="BU337" s="128">
        <f>IFERROR(AJ337*$W337,)</f>
        <v/>
      </c>
      <c r="BV337" s="128">
        <f>IFERROR(AK337*$W337,)</f>
        <v/>
      </c>
      <c r="BW337" s="128">
        <f>IFERROR(AL337*$W337,)</f>
        <v/>
      </c>
      <c r="BX337" s="128">
        <f>IFERROR(AM337*$W337,)</f>
        <v/>
      </c>
      <c r="BY337" s="128">
        <f>IFERROR(AN337*$W337,)</f>
        <v/>
      </c>
      <c r="BZ337" s="128">
        <f>IFERROR(AO337*$W337,)</f>
        <v/>
      </c>
      <c r="CA337" s="128">
        <f>IFERROR(AP337*$W337,)</f>
        <v/>
      </c>
      <c r="CB337" s="128">
        <f>IFERROR(AQ337*$W337,)</f>
        <v/>
      </c>
      <c r="CC337" s="128">
        <f>IFERROR(AR337*$W337,)</f>
        <v/>
      </c>
      <c r="CD337" s="128">
        <f>IFERROR(AS337*$W337,)</f>
        <v/>
      </c>
      <c r="CE337" s="128">
        <f>IFERROR(AT337*$W337,)</f>
        <v/>
      </c>
      <c r="CF337" s="128">
        <f>IFERROR(AU337*$W337,)</f>
        <v/>
      </c>
      <c r="CG337" s="128">
        <f>IFERROR(AV337*$W337,)</f>
        <v/>
      </c>
      <c r="CH337" s="128">
        <f>IFERROR(AW337*$W337,)</f>
        <v/>
      </c>
      <c r="CI337" s="128">
        <f>IFERROR(AX337*$W337,)</f>
        <v/>
      </c>
      <c r="CJ337" s="128">
        <f>IFERROR(AY337*$W337,)</f>
        <v/>
      </c>
      <c r="CK337" s="128">
        <f>IFERROR(AZ337*$W337,)</f>
        <v/>
      </c>
      <c r="CL337" s="129">
        <f>IFERROR(if($Y337=0,BA337*($W337/1.2),BA337*$Y337),"")</f>
        <v/>
      </c>
      <c r="CM337" s="129">
        <f>IFERROR(if($Y337=0,BB337*($W337/1.2),BB337*$Y337),"")</f>
        <v/>
      </c>
      <c r="CN337" s="129">
        <f>IFERROR(if($Y337=0,BC337*($W337/1.2),BC337*$Y337),"")</f>
        <v/>
      </c>
      <c r="CO337" s="130">
        <f>IFERROR(if($AA337=0,($W337/1.35)*BD337,BD337*$AA337),)</f>
        <v/>
      </c>
      <c r="CP337" s="130">
        <f>IFERROR(if($AA337=0,($W337/1.35)*BE337,BE337*$AA337),)</f>
        <v/>
      </c>
      <c r="CQ337" s="130">
        <f>IFERROR(if($AA337=0,($W337/1.35)*BF337,BF337*$AA337),)</f>
        <v/>
      </c>
      <c r="CR337" s="128">
        <f>IFERROR(if($AC337=0,($W337/0.74)*BG337,
BG337*$AC337),)</f>
        <v/>
      </c>
      <c r="CS337" s="128">
        <f>IFERROR(if($AC337=0,($W337/0.74)*BH337,
BH337*$AC337),)</f>
        <v/>
      </c>
      <c r="CT337" s="128">
        <f>IFERROR(if($AC337=0,($W337/0.74)*BI337,
BI337*$AC337),)</f>
        <v/>
      </c>
      <c r="CU337" s="128">
        <f>IFERROR(AI337*$V337,)</f>
        <v/>
      </c>
      <c r="CV337" s="128">
        <f>IFERROR(AJ337*$V337,)</f>
        <v/>
      </c>
      <c r="CW337" s="128">
        <f>IFERROR(AK337*$V337,)</f>
        <v/>
      </c>
      <c r="CX337" s="128">
        <f>IFERROR(AL337*$V337,)</f>
        <v/>
      </c>
      <c r="CY337" s="128">
        <f>IFERROR(AM337*$V337,)</f>
        <v/>
      </c>
      <c r="CZ337" s="128">
        <f>IFERROR(AN337*$V337,)</f>
        <v/>
      </c>
      <c r="DA337" s="128">
        <f>IFERROR(AO337*$V337,)</f>
        <v/>
      </c>
      <c r="DB337" s="128">
        <f>IFERROR(AP337*$V337,)</f>
        <v/>
      </c>
      <c r="DC337" s="128">
        <f>IFERROR(AQ337*$V337,)</f>
        <v/>
      </c>
      <c r="DD337" s="128">
        <f>IFERROR(AR337*$V337,)</f>
        <v/>
      </c>
      <c r="DE337" s="128">
        <f>IFERROR(AS337*$V337,)</f>
        <v/>
      </c>
      <c r="DF337" s="128">
        <f>IFERROR(AT337*$V337,)</f>
        <v/>
      </c>
      <c r="DG337" s="128">
        <f>IFERROR(AU337*$V337,)</f>
        <v/>
      </c>
      <c r="DH337" s="128">
        <f>IFERROR(AV337*$V337,)</f>
        <v/>
      </c>
      <c r="DI337" s="128">
        <f>IFERROR(AW337*$V337,)</f>
        <v/>
      </c>
      <c r="DJ337" s="128">
        <f>IFERROR(AX337*$V337,)</f>
        <v/>
      </c>
      <c r="DK337" s="128">
        <f>IFERROR(AY337*$V337,)</f>
        <v/>
      </c>
      <c r="DL337" s="128">
        <f>IFERROR(AZ337*$V337,)</f>
        <v/>
      </c>
      <c r="DM337" s="129">
        <f>IFERROR(if($X337=0,($V337/1.2)*BA337,
BA337*$X337),)</f>
        <v/>
      </c>
      <c r="DN337" s="129">
        <f>IFERROR(if($X337=0,($V337/1.2)*BB337,
BB337*$X337),)</f>
        <v/>
      </c>
      <c r="DO337" s="129">
        <f>IFERROR(if($X337=0,($V337/1.2)*BC337,
BC337*$X337),)</f>
        <v/>
      </c>
      <c r="DP337" s="130">
        <f>IFERROR(if($Z337=0,($V337/1.35)*BD337,
BD337*$Z337),)</f>
        <v/>
      </c>
      <c r="DQ337" s="130">
        <f>IFERROR(if($Z337=0,($V337/1.35)*BE337,
BE337*$Z337),)</f>
        <v/>
      </c>
      <c r="DR337" s="130">
        <f>IFERROR(if($Z337=0,($V337/1.35)*BF337,
BF337*$Z337),)</f>
        <v/>
      </c>
      <c r="DS337" s="128">
        <f>IFERROR(IF($AB337=0,($V337/0.74)*BG337,
BG337*$AB337),)</f>
        <v/>
      </c>
      <c r="DT337" s="128">
        <f>IFERROR(IF($AB337=0,($V337/0.74)*BH337,
BH337*$AB337),)</f>
        <v/>
      </c>
      <c r="DU337" s="128">
        <f>IFERROR(IF($AB337=0,($V337/0.74)*BI337,
BI337*$AB337),)</f>
        <v/>
      </c>
    </row>
    <row r="338" ht="131.25" customHeight="1" s="162">
      <c r="A338" s="115" t="n"/>
      <c r="B338" s="115" t="n"/>
      <c r="C338" s="115" t="n"/>
      <c r="D338" s="115" t="n"/>
      <c r="E338" s="115" t="n"/>
      <c r="F338" s="115" t="n"/>
      <c r="G338" s="115" t="n"/>
      <c r="H338" s="115" t="n"/>
      <c r="I338" s="115" t="n"/>
      <c r="J338" s="115" t="n"/>
      <c r="K338" s="115" t="n"/>
      <c r="L338" s="115" t="n"/>
      <c r="M338" s="115" t="n"/>
      <c r="N338" s="115" t="n"/>
      <c r="O338" s="115" t="n"/>
      <c r="P338" s="115" t="n"/>
      <c r="Q338" s="115" t="n"/>
      <c r="R338" s="115" t="n"/>
      <c r="S338" s="115" t="n"/>
      <c r="T338" s="115" t="n"/>
      <c r="U338" s="116" t="n"/>
      <c r="V338" s="116" t="n"/>
      <c r="W338" s="117" t="n"/>
      <c r="X338" s="118" t="n"/>
      <c r="Y338" s="119" t="n"/>
      <c r="Z338" s="120" t="n"/>
      <c r="AA338" s="121" t="n"/>
      <c r="AB338" s="122" t="n"/>
      <c r="AC338" s="117" t="n"/>
      <c r="AD338" s="123">
        <f>IF(SUM($AE338:$AH338)=0,"",SUM($AE338:$AH338))</f>
        <v/>
      </c>
      <c r="AE338" s="123">
        <f>iferror(IF(SUM($AI338:$AZ338)=0,"",SUM($AI338:$AZ338)),"")</f>
        <v/>
      </c>
      <c r="AF338" s="123">
        <f>iferror(IF(SUM($BA338:$BC338)=0,"",SUM($BA338:$BC338)),"")</f>
        <v/>
      </c>
      <c r="AG338" s="123">
        <f>iferror(IF(SUM($BD338:$BF338)=0,"",SUM($BD338:$BF338)),"")</f>
        <v/>
      </c>
      <c r="AH338" s="124">
        <f>iferror(IF(SUM($BG338:$BI338)=0,"",SUM($BG338:$BI338)),"")</f>
        <v/>
      </c>
      <c r="AI338" s="131" t="n"/>
      <c r="AJ338" s="132" t="n"/>
      <c r="AK338" s="132" t="n"/>
      <c r="AL338" s="132" t="n"/>
      <c r="AM338" s="132" t="n"/>
      <c r="AN338" s="132" t="n"/>
      <c r="AO338" s="132" t="n"/>
      <c r="AP338" s="132" t="n"/>
      <c r="AQ338" s="132" t="n"/>
      <c r="AR338" s="132" t="n"/>
      <c r="AS338" s="132" t="n"/>
      <c r="AT338" s="132" t="n"/>
      <c r="AU338" s="132" t="n"/>
      <c r="AV338" s="132" t="n"/>
      <c r="AW338" s="132" t="n"/>
      <c r="AX338" s="132" t="n"/>
      <c r="AY338" s="132" t="n"/>
      <c r="AZ338" s="133" t="n"/>
      <c r="BA338" s="131" t="n"/>
      <c r="BB338" s="132" t="n"/>
      <c r="BC338" s="133" t="n"/>
      <c r="BD338" s="131" t="n"/>
      <c r="BE338" s="132" t="n"/>
      <c r="BF338" s="133" t="n"/>
      <c r="BG338" s="131" t="n"/>
      <c r="BH338" s="132" t="n"/>
      <c r="BI338" s="132" t="n"/>
      <c r="BJ338" s="128">
        <f>iferror(SUM($BK338,($BL338*1.2),($BM338*1.35),($BN338*0.74)),)</f>
        <v/>
      </c>
      <c r="BK338" s="128">
        <f>IFERROR(SUM($BT338:$CK338),)</f>
        <v/>
      </c>
      <c r="BL338" s="129">
        <f>IFERROR(SUM($CL338:$CN338),)</f>
        <v/>
      </c>
      <c r="BM338" s="130">
        <f>IFERROR(SUM($CO338:$CQ338),)</f>
        <v/>
      </c>
      <c r="BN338" s="128">
        <f>IFERROR(SUM($CR338:$CT338),)</f>
        <v/>
      </c>
      <c r="BO338" s="128">
        <f>iferror(SUM($BP338,($BQ338*1.2),($BR338*1.35),($BS338*0.74)),)</f>
        <v/>
      </c>
      <c r="BP338" s="128">
        <f>IFERROR(SUM($CU338:$DL338),)</f>
        <v/>
      </c>
      <c r="BQ338" s="128">
        <f>IFERROR(SUM($DM338:$DO338),)</f>
        <v/>
      </c>
      <c r="BR338" s="128">
        <f>IFERROR(SUM($DP338:$DR338),)</f>
        <v/>
      </c>
      <c r="BS338" s="128">
        <f>IFERROR(SUM($DS338:$DU338),)</f>
        <v/>
      </c>
      <c r="BT338" s="128">
        <f>IFERROR(AI338*$W338,)</f>
        <v/>
      </c>
      <c r="BU338" s="128">
        <f>IFERROR(AJ338*$W338,)</f>
        <v/>
      </c>
      <c r="BV338" s="128">
        <f>IFERROR(AK338*$W338,)</f>
        <v/>
      </c>
      <c r="BW338" s="128">
        <f>IFERROR(AL338*$W338,)</f>
        <v/>
      </c>
      <c r="BX338" s="128">
        <f>IFERROR(AM338*$W338,)</f>
        <v/>
      </c>
      <c r="BY338" s="128">
        <f>IFERROR(AN338*$W338,)</f>
        <v/>
      </c>
      <c r="BZ338" s="128">
        <f>IFERROR(AO338*$W338,)</f>
        <v/>
      </c>
      <c r="CA338" s="128">
        <f>IFERROR(AP338*$W338,)</f>
        <v/>
      </c>
      <c r="CB338" s="128">
        <f>IFERROR(AQ338*$W338,)</f>
        <v/>
      </c>
      <c r="CC338" s="128">
        <f>IFERROR(AR338*$W338,)</f>
        <v/>
      </c>
      <c r="CD338" s="128">
        <f>IFERROR(AS338*$W338,)</f>
        <v/>
      </c>
      <c r="CE338" s="128">
        <f>IFERROR(AT338*$W338,)</f>
        <v/>
      </c>
      <c r="CF338" s="128">
        <f>IFERROR(AU338*$W338,)</f>
        <v/>
      </c>
      <c r="CG338" s="128">
        <f>IFERROR(AV338*$W338,)</f>
        <v/>
      </c>
      <c r="CH338" s="128">
        <f>IFERROR(AW338*$W338,)</f>
        <v/>
      </c>
      <c r="CI338" s="128">
        <f>IFERROR(AX338*$W338,)</f>
        <v/>
      </c>
      <c r="CJ338" s="128">
        <f>IFERROR(AY338*$W338,)</f>
        <v/>
      </c>
      <c r="CK338" s="128">
        <f>IFERROR(AZ338*$W338,)</f>
        <v/>
      </c>
      <c r="CL338" s="129">
        <f>IFERROR(if($Y338=0,BA338*($W338/1.2),BA338*$Y338),"")</f>
        <v/>
      </c>
      <c r="CM338" s="129">
        <f>IFERROR(if($Y338=0,BB338*($W338/1.2),BB338*$Y338),"")</f>
        <v/>
      </c>
      <c r="CN338" s="129">
        <f>IFERROR(if($Y338=0,BC338*($W338/1.2),BC338*$Y338),"")</f>
        <v/>
      </c>
      <c r="CO338" s="130">
        <f>IFERROR(if($AA338=0,($W338/1.35)*BD338,BD338*$AA338),)</f>
        <v/>
      </c>
      <c r="CP338" s="130">
        <f>IFERROR(if($AA338=0,($W338/1.35)*BE338,BE338*$AA338),)</f>
        <v/>
      </c>
      <c r="CQ338" s="130">
        <f>IFERROR(if($AA338=0,($W338/1.35)*BF338,BF338*$AA338),)</f>
        <v/>
      </c>
      <c r="CR338" s="128">
        <f>IFERROR(if($AC338=0,($W338/0.74)*BG338,
BG338*$AC338),)</f>
        <v/>
      </c>
      <c r="CS338" s="128">
        <f>IFERROR(if($AC338=0,($W338/0.74)*BH338,
BH338*$AC338),)</f>
        <v/>
      </c>
      <c r="CT338" s="128">
        <f>IFERROR(if($AC338=0,($W338/0.74)*BI338,
BI338*$AC338),)</f>
        <v/>
      </c>
      <c r="CU338" s="128">
        <f>IFERROR(AI338*$V338,)</f>
        <v/>
      </c>
      <c r="CV338" s="128">
        <f>IFERROR(AJ338*$V338,)</f>
        <v/>
      </c>
      <c r="CW338" s="128">
        <f>IFERROR(AK338*$V338,)</f>
        <v/>
      </c>
      <c r="CX338" s="128">
        <f>IFERROR(AL338*$V338,)</f>
        <v/>
      </c>
      <c r="CY338" s="128">
        <f>IFERROR(AM338*$V338,)</f>
        <v/>
      </c>
      <c r="CZ338" s="128">
        <f>IFERROR(AN338*$V338,)</f>
        <v/>
      </c>
      <c r="DA338" s="128">
        <f>IFERROR(AO338*$V338,)</f>
        <v/>
      </c>
      <c r="DB338" s="128">
        <f>IFERROR(AP338*$V338,)</f>
        <v/>
      </c>
      <c r="DC338" s="128">
        <f>IFERROR(AQ338*$V338,)</f>
        <v/>
      </c>
      <c r="DD338" s="128">
        <f>IFERROR(AR338*$V338,)</f>
        <v/>
      </c>
      <c r="DE338" s="128">
        <f>IFERROR(AS338*$V338,)</f>
        <v/>
      </c>
      <c r="DF338" s="128">
        <f>IFERROR(AT338*$V338,)</f>
        <v/>
      </c>
      <c r="DG338" s="128">
        <f>IFERROR(AU338*$V338,)</f>
        <v/>
      </c>
      <c r="DH338" s="128">
        <f>IFERROR(AV338*$V338,)</f>
        <v/>
      </c>
      <c r="DI338" s="128">
        <f>IFERROR(AW338*$V338,)</f>
        <v/>
      </c>
      <c r="DJ338" s="128">
        <f>IFERROR(AX338*$V338,)</f>
        <v/>
      </c>
      <c r="DK338" s="128">
        <f>IFERROR(AY338*$V338,)</f>
        <v/>
      </c>
      <c r="DL338" s="128">
        <f>IFERROR(AZ338*$V338,)</f>
        <v/>
      </c>
      <c r="DM338" s="129">
        <f>IFERROR(if($X338=0,($V338/1.2)*BA338,
BA338*$X338),)</f>
        <v/>
      </c>
      <c r="DN338" s="129">
        <f>IFERROR(if($X338=0,($V338/1.2)*BB338,
BB338*$X338),)</f>
        <v/>
      </c>
      <c r="DO338" s="129">
        <f>IFERROR(if($X338=0,($V338/1.2)*BC338,
BC338*$X338),)</f>
        <v/>
      </c>
      <c r="DP338" s="130">
        <f>IFERROR(if($Z338=0,($V338/1.35)*BD338,
BD338*$Z338),)</f>
        <v/>
      </c>
      <c r="DQ338" s="130">
        <f>IFERROR(if($Z338=0,($V338/1.35)*BE338,
BE338*$Z338),)</f>
        <v/>
      </c>
      <c r="DR338" s="130">
        <f>IFERROR(if($Z338=0,($V338/1.35)*BF338,
BF338*$Z338),)</f>
        <v/>
      </c>
      <c r="DS338" s="128">
        <f>IFERROR(IF($AB338=0,($V338/0.74)*BG338,
BG338*$AB338),)</f>
        <v/>
      </c>
      <c r="DT338" s="128">
        <f>IFERROR(IF($AB338=0,($V338/0.74)*BH338,
BH338*$AB338),)</f>
        <v/>
      </c>
      <c r="DU338" s="128">
        <f>IFERROR(IF($AB338=0,($V338/0.74)*BI338,
BI338*$AB338),)</f>
        <v/>
      </c>
    </row>
    <row r="339" ht="131.25" customHeight="1" s="162">
      <c r="A339" s="115" t="n"/>
      <c r="B339" s="115" t="n"/>
      <c r="C339" s="115" t="n"/>
      <c r="D339" s="115" t="n"/>
      <c r="E339" s="115" t="n"/>
      <c r="F339" s="115" t="n"/>
      <c r="G339" s="115" t="n"/>
      <c r="H339" s="115" t="n"/>
      <c r="I339" s="115" t="n"/>
      <c r="J339" s="115" t="n"/>
      <c r="K339" s="115" t="n"/>
      <c r="L339" s="115" t="n"/>
      <c r="M339" s="115" t="n"/>
      <c r="N339" s="115" t="n"/>
      <c r="O339" s="115" t="n"/>
      <c r="P339" s="115" t="n"/>
      <c r="Q339" s="115" t="n"/>
      <c r="R339" s="115" t="n"/>
      <c r="S339" s="115" t="n"/>
      <c r="T339" s="115" t="n"/>
      <c r="U339" s="116" t="n"/>
      <c r="V339" s="116" t="n"/>
      <c r="W339" s="117" t="n"/>
      <c r="X339" s="118" t="n"/>
      <c r="Y339" s="119" t="n"/>
      <c r="Z339" s="120" t="n"/>
      <c r="AA339" s="121" t="n"/>
      <c r="AB339" s="122" t="n"/>
      <c r="AC339" s="117" t="n"/>
      <c r="AD339" s="123">
        <f>IF(SUM($AE339:$AH339)=0,"",SUM($AE339:$AH339))</f>
        <v/>
      </c>
      <c r="AE339" s="123">
        <f>iferror(IF(SUM($AI339:$AZ339)=0,"",SUM($AI339:$AZ339)),"")</f>
        <v/>
      </c>
      <c r="AF339" s="123">
        <f>iferror(IF(SUM($BA339:$BC339)=0,"",SUM($BA339:$BC339)),"")</f>
        <v/>
      </c>
      <c r="AG339" s="123">
        <f>iferror(IF(SUM($BD339:$BF339)=0,"",SUM($BD339:$BF339)),"")</f>
        <v/>
      </c>
      <c r="AH339" s="124">
        <f>iferror(IF(SUM($BG339:$BI339)=0,"",SUM($BG339:$BI339)),"")</f>
        <v/>
      </c>
      <c r="AI339" s="131" t="n"/>
      <c r="AJ339" s="132" t="n"/>
      <c r="AK339" s="132" t="n"/>
      <c r="AL339" s="132" t="n"/>
      <c r="AM339" s="132" t="n"/>
      <c r="AN339" s="132" t="n"/>
      <c r="AO339" s="132" t="n"/>
      <c r="AP339" s="132" t="n"/>
      <c r="AQ339" s="132" t="n"/>
      <c r="AR339" s="132" t="n"/>
      <c r="AS339" s="132" t="n"/>
      <c r="AT339" s="132" t="n"/>
      <c r="AU339" s="132" t="n"/>
      <c r="AV339" s="132" t="n"/>
      <c r="AW339" s="132" t="n"/>
      <c r="AX339" s="132" t="n"/>
      <c r="AY339" s="132" t="n"/>
      <c r="AZ339" s="133" t="n"/>
      <c r="BA339" s="131" t="n"/>
      <c r="BB339" s="132" t="n"/>
      <c r="BC339" s="133" t="n"/>
      <c r="BD339" s="131" t="n"/>
      <c r="BE339" s="132" t="n"/>
      <c r="BF339" s="133" t="n"/>
      <c r="BG339" s="131" t="n"/>
      <c r="BH339" s="132" t="n"/>
      <c r="BI339" s="132" t="n"/>
      <c r="BJ339" s="128">
        <f>iferror(SUM($BK339,($BL339*1.2),($BM339*1.35),($BN339*0.74)),)</f>
        <v/>
      </c>
      <c r="BK339" s="128">
        <f>IFERROR(SUM($BT339:$CK339),)</f>
        <v/>
      </c>
      <c r="BL339" s="129">
        <f>IFERROR(SUM($CL339:$CN339),)</f>
        <v/>
      </c>
      <c r="BM339" s="130">
        <f>IFERROR(SUM($CO339:$CQ339),)</f>
        <v/>
      </c>
      <c r="BN339" s="128">
        <f>IFERROR(SUM($CR339:$CT339),)</f>
        <v/>
      </c>
      <c r="BO339" s="128">
        <f>iferror(SUM($BP339,($BQ339*1.2),($BR339*1.35),($BS339*0.74)),)</f>
        <v/>
      </c>
      <c r="BP339" s="128">
        <f>IFERROR(SUM($CU339:$DL339),)</f>
        <v/>
      </c>
      <c r="BQ339" s="128">
        <f>IFERROR(SUM($DM339:$DO339),)</f>
        <v/>
      </c>
      <c r="BR339" s="128">
        <f>IFERROR(SUM($DP339:$DR339),)</f>
        <v/>
      </c>
      <c r="BS339" s="128">
        <f>IFERROR(SUM($DS339:$DU339),)</f>
        <v/>
      </c>
      <c r="BT339" s="128">
        <f>IFERROR(AI339*$W339,)</f>
        <v/>
      </c>
      <c r="BU339" s="128">
        <f>IFERROR(AJ339*$W339,)</f>
        <v/>
      </c>
      <c r="BV339" s="128">
        <f>IFERROR(AK339*$W339,)</f>
        <v/>
      </c>
      <c r="BW339" s="128">
        <f>IFERROR(AL339*$W339,)</f>
        <v/>
      </c>
      <c r="BX339" s="128">
        <f>IFERROR(AM339*$W339,)</f>
        <v/>
      </c>
      <c r="BY339" s="128">
        <f>IFERROR(AN339*$W339,)</f>
        <v/>
      </c>
      <c r="BZ339" s="128">
        <f>IFERROR(AO339*$W339,)</f>
        <v/>
      </c>
      <c r="CA339" s="128">
        <f>IFERROR(AP339*$W339,)</f>
        <v/>
      </c>
      <c r="CB339" s="128">
        <f>IFERROR(AQ339*$W339,)</f>
        <v/>
      </c>
      <c r="CC339" s="128">
        <f>IFERROR(AR339*$W339,)</f>
        <v/>
      </c>
      <c r="CD339" s="128">
        <f>IFERROR(AS339*$W339,)</f>
        <v/>
      </c>
      <c r="CE339" s="128">
        <f>IFERROR(AT339*$W339,)</f>
        <v/>
      </c>
      <c r="CF339" s="128">
        <f>IFERROR(AU339*$W339,)</f>
        <v/>
      </c>
      <c r="CG339" s="128">
        <f>IFERROR(AV339*$W339,)</f>
        <v/>
      </c>
      <c r="CH339" s="128">
        <f>IFERROR(AW339*$W339,)</f>
        <v/>
      </c>
      <c r="CI339" s="128">
        <f>IFERROR(AX339*$W339,)</f>
        <v/>
      </c>
      <c r="CJ339" s="128">
        <f>IFERROR(AY339*$W339,)</f>
        <v/>
      </c>
      <c r="CK339" s="128">
        <f>IFERROR(AZ339*$W339,)</f>
        <v/>
      </c>
      <c r="CL339" s="129">
        <f>IFERROR(if($Y339=0,BA339*($W339/1.2),BA339*$Y339),"")</f>
        <v/>
      </c>
      <c r="CM339" s="129">
        <f>IFERROR(if($Y339=0,BB339*($W339/1.2),BB339*$Y339),"")</f>
        <v/>
      </c>
      <c r="CN339" s="129">
        <f>IFERROR(if($Y339=0,BC339*($W339/1.2),BC339*$Y339),"")</f>
        <v/>
      </c>
      <c r="CO339" s="130">
        <f>IFERROR(if($AA339=0,($W339/1.35)*BD339,BD339*$AA339),)</f>
        <v/>
      </c>
      <c r="CP339" s="130">
        <f>IFERROR(if($AA339=0,($W339/1.35)*BE339,BE339*$AA339),)</f>
        <v/>
      </c>
      <c r="CQ339" s="130">
        <f>IFERROR(if($AA339=0,($W339/1.35)*BF339,BF339*$AA339),)</f>
        <v/>
      </c>
      <c r="CR339" s="128">
        <f>IFERROR(if($AC339=0,($W339/0.74)*BG339,
BG339*$AC339),)</f>
        <v/>
      </c>
      <c r="CS339" s="128">
        <f>IFERROR(if($AC339=0,($W339/0.74)*BH339,
BH339*$AC339),)</f>
        <v/>
      </c>
      <c r="CT339" s="128">
        <f>IFERROR(if($AC339=0,($W339/0.74)*BI339,
BI339*$AC339),)</f>
        <v/>
      </c>
      <c r="CU339" s="128">
        <f>IFERROR(AI339*$V339,)</f>
        <v/>
      </c>
      <c r="CV339" s="128">
        <f>IFERROR(AJ339*$V339,)</f>
        <v/>
      </c>
      <c r="CW339" s="128">
        <f>IFERROR(AK339*$V339,)</f>
        <v/>
      </c>
      <c r="CX339" s="128">
        <f>IFERROR(AL339*$V339,)</f>
        <v/>
      </c>
      <c r="CY339" s="128">
        <f>IFERROR(AM339*$V339,)</f>
        <v/>
      </c>
      <c r="CZ339" s="128">
        <f>IFERROR(AN339*$V339,)</f>
        <v/>
      </c>
      <c r="DA339" s="128">
        <f>IFERROR(AO339*$V339,)</f>
        <v/>
      </c>
      <c r="DB339" s="128">
        <f>IFERROR(AP339*$V339,)</f>
        <v/>
      </c>
      <c r="DC339" s="128">
        <f>IFERROR(AQ339*$V339,)</f>
        <v/>
      </c>
      <c r="DD339" s="128">
        <f>IFERROR(AR339*$V339,)</f>
        <v/>
      </c>
      <c r="DE339" s="128">
        <f>IFERROR(AS339*$V339,)</f>
        <v/>
      </c>
      <c r="DF339" s="128">
        <f>IFERROR(AT339*$V339,)</f>
        <v/>
      </c>
      <c r="DG339" s="128">
        <f>IFERROR(AU339*$V339,)</f>
        <v/>
      </c>
      <c r="DH339" s="128">
        <f>IFERROR(AV339*$V339,)</f>
        <v/>
      </c>
      <c r="DI339" s="128">
        <f>IFERROR(AW339*$V339,)</f>
        <v/>
      </c>
      <c r="DJ339" s="128">
        <f>IFERROR(AX339*$V339,)</f>
        <v/>
      </c>
      <c r="DK339" s="128">
        <f>IFERROR(AY339*$V339,)</f>
        <v/>
      </c>
      <c r="DL339" s="128">
        <f>IFERROR(AZ339*$V339,)</f>
        <v/>
      </c>
      <c r="DM339" s="129">
        <f>IFERROR(if($X339=0,($V339/1.2)*BA339,
BA339*$X339),)</f>
        <v/>
      </c>
      <c r="DN339" s="129">
        <f>IFERROR(if($X339=0,($V339/1.2)*BB339,
BB339*$X339),)</f>
        <v/>
      </c>
      <c r="DO339" s="129">
        <f>IFERROR(if($X339=0,($V339/1.2)*BC339,
BC339*$X339),)</f>
        <v/>
      </c>
      <c r="DP339" s="130">
        <f>IFERROR(if($Z339=0,($V339/1.35)*BD339,
BD339*$Z339),)</f>
        <v/>
      </c>
      <c r="DQ339" s="130">
        <f>IFERROR(if($Z339=0,($V339/1.35)*BE339,
BE339*$Z339),)</f>
        <v/>
      </c>
      <c r="DR339" s="130">
        <f>IFERROR(if($Z339=0,($V339/1.35)*BF339,
BF339*$Z339),)</f>
        <v/>
      </c>
      <c r="DS339" s="128">
        <f>IFERROR(IF($AB339=0,($V339/0.74)*BG339,
BG339*$AB339),)</f>
        <v/>
      </c>
      <c r="DT339" s="128">
        <f>IFERROR(IF($AB339=0,($V339/0.74)*BH339,
BH339*$AB339),)</f>
        <v/>
      </c>
      <c r="DU339" s="128">
        <f>IFERROR(IF($AB339=0,($V339/0.74)*BI339,
BI339*$AB339),)</f>
        <v/>
      </c>
    </row>
    <row r="340" ht="131.25" customHeight="1" s="162">
      <c r="A340" s="115" t="n"/>
      <c r="B340" s="115" t="n"/>
      <c r="C340" s="115" t="n"/>
      <c r="D340" s="115" t="n"/>
      <c r="E340" s="115" t="n"/>
      <c r="F340" s="115" t="n"/>
      <c r="G340" s="115" t="n"/>
      <c r="H340" s="115" t="n"/>
      <c r="I340" s="115" t="n"/>
      <c r="J340" s="115" t="n"/>
      <c r="K340" s="115" t="n"/>
      <c r="L340" s="115" t="n"/>
      <c r="M340" s="115" t="n"/>
      <c r="N340" s="115" t="n"/>
      <c r="O340" s="115" t="n"/>
      <c r="P340" s="115" t="n"/>
      <c r="Q340" s="115" t="n"/>
      <c r="R340" s="115" t="n"/>
      <c r="S340" s="115" t="n"/>
      <c r="T340" s="115" t="n"/>
      <c r="U340" s="116" t="n"/>
      <c r="V340" s="116" t="n"/>
      <c r="W340" s="117" t="n"/>
      <c r="X340" s="118" t="n"/>
      <c r="Y340" s="119" t="n"/>
      <c r="Z340" s="120" t="n"/>
      <c r="AA340" s="121" t="n"/>
      <c r="AB340" s="122" t="n"/>
      <c r="AC340" s="117" t="n"/>
      <c r="AD340" s="123">
        <f>IF(SUM($AE340:$AH340)=0,"",SUM($AE340:$AH340))</f>
        <v/>
      </c>
      <c r="AE340" s="123">
        <f>iferror(IF(SUM($AI340:$AZ340)=0,"",SUM($AI340:$AZ340)),"")</f>
        <v/>
      </c>
      <c r="AF340" s="123">
        <f>iferror(IF(SUM($BA340:$BC340)=0,"",SUM($BA340:$BC340)),"")</f>
        <v/>
      </c>
      <c r="AG340" s="123">
        <f>iferror(IF(SUM($BD340:$BF340)=0,"",SUM($BD340:$BF340)),"")</f>
        <v/>
      </c>
      <c r="AH340" s="124">
        <f>iferror(IF(SUM($BG340:$BI340)=0,"",SUM($BG340:$BI340)),"")</f>
        <v/>
      </c>
      <c r="AI340" s="131" t="n"/>
      <c r="AJ340" s="132" t="n"/>
      <c r="AK340" s="132" t="n"/>
      <c r="AL340" s="132" t="n"/>
      <c r="AM340" s="132" t="n"/>
      <c r="AN340" s="132" t="n"/>
      <c r="AO340" s="132" t="n"/>
      <c r="AP340" s="132" t="n"/>
      <c r="AQ340" s="132" t="n"/>
      <c r="AR340" s="132" t="n"/>
      <c r="AS340" s="132" t="n"/>
      <c r="AT340" s="132" t="n"/>
      <c r="AU340" s="132" t="n"/>
      <c r="AV340" s="132" t="n"/>
      <c r="AW340" s="132" t="n"/>
      <c r="AX340" s="132" t="n"/>
      <c r="AY340" s="132" t="n"/>
      <c r="AZ340" s="133" t="n"/>
      <c r="BA340" s="131" t="n"/>
      <c r="BB340" s="132" t="n"/>
      <c r="BC340" s="133" t="n"/>
      <c r="BD340" s="131" t="n"/>
      <c r="BE340" s="132" t="n"/>
      <c r="BF340" s="133" t="n"/>
      <c r="BG340" s="131" t="n"/>
      <c r="BH340" s="132" t="n"/>
      <c r="BI340" s="132" t="n"/>
      <c r="BJ340" s="128">
        <f>iferror(SUM($BK340,($BL340*1.2),($BM340*1.35),($BN340*0.74)),)</f>
        <v/>
      </c>
      <c r="BK340" s="128">
        <f>IFERROR(SUM($BT340:$CK340),)</f>
        <v/>
      </c>
      <c r="BL340" s="129">
        <f>IFERROR(SUM($CL340:$CN340),)</f>
        <v/>
      </c>
      <c r="BM340" s="130">
        <f>IFERROR(SUM($CO340:$CQ340),)</f>
        <v/>
      </c>
      <c r="BN340" s="128">
        <f>IFERROR(SUM($CR340:$CT340),)</f>
        <v/>
      </c>
      <c r="BO340" s="128">
        <f>iferror(SUM($BP340,($BQ340*1.2),($BR340*1.35),($BS340*0.74)),)</f>
        <v/>
      </c>
      <c r="BP340" s="128">
        <f>IFERROR(SUM($CU340:$DL340),)</f>
        <v/>
      </c>
      <c r="BQ340" s="128">
        <f>IFERROR(SUM($DM340:$DO340),)</f>
        <v/>
      </c>
      <c r="BR340" s="128">
        <f>IFERROR(SUM($DP340:$DR340),)</f>
        <v/>
      </c>
      <c r="BS340" s="128">
        <f>IFERROR(SUM($DS340:$DU340),)</f>
        <v/>
      </c>
      <c r="BT340" s="128">
        <f>IFERROR(AI340*$W340,)</f>
        <v/>
      </c>
      <c r="BU340" s="128">
        <f>IFERROR(AJ340*$W340,)</f>
        <v/>
      </c>
      <c r="BV340" s="128">
        <f>IFERROR(AK340*$W340,)</f>
        <v/>
      </c>
      <c r="BW340" s="128">
        <f>IFERROR(AL340*$W340,)</f>
        <v/>
      </c>
      <c r="BX340" s="128">
        <f>IFERROR(AM340*$W340,)</f>
        <v/>
      </c>
      <c r="BY340" s="128">
        <f>IFERROR(AN340*$W340,)</f>
        <v/>
      </c>
      <c r="BZ340" s="128">
        <f>IFERROR(AO340*$W340,)</f>
        <v/>
      </c>
      <c r="CA340" s="128">
        <f>IFERROR(AP340*$W340,)</f>
        <v/>
      </c>
      <c r="CB340" s="128">
        <f>IFERROR(AQ340*$W340,)</f>
        <v/>
      </c>
      <c r="CC340" s="128">
        <f>IFERROR(AR340*$W340,)</f>
        <v/>
      </c>
      <c r="CD340" s="128">
        <f>IFERROR(AS340*$W340,)</f>
        <v/>
      </c>
      <c r="CE340" s="128">
        <f>IFERROR(AT340*$W340,)</f>
        <v/>
      </c>
      <c r="CF340" s="128">
        <f>IFERROR(AU340*$W340,)</f>
        <v/>
      </c>
      <c r="CG340" s="128">
        <f>IFERROR(AV340*$W340,)</f>
        <v/>
      </c>
      <c r="CH340" s="128">
        <f>IFERROR(AW340*$W340,)</f>
        <v/>
      </c>
      <c r="CI340" s="128">
        <f>IFERROR(AX340*$W340,)</f>
        <v/>
      </c>
      <c r="CJ340" s="128">
        <f>IFERROR(AY340*$W340,)</f>
        <v/>
      </c>
      <c r="CK340" s="128">
        <f>IFERROR(AZ340*$W340,)</f>
        <v/>
      </c>
      <c r="CL340" s="129">
        <f>IFERROR(if($Y340=0,BA340*($W340/1.2),BA340*$Y340),"")</f>
        <v/>
      </c>
      <c r="CM340" s="129">
        <f>IFERROR(if($Y340=0,BB340*($W340/1.2),BB340*$Y340),"")</f>
        <v/>
      </c>
      <c r="CN340" s="129">
        <f>IFERROR(if($Y340=0,BC340*($W340/1.2),BC340*$Y340),"")</f>
        <v/>
      </c>
      <c r="CO340" s="130">
        <f>IFERROR(if($AA340=0,($W340/1.35)*BD340,BD340*$AA340),)</f>
        <v/>
      </c>
      <c r="CP340" s="130">
        <f>IFERROR(if($AA340=0,($W340/1.35)*BE340,BE340*$AA340),)</f>
        <v/>
      </c>
      <c r="CQ340" s="130">
        <f>IFERROR(if($AA340=0,($W340/1.35)*BF340,BF340*$AA340),)</f>
        <v/>
      </c>
      <c r="CR340" s="128">
        <f>IFERROR(if($AC340=0,($W340/0.74)*BG340,
BG340*$AC340),)</f>
        <v/>
      </c>
      <c r="CS340" s="128">
        <f>IFERROR(if($AC340=0,($W340/0.74)*BH340,
BH340*$AC340),)</f>
        <v/>
      </c>
      <c r="CT340" s="128">
        <f>IFERROR(if($AC340=0,($W340/0.74)*BI340,
BI340*$AC340),)</f>
        <v/>
      </c>
      <c r="CU340" s="128">
        <f>IFERROR(AI340*$V340,)</f>
        <v/>
      </c>
      <c r="CV340" s="128">
        <f>IFERROR(AJ340*$V340,)</f>
        <v/>
      </c>
      <c r="CW340" s="128">
        <f>IFERROR(AK340*$V340,)</f>
        <v/>
      </c>
      <c r="CX340" s="128">
        <f>IFERROR(AL340*$V340,)</f>
        <v/>
      </c>
      <c r="CY340" s="128">
        <f>IFERROR(AM340*$V340,)</f>
        <v/>
      </c>
      <c r="CZ340" s="128">
        <f>IFERROR(AN340*$V340,)</f>
        <v/>
      </c>
      <c r="DA340" s="128">
        <f>IFERROR(AO340*$V340,)</f>
        <v/>
      </c>
      <c r="DB340" s="128">
        <f>IFERROR(AP340*$V340,)</f>
        <v/>
      </c>
      <c r="DC340" s="128">
        <f>IFERROR(AQ340*$V340,)</f>
        <v/>
      </c>
      <c r="DD340" s="128">
        <f>IFERROR(AR340*$V340,)</f>
        <v/>
      </c>
      <c r="DE340" s="128">
        <f>IFERROR(AS340*$V340,)</f>
        <v/>
      </c>
      <c r="DF340" s="128">
        <f>IFERROR(AT340*$V340,)</f>
        <v/>
      </c>
      <c r="DG340" s="128">
        <f>IFERROR(AU340*$V340,)</f>
        <v/>
      </c>
      <c r="DH340" s="128">
        <f>IFERROR(AV340*$V340,)</f>
        <v/>
      </c>
      <c r="DI340" s="128">
        <f>IFERROR(AW340*$V340,)</f>
        <v/>
      </c>
      <c r="DJ340" s="128">
        <f>IFERROR(AX340*$V340,)</f>
        <v/>
      </c>
      <c r="DK340" s="128">
        <f>IFERROR(AY340*$V340,)</f>
        <v/>
      </c>
      <c r="DL340" s="128">
        <f>IFERROR(AZ340*$V340,)</f>
        <v/>
      </c>
      <c r="DM340" s="129">
        <f>IFERROR(if($X340=0,($V340/1.2)*BA340,
BA340*$X340),)</f>
        <v/>
      </c>
      <c r="DN340" s="129">
        <f>IFERROR(if($X340=0,($V340/1.2)*BB340,
BB340*$X340),)</f>
        <v/>
      </c>
      <c r="DO340" s="129">
        <f>IFERROR(if($X340=0,($V340/1.2)*BC340,
BC340*$X340),)</f>
        <v/>
      </c>
      <c r="DP340" s="130">
        <f>IFERROR(if($Z340=0,($V340/1.35)*BD340,
BD340*$Z340),)</f>
        <v/>
      </c>
      <c r="DQ340" s="130">
        <f>IFERROR(if($Z340=0,($V340/1.35)*BE340,
BE340*$Z340),)</f>
        <v/>
      </c>
      <c r="DR340" s="130">
        <f>IFERROR(if($Z340=0,($V340/1.35)*BF340,
BF340*$Z340),)</f>
        <v/>
      </c>
      <c r="DS340" s="128">
        <f>IFERROR(IF($AB340=0,($V340/0.74)*BG340,
BG340*$AB340),)</f>
        <v/>
      </c>
      <c r="DT340" s="128">
        <f>IFERROR(IF($AB340=0,($V340/0.74)*BH340,
BH340*$AB340),)</f>
        <v/>
      </c>
      <c r="DU340" s="128">
        <f>IFERROR(IF($AB340=0,($V340/0.74)*BI340,
BI340*$AB340),)</f>
        <v/>
      </c>
    </row>
    <row r="341" ht="131.25" customHeight="1" s="162">
      <c r="A341" s="115" t="n"/>
      <c r="B341" s="115" t="n"/>
      <c r="C341" s="115" t="n"/>
      <c r="D341" s="115" t="n"/>
      <c r="E341" s="115" t="n"/>
      <c r="F341" s="115" t="n"/>
      <c r="G341" s="115" t="n"/>
      <c r="H341" s="115" t="n"/>
      <c r="I341" s="115" t="n"/>
      <c r="J341" s="115" t="n"/>
      <c r="K341" s="115" t="n"/>
      <c r="L341" s="115" t="n"/>
      <c r="M341" s="115" t="n"/>
      <c r="N341" s="115" t="n"/>
      <c r="O341" s="115" t="n"/>
      <c r="P341" s="115" t="n"/>
      <c r="Q341" s="115" t="n"/>
      <c r="R341" s="115" t="n"/>
      <c r="S341" s="115" t="n"/>
      <c r="T341" s="115" t="n"/>
      <c r="U341" s="116" t="n"/>
      <c r="V341" s="116" t="n"/>
      <c r="W341" s="117" t="n"/>
      <c r="X341" s="118" t="n"/>
      <c r="Y341" s="119" t="n"/>
      <c r="Z341" s="120" t="n"/>
      <c r="AA341" s="121" t="n"/>
      <c r="AB341" s="122" t="n"/>
      <c r="AC341" s="117" t="n"/>
      <c r="AD341" s="123">
        <f>IF(SUM($AE341:$AH341)=0,"",SUM($AE341:$AH341))</f>
        <v/>
      </c>
      <c r="AE341" s="123">
        <f>iferror(IF(SUM($AI341:$AZ341)=0,"",SUM($AI341:$AZ341)),"")</f>
        <v/>
      </c>
      <c r="AF341" s="123">
        <f>iferror(IF(SUM($BA341:$BC341)=0,"",SUM($BA341:$BC341)),"")</f>
        <v/>
      </c>
      <c r="AG341" s="123">
        <f>iferror(IF(SUM($BD341:$BF341)=0,"",SUM($BD341:$BF341)),"")</f>
        <v/>
      </c>
      <c r="AH341" s="124">
        <f>iferror(IF(SUM($BG341:$BI341)=0,"",SUM($BG341:$BI341)),"")</f>
        <v/>
      </c>
      <c r="AI341" s="131" t="n"/>
      <c r="AJ341" s="132" t="n"/>
      <c r="AK341" s="132" t="n"/>
      <c r="AL341" s="132" t="n"/>
      <c r="AM341" s="132" t="n"/>
      <c r="AN341" s="132" t="n"/>
      <c r="AO341" s="132" t="n"/>
      <c r="AP341" s="132" t="n"/>
      <c r="AQ341" s="132" t="n"/>
      <c r="AR341" s="132" t="n"/>
      <c r="AS341" s="132" t="n"/>
      <c r="AT341" s="132" t="n"/>
      <c r="AU341" s="132" t="n"/>
      <c r="AV341" s="132" t="n"/>
      <c r="AW341" s="132" t="n"/>
      <c r="AX341" s="132" t="n"/>
      <c r="AY341" s="132" t="n"/>
      <c r="AZ341" s="133" t="n"/>
      <c r="BA341" s="131" t="n"/>
      <c r="BB341" s="132" t="n"/>
      <c r="BC341" s="133" t="n"/>
      <c r="BD341" s="131" t="n"/>
      <c r="BE341" s="132" t="n"/>
      <c r="BF341" s="133" t="n"/>
      <c r="BG341" s="131" t="n"/>
      <c r="BH341" s="132" t="n"/>
      <c r="BI341" s="132" t="n"/>
      <c r="BJ341" s="128">
        <f>iferror(SUM($BK341,($BL341*1.2),($BM341*1.35),($BN341*0.74)),)</f>
        <v/>
      </c>
      <c r="BK341" s="128">
        <f>IFERROR(SUM($BT341:$CK341),)</f>
        <v/>
      </c>
      <c r="BL341" s="129">
        <f>IFERROR(SUM($CL341:$CN341),)</f>
        <v/>
      </c>
      <c r="BM341" s="130">
        <f>IFERROR(SUM($CO341:$CQ341),)</f>
        <v/>
      </c>
      <c r="BN341" s="128">
        <f>IFERROR(SUM($CR341:$CT341),)</f>
        <v/>
      </c>
      <c r="BO341" s="128">
        <f>iferror(SUM($BP341,($BQ341*1.2),($BR341*1.35),($BS341*0.74)),)</f>
        <v/>
      </c>
      <c r="BP341" s="128">
        <f>IFERROR(SUM($CU341:$DL341),)</f>
        <v/>
      </c>
      <c r="BQ341" s="128">
        <f>IFERROR(SUM($DM341:$DO341),)</f>
        <v/>
      </c>
      <c r="BR341" s="128">
        <f>IFERROR(SUM($DP341:$DR341),)</f>
        <v/>
      </c>
      <c r="BS341" s="128">
        <f>IFERROR(SUM($DS341:$DU341),)</f>
        <v/>
      </c>
      <c r="BT341" s="128">
        <f>IFERROR(AI341*$W341,)</f>
        <v/>
      </c>
      <c r="BU341" s="128">
        <f>IFERROR(AJ341*$W341,)</f>
        <v/>
      </c>
      <c r="BV341" s="128">
        <f>IFERROR(AK341*$W341,)</f>
        <v/>
      </c>
      <c r="BW341" s="128">
        <f>IFERROR(AL341*$W341,)</f>
        <v/>
      </c>
      <c r="BX341" s="128">
        <f>IFERROR(AM341*$W341,)</f>
        <v/>
      </c>
      <c r="BY341" s="128">
        <f>IFERROR(AN341*$W341,)</f>
        <v/>
      </c>
      <c r="BZ341" s="128">
        <f>IFERROR(AO341*$W341,)</f>
        <v/>
      </c>
      <c r="CA341" s="128">
        <f>IFERROR(AP341*$W341,)</f>
        <v/>
      </c>
      <c r="CB341" s="128">
        <f>IFERROR(AQ341*$W341,)</f>
        <v/>
      </c>
      <c r="CC341" s="128">
        <f>IFERROR(AR341*$W341,)</f>
        <v/>
      </c>
      <c r="CD341" s="128">
        <f>IFERROR(AS341*$W341,)</f>
        <v/>
      </c>
      <c r="CE341" s="128">
        <f>IFERROR(AT341*$W341,)</f>
        <v/>
      </c>
      <c r="CF341" s="128">
        <f>IFERROR(AU341*$W341,)</f>
        <v/>
      </c>
      <c r="CG341" s="128">
        <f>IFERROR(AV341*$W341,)</f>
        <v/>
      </c>
      <c r="CH341" s="128">
        <f>IFERROR(AW341*$W341,)</f>
        <v/>
      </c>
      <c r="CI341" s="128">
        <f>IFERROR(AX341*$W341,)</f>
        <v/>
      </c>
      <c r="CJ341" s="128">
        <f>IFERROR(AY341*$W341,)</f>
        <v/>
      </c>
      <c r="CK341" s="128">
        <f>IFERROR(AZ341*$W341,)</f>
        <v/>
      </c>
      <c r="CL341" s="129">
        <f>IFERROR(if($Y341=0,BA341*($W341/1.2),BA341*$Y341),"")</f>
        <v/>
      </c>
      <c r="CM341" s="129">
        <f>IFERROR(if($Y341=0,BB341*($W341/1.2),BB341*$Y341),"")</f>
        <v/>
      </c>
      <c r="CN341" s="129">
        <f>IFERROR(if($Y341=0,BC341*($W341/1.2),BC341*$Y341),"")</f>
        <v/>
      </c>
      <c r="CO341" s="130">
        <f>IFERROR(if($AA341=0,($W341/1.35)*BD341,BD341*$AA341),)</f>
        <v/>
      </c>
      <c r="CP341" s="130">
        <f>IFERROR(if($AA341=0,($W341/1.35)*BE341,BE341*$AA341),)</f>
        <v/>
      </c>
      <c r="CQ341" s="130">
        <f>IFERROR(if($AA341=0,($W341/1.35)*BF341,BF341*$AA341),)</f>
        <v/>
      </c>
      <c r="CR341" s="128">
        <f>IFERROR(if($AC341=0,($W341/0.74)*BG341,
BG341*$AC341),)</f>
        <v/>
      </c>
      <c r="CS341" s="128">
        <f>IFERROR(if($AC341=0,($W341/0.74)*BH341,
BH341*$AC341),)</f>
        <v/>
      </c>
      <c r="CT341" s="128">
        <f>IFERROR(if($AC341=0,($W341/0.74)*BI341,
BI341*$AC341),)</f>
        <v/>
      </c>
      <c r="CU341" s="128">
        <f>IFERROR(AI341*$V341,)</f>
        <v/>
      </c>
      <c r="CV341" s="128">
        <f>IFERROR(AJ341*$V341,)</f>
        <v/>
      </c>
      <c r="CW341" s="128">
        <f>IFERROR(AK341*$V341,)</f>
        <v/>
      </c>
      <c r="CX341" s="128">
        <f>IFERROR(AL341*$V341,)</f>
        <v/>
      </c>
      <c r="CY341" s="128">
        <f>IFERROR(AM341*$V341,)</f>
        <v/>
      </c>
      <c r="CZ341" s="128">
        <f>IFERROR(AN341*$V341,)</f>
        <v/>
      </c>
      <c r="DA341" s="128">
        <f>IFERROR(AO341*$V341,)</f>
        <v/>
      </c>
      <c r="DB341" s="128">
        <f>IFERROR(AP341*$V341,)</f>
        <v/>
      </c>
      <c r="DC341" s="128">
        <f>IFERROR(AQ341*$V341,)</f>
        <v/>
      </c>
      <c r="DD341" s="128">
        <f>IFERROR(AR341*$V341,)</f>
        <v/>
      </c>
      <c r="DE341" s="128">
        <f>IFERROR(AS341*$V341,)</f>
        <v/>
      </c>
      <c r="DF341" s="128">
        <f>IFERROR(AT341*$V341,)</f>
        <v/>
      </c>
      <c r="DG341" s="128">
        <f>IFERROR(AU341*$V341,)</f>
        <v/>
      </c>
      <c r="DH341" s="128">
        <f>IFERROR(AV341*$V341,)</f>
        <v/>
      </c>
      <c r="DI341" s="128">
        <f>IFERROR(AW341*$V341,)</f>
        <v/>
      </c>
      <c r="DJ341" s="128">
        <f>IFERROR(AX341*$V341,)</f>
        <v/>
      </c>
      <c r="DK341" s="128">
        <f>IFERROR(AY341*$V341,)</f>
        <v/>
      </c>
      <c r="DL341" s="128">
        <f>IFERROR(AZ341*$V341,)</f>
        <v/>
      </c>
      <c r="DM341" s="129">
        <f>IFERROR(if($X341=0,($V341/1.2)*BA341,
BA341*$X341),)</f>
        <v/>
      </c>
      <c r="DN341" s="129">
        <f>IFERROR(if($X341=0,($V341/1.2)*BB341,
BB341*$X341),)</f>
        <v/>
      </c>
      <c r="DO341" s="129">
        <f>IFERROR(if($X341=0,($V341/1.2)*BC341,
BC341*$X341),)</f>
        <v/>
      </c>
      <c r="DP341" s="130">
        <f>IFERROR(if($Z341=0,($V341/1.35)*BD341,
BD341*$Z341),)</f>
        <v/>
      </c>
      <c r="DQ341" s="130">
        <f>IFERROR(if($Z341=0,($V341/1.35)*BE341,
BE341*$Z341),)</f>
        <v/>
      </c>
      <c r="DR341" s="130">
        <f>IFERROR(if($Z341=0,($V341/1.35)*BF341,
BF341*$Z341),)</f>
        <v/>
      </c>
      <c r="DS341" s="128">
        <f>IFERROR(IF($AB341=0,($V341/0.74)*BG341,
BG341*$AB341),)</f>
        <v/>
      </c>
      <c r="DT341" s="128">
        <f>IFERROR(IF($AB341=0,($V341/0.74)*BH341,
BH341*$AB341),)</f>
        <v/>
      </c>
      <c r="DU341" s="128">
        <f>IFERROR(IF($AB341=0,($V341/0.74)*BI341,
BI341*$AB341),)</f>
        <v/>
      </c>
    </row>
    <row r="342" ht="131.25" customHeight="1" s="162">
      <c r="A342" s="115" t="n"/>
      <c r="B342" s="115" t="n"/>
      <c r="C342" s="115" t="n"/>
      <c r="D342" s="115" t="n"/>
      <c r="E342" s="115" t="n"/>
      <c r="F342" s="115" t="n"/>
      <c r="G342" s="115" t="n"/>
      <c r="H342" s="115" t="n"/>
      <c r="I342" s="115" t="n"/>
      <c r="J342" s="115" t="n"/>
      <c r="K342" s="115" t="n"/>
      <c r="L342" s="115" t="n"/>
      <c r="M342" s="115" t="n"/>
      <c r="N342" s="115" t="n"/>
      <c r="O342" s="115" t="n"/>
      <c r="P342" s="115" t="n"/>
      <c r="Q342" s="115" t="n"/>
      <c r="R342" s="115" t="n"/>
      <c r="S342" s="115" t="n"/>
      <c r="T342" s="115" t="n"/>
      <c r="U342" s="116" t="n"/>
      <c r="V342" s="116" t="n"/>
      <c r="W342" s="117" t="n"/>
      <c r="X342" s="118" t="n"/>
      <c r="Y342" s="119" t="n"/>
      <c r="Z342" s="120" t="n"/>
      <c r="AA342" s="121" t="n"/>
      <c r="AB342" s="122" t="n"/>
      <c r="AC342" s="117" t="n"/>
      <c r="AD342" s="123">
        <f>IF(SUM($AE342:$AH342)=0,"",SUM($AE342:$AH342))</f>
        <v/>
      </c>
      <c r="AE342" s="123">
        <f>iferror(IF(SUM($AI342:$AZ342)=0,"",SUM($AI342:$AZ342)),"")</f>
        <v/>
      </c>
      <c r="AF342" s="123">
        <f>iferror(IF(SUM($BA342:$BC342)=0,"",SUM($BA342:$BC342)),"")</f>
        <v/>
      </c>
      <c r="AG342" s="123">
        <f>iferror(IF(SUM($BD342:$BF342)=0,"",SUM($BD342:$BF342)),"")</f>
        <v/>
      </c>
      <c r="AH342" s="124">
        <f>iferror(IF(SUM($BG342:$BI342)=0,"",SUM($BG342:$BI342)),"")</f>
        <v/>
      </c>
      <c r="AI342" s="131" t="n"/>
      <c r="AJ342" s="132" t="n"/>
      <c r="AK342" s="132" t="n"/>
      <c r="AL342" s="132" t="n"/>
      <c r="AM342" s="132" t="n"/>
      <c r="AN342" s="132" t="n"/>
      <c r="AO342" s="132" t="n"/>
      <c r="AP342" s="132" t="n"/>
      <c r="AQ342" s="132" t="n"/>
      <c r="AR342" s="132" t="n"/>
      <c r="AS342" s="132" t="n"/>
      <c r="AT342" s="132" t="n"/>
      <c r="AU342" s="132" t="n"/>
      <c r="AV342" s="132" t="n"/>
      <c r="AW342" s="132" t="n"/>
      <c r="AX342" s="132" t="n"/>
      <c r="AY342" s="132" t="n"/>
      <c r="AZ342" s="133" t="n"/>
      <c r="BA342" s="131" t="n"/>
      <c r="BB342" s="132" t="n"/>
      <c r="BC342" s="133" t="n"/>
      <c r="BD342" s="131" t="n"/>
      <c r="BE342" s="132" t="n"/>
      <c r="BF342" s="133" t="n"/>
      <c r="BG342" s="131" t="n"/>
      <c r="BH342" s="132" t="n"/>
      <c r="BI342" s="132" t="n"/>
      <c r="BJ342" s="128">
        <f>iferror(SUM($BK342,($BL342*1.2),($BM342*1.35),($BN342*0.74)),)</f>
        <v/>
      </c>
      <c r="BK342" s="128">
        <f>IFERROR(SUM($BT342:$CK342),)</f>
        <v/>
      </c>
      <c r="BL342" s="129">
        <f>IFERROR(SUM($CL342:$CN342),)</f>
        <v/>
      </c>
      <c r="BM342" s="130">
        <f>IFERROR(SUM($CO342:$CQ342),)</f>
        <v/>
      </c>
      <c r="BN342" s="128">
        <f>IFERROR(SUM($CR342:$CT342),)</f>
        <v/>
      </c>
      <c r="BO342" s="128">
        <f>iferror(SUM($BP342,($BQ342*1.2),($BR342*1.35),($BS342*0.74)),)</f>
        <v/>
      </c>
      <c r="BP342" s="128">
        <f>IFERROR(SUM($CU342:$DL342),)</f>
        <v/>
      </c>
      <c r="BQ342" s="128">
        <f>IFERROR(SUM($DM342:$DO342),)</f>
        <v/>
      </c>
      <c r="BR342" s="128">
        <f>IFERROR(SUM($DP342:$DR342),)</f>
        <v/>
      </c>
      <c r="BS342" s="128">
        <f>IFERROR(SUM($DS342:$DU342),)</f>
        <v/>
      </c>
      <c r="BT342" s="128">
        <f>IFERROR(AI342*$W342,)</f>
        <v/>
      </c>
      <c r="BU342" s="128">
        <f>IFERROR(AJ342*$W342,)</f>
        <v/>
      </c>
      <c r="BV342" s="128">
        <f>IFERROR(AK342*$W342,)</f>
        <v/>
      </c>
      <c r="BW342" s="128">
        <f>IFERROR(AL342*$W342,)</f>
        <v/>
      </c>
      <c r="BX342" s="128">
        <f>IFERROR(AM342*$W342,)</f>
        <v/>
      </c>
      <c r="BY342" s="128">
        <f>IFERROR(AN342*$W342,)</f>
        <v/>
      </c>
      <c r="BZ342" s="128">
        <f>IFERROR(AO342*$W342,)</f>
        <v/>
      </c>
      <c r="CA342" s="128">
        <f>IFERROR(AP342*$W342,)</f>
        <v/>
      </c>
      <c r="CB342" s="128">
        <f>IFERROR(AQ342*$W342,)</f>
        <v/>
      </c>
      <c r="CC342" s="128">
        <f>IFERROR(AR342*$W342,)</f>
        <v/>
      </c>
      <c r="CD342" s="128">
        <f>IFERROR(AS342*$W342,)</f>
        <v/>
      </c>
      <c r="CE342" s="128">
        <f>IFERROR(AT342*$W342,)</f>
        <v/>
      </c>
      <c r="CF342" s="128">
        <f>IFERROR(AU342*$W342,)</f>
        <v/>
      </c>
      <c r="CG342" s="128">
        <f>IFERROR(AV342*$W342,)</f>
        <v/>
      </c>
      <c r="CH342" s="128">
        <f>IFERROR(AW342*$W342,)</f>
        <v/>
      </c>
      <c r="CI342" s="128">
        <f>IFERROR(AX342*$W342,)</f>
        <v/>
      </c>
      <c r="CJ342" s="128">
        <f>IFERROR(AY342*$W342,)</f>
        <v/>
      </c>
      <c r="CK342" s="128">
        <f>IFERROR(AZ342*$W342,)</f>
        <v/>
      </c>
      <c r="CL342" s="129">
        <f>IFERROR(if($Y342=0,BA342*($W342/1.2),BA342*$Y342),"")</f>
        <v/>
      </c>
      <c r="CM342" s="129">
        <f>IFERROR(if($Y342=0,BB342*($W342/1.2),BB342*$Y342),"")</f>
        <v/>
      </c>
      <c r="CN342" s="129">
        <f>IFERROR(if($Y342=0,BC342*($W342/1.2),BC342*$Y342),"")</f>
        <v/>
      </c>
      <c r="CO342" s="130">
        <f>IFERROR(if($AA342=0,($W342/1.35)*BD342,BD342*$AA342),)</f>
        <v/>
      </c>
      <c r="CP342" s="130">
        <f>IFERROR(if($AA342=0,($W342/1.35)*BE342,BE342*$AA342),)</f>
        <v/>
      </c>
      <c r="CQ342" s="130">
        <f>IFERROR(if($AA342=0,($W342/1.35)*BF342,BF342*$AA342),)</f>
        <v/>
      </c>
      <c r="CR342" s="128">
        <f>IFERROR(if($AC342=0,($W342/0.74)*BG342,
BG342*$AC342),)</f>
        <v/>
      </c>
      <c r="CS342" s="128">
        <f>IFERROR(if($AC342=0,($W342/0.74)*BH342,
BH342*$AC342),)</f>
        <v/>
      </c>
      <c r="CT342" s="128">
        <f>IFERROR(if($AC342=0,($W342/0.74)*BI342,
BI342*$AC342),)</f>
        <v/>
      </c>
      <c r="CU342" s="128">
        <f>IFERROR(AI342*$V342,)</f>
        <v/>
      </c>
      <c r="CV342" s="128">
        <f>IFERROR(AJ342*$V342,)</f>
        <v/>
      </c>
      <c r="CW342" s="128">
        <f>IFERROR(AK342*$V342,)</f>
        <v/>
      </c>
      <c r="CX342" s="128">
        <f>IFERROR(AL342*$V342,)</f>
        <v/>
      </c>
      <c r="CY342" s="128">
        <f>IFERROR(AM342*$V342,)</f>
        <v/>
      </c>
      <c r="CZ342" s="128">
        <f>IFERROR(AN342*$V342,)</f>
        <v/>
      </c>
      <c r="DA342" s="128">
        <f>IFERROR(AO342*$V342,)</f>
        <v/>
      </c>
      <c r="DB342" s="128">
        <f>IFERROR(AP342*$V342,)</f>
        <v/>
      </c>
      <c r="DC342" s="128">
        <f>IFERROR(AQ342*$V342,)</f>
        <v/>
      </c>
      <c r="DD342" s="128">
        <f>IFERROR(AR342*$V342,)</f>
        <v/>
      </c>
      <c r="DE342" s="128">
        <f>IFERROR(AS342*$V342,)</f>
        <v/>
      </c>
      <c r="DF342" s="128">
        <f>IFERROR(AT342*$V342,)</f>
        <v/>
      </c>
      <c r="DG342" s="128">
        <f>IFERROR(AU342*$V342,)</f>
        <v/>
      </c>
      <c r="DH342" s="128">
        <f>IFERROR(AV342*$V342,)</f>
        <v/>
      </c>
      <c r="DI342" s="128">
        <f>IFERROR(AW342*$V342,)</f>
        <v/>
      </c>
      <c r="DJ342" s="128">
        <f>IFERROR(AX342*$V342,)</f>
        <v/>
      </c>
      <c r="DK342" s="128">
        <f>IFERROR(AY342*$V342,)</f>
        <v/>
      </c>
      <c r="DL342" s="128">
        <f>IFERROR(AZ342*$V342,)</f>
        <v/>
      </c>
      <c r="DM342" s="129">
        <f>IFERROR(if($X342=0,($V342/1.2)*BA342,
BA342*$X342),)</f>
        <v/>
      </c>
      <c r="DN342" s="129">
        <f>IFERROR(if($X342=0,($V342/1.2)*BB342,
BB342*$X342),)</f>
        <v/>
      </c>
      <c r="DO342" s="129">
        <f>IFERROR(if($X342=0,($V342/1.2)*BC342,
BC342*$X342),)</f>
        <v/>
      </c>
      <c r="DP342" s="130">
        <f>IFERROR(if($Z342=0,($V342/1.35)*BD342,
BD342*$Z342),)</f>
        <v/>
      </c>
      <c r="DQ342" s="130">
        <f>IFERROR(if($Z342=0,($V342/1.35)*BE342,
BE342*$Z342),)</f>
        <v/>
      </c>
      <c r="DR342" s="130">
        <f>IFERROR(if($Z342=0,($V342/1.35)*BF342,
BF342*$Z342),)</f>
        <v/>
      </c>
      <c r="DS342" s="128">
        <f>IFERROR(IF($AB342=0,($V342/0.74)*BG342,
BG342*$AB342),)</f>
        <v/>
      </c>
      <c r="DT342" s="128">
        <f>IFERROR(IF($AB342=0,($V342/0.74)*BH342,
BH342*$AB342),)</f>
        <v/>
      </c>
      <c r="DU342" s="128">
        <f>IFERROR(IF($AB342=0,($V342/0.74)*BI342,
BI342*$AB342),)</f>
        <v/>
      </c>
    </row>
    <row r="343" ht="131.25" customHeight="1" s="162">
      <c r="A343" s="115" t="n"/>
      <c r="B343" s="115" t="n"/>
      <c r="C343" s="115" t="n"/>
      <c r="D343" s="115" t="n"/>
      <c r="E343" s="115" t="n"/>
      <c r="F343" s="115" t="n"/>
      <c r="G343" s="115" t="n"/>
      <c r="H343" s="115" t="n"/>
      <c r="I343" s="115" t="n"/>
      <c r="J343" s="115" t="n"/>
      <c r="K343" s="115" t="n"/>
      <c r="L343" s="115" t="n"/>
      <c r="M343" s="115" t="n"/>
      <c r="N343" s="115" t="n"/>
      <c r="O343" s="115" t="n"/>
      <c r="P343" s="115" t="n"/>
      <c r="Q343" s="115" t="n"/>
      <c r="R343" s="115" t="n"/>
      <c r="S343" s="115" t="n"/>
      <c r="T343" s="115" t="n"/>
      <c r="U343" s="116" t="n"/>
      <c r="V343" s="116" t="n"/>
      <c r="W343" s="117" t="n"/>
      <c r="X343" s="118" t="n"/>
      <c r="Y343" s="119" t="n"/>
      <c r="Z343" s="120" t="n"/>
      <c r="AA343" s="121" t="n"/>
      <c r="AB343" s="122" t="n"/>
      <c r="AC343" s="117" t="n"/>
      <c r="AD343" s="123">
        <f>IF(SUM($AE343:$AH343)=0,"",SUM($AE343:$AH343))</f>
        <v/>
      </c>
      <c r="AE343" s="123">
        <f>iferror(IF(SUM($AI343:$AZ343)=0,"",SUM($AI343:$AZ343)),"")</f>
        <v/>
      </c>
      <c r="AF343" s="123">
        <f>iferror(IF(SUM($BA343:$BC343)=0,"",SUM($BA343:$BC343)),"")</f>
        <v/>
      </c>
      <c r="AG343" s="123">
        <f>iferror(IF(SUM($BD343:$BF343)=0,"",SUM($BD343:$BF343)),"")</f>
        <v/>
      </c>
      <c r="AH343" s="124">
        <f>iferror(IF(SUM($BG343:$BI343)=0,"",SUM($BG343:$BI343)),"")</f>
        <v/>
      </c>
      <c r="AI343" s="131" t="n"/>
      <c r="AJ343" s="132" t="n"/>
      <c r="AK343" s="132" t="n"/>
      <c r="AL343" s="132" t="n"/>
      <c r="AM343" s="132" t="n"/>
      <c r="AN343" s="132" t="n"/>
      <c r="AO343" s="132" t="n"/>
      <c r="AP343" s="132" t="n"/>
      <c r="AQ343" s="132" t="n"/>
      <c r="AR343" s="132" t="n"/>
      <c r="AS343" s="132" t="n"/>
      <c r="AT343" s="132" t="n"/>
      <c r="AU343" s="132" t="n"/>
      <c r="AV343" s="132" t="n"/>
      <c r="AW343" s="132" t="n"/>
      <c r="AX343" s="132" t="n"/>
      <c r="AY343" s="132" t="n"/>
      <c r="AZ343" s="133" t="n"/>
      <c r="BA343" s="131" t="n"/>
      <c r="BB343" s="132" t="n"/>
      <c r="BC343" s="133" t="n"/>
      <c r="BD343" s="131" t="n"/>
      <c r="BE343" s="132" t="n"/>
      <c r="BF343" s="133" t="n"/>
      <c r="BG343" s="131" t="n"/>
      <c r="BH343" s="132" t="n"/>
      <c r="BI343" s="132" t="n"/>
      <c r="BJ343" s="128">
        <f>iferror(SUM($BK343,($BL343*1.2),($BM343*1.35),($BN343*0.74)),)</f>
        <v/>
      </c>
      <c r="BK343" s="128">
        <f>IFERROR(SUM($BT343:$CK343),)</f>
        <v/>
      </c>
      <c r="BL343" s="129">
        <f>IFERROR(SUM($CL343:$CN343),)</f>
        <v/>
      </c>
      <c r="BM343" s="130">
        <f>IFERROR(SUM($CO343:$CQ343),)</f>
        <v/>
      </c>
      <c r="BN343" s="128">
        <f>IFERROR(SUM($CR343:$CT343),)</f>
        <v/>
      </c>
      <c r="BO343" s="128">
        <f>iferror(SUM($BP343,($BQ343*1.2),($BR343*1.35),($BS343*0.74)),)</f>
        <v/>
      </c>
      <c r="BP343" s="128">
        <f>IFERROR(SUM($CU343:$DL343),)</f>
        <v/>
      </c>
      <c r="BQ343" s="128">
        <f>IFERROR(SUM($DM343:$DO343),)</f>
        <v/>
      </c>
      <c r="BR343" s="128">
        <f>IFERROR(SUM($DP343:$DR343),)</f>
        <v/>
      </c>
      <c r="BS343" s="128">
        <f>IFERROR(SUM($DS343:$DU343),)</f>
        <v/>
      </c>
      <c r="BT343" s="128">
        <f>IFERROR(AI343*$W343,)</f>
        <v/>
      </c>
      <c r="BU343" s="128">
        <f>IFERROR(AJ343*$W343,)</f>
        <v/>
      </c>
      <c r="BV343" s="128">
        <f>IFERROR(AK343*$W343,)</f>
        <v/>
      </c>
      <c r="BW343" s="128">
        <f>IFERROR(AL343*$W343,)</f>
        <v/>
      </c>
      <c r="BX343" s="128">
        <f>IFERROR(AM343*$W343,)</f>
        <v/>
      </c>
      <c r="BY343" s="128">
        <f>IFERROR(AN343*$W343,)</f>
        <v/>
      </c>
      <c r="BZ343" s="128">
        <f>IFERROR(AO343*$W343,)</f>
        <v/>
      </c>
      <c r="CA343" s="128">
        <f>IFERROR(AP343*$W343,)</f>
        <v/>
      </c>
      <c r="CB343" s="128">
        <f>IFERROR(AQ343*$W343,)</f>
        <v/>
      </c>
      <c r="CC343" s="128">
        <f>IFERROR(AR343*$W343,)</f>
        <v/>
      </c>
      <c r="CD343" s="128">
        <f>IFERROR(AS343*$W343,)</f>
        <v/>
      </c>
      <c r="CE343" s="128">
        <f>IFERROR(AT343*$W343,)</f>
        <v/>
      </c>
      <c r="CF343" s="128">
        <f>IFERROR(AU343*$W343,)</f>
        <v/>
      </c>
      <c r="CG343" s="128">
        <f>IFERROR(AV343*$W343,)</f>
        <v/>
      </c>
      <c r="CH343" s="128">
        <f>IFERROR(AW343*$W343,)</f>
        <v/>
      </c>
      <c r="CI343" s="128">
        <f>IFERROR(AX343*$W343,)</f>
        <v/>
      </c>
      <c r="CJ343" s="128">
        <f>IFERROR(AY343*$W343,)</f>
        <v/>
      </c>
      <c r="CK343" s="128">
        <f>IFERROR(AZ343*$W343,)</f>
        <v/>
      </c>
      <c r="CL343" s="129">
        <f>IFERROR(if($Y343=0,BA343*($W343/1.2),BA343*$Y343),"")</f>
        <v/>
      </c>
      <c r="CM343" s="129">
        <f>IFERROR(if($Y343=0,BB343*($W343/1.2),BB343*$Y343),"")</f>
        <v/>
      </c>
      <c r="CN343" s="129">
        <f>IFERROR(if($Y343=0,BC343*($W343/1.2),BC343*$Y343),"")</f>
        <v/>
      </c>
      <c r="CO343" s="130">
        <f>IFERROR(if($AA343=0,($W343/1.35)*BD343,BD343*$AA343),)</f>
        <v/>
      </c>
      <c r="CP343" s="130">
        <f>IFERROR(if($AA343=0,($W343/1.35)*BE343,BE343*$AA343),)</f>
        <v/>
      </c>
      <c r="CQ343" s="130">
        <f>IFERROR(if($AA343=0,($W343/1.35)*BF343,BF343*$AA343),)</f>
        <v/>
      </c>
      <c r="CR343" s="128">
        <f>IFERROR(if($AC343=0,($W343/0.74)*BG343,
BG343*$AC343),)</f>
        <v/>
      </c>
      <c r="CS343" s="128">
        <f>IFERROR(if($AC343=0,($W343/0.74)*BH343,
BH343*$AC343),)</f>
        <v/>
      </c>
      <c r="CT343" s="128">
        <f>IFERROR(if($AC343=0,($W343/0.74)*BI343,
BI343*$AC343),)</f>
        <v/>
      </c>
      <c r="CU343" s="128">
        <f>IFERROR(AI343*$V343,)</f>
        <v/>
      </c>
      <c r="CV343" s="128">
        <f>IFERROR(AJ343*$V343,)</f>
        <v/>
      </c>
      <c r="CW343" s="128">
        <f>IFERROR(AK343*$V343,)</f>
        <v/>
      </c>
      <c r="CX343" s="128">
        <f>IFERROR(AL343*$V343,)</f>
        <v/>
      </c>
      <c r="CY343" s="128">
        <f>IFERROR(AM343*$V343,)</f>
        <v/>
      </c>
      <c r="CZ343" s="128">
        <f>IFERROR(AN343*$V343,)</f>
        <v/>
      </c>
      <c r="DA343" s="128">
        <f>IFERROR(AO343*$V343,)</f>
        <v/>
      </c>
      <c r="DB343" s="128">
        <f>IFERROR(AP343*$V343,)</f>
        <v/>
      </c>
      <c r="DC343" s="128">
        <f>IFERROR(AQ343*$V343,)</f>
        <v/>
      </c>
      <c r="DD343" s="128">
        <f>IFERROR(AR343*$V343,)</f>
        <v/>
      </c>
      <c r="DE343" s="128">
        <f>IFERROR(AS343*$V343,)</f>
        <v/>
      </c>
      <c r="DF343" s="128">
        <f>IFERROR(AT343*$V343,)</f>
        <v/>
      </c>
      <c r="DG343" s="128">
        <f>IFERROR(AU343*$V343,)</f>
        <v/>
      </c>
      <c r="DH343" s="128">
        <f>IFERROR(AV343*$V343,)</f>
        <v/>
      </c>
      <c r="DI343" s="128">
        <f>IFERROR(AW343*$V343,)</f>
        <v/>
      </c>
      <c r="DJ343" s="128">
        <f>IFERROR(AX343*$V343,)</f>
        <v/>
      </c>
      <c r="DK343" s="128">
        <f>IFERROR(AY343*$V343,)</f>
        <v/>
      </c>
      <c r="DL343" s="128">
        <f>IFERROR(AZ343*$V343,)</f>
        <v/>
      </c>
      <c r="DM343" s="129">
        <f>IFERROR(if($X343=0,($V343/1.2)*BA343,
BA343*$X343),)</f>
        <v/>
      </c>
      <c r="DN343" s="129">
        <f>IFERROR(if($X343=0,($V343/1.2)*BB343,
BB343*$X343),)</f>
        <v/>
      </c>
      <c r="DO343" s="129">
        <f>IFERROR(if($X343=0,($V343/1.2)*BC343,
BC343*$X343),)</f>
        <v/>
      </c>
      <c r="DP343" s="130">
        <f>IFERROR(if($Z343=0,($V343/1.35)*BD343,
BD343*$Z343),)</f>
        <v/>
      </c>
      <c r="DQ343" s="130">
        <f>IFERROR(if($Z343=0,($V343/1.35)*BE343,
BE343*$Z343),)</f>
        <v/>
      </c>
      <c r="DR343" s="130">
        <f>IFERROR(if($Z343=0,($V343/1.35)*BF343,
BF343*$Z343),)</f>
        <v/>
      </c>
      <c r="DS343" s="128">
        <f>IFERROR(IF($AB343=0,($V343/0.74)*BG343,
BG343*$AB343),)</f>
        <v/>
      </c>
      <c r="DT343" s="128">
        <f>IFERROR(IF($AB343=0,($V343/0.74)*BH343,
BH343*$AB343),)</f>
        <v/>
      </c>
      <c r="DU343" s="128">
        <f>IFERROR(IF($AB343=0,($V343/0.74)*BI343,
BI343*$AB343),)</f>
        <v/>
      </c>
    </row>
    <row r="344" ht="131.25" customHeight="1" s="162">
      <c r="A344" s="115" t="n"/>
      <c r="B344" s="115" t="n"/>
      <c r="C344" s="115" t="n"/>
      <c r="D344" s="115" t="n"/>
      <c r="E344" s="115" t="n"/>
      <c r="F344" s="115" t="n"/>
      <c r="G344" s="115" t="n"/>
      <c r="H344" s="115" t="n"/>
      <c r="I344" s="115" t="n"/>
      <c r="J344" s="115" t="n"/>
      <c r="K344" s="115" t="n"/>
      <c r="L344" s="115" t="n"/>
      <c r="M344" s="115" t="n"/>
      <c r="N344" s="115" t="n"/>
      <c r="O344" s="115" t="n"/>
      <c r="P344" s="115" t="n"/>
      <c r="Q344" s="115" t="n"/>
      <c r="R344" s="115" t="n"/>
      <c r="S344" s="115" t="n"/>
      <c r="T344" s="115" t="n"/>
      <c r="U344" s="116" t="n"/>
      <c r="V344" s="116" t="n"/>
      <c r="W344" s="117" t="n"/>
      <c r="X344" s="118" t="n"/>
      <c r="Y344" s="119" t="n"/>
      <c r="Z344" s="120" t="n"/>
      <c r="AA344" s="121" t="n"/>
      <c r="AB344" s="122" t="n"/>
      <c r="AC344" s="117" t="n"/>
      <c r="AD344" s="123">
        <f>IF(SUM($AE344:$AH344)=0,"",SUM($AE344:$AH344))</f>
        <v/>
      </c>
      <c r="AE344" s="123">
        <f>iferror(IF(SUM($AI344:$AZ344)=0,"",SUM($AI344:$AZ344)),"")</f>
        <v/>
      </c>
      <c r="AF344" s="123">
        <f>iferror(IF(SUM($BA344:$BC344)=0,"",SUM($BA344:$BC344)),"")</f>
        <v/>
      </c>
      <c r="AG344" s="123">
        <f>iferror(IF(SUM($BD344:$BF344)=0,"",SUM($BD344:$BF344)),"")</f>
        <v/>
      </c>
      <c r="AH344" s="124">
        <f>iferror(IF(SUM($BG344:$BI344)=0,"",SUM($BG344:$BI344)),"")</f>
        <v/>
      </c>
      <c r="AI344" s="131" t="n"/>
      <c r="AJ344" s="132" t="n"/>
      <c r="AK344" s="132" t="n"/>
      <c r="AL344" s="132" t="n"/>
      <c r="AM344" s="132" t="n"/>
      <c r="AN344" s="132" t="n"/>
      <c r="AO344" s="132" t="n"/>
      <c r="AP344" s="132" t="n"/>
      <c r="AQ344" s="132" t="n"/>
      <c r="AR344" s="132" t="n"/>
      <c r="AS344" s="132" t="n"/>
      <c r="AT344" s="132" t="n"/>
      <c r="AU344" s="132" t="n"/>
      <c r="AV344" s="132" t="n"/>
      <c r="AW344" s="132" t="n"/>
      <c r="AX344" s="132" t="n"/>
      <c r="AY344" s="132" t="n"/>
      <c r="AZ344" s="133" t="n"/>
      <c r="BA344" s="131" t="n"/>
      <c r="BB344" s="132" t="n"/>
      <c r="BC344" s="133" t="n"/>
      <c r="BD344" s="131" t="n"/>
      <c r="BE344" s="132" t="n"/>
      <c r="BF344" s="133" t="n"/>
      <c r="BG344" s="131" t="n"/>
      <c r="BH344" s="132" t="n"/>
      <c r="BI344" s="132" t="n"/>
      <c r="BJ344" s="128">
        <f>iferror(SUM($BK344,($BL344*1.2),($BM344*1.35),($BN344*0.74)),)</f>
        <v/>
      </c>
      <c r="BK344" s="128">
        <f>IFERROR(SUM($BT344:$CK344),)</f>
        <v/>
      </c>
      <c r="BL344" s="129">
        <f>IFERROR(SUM($CL344:$CN344),)</f>
        <v/>
      </c>
      <c r="BM344" s="130">
        <f>IFERROR(SUM($CO344:$CQ344),)</f>
        <v/>
      </c>
      <c r="BN344" s="128">
        <f>IFERROR(SUM($CR344:$CT344),)</f>
        <v/>
      </c>
      <c r="BO344" s="128">
        <f>iferror(SUM($BP344,($BQ344*1.2),($BR344*1.35),($BS344*0.74)),)</f>
        <v/>
      </c>
      <c r="BP344" s="128">
        <f>IFERROR(SUM($CU344:$DL344),)</f>
        <v/>
      </c>
      <c r="BQ344" s="128">
        <f>IFERROR(SUM($DM344:$DO344),)</f>
        <v/>
      </c>
      <c r="BR344" s="128">
        <f>IFERROR(SUM($DP344:$DR344),)</f>
        <v/>
      </c>
      <c r="BS344" s="128">
        <f>IFERROR(SUM($DS344:$DU344),)</f>
        <v/>
      </c>
      <c r="BT344" s="128">
        <f>IFERROR(AI344*$W344,)</f>
        <v/>
      </c>
      <c r="BU344" s="128">
        <f>IFERROR(AJ344*$W344,)</f>
        <v/>
      </c>
      <c r="BV344" s="128">
        <f>IFERROR(AK344*$W344,)</f>
        <v/>
      </c>
      <c r="BW344" s="128">
        <f>IFERROR(AL344*$W344,)</f>
        <v/>
      </c>
      <c r="BX344" s="128">
        <f>IFERROR(AM344*$W344,)</f>
        <v/>
      </c>
      <c r="BY344" s="128">
        <f>IFERROR(AN344*$W344,)</f>
        <v/>
      </c>
      <c r="BZ344" s="128">
        <f>IFERROR(AO344*$W344,)</f>
        <v/>
      </c>
      <c r="CA344" s="128">
        <f>IFERROR(AP344*$W344,)</f>
        <v/>
      </c>
      <c r="CB344" s="128">
        <f>IFERROR(AQ344*$W344,)</f>
        <v/>
      </c>
      <c r="CC344" s="128">
        <f>IFERROR(AR344*$W344,)</f>
        <v/>
      </c>
      <c r="CD344" s="128">
        <f>IFERROR(AS344*$W344,)</f>
        <v/>
      </c>
      <c r="CE344" s="128">
        <f>IFERROR(AT344*$W344,)</f>
        <v/>
      </c>
      <c r="CF344" s="128">
        <f>IFERROR(AU344*$W344,)</f>
        <v/>
      </c>
      <c r="CG344" s="128">
        <f>IFERROR(AV344*$W344,)</f>
        <v/>
      </c>
      <c r="CH344" s="128">
        <f>IFERROR(AW344*$W344,)</f>
        <v/>
      </c>
      <c r="CI344" s="128">
        <f>IFERROR(AX344*$W344,)</f>
        <v/>
      </c>
      <c r="CJ344" s="128">
        <f>IFERROR(AY344*$W344,)</f>
        <v/>
      </c>
      <c r="CK344" s="128">
        <f>IFERROR(AZ344*$W344,)</f>
        <v/>
      </c>
      <c r="CL344" s="129">
        <f>IFERROR(if($Y344=0,BA344*($W344/1.2),BA344*$Y344),"")</f>
        <v/>
      </c>
      <c r="CM344" s="129">
        <f>IFERROR(if($Y344=0,BB344*($W344/1.2),BB344*$Y344),"")</f>
        <v/>
      </c>
      <c r="CN344" s="129">
        <f>IFERROR(if($Y344=0,BC344*($W344/1.2),BC344*$Y344),"")</f>
        <v/>
      </c>
      <c r="CO344" s="130">
        <f>IFERROR(if($AA344=0,($W344/1.35)*BD344,BD344*$AA344),)</f>
        <v/>
      </c>
      <c r="CP344" s="130">
        <f>IFERROR(if($AA344=0,($W344/1.35)*BE344,BE344*$AA344),)</f>
        <v/>
      </c>
      <c r="CQ344" s="130">
        <f>IFERROR(if($AA344=0,($W344/1.35)*BF344,BF344*$AA344),)</f>
        <v/>
      </c>
      <c r="CR344" s="128">
        <f>IFERROR(if($AC344=0,($W344/0.74)*BG344,
BG344*$AC344),)</f>
        <v/>
      </c>
      <c r="CS344" s="128">
        <f>IFERROR(if($AC344=0,($W344/0.74)*BH344,
BH344*$AC344),)</f>
        <v/>
      </c>
      <c r="CT344" s="128">
        <f>IFERROR(if($AC344=0,($W344/0.74)*BI344,
BI344*$AC344),)</f>
        <v/>
      </c>
      <c r="CU344" s="128">
        <f>IFERROR(AI344*$V344,)</f>
        <v/>
      </c>
      <c r="CV344" s="128">
        <f>IFERROR(AJ344*$V344,)</f>
        <v/>
      </c>
      <c r="CW344" s="128">
        <f>IFERROR(AK344*$V344,)</f>
        <v/>
      </c>
      <c r="CX344" s="128">
        <f>IFERROR(AL344*$V344,)</f>
        <v/>
      </c>
      <c r="CY344" s="128">
        <f>IFERROR(AM344*$V344,)</f>
        <v/>
      </c>
      <c r="CZ344" s="128">
        <f>IFERROR(AN344*$V344,)</f>
        <v/>
      </c>
      <c r="DA344" s="128">
        <f>IFERROR(AO344*$V344,)</f>
        <v/>
      </c>
      <c r="DB344" s="128">
        <f>IFERROR(AP344*$V344,)</f>
        <v/>
      </c>
      <c r="DC344" s="128">
        <f>IFERROR(AQ344*$V344,)</f>
        <v/>
      </c>
      <c r="DD344" s="128">
        <f>IFERROR(AR344*$V344,)</f>
        <v/>
      </c>
      <c r="DE344" s="128">
        <f>IFERROR(AS344*$V344,)</f>
        <v/>
      </c>
      <c r="DF344" s="128">
        <f>IFERROR(AT344*$V344,)</f>
        <v/>
      </c>
      <c r="DG344" s="128">
        <f>IFERROR(AU344*$V344,)</f>
        <v/>
      </c>
      <c r="DH344" s="128">
        <f>IFERROR(AV344*$V344,)</f>
        <v/>
      </c>
      <c r="DI344" s="128">
        <f>IFERROR(AW344*$V344,)</f>
        <v/>
      </c>
      <c r="DJ344" s="128">
        <f>IFERROR(AX344*$V344,)</f>
        <v/>
      </c>
      <c r="DK344" s="128">
        <f>IFERROR(AY344*$V344,)</f>
        <v/>
      </c>
      <c r="DL344" s="128">
        <f>IFERROR(AZ344*$V344,)</f>
        <v/>
      </c>
      <c r="DM344" s="129">
        <f>IFERROR(if($X344=0,($V344/1.2)*BA344,
BA344*$X344),)</f>
        <v/>
      </c>
      <c r="DN344" s="129">
        <f>IFERROR(if($X344=0,($V344/1.2)*BB344,
BB344*$X344),)</f>
        <v/>
      </c>
      <c r="DO344" s="129">
        <f>IFERROR(if($X344=0,($V344/1.2)*BC344,
BC344*$X344),)</f>
        <v/>
      </c>
      <c r="DP344" s="130">
        <f>IFERROR(if($Z344=0,($V344/1.35)*BD344,
BD344*$Z344),)</f>
        <v/>
      </c>
      <c r="DQ344" s="130">
        <f>IFERROR(if($Z344=0,($V344/1.35)*BE344,
BE344*$Z344),)</f>
        <v/>
      </c>
      <c r="DR344" s="130">
        <f>IFERROR(if($Z344=0,($V344/1.35)*BF344,
BF344*$Z344),)</f>
        <v/>
      </c>
      <c r="DS344" s="128">
        <f>IFERROR(IF($AB344=0,($V344/0.74)*BG344,
BG344*$AB344),)</f>
        <v/>
      </c>
      <c r="DT344" s="128">
        <f>IFERROR(IF($AB344=0,($V344/0.74)*BH344,
BH344*$AB344),)</f>
        <v/>
      </c>
      <c r="DU344" s="128">
        <f>IFERROR(IF($AB344=0,($V344/0.74)*BI344,
BI344*$AB344),)</f>
        <v/>
      </c>
    </row>
    <row r="345" ht="131.25" customHeight="1" s="162">
      <c r="A345" s="115" t="n"/>
      <c r="B345" s="115" t="n"/>
      <c r="C345" s="115" t="n"/>
      <c r="D345" s="115" t="n"/>
      <c r="E345" s="115" t="n"/>
      <c r="F345" s="115" t="n"/>
      <c r="G345" s="115" t="n"/>
      <c r="H345" s="115" t="n"/>
      <c r="I345" s="115" t="n"/>
      <c r="J345" s="115" t="n"/>
      <c r="K345" s="115" t="n"/>
      <c r="L345" s="115" t="n"/>
      <c r="M345" s="115" t="n"/>
      <c r="N345" s="115" t="n"/>
      <c r="O345" s="115" t="n"/>
      <c r="P345" s="115" t="n"/>
      <c r="Q345" s="115" t="n"/>
      <c r="R345" s="115" t="n"/>
      <c r="S345" s="115" t="n"/>
      <c r="T345" s="115" t="n"/>
      <c r="U345" s="116" t="n"/>
      <c r="V345" s="116" t="n"/>
      <c r="W345" s="117" t="n"/>
      <c r="X345" s="118" t="n"/>
      <c r="Y345" s="119" t="n"/>
      <c r="Z345" s="120" t="n"/>
      <c r="AA345" s="121" t="n"/>
      <c r="AB345" s="122" t="n"/>
      <c r="AC345" s="117" t="n"/>
      <c r="AD345" s="123">
        <f>IF(SUM($AE345:$AH345)=0,"",SUM($AE345:$AH345))</f>
        <v/>
      </c>
      <c r="AE345" s="123">
        <f>iferror(IF(SUM($AI345:$AZ345)=0,"",SUM($AI345:$AZ345)),"")</f>
        <v/>
      </c>
      <c r="AF345" s="123">
        <f>iferror(IF(SUM($BA345:$BC345)=0,"",SUM($BA345:$BC345)),"")</f>
        <v/>
      </c>
      <c r="AG345" s="123">
        <f>iferror(IF(SUM($BD345:$BF345)=0,"",SUM($BD345:$BF345)),"")</f>
        <v/>
      </c>
      <c r="AH345" s="124">
        <f>iferror(IF(SUM($BG345:$BI345)=0,"",SUM($BG345:$BI345)),"")</f>
        <v/>
      </c>
      <c r="AI345" s="131" t="n"/>
      <c r="AJ345" s="132" t="n"/>
      <c r="AK345" s="132" t="n"/>
      <c r="AL345" s="132" t="n"/>
      <c r="AM345" s="132" t="n"/>
      <c r="AN345" s="132" t="n"/>
      <c r="AO345" s="132" t="n"/>
      <c r="AP345" s="132" t="n"/>
      <c r="AQ345" s="132" t="n"/>
      <c r="AR345" s="132" t="n"/>
      <c r="AS345" s="132" t="n"/>
      <c r="AT345" s="132" t="n"/>
      <c r="AU345" s="132" t="n"/>
      <c r="AV345" s="132" t="n"/>
      <c r="AW345" s="132" t="n"/>
      <c r="AX345" s="132" t="n"/>
      <c r="AY345" s="132" t="n"/>
      <c r="AZ345" s="133" t="n"/>
      <c r="BA345" s="131" t="n"/>
      <c r="BB345" s="132" t="n"/>
      <c r="BC345" s="133" t="n"/>
      <c r="BD345" s="131" t="n"/>
      <c r="BE345" s="132" t="n"/>
      <c r="BF345" s="133" t="n"/>
      <c r="BG345" s="131" t="n"/>
      <c r="BH345" s="132" t="n"/>
      <c r="BI345" s="132" t="n"/>
      <c r="BJ345" s="128">
        <f>iferror(SUM($BK345,($BL345*1.2),($BM345*1.35),($BN345*0.74)),)</f>
        <v/>
      </c>
      <c r="BK345" s="128">
        <f>IFERROR(SUM($BT345:$CK345),)</f>
        <v/>
      </c>
      <c r="BL345" s="129">
        <f>IFERROR(SUM($CL345:$CN345),)</f>
        <v/>
      </c>
      <c r="BM345" s="130">
        <f>IFERROR(SUM($CO345:$CQ345),)</f>
        <v/>
      </c>
      <c r="BN345" s="128">
        <f>IFERROR(SUM($CR345:$CT345),)</f>
        <v/>
      </c>
      <c r="BO345" s="128">
        <f>iferror(SUM($BP345,($BQ345*1.2),($BR345*1.35),($BS345*0.74)),)</f>
        <v/>
      </c>
      <c r="BP345" s="128">
        <f>IFERROR(SUM($CU345:$DL345),)</f>
        <v/>
      </c>
      <c r="BQ345" s="128">
        <f>IFERROR(SUM($DM345:$DO345),)</f>
        <v/>
      </c>
      <c r="BR345" s="128">
        <f>IFERROR(SUM($DP345:$DR345),)</f>
        <v/>
      </c>
      <c r="BS345" s="128">
        <f>IFERROR(SUM($DS345:$DU345),)</f>
        <v/>
      </c>
      <c r="BT345" s="128">
        <f>IFERROR(AI345*$W345,)</f>
        <v/>
      </c>
      <c r="BU345" s="128">
        <f>IFERROR(AJ345*$W345,)</f>
        <v/>
      </c>
      <c r="BV345" s="128">
        <f>IFERROR(AK345*$W345,)</f>
        <v/>
      </c>
      <c r="BW345" s="128">
        <f>IFERROR(AL345*$W345,)</f>
        <v/>
      </c>
      <c r="BX345" s="128">
        <f>IFERROR(AM345*$W345,)</f>
        <v/>
      </c>
      <c r="BY345" s="128">
        <f>IFERROR(AN345*$W345,)</f>
        <v/>
      </c>
      <c r="BZ345" s="128">
        <f>IFERROR(AO345*$W345,)</f>
        <v/>
      </c>
      <c r="CA345" s="128">
        <f>IFERROR(AP345*$W345,)</f>
        <v/>
      </c>
      <c r="CB345" s="128">
        <f>IFERROR(AQ345*$W345,)</f>
        <v/>
      </c>
      <c r="CC345" s="128">
        <f>IFERROR(AR345*$W345,)</f>
        <v/>
      </c>
      <c r="CD345" s="128">
        <f>IFERROR(AS345*$W345,)</f>
        <v/>
      </c>
      <c r="CE345" s="128">
        <f>IFERROR(AT345*$W345,)</f>
        <v/>
      </c>
      <c r="CF345" s="128">
        <f>IFERROR(AU345*$W345,)</f>
        <v/>
      </c>
      <c r="CG345" s="128">
        <f>IFERROR(AV345*$W345,)</f>
        <v/>
      </c>
      <c r="CH345" s="128">
        <f>IFERROR(AW345*$W345,)</f>
        <v/>
      </c>
      <c r="CI345" s="128">
        <f>IFERROR(AX345*$W345,)</f>
        <v/>
      </c>
      <c r="CJ345" s="128">
        <f>IFERROR(AY345*$W345,)</f>
        <v/>
      </c>
      <c r="CK345" s="128">
        <f>IFERROR(AZ345*$W345,)</f>
        <v/>
      </c>
      <c r="CL345" s="129">
        <f>IFERROR(if($Y345=0,BA345*($W345/1.2),BA345*$Y345),"")</f>
        <v/>
      </c>
      <c r="CM345" s="129">
        <f>IFERROR(if($Y345=0,BB345*($W345/1.2),BB345*$Y345),"")</f>
        <v/>
      </c>
      <c r="CN345" s="129">
        <f>IFERROR(if($Y345=0,BC345*($W345/1.2),BC345*$Y345),"")</f>
        <v/>
      </c>
      <c r="CO345" s="130">
        <f>IFERROR(if($AA345=0,($W345/1.35)*BD345,BD345*$AA345),)</f>
        <v/>
      </c>
      <c r="CP345" s="130">
        <f>IFERROR(if($AA345=0,($W345/1.35)*BE345,BE345*$AA345),)</f>
        <v/>
      </c>
      <c r="CQ345" s="130">
        <f>IFERROR(if($AA345=0,($W345/1.35)*BF345,BF345*$AA345),)</f>
        <v/>
      </c>
      <c r="CR345" s="128">
        <f>IFERROR(if($AC345=0,($W345/0.74)*BG345,
BG345*$AC345),)</f>
        <v/>
      </c>
      <c r="CS345" s="128">
        <f>IFERROR(if($AC345=0,($W345/0.74)*BH345,
BH345*$AC345),)</f>
        <v/>
      </c>
      <c r="CT345" s="128">
        <f>IFERROR(if($AC345=0,($W345/0.74)*BI345,
BI345*$AC345),)</f>
        <v/>
      </c>
      <c r="CU345" s="128">
        <f>IFERROR(AI345*$V345,)</f>
        <v/>
      </c>
      <c r="CV345" s="128">
        <f>IFERROR(AJ345*$V345,)</f>
        <v/>
      </c>
      <c r="CW345" s="128">
        <f>IFERROR(AK345*$V345,)</f>
        <v/>
      </c>
      <c r="CX345" s="128">
        <f>IFERROR(AL345*$V345,)</f>
        <v/>
      </c>
      <c r="CY345" s="128">
        <f>IFERROR(AM345*$V345,)</f>
        <v/>
      </c>
      <c r="CZ345" s="128">
        <f>IFERROR(AN345*$V345,)</f>
        <v/>
      </c>
      <c r="DA345" s="128">
        <f>IFERROR(AO345*$V345,)</f>
        <v/>
      </c>
      <c r="DB345" s="128">
        <f>IFERROR(AP345*$V345,)</f>
        <v/>
      </c>
      <c r="DC345" s="128">
        <f>IFERROR(AQ345*$V345,)</f>
        <v/>
      </c>
      <c r="DD345" s="128">
        <f>IFERROR(AR345*$V345,)</f>
        <v/>
      </c>
      <c r="DE345" s="128">
        <f>IFERROR(AS345*$V345,)</f>
        <v/>
      </c>
      <c r="DF345" s="128">
        <f>IFERROR(AT345*$V345,)</f>
        <v/>
      </c>
      <c r="DG345" s="128">
        <f>IFERROR(AU345*$V345,)</f>
        <v/>
      </c>
      <c r="DH345" s="128">
        <f>IFERROR(AV345*$V345,)</f>
        <v/>
      </c>
      <c r="DI345" s="128">
        <f>IFERROR(AW345*$V345,)</f>
        <v/>
      </c>
      <c r="DJ345" s="128">
        <f>IFERROR(AX345*$V345,)</f>
        <v/>
      </c>
      <c r="DK345" s="128">
        <f>IFERROR(AY345*$V345,)</f>
        <v/>
      </c>
      <c r="DL345" s="128">
        <f>IFERROR(AZ345*$V345,)</f>
        <v/>
      </c>
      <c r="DM345" s="129">
        <f>IFERROR(if($X345=0,($V345/1.2)*BA345,
BA345*$X345),)</f>
        <v/>
      </c>
      <c r="DN345" s="129">
        <f>IFERROR(if($X345=0,($V345/1.2)*BB345,
BB345*$X345),)</f>
        <v/>
      </c>
      <c r="DO345" s="129">
        <f>IFERROR(if($X345=0,($V345/1.2)*BC345,
BC345*$X345),)</f>
        <v/>
      </c>
      <c r="DP345" s="130">
        <f>IFERROR(if($Z345=0,($V345/1.35)*BD345,
BD345*$Z345),)</f>
        <v/>
      </c>
      <c r="DQ345" s="130">
        <f>IFERROR(if($Z345=0,($V345/1.35)*BE345,
BE345*$Z345),)</f>
        <v/>
      </c>
      <c r="DR345" s="130">
        <f>IFERROR(if($Z345=0,($V345/1.35)*BF345,
BF345*$Z345),)</f>
        <v/>
      </c>
      <c r="DS345" s="128">
        <f>IFERROR(IF($AB345=0,($V345/0.74)*BG345,
BG345*$AB345),)</f>
        <v/>
      </c>
      <c r="DT345" s="128">
        <f>IFERROR(IF($AB345=0,($V345/0.74)*BH345,
BH345*$AB345),)</f>
        <v/>
      </c>
      <c r="DU345" s="128">
        <f>IFERROR(IF($AB345=0,($V345/0.74)*BI345,
BI345*$AB345),)</f>
        <v/>
      </c>
    </row>
    <row r="346" ht="131.25" customHeight="1" s="162">
      <c r="A346" s="115" t="n"/>
      <c r="B346" s="115" t="n"/>
      <c r="C346" s="115" t="n"/>
      <c r="D346" s="115" t="n"/>
      <c r="E346" s="115" t="n"/>
      <c r="F346" s="115" t="n"/>
      <c r="G346" s="115" t="n"/>
      <c r="H346" s="115" t="n"/>
      <c r="I346" s="115" t="n"/>
      <c r="J346" s="115" t="n"/>
      <c r="K346" s="115" t="n"/>
      <c r="L346" s="115" t="n"/>
      <c r="M346" s="115" t="n"/>
      <c r="N346" s="115" t="n"/>
      <c r="O346" s="115" t="n"/>
      <c r="P346" s="115" t="n"/>
      <c r="Q346" s="115" t="n"/>
      <c r="R346" s="115" t="n"/>
      <c r="S346" s="115" t="n"/>
      <c r="T346" s="115" t="n"/>
      <c r="U346" s="116" t="n"/>
      <c r="V346" s="116" t="n"/>
      <c r="W346" s="117" t="n"/>
      <c r="X346" s="118" t="n"/>
      <c r="Y346" s="119" t="n"/>
      <c r="Z346" s="120" t="n"/>
      <c r="AA346" s="121" t="n"/>
      <c r="AB346" s="122" t="n"/>
      <c r="AC346" s="117" t="n"/>
      <c r="AD346" s="123">
        <f>IF(SUM($AE346:$AH346)=0,"",SUM($AE346:$AH346))</f>
        <v/>
      </c>
      <c r="AE346" s="123">
        <f>iferror(IF(SUM($AI346:$AZ346)=0,"",SUM($AI346:$AZ346)),"")</f>
        <v/>
      </c>
      <c r="AF346" s="123">
        <f>iferror(IF(SUM($BA346:$BC346)=0,"",SUM($BA346:$BC346)),"")</f>
        <v/>
      </c>
      <c r="AG346" s="123">
        <f>iferror(IF(SUM($BD346:$BF346)=0,"",SUM($BD346:$BF346)),"")</f>
        <v/>
      </c>
      <c r="AH346" s="124">
        <f>iferror(IF(SUM($BG346:$BI346)=0,"",SUM($BG346:$BI346)),"")</f>
        <v/>
      </c>
      <c r="AI346" s="131" t="n"/>
      <c r="AJ346" s="132" t="n"/>
      <c r="AK346" s="132" t="n"/>
      <c r="AL346" s="132" t="n"/>
      <c r="AM346" s="132" t="n"/>
      <c r="AN346" s="132" t="n"/>
      <c r="AO346" s="132" t="n"/>
      <c r="AP346" s="132" t="n"/>
      <c r="AQ346" s="132" t="n"/>
      <c r="AR346" s="132" t="n"/>
      <c r="AS346" s="132" t="n"/>
      <c r="AT346" s="132" t="n"/>
      <c r="AU346" s="132" t="n"/>
      <c r="AV346" s="132" t="n"/>
      <c r="AW346" s="132" t="n"/>
      <c r="AX346" s="132" t="n"/>
      <c r="AY346" s="132" t="n"/>
      <c r="AZ346" s="133" t="n"/>
      <c r="BA346" s="131" t="n"/>
      <c r="BB346" s="132" t="n"/>
      <c r="BC346" s="133" t="n"/>
      <c r="BD346" s="131" t="n"/>
      <c r="BE346" s="132" t="n"/>
      <c r="BF346" s="133" t="n"/>
      <c r="BG346" s="131" t="n"/>
      <c r="BH346" s="132" t="n"/>
      <c r="BI346" s="132" t="n"/>
      <c r="BJ346" s="128">
        <f>iferror(SUM($BK346,($BL346*1.2),($BM346*1.35),($BN346*0.74)),)</f>
        <v/>
      </c>
      <c r="BK346" s="128">
        <f>IFERROR(SUM($BT346:$CK346),)</f>
        <v/>
      </c>
      <c r="BL346" s="129">
        <f>IFERROR(SUM($CL346:$CN346),)</f>
        <v/>
      </c>
      <c r="BM346" s="130">
        <f>IFERROR(SUM($CO346:$CQ346),)</f>
        <v/>
      </c>
      <c r="BN346" s="128">
        <f>IFERROR(SUM($CR346:$CT346),)</f>
        <v/>
      </c>
      <c r="BO346" s="128">
        <f>iferror(SUM($BP346,($BQ346*1.2),($BR346*1.35),($BS346*0.74)),)</f>
        <v/>
      </c>
      <c r="BP346" s="128">
        <f>IFERROR(SUM($CU346:$DL346),)</f>
        <v/>
      </c>
      <c r="BQ346" s="128">
        <f>IFERROR(SUM($DM346:$DO346),)</f>
        <v/>
      </c>
      <c r="BR346" s="128">
        <f>IFERROR(SUM($DP346:$DR346),)</f>
        <v/>
      </c>
      <c r="BS346" s="128">
        <f>IFERROR(SUM($DS346:$DU346),)</f>
        <v/>
      </c>
      <c r="BT346" s="128">
        <f>IFERROR(AI346*$W346,)</f>
        <v/>
      </c>
      <c r="BU346" s="128">
        <f>IFERROR(AJ346*$W346,)</f>
        <v/>
      </c>
      <c r="BV346" s="128">
        <f>IFERROR(AK346*$W346,)</f>
        <v/>
      </c>
      <c r="BW346" s="128">
        <f>IFERROR(AL346*$W346,)</f>
        <v/>
      </c>
      <c r="BX346" s="128">
        <f>IFERROR(AM346*$W346,)</f>
        <v/>
      </c>
      <c r="BY346" s="128">
        <f>IFERROR(AN346*$W346,)</f>
        <v/>
      </c>
      <c r="BZ346" s="128">
        <f>IFERROR(AO346*$W346,)</f>
        <v/>
      </c>
      <c r="CA346" s="128">
        <f>IFERROR(AP346*$W346,)</f>
        <v/>
      </c>
      <c r="CB346" s="128">
        <f>IFERROR(AQ346*$W346,)</f>
        <v/>
      </c>
      <c r="CC346" s="128">
        <f>IFERROR(AR346*$W346,)</f>
        <v/>
      </c>
      <c r="CD346" s="128">
        <f>IFERROR(AS346*$W346,)</f>
        <v/>
      </c>
      <c r="CE346" s="128">
        <f>IFERROR(AT346*$W346,)</f>
        <v/>
      </c>
      <c r="CF346" s="128">
        <f>IFERROR(AU346*$W346,)</f>
        <v/>
      </c>
      <c r="CG346" s="128">
        <f>IFERROR(AV346*$W346,)</f>
        <v/>
      </c>
      <c r="CH346" s="128">
        <f>IFERROR(AW346*$W346,)</f>
        <v/>
      </c>
      <c r="CI346" s="128">
        <f>IFERROR(AX346*$W346,)</f>
        <v/>
      </c>
      <c r="CJ346" s="128">
        <f>IFERROR(AY346*$W346,)</f>
        <v/>
      </c>
      <c r="CK346" s="128">
        <f>IFERROR(AZ346*$W346,)</f>
        <v/>
      </c>
      <c r="CL346" s="129">
        <f>IFERROR(if($Y346=0,BA346*($W346/1.2),BA346*$Y346),"")</f>
        <v/>
      </c>
      <c r="CM346" s="129">
        <f>IFERROR(if($Y346=0,BB346*($W346/1.2),BB346*$Y346),"")</f>
        <v/>
      </c>
      <c r="CN346" s="129">
        <f>IFERROR(if($Y346=0,BC346*($W346/1.2),BC346*$Y346),"")</f>
        <v/>
      </c>
      <c r="CO346" s="130">
        <f>IFERROR(if($AA346=0,($W346/1.35)*BD346,BD346*$AA346),)</f>
        <v/>
      </c>
      <c r="CP346" s="130">
        <f>IFERROR(if($AA346=0,($W346/1.35)*BE346,BE346*$AA346),)</f>
        <v/>
      </c>
      <c r="CQ346" s="130">
        <f>IFERROR(if($AA346=0,($W346/1.35)*BF346,BF346*$AA346),)</f>
        <v/>
      </c>
      <c r="CR346" s="128">
        <f>IFERROR(if($AC346=0,($W346/0.74)*BG346,
BG346*$AC346),)</f>
        <v/>
      </c>
      <c r="CS346" s="128">
        <f>IFERROR(if($AC346=0,($W346/0.74)*BH346,
BH346*$AC346),)</f>
        <v/>
      </c>
      <c r="CT346" s="128">
        <f>IFERROR(if($AC346=0,($W346/0.74)*BI346,
BI346*$AC346),)</f>
        <v/>
      </c>
      <c r="CU346" s="128">
        <f>IFERROR(AI346*$V346,)</f>
        <v/>
      </c>
      <c r="CV346" s="128">
        <f>IFERROR(AJ346*$V346,)</f>
        <v/>
      </c>
      <c r="CW346" s="128">
        <f>IFERROR(AK346*$V346,)</f>
        <v/>
      </c>
      <c r="CX346" s="128">
        <f>IFERROR(AL346*$V346,)</f>
        <v/>
      </c>
      <c r="CY346" s="128">
        <f>IFERROR(AM346*$V346,)</f>
        <v/>
      </c>
      <c r="CZ346" s="128">
        <f>IFERROR(AN346*$V346,)</f>
        <v/>
      </c>
      <c r="DA346" s="128">
        <f>IFERROR(AO346*$V346,)</f>
        <v/>
      </c>
      <c r="DB346" s="128">
        <f>IFERROR(AP346*$V346,)</f>
        <v/>
      </c>
      <c r="DC346" s="128">
        <f>IFERROR(AQ346*$V346,)</f>
        <v/>
      </c>
      <c r="DD346" s="128">
        <f>IFERROR(AR346*$V346,)</f>
        <v/>
      </c>
      <c r="DE346" s="128">
        <f>IFERROR(AS346*$V346,)</f>
        <v/>
      </c>
      <c r="DF346" s="128">
        <f>IFERROR(AT346*$V346,)</f>
        <v/>
      </c>
      <c r="DG346" s="128">
        <f>IFERROR(AU346*$V346,)</f>
        <v/>
      </c>
      <c r="DH346" s="128">
        <f>IFERROR(AV346*$V346,)</f>
        <v/>
      </c>
      <c r="DI346" s="128">
        <f>IFERROR(AW346*$V346,)</f>
        <v/>
      </c>
      <c r="DJ346" s="128">
        <f>IFERROR(AX346*$V346,)</f>
        <v/>
      </c>
      <c r="DK346" s="128">
        <f>IFERROR(AY346*$V346,)</f>
        <v/>
      </c>
      <c r="DL346" s="128">
        <f>IFERROR(AZ346*$V346,)</f>
        <v/>
      </c>
      <c r="DM346" s="129">
        <f>IFERROR(if($X346=0,($V346/1.2)*BA346,
BA346*$X346),)</f>
        <v/>
      </c>
      <c r="DN346" s="129">
        <f>IFERROR(if($X346=0,($V346/1.2)*BB346,
BB346*$X346),)</f>
        <v/>
      </c>
      <c r="DO346" s="129">
        <f>IFERROR(if($X346=0,($V346/1.2)*BC346,
BC346*$X346),)</f>
        <v/>
      </c>
      <c r="DP346" s="130">
        <f>IFERROR(if($Z346=0,($V346/1.35)*BD346,
BD346*$Z346),)</f>
        <v/>
      </c>
      <c r="DQ346" s="130">
        <f>IFERROR(if($Z346=0,($V346/1.35)*BE346,
BE346*$Z346),)</f>
        <v/>
      </c>
      <c r="DR346" s="130">
        <f>IFERROR(if($Z346=0,($V346/1.35)*BF346,
BF346*$Z346),)</f>
        <v/>
      </c>
      <c r="DS346" s="128">
        <f>IFERROR(IF($AB346=0,($V346/0.74)*BG346,
BG346*$AB346),)</f>
        <v/>
      </c>
      <c r="DT346" s="128">
        <f>IFERROR(IF($AB346=0,($V346/0.74)*BH346,
BH346*$AB346),)</f>
        <v/>
      </c>
      <c r="DU346" s="128">
        <f>IFERROR(IF($AB346=0,($V346/0.74)*BI346,
BI346*$AB346),)</f>
        <v/>
      </c>
    </row>
    <row r="347" ht="131.25" customHeight="1" s="162">
      <c r="A347" s="115" t="n"/>
      <c r="B347" s="115" t="n"/>
      <c r="C347" s="115" t="n"/>
      <c r="D347" s="115" t="n"/>
      <c r="E347" s="115" t="n"/>
      <c r="F347" s="115" t="n"/>
      <c r="G347" s="115" t="n"/>
      <c r="H347" s="115" t="n"/>
      <c r="I347" s="115" t="n"/>
      <c r="J347" s="115" t="n"/>
      <c r="K347" s="115" t="n"/>
      <c r="L347" s="115" t="n"/>
      <c r="M347" s="115" t="n"/>
      <c r="N347" s="115" t="n"/>
      <c r="O347" s="115" t="n"/>
      <c r="P347" s="115" t="n"/>
      <c r="Q347" s="115" t="n"/>
      <c r="R347" s="115" t="n"/>
      <c r="S347" s="115" t="n"/>
      <c r="T347" s="115" t="n"/>
      <c r="U347" s="116" t="n"/>
      <c r="V347" s="116" t="n"/>
      <c r="W347" s="117" t="n"/>
      <c r="X347" s="118" t="n"/>
      <c r="Y347" s="119" t="n"/>
      <c r="Z347" s="120" t="n"/>
      <c r="AA347" s="121" t="n"/>
      <c r="AB347" s="122" t="n"/>
      <c r="AC347" s="117" t="n"/>
      <c r="AD347" s="123">
        <f>IF(SUM($AE347:$AH347)=0,"",SUM($AE347:$AH347))</f>
        <v/>
      </c>
      <c r="AE347" s="123">
        <f>iferror(IF(SUM($AI347:$AZ347)=0,"",SUM($AI347:$AZ347)),"")</f>
        <v/>
      </c>
      <c r="AF347" s="123">
        <f>iferror(IF(SUM($BA347:$BC347)=0,"",SUM($BA347:$BC347)),"")</f>
        <v/>
      </c>
      <c r="AG347" s="123">
        <f>iferror(IF(SUM($BD347:$BF347)=0,"",SUM($BD347:$BF347)),"")</f>
        <v/>
      </c>
      <c r="AH347" s="124">
        <f>iferror(IF(SUM($BG347:$BI347)=0,"",SUM($BG347:$BI347)),"")</f>
        <v/>
      </c>
      <c r="AI347" s="131" t="n"/>
      <c r="AJ347" s="132" t="n"/>
      <c r="AK347" s="132" t="n"/>
      <c r="AL347" s="132" t="n"/>
      <c r="AM347" s="132" t="n"/>
      <c r="AN347" s="132" t="n"/>
      <c r="AO347" s="132" t="n"/>
      <c r="AP347" s="132" t="n"/>
      <c r="AQ347" s="132" t="n"/>
      <c r="AR347" s="132" t="n"/>
      <c r="AS347" s="132" t="n"/>
      <c r="AT347" s="132" t="n"/>
      <c r="AU347" s="132" t="n"/>
      <c r="AV347" s="132" t="n"/>
      <c r="AW347" s="132" t="n"/>
      <c r="AX347" s="132" t="n"/>
      <c r="AY347" s="132" t="n"/>
      <c r="AZ347" s="133" t="n"/>
      <c r="BA347" s="131" t="n"/>
      <c r="BB347" s="132" t="n"/>
      <c r="BC347" s="133" t="n"/>
      <c r="BD347" s="131" t="n"/>
      <c r="BE347" s="132" t="n"/>
      <c r="BF347" s="133" t="n"/>
      <c r="BG347" s="131" t="n"/>
      <c r="BH347" s="132" t="n"/>
      <c r="BI347" s="132" t="n"/>
      <c r="BJ347" s="128">
        <f>iferror(SUM($BK347,($BL347*1.2),($BM347*1.35),($BN347*0.74)),)</f>
        <v/>
      </c>
      <c r="BK347" s="128">
        <f>IFERROR(SUM($BT347:$CK347),)</f>
        <v/>
      </c>
      <c r="BL347" s="129">
        <f>IFERROR(SUM($CL347:$CN347),)</f>
        <v/>
      </c>
      <c r="BM347" s="130">
        <f>IFERROR(SUM($CO347:$CQ347),)</f>
        <v/>
      </c>
      <c r="BN347" s="128">
        <f>IFERROR(SUM($CR347:$CT347),)</f>
        <v/>
      </c>
      <c r="BO347" s="128">
        <f>iferror(SUM($BP347,($BQ347*1.2),($BR347*1.35),($BS347*0.74)),)</f>
        <v/>
      </c>
      <c r="BP347" s="128">
        <f>IFERROR(SUM($CU347:$DL347),)</f>
        <v/>
      </c>
      <c r="BQ347" s="128">
        <f>IFERROR(SUM($DM347:$DO347),)</f>
        <v/>
      </c>
      <c r="BR347" s="128">
        <f>IFERROR(SUM($DP347:$DR347),)</f>
        <v/>
      </c>
      <c r="BS347" s="128">
        <f>IFERROR(SUM($DS347:$DU347),)</f>
        <v/>
      </c>
      <c r="BT347" s="128">
        <f>IFERROR(AI347*$W347,)</f>
        <v/>
      </c>
      <c r="BU347" s="128">
        <f>IFERROR(AJ347*$W347,)</f>
        <v/>
      </c>
      <c r="BV347" s="128">
        <f>IFERROR(AK347*$W347,)</f>
        <v/>
      </c>
      <c r="BW347" s="128">
        <f>IFERROR(AL347*$W347,)</f>
        <v/>
      </c>
      <c r="BX347" s="128">
        <f>IFERROR(AM347*$W347,)</f>
        <v/>
      </c>
      <c r="BY347" s="128">
        <f>IFERROR(AN347*$W347,)</f>
        <v/>
      </c>
      <c r="BZ347" s="128">
        <f>IFERROR(AO347*$W347,)</f>
        <v/>
      </c>
      <c r="CA347" s="128">
        <f>IFERROR(AP347*$W347,)</f>
        <v/>
      </c>
      <c r="CB347" s="128">
        <f>IFERROR(AQ347*$W347,)</f>
        <v/>
      </c>
      <c r="CC347" s="128">
        <f>IFERROR(AR347*$W347,)</f>
        <v/>
      </c>
      <c r="CD347" s="128">
        <f>IFERROR(AS347*$W347,)</f>
        <v/>
      </c>
      <c r="CE347" s="128">
        <f>IFERROR(AT347*$W347,)</f>
        <v/>
      </c>
      <c r="CF347" s="128">
        <f>IFERROR(AU347*$W347,)</f>
        <v/>
      </c>
      <c r="CG347" s="128">
        <f>IFERROR(AV347*$W347,)</f>
        <v/>
      </c>
      <c r="CH347" s="128">
        <f>IFERROR(AW347*$W347,)</f>
        <v/>
      </c>
      <c r="CI347" s="128">
        <f>IFERROR(AX347*$W347,)</f>
        <v/>
      </c>
      <c r="CJ347" s="128">
        <f>IFERROR(AY347*$W347,)</f>
        <v/>
      </c>
      <c r="CK347" s="128">
        <f>IFERROR(AZ347*$W347,)</f>
        <v/>
      </c>
      <c r="CL347" s="129">
        <f>IFERROR(if($Y347=0,BA347*($W347/1.2),BA347*$Y347),"")</f>
        <v/>
      </c>
      <c r="CM347" s="129">
        <f>IFERROR(if($Y347=0,BB347*($W347/1.2),BB347*$Y347),"")</f>
        <v/>
      </c>
      <c r="CN347" s="129">
        <f>IFERROR(if($Y347=0,BC347*($W347/1.2),BC347*$Y347),"")</f>
        <v/>
      </c>
      <c r="CO347" s="130">
        <f>IFERROR(if($AA347=0,($W347/1.35)*BD347,BD347*$AA347),)</f>
        <v/>
      </c>
      <c r="CP347" s="130">
        <f>IFERROR(if($AA347=0,($W347/1.35)*BE347,BE347*$AA347),)</f>
        <v/>
      </c>
      <c r="CQ347" s="130">
        <f>IFERROR(if($AA347=0,($W347/1.35)*BF347,BF347*$AA347),)</f>
        <v/>
      </c>
      <c r="CR347" s="128">
        <f>IFERROR(if($AC347=0,($W347/0.74)*BG347,
BG347*$AC347),)</f>
        <v/>
      </c>
      <c r="CS347" s="128">
        <f>IFERROR(if($AC347=0,($W347/0.74)*BH347,
BH347*$AC347),)</f>
        <v/>
      </c>
      <c r="CT347" s="128">
        <f>IFERROR(if($AC347=0,($W347/0.74)*BI347,
BI347*$AC347),)</f>
        <v/>
      </c>
      <c r="CU347" s="128">
        <f>IFERROR(AI347*$V347,)</f>
        <v/>
      </c>
      <c r="CV347" s="128">
        <f>IFERROR(AJ347*$V347,)</f>
        <v/>
      </c>
      <c r="CW347" s="128">
        <f>IFERROR(AK347*$V347,)</f>
        <v/>
      </c>
      <c r="CX347" s="128">
        <f>IFERROR(AL347*$V347,)</f>
        <v/>
      </c>
      <c r="CY347" s="128">
        <f>IFERROR(AM347*$V347,)</f>
        <v/>
      </c>
      <c r="CZ347" s="128">
        <f>IFERROR(AN347*$V347,)</f>
        <v/>
      </c>
      <c r="DA347" s="128">
        <f>IFERROR(AO347*$V347,)</f>
        <v/>
      </c>
      <c r="DB347" s="128">
        <f>IFERROR(AP347*$V347,)</f>
        <v/>
      </c>
      <c r="DC347" s="128">
        <f>IFERROR(AQ347*$V347,)</f>
        <v/>
      </c>
      <c r="DD347" s="128">
        <f>IFERROR(AR347*$V347,)</f>
        <v/>
      </c>
      <c r="DE347" s="128">
        <f>IFERROR(AS347*$V347,)</f>
        <v/>
      </c>
      <c r="DF347" s="128">
        <f>IFERROR(AT347*$V347,)</f>
        <v/>
      </c>
      <c r="DG347" s="128">
        <f>IFERROR(AU347*$V347,)</f>
        <v/>
      </c>
      <c r="DH347" s="128">
        <f>IFERROR(AV347*$V347,)</f>
        <v/>
      </c>
      <c r="DI347" s="128">
        <f>IFERROR(AW347*$V347,)</f>
        <v/>
      </c>
      <c r="DJ347" s="128">
        <f>IFERROR(AX347*$V347,)</f>
        <v/>
      </c>
      <c r="DK347" s="128">
        <f>IFERROR(AY347*$V347,)</f>
        <v/>
      </c>
      <c r="DL347" s="128">
        <f>IFERROR(AZ347*$V347,)</f>
        <v/>
      </c>
      <c r="DM347" s="129">
        <f>IFERROR(if($X347=0,($V347/1.2)*BA347,
BA347*$X347),)</f>
        <v/>
      </c>
      <c r="DN347" s="129">
        <f>IFERROR(if($X347=0,($V347/1.2)*BB347,
BB347*$X347),)</f>
        <v/>
      </c>
      <c r="DO347" s="129">
        <f>IFERROR(if($X347=0,($V347/1.2)*BC347,
BC347*$X347),)</f>
        <v/>
      </c>
      <c r="DP347" s="130">
        <f>IFERROR(if($Z347=0,($V347/1.35)*BD347,
BD347*$Z347),)</f>
        <v/>
      </c>
      <c r="DQ347" s="130">
        <f>IFERROR(if($Z347=0,($V347/1.35)*BE347,
BE347*$Z347),)</f>
        <v/>
      </c>
      <c r="DR347" s="130">
        <f>IFERROR(if($Z347=0,($V347/1.35)*BF347,
BF347*$Z347),)</f>
        <v/>
      </c>
      <c r="DS347" s="128">
        <f>IFERROR(IF($AB347=0,($V347/0.74)*BG347,
BG347*$AB347),)</f>
        <v/>
      </c>
      <c r="DT347" s="128">
        <f>IFERROR(IF($AB347=0,($V347/0.74)*BH347,
BH347*$AB347),)</f>
        <v/>
      </c>
      <c r="DU347" s="128">
        <f>IFERROR(IF($AB347=0,($V347/0.74)*BI347,
BI347*$AB347),)</f>
        <v/>
      </c>
    </row>
    <row r="348" ht="131.25" customHeight="1" s="162">
      <c r="A348" s="115" t="n"/>
      <c r="B348" s="115" t="n"/>
      <c r="C348" s="115" t="n"/>
      <c r="D348" s="115" t="n"/>
      <c r="E348" s="115" t="n"/>
      <c r="F348" s="115" t="n"/>
      <c r="G348" s="115" t="n"/>
      <c r="H348" s="115" t="n"/>
      <c r="I348" s="115" t="n"/>
      <c r="J348" s="115" t="n"/>
      <c r="K348" s="115" t="n"/>
      <c r="L348" s="115" t="n"/>
      <c r="M348" s="115" t="n"/>
      <c r="N348" s="115" t="n"/>
      <c r="O348" s="115" t="n"/>
      <c r="P348" s="115" t="n"/>
      <c r="Q348" s="115" t="n"/>
      <c r="R348" s="115" t="n"/>
      <c r="S348" s="115" t="n"/>
      <c r="T348" s="115" t="n"/>
      <c r="U348" s="116" t="n"/>
      <c r="V348" s="116" t="n"/>
      <c r="W348" s="117" t="n"/>
      <c r="X348" s="118" t="n"/>
      <c r="Y348" s="119" t="n"/>
      <c r="Z348" s="120" t="n"/>
      <c r="AA348" s="121" t="n"/>
      <c r="AB348" s="122" t="n"/>
      <c r="AC348" s="117" t="n"/>
      <c r="AD348" s="123">
        <f>IF(SUM($AE348:$AH348)=0,"",SUM($AE348:$AH348))</f>
        <v/>
      </c>
      <c r="AE348" s="123">
        <f>iferror(IF(SUM($AI348:$AZ348)=0,"",SUM($AI348:$AZ348)),"")</f>
        <v/>
      </c>
      <c r="AF348" s="123">
        <f>iferror(IF(SUM($BA348:$BC348)=0,"",SUM($BA348:$BC348)),"")</f>
        <v/>
      </c>
      <c r="AG348" s="123">
        <f>iferror(IF(SUM($BD348:$BF348)=0,"",SUM($BD348:$BF348)),"")</f>
        <v/>
      </c>
      <c r="AH348" s="124">
        <f>iferror(IF(SUM($BG348:$BI348)=0,"",SUM($BG348:$BI348)),"")</f>
        <v/>
      </c>
      <c r="AI348" s="131" t="n"/>
      <c r="AJ348" s="132" t="n"/>
      <c r="AK348" s="132" t="n"/>
      <c r="AL348" s="132" t="n"/>
      <c r="AM348" s="132" t="n"/>
      <c r="AN348" s="132" t="n"/>
      <c r="AO348" s="132" t="n"/>
      <c r="AP348" s="132" t="n"/>
      <c r="AQ348" s="132" t="n"/>
      <c r="AR348" s="132" t="n"/>
      <c r="AS348" s="132" t="n"/>
      <c r="AT348" s="132" t="n"/>
      <c r="AU348" s="132" t="n"/>
      <c r="AV348" s="132" t="n"/>
      <c r="AW348" s="132" t="n"/>
      <c r="AX348" s="132" t="n"/>
      <c r="AY348" s="132" t="n"/>
      <c r="AZ348" s="133" t="n"/>
      <c r="BA348" s="131" t="n"/>
      <c r="BB348" s="132" t="n"/>
      <c r="BC348" s="133" t="n"/>
      <c r="BD348" s="131" t="n"/>
      <c r="BE348" s="132" t="n"/>
      <c r="BF348" s="133" t="n"/>
      <c r="BG348" s="131" t="n"/>
      <c r="BH348" s="132" t="n"/>
      <c r="BI348" s="132" t="n"/>
      <c r="BJ348" s="128">
        <f>iferror(SUM($BK348,($BL348*1.2),($BM348*1.35),($BN348*0.74)),)</f>
        <v/>
      </c>
      <c r="BK348" s="128">
        <f>IFERROR(SUM($BT348:$CK348),)</f>
        <v/>
      </c>
      <c r="BL348" s="129">
        <f>IFERROR(SUM($CL348:$CN348),)</f>
        <v/>
      </c>
      <c r="BM348" s="130">
        <f>IFERROR(SUM($CO348:$CQ348),)</f>
        <v/>
      </c>
      <c r="BN348" s="128">
        <f>IFERROR(SUM($CR348:$CT348),)</f>
        <v/>
      </c>
      <c r="BO348" s="128">
        <f>iferror(SUM($BP348,($BQ348*1.2),($BR348*1.35),($BS348*0.74)),)</f>
        <v/>
      </c>
      <c r="BP348" s="128">
        <f>IFERROR(SUM($CU348:$DL348),)</f>
        <v/>
      </c>
      <c r="BQ348" s="128">
        <f>IFERROR(SUM($DM348:$DO348),)</f>
        <v/>
      </c>
      <c r="BR348" s="128">
        <f>IFERROR(SUM($DP348:$DR348),)</f>
        <v/>
      </c>
      <c r="BS348" s="128">
        <f>IFERROR(SUM($DS348:$DU348),)</f>
        <v/>
      </c>
      <c r="BT348" s="128">
        <f>IFERROR(AI348*$W348,)</f>
        <v/>
      </c>
      <c r="BU348" s="128">
        <f>IFERROR(AJ348*$W348,)</f>
        <v/>
      </c>
      <c r="BV348" s="128">
        <f>IFERROR(AK348*$W348,)</f>
        <v/>
      </c>
      <c r="BW348" s="128">
        <f>IFERROR(AL348*$W348,)</f>
        <v/>
      </c>
      <c r="BX348" s="128">
        <f>IFERROR(AM348*$W348,)</f>
        <v/>
      </c>
      <c r="BY348" s="128">
        <f>IFERROR(AN348*$W348,)</f>
        <v/>
      </c>
      <c r="BZ348" s="128">
        <f>IFERROR(AO348*$W348,)</f>
        <v/>
      </c>
      <c r="CA348" s="128">
        <f>IFERROR(AP348*$W348,)</f>
        <v/>
      </c>
      <c r="CB348" s="128">
        <f>IFERROR(AQ348*$W348,)</f>
        <v/>
      </c>
      <c r="CC348" s="128">
        <f>IFERROR(AR348*$W348,)</f>
        <v/>
      </c>
      <c r="CD348" s="128">
        <f>IFERROR(AS348*$W348,)</f>
        <v/>
      </c>
      <c r="CE348" s="128">
        <f>IFERROR(AT348*$W348,)</f>
        <v/>
      </c>
      <c r="CF348" s="128">
        <f>IFERROR(AU348*$W348,)</f>
        <v/>
      </c>
      <c r="CG348" s="128">
        <f>IFERROR(AV348*$W348,)</f>
        <v/>
      </c>
      <c r="CH348" s="128">
        <f>IFERROR(AW348*$W348,)</f>
        <v/>
      </c>
      <c r="CI348" s="128">
        <f>IFERROR(AX348*$W348,)</f>
        <v/>
      </c>
      <c r="CJ348" s="128">
        <f>IFERROR(AY348*$W348,)</f>
        <v/>
      </c>
      <c r="CK348" s="128">
        <f>IFERROR(AZ348*$W348,)</f>
        <v/>
      </c>
      <c r="CL348" s="129">
        <f>IFERROR(if($Y348=0,BA348*($W348/1.2),BA348*$Y348),"")</f>
        <v/>
      </c>
      <c r="CM348" s="129">
        <f>IFERROR(if($Y348=0,BB348*($W348/1.2),BB348*$Y348),"")</f>
        <v/>
      </c>
      <c r="CN348" s="129">
        <f>IFERROR(if($Y348=0,BC348*($W348/1.2),BC348*$Y348),"")</f>
        <v/>
      </c>
      <c r="CO348" s="130">
        <f>IFERROR(if($AA348=0,($W348/1.35)*BD348,BD348*$AA348),)</f>
        <v/>
      </c>
      <c r="CP348" s="130">
        <f>IFERROR(if($AA348=0,($W348/1.35)*BE348,BE348*$AA348),)</f>
        <v/>
      </c>
      <c r="CQ348" s="130">
        <f>IFERROR(if($AA348=0,($W348/1.35)*BF348,BF348*$AA348),)</f>
        <v/>
      </c>
      <c r="CR348" s="128">
        <f>IFERROR(if($AC348=0,($W348/0.74)*BG348,
BG348*$AC348),)</f>
        <v/>
      </c>
      <c r="CS348" s="128">
        <f>IFERROR(if($AC348=0,($W348/0.74)*BH348,
BH348*$AC348),)</f>
        <v/>
      </c>
      <c r="CT348" s="128">
        <f>IFERROR(if($AC348=0,($W348/0.74)*BI348,
BI348*$AC348),)</f>
        <v/>
      </c>
      <c r="CU348" s="128">
        <f>IFERROR(AI348*$V348,)</f>
        <v/>
      </c>
      <c r="CV348" s="128">
        <f>IFERROR(AJ348*$V348,)</f>
        <v/>
      </c>
      <c r="CW348" s="128">
        <f>IFERROR(AK348*$V348,)</f>
        <v/>
      </c>
      <c r="CX348" s="128">
        <f>IFERROR(AL348*$V348,)</f>
        <v/>
      </c>
      <c r="CY348" s="128">
        <f>IFERROR(AM348*$V348,)</f>
        <v/>
      </c>
      <c r="CZ348" s="128">
        <f>IFERROR(AN348*$V348,)</f>
        <v/>
      </c>
      <c r="DA348" s="128">
        <f>IFERROR(AO348*$V348,)</f>
        <v/>
      </c>
      <c r="DB348" s="128">
        <f>IFERROR(AP348*$V348,)</f>
        <v/>
      </c>
      <c r="DC348" s="128">
        <f>IFERROR(AQ348*$V348,)</f>
        <v/>
      </c>
      <c r="DD348" s="128">
        <f>IFERROR(AR348*$V348,)</f>
        <v/>
      </c>
      <c r="DE348" s="128">
        <f>IFERROR(AS348*$V348,)</f>
        <v/>
      </c>
      <c r="DF348" s="128">
        <f>IFERROR(AT348*$V348,)</f>
        <v/>
      </c>
      <c r="DG348" s="128">
        <f>IFERROR(AU348*$V348,)</f>
        <v/>
      </c>
      <c r="DH348" s="128">
        <f>IFERROR(AV348*$V348,)</f>
        <v/>
      </c>
      <c r="DI348" s="128">
        <f>IFERROR(AW348*$V348,)</f>
        <v/>
      </c>
      <c r="DJ348" s="128">
        <f>IFERROR(AX348*$V348,)</f>
        <v/>
      </c>
      <c r="DK348" s="128">
        <f>IFERROR(AY348*$V348,)</f>
        <v/>
      </c>
      <c r="DL348" s="128">
        <f>IFERROR(AZ348*$V348,)</f>
        <v/>
      </c>
      <c r="DM348" s="129">
        <f>IFERROR(if($X348=0,($V348/1.2)*BA348,
BA348*$X348),)</f>
        <v/>
      </c>
      <c r="DN348" s="129">
        <f>IFERROR(if($X348=0,($V348/1.2)*BB348,
BB348*$X348),)</f>
        <v/>
      </c>
      <c r="DO348" s="129">
        <f>IFERROR(if($X348=0,($V348/1.2)*BC348,
BC348*$X348),)</f>
        <v/>
      </c>
      <c r="DP348" s="130">
        <f>IFERROR(if($Z348=0,($V348/1.35)*BD348,
BD348*$Z348),)</f>
        <v/>
      </c>
      <c r="DQ348" s="130">
        <f>IFERROR(if($Z348=0,($V348/1.35)*BE348,
BE348*$Z348),)</f>
        <v/>
      </c>
      <c r="DR348" s="130">
        <f>IFERROR(if($Z348=0,($V348/1.35)*BF348,
BF348*$Z348),)</f>
        <v/>
      </c>
      <c r="DS348" s="128">
        <f>IFERROR(IF($AB348=0,($V348/0.74)*BG348,
BG348*$AB348),)</f>
        <v/>
      </c>
      <c r="DT348" s="128">
        <f>IFERROR(IF($AB348=0,($V348/0.74)*BH348,
BH348*$AB348),)</f>
        <v/>
      </c>
      <c r="DU348" s="128">
        <f>IFERROR(IF($AB348=0,($V348/0.74)*BI348,
BI348*$AB348),)</f>
        <v/>
      </c>
    </row>
    <row r="349" ht="131.25" customHeight="1" s="162">
      <c r="A349" s="115" t="n"/>
      <c r="B349" s="115" t="n"/>
      <c r="C349" s="115" t="n"/>
      <c r="D349" s="115" t="n"/>
      <c r="E349" s="115" t="n"/>
      <c r="F349" s="115" t="n"/>
      <c r="G349" s="115" t="n"/>
      <c r="H349" s="115" t="n"/>
      <c r="I349" s="115" t="n"/>
      <c r="J349" s="115" t="n"/>
      <c r="K349" s="115" t="n"/>
      <c r="L349" s="115" t="n"/>
      <c r="M349" s="115" t="n"/>
      <c r="N349" s="115" t="n"/>
      <c r="O349" s="115" t="n"/>
      <c r="P349" s="115" t="n"/>
      <c r="Q349" s="115" t="n"/>
      <c r="R349" s="115" t="n"/>
      <c r="S349" s="115" t="n"/>
      <c r="T349" s="115" t="n"/>
      <c r="U349" s="116" t="n"/>
      <c r="V349" s="116" t="n"/>
      <c r="W349" s="117" t="n"/>
      <c r="X349" s="118" t="n"/>
      <c r="Y349" s="119" t="n"/>
      <c r="Z349" s="120" t="n"/>
      <c r="AA349" s="121" t="n"/>
      <c r="AB349" s="122" t="n"/>
      <c r="AC349" s="117" t="n"/>
      <c r="AD349" s="123">
        <f>IF(SUM($AE349:$AH349)=0,"",SUM($AE349:$AH349))</f>
        <v/>
      </c>
      <c r="AE349" s="123">
        <f>iferror(IF(SUM($AI349:$AZ349)=0,"",SUM($AI349:$AZ349)),"")</f>
        <v/>
      </c>
      <c r="AF349" s="123">
        <f>iferror(IF(SUM($BA349:$BC349)=0,"",SUM($BA349:$BC349)),"")</f>
        <v/>
      </c>
      <c r="AG349" s="123">
        <f>iferror(IF(SUM($BD349:$BF349)=0,"",SUM($BD349:$BF349)),"")</f>
        <v/>
      </c>
      <c r="AH349" s="124">
        <f>iferror(IF(SUM($BG349:$BI349)=0,"",SUM($BG349:$BI349)),"")</f>
        <v/>
      </c>
      <c r="AI349" s="131" t="n"/>
      <c r="AJ349" s="132" t="n"/>
      <c r="AK349" s="132" t="n"/>
      <c r="AL349" s="132" t="n"/>
      <c r="AM349" s="132" t="n"/>
      <c r="AN349" s="132" t="n"/>
      <c r="AO349" s="132" t="n"/>
      <c r="AP349" s="132" t="n"/>
      <c r="AQ349" s="132" t="n"/>
      <c r="AR349" s="132" t="n"/>
      <c r="AS349" s="132" t="n"/>
      <c r="AT349" s="132" t="n"/>
      <c r="AU349" s="132" t="n"/>
      <c r="AV349" s="132" t="n"/>
      <c r="AW349" s="132" t="n"/>
      <c r="AX349" s="132" t="n"/>
      <c r="AY349" s="132" t="n"/>
      <c r="AZ349" s="133" t="n"/>
      <c r="BA349" s="131" t="n"/>
      <c r="BB349" s="132" t="n"/>
      <c r="BC349" s="133" t="n"/>
      <c r="BD349" s="131" t="n"/>
      <c r="BE349" s="132" t="n"/>
      <c r="BF349" s="133" t="n"/>
      <c r="BG349" s="131" t="n"/>
      <c r="BH349" s="132" t="n"/>
      <c r="BI349" s="132" t="n"/>
      <c r="BJ349" s="128">
        <f>iferror(SUM($BK349,($BL349*1.2),($BM349*1.35),($BN349*0.74)),)</f>
        <v/>
      </c>
      <c r="BK349" s="128">
        <f>IFERROR(SUM($BT349:$CK349),)</f>
        <v/>
      </c>
      <c r="BL349" s="129">
        <f>IFERROR(SUM($CL349:$CN349),)</f>
        <v/>
      </c>
      <c r="BM349" s="130">
        <f>IFERROR(SUM($CO349:$CQ349),)</f>
        <v/>
      </c>
      <c r="BN349" s="128">
        <f>IFERROR(SUM($CR349:$CT349),)</f>
        <v/>
      </c>
      <c r="BO349" s="128">
        <f>iferror(SUM($BP349,($BQ349*1.2),($BR349*1.35),($BS349*0.74)),)</f>
        <v/>
      </c>
      <c r="BP349" s="128">
        <f>IFERROR(SUM($CU349:$DL349),)</f>
        <v/>
      </c>
      <c r="BQ349" s="128">
        <f>IFERROR(SUM($DM349:$DO349),)</f>
        <v/>
      </c>
      <c r="BR349" s="128">
        <f>IFERROR(SUM($DP349:$DR349),)</f>
        <v/>
      </c>
      <c r="BS349" s="128">
        <f>IFERROR(SUM($DS349:$DU349),)</f>
        <v/>
      </c>
      <c r="BT349" s="128">
        <f>IFERROR(AI349*$W349,)</f>
        <v/>
      </c>
      <c r="BU349" s="128">
        <f>IFERROR(AJ349*$W349,)</f>
        <v/>
      </c>
      <c r="BV349" s="128">
        <f>IFERROR(AK349*$W349,)</f>
        <v/>
      </c>
      <c r="BW349" s="128">
        <f>IFERROR(AL349*$W349,)</f>
        <v/>
      </c>
      <c r="BX349" s="128">
        <f>IFERROR(AM349*$W349,)</f>
        <v/>
      </c>
      <c r="BY349" s="128">
        <f>IFERROR(AN349*$W349,)</f>
        <v/>
      </c>
      <c r="BZ349" s="128">
        <f>IFERROR(AO349*$W349,)</f>
        <v/>
      </c>
      <c r="CA349" s="128">
        <f>IFERROR(AP349*$W349,)</f>
        <v/>
      </c>
      <c r="CB349" s="128">
        <f>IFERROR(AQ349*$W349,)</f>
        <v/>
      </c>
      <c r="CC349" s="128">
        <f>IFERROR(AR349*$W349,)</f>
        <v/>
      </c>
      <c r="CD349" s="128">
        <f>IFERROR(AS349*$W349,)</f>
        <v/>
      </c>
      <c r="CE349" s="128">
        <f>IFERROR(AT349*$W349,)</f>
        <v/>
      </c>
      <c r="CF349" s="128">
        <f>IFERROR(AU349*$W349,)</f>
        <v/>
      </c>
      <c r="CG349" s="128">
        <f>IFERROR(AV349*$W349,)</f>
        <v/>
      </c>
      <c r="CH349" s="128">
        <f>IFERROR(AW349*$W349,)</f>
        <v/>
      </c>
      <c r="CI349" s="128">
        <f>IFERROR(AX349*$W349,)</f>
        <v/>
      </c>
      <c r="CJ349" s="128">
        <f>IFERROR(AY349*$W349,)</f>
        <v/>
      </c>
      <c r="CK349" s="128">
        <f>IFERROR(AZ349*$W349,)</f>
        <v/>
      </c>
      <c r="CL349" s="129">
        <f>IFERROR(if($Y349=0,BA349*($W349/1.2),BA349*$Y349),"")</f>
        <v/>
      </c>
      <c r="CM349" s="129">
        <f>IFERROR(if($Y349=0,BB349*($W349/1.2),BB349*$Y349),"")</f>
        <v/>
      </c>
      <c r="CN349" s="129">
        <f>IFERROR(if($Y349=0,BC349*($W349/1.2),BC349*$Y349),"")</f>
        <v/>
      </c>
      <c r="CO349" s="130">
        <f>IFERROR(if($AA349=0,($W349/1.35)*BD349,BD349*$AA349),)</f>
        <v/>
      </c>
      <c r="CP349" s="130">
        <f>IFERROR(if($AA349=0,($W349/1.35)*BE349,BE349*$AA349),)</f>
        <v/>
      </c>
      <c r="CQ349" s="130">
        <f>IFERROR(if($AA349=0,($W349/1.35)*BF349,BF349*$AA349),)</f>
        <v/>
      </c>
      <c r="CR349" s="128">
        <f>IFERROR(if($AC349=0,($W349/0.74)*BG349,
BG349*$AC349),)</f>
        <v/>
      </c>
      <c r="CS349" s="128">
        <f>IFERROR(if($AC349=0,($W349/0.74)*BH349,
BH349*$AC349),)</f>
        <v/>
      </c>
      <c r="CT349" s="128">
        <f>IFERROR(if($AC349=0,($W349/0.74)*BI349,
BI349*$AC349),)</f>
        <v/>
      </c>
      <c r="CU349" s="128">
        <f>IFERROR(AI349*$V349,)</f>
        <v/>
      </c>
      <c r="CV349" s="128">
        <f>IFERROR(AJ349*$V349,)</f>
        <v/>
      </c>
      <c r="CW349" s="128">
        <f>IFERROR(AK349*$V349,)</f>
        <v/>
      </c>
      <c r="CX349" s="128">
        <f>IFERROR(AL349*$V349,)</f>
        <v/>
      </c>
      <c r="CY349" s="128">
        <f>IFERROR(AM349*$V349,)</f>
        <v/>
      </c>
      <c r="CZ349" s="128">
        <f>IFERROR(AN349*$V349,)</f>
        <v/>
      </c>
      <c r="DA349" s="128">
        <f>IFERROR(AO349*$V349,)</f>
        <v/>
      </c>
      <c r="DB349" s="128">
        <f>IFERROR(AP349*$V349,)</f>
        <v/>
      </c>
      <c r="DC349" s="128">
        <f>IFERROR(AQ349*$V349,)</f>
        <v/>
      </c>
      <c r="DD349" s="128">
        <f>IFERROR(AR349*$V349,)</f>
        <v/>
      </c>
      <c r="DE349" s="128">
        <f>IFERROR(AS349*$V349,)</f>
        <v/>
      </c>
      <c r="DF349" s="128">
        <f>IFERROR(AT349*$V349,)</f>
        <v/>
      </c>
      <c r="DG349" s="128">
        <f>IFERROR(AU349*$V349,)</f>
        <v/>
      </c>
      <c r="DH349" s="128">
        <f>IFERROR(AV349*$V349,)</f>
        <v/>
      </c>
      <c r="DI349" s="128">
        <f>IFERROR(AW349*$V349,)</f>
        <v/>
      </c>
      <c r="DJ349" s="128">
        <f>IFERROR(AX349*$V349,)</f>
        <v/>
      </c>
      <c r="DK349" s="128">
        <f>IFERROR(AY349*$V349,)</f>
        <v/>
      </c>
      <c r="DL349" s="128">
        <f>IFERROR(AZ349*$V349,)</f>
        <v/>
      </c>
      <c r="DM349" s="129">
        <f>IFERROR(if($X349=0,($V349/1.2)*BA349,
BA349*$X349),)</f>
        <v/>
      </c>
      <c r="DN349" s="129">
        <f>IFERROR(if($X349=0,($V349/1.2)*BB349,
BB349*$X349),)</f>
        <v/>
      </c>
      <c r="DO349" s="129">
        <f>IFERROR(if($X349=0,($V349/1.2)*BC349,
BC349*$X349),)</f>
        <v/>
      </c>
      <c r="DP349" s="130">
        <f>IFERROR(if($Z349=0,($V349/1.35)*BD349,
BD349*$Z349),)</f>
        <v/>
      </c>
      <c r="DQ349" s="130">
        <f>IFERROR(if($Z349=0,($V349/1.35)*BE349,
BE349*$Z349),)</f>
        <v/>
      </c>
      <c r="DR349" s="130">
        <f>IFERROR(if($Z349=0,($V349/1.35)*BF349,
BF349*$Z349),)</f>
        <v/>
      </c>
      <c r="DS349" s="128">
        <f>IFERROR(IF($AB349=0,($V349/0.74)*BG349,
BG349*$AB349),)</f>
        <v/>
      </c>
      <c r="DT349" s="128">
        <f>IFERROR(IF($AB349=0,($V349/0.74)*BH349,
BH349*$AB349),)</f>
        <v/>
      </c>
      <c r="DU349" s="128">
        <f>IFERROR(IF($AB349=0,($V349/0.74)*BI349,
BI349*$AB349),)</f>
        <v/>
      </c>
    </row>
    <row r="350" ht="131.25" customHeight="1" s="162">
      <c r="A350" s="115" t="n"/>
      <c r="B350" s="115" t="n"/>
      <c r="C350" s="115" t="n"/>
      <c r="D350" s="115" t="n"/>
      <c r="E350" s="115" t="n"/>
      <c r="F350" s="115" t="n"/>
      <c r="G350" s="115" t="n"/>
      <c r="H350" s="115" t="n"/>
      <c r="I350" s="115" t="n"/>
      <c r="J350" s="115" t="n"/>
      <c r="K350" s="115" t="n"/>
      <c r="L350" s="115" t="n"/>
      <c r="M350" s="115" t="n"/>
      <c r="N350" s="115" t="n"/>
      <c r="O350" s="115" t="n"/>
      <c r="P350" s="115" t="n"/>
      <c r="Q350" s="115" t="n"/>
      <c r="R350" s="115" t="n"/>
      <c r="S350" s="115" t="n"/>
      <c r="T350" s="115" t="n"/>
      <c r="U350" s="116" t="n"/>
      <c r="V350" s="116" t="n"/>
      <c r="W350" s="117" t="n"/>
      <c r="X350" s="118" t="n"/>
      <c r="Y350" s="119" t="n"/>
      <c r="Z350" s="120" t="n"/>
      <c r="AA350" s="121" t="n"/>
      <c r="AB350" s="122" t="n"/>
      <c r="AC350" s="117" t="n"/>
      <c r="AD350" s="123">
        <f>IF(SUM($AE350:$AH350)=0,"",SUM($AE350:$AH350))</f>
        <v/>
      </c>
      <c r="AE350" s="123">
        <f>iferror(IF(SUM($AI350:$AZ350)=0,"",SUM($AI350:$AZ350)),"")</f>
        <v/>
      </c>
      <c r="AF350" s="123">
        <f>iferror(IF(SUM($BA350:$BC350)=0,"",SUM($BA350:$BC350)),"")</f>
        <v/>
      </c>
      <c r="AG350" s="123">
        <f>iferror(IF(SUM($BD350:$BF350)=0,"",SUM($BD350:$BF350)),"")</f>
        <v/>
      </c>
      <c r="AH350" s="124">
        <f>iferror(IF(SUM($BG350:$BI350)=0,"",SUM($BG350:$BI350)),"")</f>
        <v/>
      </c>
      <c r="AI350" s="131" t="n"/>
      <c r="AJ350" s="132" t="n"/>
      <c r="AK350" s="132" t="n"/>
      <c r="AL350" s="132" t="n"/>
      <c r="AM350" s="132" t="n"/>
      <c r="AN350" s="132" t="n"/>
      <c r="AO350" s="132" t="n"/>
      <c r="AP350" s="132" t="n"/>
      <c r="AQ350" s="132" t="n"/>
      <c r="AR350" s="132" t="n"/>
      <c r="AS350" s="132" t="n"/>
      <c r="AT350" s="132" t="n"/>
      <c r="AU350" s="132" t="n"/>
      <c r="AV350" s="132" t="n"/>
      <c r="AW350" s="132" t="n"/>
      <c r="AX350" s="132" t="n"/>
      <c r="AY350" s="132" t="n"/>
      <c r="AZ350" s="133" t="n"/>
      <c r="BA350" s="131" t="n"/>
      <c r="BB350" s="132" t="n"/>
      <c r="BC350" s="133" t="n"/>
      <c r="BD350" s="131" t="n"/>
      <c r="BE350" s="132" t="n"/>
      <c r="BF350" s="133" t="n"/>
      <c r="BG350" s="131" t="n"/>
      <c r="BH350" s="132" t="n"/>
      <c r="BI350" s="132" t="n"/>
      <c r="BJ350" s="128">
        <f>iferror(SUM($BK350,($BL350*1.2),($BM350*1.35),($BN350*0.74)),)</f>
        <v/>
      </c>
      <c r="BK350" s="128">
        <f>IFERROR(SUM($BT350:$CK350),)</f>
        <v/>
      </c>
      <c r="BL350" s="129">
        <f>IFERROR(SUM($CL350:$CN350),)</f>
        <v/>
      </c>
      <c r="BM350" s="130">
        <f>IFERROR(SUM($CO350:$CQ350),)</f>
        <v/>
      </c>
      <c r="BN350" s="128">
        <f>IFERROR(SUM($CR350:$CT350),)</f>
        <v/>
      </c>
      <c r="BO350" s="128">
        <f>iferror(SUM($BP350,($BQ350*1.2),($BR350*1.35),($BS350*0.74)),)</f>
        <v/>
      </c>
      <c r="BP350" s="128">
        <f>IFERROR(SUM($CU350:$DL350),)</f>
        <v/>
      </c>
      <c r="BQ350" s="128">
        <f>IFERROR(SUM($DM350:$DO350),)</f>
        <v/>
      </c>
      <c r="BR350" s="128">
        <f>IFERROR(SUM($DP350:$DR350),)</f>
        <v/>
      </c>
      <c r="BS350" s="128">
        <f>IFERROR(SUM($DS350:$DU350),)</f>
        <v/>
      </c>
      <c r="BT350" s="128">
        <f>IFERROR(AI350*$W350,)</f>
        <v/>
      </c>
      <c r="BU350" s="128">
        <f>IFERROR(AJ350*$W350,)</f>
        <v/>
      </c>
      <c r="BV350" s="128">
        <f>IFERROR(AK350*$W350,)</f>
        <v/>
      </c>
      <c r="BW350" s="128">
        <f>IFERROR(AL350*$W350,)</f>
        <v/>
      </c>
      <c r="BX350" s="128">
        <f>IFERROR(AM350*$W350,)</f>
        <v/>
      </c>
      <c r="BY350" s="128">
        <f>IFERROR(AN350*$W350,)</f>
        <v/>
      </c>
      <c r="BZ350" s="128">
        <f>IFERROR(AO350*$W350,)</f>
        <v/>
      </c>
      <c r="CA350" s="128">
        <f>IFERROR(AP350*$W350,)</f>
        <v/>
      </c>
      <c r="CB350" s="128">
        <f>IFERROR(AQ350*$W350,)</f>
        <v/>
      </c>
      <c r="CC350" s="128">
        <f>IFERROR(AR350*$W350,)</f>
        <v/>
      </c>
      <c r="CD350" s="128">
        <f>IFERROR(AS350*$W350,)</f>
        <v/>
      </c>
      <c r="CE350" s="128">
        <f>IFERROR(AT350*$W350,)</f>
        <v/>
      </c>
      <c r="CF350" s="128">
        <f>IFERROR(AU350*$W350,)</f>
        <v/>
      </c>
      <c r="CG350" s="128">
        <f>IFERROR(AV350*$W350,)</f>
        <v/>
      </c>
      <c r="CH350" s="128">
        <f>IFERROR(AW350*$W350,)</f>
        <v/>
      </c>
      <c r="CI350" s="128">
        <f>IFERROR(AX350*$W350,)</f>
        <v/>
      </c>
      <c r="CJ350" s="128">
        <f>IFERROR(AY350*$W350,)</f>
        <v/>
      </c>
      <c r="CK350" s="128">
        <f>IFERROR(AZ350*$W350,)</f>
        <v/>
      </c>
      <c r="CL350" s="129">
        <f>IFERROR(if($Y350=0,BA350*($W350/1.2),BA350*$Y350),"")</f>
        <v/>
      </c>
      <c r="CM350" s="129">
        <f>IFERROR(if($Y350=0,BB350*($W350/1.2),BB350*$Y350),"")</f>
        <v/>
      </c>
      <c r="CN350" s="129">
        <f>IFERROR(if($Y350=0,BC350*($W350/1.2),BC350*$Y350),"")</f>
        <v/>
      </c>
      <c r="CO350" s="130">
        <f>IFERROR(if($AA350=0,($W350/1.35)*BD350,BD350*$AA350),)</f>
        <v/>
      </c>
      <c r="CP350" s="130">
        <f>IFERROR(if($AA350=0,($W350/1.35)*BE350,BE350*$AA350),)</f>
        <v/>
      </c>
      <c r="CQ350" s="130">
        <f>IFERROR(if($AA350=0,($W350/1.35)*BF350,BF350*$AA350),)</f>
        <v/>
      </c>
      <c r="CR350" s="128">
        <f>IFERROR(if($AC350=0,($W350/0.74)*BG350,
BG350*$AC350),)</f>
        <v/>
      </c>
      <c r="CS350" s="128">
        <f>IFERROR(if($AC350=0,($W350/0.74)*BH350,
BH350*$AC350),)</f>
        <v/>
      </c>
      <c r="CT350" s="128">
        <f>IFERROR(if($AC350=0,($W350/0.74)*BI350,
BI350*$AC350),)</f>
        <v/>
      </c>
      <c r="CU350" s="128">
        <f>IFERROR(AI350*$V350,)</f>
        <v/>
      </c>
      <c r="CV350" s="128">
        <f>IFERROR(AJ350*$V350,)</f>
        <v/>
      </c>
      <c r="CW350" s="128">
        <f>IFERROR(AK350*$V350,)</f>
        <v/>
      </c>
      <c r="CX350" s="128">
        <f>IFERROR(AL350*$V350,)</f>
        <v/>
      </c>
      <c r="CY350" s="128">
        <f>IFERROR(AM350*$V350,)</f>
        <v/>
      </c>
      <c r="CZ350" s="128">
        <f>IFERROR(AN350*$V350,)</f>
        <v/>
      </c>
      <c r="DA350" s="128">
        <f>IFERROR(AO350*$V350,)</f>
        <v/>
      </c>
      <c r="DB350" s="128">
        <f>IFERROR(AP350*$V350,)</f>
        <v/>
      </c>
      <c r="DC350" s="128">
        <f>IFERROR(AQ350*$V350,)</f>
        <v/>
      </c>
      <c r="DD350" s="128">
        <f>IFERROR(AR350*$V350,)</f>
        <v/>
      </c>
      <c r="DE350" s="128">
        <f>IFERROR(AS350*$V350,)</f>
        <v/>
      </c>
      <c r="DF350" s="128">
        <f>IFERROR(AT350*$V350,)</f>
        <v/>
      </c>
      <c r="DG350" s="128">
        <f>IFERROR(AU350*$V350,)</f>
        <v/>
      </c>
      <c r="DH350" s="128">
        <f>IFERROR(AV350*$V350,)</f>
        <v/>
      </c>
      <c r="DI350" s="128">
        <f>IFERROR(AW350*$V350,)</f>
        <v/>
      </c>
      <c r="DJ350" s="128">
        <f>IFERROR(AX350*$V350,)</f>
        <v/>
      </c>
      <c r="DK350" s="128">
        <f>IFERROR(AY350*$V350,)</f>
        <v/>
      </c>
      <c r="DL350" s="128">
        <f>IFERROR(AZ350*$V350,)</f>
        <v/>
      </c>
      <c r="DM350" s="129">
        <f>IFERROR(if($X350=0,($V350/1.2)*BA350,
BA350*$X350),)</f>
        <v/>
      </c>
      <c r="DN350" s="129">
        <f>IFERROR(if($X350=0,($V350/1.2)*BB350,
BB350*$X350),)</f>
        <v/>
      </c>
      <c r="DO350" s="129">
        <f>IFERROR(if($X350=0,($V350/1.2)*BC350,
BC350*$X350),)</f>
        <v/>
      </c>
      <c r="DP350" s="130">
        <f>IFERROR(if($Z350=0,($V350/1.35)*BD350,
BD350*$Z350),)</f>
        <v/>
      </c>
      <c r="DQ350" s="130">
        <f>IFERROR(if($Z350=0,($V350/1.35)*BE350,
BE350*$Z350),)</f>
        <v/>
      </c>
      <c r="DR350" s="130">
        <f>IFERROR(if($Z350=0,($V350/1.35)*BF350,
BF350*$Z350),)</f>
        <v/>
      </c>
      <c r="DS350" s="128">
        <f>IFERROR(IF($AB350=0,($V350/0.74)*BG350,
BG350*$AB350),)</f>
        <v/>
      </c>
      <c r="DT350" s="128">
        <f>IFERROR(IF($AB350=0,($V350/0.74)*BH350,
BH350*$AB350),)</f>
        <v/>
      </c>
      <c r="DU350" s="128">
        <f>IFERROR(IF($AB350=0,($V350/0.74)*BI350,
BI350*$AB350),)</f>
        <v/>
      </c>
    </row>
    <row r="351" ht="131.25" customHeight="1" s="162">
      <c r="A351" s="115" t="n"/>
      <c r="B351" s="115" t="n"/>
      <c r="C351" s="115" t="n"/>
      <c r="D351" s="115" t="n"/>
      <c r="E351" s="115" t="n"/>
      <c r="F351" s="115" t="n"/>
      <c r="G351" s="115" t="n"/>
      <c r="H351" s="115" t="n"/>
      <c r="I351" s="115" t="n"/>
      <c r="J351" s="115" t="n"/>
      <c r="K351" s="115" t="n"/>
      <c r="L351" s="115" t="n"/>
      <c r="M351" s="115" t="n"/>
      <c r="N351" s="115" t="n"/>
      <c r="O351" s="115" t="n"/>
      <c r="P351" s="115" t="n"/>
      <c r="Q351" s="115" t="n"/>
      <c r="R351" s="115" t="n"/>
      <c r="S351" s="115" t="n"/>
      <c r="T351" s="115" t="n"/>
      <c r="U351" s="116" t="n"/>
      <c r="V351" s="116" t="n"/>
      <c r="W351" s="117" t="n"/>
      <c r="X351" s="118" t="n"/>
      <c r="Y351" s="119" t="n"/>
      <c r="Z351" s="120" t="n"/>
      <c r="AA351" s="121" t="n"/>
      <c r="AB351" s="122" t="n"/>
      <c r="AC351" s="117" t="n"/>
      <c r="AD351" s="123">
        <f>IF(SUM($AE351:$AH351)=0,"",SUM($AE351:$AH351))</f>
        <v/>
      </c>
      <c r="AE351" s="123">
        <f>iferror(IF(SUM($AI351:$AZ351)=0,"",SUM($AI351:$AZ351)),"")</f>
        <v/>
      </c>
      <c r="AF351" s="123">
        <f>iferror(IF(SUM($BA351:$BC351)=0,"",SUM($BA351:$BC351)),"")</f>
        <v/>
      </c>
      <c r="AG351" s="123">
        <f>iferror(IF(SUM($BD351:$BF351)=0,"",SUM($BD351:$BF351)),"")</f>
        <v/>
      </c>
      <c r="AH351" s="124">
        <f>iferror(IF(SUM($BG351:$BI351)=0,"",SUM($BG351:$BI351)),"")</f>
        <v/>
      </c>
      <c r="AI351" s="131" t="n"/>
      <c r="AJ351" s="132" t="n"/>
      <c r="AK351" s="132" t="n"/>
      <c r="AL351" s="132" t="n"/>
      <c r="AM351" s="132" t="n"/>
      <c r="AN351" s="132" t="n"/>
      <c r="AO351" s="132" t="n"/>
      <c r="AP351" s="132" t="n"/>
      <c r="AQ351" s="132" t="n"/>
      <c r="AR351" s="132" t="n"/>
      <c r="AS351" s="132" t="n"/>
      <c r="AT351" s="132" t="n"/>
      <c r="AU351" s="132" t="n"/>
      <c r="AV351" s="132" t="n"/>
      <c r="AW351" s="132" t="n"/>
      <c r="AX351" s="132" t="n"/>
      <c r="AY351" s="132" t="n"/>
      <c r="AZ351" s="133" t="n"/>
      <c r="BA351" s="131" t="n"/>
      <c r="BB351" s="132" t="n"/>
      <c r="BC351" s="133" t="n"/>
      <c r="BD351" s="131" t="n"/>
      <c r="BE351" s="132" t="n"/>
      <c r="BF351" s="133" t="n"/>
      <c r="BG351" s="131" t="n"/>
      <c r="BH351" s="132" t="n"/>
      <c r="BI351" s="132" t="n"/>
      <c r="BJ351" s="128">
        <f>iferror(SUM($BK351,($BL351*1.2),($BM351*1.35),($BN351*0.74)),)</f>
        <v/>
      </c>
      <c r="BK351" s="128">
        <f>IFERROR(SUM($BT351:$CK351),)</f>
        <v/>
      </c>
      <c r="BL351" s="129">
        <f>IFERROR(SUM($CL351:$CN351),)</f>
        <v/>
      </c>
      <c r="BM351" s="130">
        <f>IFERROR(SUM($CO351:$CQ351),)</f>
        <v/>
      </c>
      <c r="BN351" s="128">
        <f>IFERROR(SUM($CR351:$CT351),)</f>
        <v/>
      </c>
      <c r="BO351" s="128">
        <f>iferror(SUM($BP351,($BQ351*1.2),($BR351*1.35),($BS351*0.74)),)</f>
        <v/>
      </c>
      <c r="BP351" s="128">
        <f>IFERROR(SUM($CU351:$DL351),)</f>
        <v/>
      </c>
      <c r="BQ351" s="128">
        <f>IFERROR(SUM($DM351:$DO351),)</f>
        <v/>
      </c>
      <c r="BR351" s="128">
        <f>IFERROR(SUM($DP351:$DR351),)</f>
        <v/>
      </c>
      <c r="BS351" s="128">
        <f>IFERROR(SUM($DS351:$DU351),)</f>
        <v/>
      </c>
      <c r="BT351" s="128">
        <f>IFERROR(AI351*$W351,)</f>
        <v/>
      </c>
      <c r="BU351" s="128">
        <f>IFERROR(AJ351*$W351,)</f>
        <v/>
      </c>
      <c r="BV351" s="128">
        <f>IFERROR(AK351*$W351,)</f>
        <v/>
      </c>
      <c r="BW351" s="128">
        <f>IFERROR(AL351*$W351,)</f>
        <v/>
      </c>
      <c r="BX351" s="128">
        <f>IFERROR(AM351*$W351,)</f>
        <v/>
      </c>
      <c r="BY351" s="128">
        <f>IFERROR(AN351*$W351,)</f>
        <v/>
      </c>
      <c r="BZ351" s="128">
        <f>IFERROR(AO351*$W351,)</f>
        <v/>
      </c>
      <c r="CA351" s="128">
        <f>IFERROR(AP351*$W351,)</f>
        <v/>
      </c>
      <c r="CB351" s="128">
        <f>IFERROR(AQ351*$W351,)</f>
        <v/>
      </c>
      <c r="CC351" s="128">
        <f>IFERROR(AR351*$W351,)</f>
        <v/>
      </c>
      <c r="CD351" s="128">
        <f>IFERROR(AS351*$W351,)</f>
        <v/>
      </c>
      <c r="CE351" s="128">
        <f>IFERROR(AT351*$W351,)</f>
        <v/>
      </c>
      <c r="CF351" s="128">
        <f>IFERROR(AU351*$W351,)</f>
        <v/>
      </c>
      <c r="CG351" s="128">
        <f>IFERROR(AV351*$W351,)</f>
        <v/>
      </c>
      <c r="CH351" s="128">
        <f>IFERROR(AW351*$W351,)</f>
        <v/>
      </c>
      <c r="CI351" s="128">
        <f>IFERROR(AX351*$W351,)</f>
        <v/>
      </c>
      <c r="CJ351" s="128">
        <f>IFERROR(AY351*$W351,)</f>
        <v/>
      </c>
      <c r="CK351" s="128">
        <f>IFERROR(AZ351*$W351,)</f>
        <v/>
      </c>
      <c r="CL351" s="129">
        <f>IFERROR(if($Y351=0,BA351*($W351/1.2),BA351*$Y351),"")</f>
        <v/>
      </c>
      <c r="CM351" s="129">
        <f>IFERROR(if($Y351=0,BB351*($W351/1.2),BB351*$Y351),"")</f>
        <v/>
      </c>
      <c r="CN351" s="129">
        <f>IFERROR(if($Y351=0,BC351*($W351/1.2),BC351*$Y351),"")</f>
        <v/>
      </c>
      <c r="CO351" s="130">
        <f>IFERROR(if($AA351=0,($W351/1.35)*BD351,BD351*$AA351),)</f>
        <v/>
      </c>
      <c r="CP351" s="130">
        <f>IFERROR(if($AA351=0,($W351/1.35)*BE351,BE351*$AA351),)</f>
        <v/>
      </c>
      <c r="CQ351" s="130">
        <f>IFERROR(if($AA351=0,($W351/1.35)*BF351,BF351*$AA351),)</f>
        <v/>
      </c>
      <c r="CR351" s="128">
        <f>IFERROR(if($AC351=0,($W351/0.74)*BG351,
BG351*$AC351),)</f>
        <v/>
      </c>
      <c r="CS351" s="128">
        <f>IFERROR(if($AC351=0,($W351/0.74)*BH351,
BH351*$AC351),)</f>
        <v/>
      </c>
      <c r="CT351" s="128">
        <f>IFERROR(if($AC351=0,($W351/0.74)*BI351,
BI351*$AC351),)</f>
        <v/>
      </c>
      <c r="CU351" s="128">
        <f>IFERROR(AI351*$V351,)</f>
        <v/>
      </c>
      <c r="CV351" s="128">
        <f>IFERROR(AJ351*$V351,)</f>
        <v/>
      </c>
      <c r="CW351" s="128">
        <f>IFERROR(AK351*$V351,)</f>
        <v/>
      </c>
      <c r="CX351" s="128">
        <f>IFERROR(AL351*$V351,)</f>
        <v/>
      </c>
      <c r="CY351" s="128">
        <f>IFERROR(AM351*$V351,)</f>
        <v/>
      </c>
      <c r="CZ351" s="128">
        <f>IFERROR(AN351*$V351,)</f>
        <v/>
      </c>
      <c r="DA351" s="128">
        <f>IFERROR(AO351*$V351,)</f>
        <v/>
      </c>
      <c r="DB351" s="128">
        <f>IFERROR(AP351*$V351,)</f>
        <v/>
      </c>
      <c r="DC351" s="128">
        <f>IFERROR(AQ351*$V351,)</f>
        <v/>
      </c>
      <c r="DD351" s="128">
        <f>IFERROR(AR351*$V351,)</f>
        <v/>
      </c>
      <c r="DE351" s="128">
        <f>IFERROR(AS351*$V351,)</f>
        <v/>
      </c>
      <c r="DF351" s="128">
        <f>IFERROR(AT351*$V351,)</f>
        <v/>
      </c>
      <c r="DG351" s="128">
        <f>IFERROR(AU351*$V351,)</f>
        <v/>
      </c>
      <c r="DH351" s="128">
        <f>IFERROR(AV351*$V351,)</f>
        <v/>
      </c>
      <c r="DI351" s="128">
        <f>IFERROR(AW351*$V351,)</f>
        <v/>
      </c>
      <c r="DJ351" s="128">
        <f>IFERROR(AX351*$V351,)</f>
        <v/>
      </c>
      <c r="DK351" s="128">
        <f>IFERROR(AY351*$V351,)</f>
        <v/>
      </c>
      <c r="DL351" s="128">
        <f>IFERROR(AZ351*$V351,)</f>
        <v/>
      </c>
      <c r="DM351" s="129">
        <f>IFERROR(if($X351=0,($V351/1.2)*BA351,
BA351*$X351),)</f>
        <v/>
      </c>
      <c r="DN351" s="129">
        <f>IFERROR(if($X351=0,($V351/1.2)*BB351,
BB351*$X351),)</f>
        <v/>
      </c>
      <c r="DO351" s="129">
        <f>IFERROR(if($X351=0,($V351/1.2)*BC351,
BC351*$X351),)</f>
        <v/>
      </c>
      <c r="DP351" s="130">
        <f>IFERROR(if($Z351=0,($V351/1.35)*BD351,
BD351*$Z351),)</f>
        <v/>
      </c>
      <c r="DQ351" s="130">
        <f>IFERROR(if($Z351=0,($V351/1.35)*BE351,
BE351*$Z351),)</f>
        <v/>
      </c>
      <c r="DR351" s="130">
        <f>IFERROR(if($Z351=0,($V351/1.35)*BF351,
BF351*$Z351),)</f>
        <v/>
      </c>
      <c r="DS351" s="128">
        <f>IFERROR(IF($AB351=0,($V351/0.74)*BG351,
BG351*$AB351),)</f>
        <v/>
      </c>
      <c r="DT351" s="128">
        <f>IFERROR(IF($AB351=0,($V351/0.74)*BH351,
BH351*$AB351),)</f>
        <v/>
      </c>
      <c r="DU351" s="128">
        <f>IFERROR(IF($AB351=0,($V351/0.74)*BI351,
BI351*$AB351),)</f>
        <v/>
      </c>
    </row>
    <row r="352" ht="131.25" customHeight="1" s="162">
      <c r="A352" s="115" t="n"/>
      <c r="B352" s="115" t="n"/>
      <c r="C352" s="115" t="n"/>
      <c r="D352" s="115" t="n"/>
      <c r="E352" s="115" t="n"/>
      <c r="F352" s="115" t="n"/>
      <c r="G352" s="115" t="n"/>
      <c r="H352" s="115" t="n"/>
      <c r="I352" s="115" t="n"/>
      <c r="J352" s="115" t="n"/>
      <c r="K352" s="115" t="n"/>
      <c r="L352" s="115" t="n"/>
      <c r="M352" s="115" t="n"/>
      <c r="N352" s="115" t="n"/>
      <c r="O352" s="115" t="n"/>
      <c r="P352" s="115" t="n"/>
      <c r="Q352" s="115" t="n"/>
      <c r="R352" s="115" t="n"/>
      <c r="S352" s="115" t="n"/>
      <c r="T352" s="115" t="n"/>
      <c r="U352" s="116" t="n"/>
      <c r="V352" s="116" t="n"/>
      <c r="W352" s="117" t="n"/>
      <c r="X352" s="118" t="n"/>
      <c r="Y352" s="119" t="n"/>
      <c r="Z352" s="120" t="n"/>
      <c r="AA352" s="121" t="n"/>
      <c r="AB352" s="122" t="n"/>
      <c r="AC352" s="117" t="n"/>
      <c r="AD352" s="123">
        <f>IF(SUM($AE352:$AH352)=0,"",SUM($AE352:$AH352))</f>
        <v/>
      </c>
      <c r="AE352" s="123">
        <f>iferror(IF(SUM($AI352:$AZ352)=0,"",SUM($AI352:$AZ352)),"")</f>
        <v/>
      </c>
      <c r="AF352" s="123">
        <f>iferror(IF(SUM($BA352:$BC352)=0,"",SUM($BA352:$BC352)),"")</f>
        <v/>
      </c>
      <c r="AG352" s="123">
        <f>iferror(IF(SUM($BD352:$BF352)=0,"",SUM($BD352:$BF352)),"")</f>
        <v/>
      </c>
      <c r="AH352" s="124">
        <f>iferror(IF(SUM($BG352:$BI352)=0,"",SUM($BG352:$BI352)),"")</f>
        <v/>
      </c>
      <c r="AI352" s="131" t="n"/>
      <c r="AJ352" s="132" t="n"/>
      <c r="AK352" s="132" t="n"/>
      <c r="AL352" s="132" t="n"/>
      <c r="AM352" s="132" t="n"/>
      <c r="AN352" s="132" t="n"/>
      <c r="AO352" s="132" t="n"/>
      <c r="AP352" s="132" t="n"/>
      <c r="AQ352" s="132" t="n"/>
      <c r="AR352" s="132" t="n"/>
      <c r="AS352" s="132" t="n"/>
      <c r="AT352" s="132" t="n"/>
      <c r="AU352" s="132" t="n"/>
      <c r="AV352" s="132" t="n"/>
      <c r="AW352" s="132" t="n"/>
      <c r="AX352" s="132" t="n"/>
      <c r="AY352" s="132" t="n"/>
      <c r="AZ352" s="133" t="n"/>
      <c r="BA352" s="131" t="n"/>
      <c r="BB352" s="132" t="n"/>
      <c r="BC352" s="133" t="n"/>
      <c r="BD352" s="131" t="n"/>
      <c r="BE352" s="132" t="n"/>
      <c r="BF352" s="133" t="n"/>
      <c r="BG352" s="131" t="n"/>
      <c r="BH352" s="132" t="n"/>
      <c r="BI352" s="132" t="n"/>
      <c r="BJ352" s="128">
        <f>iferror(SUM($BK352,($BL352*1.2),($BM352*1.35),($BN352*0.74)),)</f>
        <v/>
      </c>
      <c r="BK352" s="128">
        <f>IFERROR(SUM($BT352:$CK352),)</f>
        <v/>
      </c>
      <c r="BL352" s="129">
        <f>IFERROR(SUM($CL352:$CN352),)</f>
        <v/>
      </c>
      <c r="BM352" s="130">
        <f>IFERROR(SUM($CO352:$CQ352),)</f>
        <v/>
      </c>
      <c r="BN352" s="128">
        <f>IFERROR(SUM($CR352:$CT352),)</f>
        <v/>
      </c>
      <c r="BO352" s="128">
        <f>iferror(SUM($BP352,($BQ352*1.2),($BR352*1.35),($BS352*0.74)),)</f>
        <v/>
      </c>
      <c r="BP352" s="128">
        <f>IFERROR(SUM($CU352:$DL352),)</f>
        <v/>
      </c>
      <c r="BQ352" s="128">
        <f>IFERROR(SUM($DM352:$DO352),)</f>
        <v/>
      </c>
      <c r="BR352" s="128">
        <f>IFERROR(SUM($DP352:$DR352),)</f>
        <v/>
      </c>
      <c r="BS352" s="128">
        <f>IFERROR(SUM($DS352:$DU352),)</f>
        <v/>
      </c>
      <c r="BT352" s="128">
        <f>IFERROR(AI352*$W352,)</f>
        <v/>
      </c>
      <c r="BU352" s="128">
        <f>IFERROR(AJ352*$W352,)</f>
        <v/>
      </c>
      <c r="BV352" s="128">
        <f>IFERROR(AK352*$W352,)</f>
        <v/>
      </c>
      <c r="BW352" s="128">
        <f>IFERROR(AL352*$W352,)</f>
        <v/>
      </c>
      <c r="BX352" s="128">
        <f>IFERROR(AM352*$W352,)</f>
        <v/>
      </c>
      <c r="BY352" s="128">
        <f>IFERROR(AN352*$W352,)</f>
        <v/>
      </c>
      <c r="BZ352" s="128">
        <f>IFERROR(AO352*$W352,)</f>
        <v/>
      </c>
      <c r="CA352" s="128">
        <f>IFERROR(AP352*$W352,)</f>
        <v/>
      </c>
      <c r="CB352" s="128">
        <f>IFERROR(AQ352*$W352,)</f>
        <v/>
      </c>
      <c r="CC352" s="128">
        <f>IFERROR(AR352*$W352,)</f>
        <v/>
      </c>
      <c r="CD352" s="128">
        <f>IFERROR(AS352*$W352,)</f>
        <v/>
      </c>
      <c r="CE352" s="128">
        <f>IFERROR(AT352*$W352,)</f>
        <v/>
      </c>
      <c r="CF352" s="128">
        <f>IFERROR(AU352*$W352,)</f>
        <v/>
      </c>
      <c r="CG352" s="128">
        <f>IFERROR(AV352*$W352,)</f>
        <v/>
      </c>
      <c r="CH352" s="128">
        <f>IFERROR(AW352*$W352,)</f>
        <v/>
      </c>
      <c r="CI352" s="128">
        <f>IFERROR(AX352*$W352,)</f>
        <v/>
      </c>
      <c r="CJ352" s="128">
        <f>IFERROR(AY352*$W352,)</f>
        <v/>
      </c>
      <c r="CK352" s="128">
        <f>IFERROR(AZ352*$W352,)</f>
        <v/>
      </c>
      <c r="CL352" s="129">
        <f>IFERROR(if($Y352=0,BA352*($W352/1.2),BA352*$Y352),"")</f>
        <v/>
      </c>
      <c r="CM352" s="129">
        <f>IFERROR(if($Y352=0,BB352*($W352/1.2),BB352*$Y352),"")</f>
        <v/>
      </c>
      <c r="CN352" s="129">
        <f>IFERROR(if($Y352=0,BC352*($W352/1.2),BC352*$Y352),"")</f>
        <v/>
      </c>
      <c r="CO352" s="130">
        <f>IFERROR(if($AA352=0,($W352/1.35)*BD352,BD352*$AA352),)</f>
        <v/>
      </c>
      <c r="CP352" s="130">
        <f>IFERROR(if($AA352=0,($W352/1.35)*BE352,BE352*$AA352),)</f>
        <v/>
      </c>
      <c r="CQ352" s="130">
        <f>IFERROR(if($AA352=0,($W352/1.35)*BF352,BF352*$AA352),)</f>
        <v/>
      </c>
      <c r="CR352" s="128">
        <f>IFERROR(if($AC352=0,($W352/0.74)*BG352,
BG352*$AC352),)</f>
        <v/>
      </c>
      <c r="CS352" s="128">
        <f>IFERROR(if($AC352=0,($W352/0.74)*BH352,
BH352*$AC352),)</f>
        <v/>
      </c>
      <c r="CT352" s="128">
        <f>IFERROR(if($AC352=0,($W352/0.74)*BI352,
BI352*$AC352),)</f>
        <v/>
      </c>
      <c r="CU352" s="128">
        <f>IFERROR(AI352*$V352,)</f>
        <v/>
      </c>
      <c r="CV352" s="128">
        <f>IFERROR(AJ352*$V352,)</f>
        <v/>
      </c>
      <c r="CW352" s="128">
        <f>IFERROR(AK352*$V352,)</f>
        <v/>
      </c>
      <c r="CX352" s="128">
        <f>IFERROR(AL352*$V352,)</f>
        <v/>
      </c>
      <c r="CY352" s="128">
        <f>IFERROR(AM352*$V352,)</f>
        <v/>
      </c>
      <c r="CZ352" s="128">
        <f>IFERROR(AN352*$V352,)</f>
        <v/>
      </c>
      <c r="DA352" s="128">
        <f>IFERROR(AO352*$V352,)</f>
        <v/>
      </c>
      <c r="DB352" s="128">
        <f>IFERROR(AP352*$V352,)</f>
        <v/>
      </c>
      <c r="DC352" s="128">
        <f>IFERROR(AQ352*$V352,)</f>
        <v/>
      </c>
      <c r="DD352" s="128">
        <f>IFERROR(AR352*$V352,)</f>
        <v/>
      </c>
      <c r="DE352" s="128">
        <f>IFERROR(AS352*$V352,)</f>
        <v/>
      </c>
      <c r="DF352" s="128">
        <f>IFERROR(AT352*$V352,)</f>
        <v/>
      </c>
      <c r="DG352" s="128">
        <f>IFERROR(AU352*$V352,)</f>
        <v/>
      </c>
      <c r="DH352" s="128">
        <f>IFERROR(AV352*$V352,)</f>
        <v/>
      </c>
      <c r="DI352" s="128">
        <f>IFERROR(AW352*$V352,)</f>
        <v/>
      </c>
      <c r="DJ352" s="128">
        <f>IFERROR(AX352*$V352,)</f>
        <v/>
      </c>
      <c r="DK352" s="128">
        <f>IFERROR(AY352*$V352,)</f>
        <v/>
      </c>
      <c r="DL352" s="128">
        <f>IFERROR(AZ352*$V352,)</f>
        <v/>
      </c>
      <c r="DM352" s="129">
        <f>IFERROR(if($X352=0,($V352/1.2)*BA352,
BA352*$X352),)</f>
        <v/>
      </c>
      <c r="DN352" s="129">
        <f>IFERROR(if($X352=0,($V352/1.2)*BB352,
BB352*$X352),)</f>
        <v/>
      </c>
      <c r="DO352" s="129">
        <f>IFERROR(if($X352=0,($V352/1.2)*BC352,
BC352*$X352),)</f>
        <v/>
      </c>
      <c r="DP352" s="130">
        <f>IFERROR(if($Z352=0,($V352/1.35)*BD352,
BD352*$Z352),)</f>
        <v/>
      </c>
      <c r="DQ352" s="130">
        <f>IFERROR(if($Z352=0,($V352/1.35)*BE352,
BE352*$Z352),)</f>
        <v/>
      </c>
      <c r="DR352" s="130">
        <f>IFERROR(if($Z352=0,($V352/1.35)*BF352,
BF352*$Z352),)</f>
        <v/>
      </c>
      <c r="DS352" s="128">
        <f>IFERROR(IF($AB352=0,($V352/0.74)*BG352,
BG352*$AB352),)</f>
        <v/>
      </c>
      <c r="DT352" s="128">
        <f>IFERROR(IF($AB352=0,($V352/0.74)*BH352,
BH352*$AB352),)</f>
        <v/>
      </c>
      <c r="DU352" s="128">
        <f>IFERROR(IF($AB352=0,($V352/0.74)*BI352,
BI352*$AB352),)</f>
        <v/>
      </c>
    </row>
    <row r="353" ht="131.25" customHeight="1" s="162">
      <c r="A353" s="115" t="n"/>
      <c r="B353" s="115" t="n"/>
      <c r="C353" s="115" t="n"/>
      <c r="D353" s="115" t="n"/>
      <c r="E353" s="115" t="n"/>
      <c r="F353" s="115" t="n"/>
      <c r="G353" s="115" t="n"/>
      <c r="H353" s="115" t="n"/>
      <c r="I353" s="115" t="n"/>
      <c r="J353" s="115" t="n"/>
      <c r="K353" s="115" t="n"/>
      <c r="L353" s="115" t="n"/>
      <c r="M353" s="115" t="n"/>
      <c r="N353" s="115" t="n"/>
      <c r="O353" s="115" t="n"/>
      <c r="P353" s="115" t="n"/>
      <c r="Q353" s="115" t="n"/>
      <c r="R353" s="115" t="n"/>
      <c r="S353" s="115" t="n"/>
      <c r="T353" s="115" t="n"/>
      <c r="U353" s="116" t="n"/>
      <c r="V353" s="116" t="n"/>
      <c r="W353" s="117" t="n"/>
      <c r="X353" s="118" t="n"/>
      <c r="Y353" s="119" t="n"/>
      <c r="Z353" s="120" t="n"/>
      <c r="AA353" s="121" t="n"/>
      <c r="AB353" s="122" t="n"/>
      <c r="AC353" s="117" t="n"/>
      <c r="AD353" s="123">
        <f>IF(SUM($AE353:$AH353)=0,"",SUM($AE353:$AH353))</f>
        <v/>
      </c>
      <c r="AE353" s="123">
        <f>iferror(IF(SUM($AI353:$AZ353)=0,"",SUM($AI353:$AZ353)),"")</f>
        <v/>
      </c>
      <c r="AF353" s="123">
        <f>iferror(IF(SUM($BA353:$BC353)=0,"",SUM($BA353:$BC353)),"")</f>
        <v/>
      </c>
      <c r="AG353" s="123">
        <f>iferror(IF(SUM($BD353:$BF353)=0,"",SUM($BD353:$BF353)),"")</f>
        <v/>
      </c>
      <c r="AH353" s="124">
        <f>iferror(IF(SUM($BG353:$BI353)=0,"",SUM($BG353:$BI353)),"")</f>
        <v/>
      </c>
      <c r="AI353" s="131" t="n"/>
      <c r="AJ353" s="132" t="n"/>
      <c r="AK353" s="132" t="n"/>
      <c r="AL353" s="132" t="n"/>
      <c r="AM353" s="132" t="n"/>
      <c r="AN353" s="132" t="n"/>
      <c r="AO353" s="132" t="n"/>
      <c r="AP353" s="132" t="n"/>
      <c r="AQ353" s="132" t="n"/>
      <c r="AR353" s="132" t="n"/>
      <c r="AS353" s="132" t="n"/>
      <c r="AT353" s="132" t="n"/>
      <c r="AU353" s="132" t="n"/>
      <c r="AV353" s="132" t="n"/>
      <c r="AW353" s="132" t="n"/>
      <c r="AX353" s="132" t="n"/>
      <c r="AY353" s="132" t="n"/>
      <c r="AZ353" s="133" t="n"/>
      <c r="BA353" s="131" t="n"/>
      <c r="BB353" s="132" t="n"/>
      <c r="BC353" s="133" t="n"/>
      <c r="BD353" s="131" t="n"/>
      <c r="BE353" s="132" t="n"/>
      <c r="BF353" s="133" t="n"/>
      <c r="BG353" s="131" t="n"/>
      <c r="BH353" s="132" t="n"/>
      <c r="BI353" s="132" t="n"/>
      <c r="BJ353" s="128">
        <f>iferror(SUM($BK353,($BL353*1.2),($BM353*1.35),($BN353*0.74)),)</f>
        <v/>
      </c>
      <c r="BK353" s="128">
        <f>IFERROR(SUM($BT353:$CK353),)</f>
        <v/>
      </c>
      <c r="BL353" s="129">
        <f>IFERROR(SUM($CL353:$CN353),)</f>
        <v/>
      </c>
      <c r="BM353" s="130">
        <f>IFERROR(SUM($CO353:$CQ353),)</f>
        <v/>
      </c>
      <c r="BN353" s="128">
        <f>IFERROR(SUM($CR353:$CT353),)</f>
        <v/>
      </c>
      <c r="BO353" s="128">
        <f>iferror(SUM($BP353,($BQ353*1.2),($BR353*1.35),($BS353*0.74)),)</f>
        <v/>
      </c>
      <c r="BP353" s="128">
        <f>IFERROR(SUM($CU353:$DL353),)</f>
        <v/>
      </c>
      <c r="BQ353" s="128">
        <f>IFERROR(SUM($DM353:$DO353),)</f>
        <v/>
      </c>
      <c r="BR353" s="128">
        <f>IFERROR(SUM($DP353:$DR353),)</f>
        <v/>
      </c>
      <c r="BS353" s="128">
        <f>IFERROR(SUM($DS353:$DU353),)</f>
        <v/>
      </c>
      <c r="BT353" s="128">
        <f>IFERROR(AI353*$W353,)</f>
        <v/>
      </c>
      <c r="BU353" s="128">
        <f>IFERROR(AJ353*$W353,)</f>
        <v/>
      </c>
      <c r="BV353" s="128">
        <f>IFERROR(AK353*$W353,)</f>
        <v/>
      </c>
      <c r="BW353" s="128">
        <f>IFERROR(AL353*$W353,)</f>
        <v/>
      </c>
      <c r="BX353" s="128">
        <f>IFERROR(AM353*$W353,)</f>
        <v/>
      </c>
      <c r="BY353" s="128">
        <f>IFERROR(AN353*$W353,)</f>
        <v/>
      </c>
      <c r="BZ353" s="128">
        <f>IFERROR(AO353*$W353,)</f>
        <v/>
      </c>
      <c r="CA353" s="128">
        <f>IFERROR(AP353*$W353,)</f>
        <v/>
      </c>
      <c r="CB353" s="128">
        <f>IFERROR(AQ353*$W353,)</f>
        <v/>
      </c>
      <c r="CC353" s="128">
        <f>IFERROR(AR353*$W353,)</f>
        <v/>
      </c>
      <c r="CD353" s="128">
        <f>IFERROR(AS353*$W353,)</f>
        <v/>
      </c>
      <c r="CE353" s="128">
        <f>IFERROR(AT353*$W353,)</f>
        <v/>
      </c>
      <c r="CF353" s="128">
        <f>IFERROR(AU353*$W353,)</f>
        <v/>
      </c>
      <c r="CG353" s="128">
        <f>IFERROR(AV353*$W353,)</f>
        <v/>
      </c>
      <c r="CH353" s="128">
        <f>IFERROR(AW353*$W353,)</f>
        <v/>
      </c>
      <c r="CI353" s="128">
        <f>IFERROR(AX353*$W353,)</f>
        <v/>
      </c>
      <c r="CJ353" s="128">
        <f>IFERROR(AY353*$W353,)</f>
        <v/>
      </c>
      <c r="CK353" s="128">
        <f>IFERROR(AZ353*$W353,)</f>
        <v/>
      </c>
      <c r="CL353" s="129">
        <f>IFERROR(if($Y353=0,BA353*($W353/1.2),BA353*$Y353),"")</f>
        <v/>
      </c>
      <c r="CM353" s="129">
        <f>IFERROR(if($Y353=0,BB353*($W353/1.2),BB353*$Y353),"")</f>
        <v/>
      </c>
      <c r="CN353" s="129">
        <f>IFERROR(if($Y353=0,BC353*($W353/1.2),BC353*$Y353),"")</f>
        <v/>
      </c>
      <c r="CO353" s="130">
        <f>IFERROR(if($AA353=0,($W353/1.35)*BD353,BD353*$AA353),)</f>
        <v/>
      </c>
      <c r="CP353" s="130">
        <f>IFERROR(if($AA353=0,($W353/1.35)*BE353,BE353*$AA353),)</f>
        <v/>
      </c>
      <c r="CQ353" s="130">
        <f>IFERROR(if($AA353=0,($W353/1.35)*BF353,BF353*$AA353),)</f>
        <v/>
      </c>
      <c r="CR353" s="128">
        <f>IFERROR(if($AC353=0,($W353/0.74)*BG353,
BG353*$AC353),)</f>
        <v/>
      </c>
      <c r="CS353" s="128">
        <f>IFERROR(if($AC353=0,($W353/0.74)*BH353,
BH353*$AC353),)</f>
        <v/>
      </c>
      <c r="CT353" s="128">
        <f>IFERROR(if($AC353=0,($W353/0.74)*BI353,
BI353*$AC353),)</f>
        <v/>
      </c>
      <c r="CU353" s="128">
        <f>IFERROR(AI353*$V353,)</f>
        <v/>
      </c>
      <c r="CV353" s="128">
        <f>IFERROR(AJ353*$V353,)</f>
        <v/>
      </c>
      <c r="CW353" s="128">
        <f>IFERROR(AK353*$V353,)</f>
        <v/>
      </c>
      <c r="CX353" s="128">
        <f>IFERROR(AL353*$V353,)</f>
        <v/>
      </c>
      <c r="CY353" s="128">
        <f>IFERROR(AM353*$V353,)</f>
        <v/>
      </c>
      <c r="CZ353" s="128">
        <f>IFERROR(AN353*$V353,)</f>
        <v/>
      </c>
      <c r="DA353" s="128">
        <f>IFERROR(AO353*$V353,)</f>
        <v/>
      </c>
      <c r="DB353" s="128">
        <f>IFERROR(AP353*$V353,)</f>
        <v/>
      </c>
      <c r="DC353" s="128">
        <f>IFERROR(AQ353*$V353,)</f>
        <v/>
      </c>
      <c r="DD353" s="128">
        <f>IFERROR(AR353*$V353,)</f>
        <v/>
      </c>
      <c r="DE353" s="128">
        <f>IFERROR(AS353*$V353,)</f>
        <v/>
      </c>
      <c r="DF353" s="128">
        <f>IFERROR(AT353*$V353,)</f>
        <v/>
      </c>
      <c r="DG353" s="128">
        <f>IFERROR(AU353*$V353,)</f>
        <v/>
      </c>
      <c r="DH353" s="128">
        <f>IFERROR(AV353*$V353,)</f>
        <v/>
      </c>
      <c r="DI353" s="128">
        <f>IFERROR(AW353*$V353,)</f>
        <v/>
      </c>
      <c r="DJ353" s="128">
        <f>IFERROR(AX353*$V353,)</f>
        <v/>
      </c>
      <c r="DK353" s="128">
        <f>IFERROR(AY353*$V353,)</f>
        <v/>
      </c>
      <c r="DL353" s="128">
        <f>IFERROR(AZ353*$V353,)</f>
        <v/>
      </c>
      <c r="DM353" s="129">
        <f>IFERROR(if($X353=0,($V353/1.2)*BA353,
BA353*$X353),)</f>
        <v/>
      </c>
      <c r="DN353" s="129">
        <f>IFERROR(if($X353=0,($V353/1.2)*BB353,
BB353*$X353),)</f>
        <v/>
      </c>
      <c r="DO353" s="129">
        <f>IFERROR(if($X353=0,($V353/1.2)*BC353,
BC353*$X353),)</f>
        <v/>
      </c>
      <c r="DP353" s="130">
        <f>IFERROR(if($Z353=0,($V353/1.35)*BD353,
BD353*$Z353),)</f>
        <v/>
      </c>
      <c r="DQ353" s="130">
        <f>IFERROR(if($Z353=0,($V353/1.35)*BE353,
BE353*$Z353),)</f>
        <v/>
      </c>
      <c r="DR353" s="130">
        <f>IFERROR(if($Z353=0,($V353/1.35)*BF353,
BF353*$Z353),)</f>
        <v/>
      </c>
      <c r="DS353" s="128">
        <f>IFERROR(IF($AB353=0,($V353/0.74)*BG353,
BG353*$AB353),)</f>
        <v/>
      </c>
      <c r="DT353" s="128">
        <f>IFERROR(IF($AB353=0,($V353/0.74)*BH353,
BH353*$AB353),)</f>
        <v/>
      </c>
      <c r="DU353" s="128">
        <f>IFERROR(IF($AB353=0,($V353/0.74)*BI353,
BI353*$AB353),)</f>
        <v/>
      </c>
    </row>
    <row r="354" ht="131.25" customHeight="1" s="162">
      <c r="A354" s="115" t="n"/>
      <c r="B354" s="115" t="n"/>
      <c r="C354" s="115" t="n"/>
      <c r="D354" s="115" t="n"/>
      <c r="E354" s="115" t="n"/>
      <c r="F354" s="115" t="n"/>
      <c r="G354" s="115" t="n"/>
      <c r="H354" s="115" t="n"/>
      <c r="I354" s="115" t="n"/>
      <c r="J354" s="115" t="n"/>
      <c r="K354" s="115" t="n"/>
      <c r="L354" s="115" t="n"/>
      <c r="M354" s="115" t="n"/>
      <c r="N354" s="115" t="n"/>
      <c r="O354" s="115" t="n"/>
      <c r="P354" s="115" t="n"/>
      <c r="Q354" s="115" t="n"/>
      <c r="R354" s="115" t="n"/>
      <c r="S354" s="115" t="n"/>
      <c r="T354" s="115" t="n"/>
      <c r="U354" s="116" t="n"/>
      <c r="V354" s="116" t="n"/>
      <c r="W354" s="117" t="n"/>
      <c r="X354" s="118" t="n"/>
      <c r="Y354" s="119" t="n"/>
      <c r="Z354" s="120" t="n"/>
      <c r="AA354" s="121" t="n"/>
      <c r="AB354" s="122" t="n"/>
      <c r="AC354" s="117" t="n"/>
      <c r="AD354" s="123">
        <f>IF(SUM($AE354:$AH354)=0,"",SUM($AE354:$AH354))</f>
        <v/>
      </c>
      <c r="AE354" s="123">
        <f>iferror(IF(SUM($AI354:$AZ354)=0,"",SUM($AI354:$AZ354)),"")</f>
        <v/>
      </c>
      <c r="AF354" s="123">
        <f>iferror(IF(SUM($BA354:$BC354)=0,"",SUM($BA354:$BC354)),"")</f>
        <v/>
      </c>
      <c r="AG354" s="123">
        <f>iferror(IF(SUM($BD354:$BF354)=0,"",SUM($BD354:$BF354)),"")</f>
        <v/>
      </c>
      <c r="AH354" s="124">
        <f>iferror(IF(SUM($BG354:$BI354)=0,"",SUM($BG354:$BI354)),"")</f>
        <v/>
      </c>
      <c r="AI354" s="131" t="n"/>
      <c r="AJ354" s="132" t="n"/>
      <c r="AK354" s="132" t="n"/>
      <c r="AL354" s="132" t="n"/>
      <c r="AM354" s="132" t="n"/>
      <c r="AN354" s="132" t="n"/>
      <c r="AO354" s="132" t="n"/>
      <c r="AP354" s="132" t="n"/>
      <c r="AQ354" s="132" t="n"/>
      <c r="AR354" s="132" t="n"/>
      <c r="AS354" s="132" t="n"/>
      <c r="AT354" s="132" t="n"/>
      <c r="AU354" s="132" t="n"/>
      <c r="AV354" s="132" t="n"/>
      <c r="AW354" s="132" t="n"/>
      <c r="AX354" s="132" t="n"/>
      <c r="AY354" s="132" t="n"/>
      <c r="AZ354" s="133" t="n"/>
      <c r="BA354" s="131" t="n"/>
      <c r="BB354" s="132" t="n"/>
      <c r="BC354" s="133" t="n"/>
      <c r="BD354" s="131" t="n"/>
      <c r="BE354" s="132" t="n"/>
      <c r="BF354" s="133" t="n"/>
      <c r="BG354" s="131" t="n"/>
      <c r="BH354" s="132" t="n"/>
      <c r="BI354" s="132" t="n"/>
      <c r="BJ354" s="128">
        <f>iferror(SUM($BK354,($BL354*1.2),($BM354*1.35),($BN354*0.74)),)</f>
        <v/>
      </c>
      <c r="BK354" s="128">
        <f>IFERROR(SUM($BT354:$CK354),)</f>
        <v/>
      </c>
      <c r="BL354" s="129">
        <f>IFERROR(SUM($CL354:$CN354),)</f>
        <v/>
      </c>
      <c r="BM354" s="130">
        <f>IFERROR(SUM($CO354:$CQ354),)</f>
        <v/>
      </c>
      <c r="BN354" s="128">
        <f>IFERROR(SUM($CR354:$CT354),)</f>
        <v/>
      </c>
      <c r="BO354" s="128">
        <f>iferror(SUM($BP354,($BQ354*1.2),($BR354*1.35),($BS354*0.74)),)</f>
        <v/>
      </c>
      <c r="BP354" s="128">
        <f>IFERROR(SUM($CU354:$DL354),)</f>
        <v/>
      </c>
      <c r="BQ354" s="128">
        <f>IFERROR(SUM($DM354:$DO354),)</f>
        <v/>
      </c>
      <c r="BR354" s="128">
        <f>IFERROR(SUM($DP354:$DR354),)</f>
        <v/>
      </c>
      <c r="BS354" s="128">
        <f>IFERROR(SUM($DS354:$DU354),)</f>
        <v/>
      </c>
      <c r="BT354" s="128">
        <f>IFERROR(AI354*$W354,)</f>
        <v/>
      </c>
      <c r="BU354" s="128">
        <f>IFERROR(AJ354*$W354,)</f>
        <v/>
      </c>
      <c r="BV354" s="128">
        <f>IFERROR(AK354*$W354,)</f>
        <v/>
      </c>
      <c r="BW354" s="128">
        <f>IFERROR(AL354*$W354,)</f>
        <v/>
      </c>
      <c r="BX354" s="128">
        <f>IFERROR(AM354*$W354,)</f>
        <v/>
      </c>
      <c r="BY354" s="128">
        <f>IFERROR(AN354*$W354,)</f>
        <v/>
      </c>
      <c r="BZ354" s="128">
        <f>IFERROR(AO354*$W354,)</f>
        <v/>
      </c>
      <c r="CA354" s="128">
        <f>IFERROR(AP354*$W354,)</f>
        <v/>
      </c>
      <c r="CB354" s="128">
        <f>IFERROR(AQ354*$W354,)</f>
        <v/>
      </c>
      <c r="CC354" s="128">
        <f>IFERROR(AR354*$W354,)</f>
        <v/>
      </c>
      <c r="CD354" s="128">
        <f>IFERROR(AS354*$W354,)</f>
        <v/>
      </c>
      <c r="CE354" s="128">
        <f>IFERROR(AT354*$W354,)</f>
        <v/>
      </c>
      <c r="CF354" s="128">
        <f>IFERROR(AU354*$W354,)</f>
        <v/>
      </c>
      <c r="CG354" s="128">
        <f>IFERROR(AV354*$W354,)</f>
        <v/>
      </c>
      <c r="CH354" s="128">
        <f>IFERROR(AW354*$W354,)</f>
        <v/>
      </c>
      <c r="CI354" s="128">
        <f>IFERROR(AX354*$W354,)</f>
        <v/>
      </c>
      <c r="CJ354" s="128">
        <f>IFERROR(AY354*$W354,)</f>
        <v/>
      </c>
      <c r="CK354" s="128">
        <f>IFERROR(AZ354*$W354,)</f>
        <v/>
      </c>
      <c r="CL354" s="129">
        <f>IFERROR(if($Y354=0,BA354*($W354/1.2),BA354*$Y354),"")</f>
        <v/>
      </c>
      <c r="CM354" s="129">
        <f>IFERROR(if($Y354=0,BB354*($W354/1.2),BB354*$Y354),"")</f>
        <v/>
      </c>
      <c r="CN354" s="129">
        <f>IFERROR(if($Y354=0,BC354*($W354/1.2),BC354*$Y354),"")</f>
        <v/>
      </c>
      <c r="CO354" s="130">
        <f>IFERROR(if($AA354=0,($W354/1.35)*BD354,BD354*$AA354),)</f>
        <v/>
      </c>
      <c r="CP354" s="130">
        <f>IFERROR(if($AA354=0,($W354/1.35)*BE354,BE354*$AA354),)</f>
        <v/>
      </c>
      <c r="CQ354" s="130">
        <f>IFERROR(if($AA354=0,($W354/1.35)*BF354,BF354*$AA354),)</f>
        <v/>
      </c>
      <c r="CR354" s="128">
        <f>IFERROR(if($AC354=0,($W354/0.74)*BG354,
BG354*$AC354),)</f>
        <v/>
      </c>
      <c r="CS354" s="128">
        <f>IFERROR(if($AC354=0,($W354/0.74)*BH354,
BH354*$AC354),)</f>
        <v/>
      </c>
      <c r="CT354" s="128">
        <f>IFERROR(if($AC354=0,($W354/0.74)*BI354,
BI354*$AC354),)</f>
        <v/>
      </c>
      <c r="CU354" s="128">
        <f>IFERROR(AI354*$V354,)</f>
        <v/>
      </c>
      <c r="CV354" s="128">
        <f>IFERROR(AJ354*$V354,)</f>
        <v/>
      </c>
      <c r="CW354" s="128">
        <f>IFERROR(AK354*$V354,)</f>
        <v/>
      </c>
      <c r="CX354" s="128">
        <f>IFERROR(AL354*$V354,)</f>
        <v/>
      </c>
      <c r="CY354" s="128">
        <f>IFERROR(AM354*$V354,)</f>
        <v/>
      </c>
      <c r="CZ354" s="128">
        <f>IFERROR(AN354*$V354,)</f>
        <v/>
      </c>
      <c r="DA354" s="128">
        <f>IFERROR(AO354*$V354,)</f>
        <v/>
      </c>
      <c r="DB354" s="128">
        <f>IFERROR(AP354*$V354,)</f>
        <v/>
      </c>
      <c r="DC354" s="128">
        <f>IFERROR(AQ354*$V354,)</f>
        <v/>
      </c>
      <c r="DD354" s="128">
        <f>IFERROR(AR354*$V354,)</f>
        <v/>
      </c>
      <c r="DE354" s="128">
        <f>IFERROR(AS354*$V354,)</f>
        <v/>
      </c>
      <c r="DF354" s="128">
        <f>IFERROR(AT354*$V354,)</f>
        <v/>
      </c>
      <c r="DG354" s="128">
        <f>IFERROR(AU354*$V354,)</f>
        <v/>
      </c>
      <c r="DH354" s="128">
        <f>IFERROR(AV354*$V354,)</f>
        <v/>
      </c>
      <c r="DI354" s="128">
        <f>IFERROR(AW354*$V354,)</f>
        <v/>
      </c>
      <c r="DJ354" s="128">
        <f>IFERROR(AX354*$V354,)</f>
        <v/>
      </c>
      <c r="DK354" s="128">
        <f>IFERROR(AY354*$V354,)</f>
        <v/>
      </c>
      <c r="DL354" s="128">
        <f>IFERROR(AZ354*$V354,)</f>
        <v/>
      </c>
      <c r="DM354" s="129">
        <f>IFERROR(if($X354=0,($V354/1.2)*BA354,
BA354*$X354),)</f>
        <v/>
      </c>
      <c r="DN354" s="129">
        <f>IFERROR(if($X354=0,($V354/1.2)*BB354,
BB354*$X354),)</f>
        <v/>
      </c>
      <c r="DO354" s="129">
        <f>IFERROR(if($X354=0,($V354/1.2)*BC354,
BC354*$X354),)</f>
        <v/>
      </c>
      <c r="DP354" s="130">
        <f>IFERROR(if($Z354=0,($V354/1.35)*BD354,
BD354*$Z354),)</f>
        <v/>
      </c>
      <c r="DQ354" s="130">
        <f>IFERROR(if($Z354=0,($V354/1.35)*BE354,
BE354*$Z354),)</f>
        <v/>
      </c>
      <c r="DR354" s="130">
        <f>IFERROR(if($Z354=0,($V354/1.35)*BF354,
BF354*$Z354),)</f>
        <v/>
      </c>
      <c r="DS354" s="128">
        <f>IFERROR(IF($AB354=0,($V354/0.74)*BG354,
BG354*$AB354),)</f>
        <v/>
      </c>
      <c r="DT354" s="128">
        <f>IFERROR(IF($AB354=0,($V354/0.74)*BH354,
BH354*$AB354),)</f>
        <v/>
      </c>
      <c r="DU354" s="128">
        <f>IFERROR(IF($AB354=0,($V354/0.74)*BI354,
BI354*$AB354),)</f>
        <v/>
      </c>
    </row>
    <row r="355" ht="131.25" customHeight="1" s="162">
      <c r="A355" s="115" t="n"/>
      <c r="B355" s="115" t="n"/>
      <c r="C355" s="115" t="n"/>
      <c r="D355" s="115" t="n"/>
      <c r="E355" s="115" t="n"/>
      <c r="F355" s="115" t="n"/>
      <c r="G355" s="115" t="n"/>
      <c r="H355" s="115" t="n"/>
      <c r="I355" s="115" t="n"/>
      <c r="J355" s="115" t="n"/>
      <c r="K355" s="115" t="n"/>
      <c r="L355" s="115" t="n"/>
      <c r="M355" s="115" t="n"/>
      <c r="N355" s="115" t="n"/>
      <c r="O355" s="115" t="n"/>
      <c r="P355" s="115" t="n"/>
      <c r="Q355" s="115" t="n"/>
      <c r="R355" s="115" t="n"/>
      <c r="S355" s="115" t="n"/>
      <c r="T355" s="115" t="n"/>
      <c r="U355" s="116" t="n"/>
      <c r="V355" s="116" t="n"/>
      <c r="W355" s="117" t="n"/>
      <c r="X355" s="118" t="n"/>
      <c r="Y355" s="119" t="n"/>
      <c r="Z355" s="120" t="n"/>
      <c r="AA355" s="121" t="n"/>
      <c r="AB355" s="122" t="n"/>
      <c r="AC355" s="117" t="n"/>
      <c r="AD355" s="123">
        <f>IF(SUM($AE355:$AH355)=0,"",SUM($AE355:$AH355))</f>
        <v/>
      </c>
      <c r="AE355" s="123">
        <f>iferror(IF(SUM($AI355:$AZ355)=0,"",SUM($AI355:$AZ355)),"")</f>
        <v/>
      </c>
      <c r="AF355" s="123">
        <f>iferror(IF(SUM($BA355:$BC355)=0,"",SUM($BA355:$BC355)),"")</f>
        <v/>
      </c>
      <c r="AG355" s="123">
        <f>iferror(IF(SUM($BD355:$BF355)=0,"",SUM($BD355:$BF355)),"")</f>
        <v/>
      </c>
      <c r="AH355" s="124">
        <f>iferror(IF(SUM($BG355:$BI355)=0,"",SUM($BG355:$BI355)),"")</f>
        <v/>
      </c>
      <c r="AI355" s="131" t="n"/>
      <c r="AJ355" s="132" t="n"/>
      <c r="AK355" s="132" t="n"/>
      <c r="AL355" s="132" t="n"/>
      <c r="AM355" s="132" t="n"/>
      <c r="AN355" s="132" t="n"/>
      <c r="AO355" s="132" t="n"/>
      <c r="AP355" s="132" t="n"/>
      <c r="AQ355" s="132" t="n"/>
      <c r="AR355" s="132" t="n"/>
      <c r="AS355" s="132" t="n"/>
      <c r="AT355" s="132" t="n"/>
      <c r="AU355" s="132" t="n"/>
      <c r="AV355" s="132" t="n"/>
      <c r="AW355" s="132" t="n"/>
      <c r="AX355" s="132" t="n"/>
      <c r="AY355" s="132" t="n"/>
      <c r="AZ355" s="133" t="n"/>
      <c r="BA355" s="131" t="n"/>
      <c r="BB355" s="132" t="n"/>
      <c r="BC355" s="133" t="n"/>
      <c r="BD355" s="131" t="n"/>
      <c r="BE355" s="132" t="n"/>
      <c r="BF355" s="133" t="n"/>
      <c r="BG355" s="131" t="n"/>
      <c r="BH355" s="132" t="n"/>
      <c r="BI355" s="132" t="n"/>
      <c r="BJ355" s="128">
        <f>iferror(SUM($BK355,($BL355*1.2),($BM355*1.35),($BN355*0.74)),)</f>
        <v/>
      </c>
      <c r="BK355" s="128">
        <f>IFERROR(SUM($BT355:$CK355),)</f>
        <v/>
      </c>
      <c r="BL355" s="129">
        <f>IFERROR(SUM($CL355:$CN355),)</f>
        <v/>
      </c>
      <c r="BM355" s="130">
        <f>IFERROR(SUM($CO355:$CQ355),)</f>
        <v/>
      </c>
      <c r="BN355" s="128">
        <f>IFERROR(SUM($CR355:$CT355),)</f>
        <v/>
      </c>
      <c r="BO355" s="128">
        <f>iferror(SUM($BP355,($BQ355*1.2),($BR355*1.35),($BS355*0.74)),)</f>
        <v/>
      </c>
      <c r="BP355" s="128">
        <f>IFERROR(SUM($CU355:$DL355),)</f>
        <v/>
      </c>
      <c r="BQ355" s="128">
        <f>IFERROR(SUM($DM355:$DO355),)</f>
        <v/>
      </c>
      <c r="BR355" s="128">
        <f>IFERROR(SUM($DP355:$DR355),)</f>
        <v/>
      </c>
      <c r="BS355" s="128">
        <f>IFERROR(SUM($DS355:$DU355),)</f>
        <v/>
      </c>
      <c r="BT355" s="128">
        <f>IFERROR(AI355*$W355,)</f>
        <v/>
      </c>
      <c r="BU355" s="128">
        <f>IFERROR(AJ355*$W355,)</f>
        <v/>
      </c>
      <c r="BV355" s="128">
        <f>IFERROR(AK355*$W355,)</f>
        <v/>
      </c>
      <c r="BW355" s="128">
        <f>IFERROR(AL355*$W355,)</f>
        <v/>
      </c>
      <c r="BX355" s="128">
        <f>IFERROR(AM355*$W355,)</f>
        <v/>
      </c>
      <c r="BY355" s="128">
        <f>IFERROR(AN355*$W355,)</f>
        <v/>
      </c>
      <c r="BZ355" s="128">
        <f>IFERROR(AO355*$W355,)</f>
        <v/>
      </c>
      <c r="CA355" s="128">
        <f>IFERROR(AP355*$W355,)</f>
        <v/>
      </c>
      <c r="CB355" s="128">
        <f>IFERROR(AQ355*$W355,)</f>
        <v/>
      </c>
      <c r="CC355" s="128">
        <f>IFERROR(AR355*$W355,)</f>
        <v/>
      </c>
      <c r="CD355" s="128">
        <f>IFERROR(AS355*$W355,)</f>
        <v/>
      </c>
      <c r="CE355" s="128">
        <f>IFERROR(AT355*$W355,)</f>
        <v/>
      </c>
      <c r="CF355" s="128">
        <f>IFERROR(AU355*$W355,)</f>
        <v/>
      </c>
      <c r="CG355" s="128">
        <f>IFERROR(AV355*$W355,)</f>
        <v/>
      </c>
      <c r="CH355" s="128">
        <f>IFERROR(AW355*$W355,)</f>
        <v/>
      </c>
      <c r="CI355" s="128">
        <f>IFERROR(AX355*$W355,)</f>
        <v/>
      </c>
      <c r="CJ355" s="128">
        <f>IFERROR(AY355*$W355,)</f>
        <v/>
      </c>
      <c r="CK355" s="128">
        <f>IFERROR(AZ355*$W355,)</f>
        <v/>
      </c>
      <c r="CL355" s="129">
        <f>IFERROR(if($Y355=0,BA355*($W355/1.2),BA355*$Y355),"")</f>
        <v/>
      </c>
      <c r="CM355" s="129">
        <f>IFERROR(if($Y355=0,BB355*($W355/1.2),BB355*$Y355),"")</f>
        <v/>
      </c>
      <c r="CN355" s="129">
        <f>IFERROR(if($Y355=0,BC355*($W355/1.2),BC355*$Y355),"")</f>
        <v/>
      </c>
      <c r="CO355" s="130">
        <f>IFERROR(if($AA355=0,($W355/1.35)*BD355,BD355*$AA355),)</f>
        <v/>
      </c>
      <c r="CP355" s="130">
        <f>IFERROR(if($AA355=0,($W355/1.35)*BE355,BE355*$AA355),)</f>
        <v/>
      </c>
      <c r="CQ355" s="130">
        <f>IFERROR(if($AA355=0,($W355/1.35)*BF355,BF355*$AA355),)</f>
        <v/>
      </c>
      <c r="CR355" s="128">
        <f>IFERROR(if($AC355=0,($W355/0.74)*BG355,
BG355*$AC355),)</f>
        <v/>
      </c>
      <c r="CS355" s="128">
        <f>IFERROR(if($AC355=0,($W355/0.74)*BH355,
BH355*$AC355),)</f>
        <v/>
      </c>
      <c r="CT355" s="128">
        <f>IFERROR(if($AC355=0,($W355/0.74)*BI355,
BI355*$AC355),)</f>
        <v/>
      </c>
      <c r="CU355" s="128">
        <f>IFERROR(AI355*$V355,)</f>
        <v/>
      </c>
      <c r="CV355" s="128">
        <f>IFERROR(AJ355*$V355,)</f>
        <v/>
      </c>
      <c r="CW355" s="128">
        <f>IFERROR(AK355*$V355,)</f>
        <v/>
      </c>
      <c r="CX355" s="128">
        <f>IFERROR(AL355*$V355,)</f>
        <v/>
      </c>
      <c r="CY355" s="128">
        <f>IFERROR(AM355*$V355,)</f>
        <v/>
      </c>
      <c r="CZ355" s="128">
        <f>IFERROR(AN355*$V355,)</f>
        <v/>
      </c>
      <c r="DA355" s="128">
        <f>IFERROR(AO355*$V355,)</f>
        <v/>
      </c>
      <c r="DB355" s="128">
        <f>IFERROR(AP355*$V355,)</f>
        <v/>
      </c>
      <c r="DC355" s="128">
        <f>IFERROR(AQ355*$V355,)</f>
        <v/>
      </c>
      <c r="DD355" s="128">
        <f>IFERROR(AR355*$V355,)</f>
        <v/>
      </c>
      <c r="DE355" s="128">
        <f>IFERROR(AS355*$V355,)</f>
        <v/>
      </c>
      <c r="DF355" s="128">
        <f>IFERROR(AT355*$V355,)</f>
        <v/>
      </c>
      <c r="DG355" s="128">
        <f>IFERROR(AU355*$V355,)</f>
        <v/>
      </c>
      <c r="DH355" s="128">
        <f>IFERROR(AV355*$V355,)</f>
        <v/>
      </c>
      <c r="DI355" s="128">
        <f>IFERROR(AW355*$V355,)</f>
        <v/>
      </c>
      <c r="DJ355" s="128">
        <f>IFERROR(AX355*$V355,)</f>
        <v/>
      </c>
      <c r="DK355" s="128">
        <f>IFERROR(AY355*$V355,)</f>
        <v/>
      </c>
      <c r="DL355" s="128">
        <f>IFERROR(AZ355*$V355,)</f>
        <v/>
      </c>
      <c r="DM355" s="129">
        <f>IFERROR(if($X355=0,($V355/1.2)*BA355,
BA355*$X355),)</f>
        <v/>
      </c>
      <c r="DN355" s="129">
        <f>IFERROR(if($X355=0,($V355/1.2)*BB355,
BB355*$X355),)</f>
        <v/>
      </c>
      <c r="DO355" s="129">
        <f>IFERROR(if($X355=0,($V355/1.2)*BC355,
BC355*$X355),)</f>
        <v/>
      </c>
      <c r="DP355" s="130">
        <f>IFERROR(if($Z355=0,($V355/1.35)*BD355,
BD355*$Z355),)</f>
        <v/>
      </c>
      <c r="DQ355" s="130">
        <f>IFERROR(if($Z355=0,($V355/1.35)*BE355,
BE355*$Z355),)</f>
        <v/>
      </c>
      <c r="DR355" s="130">
        <f>IFERROR(if($Z355=0,($V355/1.35)*BF355,
BF355*$Z355),)</f>
        <v/>
      </c>
      <c r="DS355" s="128">
        <f>IFERROR(IF($AB355=0,($V355/0.74)*BG355,
BG355*$AB355),)</f>
        <v/>
      </c>
      <c r="DT355" s="128">
        <f>IFERROR(IF($AB355=0,($V355/0.74)*BH355,
BH355*$AB355),)</f>
        <v/>
      </c>
      <c r="DU355" s="128">
        <f>IFERROR(IF($AB355=0,($V355/0.74)*BI355,
BI355*$AB355),)</f>
        <v/>
      </c>
    </row>
    <row r="356" ht="131.25" customHeight="1" s="162">
      <c r="A356" s="115" t="n"/>
      <c r="B356" s="115" t="n"/>
      <c r="C356" s="115" t="n"/>
      <c r="D356" s="115" t="n"/>
      <c r="E356" s="115" t="n"/>
      <c r="F356" s="115" t="n"/>
      <c r="G356" s="115" t="n"/>
      <c r="H356" s="115" t="n"/>
      <c r="I356" s="115" t="n"/>
      <c r="J356" s="115" t="n"/>
      <c r="K356" s="115" t="n"/>
      <c r="L356" s="115" t="n"/>
      <c r="M356" s="115" t="n"/>
      <c r="N356" s="115" t="n"/>
      <c r="O356" s="115" t="n"/>
      <c r="P356" s="115" t="n"/>
      <c r="Q356" s="115" t="n"/>
      <c r="R356" s="115" t="n"/>
      <c r="S356" s="115" t="n"/>
      <c r="T356" s="115" t="n"/>
      <c r="U356" s="116" t="n"/>
      <c r="V356" s="116" t="n"/>
      <c r="W356" s="117" t="n"/>
      <c r="X356" s="118" t="n"/>
      <c r="Y356" s="119" t="n"/>
      <c r="Z356" s="120" t="n"/>
      <c r="AA356" s="121" t="n"/>
      <c r="AB356" s="122" t="n"/>
      <c r="AC356" s="117" t="n"/>
      <c r="AD356" s="123">
        <f>IF(SUM($AE356:$AH356)=0,"",SUM($AE356:$AH356))</f>
        <v/>
      </c>
      <c r="AE356" s="123">
        <f>iferror(IF(SUM($AI356:$AZ356)=0,"",SUM($AI356:$AZ356)),"")</f>
        <v/>
      </c>
      <c r="AF356" s="123">
        <f>iferror(IF(SUM($BA356:$BC356)=0,"",SUM($BA356:$BC356)),"")</f>
        <v/>
      </c>
      <c r="AG356" s="123">
        <f>iferror(IF(SUM($BD356:$BF356)=0,"",SUM($BD356:$BF356)),"")</f>
        <v/>
      </c>
      <c r="AH356" s="124">
        <f>iferror(IF(SUM($BG356:$BI356)=0,"",SUM($BG356:$BI356)),"")</f>
        <v/>
      </c>
      <c r="AI356" s="131" t="n"/>
      <c r="AJ356" s="132" t="n"/>
      <c r="AK356" s="132" t="n"/>
      <c r="AL356" s="132" t="n"/>
      <c r="AM356" s="132" t="n"/>
      <c r="AN356" s="132" t="n"/>
      <c r="AO356" s="132" t="n"/>
      <c r="AP356" s="132" t="n"/>
      <c r="AQ356" s="132" t="n"/>
      <c r="AR356" s="132" t="n"/>
      <c r="AS356" s="132" t="n"/>
      <c r="AT356" s="132" t="n"/>
      <c r="AU356" s="132" t="n"/>
      <c r="AV356" s="132" t="n"/>
      <c r="AW356" s="132" t="n"/>
      <c r="AX356" s="132" t="n"/>
      <c r="AY356" s="132" t="n"/>
      <c r="AZ356" s="133" t="n"/>
      <c r="BA356" s="131" t="n"/>
      <c r="BB356" s="132" t="n"/>
      <c r="BC356" s="133" t="n"/>
      <c r="BD356" s="131" t="n"/>
      <c r="BE356" s="132" t="n"/>
      <c r="BF356" s="133" t="n"/>
      <c r="BG356" s="131" t="n"/>
      <c r="BH356" s="132" t="n"/>
      <c r="BI356" s="132" t="n"/>
      <c r="BJ356" s="128">
        <f>iferror(SUM($BK356,($BL356*1.2),($BM356*1.35),($BN356*0.74)),)</f>
        <v/>
      </c>
      <c r="BK356" s="128">
        <f>IFERROR(SUM($BT356:$CK356),)</f>
        <v/>
      </c>
      <c r="BL356" s="129">
        <f>IFERROR(SUM($CL356:$CN356),)</f>
        <v/>
      </c>
      <c r="BM356" s="130">
        <f>IFERROR(SUM($CO356:$CQ356),)</f>
        <v/>
      </c>
      <c r="BN356" s="128">
        <f>IFERROR(SUM($CR356:$CT356),)</f>
        <v/>
      </c>
      <c r="BO356" s="128">
        <f>iferror(SUM($BP356,($BQ356*1.2),($BR356*1.35),($BS356*0.74)),)</f>
        <v/>
      </c>
      <c r="BP356" s="128">
        <f>IFERROR(SUM($CU356:$DL356),)</f>
        <v/>
      </c>
      <c r="BQ356" s="128">
        <f>IFERROR(SUM($DM356:$DO356),)</f>
        <v/>
      </c>
      <c r="BR356" s="128">
        <f>IFERROR(SUM($DP356:$DR356),)</f>
        <v/>
      </c>
      <c r="BS356" s="128">
        <f>IFERROR(SUM($DS356:$DU356),)</f>
        <v/>
      </c>
      <c r="BT356" s="128">
        <f>IFERROR(AI356*$W356,)</f>
        <v/>
      </c>
      <c r="BU356" s="128">
        <f>IFERROR(AJ356*$W356,)</f>
        <v/>
      </c>
      <c r="BV356" s="128">
        <f>IFERROR(AK356*$W356,)</f>
        <v/>
      </c>
      <c r="BW356" s="128">
        <f>IFERROR(AL356*$W356,)</f>
        <v/>
      </c>
      <c r="BX356" s="128">
        <f>IFERROR(AM356*$W356,)</f>
        <v/>
      </c>
      <c r="BY356" s="128">
        <f>IFERROR(AN356*$W356,)</f>
        <v/>
      </c>
      <c r="BZ356" s="128">
        <f>IFERROR(AO356*$W356,)</f>
        <v/>
      </c>
      <c r="CA356" s="128">
        <f>IFERROR(AP356*$W356,)</f>
        <v/>
      </c>
      <c r="CB356" s="128">
        <f>IFERROR(AQ356*$W356,)</f>
        <v/>
      </c>
      <c r="CC356" s="128">
        <f>IFERROR(AR356*$W356,)</f>
        <v/>
      </c>
      <c r="CD356" s="128">
        <f>IFERROR(AS356*$W356,)</f>
        <v/>
      </c>
      <c r="CE356" s="128">
        <f>IFERROR(AT356*$W356,)</f>
        <v/>
      </c>
      <c r="CF356" s="128">
        <f>IFERROR(AU356*$W356,)</f>
        <v/>
      </c>
      <c r="CG356" s="128">
        <f>IFERROR(AV356*$W356,)</f>
        <v/>
      </c>
      <c r="CH356" s="128">
        <f>IFERROR(AW356*$W356,)</f>
        <v/>
      </c>
      <c r="CI356" s="128">
        <f>IFERROR(AX356*$W356,)</f>
        <v/>
      </c>
      <c r="CJ356" s="128">
        <f>IFERROR(AY356*$W356,)</f>
        <v/>
      </c>
      <c r="CK356" s="128">
        <f>IFERROR(AZ356*$W356,)</f>
        <v/>
      </c>
      <c r="CL356" s="129">
        <f>IFERROR(if($Y356=0,BA356*($W356/1.2),BA356*$Y356),"")</f>
        <v/>
      </c>
      <c r="CM356" s="129">
        <f>IFERROR(if($Y356=0,BB356*($W356/1.2),BB356*$Y356),"")</f>
        <v/>
      </c>
      <c r="CN356" s="129">
        <f>IFERROR(if($Y356=0,BC356*($W356/1.2),BC356*$Y356),"")</f>
        <v/>
      </c>
      <c r="CO356" s="130">
        <f>IFERROR(if($AA356=0,($W356/1.35)*BD356,BD356*$AA356),)</f>
        <v/>
      </c>
      <c r="CP356" s="130">
        <f>IFERROR(if($AA356=0,($W356/1.35)*BE356,BE356*$AA356),)</f>
        <v/>
      </c>
      <c r="CQ356" s="130">
        <f>IFERROR(if($AA356=0,($W356/1.35)*BF356,BF356*$AA356),)</f>
        <v/>
      </c>
      <c r="CR356" s="128">
        <f>IFERROR(if($AC356=0,($W356/0.74)*BG356,
BG356*$AC356),)</f>
        <v/>
      </c>
      <c r="CS356" s="128">
        <f>IFERROR(if($AC356=0,($W356/0.74)*BH356,
BH356*$AC356),)</f>
        <v/>
      </c>
      <c r="CT356" s="128">
        <f>IFERROR(if($AC356=0,($W356/0.74)*BI356,
BI356*$AC356),)</f>
        <v/>
      </c>
      <c r="CU356" s="128">
        <f>IFERROR(AI356*$V356,)</f>
        <v/>
      </c>
      <c r="CV356" s="128">
        <f>IFERROR(AJ356*$V356,)</f>
        <v/>
      </c>
      <c r="CW356" s="128">
        <f>IFERROR(AK356*$V356,)</f>
        <v/>
      </c>
      <c r="CX356" s="128">
        <f>IFERROR(AL356*$V356,)</f>
        <v/>
      </c>
      <c r="CY356" s="128">
        <f>IFERROR(AM356*$V356,)</f>
        <v/>
      </c>
      <c r="CZ356" s="128">
        <f>IFERROR(AN356*$V356,)</f>
        <v/>
      </c>
      <c r="DA356" s="128">
        <f>IFERROR(AO356*$V356,)</f>
        <v/>
      </c>
      <c r="DB356" s="128">
        <f>IFERROR(AP356*$V356,)</f>
        <v/>
      </c>
      <c r="DC356" s="128">
        <f>IFERROR(AQ356*$V356,)</f>
        <v/>
      </c>
      <c r="DD356" s="128">
        <f>IFERROR(AR356*$V356,)</f>
        <v/>
      </c>
      <c r="DE356" s="128">
        <f>IFERROR(AS356*$V356,)</f>
        <v/>
      </c>
      <c r="DF356" s="128">
        <f>IFERROR(AT356*$V356,)</f>
        <v/>
      </c>
      <c r="DG356" s="128">
        <f>IFERROR(AU356*$V356,)</f>
        <v/>
      </c>
      <c r="DH356" s="128">
        <f>IFERROR(AV356*$V356,)</f>
        <v/>
      </c>
      <c r="DI356" s="128">
        <f>IFERROR(AW356*$V356,)</f>
        <v/>
      </c>
      <c r="DJ356" s="128">
        <f>IFERROR(AX356*$V356,)</f>
        <v/>
      </c>
      <c r="DK356" s="128">
        <f>IFERROR(AY356*$V356,)</f>
        <v/>
      </c>
      <c r="DL356" s="128">
        <f>IFERROR(AZ356*$V356,)</f>
        <v/>
      </c>
      <c r="DM356" s="129">
        <f>IFERROR(if($X356=0,($V356/1.2)*BA356,
BA356*$X356),)</f>
        <v/>
      </c>
      <c r="DN356" s="129">
        <f>IFERROR(if($X356=0,($V356/1.2)*BB356,
BB356*$X356),)</f>
        <v/>
      </c>
      <c r="DO356" s="129">
        <f>IFERROR(if($X356=0,($V356/1.2)*BC356,
BC356*$X356),)</f>
        <v/>
      </c>
      <c r="DP356" s="130">
        <f>IFERROR(if($Z356=0,($V356/1.35)*BD356,
BD356*$Z356),)</f>
        <v/>
      </c>
      <c r="DQ356" s="130">
        <f>IFERROR(if($Z356=0,($V356/1.35)*BE356,
BE356*$Z356),)</f>
        <v/>
      </c>
      <c r="DR356" s="130">
        <f>IFERROR(if($Z356=0,($V356/1.35)*BF356,
BF356*$Z356),)</f>
        <v/>
      </c>
      <c r="DS356" s="128">
        <f>IFERROR(IF($AB356=0,($V356/0.74)*BG356,
BG356*$AB356),)</f>
        <v/>
      </c>
      <c r="DT356" s="128">
        <f>IFERROR(IF($AB356=0,($V356/0.74)*BH356,
BH356*$AB356),)</f>
        <v/>
      </c>
      <c r="DU356" s="128">
        <f>IFERROR(IF($AB356=0,($V356/0.74)*BI356,
BI356*$AB356),)</f>
        <v/>
      </c>
    </row>
    <row r="357" ht="131.25" customHeight="1" s="162">
      <c r="A357" s="115" t="n"/>
      <c r="B357" s="115" t="n"/>
      <c r="C357" s="115" t="n"/>
      <c r="D357" s="115" t="n"/>
      <c r="E357" s="115" t="n"/>
      <c r="F357" s="115" t="n"/>
      <c r="G357" s="115" t="n"/>
      <c r="H357" s="115" t="n"/>
      <c r="I357" s="115" t="n"/>
      <c r="J357" s="115" t="n"/>
      <c r="K357" s="115" t="n"/>
      <c r="L357" s="115" t="n"/>
      <c r="M357" s="115" t="n"/>
      <c r="N357" s="115" t="n"/>
      <c r="O357" s="115" t="n"/>
      <c r="P357" s="115" t="n"/>
      <c r="Q357" s="115" t="n"/>
      <c r="R357" s="115" t="n"/>
      <c r="S357" s="115" t="n"/>
      <c r="T357" s="115" t="n"/>
      <c r="U357" s="116" t="n"/>
      <c r="V357" s="116" t="n"/>
      <c r="W357" s="117" t="n"/>
      <c r="X357" s="118" t="n"/>
      <c r="Y357" s="119" t="n"/>
      <c r="Z357" s="120" t="n"/>
      <c r="AA357" s="121" t="n"/>
      <c r="AB357" s="122" t="n"/>
      <c r="AC357" s="117" t="n"/>
      <c r="AD357" s="123">
        <f>IF(SUM($AE357:$AH357)=0,"",SUM($AE357:$AH357))</f>
        <v/>
      </c>
      <c r="AE357" s="123">
        <f>iferror(IF(SUM($AI357:$AZ357)=0,"",SUM($AI357:$AZ357)),"")</f>
        <v/>
      </c>
      <c r="AF357" s="123">
        <f>iferror(IF(SUM($BA357:$BC357)=0,"",SUM($BA357:$BC357)),"")</f>
        <v/>
      </c>
      <c r="AG357" s="123">
        <f>iferror(IF(SUM($BD357:$BF357)=0,"",SUM($BD357:$BF357)),"")</f>
        <v/>
      </c>
      <c r="AH357" s="124">
        <f>iferror(IF(SUM($BG357:$BI357)=0,"",SUM($BG357:$BI357)),"")</f>
        <v/>
      </c>
      <c r="AI357" s="131" t="n"/>
      <c r="AJ357" s="132" t="n"/>
      <c r="AK357" s="132" t="n"/>
      <c r="AL357" s="132" t="n"/>
      <c r="AM357" s="132" t="n"/>
      <c r="AN357" s="132" t="n"/>
      <c r="AO357" s="132" t="n"/>
      <c r="AP357" s="132" t="n"/>
      <c r="AQ357" s="132" t="n"/>
      <c r="AR357" s="132" t="n"/>
      <c r="AS357" s="132" t="n"/>
      <c r="AT357" s="132" t="n"/>
      <c r="AU357" s="132" t="n"/>
      <c r="AV357" s="132" t="n"/>
      <c r="AW357" s="132" t="n"/>
      <c r="AX357" s="132" t="n"/>
      <c r="AY357" s="132" t="n"/>
      <c r="AZ357" s="133" t="n"/>
      <c r="BA357" s="131" t="n"/>
      <c r="BB357" s="132" t="n"/>
      <c r="BC357" s="133" t="n"/>
      <c r="BD357" s="131" t="n"/>
      <c r="BE357" s="132" t="n"/>
      <c r="BF357" s="133" t="n"/>
      <c r="BG357" s="131" t="n"/>
      <c r="BH357" s="132" t="n"/>
      <c r="BI357" s="132" t="n"/>
      <c r="BJ357" s="128">
        <f>iferror(SUM($BK357,($BL357*1.2),($BM357*1.35),($BN357*0.74)),)</f>
        <v/>
      </c>
      <c r="BK357" s="128">
        <f>IFERROR(SUM($BT357:$CK357),)</f>
        <v/>
      </c>
      <c r="BL357" s="129">
        <f>IFERROR(SUM($CL357:$CN357),)</f>
        <v/>
      </c>
      <c r="BM357" s="130">
        <f>IFERROR(SUM($CO357:$CQ357),)</f>
        <v/>
      </c>
      <c r="BN357" s="128">
        <f>IFERROR(SUM($CR357:$CT357),)</f>
        <v/>
      </c>
      <c r="BO357" s="128">
        <f>iferror(SUM($BP357,($BQ357*1.2),($BR357*1.35),($BS357*0.74)),)</f>
        <v/>
      </c>
      <c r="BP357" s="128">
        <f>IFERROR(SUM($CU357:$DL357),)</f>
        <v/>
      </c>
      <c r="BQ357" s="128">
        <f>IFERROR(SUM($DM357:$DO357),)</f>
        <v/>
      </c>
      <c r="BR357" s="128">
        <f>IFERROR(SUM($DP357:$DR357),)</f>
        <v/>
      </c>
      <c r="BS357" s="128">
        <f>IFERROR(SUM($DS357:$DU357),)</f>
        <v/>
      </c>
      <c r="BT357" s="128">
        <f>IFERROR(AI357*$W357,)</f>
        <v/>
      </c>
      <c r="BU357" s="128">
        <f>IFERROR(AJ357*$W357,)</f>
        <v/>
      </c>
      <c r="BV357" s="128">
        <f>IFERROR(AK357*$W357,)</f>
        <v/>
      </c>
      <c r="BW357" s="128">
        <f>IFERROR(AL357*$W357,)</f>
        <v/>
      </c>
      <c r="BX357" s="128">
        <f>IFERROR(AM357*$W357,)</f>
        <v/>
      </c>
      <c r="BY357" s="128">
        <f>IFERROR(AN357*$W357,)</f>
        <v/>
      </c>
      <c r="BZ357" s="128">
        <f>IFERROR(AO357*$W357,)</f>
        <v/>
      </c>
      <c r="CA357" s="128">
        <f>IFERROR(AP357*$W357,)</f>
        <v/>
      </c>
      <c r="CB357" s="128">
        <f>IFERROR(AQ357*$W357,)</f>
        <v/>
      </c>
      <c r="CC357" s="128">
        <f>IFERROR(AR357*$W357,)</f>
        <v/>
      </c>
      <c r="CD357" s="128">
        <f>IFERROR(AS357*$W357,)</f>
        <v/>
      </c>
      <c r="CE357" s="128">
        <f>IFERROR(AT357*$W357,)</f>
        <v/>
      </c>
      <c r="CF357" s="128">
        <f>IFERROR(AU357*$W357,)</f>
        <v/>
      </c>
      <c r="CG357" s="128">
        <f>IFERROR(AV357*$W357,)</f>
        <v/>
      </c>
      <c r="CH357" s="128">
        <f>IFERROR(AW357*$W357,)</f>
        <v/>
      </c>
      <c r="CI357" s="128">
        <f>IFERROR(AX357*$W357,)</f>
        <v/>
      </c>
      <c r="CJ357" s="128">
        <f>IFERROR(AY357*$W357,)</f>
        <v/>
      </c>
      <c r="CK357" s="128">
        <f>IFERROR(AZ357*$W357,)</f>
        <v/>
      </c>
      <c r="CL357" s="129">
        <f>IFERROR(if($Y357=0,BA357*($W357/1.2),BA357*$Y357),"")</f>
        <v/>
      </c>
      <c r="CM357" s="129">
        <f>IFERROR(if($Y357=0,BB357*($W357/1.2),BB357*$Y357),"")</f>
        <v/>
      </c>
      <c r="CN357" s="129">
        <f>IFERROR(if($Y357=0,BC357*($W357/1.2),BC357*$Y357),"")</f>
        <v/>
      </c>
      <c r="CO357" s="130">
        <f>IFERROR(if($AA357=0,($W357/1.35)*BD357,BD357*$AA357),)</f>
        <v/>
      </c>
      <c r="CP357" s="130">
        <f>IFERROR(if($AA357=0,($W357/1.35)*BE357,BE357*$AA357),)</f>
        <v/>
      </c>
      <c r="CQ357" s="130">
        <f>IFERROR(if($AA357=0,($W357/1.35)*BF357,BF357*$AA357),)</f>
        <v/>
      </c>
      <c r="CR357" s="128">
        <f>IFERROR(if($AC357=0,($W357/0.74)*BG357,
BG357*$AC357),)</f>
        <v/>
      </c>
      <c r="CS357" s="128">
        <f>IFERROR(if($AC357=0,($W357/0.74)*BH357,
BH357*$AC357),)</f>
        <v/>
      </c>
      <c r="CT357" s="128">
        <f>IFERROR(if($AC357=0,($W357/0.74)*BI357,
BI357*$AC357),)</f>
        <v/>
      </c>
      <c r="CU357" s="128">
        <f>IFERROR(AI357*$V357,)</f>
        <v/>
      </c>
      <c r="CV357" s="128">
        <f>IFERROR(AJ357*$V357,)</f>
        <v/>
      </c>
      <c r="CW357" s="128">
        <f>IFERROR(AK357*$V357,)</f>
        <v/>
      </c>
      <c r="CX357" s="128">
        <f>IFERROR(AL357*$V357,)</f>
        <v/>
      </c>
      <c r="CY357" s="128">
        <f>IFERROR(AM357*$V357,)</f>
        <v/>
      </c>
      <c r="CZ357" s="128">
        <f>IFERROR(AN357*$V357,)</f>
        <v/>
      </c>
      <c r="DA357" s="128">
        <f>IFERROR(AO357*$V357,)</f>
        <v/>
      </c>
      <c r="DB357" s="128">
        <f>IFERROR(AP357*$V357,)</f>
        <v/>
      </c>
      <c r="DC357" s="128">
        <f>IFERROR(AQ357*$V357,)</f>
        <v/>
      </c>
      <c r="DD357" s="128">
        <f>IFERROR(AR357*$V357,)</f>
        <v/>
      </c>
      <c r="DE357" s="128">
        <f>IFERROR(AS357*$V357,)</f>
        <v/>
      </c>
      <c r="DF357" s="128">
        <f>IFERROR(AT357*$V357,)</f>
        <v/>
      </c>
      <c r="DG357" s="128">
        <f>IFERROR(AU357*$V357,)</f>
        <v/>
      </c>
      <c r="DH357" s="128">
        <f>IFERROR(AV357*$V357,)</f>
        <v/>
      </c>
      <c r="DI357" s="128">
        <f>IFERROR(AW357*$V357,)</f>
        <v/>
      </c>
      <c r="DJ357" s="128">
        <f>IFERROR(AX357*$V357,)</f>
        <v/>
      </c>
      <c r="DK357" s="128">
        <f>IFERROR(AY357*$V357,)</f>
        <v/>
      </c>
      <c r="DL357" s="128">
        <f>IFERROR(AZ357*$V357,)</f>
        <v/>
      </c>
      <c r="DM357" s="129">
        <f>IFERROR(if($X357=0,($V357/1.2)*BA357,
BA357*$X357),)</f>
        <v/>
      </c>
      <c r="DN357" s="129">
        <f>IFERROR(if($X357=0,($V357/1.2)*BB357,
BB357*$X357),)</f>
        <v/>
      </c>
      <c r="DO357" s="129">
        <f>IFERROR(if($X357=0,($V357/1.2)*BC357,
BC357*$X357),)</f>
        <v/>
      </c>
      <c r="DP357" s="130">
        <f>IFERROR(if($Z357=0,($V357/1.35)*BD357,
BD357*$Z357),)</f>
        <v/>
      </c>
      <c r="DQ357" s="130">
        <f>IFERROR(if($Z357=0,($V357/1.35)*BE357,
BE357*$Z357),)</f>
        <v/>
      </c>
      <c r="DR357" s="130">
        <f>IFERROR(if($Z357=0,($V357/1.35)*BF357,
BF357*$Z357),)</f>
        <v/>
      </c>
      <c r="DS357" s="128">
        <f>IFERROR(IF($AB357=0,($V357/0.74)*BG357,
BG357*$AB357),)</f>
        <v/>
      </c>
      <c r="DT357" s="128">
        <f>IFERROR(IF($AB357=0,($V357/0.74)*BH357,
BH357*$AB357),)</f>
        <v/>
      </c>
      <c r="DU357" s="128">
        <f>IFERROR(IF($AB357=0,($V357/0.74)*BI357,
BI357*$AB357),)</f>
        <v/>
      </c>
    </row>
    <row r="358" ht="131.25" customHeight="1" s="162">
      <c r="A358" s="115" t="n"/>
      <c r="B358" s="115" t="n"/>
      <c r="C358" s="115" t="n"/>
      <c r="D358" s="115" t="n"/>
      <c r="E358" s="115" t="n"/>
      <c r="F358" s="115" t="n"/>
      <c r="G358" s="115" t="n"/>
      <c r="H358" s="115" t="n"/>
      <c r="I358" s="115" t="n"/>
      <c r="J358" s="115" t="n"/>
      <c r="K358" s="115" t="n"/>
      <c r="L358" s="115" t="n"/>
      <c r="M358" s="115" t="n"/>
      <c r="N358" s="115" t="n"/>
      <c r="O358" s="115" t="n"/>
      <c r="P358" s="115" t="n"/>
      <c r="Q358" s="115" t="n"/>
      <c r="R358" s="115" t="n"/>
      <c r="S358" s="115" t="n"/>
      <c r="T358" s="115" t="n"/>
      <c r="U358" s="116" t="n"/>
      <c r="V358" s="116" t="n"/>
      <c r="W358" s="117" t="n"/>
      <c r="X358" s="118" t="n"/>
      <c r="Y358" s="119" t="n"/>
      <c r="Z358" s="120" t="n"/>
      <c r="AA358" s="121" t="n"/>
      <c r="AB358" s="122" t="n"/>
      <c r="AC358" s="117" t="n"/>
      <c r="AD358" s="123">
        <f>IF(SUM($AE358:$AH358)=0,"",SUM($AE358:$AH358))</f>
        <v/>
      </c>
      <c r="AE358" s="123">
        <f>iferror(IF(SUM($AI358:$AZ358)=0,"",SUM($AI358:$AZ358)),"")</f>
        <v/>
      </c>
      <c r="AF358" s="123">
        <f>iferror(IF(SUM($BA358:$BC358)=0,"",SUM($BA358:$BC358)),"")</f>
        <v/>
      </c>
      <c r="AG358" s="123">
        <f>iferror(IF(SUM($BD358:$BF358)=0,"",SUM($BD358:$BF358)),"")</f>
        <v/>
      </c>
      <c r="AH358" s="124">
        <f>iferror(IF(SUM($BG358:$BI358)=0,"",SUM($BG358:$BI358)),"")</f>
        <v/>
      </c>
      <c r="AI358" s="131" t="n"/>
      <c r="AJ358" s="132" t="n"/>
      <c r="AK358" s="132" t="n"/>
      <c r="AL358" s="132" t="n"/>
      <c r="AM358" s="132" t="n"/>
      <c r="AN358" s="132" t="n"/>
      <c r="AO358" s="132" t="n"/>
      <c r="AP358" s="132" t="n"/>
      <c r="AQ358" s="132" t="n"/>
      <c r="AR358" s="132" t="n"/>
      <c r="AS358" s="132" t="n"/>
      <c r="AT358" s="132" t="n"/>
      <c r="AU358" s="132" t="n"/>
      <c r="AV358" s="132" t="n"/>
      <c r="AW358" s="132" t="n"/>
      <c r="AX358" s="132" t="n"/>
      <c r="AY358" s="132" t="n"/>
      <c r="AZ358" s="133" t="n"/>
      <c r="BA358" s="131" t="n"/>
      <c r="BB358" s="132" t="n"/>
      <c r="BC358" s="133" t="n"/>
      <c r="BD358" s="131" t="n"/>
      <c r="BE358" s="132" t="n"/>
      <c r="BF358" s="133" t="n"/>
      <c r="BG358" s="131" t="n"/>
      <c r="BH358" s="132" t="n"/>
      <c r="BI358" s="132" t="n"/>
      <c r="BJ358" s="128">
        <f>iferror(SUM($BK358,($BL358*1.2),($BM358*1.35),($BN358*0.74)),)</f>
        <v/>
      </c>
      <c r="BK358" s="128">
        <f>IFERROR(SUM($BT358:$CK358),)</f>
        <v/>
      </c>
      <c r="BL358" s="129">
        <f>IFERROR(SUM($CL358:$CN358),)</f>
        <v/>
      </c>
      <c r="BM358" s="130">
        <f>IFERROR(SUM($CO358:$CQ358),)</f>
        <v/>
      </c>
      <c r="BN358" s="128">
        <f>IFERROR(SUM($CR358:$CT358),)</f>
        <v/>
      </c>
      <c r="BO358" s="128">
        <f>iferror(SUM($BP358,($BQ358*1.2),($BR358*1.35),($BS358*0.74)),)</f>
        <v/>
      </c>
      <c r="BP358" s="128">
        <f>IFERROR(SUM($CU358:$DL358),)</f>
        <v/>
      </c>
      <c r="BQ358" s="128">
        <f>IFERROR(SUM($DM358:$DO358),)</f>
        <v/>
      </c>
      <c r="BR358" s="128">
        <f>IFERROR(SUM($DP358:$DR358),)</f>
        <v/>
      </c>
      <c r="BS358" s="128">
        <f>IFERROR(SUM($DS358:$DU358),)</f>
        <v/>
      </c>
      <c r="BT358" s="128">
        <f>IFERROR(AI358*$W358,)</f>
        <v/>
      </c>
      <c r="BU358" s="128">
        <f>IFERROR(AJ358*$W358,)</f>
        <v/>
      </c>
      <c r="BV358" s="128">
        <f>IFERROR(AK358*$W358,)</f>
        <v/>
      </c>
      <c r="BW358" s="128">
        <f>IFERROR(AL358*$W358,)</f>
        <v/>
      </c>
      <c r="BX358" s="128">
        <f>IFERROR(AM358*$W358,)</f>
        <v/>
      </c>
      <c r="BY358" s="128">
        <f>IFERROR(AN358*$W358,)</f>
        <v/>
      </c>
      <c r="BZ358" s="128">
        <f>IFERROR(AO358*$W358,)</f>
        <v/>
      </c>
      <c r="CA358" s="128">
        <f>IFERROR(AP358*$W358,)</f>
        <v/>
      </c>
      <c r="CB358" s="128">
        <f>IFERROR(AQ358*$W358,)</f>
        <v/>
      </c>
      <c r="CC358" s="128">
        <f>IFERROR(AR358*$W358,)</f>
        <v/>
      </c>
      <c r="CD358" s="128">
        <f>IFERROR(AS358*$W358,)</f>
        <v/>
      </c>
      <c r="CE358" s="128">
        <f>IFERROR(AT358*$W358,)</f>
        <v/>
      </c>
      <c r="CF358" s="128">
        <f>IFERROR(AU358*$W358,)</f>
        <v/>
      </c>
      <c r="CG358" s="128">
        <f>IFERROR(AV358*$W358,)</f>
        <v/>
      </c>
      <c r="CH358" s="128">
        <f>IFERROR(AW358*$W358,)</f>
        <v/>
      </c>
      <c r="CI358" s="128">
        <f>IFERROR(AX358*$W358,)</f>
        <v/>
      </c>
      <c r="CJ358" s="128">
        <f>IFERROR(AY358*$W358,)</f>
        <v/>
      </c>
      <c r="CK358" s="128">
        <f>IFERROR(AZ358*$W358,)</f>
        <v/>
      </c>
      <c r="CL358" s="129">
        <f>IFERROR(if($Y358=0,BA358*($W358/1.2),BA358*$Y358),"")</f>
        <v/>
      </c>
      <c r="CM358" s="129">
        <f>IFERROR(if($Y358=0,BB358*($W358/1.2),BB358*$Y358),"")</f>
        <v/>
      </c>
      <c r="CN358" s="129">
        <f>IFERROR(if($Y358=0,BC358*($W358/1.2),BC358*$Y358),"")</f>
        <v/>
      </c>
      <c r="CO358" s="130">
        <f>IFERROR(if($AA358=0,($W358/1.35)*BD358,BD358*$AA358),)</f>
        <v/>
      </c>
      <c r="CP358" s="130">
        <f>IFERROR(if($AA358=0,($W358/1.35)*BE358,BE358*$AA358),)</f>
        <v/>
      </c>
      <c r="CQ358" s="130">
        <f>IFERROR(if($AA358=0,($W358/1.35)*BF358,BF358*$AA358),)</f>
        <v/>
      </c>
      <c r="CR358" s="128">
        <f>IFERROR(if($AC358=0,($W358/0.74)*BG358,
BG358*$AC358),)</f>
        <v/>
      </c>
      <c r="CS358" s="128">
        <f>IFERROR(if($AC358=0,($W358/0.74)*BH358,
BH358*$AC358),)</f>
        <v/>
      </c>
      <c r="CT358" s="128">
        <f>IFERROR(if($AC358=0,($W358/0.74)*BI358,
BI358*$AC358),)</f>
        <v/>
      </c>
      <c r="CU358" s="128">
        <f>IFERROR(AI358*$V358,)</f>
        <v/>
      </c>
      <c r="CV358" s="128">
        <f>IFERROR(AJ358*$V358,)</f>
        <v/>
      </c>
      <c r="CW358" s="128">
        <f>IFERROR(AK358*$V358,)</f>
        <v/>
      </c>
      <c r="CX358" s="128">
        <f>IFERROR(AL358*$V358,)</f>
        <v/>
      </c>
      <c r="CY358" s="128">
        <f>IFERROR(AM358*$V358,)</f>
        <v/>
      </c>
      <c r="CZ358" s="128">
        <f>IFERROR(AN358*$V358,)</f>
        <v/>
      </c>
      <c r="DA358" s="128">
        <f>IFERROR(AO358*$V358,)</f>
        <v/>
      </c>
      <c r="DB358" s="128">
        <f>IFERROR(AP358*$V358,)</f>
        <v/>
      </c>
      <c r="DC358" s="128">
        <f>IFERROR(AQ358*$V358,)</f>
        <v/>
      </c>
      <c r="DD358" s="128">
        <f>IFERROR(AR358*$V358,)</f>
        <v/>
      </c>
      <c r="DE358" s="128">
        <f>IFERROR(AS358*$V358,)</f>
        <v/>
      </c>
      <c r="DF358" s="128">
        <f>IFERROR(AT358*$V358,)</f>
        <v/>
      </c>
      <c r="DG358" s="128">
        <f>IFERROR(AU358*$V358,)</f>
        <v/>
      </c>
      <c r="DH358" s="128">
        <f>IFERROR(AV358*$V358,)</f>
        <v/>
      </c>
      <c r="DI358" s="128">
        <f>IFERROR(AW358*$V358,)</f>
        <v/>
      </c>
      <c r="DJ358" s="128">
        <f>IFERROR(AX358*$V358,)</f>
        <v/>
      </c>
      <c r="DK358" s="128">
        <f>IFERROR(AY358*$V358,)</f>
        <v/>
      </c>
      <c r="DL358" s="128">
        <f>IFERROR(AZ358*$V358,)</f>
        <v/>
      </c>
      <c r="DM358" s="129">
        <f>IFERROR(if($X358=0,($V358/1.2)*BA358,
BA358*$X358),)</f>
        <v/>
      </c>
      <c r="DN358" s="129">
        <f>IFERROR(if($X358=0,($V358/1.2)*BB358,
BB358*$X358),)</f>
        <v/>
      </c>
      <c r="DO358" s="129">
        <f>IFERROR(if($X358=0,($V358/1.2)*BC358,
BC358*$X358),)</f>
        <v/>
      </c>
      <c r="DP358" s="130">
        <f>IFERROR(if($Z358=0,($V358/1.35)*BD358,
BD358*$Z358),)</f>
        <v/>
      </c>
      <c r="DQ358" s="130">
        <f>IFERROR(if($Z358=0,($V358/1.35)*BE358,
BE358*$Z358),)</f>
        <v/>
      </c>
      <c r="DR358" s="130">
        <f>IFERROR(if($Z358=0,($V358/1.35)*BF358,
BF358*$Z358),)</f>
        <v/>
      </c>
      <c r="DS358" s="128">
        <f>IFERROR(IF($AB358=0,($V358/0.74)*BG358,
BG358*$AB358),)</f>
        <v/>
      </c>
      <c r="DT358" s="128">
        <f>IFERROR(IF($AB358=0,($V358/0.74)*BH358,
BH358*$AB358),)</f>
        <v/>
      </c>
      <c r="DU358" s="128">
        <f>IFERROR(IF($AB358=0,($V358/0.74)*BI358,
BI358*$AB358),)</f>
        <v/>
      </c>
    </row>
    <row r="359" ht="131.25" customHeight="1" s="162">
      <c r="A359" s="115" t="n"/>
      <c r="B359" s="115" t="n"/>
      <c r="C359" s="115" t="n"/>
      <c r="D359" s="115" t="n"/>
      <c r="E359" s="115" t="n"/>
      <c r="F359" s="115" t="n"/>
      <c r="G359" s="115" t="n"/>
      <c r="H359" s="115" t="n"/>
      <c r="I359" s="115" t="n"/>
      <c r="J359" s="115" t="n"/>
      <c r="K359" s="115" t="n"/>
      <c r="L359" s="115" t="n"/>
      <c r="M359" s="115" t="n"/>
      <c r="N359" s="115" t="n"/>
      <c r="O359" s="115" t="n"/>
      <c r="P359" s="115" t="n"/>
      <c r="Q359" s="115" t="n"/>
      <c r="R359" s="115" t="n"/>
      <c r="S359" s="115" t="n"/>
      <c r="T359" s="115" t="n"/>
      <c r="U359" s="116" t="n"/>
      <c r="V359" s="116" t="n"/>
      <c r="W359" s="117" t="n"/>
      <c r="X359" s="118" t="n"/>
      <c r="Y359" s="119" t="n"/>
      <c r="Z359" s="120" t="n"/>
      <c r="AA359" s="121" t="n"/>
      <c r="AB359" s="122" t="n"/>
      <c r="AC359" s="117" t="n"/>
      <c r="AD359" s="123">
        <f>IF(SUM($AE359:$AH359)=0,"",SUM($AE359:$AH359))</f>
        <v/>
      </c>
      <c r="AE359" s="123">
        <f>iferror(IF(SUM($AI359:$AZ359)=0,"",SUM($AI359:$AZ359)),"")</f>
        <v/>
      </c>
      <c r="AF359" s="123">
        <f>iferror(IF(SUM($BA359:$BC359)=0,"",SUM($BA359:$BC359)),"")</f>
        <v/>
      </c>
      <c r="AG359" s="123">
        <f>iferror(IF(SUM($BD359:$BF359)=0,"",SUM($BD359:$BF359)),"")</f>
        <v/>
      </c>
      <c r="AH359" s="124">
        <f>iferror(IF(SUM($BG359:$BI359)=0,"",SUM($BG359:$BI359)),"")</f>
        <v/>
      </c>
      <c r="AI359" s="131" t="n"/>
      <c r="AJ359" s="132" t="n"/>
      <c r="AK359" s="132" t="n"/>
      <c r="AL359" s="132" t="n"/>
      <c r="AM359" s="132" t="n"/>
      <c r="AN359" s="132" t="n"/>
      <c r="AO359" s="132" t="n"/>
      <c r="AP359" s="132" t="n"/>
      <c r="AQ359" s="132" t="n"/>
      <c r="AR359" s="132" t="n"/>
      <c r="AS359" s="132" t="n"/>
      <c r="AT359" s="132" t="n"/>
      <c r="AU359" s="132" t="n"/>
      <c r="AV359" s="132" t="n"/>
      <c r="AW359" s="132" t="n"/>
      <c r="AX359" s="132" t="n"/>
      <c r="AY359" s="132" t="n"/>
      <c r="AZ359" s="133" t="n"/>
      <c r="BA359" s="131" t="n"/>
      <c r="BB359" s="132" t="n"/>
      <c r="BC359" s="133" t="n"/>
      <c r="BD359" s="131" t="n"/>
      <c r="BE359" s="132" t="n"/>
      <c r="BF359" s="133" t="n"/>
      <c r="BG359" s="131" t="n"/>
      <c r="BH359" s="132" t="n"/>
      <c r="BI359" s="132" t="n"/>
      <c r="BJ359" s="128">
        <f>iferror(SUM($BK359,($BL359*1.2),($BM359*1.35),($BN359*0.74)),)</f>
        <v/>
      </c>
      <c r="BK359" s="128">
        <f>IFERROR(SUM($BT359:$CK359),)</f>
        <v/>
      </c>
      <c r="BL359" s="129">
        <f>IFERROR(SUM($CL359:$CN359),)</f>
        <v/>
      </c>
      <c r="BM359" s="130">
        <f>IFERROR(SUM($CO359:$CQ359),)</f>
        <v/>
      </c>
      <c r="BN359" s="128">
        <f>IFERROR(SUM($CR359:$CT359),)</f>
        <v/>
      </c>
      <c r="BO359" s="128">
        <f>iferror(SUM($BP359,($BQ359*1.2),($BR359*1.35),($BS359*0.74)),)</f>
        <v/>
      </c>
      <c r="BP359" s="128">
        <f>IFERROR(SUM($CU359:$DL359),)</f>
        <v/>
      </c>
      <c r="BQ359" s="128">
        <f>IFERROR(SUM($DM359:$DO359),)</f>
        <v/>
      </c>
      <c r="BR359" s="128">
        <f>IFERROR(SUM($DP359:$DR359),)</f>
        <v/>
      </c>
      <c r="BS359" s="128">
        <f>IFERROR(SUM($DS359:$DU359),)</f>
        <v/>
      </c>
      <c r="BT359" s="128">
        <f>IFERROR(AI359*$W359,)</f>
        <v/>
      </c>
      <c r="BU359" s="128">
        <f>IFERROR(AJ359*$W359,)</f>
        <v/>
      </c>
      <c r="BV359" s="128">
        <f>IFERROR(AK359*$W359,)</f>
        <v/>
      </c>
      <c r="BW359" s="128">
        <f>IFERROR(AL359*$W359,)</f>
        <v/>
      </c>
      <c r="BX359" s="128">
        <f>IFERROR(AM359*$W359,)</f>
        <v/>
      </c>
      <c r="BY359" s="128">
        <f>IFERROR(AN359*$W359,)</f>
        <v/>
      </c>
      <c r="BZ359" s="128">
        <f>IFERROR(AO359*$W359,)</f>
        <v/>
      </c>
      <c r="CA359" s="128">
        <f>IFERROR(AP359*$W359,)</f>
        <v/>
      </c>
      <c r="CB359" s="128">
        <f>IFERROR(AQ359*$W359,)</f>
        <v/>
      </c>
      <c r="CC359" s="128">
        <f>IFERROR(AR359*$W359,)</f>
        <v/>
      </c>
      <c r="CD359" s="128">
        <f>IFERROR(AS359*$W359,)</f>
        <v/>
      </c>
      <c r="CE359" s="128">
        <f>IFERROR(AT359*$W359,)</f>
        <v/>
      </c>
      <c r="CF359" s="128">
        <f>IFERROR(AU359*$W359,)</f>
        <v/>
      </c>
      <c r="CG359" s="128">
        <f>IFERROR(AV359*$W359,)</f>
        <v/>
      </c>
      <c r="CH359" s="128">
        <f>IFERROR(AW359*$W359,)</f>
        <v/>
      </c>
      <c r="CI359" s="128">
        <f>IFERROR(AX359*$W359,)</f>
        <v/>
      </c>
      <c r="CJ359" s="128">
        <f>IFERROR(AY359*$W359,)</f>
        <v/>
      </c>
      <c r="CK359" s="128">
        <f>IFERROR(AZ359*$W359,)</f>
        <v/>
      </c>
      <c r="CL359" s="129">
        <f>IFERROR(if($Y359=0,BA359*($W359/1.2),BA359*$Y359),"")</f>
        <v/>
      </c>
      <c r="CM359" s="129">
        <f>IFERROR(if($Y359=0,BB359*($W359/1.2),BB359*$Y359),"")</f>
        <v/>
      </c>
      <c r="CN359" s="129">
        <f>IFERROR(if($Y359=0,BC359*($W359/1.2),BC359*$Y359),"")</f>
        <v/>
      </c>
      <c r="CO359" s="130">
        <f>IFERROR(if($AA359=0,($W359/1.35)*BD359,BD359*$AA359),)</f>
        <v/>
      </c>
      <c r="CP359" s="130">
        <f>IFERROR(if($AA359=0,($W359/1.35)*BE359,BE359*$AA359),)</f>
        <v/>
      </c>
      <c r="CQ359" s="130">
        <f>IFERROR(if($AA359=0,($W359/1.35)*BF359,BF359*$AA359),)</f>
        <v/>
      </c>
      <c r="CR359" s="128">
        <f>IFERROR(if($AC359=0,($W359/0.74)*BG359,
BG359*$AC359),)</f>
        <v/>
      </c>
      <c r="CS359" s="128">
        <f>IFERROR(if($AC359=0,($W359/0.74)*BH359,
BH359*$AC359),)</f>
        <v/>
      </c>
      <c r="CT359" s="128">
        <f>IFERROR(if($AC359=0,($W359/0.74)*BI359,
BI359*$AC359),)</f>
        <v/>
      </c>
      <c r="CU359" s="128">
        <f>IFERROR(AI359*$V359,)</f>
        <v/>
      </c>
      <c r="CV359" s="128">
        <f>IFERROR(AJ359*$V359,)</f>
        <v/>
      </c>
      <c r="CW359" s="128">
        <f>IFERROR(AK359*$V359,)</f>
        <v/>
      </c>
      <c r="CX359" s="128">
        <f>IFERROR(AL359*$V359,)</f>
        <v/>
      </c>
      <c r="CY359" s="128">
        <f>IFERROR(AM359*$V359,)</f>
        <v/>
      </c>
      <c r="CZ359" s="128">
        <f>IFERROR(AN359*$V359,)</f>
        <v/>
      </c>
      <c r="DA359" s="128">
        <f>IFERROR(AO359*$V359,)</f>
        <v/>
      </c>
      <c r="DB359" s="128">
        <f>IFERROR(AP359*$V359,)</f>
        <v/>
      </c>
      <c r="DC359" s="128">
        <f>IFERROR(AQ359*$V359,)</f>
        <v/>
      </c>
      <c r="DD359" s="128">
        <f>IFERROR(AR359*$V359,)</f>
        <v/>
      </c>
      <c r="DE359" s="128">
        <f>IFERROR(AS359*$V359,)</f>
        <v/>
      </c>
      <c r="DF359" s="128">
        <f>IFERROR(AT359*$V359,)</f>
        <v/>
      </c>
      <c r="DG359" s="128">
        <f>IFERROR(AU359*$V359,)</f>
        <v/>
      </c>
      <c r="DH359" s="128">
        <f>IFERROR(AV359*$V359,)</f>
        <v/>
      </c>
      <c r="DI359" s="128">
        <f>IFERROR(AW359*$V359,)</f>
        <v/>
      </c>
      <c r="DJ359" s="128">
        <f>IFERROR(AX359*$V359,)</f>
        <v/>
      </c>
      <c r="DK359" s="128">
        <f>IFERROR(AY359*$V359,)</f>
        <v/>
      </c>
      <c r="DL359" s="128">
        <f>IFERROR(AZ359*$V359,)</f>
        <v/>
      </c>
      <c r="DM359" s="129">
        <f>IFERROR(if($X359=0,($V359/1.2)*BA359,
BA359*$X359),)</f>
        <v/>
      </c>
      <c r="DN359" s="129">
        <f>IFERROR(if($X359=0,($V359/1.2)*BB359,
BB359*$X359),)</f>
        <v/>
      </c>
      <c r="DO359" s="129">
        <f>IFERROR(if($X359=0,($V359/1.2)*BC359,
BC359*$X359),)</f>
        <v/>
      </c>
      <c r="DP359" s="130">
        <f>IFERROR(if($Z359=0,($V359/1.35)*BD359,
BD359*$Z359),)</f>
        <v/>
      </c>
      <c r="DQ359" s="130">
        <f>IFERROR(if($Z359=0,($V359/1.35)*BE359,
BE359*$Z359),)</f>
        <v/>
      </c>
      <c r="DR359" s="130">
        <f>IFERROR(if($Z359=0,($V359/1.35)*BF359,
BF359*$Z359),)</f>
        <v/>
      </c>
      <c r="DS359" s="128">
        <f>IFERROR(IF($AB359=0,($V359/0.74)*BG359,
BG359*$AB359),)</f>
        <v/>
      </c>
      <c r="DT359" s="128">
        <f>IFERROR(IF($AB359=0,($V359/0.74)*BH359,
BH359*$AB359),)</f>
        <v/>
      </c>
      <c r="DU359" s="128">
        <f>IFERROR(IF($AB359=0,($V359/0.74)*BI359,
BI359*$AB359),)</f>
        <v/>
      </c>
    </row>
    <row r="360" ht="131.25" customHeight="1" s="162">
      <c r="A360" s="115" t="n"/>
      <c r="B360" s="115" t="n"/>
      <c r="C360" s="115" t="n"/>
      <c r="D360" s="115" t="n"/>
      <c r="E360" s="115" t="n"/>
      <c r="F360" s="115" t="n"/>
      <c r="G360" s="115" t="n"/>
      <c r="H360" s="115" t="n"/>
      <c r="I360" s="115" t="n"/>
      <c r="J360" s="115" t="n"/>
      <c r="K360" s="115" t="n"/>
      <c r="L360" s="115" t="n"/>
      <c r="M360" s="115" t="n"/>
      <c r="N360" s="115" t="n"/>
      <c r="O360" s="115" t="n"/>
      <c r="P360" s="115" t="n"/>
      <c r="Q360" s="115" t="n"/>
      <c r="R360" s="115" t="n"/>
      <c r="S360" s="115" t="n"/>
      <c r="T360" s="115" t="n"/>
      <c r="U360" s="116" t="n"/>
      <c r="V360" s="116" t="n"/>
      <c r="W360" s="117" t="n"/>
      <c r="X360" s="118" t="n"/>
      <c r="Y360" s="119" t="n"/>
      <c r="Z360" s="120" t="n"/>
      <c r="AA360" s="121" t="n"/>
      <c r="AB360" s="122" t="n"/>
      <c r="AC360" s="117" t="n"/>
      <c r="AD360" s="123">
        <f>IF(SUM($AE360:$AH360)=0,"",SUM($AE360:$AH360))</f>
        <v/>
      </c>
      <c r="AE360" s="123">
        <f>iferror(IF(SUM($AI360:$AZ360)=0,"",SUM($AI360:$AZ360)),"")</f>
        <v/>
      </c>
      <c r="AF360" s="123">
        <f>iferror(IF(SUM($BA360:$BC360)=0,"",SUM($BA360:$BC360)),"")</f>
        <v/>
      </c>
      <c r="AG360" s="123">
        <f>iferror(IF(SUM($BD360:$BF360)=0,"",SUM($BD360:$BF360)),"")</f>
        <v/>
      </c>
      <c r="AH360" s="124">
        <f>iferror(IF(SUM($BG360:$BI360)=0,"",SUM($BG360:$BI360)),"")</f>
        <v/>
      </c>
      <c r="AI360" s="131" t="n"/>
      <c r="AJ360" s="132" t="n"/>
      <c r="AK360" s="132" t="n"/>
      <c r="AL360" s="132" t="n"/>
      <c r="AM360" s="132" t="n"/>
      <c r="AN360" s="132" t="n"/>
      <c r="AO360" s="132" t="n"/>
      <c r="AP360" s="132" t="n"/>
      <c r="AQ360" s="132" t="n"/>
      <c r="AR360" s="132" t="n"/>
      <c r="AS360" s="132" t="n"/>
      <c r="AT360" s="132" t="n"/>
      <c r="AU360" s="132" t="n"/>
      <c r="AV360" s="132" t="n"/>
      <c r="AW360" s="132" t="n"/>
      <c r="AX360" s="132" t="n"/>
      <c r="AY360" s="132" t="n"/>
      <c r="AZ360" s="133" t="n"/>
      <c r="BA360" s="131" t="n"/>
      <c r="BB360" s="132" t="n"/>
      <c r="BC360" s="133" t="n"/>
      <c r="BD360" s="131" t="n"/>
      <c r="BE360" s="132" t="n"/>
      <c r="BF360" s="133" t="n"/>
      <c r="BG360" s="131" t="n"/>
      <c r="BH360" s="132" t="n"/>
      <c r="BI360" s="132" t="n"/>
      <c r="BJ360" s="128">
        <f>iferror(SUM($BK360,($BL360*1.2),($BM360*1.35),($BN360*0.74)),)</f>
        <v/>
      </c>
      <c r="BK360" s="128">
        <f>IFERROR(SUM($BT360:$CK360),)</f>
        <v/>
      </c>
      <c r="BL360" s="129">
        <f>IFERROR(SUM($CL360:$CN360),)</f>
        <v/>
      </c>
      <c r="BM360" s="130">
        <f>IFERROR(SUM($CO360:$CQ360),)</f>
        <v/>
      </c>
      <c r="BN360" s="128">
        <f>IFERROR(SUM($CR360:$CT360),)</f>
        <v/>
      </c>
      <c r="BO360" s="128">
        <f>iferror(SUM($BP360,($BQ360*1.2),($BR360*1.35),($BS360*0.74)),)</f>
        <v/>
      </c>
      <c r="BP360" s="128">
        <f>IFERROR(SUM($CU360:$DL360),)</f>
        <v/>
      </c>
      <c r="BQ360" s="128">
        <f>IFERROR(SUM($DM360:$DO360),)</f>
        <v/>
      </c>
      <c r="BR360" s="128">
        <f>IFERROR(SUM($DP360:$DR360),)</f>
        <v/>
      </c>
      <c r="BS360" s="128">
        <f>IFERROR(SUM($DS360:$DU360),)</f>
        <v/>
      </c>
      <c r="BT360" s="128">
        <f>IFERROR(AI360*$W360,)</f>
        <v/>
      </c>
      <c r="BU360" s="128">
        <f>IFERROR(AJ360*$W360,)</f>
        <v/>
      </c>
      <c r="BV360" s="128">
        <f>IFERROR(AK360*$W360,)</f>
        <v/>
      </c>
      <c r="BW360" s="128">
        <f>IFERROR(AL360*$W360,)</f>
        <v/>
      </c>
      <c r="BX360" s="128">
        <f>IFERROR(AM360*$W360,)</f>
        <v/>
      </c>
      <c r="BY360" s="128">
        <f>IFERROR(AN360*$W360,)</f>
        <v/>
      </c>
      <c r="BZ360" s="128">
        <f>IFERROR(AO360*$W360,)</f>
        <v/>
      </c>
      <c r="CA360" s="128">
        <f>IFERROR(AP360*$W360,)</f>
        <v/>
      </c>
      <c r="CB360" s="128">
        <f>IFERROR(AQ360*$W360,)</f>
        <v/>
      </c>
      <c r="CC360" s="128">
        <f>IFERROR(AR360*$W360,)</f>
        <v/>
      </c>
      <c r="CD360" s="128">
        <f>IFERROR(AS360*$W360,)</f>
        <v/>
      </c>
      <c r="CE360" s="128">
        <f>IFERROR(AT360*$W360,)</f>
        <v/>
      </c>
      <c r="CF360" s="128">
        <f>IFERROR(AU360*$W360,)</f>
        <v/>
      </c>
      <c r="CG360" s="128">
        <f>IFERROR(AV360*$W360,)</f>
        <v/>
      </c>
      <c r="CH360" s="128">
        <f>IFERROR(AW360*$W360,)</f>
        <v/>
      </c>
      <c r="CI360" s="128">
        <f>IFERROR(AX360*$W360,)</f>
        <v/>
      </c>
      <c r="CJ360" s="128">
        <f>IFERROR(AY360*$W360,)</f>
        <v/>
      </c>
      <c r="CK360" s="128">
        <f>IFERROR(AZ360*$W360,)</f>
        <v/>
      </c>
      <c r="CL360" s="129">
        <f>IFERROR(if($Y360=0,BA360*($W360/1.2),BA360*$Y360),"")</f>
        <v/>
      </c>
      <c r="CM360" s="129">
        <f>IFERROR(if($Y360=0,BB360*($W360/1.2),BB360*$Y360),"")</f>
        <v/>
      </c>
      <c r="CN360" s="129">
        <f>IFERROR(if($Y360=0,BC360*($W360/1.2),BC360*$Y360),"")</f>
        <v/>
      </c>
      <c r="CO360" s="130">
        <f>IFERROR(if($AA360=0,($W360/1.35)*BD360,BD360*$AA360),)</f>
        <v/>
      </c>
      <c r="CP360" s="130">
        <f>IFERROR(if($AA360=0,($W360/1.35)*BE360,BE360*$AA360),)</f>
        <v/>
      </c>
      <c r="CQ360" s="130">
        <f>IFERROR(if($AA360=0,($W360/1.35)*BF360,BF360*$AA360),)</f>
        <v/>
      </c>
      <c r="CR360" s="128">
        <f>IFERROR(if($AC360=0,($W360/0.74)*BG360,
BG360*$AC360),)</f>
        <v/>
      </c>
      <c r="CS360" s="128">
        <f>IFERROR(if($AC360=0,($W360/0.74)*BH360,
BH360*$AC360),)</f>
        <v/>
      </c>
      <c r="CT360" s="128">
        <f>IFERROR(if($AC360=0,($W360/0.74)*BI360,
BI360*$AC360),)</f>
        <v/>
      </c>
      <c r="CU360" s="128">
        <f>IFERROR(AI360*$V360,)</f>
        <v/>
      </c>
      <c r="CV360" s="128">
        <f>IFERROR(AJ360*$V360,)</f>
        <v/>
      </c>
      <c r="CW360" s="128">
        <f>IFERROR(AK360*$V360,)</f>
        <v/>
      </c>
      <c r="CX360" s="128">
        <f>IFERROR(AL360*$V360,)</f>
        <v/>
      </c>
      <c r="CY360" s="128">
        <f>IFERROR(AM360*$V360,)</f>
        <v/>
      </c>
      <c r="CZ360" s="128">
        <f>IFERROR(AN360*$V360,)</f>
        <v/>
      </c>
      <c r="DA360" s="128">
        <f>IFERROR(AO360*$V360,)</f>
        <v/>
      </c>
      <c r="DB360" s="128">
        <f>IFERROR(AP360*$V360,)</f>
        <v/>
      </c>
      <c r="DC360" s="128">
        <f>IFERROR(AQ360*$V360,)</f>
        <v/>
      </c>
      <c r="DD360" s="128">
        <f>IFERROR(AR360*$V360,)</f>
        <v/>
      </c>
      <c r="DE360" s="128">
        <f>IFERROR(AS360*$V360,)</f>
        <v/>
      </c>
      <c r="DF360" s="128">
        <f>IFERROR(AT360*$V360,)</f>
        <v/>
      </c>
      <c r="DG360" s="128">
        <f>IFERROR(AU360*$V360,)</f>
        <v/>
      </c>
      <c r="DH360" s="128">
        <f>IFERROR(AV360*$V360,)</f>
        <v/>
      </c>
      <c r="DI360" s="128">
        <f>IFERROR(AW360*$V360,)</f>
        <v/>
      </c>
      <c r="DJ360" s="128">
        <f>IFERROR(AX360*$V360,)</f>
        <v/>
      </c>
      <c r="DK360" s="128">
        <f>IFERROR(AY360*$V360,)</f>
        <v/>
      </c>
      <c r="DL360" s="128">
        <f>IFERROR(AZ360*$V360,)</f>
        <v/>
      </c>
      <c r="DM360" s="129">
        <f>IFERROR(if($X360=0,($V360/1.2)*BA360,
BA360*$X360),)</f>
        <v/>
      </c>
      <c r="DN360" s="129">
        <f>IFERROR(if($X360=0,($V360/1.2)*BB360,
BB360*$X360),)</f>
        <v/>
      </c>
      <c r="DO360" s="129">
        <f>IFERROR(if($X360=0,($V360/1.2)*BC360,
BC360*$X360),)</f>
        <v/>
      </c>
      <c r="DP360" s="130">
        <f>IFERROR(if($Z360=0,($V360/1.35)*BD360,
BD360*$Z360),)</f>
        <v/>
      </c>
      <c r="DQ360" s="130">
        <f>IFERROR(if($Z360=0,($V360/1.35)*BE360,
BE360*$Z360),)</f>
        <v/>
      </c>
      <c r="DR360" s="130">
        <f>IFERROR(if($Z360=0,($V360/1.35)*BF360,
BF360*$Z360),)</f>
        <v/>
      </c>
      <c r="DS360" s="128">
        <f>IFERROR(IF($AB360=0,($V360/0.74)*BG360,
BG360*$AB360),)</f>
        <v/>
      </c>
      <c r="DT360" s="128">
        <f>IFERROR(IF($AB360=0,($V360/0.74)*BH360,
BH360*$AB360),)</f>
        <v/>
      </c>
      <c r="DU360" s="128">
        <f>IFERROR(IF($AB360=0,($V360/0.74)*BI360,
BI360*$AB360),)</f>
        <v/>
      </c>
    </row>
    <row r="361" ht="131.25" customHeight="1" s="162">
      <c r="A361" s="115" t="n"/>
      <c r="B361" s="115" t="n"/>
      <c r="C361" s="115" t="n"/>
      <c r="D361" s="115" t="n"/>
      <c r="E361" s="115" t="n"/>
      <c r="F361" s="115" t="n"/>
      <c r="G361" s="115" t="n"/>
      <c r="H361" s="115" t="n"/>
      <c r="I361" s="115" t="n"/>
      <c r="J361" s="115" t="n"/>
      <c r="K361" s="115" t="n"/>
      <c r="L361" s="115" t="n"/>
      <c r="M361" s="115" t="n"/>
      <c r="N361" s="115" t="n"/>
      <c r="O361" s="115" t="n"/>
      <c r="P361" s="115" t="n"/>
      <c r="Q361" s="115" t="n"/>
      <c r="R361" s="115" t="n"/>
      <c r="S361" s="115" t="n"/>
      <c r="T361" s="115" t="n"/>
      <c r="U361" s="116" t="n"/>
      <c r="V361" s="116" t="n"/>
      <c r="W361" s="117" t="n"/>
      <c r="X361" s="118" t="n"/>
      <c r="Y361" s="119" t="n"/>
      <c r="Z361" s="120" t="n"/>
      <c r="AA361" s="121" t="n"/>
      <c r="AB361" s="122" t="n"/>
      <c r="AC361" s="117" t="n"/>
      <c r="AD361" s="123">
        <f>IF(SUM($AE361:$AH361)=0,"",SUM($AE361:$AH361))</f>
        <v/>
      </c>
      <c r="AE361" s="123">
        <f>iferror(IF(SUM($AI361:$AZ361)=0,"",SUM($AI361:$AZ361)),"")</f>
        <v/>
      </c>
      <c r="AF361" s="123">
        <f>iferror(IF(SUM($BA361:$BC361)=0,"",SUM($BA361:$BC361)),"")</f>
        <v/>
      </c>
      <c r="AG361" s="123">
        <f>iferror(IF(SUM($BD361:$BF361)=0,"",SUM($BD361:$BF361)),"")</f>
        <v/>
      </c>
      <c r="AH361" s="124">
        <f>iferror(IF(SUM($BG361:$BI361)=0,"",SUM($BG361:$BI361)),"")</f>
        <v/>
      </c>
      <c r="AI361" s="131" t="n"/>
      <c r="AJ361" s="132" t="n"/>
      <c r="AK361" s="132" t="n"/>
      <c r="AL361" s="132" t="n"/>
      <c r="AM361" s="132" t="n"/>
      <c r="AN361" s="132" t="n"/>
      <c r="AO361" s="132" t="n"/>
      <c r="AP361" s="132" t="n"/>
      <c r="AQ361" s="132" t="n"/>
      <c r="AR361" s="132" t="n"/>
      <c r="AS361" s="132" t="n"/>
      <c r="AT361" s="132" t="n"/>
      <c r="AU361" s="132" t="n"/>
      <c r="AV361" s="132" t="n"/>
      <c r="AW361" s="132" t="n"/>
      <c r="AX361" s="132" t="n"/>
      <c r="AY361" s="132" t="n"/>
      <c r="AZ361" s="133" t="n"/>
      <c r="BA361" s="131" t="n"/>
      <c r="BB361" s="132" t="n"/>
      <c r="BC361" s="133" t="n"/>
      <c r="BD361" s="131" t="n"/>
      <c r="BE361" s="132" t="n"/>
      <c r="BF361" s="133" t="n"/>
      <c r="BG361" s="131" t="n"/>
      <c r="BH361" s="132" t="n"/>
      <c r="BI361" s="132" t="n"/>
      <c r="BJ361" s="128">
        <f>iferror(SUM($BK361,($BL361*1.2),($BM361*1.35),($BN361*0.74)),)</f>
        <v/>
      </c>
      <c r="BK361" s="128">
        <f>IFERROR(SUM($BT361:$CK361),)</f>
        <v/>
      </c>
      <c r="BL361" s="129">
        <f>IFERROR(SUM($CL361:$CN361),)</f>
        <v/>
      </c>
      <c r="BM361" s="130">
        <f>IFERROR(SUM($CO361:$CQ361),)</f>
        <v/>
      </c>
      <c r="BN361" s="128">
        <f>IFERROR(SUM($CR361:$CT361),)</f>
        <v/>
      </c>
      <c r="BO361" s="128">
        <f>iferror(SUM($BP361,($BQ361*1.2),($BR361*1.35),($BS361*0.74)),)</f>
        <v/>
      </c>
      <c r="BP361" s="128">
        <f>IFERROR(SUM($CU361:$DL361),)</f>
        <v/>
      </c>
      <c r="BQ361" s="128">
        <f>IFERROR(SUM($DM361:$DO361),)</f>
        <v/>
      </c>
      <c r="BR361" s="128">
        <f>IFERROR(SUM($DP361:$DR361),)</f>
        <v/>
      </c>
      <c r="BS361" s="128">
        <f>IFERROR(SUM($DS361:$DU361),)</f>
        <v/>
      </c>
      <c r="BT361" s="128">
        <f>IFERROR(AI361*$W361,)</f>
        <v/>
      </c>
      <c r="BU361" s="128">
        <f>IFERROR(AJ361*$W361,)</f>
        <v/>
      </c>
      <c r="BV361" s="128">
        <f>IFERROR(AK361*$W361,)</f>
        <v/>
      </c>
      <c r="BW361" s="128">
        <f>IFERROR(AL361*$W361,)</f>
        <v/>
      </c>
      <c r="BX361" s="128">
        <f>IFERROR(AM361*$W361,)</f>
        <v/>
      </c>
      <c r="BY361" s="128">
        <f>IFERROR(AN361*$W361,)</f>
        <v/>
      </c>
      <c r="BZ361" s="128">
        <f>IFERROR(AO361*$W361,)</f>
        <v/>
      </c>
      <c r="CA361" s="128">
        <f>IFERROR(AP361*$W361,)</f>
        <v/>
      </c>
      <c r="CB361" s="128">
        <f>IFERROR(AQ361*$W361,)</f>
        <v/>
      </c>
      <c r="CC361" s="128">
        <f>IFERROR(AR361*$W361,)</f>
        <v/>
      </c>
      <c r="CD361" s="128">
        <f>IFERROR(AS361*$W361,)</f>
        <v/>
      </c>
      <c r="CE361" s="128">
        <f>IFERROR(AT361*$W361,)</f>
        <v/>
      </c>
      <c r="CF361" s="128">
        <f>IFERROR(AU361*$W361,)</f>
        <v/>
      </c>
      <c r="CG361" s="128">
        <f>IFERROR(AV361*$W361,)</f>
        <v/>
      </c>
      <c r="CH361" s="128">
        <f>IFERROR(AW361*$W361,)</f>
        <v/>
      </c>
      <c r="CI361" s="128">
        <f>IFERROR(AX361*$W361,)</f>
        <v/>
      </c>
      <c r="CJ361" s="128">
        <f>IFERROR(AY361*$W361,)</f>
        <v/>
      </c>
      <c r="CK361" s="128">
        <f>IFERROR(AZ361*$W361,)</f>
        <v/>
      </c>
      <c r="CL361" s="129">
        <f>IFERROR(if($Y361=0,BA361*($W361/1.2),BA361*$Y361),"")</f>
        <v/>
      </c>
      <c r="CM361" s="129">
        <f>IFERROR(if($Y361=0,BB361*($W361/1.2),BB361*$Y361),"")</f>
        <v/>
      </c>
      <c r="CN361" s="129">
        <f>IFERROR(if($Y361=0,BC361*($W361/1.2),BC361*$Y361),"")</f>
        <v/>
      </c>
      <c r="CO361" s="130">
        <f>IFERROR(if($AA361=0,($W361/1.35)*BD361,BD361*$AA361),)</f>
        <v/>
      </c>
      <c r="CP361" s="130">
        <f>IFERROR(if($AA361=0,($W361/1.35)*BE361,BE361*$AA361),)</f>
        <v/>
      </c>
      <c r="CQ361" s="130">
        <f>IFERROR(if($AA361=0,($W361/1.35)*BF361,BF361*$AA361),)</f>
        <v/>
      </c>
      <c r="CR361" s="128">
        <f>IFERROR(if($AC361=0,($W361/0.74)*BG361,
BG361*$AC361),)</f>
        <v/>
      </c>
      <c r="CS361" s="128">
        <f>IFERROR(if($AC361=0,($W361/0.74)*BH361,
BH361*$AC361),)</f>
        <v/>
      </c>
      <c r="CT361" s="128">
        <f>IFERROR(if($AC361=0,($W361/0.74)*BI361,
BI361*$AC361),)</f>
        <v/>
      </c>
      <c r="CU361" s="128">
        <f>IFERROR(AI361*$V361,)</f>
        <v/>
      </c>
      <c r="CV361" s="128">
        <f>IFERROR(AJ361*$V361,)</f>
        <v/>
      </c>
      <c r="CW361" s="128">
        <f>IFERROR(AK361*$V361,)</f>
        <v/>
      </c>
      <c r="CX361" s="128">
        <f>IFERROR(AL361*$V361,)</f>
        <v/>
      </c>
      <c r="CY361" s="128">
        <f>IFERROR(AM361*$V361,)</f>
        <v/>
      </c>
      <c r="CZ361" s="128">
        <f>IFERROR(AN361*$V361,)</f>
        <v/>
      </c>
      <c r="DA361" s="128">
        <f>IFERROR(AO361*$V361,)</f>
        <v/>
      </c>
      <c r="DB361" s="128">
        <f>IFERROR(AP361*$V361,)</f>
        <v/>
      </c>
      <c r="DC361" s="128">
        <f>IFERROR(AQ361*$V361,)</f>
        <v/>
      </c>
      <c r="DD361" s="128">
        <f>IFERROR(AR361*$V361,)</f>
        <v/>
      </c>
      <c r="DE361" s="128">
        <f>IFERROR(AS361*$V361,)</f>
        <v/>
      </c>
      <c r="DF361" s="128">
        <f>IFERROR(AT361*$V361,)</f>
        <v/>
      </c>
      <c r="DG361" s="128">
        <f>IFERROR(AU361*$V361,)</f>
        <v/>
      </c>
      <c r="DH361" s="128">
        <f>IFERROR(AV361*$V361,)</f>
        <v/>
      </c>
      <c r="DI361" s="128">
        <f>IFERROR(AW361*$V361,)</f>
        <v/>
      </c>
      <c r="DJ361" s="128">
        <f>IFERROR(AX361*$V361,)</f>
        <v/>
      </c>
      <c r="DK361" s="128">
        <f>IFERROR(AY361*$V361,)</f>
        <v/>
      </c>
      <c r="DL361" s="128">
        <f>IFERROR(AZ361*$V361,)</f>
        <v/>
      </c>
      <c r="DM361" s="129">
        <f>IFERROR(if($X361=0,($V361/1.2)*BA361,
BA361*$X361),)</f>
        <v/>
      </c>
      <c r="DN361" s="129">
        <f>IFERROR(if($X361=0,($V361/1.2)*BB361,
BB361*$X361),)</f>
        <v/>
      </c>
      <c r="DO361" s="129">
        <f>IFERROR(if($X361=0,($V361/1.2)*BC361,
BC361*$X361),)</f>
        <v/>
      </c>
      <c r="DP361" s="130">
        <f>IFERROR(if($Z361=0,($V361/1.35)*BD361,
BD361*$Z361),)</f>
        <v/>
      </c>
      <c r="DQ361" s="130">
        <f>IFERROR(if($Z361=0,($V361/1.35)*BE361,
BE361*$Z361),)</f>
        <v/>
      </c>
      <c r="DR361" s="130">
        <f>IFERROR(if($Z361=0,($V361/1.35)*BF361,
BF361*$Z361),)</f>
        <v/>
      </c>
      <c r="DS361" s="128">
        <f>IFERROR(IF($AB361=0,($V361/0.74)*BG361,
BG361*$AB361),)</f>
        <v/>
      </c>
      <c r="DT361" s="128">
        <f>IFERROR(IF($AB361=0,($V361/0.74)*BH361,
BH361*$AB361),)</f>
        <v/>
      </c>
      <c r="DU361" s="128">
        <f>IFERROR(IF($AB361=0,($V361/0.74)*BI361,
BI361*$AB361),)</f>
        <v/>
      </c>
    </row>
    <row r="362" ht="131.25" customHeight="1" s="162">
      <c r="A362" s="115" t="n"/>
      <c r="B362" s="115" t="n"/>
      <c r="C362" s="115" t="n"/>
      <c r="D362" s="115" t="n"/>
      <c r="E362" s="115" t="n"/>
      <c r="F362" s="115" t="n"/>
      <c r="G362" s="115" t="n"/>
      <c r="H362" s="115" t="n"/>
      <c r="I362" s="115" t="n"/>
      <c r="J362" s="115" t="n"/>
      <c r="K362" s="115" t="n"/>
      <c r="L362" s="115" t="n"/>
      <c r="M362" s="115" t="n"/>
      <c r="N362" s="115" t="n"/>
      <c r="O362" s="115" t="n"/>
      <c r="P362" s="115" t="n"/>
      <c r="Q362" s="115" t="n"/>
      <c r="R362" s="115" t="n"/>
      <c r="S362" s="115" t="n"/>
      <c r="T362" s="115" t="n"/>
      <c r="U362" s="116" t="n"/>
      <c r="V362" s="116" t="n"/>
      <c r="W362" s="117" t="n"/>
      <c r="X362" s="118" t="n"/>
      <c r="Y362" s="119" t="n"/>
      <c r="Z362" s="120" t="n"/>
      <c r="AA362" s="121" t="n"/>
      <c r="AB362" s="122" t="n"/>
      <c r="AC362" s="117" t="n"/>
      <c r="AD362" s="123">
        <f>IF(SUM($AE362:$AH362)=0,"",SUM($AE362:$AH362))</f>
        <v/>
      </c>
      <c r="AE362" s="123">
        <f>iferror(IF(SUM($AI362:$AZ362)=0,"",SUM($AI362:$AZ362)),"")</f>
        <v/>
      </c>
      <c r="AF362" s="123">
        <f>iferror(IF(SUM($BA362:$BC362)=0,"",SUM($BA362:$BC362)),"")</f>
        <v/>
      </c>
      <c r="AG362" s="123">
        <f>iferror(IF(SUM($BD362:$BF362)=0,"",SUM($BD362:$BF362)),"")</f>
        <v/>
      </c>
      <c r="AH362" s="124">
        <f>iferror(IF(SUM($BG362:$BI362)=0,"",SUM($BG362:$BI362)),"")</f>
        <v/>
      </c>
      <c r="AI362" s="131" t="n"/>
      <c r="AJ362" s="132" t="n"/>
      <c r="AK362" s="132" t="n"/>
      <c r="AL362" s="132" t="n"/>
      <c r="AM362" s="132" t="n"/>
      <c r="AN362" s="132" t="n"/>
      <c r="AO362" s="132" t="n"/>
      <c r="AP362" s="132" t="n"/>
      <c r="AQ362" s="132" t="n"/>
      <c r="AR362" s="132" t="n"/>
      <c r="AS362" s="132" t="n"/>
      <c r="AT362" s="132" t="n"/>
      <c r="AU362" s="132" t="n"/>
      <c r="AV362" s="132" t="n"/>
      <c r="AW362" s="132" t="n"/>
      <c r="AX362" s="132" t="n"/>
      <c r="AY362" s="132" t="n"/>
      <c r="AZ362" s="133" t="n"/>
      <c r="BA362" s="131" t="n"/>
      <c r="BB362" s="132" t="n"/>
      <c r="BC362" s="133" t="n"/>
      <c r="BD362" s="131" t="n"/>
      <c r="BE362" s="132" t="n"/>
      <c r="BF362" s="133" t="n"/>
      <c r="BG362" s="131" t="n"/>
      <c r="BH362" s="132" t="n"/>
      <c r="BI362" s="132" t="n"/>
      <c r="BJ362" s="128">
        <f>iferror(SUM($BK362,($BL362*1.2),($BM362*1.35),($BN362*0.74)),)</f>
        <v/>
      </c>
      <c r="BK362" s="128">
        <f>IFERROR(SUM($BT362:$CK362),)</f>
        <v/>
      </c>
      <c r="BL362" s="129">
        <f>IFERROR(SUM($CL362:$CN362),)</f>
        <v/>
      </c>
      <c r="BM362" s="130">
        <f>IFERROR(SUM($CO362:$CQ362),)</f>
        <v/>
      </c>
      <c r="BN362" s="128">
        <f>IFERROR(SUM($CR362:$CT362),)</f>
        <v/>
      </c>
      <c r="BO362" s="128">
        <f>iferror(SUM($BP362,($BQ362*1.2),($BR362*1.35),($BS362*0.74)),)</f>
        <v/>
      </c>
      <c r="BP362" s="128">
        <f>IFERROR(SUM($CU362:$DL362),)</f>
        <v/>
      </c>
      <c r="BQ362" s="128">
        <f>IFERROR(SUM($DM362:$DO362),)</f>
        <v/>
      </c>
      <c r="BR362" s="128">
        <f>IFERROR(SUM($DP362:$DR362),)</f>
        <v/>
      </c>
      <c r="BS362" s="128">
        <f>IFERROR(SUM($DS362:$DU362),)</f>
        <v/>
      </c>
      <c r="BT362" s="128">
        <f>IFERROR(AI362*$W362,)</f>
        <v/>
      </c>
      <c r="BU362" s="128">
        <f>IFERROR(AJ362*$W362,)</f>
        <v/>
      </c>
      <c r="BV362" s="128">
        <f>IFERROR(AK362*$W362,)</f>
        <v/>
      </c>
      <c r="BW362" s="128">
        <f>IFERROR(AL362*$W362,)</f>
        <v/>
      </c>
      <c r="BX362" s="128">
        <f>IFERROR(AM362*$W362,)</f>
        <v/>
      </c>
      <c r="BY362" s="128">
        <f>IFERROR(AN362*$W362,)</f>
        <v/>
      </c>
      <c r="BZ362" s="128">
        <f>IFERROR(AO362*$W362,)</f>
        <v/>
      </c>
      <c r="CA362" s="128">
        <f>IFERROR(AP362*$W362,)</f>
        <v/>
      </c>
      <c r="CB362" s="128">
        <f>IFERROR(AQ362*$W362,)</f>
        <v/>
      </c>
      <c r="CC362" s="128">
        <f>IFERROR(AR362*$W362,)</f>
        <v/>
      </c>
      <c r="CD362" s="128">
        <f>IFERROR(AS362*$W362,)</f>
        <v/>
      </c>
      <c r="CE362" s="128">
        <f>IFERROR(AT362*$W362,)</f>
        <v/>
      </c>
      <c r="CF362" s="128">
        <f>IFERROR(AU362*$W362,)</f>
        <v/>
      </c>
      <c r="CG362" s="128">
        <f>IFERROR(AV362*$W362,)</f>
        <v/>
      </c>
      <c r="CH362" s="128">
        <f>IFERROR(AW362*$W362,)</f>
        <v/>
      </c>
      <c r="CI362" s="128">
        <f>IFERROR(AX362*$W362,)</f>
        <v/>
      </c>
      <c r="CJ362" s="128">
        <f>IFERROR(AY362*$W362,)</f>
        <v/>
      </c>
      <c r="CK362" s="128">
        <f>IFERROR(AZ362*$W362,)</f>
        <v/>
      </c>
      <c r="CL362" s="129">
        <f>IFERROR(if($Y362=0,BA362*($W362/1.2),BA362*$Y362),"")</f>
        <v/>
      </c>
      <c r="CM362" s="129">
        <f>IFERROR(if($Y362=0,BB362*($W362/1.2),BB362*$Y362),"")</f>
        <v/>
      </c>
      <c r="CN362" s="129">
        <f>IFERROR(if($Y362=0,BC362*($W362/1.2),BC362*$Y362),"")</f>
        <v/>
      </c>
      <c r="CO362" s="130">
        <f>IFERROR(if($AA362=0,($W362/1.35)*BD362,BD362*$AA362),)</f>
        <v/>
      </c>
      <c r="CP362" s="130">
        <f>IFERROR(if($AA362=0,($W362/1.35)*BE362,BE362*$AA362),)</f>
        <v/>
      </c>
      <c r="CQ362" s="130">
        <f>IFERROR(if($AA362=0,($W362/1.35)*BF362,BF362*$AA362),)</f>
        <v/>
      </c>
      <c r="CR362" s="128">
        <f>IFERROR(if($AC362=0,($W362/0.74)*BG362,
BG362*$AC362),)</f>
        <v/>
      </c>
      <c r="CS362" s="128">
        <f>IFERROR(if($AC362=0,($W362/0.74)*BH362,
BH362*$AC362),)</f>
        <v/>
      </c>
      <c r="CT362" s="128">
        <f>IFERROR(if($AC362=0,($W362/0.74)*BI362,
BI362*$AC362),)</f>
        <v/>
      </c>
      <c r="CU362" s="128">
        <f>IFERROR(AI362*$V362,)</f>
        <v/>
      </c>
      <c r="CV362" s="128">
        <f>IFERROR(AJ362*$V362,)</f>
        <v/>
      </c>
      <c r="CW362" s="128">
        <f>IFERROR(AK362*$V362,)</f>
        <v/>
      </c>
      <c r="CX362" s="128">
        <f>IFERROR(AL362*$V362,)</f>
        <v/>
      </c>
      <c r="CY362" s="128">
        <f>IFERROR(AM362*$V362,)</f>
        <v/>
      </c>
      <c r="CZ362" s="128">
        <f>IFERROR(AN362*$V362,)</f>
        <v/>
      </c>
      <c r="DA362" s="128">
        <f>IFERROR(AO362*$V362,)</f>
        <v/>
      </c>
      <c r="DB362" s="128">
        <f>IFERROR(AP362*$V362,)</f>
        <v/>
      </c>
      <c r="DC362" s="128">
        <f>IFERROR(AQ362*$V362,)</f>
        <v/>
      </c>
      <c r="DD362" s="128">
        <f>IFERROR(AR362*$V362,)</f>
        <v/>
      </c>
      <c r="DE362" s="128">
        <f>IFERROR(AS362*$V362,)</f>
        <v/>
      </c>
      <c r="DF362" s="128">
        <f>IFERROR(AT362*$V362,)</f>
        <v/>
      </c>
      <c r="DG362" s="128">
        <f>IFERROR(AU362*$V362,)</f>
        <v/>
      </c>
      <c r="DH362" s="128">
        <f>IFERROR(AV362*$V362,)</f>
        <v/>
      </c>
      <c r="DI362" s="128">
        <f>IFERROR(AW362*$V362,)</f>
        <v/>
      </c>
      <c r="DJ362" s="128">
        <f>IFERROR(AX362*$V362,)</f>
        <v/>
      </c>
      <c r="DK362" s="128">
        <f>IFERROR(AY362*$V362,)</f>
        <v/>
      </c>
      <c r="DL362" s="128">
        <f>IFERROR(AZ362*$V362,)</f>
        <v/>
      </c>
      <c r="DM362" s="129">
        <f>IFERROR(if($X362=0,($V362/1.2)*BA362,
BA362*$X362),)</f>
        <v/>
      </c>
      <c r="DN362" s="129">
        <f>IFERROR(if($X362=0,($V362/1.2)*BB362,
BB362*$X362),)</f>
        <v/>
      </c>
      <c r="DO362" s="129">
        <f>IFERROR(if($X362=0,($V362/1.2)*BC362,
BC362*$X362),)</f>
        <v/>
      </c>
      <c r="DP362" s="130">
        <f>IFERROR(if($Z362=0,($V362/1.35)*BD362,
BD362*$Z362),)</f>
        <v/>
      </c>
      <c r="DQ362" s="130">
        <f>IFERROR(if($Z362=0,($V362/1.35)*BE362,
BE362*$Z362),)</f>
        <v/>
      </c>
      <c r="DR362" s="130">
        <f>IFERROR(if($Z362=0,($V362/1.35)*BF362,
BF362*$Z362),)</f>
        <v/>
      </c>
      <c r="DS362" s="128">
        <f>IFERROR(IF($AB362=0,($V362/0.74)*BG362,
BG362*$AB362),)</f>
        <v/>
      </c>
      <c r="DT362" s="128">
        <f>IFERROR(IF($AB362=0,($V362/0.74)*BH362,
BH362*$AB362),)</f>
        <v/>
      </c>
      <c r="DU362" s="128">
        <f>IFERROR(IF($AB362=0,($V362/0.74)*BI362,
BI362*$AB362),)</f>
        <v/>
      </c>
    </row>
    <row r="363" ht="131.25" customHeight="1" s="162">
      <c r="A363" s="115" t="n"/>
      <c r="B363" s="115" t="n"/>
      <c r="C363" s="115" t="n"/>
      <c r="D363" s="115" t="n"/>
      <c r="E363" s="115" t="n"/>
      <c r="F363" s="115" t="n"/>
      <c r="G363" s="115" t="n"/>
      <c r="H363" s="115" t="n"/>
      <c r="I363" s="115" t="n"/>
      <c r="J363" s="115" t="n"/>
      <c r="K363" s="115" t="n"/>
      <c r="L363" s="115" t="n"/>
      <c r="M363" s="115" t="n"/>
      <c r="N363" s="115" t="n"/>
      <c r="O363" s="115" t="n"/>
      <c r="P363" s="115" t="n"/>
      <c r="Q363" s="115" t="n"/>
      <c r="R363" s="115" t="n"/>
      <c r="S363" s="115" t="n"/>
      <c r="T363" s="115" t="n"/>
      <c r="U363" s="116" t="n"/>
      <c r="V363" s="116" t="n"/>
      <c r="W363" s="117" t="n"/>
      <c r="X363" s="118" t="n"/>
      <c r="Y363" s="119" t="n"/>
      <c r="Z363" s="120" t="n"/>
      <c r="AA363" s="121" t="n"/>
      <c r="AB363" s="122" t="n"/>
      <c r="AC363" s="117" t="n"/>
      <c r="AD363" s="123">
        <f>IF(SUM($AE363:$AH363)=0,"",SUM($AE363:$AH363))</f>
        <v/>
      </c>
      <c r="AE363" s="123">
        <f>iferror(IF(SUM($AI363:$AZ363)=0,"",SUM($AI363:$AZ363)),"")</f>
        <v/>
      </c>
      <c r="AF363" s="123">
        <f>iferror(IF(SUM($BA363:$BC363)=0,"",SUM($BA363:$BC363)),"")</f>
        <v/>
      </c>
      <c r="AG363" s="123">
        <f>iferror(IF(SUM($BD363:$BF363)=0,"",SUM($BD363:$BF363)),"")</f>
        <v/>
      </c>
      <c r="AH363" s="124">
        <f>iferror(IF(SUM($BG363:$BI363)=0,"",SUM($BG363:$BI363)),"")</f>
        <v/>
      </c>
      <c r="AI363" s="131" t="n"/>
      <c r="AJ363" s="132" t="n"/>
      <c r="AK363" s="132" t="n"/>
      <c r="AL363" s="132" t="n"/>
      <c r="AM363" s="132" t="n"/>
      <c r="AN363" s="132" t="n"/>
      <c r="AO363" s="132" t="n"/>
      <c r="AP363" s="132" t="n"/>
      <c r="AQ363" s="132" t="n"/>
      <c r="AR363" s="132" t="n"/>
      <c r="AS363" s="132" t="n"/>
      <c r="AT363" s="132" t="n"/>
      <c r="AU363" s="132" t="n"/>
      <c r="AV363" s="132" t="n"/>
      <c r="AW363" s="132" t="n"/>
      <c r="AX363" s="132" t="n"/>
      <c r="AY363" s="132" t="n"/>
      <c r="AZ363" s="133" t="n"/>
      <c r="BA363" s="131" t="n"/>
      <c r="BB363" s="132" t="n"/>
      <c r="BC363" s="133" t="n"/>
      <c r="BD363" s="131" t="n"/>
      <c r="BE363" s="132" t="n"/>
      <c r="BF363" s="133" t="n"/>
      <c r="BG363" s="131" t="n"/>
      <c r="BH363" s="132" t="n"/>
      <c r="BI363" s="132" t="n"/>
      <c r="BJ363" s="128">
        <f>iferror(SUM($BK363,($BL363*1.2),($BM363*1.35),($BN363*0.74)),)</f>
        <v/>
      </c>
      <c r="BK363" s="128">
        <f>IFERROR(SUM($BT363:$CK363),)</f>
        <v/>
      </c>
      <c r="BL363" s="129">
        <f>IFERROR(SUM($CL363:$CN363),)</f>
        <v/>
      </c>
      <c r="BM363" s="130">
        <f>IFERROR(SUM($CO363:$CQ363),)</f>
        <v/>
      </c>
      <c r="BN363" s="128">
        <f>IFERROR(SUM($CR363:$CT363),)</f>
        <v/>
      </c>
      <c r="BO363" s="128">
        <f>iferror(SUM($BP363,($BQ363*1.2),($BR363*1.35),($BS363*0.74)),)</f>
        <v/>
      </c>
      <c r="BP363" s="128">
        <f>IFERROR(SUM($CU363:$DL363),)</f>
        <v/>
      </c>
      <c r="BQ363" s="128">
        <f>IFERROR(SUM($DM363:$DO363),)</f>
        <v/>
      </c>
      <c r="BR363" s="128">
        <f>IFERROR(SUM($DP363:$DR363),)</f>
        <v/>
      </c>
      <c r="BS363" s="128">
        <f>IFERROR(SUM($DS363:$DU363),)</f>
        <v/>
      </c>
      <c r="BT363" s="128">
        <f>IFERROR(AI363*$W363,)</f>
        <v/>
      </c>
      <c r="BU363" s="128">
        <f>IFERROR(AJ363*$W363,)</f>
        <v/>
      </c>
      <c r="BV363" s="128">
        <f>IFERROR(AK363*$W363,)</f>
        <v/>
      </c>
      <c r="BW363" s="128">
        <f>IFERROR(AL363*$W363,)</f>
        <v/>
      </c>
      <c r="BX363" s="128">
        <f>IFERROR(AM363*$W363,)</f>
        <v/>
      </c>
      <c r="BY363" s="128">
        <f>IFERROR(AN363*$W363,)</f>
        <v/>
      </c>
      <c r="BZ363" s="128">
        <f>IFERROR(AO363*$W363,)</f>
        <v/>
      </c>
      <c r="CA363" s="128">
        <f>IFERROR(AP363*$W363,)</f>
        <v/>
      </c>
      <c r="CB363" s="128">
        <f>IFERROR(AQ363*$W363,)</f>
        <v/>
      </c>
      <c r="CC363" s="128">
        <f>IFERROR(AR363*$W363,)</f>
        <v/>
      </c>
      <c r="CD363" s="128">
        <f>IFERROR(AS363*$W363,)</f>
        <v/>
      </c>
      <c r="CE363" s="128">
        <f>IFERROR(AT363*$W363,)</f>
        <v/>
      </c>
      <c r="CF363" s="128">
        <f>IFERROR(AU363*$W363,)</f>
        <v/>
      </c>
      <c r="CG363" s="128">
        <f>IFERROR(AV363*$W363,)</f>
        <v/>
      </c>
      <c r="CH363" s="128">
        <f>IFERROR(AW363*$W363,)</f>
        <v/>
      </c>
      <c r="CI363" s="128">
        <f>IFERROR(AX363*$W363,)</f>
        <v/>
      </c>
      <c r="CJ363" s="128">
        <f>IFERROR(AY363*$W363,)</f>
        <v/>
      </c>
      <c r="CK363" s="128">
        <f>IFERROR(AZ363*$W363,)</f>
        <v/>
      </c>
      <c r="CL363" s="129">
        <f>IFERROR(if($Y363=0,BA363*($W363/1.2),BA363*$Y363),"")</f>
        <v/>
      </c>
      <c r="CM363" s="129">
        <f>IFERROR(if($Y363=0,BB363*($W363/1.2),BB363*$Y363),"")</f>
        <v/>
      </c>
      <c r="CN363" s="129">
        <f>IFERROR(if($Y363=0,BC363*($W363/1.2),BC363*$Y363),"")</f>
        <v/>
      </c>
      <c r="CO363" s="130">
        <f>IFERROR(if($AA363=0,($W363/1.35)*BD363,BD363*$AA363),)</f>
        <v/>
      </c>
      <c r="CP363" s="130">
        <f>IFERROR(if($AA363=0,($W363/1.35)*BE363,BE363*$AA363),)</f>
        <v/>
      </c>
      <c r="CQ363" s="130">
        <f>IFERROR(if($AA363=0,($W363/1.35)*BF363,BF363*$AA363),)</f>
        <v/>
      </c>
      <c r="CR363" s="128">
        <f>IFERROR(if($AC363=0,($W363/0.74)*BG363,
BG363*$AC363),)</f>
        <v/>
      </c>
      <c r="CS363" s="128">
        <f>IFERROR(if($AC363=0,($W363/0.74)*BH363,
BH363*$AC363),)</f>
        <v/>
      </c>
      <c r="CT363" s="128">
        <f>IFERROR(if($AC363=0,($W363/0.74)*BI363,
BI363*$AC363),)</f>
        <v/>
      </c>
      <c r="CU363" s="128">
        <f>IFERROR(AI363*$V363,)</f>
        <v/>
      </c>
      <c r="CV363" s="128">
        <f>IFERROR(AJ363*$V363,)</f>
        <v/>
      </c>
      <c r="CW363" s="128">
        <f>IFERROR(AK363*$V363,)</f>
        <v/>
      </c>
      <c r="CX363" s="128">
        <f>IFERROR(AL363*$V363,)</f>
        <v/>
      </c>
      <c r="CY363" s="128">
        <f>IFERROR(AM363*$V363,)</f>
        <v/>
      </c>
      <c r="CZ363" s="128">
        <f>IFERROR(AN363*$V363,)</f>
        <v/>
      </c>
      <c r="DA363" s="128">
        <f>IFERROR(AO363*$V363,)</f>
        <v/>
      </c>
      <c r="DB363" s="128">
        <f>IFERROR(AP363*$V363,)</f>
        <v/>
      </c>
      <c r="DC363" s="128">
        <f>IFERROR(AQ363*$V363,)</f>
        <v/>
      </c>
      <c r="DD363" s="128">
        <f>IFERROR(AR363*$V363,)</f>
        <v/>
      </c>
      <c r="DE363" s="128">
        <f>IFERROR(AS363*$V363,)</f>
        <v/>
      </c>
      <c r="DF363" s="128">
        <f>IFERROR(AT363*$V363,)</f>
        <v/>
      </c>
      <c r="DG363" s="128">
        <f>IFERROR(AU363*$V363,)</f>
        <v/>
      </c>
      <c r="DH363" s="128">
        <f>IFERROR(AV363*$V363,)</f>
        <v/>
      </c>
      <c r="DI363" s="128">
        <f>IFERROR(AW363*$V363,)</f>
        <v/>
      </c>
      <c r="DJ363" s="128">
        <f>IFERROR(AX363*$V363,)</f>
        <v/>
      </c>
      <c r="DK363" s="128">
        <f>IFERROR(AY363*$V363,)</f>
        <v/>
      </c>
      <c r="DL363" s="128">
        <f>IFERROR(AZ363*$V363,)</f>
        <v/>
      </c>
      <c r="DM363" s="129">
        <f>IFERROR(if($X363=0,($V363/1.2)*BA363,
BA363*$X363),)</f>
        <v/>
      </c>
      <c r="DN363" s="129">
        <f>IFERROR(if($X363=0,($V363/1.2)*BB363,
BB363*$X363),)</f>
        <v/>
      </c>
      <c r="DO363" s="129">
        <f>IFERROR(if($X363=0,($V363/1.2)*BC363,
BC363*$X363),)</f>
        <v/>
      </c>
      <c r="DP363" s="130">
        <f>IFERROR(if($Z363=0,($V363/1.35)*BD363,
BD363*$Z363),)</f>
        <v/>
      </c>
      <c r="DQ363" s="130">
        <f>IFERROR(if($Z363=0,($V363/1.35)*BE363,
BE363*$Z363),)</f>
        <v/>
      </c>
      <c r="DR363" s="130">
        <f>IFERROR(if($Z363=0,($V363/1.35)*BF363,
BF363*$Z363),)</f>
        <v/>
      </c>
      <c r="DS363" s="128">
        <f>IFERROR(IF($AB363=0,($V363/0.74)*BG363,
BG363*$AB363),)</f>
        <v/>
      </c>
      <c r="DT363" s="128">
        <f>IFERROR(IF($AB363=0,($V363/0.74)*BH363,
BH363*$AB363),)</f>
        <v/>
      </c>
      <c r="DU363" s="128">
        <f>IFERROR(IF($AB363=0,($V363/0.74)*BI363,
BI363*$AB363),)</f>
        <v/>
      </c>
    </row>
    <row r="364" ht="131.25" customHeight="1" s="162">
      <c r="A364" s="115" t="n"/>
      <c r="B364" s="115" t="n"/>
      <c r="C364" s="115" t="n"/>
      <c r="D364" s="115" t="n"/>
      <c r="E364" s="115" t="n"/>
      <c r="F364" s="115" t="n"/>
      <c r="G364" s="115" t="n"/>
      <c r="H364" s="115" t="n"/>
      <c r="I364" s="115" t="n"/>
      <c r="J364" s="115" t="n"/>
      <c r="K364" s="115" t="n"/>
      <c r="L364" s="115" t="n"/>
      <c r="M364" s="115" t="n"/>
      <c r="N364" s="115" t="n"/>
      <c r="O364" s="115" t="n"/>
      <c r="P364" s="115" t="n"/>
      <c r="Q364" s="115" t="n"/>
      <c r="R364" s="115" t="n"/>
      <c r="S364" s="115" t="n"/>
      <c r="T364" s="115" t="n"/>
      <c r="U364" s="116" t="n"/>
      <c r="V364" s="116" t="n"/>
      <c r="W364" s="117" t="n"/>
      <c r="X364" s="118" t="n"/>
      <c r="Y364" s="119" t="n"/>
      <c r="Z364" s="120" t="n"/>
      <c r="AA364" s="121" t="n"/>
      <c r="AB364" s="122" t="n"/>
      <c r="AC364" s="117" t="n"/>
      <c r="AD364" s="123">
        <f>IF(SUM($AE364:$AH364)=0,"",SUM($AE364:$AH364))</f>
        <v/>
      </c>
      <c r="AE364" s="123">
        <f>iferror(IF(SUM($AI364:$AZ364)=0,"",SUM($AI364:$AZ364)),"")</f>
        <v/>
      </c>
      <c r="AF364" s="123">
        <f>iferror(IF(SUM($BA364:$BC364)=0,"",SUM($BA364:$BC364)),"")</f>
        <v/>
      </c>
      <c r="AG364" s="123">
        <f>iferror(IF(SUM($BD364:$BF364)=0,"",SUM($BD364:$BF364)),"")</f>
        <v/>
      </c>
      <c r="AH364" s="124">
        <f>iferror(IF(SUM($BG364:$BI364)=0,"",SUM($BG364:$BI364)),"")</f>
        <v/>
      </c>
      <c r="AI364" s="131" t="n"/>
      <c r="AJ364" s="132" t="n"/>
      <c r="AK364" s="132" t="n"/>
      <c r="AL364" s="132" t="n"/>
      <c r="AM364" s="132" t="n"/>
      <c r="AN364" s="132" t="n"/>
      <c r="AO364" s="132" t="n"/>
      <c r="AP364" s="132" t="n"/>
      <c r="AQ364" s="132" t="n"/>
      <c r="AR364" s="132" t="n"/>
      <c r="AS364" s="132" t="n"/>
      <c r="AT364" s="132" t="n"/>
      <c r="AU364" s="132" t="n"/>
      <c r="AV364" s="132" t="n"/>
      <c r="AW364" s="132" t="n"/>
      <c r="AX364" s="132" t="n"/>
      <c r="AY364" s="132" t="n"/>
      <c r="AZ364" s="133" t="n"/>
      <c r="BA364" s="131" t="n"/>
      <c r="BB364" s="132" t="n"/>
      <c r="BC364" s="133" t="n"/>
      <c r="BD364" s="131" t="n"/>
      <c r="BE364" s="132" t="n"/>
      <c r="BF364" s="133" t="n"/>
      <c r="BG364" s="131" t="n"/>
      <c r="BH364" s="132" t="n"/>
      <c r="BI364" s="132" t="n"/>
      <c r="BJ364" s="128">
        <f>iferror(SUM($BK364,($BL364*1.2),($BM364*1.35),($BN364*0.74)),)</f>
        <v/>
      </c>
      <c r="BK364" s="128">
        <f>IFERROR(SUM($BT364:$CK364),)</f>
        <v/>
      </c>
      <c r="BL364" s="129">
        <f>IFERROR(SUM($CL364:$CN364),)</f>
        <v/>
      </c>
      <c r="BM364" s="130">
        <f>IFERROR(SUM($CO364:$CQ364),)</f>
        <v/>
      </c>
      <c r="BN364" s="128">
        <f>IFERROR(SUM($CR364:$CT364),)</f>
        <v/>
      </c>
      <c r="BO364" s="128">
        <f>iferror(SUM($BP364,($BQ364*1.2),($BR364*1.35),($BS364*0.74)),)</f>
        <v/>
      </c>
      <c r="BP364" s="128">
        <f>IFERROR(SUM($CU364:$DL364),)</f>
        <v/>
      </c>
      <c r="BQ364" s="128">
        <f>IFERROR(SUM($DM364:$DO364),)</f>
        <v/>
      </c>
      <c r="BR364" s="128">
        <f>IFERROR(SUM($DP364:$DR364),)</f>
        <v/>
      </c>
      <c r="BS364" s="128">
        <f>IFERROR(SUM($DS364:$DU364),)</f>
        <v/>
      </c>
      <c r="BT364" s="128">
        <f>IFERROR(AI364*$W364,)</f>
        <v/>
      </c>
      <c r="BU364" s="128">
        <f>IFERROR(AJ364*$W364,)</f>
        <v/>
      </c>
      <c r="BV364" s="128">
        <f>IFERROR(AK364*$W364,)</f>
        <v/>
      </c>
      <c r="BW364" s="128">
        <f>IFERROR(AL364*$W364,)</f>
        <v/>
      </c>
      <c r="BX364" s="128">
        <f>IFERROR(AM364*$W364,)</f>
        <v/>
      </c>
      <c r="BY364" s="128">
        <f>IFERROR(AN364*$W364,)</f>
        <v/>
      </c>
      <c r="BZ364" s="128">
        <f>IFERROR(AO364*$W364,)</f>
        <v/>
      </c>
      <c r="CA364" s="128">
        <f>IFERROR(AP364*$W364,)</f>
        <v/>
      </c>
      <c r="CB364" s="128">
        <f>IFERROR(AQ364*$W364,)</f>
        <v/>
      </c>
      <c r="CC364" s="128">
        <f>IFERROR(AR364*$W364,)</f>
        <v/>
      </c>
      <c r="CD364" s="128">
        <f>IFERROR(AS364*$W364,)</f>
        <v/>
      </c>
      <c r="CE364" s="128">
        <f>IFERROR(AT364*$W364,)</f>
        <v/>
      </c>
      <c r="CF364" s="128">
        <f>IFERROR(AU364*$W364,)</f>
        <v/>
      </c>
      <c r="CG364" s="128">
        <f>IFERROR(AV364*$W364,)</f>
        <v/>
      </c>
      <c r="CH364" s="128">
        <f>IFERROR(AW364*$W364,)</f>
        <v/>
      </c>
      <c r="CI364" s="128">
        <f>IFERROR(AX364*$W364,)</f>
        <v/>
      </c>
      <c r="CJ364" s="128">
        <f>IFERROR(AY364*$W364,)</f>
        <v/>
      </c>
      <c r="CK364" s="128">
        <f>IFERROR(AZ364*$W364,)</f>
        <v/>
      </c>
      <c r="CL364" s="129">
        <f>IFERROR(if($Y364=0,BA364*($W364/1.2),BA364*$Y364),"")</f>
        <v/>
      </c>
      <c r="CM364" s="129">
        <f>IFERROR(if($Y364=0,BB364*($W364/1.2),BB364*$Y364),"")</f>
        <v/>
      </c>
      <c r="CN364" s="129">
        <f>IFERROR(if($Y364=0,BC364*($W364/1.2),BC364*$Y364),"")</f>
        <v/>
      </c>
      <c r="CO364" s="130">
        <f>IFERROR(if($AA364=0,($W364/1.35)*BD364,BD364*$AA364),)</f>
        <v/>
      </c>
      <c r="CP364" s="130">
        <f>IFERROR(if($AA364=0,($W364/1.35)*BE364,BE364*$AA364),)</f>
        <v/>
      </c>
      <c r="CQ364" s="130">
        <f>IFERROR(if($AA364=0,($W364/1.35)*BF364,BF364*$AA364),)</f>
        <v/>
      </c>
      <c r="CR364" s="128">
        <f>IFERROR(if($AC364=0,($W364/0.74)*BG364,
BG364*$AC364),)</f>
        <v/>
      </c>
      <c r="CS364" s="128">
        <f>IFERROR(if($AC364=0,($W364/0.74)*BH364,
BH364*$AC364),)</f>
        <v/>
      </c>
      <c r="CT364" s="128">
        <f>IFERROR(if($AC364=0,($W364/0.74)*BI364,
BI364*$AC364),)</f>
        <v/>
      </c>
      <c r="CU364" s="128">
        <f>IFERROR(AI364*$V364,)</f>
        <v/>
      </c>
      <c r="CV364" s="128">
        <f>IFERROR(AJ364*$V364,)</f>
        <v/>
      </c>
      <c r="CW364" s="128">
        <f>IFERROR(AK364*$V364,)</f>
        <v/>
      </c>
      <c r="CX364" s="128">
        <f>IFERROR(AL364*$V364,)</f>
        <v/>
      </c>
      <c r="CY364" s="128">
        <f>IFERROR(AM364*$V364,)</f>
        <v/>
      </c>
      <c r="CZ364" s="128">
        <f>IFERROR(AN364*$V364,)</f>
        <v/>
      </c>
      <c r="DA364" s="128">
        <f>IFERROR(AO364*$V364,)</f>
        <v/>
      </c>
      <c r="DB364" s="128">
        <f>IFERROR(AP364*$V364,)</f>
        <v/>
      </c>
      <c r="DC364" s="128">
        <f>IFERROR(AQ364*$V364,)</f>
        <v/>
      </c>
      <c r="DD364" s="128">
        <f>IFERROR(AR364*$V364,)</f>
        <v/>
      </c>
      <c r="DE364" s="128">
        <f>IFERROR(AS364*$V364,)</f>
        <v/>
      </c>
      <c r="DF364" s="128">
        <f>IFERROR(AT364*$V364,)</f>
        <v/>
      </c>
      <c r="DG364" s="128">
        <f>IFERROR(AU364*$V364,)</f>
        <v/>
      </c>
      <c r="DH364" s="128">
        <f>IFERROR(AV364*$V364,)</f>
        <v/>
      </c>
      <c r="DI364" s="128">
        <f>IFERROR(AW364*$V364,)</f>
        <v/>
      </c>
      <c r="DJ364" s="128">
        <f>IFERROR(AX364*$V364,)</f>
        <v/>
      </c>
      <c r="DK364" s="128">
        <f>IFERROR(AY364*$V364,)</f>
        <v/>
      </c>
      <c r="DL364" s="128">
        <f>IFERROR(AZ364*$V364,)</f>
        <v/>
      </c>
      <c r="DM364" s="129">
        <f>IFERROR(if($X364=0,($V364/1.2)*BA364,
BA364*$X364),)</f>
        <v/>
      </c>
      <c r="DN364" s="129">
        <f>IFERROR(if($X364=0,($V364/1.2)*BB364,
BB364*$X364),)</f>
        <v/>
      </c>
      <c r="DO364" s="129">
        <f>IFERROR(if($X364=0,($V364/1.2)*BC364,
BC364*$X364),)</f>
        <v/>
      </c>
      <c r="DP364" s="130">
        <f>IFERROR(if($Z364=0,($V364/1.35)*BD364,
BD364*$Z364),)</f>
        <v/>
      </c>
      <c r="DQ364" s="130">
        <f>IFERROR(if($Z364=0,($V364/1.35)*BE364,
BE364*$Z364),)</f>
        <v/>
      </c>
      <c r="DR364" s="130">
        <f>IFERROR(if($Z364=0,($V364/1.35)*BF364,
BF364*$Z364),)</f>
        <v/>
      </c>
      <c r="DS364" s="128">
        <f>IFERROR(IF($AB364=0,($V364/0.74)*BG364,
BG364*$AB364),)</f>
        <v/>
      </c>
      <c r="DT364" s="128">
        <f>IFERROR(IF($AB364=0,($V364/0.74)*BH364,
BH364*$AB364),)</f>
        <v/>
      </c>
      <c r="DU364" s="128">
        <f>IFERROR(IF($AB364=0,($V364/0.74)*BI364,
BI364*$AB364),)</f>
        <v/>
      </c>
    </row>
    <row r="365" ht="131.25" customHeight="1" s="162">
      <c r="A365" s="115" t="n"/>
      <c r="B365" s="115" t="n"/>
      <c r="C365" s="115" t="n"/>
      <c r="D365" s="115" t="n"/>
      <c r="E365" s="115" t="n"/>
      <c r="F365" s="115" t="n"/>
      <c r="G365" s="115" t="n"/>
      <c r="H365" s="115" t="n"/>
      <c r="I365" s="115" t="n"/>
      <c r="J365" s="115" t="n"/>
      <c r="K365" s="115" t="n"/>
      <c r="L365" s="115" t="n"/>
      <c r="M365" s="115" t="n"/>
      <c r="N365" s="115" t="n"/>
      <c r="O365" s="115" t="n"/>
      <c r="P365" s="115" t="n"/>
      <c r="Q365" s="115" t="n"/>
      <c r="R365" s="115" t="n"/>
      <c r="S365" s="115" t="n"/>
      <c r="T365" s="115" t="n"/>
      <c r="U365" s="116" t="n"/>
      <c r="V365" s="116" t="n"/>
      <c r="W365" s="117" t="n"/>
      <c r="X365" s="118" t="n"/>
      <c r="Y365" s="119" t="n"/>
      <c r="Z365" s="120" t="n"/>
      <c r="AA365" s="121" t="n"/>
      <c r="AB365" s="122" t="n"/>
      <c r="AC365" s="117" t="n"/>
      <c r="AD365" s="123">
        <f>IF(SUM($AE365:$AH365)=0,"",SUM($AE365:$AH365))</f>
        <v/>
      </c>
      <c r="AE365" s="123">
        <f>iferror(IF(SUM($AI365:$AZ365)=0,"",SUM($AI365:$AZ365)),"")</f>
        <v/>
      </c>
      <c r="AF365" s="123">
        <f>iferror(IF(SUM($BA365:$BC365)=0,"",SUM($BA365:$BC365)),"")</f>
        <v/>
      </c>
      <c r="AG365" s="123">
        <f>iferror(IF(SUM($BD365:$BF365)=0,"",SUM($BD365:$BF365)),"")</f>
        <v/>
      </c>
      <c r="AH365" s="124">
        <f>iferror(IF(SUM($BG365:$BI365)=0,"",SUM($BG365:$BI365)),"")</f>
        <v/>
      </c>
      <c r="AI365" s="131" t="n"/>
      <c r="AJ365" s="132" t="n"/>
      <c r="AK365" s="132" t="n"/>
      <c r="AL365" s="132" t="n"/>
      <c r="AM365" s="132" t="n"/>
      <c r="AN365" s="132" t="n"/>
      <c r="AO365" s="132" t="n"/>
      <c r="AP365" s="132" t="n"/>
      <c r="AQ365" s="132" t="n"/>
      <c r="AR365" s="132" t="n"/>
      <c r="AS365" s="132" t="n"/>
      <c r="AT365" s="132" t="n"/>
      <c r="AU365" s="132" t="n"/>
      <c r="AV365" s="132" t="n"/>
      <c r="AW365" s="132" t="n"/>
      <c r="AX365" s="132" t="n"/>
      <c r="AY365" s="132" t="n"/>
      <c r="AZ365" s="133" t="n"/>
      <c r="BA365" s="131" t="n"/>
      <c r="BB365" s="132" t="n"/>
      <c r="BC365" s="133" t="n"/>
      <c r="BD365" s="131" t="n"/>
      <c r="BE365" s="132" t="n"/>
      <c r="BF365" s="133" t="n"/>
      <c r="BG365" s="131" t="n"/>
      <c r="BH365" s="132" t="n"/>
      <c r="BI365" s="132" t="n"/>
      <c r="BJ365" s="128">
        <f>iferror(SUM($BK365,($BL365*1.2),($BM365*1.35),($BN365*0.74)),)</f>
        <v/>
      </c>
      <c r="BK365" s="128">
        <f>IFERROR(SUM($BT365:$CK365),)</f>
        <v/>
      </c>
      <c r="BL365" s="129">
        <f>IFERROR(SUM($CL365:$CN365),)</f>
        <v/>
      </c>
      <c r="BM365" s="130">
        <f>IFERROR(SUM($CO365:$CQ365),)</f>
        <v/>
      </c>
      <c r="BN365" s="128">
        <f>IFERROR(SUM($CR365:$CT365),)</f>
        <v/>
      </c>
      <c r="BO365" s="128">
        <f>iferror(SUM($BP365,($BQ365*1.2),($BR365*1.35),($BS365*0.74)),)</f>
        <v/>
      </c>
      <c r="BP365" s="128">
        <f>IFERROR(SUM($CU365:$DL365),)</f>
        <v/>
      </c>
      <c r="BQ365" s="128">
        <f>IFERROR(SUM($DM365:$DO365),)</f>
        <v/>
      </c>
      <c r="BR365" s="128">
        <f>IFERROR(SUM($DP365:$DR365),)</f>
        <v/>
      </c>
      <c r="BS365" s="128">
        <f>IFERROR(SUM($DS365:$DU365),)</f>
        <v/>
      </c>
      <c r="BT365" s="128">
        <f>IFERROR(AI365*$W365,)</f>
        <v/>
      </c>
      <c r="BU365" s="128">
        <f>IFERROR(AJ365*$W365,)</f>
        <v/>
      </c>
      <c r="BV365" s="128">
        <f>IFERROR(AK365*$W365,)</f>
        <v/>
      </c>
      <c r="BW365" s="128">
        <f>IFERROR(AL365*$W365,)</f>
        <v/>
      </c>
      <c r="BX365" s="128">
        <f>IFERROR(AM365*$W365,)</f>
        <v/>
      </c>
      <c r="BY365" s="128">
        <f>IFERROR(AN365*$W365,)</f>
        <v/>
      </c>
      <c r="BZ365" s="128">
        <f>IFERROR(AO365*$W365,)</f>
        <v/>
      </c>
      <c r="CA365" s="128">
        <f>IFERROR(AP365*$W365,)</f>
        <v/>
      </c>
      <c r="CB365" s="128">
        <f>IFERROR(AQ365*$W365,)</f>
        <v/>
      </c>
      <c r="CC365" s="128">
        <f>IFERROR(AR365*$W365,)</f>
        <v/>
      </c>
      <c r="CD365" s="128">
        <f>IFERROR(AS365*$W365,)</f>
        <v/>
      </c>
      <c r="CE365" s="128">
        <f>IFERROR(AT365*$W365,)</f>
        <v/>
      </c>
      <c r="CF365" s="128">
        <f>IFERROR(AU365*$W365,)</f>
        <v/>
      </c>
      <c r="CG365" s="128">
        <f>IFERROR(AV365*$W365,)</f>
        <v/>
      </c>
      <c r="CH365" s="128">
        <f>IFERROR(AW365*$W365,)</f>
        <v/>
      </c>
      <c r="CI365" s="128">
        <f>IFERROR(AX365*$W365,)</f>
        <v/>
      </c>
      <c r="CJ365" s="128">
        <f>IFERROR(AY365*$W365,)</f>
        <v/>
      </c>
      <c r="CK365" s="128">
        <f>IFERROR(AZ365*$W365,)</f>
        <v/>
      </c>
      <c r="CL365" s="129">
        <f>IFERROR(if($Y365=0,BA365*($W365/1.2),BA365*$Y365),"")</f>
        <v/>
      </c>
      <c r="CM365" s="129">
        <f>IFERROR(if($Y365=0,BB365*($W365/1.2),BB365*$Y365),"")</f>
        <v/>
      </c>
      <c r="CN365" s="129">
        <f>IFERROR(if($Y365=0,BC365*($W365/1.2),BC365*$Y365),"")</f>
        <v/>
      </c>
      <c r="CO365" s="130">
        <f>IFERROR(if($AA365=0,($W365/1.35)*BD365,BD365*$AA365),)</f>
        <v/>
      </c>
      <c r="CP365" s="130">
        <f>IFERROR(if($AA365=0,($W365/1.35)*BE365,BE365*$AA365),)</f>
        <v/>
      </c>
      <c r="CQ365" s="130">
        <f>IFERROR(if($AA365=0,($W365/1.35)*BF365,BF365*$AA365),)</f>
        <v/>
      </c>
      <c r="CR365" s="128">
        <f>IFERROR(if($AC365=0,($W365/0.74)*BG365,
BG365*$AC365),)</f>
        <v/>
      </c>
      <c r="CS365" s="128">
        <f>IFERROR(if($AC365=0,($W365/0.74)*BH365,
BH365*$AC365),)</f>
        <v/>
      </c>
      <c r="CT365" s="128">
        <f>IFERROR(if($AC365=0,($W365/0.74)*BI365,
BI365*$AC365),)</f>
        <v/>
      </c>
      <c r="CU365" s="128">
        <f>IFERROR(AI365*$V365,)</f>
        <v/>
      </c>
      <c r="CV365" s="128">
        <f>IFERROR(AJ365*$V365,)</f>
        <v/>
      </c>
      <c r="CW365" s="128">
        <f>IFERROR(AK365*$V365,)</f>
        <v/>
      </c>
      <c r="CX365" s="128">
        <f>IFERROR(AL365*$V365,)</f>
        <v/>
      </c>
      <c r="CY365" s="128">
        <f>IFERROR(AM365*$V365,)</f>
        <v/>
      </c>
      <c r="CZ365" s="128">
        <f>IFERROR(AN365*$V365,)</f>
        <v/>
      </c>
      <c r="DA365" s="128">
        <f>IFERROR(AO365*$V365,)</f>
        <v/>
      </c>
      <c r="DB365" s="128">
        <f>IFERROR(AP365*$V365,)</f>
        <v/>
      </c>
      <c r="DC365" s="128">
        <f>IFERROR(AQ365*$V365,)</f>
        <v/>
      </c>
      <c r="DD365" s="128">
        <f>IFERROR(AR365*$V365,)</f>
        <v/>
      </c>
      <c r="DE365" s="128">
        <f>IFERROR(AS365*$V365,)</f>
        <v/>
      </c>
      <c r="DF365" s="128">
        <f>IFERROR(AT365*$V365,)</f>
        <v/>
      </c>
      <c r="DG365" s="128">
        <f>IFERROR(AU365*$V365,)</f>
        <v/>
      </c>
      <c r="DH365" s="128">
        <f>IFERROR(AV365*$V365,)</f>
        <v/>
      </c>
      <c r="DI365" s="128">
        <f>IFERROR(AW365*$V365,)</f>
        <v/>
      </c>
      <c r="DJ365" s="128">
        <f>IFERROR(AX365*$V365,)</f>
        <v/>
      </c>
      <c r="DK365" s="128">
        <f>IFERROR(AY365*$V365,)</f>
        <v/>
      </c>
      <c r="DL365" s="128">
        <f>IFERROR(AZ365*$V365,)</f>
        <v/>
      </c>
      <c r="DM365" s="129">
        <f>IFERROR(if($X365=0,($V365/1.2)*BA365,
BA365*$X365),)</f>
        <v/>
      </c>
      <c r="DN365" s="129">
        <f>IFERROR(if($X365=0,($V365/1.2)*BB365,
BB365*$X365),)</f>
        <v/>
      </c>
      <c r="DO365" s="129">
        <f>IFERROR(if($X365=0,($V365/1.2)*BC365,
BC365*$X365),)</f>
        <v/>
      </c>
      <c r="DP365" s="130">
        <f>IFERROR(if($Z365=0,($V365/1.35)*BD365,
BD365*$Z365),)</f>
        <v/>
      </c>
      <c r="DQ365" s="130">
        <f>IFERROR(if($Z365=0,($V365/1.35)*BE365,
BE365*$Z365),)</f>
        <v/>
      </c>
      <c r="DR365" s="130">
        <f>IFERROR(if($Z365=0,($V365/1.35)*BF365,
BF365*$Z365),)</f>
        <v/>
      </c>
      <c r="DS365" s="128">
        <f>IFERROR(IF($AB365=0,($V365/0.74)*BG365,
BG365*$AB365),)</f>
        <v/>
      </c>
      <c r="DT365" s="128">
        <f>IFERROR(IF($AB365=0,($V365/0.74)*BH365,
BH365*$AB365),)</f>
        <v/>
      </c>
      <c r="DU365" s="128">
        <f>IFERROR(IF($AB365=0,($V365/0.74)*BI365,
BI365*$AB365),)</f>
        <v/>
      </c>
    </row>
    <row r="366" ht="131.25" customHeight="1" s="162">
      <c r="A366" s="115" t="n"/>
      <c r="B366" s="115" t="n"/>
      <c r="C366" s="115" t="n"/>
      <c r="D366" s="115" t="n"/>
      <c r="E366" s="115" t="n"/>
      <c r="F366" s="115" t="n"/>
      <c r="G366" s="115" t="n"/>
      <c r="H366" s="115" t="n"/>
      <c r="I366" s="115" t="n"/>
      <c r="J366" s="115" t="n"/>
      <c r="K366" s="115" t="n"/>
      <c r="L366" s="115" t="n"/>
      <c r="M366" s="115" t="n"/>
      <c r="N366" s="115" t="n"/>
      <c r="O366" s="115" t="n"/>
      <c r="P366" s="115" t="n"/>
      <c r="Q366" s="115" t="n"/>
      <c r="R366" s="115" t="n"/>
      <c r="S366" s="115" t="n"/>
      <c r="T366" s="115" t="n"/>
      <c r="U366" s="116" t="n"/>
      <c r="V366" s="116" t="n"/>
      <c r="W366" s="117" t="n"/>
      <c r="X366" s="118" t="n"/>
      <c r="Y366" s="119" t="n"/>
      <c r="Z366" s="120" t="n"/>
      <c r="AA366" s="121" t="n"/>
      <c r="AB366" s="122" t="n"/>
      <c r="AC366" s="117" t="n"/>
      <c r="AD366" s="123">
        <f>IF(SUM($AE366:$AH366)=0,"",SUM($AE366:$AH366))</f>
        <v/>
      </c>
      <c r="AE366" s="123">
        <f>iferror(IF(SUM($AI366:$AZ366)=0,"",SUM($AI366:$AZ366)),"")</f>
        <v/>
      </c>
      <c r="AF366" s="123">
        <f>iferror(IF(SUM($BA366:$BC366)=0,"",SUM($BA366:$BC366)),"")</f>
        <v/>
      </c>
      <c r="AG366" s="123">
        <f>iferror(IF(SUM($BD366:$BF366)=0,"",SUM($BD366:$BF366)),"")</f>
        <v/>
      </c>
      <c r="AH366" s="124">
        <f>iferror(IF(SUM($BG366:$BI366)=0,"",SUM($BG366:$BI366)),"")</f>
        <v/>
      </c>
      <c r="AI366" s="131" t="n"/>
      <c r="AJ366" s="132" t="n"/>
      <c r="AK366" s="132" t="n"/>
      <c r="AL366" s="132" t="n"/>
      <c r="AM366" s="132" t="n"/>
      <c r="AN366" s="132" t="n"/>
      <c r="AO366" s="132" t="n"/>
      <c r="AP366" s="132" t="n"/>
      <c r="AQ366" s="132" t="n"/>
      <c r="AR366" s="132" t="n"/>
      <c r="AS366" s="132" t="n"/>
      <c r="AT366" s="132" t="n"/>
      <c r="AU366" s="132" t="n"/>
      <c r="AV366" s="132" t="n"/>
      <c r="AW366" s="132" t="n"/>
      <c r="AX366" s="132" t="n"/>
      <c r="AY366" s="132" t="n"/>
      <c r="AZ366" s="133" t="n"/>
      <c r="BA366" s="131" t="n"/>
      <c r="BB366" s="132" t="n"/>
      <c r="BC366" s="133" t="n"/>
      <c r="BD366" s="131" t="n"/>
      <c r="BE366" s="132" t="n"/>
      <c r="BF366" s="133" t="n"/>
      <c r="BG366" s="131" t="n"/>
      <c r="BH366" s="132" t="n"/>
      <c r="BI366" s="132" t="n"/>
      <c r="BJ366" s="128">
        <f>iferror(SUM($BK366,($BL366*1.2),($BM366*1.35),($BN366*0.74)),)</f>
        <v/>
      </c>
      <c r="BK366" s="128">
        <f>IFERROR(SUM($BT366:$CK366),)</f>
        <v/>
      </c>
      <c r="BL366" s="129">
        <f>IFERROR(SUM($CL366:$CN366),)</f>
        <v/>
      </c>
      <c r="BM366" s="130">
        <f>IFERROR(SUM($CO366:$CQ366),)</f>
        <v/>
      </c>
      <c r="BN366" s="128">
        <f>IFERROR(SUM($CR366:$CT366),)</f>
        <v/>
      </c>
      <c r="BO366" s="128">
        <f>iferror(SUM($BP366,($BQ366*1.2),($BR366*1.35),($BS366*0.74)),)</f>
        <v/>
      </c>
      <c r="BP366" s="128">
        <f>IFERROR(SUM($CU366:$DL366),)</f>
        <v/>
      </c>
      <c r="BQ366" s="128">
        <f>IFERROR(SUM($DM366:$DO366),)</f>
        <v/>
      </c>
      <c r="BR366" s="128">
        <f>IFERROR(SUM($DP366:$DR366),)</f>
        <v/>
      </c>
      <c r="BS366" s="128">
        <f>IFERROR(SUM($DS366:$DU366),)</f>
        <v/>
      </c>
      <c r="BT366" s="128">
        <f>IFERROR(AI366*$W366,)</f>
        <v/>
      </c>
      <c r="BU366" s="128">
        <f>IFERROR(AJ366*$W366,)</f>
        <v/>
      </c>
      <c r="BV366" s="128">
        <f>IFERROR(AK366*$W366,)</f>
        <v/>
      </c>
      <c r="BW366" s="128">
        <f>IFERROR(AL366*$W366,)</f>
        <v/>
      </c>
      <c r="BX366" s="128">
        <f>IFERROR(AM366*$W366,)</f>
        <v/>
      </c>
      <c r="BY366" s="128">
        <f>IFERROR(AN366*$W366,)</f>
        <v/>
      </c>
      <c r="BZ366" s="128">
        <f>IFERROR(AO366*$W366,)</f>
        <v/>
      </c>
      <c r="CA366" s="128">
        <f>IFERROR(AP366*$W366,)</f>
        <v/>
      </c>
      <c r="CB366" s="128">
        <f>IFERROR(AQ366*$W366,)</f>
        <v/>
      </c>
      <c r="CC366" s="128">
        <f>IFERROR(AR366*$W366,)</f>
        <v/>
      </c>
      <c r="CD366" s="128">
        <f>IFERROR(AS366*$W366,)</f>
        <v/>
      </c>
      <c r="CE366" s="128">
        <f>IFERROR(AT366*$W366,)</f>
        <v/>
      </c>
      <c r="CF366" s="128">
        <f>IFERROR(AU366*$W366,)</f>
        <v/>
      </c>
      <c r="CG366" s="128">
        <f>IFERROR(AV366*$W366,)</f>
        <v/>
      </c>
      <c r="CH366" s="128">
        <f>IFERROR(AW366*$W366,)</f>
        <v/>
      </c>
      <c r="CI366" s="128">
        <f>IFERROR(AX366*$W366,)</f>
        <v/>
      </c>
      <c r="CJ366" s="128">
        <f>IFERROR(AY366*$W366,)</f>
        <v/>
      </c>
      <c r="CK366" s="128">
        <f>IFERROR(AZ366*$W366,)</f>
        <v/>
      </c>
      <c r="CL366" s="129">
        <f>IFERROR(if($Y366=0,BA366*($W366/1.2),BA366*$Y366),"")</f>
        <v/>
      </c>
      <c r="CM366" s="129">
        <f>IFERROR(if($Y366=0,BB366*($W366/1.2),BB366*$Y366),"")</f>
        <v/>
      </c>
      <c r="CN366" s="129">
        <f>IFERROR(if($Y366=0,BC366*($W366/1.2),BC366*$Y366),"")</f>
        <v/>
      </c>
      <c r="CO366" s="130">
        <f>IFERROR(if($AA366=0,($W366/1.35)*BD366,BD366*$AA366),)</f>
        <v/>
      </c>
      <c r="CP366" s="130">
        <f>IFERROR(if($AA366=0,($W366/1.35)*BE366,BE366*$AA366),)</f>
        <v/>
      </c>
      <c r="CQ366" s="130">
        <f>IFERROR(if($AA366=0,($W366/1.35)*BF366,BF366*$AA366),)</f>
        <v/>
      </c>
      <c r="CR366" s="128">
        <f>IFERROR(if($AC366=0,($W366/0.74)*BG366,
BG366*$AC366),)</f>
        <v/>
      </c>
      <c r="CS366" s="128">
        <f>IFERROR(if($AC366=0,($W366/0.74)*BH366,
BH366*$AC366),)</f>
        <v/>
      </c>
      <c r="CT366" s="128">
        <f>IFERROR(if($AC366=0,($W366/0.74)*BI366,
BI366*$AC366),)</f>
        <v/>
      </c>
      <c r="CU366" s="128">
        <f>IFERROR(AI366*$V366,)</f>
        <v/>
      </c>
      <c r="CV366" s="128">
        <f>IFERROR(AJ366*$V366,)</f>
        <v/>
      </c>
      <c r="CW366" s="128">
        <f>IFERROR(AK366*$V366,)</f>
        <v/>
      </c>
      <c r="CX366" s="128">
        <f>IFERROR(AL366*$V366,)</f>
        <v/>
      </c>
      <c r="CY366" s="128">
        <f>IFERROR(AM366*$V366,)</f>
        <v/>
      </c>
      <c r="CZ366" s="128">
        <f>IFERROR(AN366*$V366,)</f>
        <v/>
      </c>
      <c r="DA366" s="128">
        <f>IFERROR(AO366*$V366,)</f>
        <v/>
      </c>
      <c r="DB366" s="128">
        <f>IFERROR(AP366*$V366,)</f>
        <v/>
      </c>
      <c r="DC366" s="128">
        <f>IFERROR(AQ366*$V366,)</f>
        <v/>
      </c>
      <c r="DD366" s="128">
        <f>IFERROR(AR366*$V366,)</f>
        <v/>
      </c>
      <c r="DE366" s="128">
        <f>IFERROR(AS366*$V366,)</f>
        <v/>
      </c>
      <c r="DF366" s="128">
        <f>IFERROR(AT366*$V366,)</f>
        <v/>
      </c>
      <c r="DG366" s="128">
        <f>IFERROR(AU366*$V366,)</f>
        <v/>
      </c>
      <c r="DH366" s="128">
        <f>IFERROR(AV366*$V366,)</f>
        <v/>
      </c>
      <c r="DI366" s="128">
        <f>IFERROR(AW366*$V366,)</f>
        <v/>
      </c>
      <c r="DJ366" s="128">
        <f>IFERROR(AX366*$V366,)</f>
        <v/>
      </c>
      <c r="DK366" s="128">
        <f>IFERROR(AY366*$V366,)</f>
        <v/>
      </c>
      <c r="DL366" s="128">
        <f>IFERROR(AZ366*$V366,)</f>
        <v/>
      </c>
      <c r="DM366" s="129">
        <f>IFERROR(if($X366=0,($V366/1.2)*BA366,
BA366*$X366),)</f>
        <v/>
      </c>
      <c r="DN366" s="129">
        <f>IFERROR(if($X366=0,($V366/1.2)*BB366,
BB366*$X366),)</f>
        <v/>
      </c>
      <c r="DO366" s="129">
        <f>IFERROR(if($X366=0,($V366/1.2)*BC366,
BC366*$X366),)</f>
        <v/>
      </c>
      <c r="DP366" s="130">
        <f>IFERROR(if($Z366=0,($V366/1.35)*BD366,
BD366*$Z366),)</f>
        <v/>
      </c>
      <c r="DQ366" s="130">
        <f>IFERROR(if($Z366=0,($V366/1.35)*BE366,
BE366*$Z366),)</f>
        <v/>
      </c>
      <c r="DR366" s="130">
        <f>IFERROR(if($Z366=0,($V366/1.35)*BF366,
BF366*$Z366),)</f>
        <v/>
      </c>
      <c r="DS366" s="128">
        <f>IFERROR(IF($AB366=0,($V366/0.74)*BG366,
BG366*$AB366),)</f>
        <v/>
      </c>
      <c r="DT366" s="128">
        <f>IFERROR(IF($AB366=0,($V366/0.74)*BH366,
BH366*$AB366),)</f>
        <v/>
      </c>
      <c r="DU366" s="128">
        <f>IFERROR(IF($AB366=0,($V366/0.74)*BI366,
BI366*$AB366),)</f>
        <v/>
      </c>
    </row>
    <row r="367" ht="131.25" customHeight="1" s="162">
      <c r="A367" s="115" t="n"/>
      <c r="B367" s="115" t="n"/>
      <c r="C367" s="115" t="n"/>
      <c r="D367" s="115" t="n"/>
      <c r="E367" s="115" t="n"/>
      <c r="F367" s="115" t="n"/>
      <c r="G367" s="115" t="n"/>
      <c r="H367" s="115" t="n"/>
      <c r="I367" s="115" t="n"/>
      <c r="J367" s="115" t="n"/>
      <c r="K367" s="115" t="n"/>
      <c r="L367" s="115" t="n"/>
      <c r="M367" s="115" t="n"/>
      <c r="N367" s="115" t="n"/>
      <c r="O367" s="115" t="n"/>
      <c r="P367" s="115" t="n"/>
      <c r="Q367" s="115" t="n"/>
      <c r="R367" s="115" t="n"/>
      <c r="S367" s="115" t="n"/>
      <c r="T367" s="115" t="n"/>
      <c r="U367" s="116" t="n"/>
      <c r="V367" s="116" t="n"/>
      <c r="W367" s="117" t="n"/>
      <c r="X367" s="118" t="n"/>
      <c r="Y367" s="119" t="n"/>
      <c r="Z367" s="120" t="n"/>
      <c r="AA367" s="121" t="n"/>
      <c r="AB367" s="122" t="n"/>
      <c r="AC367" s="117" t="n"/>
      <c r="AD367" s="123">
        <f>IF(SUM($AE367:$AH367)=0,"",SUM($AE367:$AH367))</f>
        <v/>
      </c>
      <c r="AE367" s="123">
        <f>iferror(IF(SUM($AI367:$AZ367)=0,"",SUM($AI367:$AZ367)),"")</f>
        <v/>
      </c>
      <c r="AF367" s="123">
        <f>iferror(IF(SUM($BA367:$BC367)=0,"",SUM($BA367:$BC367)),"")</f>
        <v/>
      </c>
      <c r="AG367" s="123">
        <f>iferror(IF(SUM($BD367:$BF367)=0,"",SUM($BD367:$BF367)),"")</f>
        <v/>
      </c>
      <c r="AH367" s="124">
        <f>iferror(IF(SUM($BG367:$BI367)=0,"",SUM($BG367:$BI367)),"")</f>
        <v/>
      </c>
      <c r="AI367" s="131" t="n"/>
      <c r="AJ367" s="132" t="n"/>
      <c r="AK367" s="132" t="n"/>
      <c r="AL367" s="132" t="n"/>
      <c r="AM367" s="132" t="n"/>
      <c r="AN367" s="132" t="n"/>
      <c r="AO367" s="132" t="n"/>
      <c r="AP367" s="132" t="n"/>
      <c r="AQ367" s="132" t="n"/>
      <c r="AR367" s="132" t="n"/>
      <c r="AS367" s="132" t="n"/>
      <c r="AT367" s="132" t="n"/>
      <c r="AU367" s="132" t="n"/>
      <c r="AV367" s="132" t="n"/>
      <c r="AW367" s="132" t="n"/>
      <c r="AX367" s="132" t="n"/>
      <c r="AY367" s="132" t="n"/>
      <c r="AZ367" s="133" t="n"/>
      <c r="BA367" s="131" t="n"/>
      <c r="BB367" s="132" t="n"/>
      <c r="BC367" s="133" t="n"/>
      <c r="BD367" s="131" t="n"/>
      <c r="BE367" s="132" t="n"/>
      <c r="BF367" s="133" t="n"/>
      <c r="BG367" s="131" t="n"/>
      <c r="BH367" s="132" t="n"/>
      <c r="BI367" s="132" t="n"/>
      <c r="BJ367" s="128">
        <f>iferror(SUM($BK367,($BL367*1.2),($BM367*1.35),($BN367*0.74)),)</f>
        <v/>
      </c>
      <c r="BK367" s="128">
        <f>IFERROR(SUM($BT367:$CK367),)</f>
        <v/>
      </c>
      <c r="BL367" s="129">
        <f>IFERROR(SUM($CL367:$CN367),)</f>
        <v/>
      </c>
      <c r="BM367" s="130">
        <f>IFERROR(SUM($CO367:$CQ367),)</f>
        <v/>
      </c>
      <c r="BN367" s="128">
        <f>IFERROR(SUM($CR367:$CT367),)</f>
        <v/>
      </c>
      <c r="BO367" s="128">
        <f>iferror(SUM($BP367,($BQ367*1.2),($BR367*1.35),($BS367*0.74)),)</f>
        <v/>
      </c>
      <c r="BP367" s="128">
        <f>IFERROR(SUM($CU367:$DL367),)</f>
        <v/>
      </c>
      <c r="BQ367" s="128">
        <f>IFERROR(SUM($DM367:$DO367),)</f>
        <v/>
      </c>
      <c r="BR367" s="128">
        <f>IFERROR(SUM($DP367:$DR367),)</f>
        <v/>
      </c>
      <c r="BS367" s="128">
        <f>IFERROR(SUM($DS367:$DU367),)</f>
        <v/>
      </c>
      <c r="BT367" s="128">
        <f>IFERROR(AI367*$W367,)</f>
        <v/>
      </c>
      <c r="BU367" s="128">
        <f>IFERROR(AJ367*$W367,)</f>
        <v/>
      </c>
      <c r="BV367" s="128">
        <f>IFERROR(AK367*$W367,)</f>
        <v/>
      </c>
      <c r="BW367" s="128">
        <f>IFERROR(AL367*$W367,)</f>
        <v/>
      </c>
      <c r="BX367" s="128">
        <f>IFERROR(AM367*$W367,)</f>
        <v/>
      </c>
      <c r="BY367" s="128">
        <f>IFERROR(AN367*$W367,)</f>
        <v/>
      </c>
      <c r="BZ367" s="128">
        <f>IFERROR(AO367*$W367,)</f>
        <v/>
      </c>
      <c r="CA367" s="128">
        <f>IFERROR(AP367*$W367,)</f>
        <v/>
      </c>
      <c r="CB367" s="128">
        <f>IFERROR(AQ367*$W367,)</f>
        <v/>
      </c>
      <c r="CC367" s="128">
        <f>IFERROR(AR367*$W367,)</f>
        <v/>
      </c>
      <c r="CD367" s="128">
        <f>IFERROR(AS367*$W367,)</f>
        <v/>
      </c>
      <c r="CE367" s="128">
        <f>IFERROR(AT367*$W367,)</f>
        <v/>
      </c>
      <c r="CF367" s="128">
        <f>IFERROR(AU367*$W367,)</f>
        <v/>
      </c>
      <c r="CG367" s="128">
        <f>IFERROR(AV367*$W367,)</f>
        <v/>
      </c>
      <c r="CH367" s="128">
        <f>IFERROR(AW367*$W367,)</f>
        <v/>
      </c>
      <c r="CI367" s="128">
        <f>IFERROR(AX367*$W367,)</f>
        <v/>
      </c>
      <c r="CJ367" s="128">
        <f>IFERROR(AY367*$W367,)</f>
        <v/>
      </c>
      <c r="CK367" s="128">
        <f>IFERROR(AZ367*$W367,)</f>
        <v/>
      </c>
      <c r="CL367" s="129">
        <f>IFERROR(if($Y367=0,BA367*($W367/1.2),BA367*$Y367),"")</f>
        <v/>
      </c>
      <c r="CM367" s="129">
        <f>IFERROR(if($Y367=0,BB367*($W367/1.2),BB367*$Y367),"")</f>
        <v/>
      </c>
      <c r="CN367" s="129">
        <f>IFERROR(if($Y367=0,BC367*($W367/1.2),BC367*$Y367),"")</f>
        <v/>
      </c>
      <c r="CO367" s="130">
        <f>IFERROR(if($AA367=0,($W367/1.35)*BD367,BD367*$AA367),)</f>
        <v/>
      </c>
      <c r="CP367" s="130">
        <f>IFERROR(if($AA367=0,($W367/1.35)*BE367,BE367*$AA367),)</f>
        <v/>
      </c>
      <c r="CQ367" s="130">
        <f>IFERROR(if($AA367=0,($W367/1.35)*BF367,BF367*$AA367),)</f>
        <v/>
      </c>
      <c r="CR367" s="128">
        <f>IFERROR(if($AC367=0,($W367/0.74)*BG367,
BG367*$AC367),)</f>
        <v/>
      </c>
      <c r="CS367" s="128">
        <f>IFERROR(if($AC367=0,($W367/0.74)*BH367,
BH367*$AC367),)</f>
        <v/>
      </c>
      <c r="CT367" s="128">
        <f>IFERROR(if($AC367=0,($W367/0.74)*BI367,
BI367*$AC367),)</f>
        <v/>
      </c>
      <c r="CU367" s="128">
        <f>IFERROR(AI367*$V367,)</f>
        <v/>
      </c>
      <c r="CV367" s="128">
        <f>IFERROR(AJ367*$V367,)</f>
        <v/>
      </c>
      <c r="CW367" s="128">
        <f>IFERROR(AK367*$V367,)</f>
        <v/>
      </c>
      <c r="CX367" s="128">
        <f>IFERROR(AL367*$V367,)</f>
        <v/>
      </c>
      <c r="CY367" s="128">
        <f>IFERROR(AM367*$V367,)</f>
        <v/>
      </c>
      <c r="CZ367" s="128">
        <f>IFERROR(AN367*$V367,)</f>
        <v/>
      </c>
      <c r="DA367" s="128">
        <f>IFERROR(AO367*$V367,)</f>
        <v/>
      </c>
      <c r="DB367" s="128">
        <f>IFERROR(AP367*$V367,)</f>
        <v/>
      </c>
      <c r="DC367" s="128">
        <f>IFERROR(AQ367*$V367,)</f>
        <v/>
      </c>
      <c r="DD367" s="128">
        <f>IFERROR(AR367*$V367,)</f>
        <v/>
      </c>
      <c r="DE367" s="128">
        <f>IFERROR(AS367*$V367,)</f>
        <v/>
      </c>
      <c r="DF367" s="128">
        <f>IFERROR(AT367*$V367,)</f>
        <v/>
      </c>
      <c r="DG367" s="128">
        <f>IFERROR(AU367*$V367,)</f>
        <v/>
      </c>
      <c r="DH367" s="128">
        <f>IFERROR(AV367*$V367,)</f>
        <v/>
      </c>
      <c r="DI367" s="128">
        <f>IFERROR(AW367*$V367,)</f>
        <v/>
      </c>
      <c r="DJ367" s="128">
        <f>IFERROR(AX367*$V367,)</f>
        <v/>
      </c>
      <c r="DK367" s="128">
        <f>IFERROR(AY367*$V367,)</f>
        <v/>
      </c>
      <c r="DL367" s="128">
        <f>IFERROR(AZ367*$V367,)</f>
        <v/>
      </c>
      <c r="DM367" s="129">
        <f>IFERROR(if($X367=0,($V367/1.2)*BA367,
BA367*$X367),)</f>
        <v/>
      </c>
      <c r="DN367" s="129">
        <f>IFERROR(if($X367=0,($V367/1.2)*BB367,
BB367*$X367),)</f>
        <v/>
      </c>
      <c r="DO367" s="129">
        <f>IFERROR(if($X367=0,($V367/1.2)*BC367,
BC367*$X367),)</f>
        <v/>
      </c>
      <c r="DP367" s="130">
        <f>IFERROR(if($Z367=0,($V367/1.35)*BD367,
BD367*$Z367),)</f>
        <v/>
      </c>
      <c r="DQ367" s="130">
        <f>IFERROR(if($Z367=0,($V367/1.35)*BE367,
BE367*$Z367),)</f>
        <v/>
      </c>
      <c r="DR367" s="130">
        <f>IFERROR(if($Z367=0,($V367/1.35)*BF367,
BF367*$Z367),)</f>
        <v/>
      </c>
      <c r="DS367" s="128">
        <f>IFERROR(IF($AB367=0,($V367/0.74)*BG367,
BG367*$AB367),)</f>
        <v/>
      </c>
      <c r="DT367" s="128">
        <f>IFERROR(IF($AB367=0,($V367/0.74)*BH367,
BH367*$AB367),)</f>
        <v/>
      </c>
      <c r="DU367" s="128">
        <f>IFERROR(IF($AB367=0,($V367/0.74)*BI367,
BI367*$AB367),)</f>
        <v/>
      </c>
    </row>
    <row r="368" ht="131.25" customHeight="1" s="162">
      <c r="A368" s="115" t="n"/>
      <c r="B368" s="115" t="n"/>
      <c r="C368" s="115" t="n"/>
      <c r="D368" s="115" t="n"/>
      <c r="E368" s="115" t="n"/>
      <c r="F368" s="115" t="n"/>
      <c r="G368" s="115" t="n"/>
      <c r="H368" s="115" t="n"/>
      <c r="I368" s="115" t="n"/>
      <c r="J368" s="115" t="n"/>
      <c r="K368" s="115" t="n"/>
      <c r="L368" s="115" t="n"/>
      <c r="M368" s="115" t="n"/>
      <c r="N368" s="115" t="n"/>
      <c r="O368" s="115" t="n"/>
      <c r="P368" s="115" t="n"/>
      <c r="Q368" s="115" t="n"/>
      <c r="R368" s="115" t="n"/>
      <c r="S368" s="115" t="n"/>
      <c r="T368" s="115" t="n"/>
      <c r="U368" s="116" t="n"/>
      <c r="V368" s="116" t="n"/>
      <c r="W368" s="117" t="n"/>
      <c r="X368" s="118" t="n"/>
      <c r="Y368" s="119" t="n"/>
      <c r="Z368" s="120" t="n"/>
      <c r="AA368" s="121" t="n"/>
      <c r="AB368" s="122" t="n"/>
      <c r="AC368" s="117" t="n"/>
      <c r="AD368" s="123">
        <f>IF(SUM($AE368:$AH368)=0,"",SUM($AE368:$AH368))</f>
        <v/>
      </c>
      <c r="AE368" s="123">
        <f>iferror(IF(SUM($AI368:$AZ368)=0,"",SUM($AI368:$AZ368)),"")</f>
        <v/>
      </c>
      <c r="AF368" s="123">
        <f>iferror(IF(SUM($BA368:$BC368)=0,"",SUM($BA368:$BC368)),"")</f>
        <v/>
      </c>
      <c r="AG368" s="123">
        <f>iferror(IF(SUM($BD368:$BF368)=0,"",SUM($BD368:$BF368)),"")</f>
        <v/>
      </c>
      <c r="AH368" s="124">
        <f>iferror(IF(SUM($BG368:$BI368)=0,"",SUM($BG368:$BI368)),"")</f>
        <v/>
      </c>
      <c r="AI368" s="131" t="n"/>
      <c r="AJ368" s="132" t="n"/>
      <c r="AK368" s="132" t="n"/>
      <c r="AL368" s="132" t="n"/>
      <c r="AM368" s="132" t="n"/>
      <c r="AN368" s="132" t="n"/>
      <c r="AO368" s="132" t="n"/>
      <c r="AP368" s="132" t="n"/>
      <c r="AQ368" s="132" t="n"/>
      <c r="AR368" s="132" t="n"/>
      <c r="AS368" s="132" t="n"/>
      <c r="AT368" s="132" t="n"/>
      <c r="AU368" s="132" t="n"/>
      <c r="AV368" s="132" t="n"/>
      <c r="AW368" s="132" t="n"/>
      <c r="AX368" s="132" t="n"/>
      <c r="AY368" s="132" t="n"/>
      <c r="AZ368" s="133" t="n"/>
      <c r="BA368" s="131" t="n"/>
      <c r="BB368" s="132" t="n"/>
      <c r="BC368" s="133" t="n"/>
      <c r="BD368" s="131" t="n"/>
      <c r="BE368" s="132" t="n"/>
      <c r="BF368" s="133" t="n"/>
      <c r="BG368" s="131" t="n"/>
      <c r="BH368" s="132" t="n"/>
      <c r="BI368" s="132" t="n"/>
      <c r="BJ368" s="128">
        <f>iferror(SUM($BK368,($BL368*1.2),($BM368*1.35),($BN368*0.74)),)</f>
        <v/>
      </c>
      <c r="BK368" s="128">
        <f>IFERROR(SUM($BT368:$CK368),)</f>
        <v/>
      </c>
      <c r="BL368" s="129">
        <f>IFERROR(SUM($CL368:$CN368),)</f>
        <v/>
      </c>
      <c r="BM368" s="130">
        <f>IFERROR(SUM($CO368:$CQ368),)</f>
        <v/>
      </c>
      <c r="BN368" s="128">
        <f>IFERROR(SUM($CR368:$CT368),)</f>
        <v/>
      </c>
      <c r="BO368" s="128">
        <f>iferror(SUM($BP368,($BQ368*1.2),($BR368*1.35),($BS368*0.74)),)</f>
        <v/>
      </c>
      <c r="BP368" s="128">
        <f>IFERROR(SUM($CU368:$DL368),)</f>
        <v/>
      </c>
      <c r="BQ368" s="128">
        <f>IFERROR(SUM($DM368:$DO368),)</f>
        <v/>
      </c>
      <c r="BR368" s="128">
        <f>IFERROR(SUM($DP368:$DR368),)</f>
        <v/>
      </c>
      <c r="BS368" s="128">
        <f>IFERROR(SUM($DS368:$DU368),)</f>
        <v/>
      </c>
      <c r="BT368" s="128">
        <f>IFERROR(AI368*$W368,)</f>
        <v/>
      </c>
      <c r="BU368" s="128">
        <f>IFERROR(AJ368*$W368,)</f>
        <v/>
      </c>
      <c r="BV368" s="128">
        <f>IFERROR(AK368*$W368,)</f>
        <v/>
      </c>
      <c r="BW368" s="128">
        <f>IFERROR(AL368*$W368,)</f>
        <v/>
      </c>
      <c r="BX368" s="128">
        <f>IFERROR(AM368*$W368,)</f>
        <v/>
      </c>
      <c r="BY368" s="128">
        <f>IFERROR(AN368*$W368,)</f>
        <v/>
      </c>
      <c r="BZ368" s="128">
        <f>IFERROR(AO368*$W368,)</f>
        <v/>
      </c>
      <c r="CA368" s="128">
        <f>IFERROR(AP368*$W368,)</f>
        <v/>
      </c>
      <c r="CB368" s="128">
        <f>IFERROR(AQ368*$W368,)</f>
        <v/>
      </c>
      <c r="CC368" s="128">
        <f>IFERROR(AR368*$W368,)</f>
        <v/>
      </c>
      <c r="CD368" s="128">
        <f>IFERROR(AS368*$W368,)</f>
        <v/>
      </c>
      <c r="CE368" s="128">
        <f>IFERROR(AT368*$W368,)</f>
        <v/>
      </c>
      <c r="CF368" s="128">
        <f>IFERROR(AU368*$W368,)</f>
        <v/>
      </c>
      <c r="CG368" s="128">
        <f>IFERROR(AV368*$W368,)</f>
        <v/>
      </c>
      <c r="CH368" s="128">
        <f>IFERROR(AW368*$W368,)</f>
        <v/>
      </c>
      <c r="CI368" s="128">
        <f>IFERROR(AX368*$W368,)</f>
        <v/>
      </c>
      <c r="CJ368" s="128">
        <f>IFERROR(AY368*$W368,)</f>
        <v/>
      </c>
      <c r="CK368" s="128">
        <f>IFERROR(AZ368*$W368,)</f>
        <v/>
      </c>
      <c r="CL368" s="129">
        <f>IFERROR(if($Y368=0,BA368*($W368/1.2),BA368*$Y368),"")</f>
        <v/>
      </c>
      <c r="CM368" s="129">
        <f>IFERROR(if($Y368=0,BB368*($W368/1.2),BB368*$Y368),"")</f>
        <v/>
      </c>
      <c r="CN368" s="129">
        <f>IFERROR(if($Y368=0,BC368*($W368/1.2),BC368*$Y368),"")</f>
        <v/>
      </c>
      <c r="CO368" s="130">
        <f>IFERROR(if($AA368=0,($W368/1.35)*BD368,BD368*$AA368),)</f>
        <v/>
      </c>
      <c r="CP368" s="130">
        <f>IFERROR(if($AA368=0,($W368/1.35)*BE368,BE368*$AA368),)</f>
        <v/>
      </c>
      <c r="CQ368" s="130">
        <f>IFERROR(if($AA368=0,($W368/1.35)*BF368,BF368*$AA368),)</f>
        <v/>
      </c>
      <c r="CR368" s="128">
        <f>IFERROR(if($AC368=0,($W368/0.74)*BG368,
BG368*$AC368),)</f>
        <v/>
      </c>
      <c r="CS368" s="128">
        <f>IFERROR(if($AC368=0,($W368/0.74)*BH368,
BH368*$AC368),)</f>
        <v/>
      </c>
      <c r="CT368" s="128">
        <f>IFERROR(if($AC368=0,($W368/0.74)*BI368,
BI368*$AC368),)</f>
        <v/>
      </c>
      <c r="CU368" s="128">
        <f>IFERROR(AI368*$V368,)</f>
        <v/>
      </c>
      <c r="CV368" s="128">
        <f>IFERROR(AJ368*$V368,)</f>
        <v/>
      </c>
      <c r="CW368" s="128">
        <f>IFERROR(AK368*$V368,)</f>
        <v/>
      </c>
      <c r="CX368" s="128">
        <f>IFERROR(AL368*$V368,)</f>
        <v/>
      </c>
      <c r="CY368" s="128">
        <f>IFERROR(AM368*$V368,)</f>
        <v/>
      </c>
      <c r="CZ368" s="128">
        <f>IFERROR(AN368*$V368,)</f>
        <v/>
      </c>
      <c r="DA368" s="128">
        <f>IFERROR(AO368*$V368,)</f>
        <v/>
      </c>
      <c r="DB368" s="128">
        <f>IFERROR(AP368*$V368,)</f>
        <v/>
      </c>
      <c r="DC368" s="128">
        <f>IFERROR(AQ368*$V368,)</f>
        <v/>
      </c>
      <c r="DD368" s="128">
        <f>IFERROR(AR368*$V368,)</f>
        <v/>
      </c>
      <c r="DE368" s="128">
        <f>IFERROR(AS368*$V368,)</f>
        <v/>
      </c>
      <c r="DF368" s="128">
        <f>IFERROR(AT368*$V368,)</f>
        <v/>
      </c>
      <c r="DG368" s="128">
        <f>IFERROR(AU368*$V368,)</f>
        <v/>
      </c>
      <c r="DH368" s="128">
        <f>IFERROR(AV368*$V368,)</f>
        <v/>
      </c>
      <c r="DI368" s="128">
        <f>IFERROR(AW368*$V368,)</f>
        <v/>
      </c>
      <c r="DJ368" s="128">
        <f>IFERROR(AX368*$V368,)</f>
        <v/>
      </c>
      <c r="DK368" s="128">
        <f>IFERROR(AY368*$V368,)</f>
        <v/>
      </c>
      <c r="DL368" s="128">
        <f>IFERROR(AZ368*$V368,)</f>
        <v/>
      </c>
      <c r="DM368" s="129">
        <f>IFERROR(if($X368=0,($V368/1.2)*BA368,
BA368*$X368),)</f>
        <v/>
      </c>
      <c r="DN368" s="129">
        <f>IFERROR(if($X368=0,($V368/1.2)*BB368,
BB368*$X368),)</f>
        <v/>
      </c>
      <c r="DO368" s="129">
        <f>IFERROR(if($X368=0,($V368/1.2)*BC368,
BC368*$X368),)</f>
        <v/>
      </c>
      <c r="DP368" s="130">
        <f>IFERROR(if($Z368=0,($V368/1.35)*BD368,
BD368*$Z368),)</f>
        <v/>
      </c>
      <c r="DQ368" s="130">
        <f>IFERROR(if($Z368=0,($V368/1.35)*BE368,
BE368*$Z368),)</f>
        <v/>
      </c>
      <c r="DR368" s="130">
        <f>IFERROR(if($Z368=0,($V368/1.35)*BF368,
BF368*$Z368),)</f>
        <v/>
      </c>
      <c r="DS368" s="128">
        <f>IFERROR(IF($AB368=0,($V368/0.74)*BG368,
BG368*$AB368),)</f>
        <v/>
      </c>
      <c r="DT368" s="128">
        <f>IFERROR(IF($AB368=0,($V368/0.74)*BH368,
BH368*$AB368),)</f>
        <v/>
      </c>
      <c r="DU368" s="128">
        <f>IFERROR(IF($AB368=0,($V368/0.74)*BI368,
BI368*$AB368),)</f>
        <v/>
      </c>
    </row>
    <row r="369" ht="131.25" customHeight="1" s="162">
      <c r="A369" s="115" t="n"/>
      <c r="B369" s="115" t="n"/>
      <c r="C369" s="115" t="n"/>
      <c r="D369" s="115" t="n"/>
      <c r="E369" s="115" t="n"/>
      <c r="F369" s="115" t="n"/>
      <c r="G369" s="115" t="n"/>
      <c r="H369" s="115" t="n"/>
      <c r="I369" s="115" t="n"/>
      <c r="J369" s="115" t="n"/>
      <c r="K369" s="115" t="n"/>
      <c r="L369" s="115" t="n"/>
      <c r="M369" s="115" t="n"/>
      <c r="N369" s="115" t="n"/>
      <c r="O369" s="115" t="n"/>
      <c r="P369" s="115" t="n"/>
      <c r="Q369" s="115" t="n"/>
      <c r="R369" s="115" t="n"/>
      <c r="S369" s="115" t="n"/>
      <c r="T369" s="115" t="n"/>
      <c r="U369" s="116" t="n"/>
      <c r="V369" s="116" t="n"/>
      <c r="W369" s="117" t="n"/>
      <c r="X369" s="118" t="n"/>
      <c r="Y369" s="119" t="n"/>
      <c r="Z369" s="120" t="n"/>
      <c r="AA369" s="121" t="n"/>
      <c r="AB369" s="122" t="n"/>
      <c r="AC369" s="117" t="n"/>
      <c r="AD369" s="123">
        <f>IF(SUM($AE369:$AH369)=0,"",SUM($AE369:$AH369))</f>
        <v/>
      </c>
      <c r="AE369" s="123">
        <f>iferror(IF(SUM($AI369:$AZ369)=0,"",SUM($AI369:$AZ369)),"")</f>
        <v/>
      </c>
      <c r="AF369" s="123">
        <f>iferror(IF(SUM($BA369:$BC369)=0,"",SUM($BA369:$BC369)),"")</f>
        <v/>
      </c>
      <c r="AG369" s="123">
        <f>iferror(IF(SUM($BD369:$BF369)=0,"",SUM($BD369:$BF369)),"")</f>
        <v/>
      </c>
      <c r="AH369" s="124">
        <f>iferror(IF(SUM($BG369:$BI369)=0,"",SUM($BG369:$BI369)),"")</f>
        <v/>
      </c>
      <c r="AI369" s="131" t="n"/>
      <c r="AJ369" s="132" t="n"/>
      <c r="AK369" s="132" t="n"/>
      <c r="AL369" s="132" t="n"/>
      <c r="AM369" s="132" t="n"/>
      <c r="AN369" s="132" t="n"/>
      <c r="AO369" s="132" t="n"/>
      <c r="AP369" s="132" t="n"/>
      <c r="AQ369" s="132" t="n"/>
      <c r="AR369" s="132" t="n"/>
      <c r="AS369" s="132" t="n"/>
      <c r="AT369" s="132" t="n"/>
      <c r="AU369" s="132" t="n"/>
      <c r="AV369" s="132" t="n"/>
      <c r="AW369" s="132" t="n"/>
      <c r="AX369" s="132" t="n"/>
      <c r="AY369" s="132" t="n"/>
      <c r="AZ369" s="133" t="n"/>
      <c r="BA369" s="131" t="n"/>
      <c r="BB369" s="132" t="n"/>
      <c r="BC369" s="133" t="n"/>
      <c r="BD369" s="131" t="n"/>
      <c r="BE369" s="132" t="n"/>
      <c r="BF369" s="133" t="n"/>
      <c r="BG369" s="131" t="n"/>
      <c r="BH369" s="132" t="n"/>
      <c r="BI369" s="132" t="n"/>
      <c r="BJ369" s="128">
        <f>iferror(SUM($BK369,($BL369*1.2),($BM369*1.35),($BN369*0.74)),)</f>
        <v/>
      </c>
      <c r="BK369" s="128">
        <f>IFERROR(SUM($BT369:$CK369),)</f>
        <v/>
      </c>
      <c r="BL369" s="129">
        <f>IFERROR(SUM($CL369:$CN369),)</f>
        <v/>
      </c>
      <c r="BM369" s="130">
        <f>IFERROR(SUM($CO369:$CQ369),)</f>
        <v/>
      </c>
      <c r="BN369" s="128">
        <f>IFERROR(SUM($CR369:$CT369),)</f>
        <v/>
      </c>
      <c r="BO369" s="128">
        <f>iferror(SUM($BP369,($BQ369*1.2),($BR369*1.35),($BS369*0.74)),)</f>
        <v/>
      </c>
      <c r="BP369" s="128">
        <f>IFERROR(SUM($CU369:$DL369),)</f>
        <v/>
      </c>
      <c r="BQ369" s="128">
        <f>IFERROR(SUM($DM369:$DO369),)</f>
        <v/>
      </c>
      <c r="BR369" s="128">
        <f>IFERROR(SUM($DP369:$DR369),)</f>
        <v/>
      </c>
      <c r="BS369" s="128">
        <f>IFERROR(SUM($DS369:$DU369),)</f>
        <v/>
      </c>
      <c r="BT369" s="128">
        <f>IFERROR(AI369*$W369,)</f>
        <v/>
      </c>
      <c r="BU369" s="128">
        <f>IFERROR(AJ369*$W369,)</f>
        <v/>
      </c>
      <c r="BV369" s="128">
        <f>IFERROR(AK369*$W369,)</f>
        <v/>
      </c>
      <c r="BW369" s="128">
        <f>IFERROR(AL369*$W369,)</f>
        <v/>
      </c>
      <c r="BX369" s="128">
        <f>IFERROR(AM369*$W369,)</f>
        <v/>
      </c>
      <c r="BY369" s="128">
        <f>IFERROR(AN369*$W369,)</f>
        <v/>
      </c>
      <c r="BZ369" s="128">
        <f>IFERROR(AO369*$W369,)</f>
        <v/>
      </c>
      <c r="CA369" s="128">
        <f>IFERROR(AP369*$W369,)</f>
        <v/>
      </c>
      <c r="CB369" s="128">
        <f>IFERROR(AQ369*$W369,)</f>
        <v/>
      </c>
      <c r="CC369" s="128">
        <f>IFERROR(AR369*$W369,)</f>
        <v/>
      </c>
      <c r="CD369" s="128">
        <f>IFERROR(AS369*$W369,)</f>
        <v/>
      </c>
      <c r="CE369" s="128">
        <f>IFERROR(AT369*$W369,)</f>
        <v/>
      </c>
      <c r="CF369" s="128">
        <f>IFERROR(AU369*$W369,)</f>
        <v/>
      </c>
      <c r="CG369" s="128">
        <f>IFERROR(AV369*$W369,)</f>
        <v/>
      </c>
      <c r="CH369" s="128">
        <f>IFERROR(AW369*$W369,)</f>
        <v/>
      </c>
      <c r="CI369" s="128">
        <f>IFERROR(AX369*$W369,)</f>
        <v/>
      </c>
      <c r="CJ369" s="128">
        <f>IFERROR(AY369*$W369,)</f>
        <v/>
      </c>
      <c r="CK369" s="128">
        <f>IFERROR(AZ369*$W369,)</f>
        <v/>
      </c>
      <c r="CL369" s="129">
        <f>IFERROR(if($Y369=0,BA369*($W369/1.2),BA369*$Y369),"")</f>
        <v/>
      </c>
      <c r="CM369" s="129">
        <f>IFERROR(if($Y369=0,BB369*($W369/1.2),BB369*$Y369),"")</f>
        <v/>
      </c>
      <c r="CN369" s="129">
        <f>IFERROR(if($Y369=0,BC369*($W369/1.2),BC369*$Y369),"")</f>
        <v/>
      </c>
      <c r="CO369" s="130">
        <f>IFERROR(if($AA369=0,($W369/1.35)*BD369,BD369*$AA369),)</f>
        <v/>
      </c>
      <c r="CP369" s="130">
        <f>IFERROR(if($AA369=0,($W369/1.35)*BE369,BE369*$AA369),)</f>
        <v/>
      </c>
      <c r="CQ369" s="130">
        <f>IFERROR(if($AA369=0,($W369/1.35)*BF369,BF369*$AA369),)</f>
        <v/>
      </c>
      <c r="CR369" s="128">
        <f>IFERROR(if($AC369=0,($W369/0.74)*BG369,
BG369*$AC369),)</f>
        <v/>
      </c>
      <c r="CS369" s="128">
        <f>IFERROR(if($AC369=0,($W369/0.74)*BH369,
BH369*$AC369),)</f>
        <v/>
      </c>
      <c r="CT369" s="128">
        <f>IFERROR(if($AC369=0,($W369/0.74)*BI369,
BI369*$AC369),)</f>
        <v/>
      </c>
      <c r="CU369" s="128">
        <f>IFERROR(AI369*$V369,)</f>
        <v/>
      </c>
      <c r="CV369" s="128">
        <f>IFERROR(AJ369*$V369,)</f>
        <v/>
      </c>
      <c r="CW369" s="128">
        <f>IFERROR(AK369*$V369,)</f>
        <v/>
      </c>
      <c r="CX369" s="128">
        <f>IFERROR(AL369*$V369,)</f>
        <v/>
      </c>
      <c r="CY369" s="128">
        <f>IFERROR(AM369*$V369,)</f>
        <v/>
      </c>
      <c r="CZ369" s="128">
        <f>IFERROR(AN369*$V369,)</f>
        <v/>
      </c>
      <c r="DA369" s="128">
        <f>IFERROR(AO369*$V369,)</f>
        <v/>
      </c>
      <c r="DB369" s="128">
        <f>IFERROR(AP369*$V369,)</f>
        <v/>
      </c>
      <c r="DC369" s="128">
        <f>IFERROR(AQ369*$V369,)</f>
        <v/>
      </c>
      <c r="DD369" s="128">
        <f>IFERROR(AR369*$V369,)</f>
        <v/>
      </c>
      <c r="DE369" s="128">
        <f>IFERROR(AS369*$V369,)</f>
        <v/>
      </c>
      <c r="DF369" s="128">
        <f>IFERROR(AT369*$V369,)</f>
        <v/>
      </c>
      <c r="DG369" s="128">
        <f>IFERROR(AU369*$V369,)</f>
        <v/>
      </c>
      <c r="DH369" s="128">
        <f>IFERROR(AV369*$V369,)</f>
        <v/>
      </c>
      <c r="DI369" s="128">
        <f>IFERROR(AW369*$V369,)</f>
        <v/>
      </c>
      <c r="DJ369" s="128">
        <f>IFERROR(AX369*$V369,)</f>
        <v/>
      </c>
      <c r="DK369" s="128">
        <f>IFERROR(AY369*$V369,)</f>
        <v/>
      </c>
      <c r="DL369" s="128">
        <f>IFERROR(AZ369*$V369,)</f>
        <v/>
      </c>
      <c r="DM369" s="129">
        <f>IFERROR(if($X369=0,($V369/1.2)*BA369,
BA369*$X369),)</f>
        <v/>
      </c>
      <c r="DN369" s="129">
        <f>IFERROR(if($X369=0,($V369/1.2)*BB369,
BB369*$X369),)</f>
        <v/>
      </c>
      <c r="DO369" s="129">
        <f>IFERROR(if($X369=0,($V369/1.2)*BC369,
BC369*$X369),)</f>
        <v/>
      </c>
      <c r="DP369" s="130">
        <f>IFERROR(if($Z369=0,($V369/1.35)*BD369,
BD369*$Z369),)</f>
        <v/>
      </c>
      <c r="DQ369" s="130">
        <f>IFERROR(if($Z369=0,($V369/1.35)*BE369,
BE369*$Z369),)</f>
        <v/>
      </c>
      <c r="DR369" s="130">
        <f>IFERROR(if($Z369=0,($V369/1.35)*BF369,
BF369*$Z369),)</f>
        <v/>
      </c>
      <c r="DS369" s="128">
        <f>IFERROR(IF($AB369=0,($V369/0.74)*BG369,
BG369*$AB369),)</f>
        <v/>
      </c>
      <c r="DT369" s="128">
        <f>IFERROR(IF($AB369=0,($V369/0.74)*BH369,
BH369*$AB369),)</f>
        <v/>
      </c>
      <c r="DU369" s="128">
        <f>IFERROR(IF($AB369=0,($V369/0.74)*BI369,
BI369*$AB369),)</f>
        <v/>
      </c>
    </row>
    <row r="370" ht="131.25" customHeight="1" s="162">
      <c r="A370" s="115" t="n"/>
      <c r="B370" s="115" t="n"/>
      <c r="C370" s="115" t="n"/>
      <c r="D370" s="115" t="n"/>
      <c r="E370" s="115" t="n"/>
      <c r="F370" s="115" t="n"/>
      <c r="G370" s="115" t="n"/>
      <c r="H370" s="115" t="n"/>
      <c r="I370" s="115" t="n"/>
      <c r="J370" s="115" t="n"/>
      <c r="K370" s="115" t="n"/>
      <c r="L370" s="115" t="n"/>
      <c r="M370" s="115" t="n"/>
      <c r="N370" s="115" t="n"/>
      <c r="O370" s="115" t="n"/>
      <c r="P370" s="115" t="n"/>
      <c r="Q370" s="115" t="n"/>
      <c r="R370" s="115" t="n"/>
      <c r="S370" s="115" t="n"/>
      <c r="T370" s="115" t="n"/>
      <c r="U370" s="116" t="n"/>
      <c r="V370" s="116" t="n"/>
      <c r="W370" s="117" t="n"/>
      <c r="X370" s="118" t="n"/>
      <c r="Y370" s="119" t="n"/>
      <c r="Z370" s="120" t="n"/>
      <c r="AA370" s="121" t="n"/>
      <c r="AB370" s="122" t="n"/>
      <c r="AC370" s="117" t="n"/>
      <c r="AD370" s="123">
        <f>IF(SUM($AE370:$AH370)=0,"",SUM($AE370:$AH370))</f>
        <v/>
      </c>
      <c r="AE370" s="123">
        <f>iferror(IF(SUM($AI370:$AZ370)=0,"",SUM($AI370:$AZ370)),"")</f>
        <v/>
      </c>
      <c r="AF370" s="123">
        <f>iferror(IF(SUM($BA370:$BC370)=0,"",SUM($BA370:$BC370)),"")</f>
        <v/>
      </c>
      <c r="AG370" s="123">
        <f>iferror(IF(SUM($BD370:$BF370)=0,"",SUM($BD370:$BF370)),"")</f>
        <v/>
      </c>
      <c r="AH370" s="124">
        <f>iferror(IF(SUM($BG370:$BI370)=0,"",SUM($BG370:$BI370)),"")</f>
        <v/>
      </c>
      <c r="AI370" s="131" t="n"/>
      <c r="AJ370" s="132" t="n"/>
      <c r="AK370" s="132" t="n"/>
      <c r="AL370" s="132" t="n"/>
      <c r="AM370" s="132" t="n"/>
      <c r="AN370" s="132" t="n"/>
      <c r="AO370" s="132" t="n"/>
      <c r="AP370" s="132" t="n"/>
      <c r="AQ370" s="132" t="n"/>
      <c r="AR370" s="132" t="n"/>
      <c r="AS370" s="132" t="n"/>
      <c r="AT370" s="132" t="n"/>
      <c r="AU370" s="132" t="n"/>
      <c r="AV370" s="132" t="n"/>
      <c r="AW370" s="132" t="n"/>
      <c r="AX370" s="132" t="n"/>
      <c r="AY370" s="132" t="n"/>
      <c r="AZ370" s="133" t="n"/>
      <c r="BA370" s="131" t="n"/>
      <c r="BB370" s="132" t="n"/>
      <c r="BC370" s="133" t="n"/>
      <c r="BD370" s="131" t="n"/>
      <c r="BE370" s="132" t="n"/>
      <c r="BF370" s="133" t="n"/>
      <c r="BG370" s="131" t="n"/>
      <c r="BH370" s="132" t="n"/>
      <c r="BI370" s="132" t="n"/>
      <c r="BJ370" s="128">
        <f>iferror(SUM($BK370,($BL370*1.2),($BM370*1.35),($BN370*0.74)),)</f>
        <v/>
      </c>
      <c r="BK370" s="128">
        <f>IFERROR(SUM($BT370:$CK370),)</f>
        <v/>
      </c>
      <c r="BL370" s="129">
        <f>IFERROR(SUM($CL370:$CN370),)</f>
        <v/>
      </c>
      <c r="BM370" s="130">
        <f>IFERROR(SUM($CO370:$CQ370),)</f>
        <v/>
      </c>
      <c r="BN370" s="128">
        <f>IFERROR(SUM($CR370:$CT370),)</f>
        <v/>
      </c>
      <c r="BO370" s="128">
        <f>iferror(SUM($BP370,($BQ370*1.2),($BR370*1.35),($BS370*0.74)),)</f>
        <v/>
      </c>
      <c r="BP370" s="128">
        <f>IFERROR(SUM($CU370:$DL370),)</f>
        <v/>
      </c>
      <c r="BQ370" s="128">
        <f>IFERROR(SUM($DM370:$DO370),)</f>
        <v/>
      </c>
      <c r="BR370" s="128">
        <f>IFERROR(SUM($DP370:$DR370),)</f>
        <v/>
      </c>
      <c r="BS370" s="128">
        <f>IFERROR(SUM($DS370:$DU370),)</f>
        <v/>
      </c>
      <c r="BT370" s="128">
        <f>IFERROR(AI370*$W370,)</f>
        <v/>
      </c>
      <c r="BU370" s="128">
        <f>IFERROR(AJ370*$W370,)</f>
        <v/>
      </c>
      <c r="BV370" s="128">
        <f>IFERROR(AK370*$W370,)</f>
        <v/>
      </c>
      <c r="BW370" s="128">
        <f>IFERROR(AL370*$W370,)</f>
        <v/>
      </c>
      <c r="BX370" s="128">
        <f>IFERROR(AM370*$W370,)</f>
        <v/>
      </c>
      <c r="BY370" s="128">
        <f>IFERROR(AN370*$W370,)</f>
        <v/>
      </c>
      <c r="BZ370" s="128">
        <f>IFERROR(AO370*$W370,)</f>
        <v/>
      </c>
      <c r="CA370" s="128">
        <f>IFERROR(AP370*$W370,)</f>
        <v/>
      </c>
      <c r="CB370" s="128">
        <f>IFERROR(AQ370*$W370,)</f>
        <v/>
      </c>
      <c r="CC370" s="128">
        <f>IFERROR(AR370*$W370,)</f>
        <v/>
      </c>
      <c r="CD370" s="128">
        <f>IFERROR(AS370*$W370,)</f>
        <v/>
      </c>
      <c r="CE370" s="128">
        <f>IFERROR(AT370*$W370,)</f>
        <v/>
      </c>
      <c r="CF370" s="128">
        <f>IFERROR(AU370*$W370,)</f>
        <v/>
      </c>
      <c r="CG370" s="128">
        <f>IFERROR(AV370*$W370,)</f>
        <v/>
      </c>
      <c r="CH370" s="128">
        <f>IFERROR(AW370*$W370,)</f>
        <v/>
      </c>
      <c r="CI370" s="128">
        <f>IFERROR(AX370*$W370,)</f>
        <v/>
      </c>
      <c r="CJ370" s="128">
        <f>IFERROR(AY370*$W370,)</f>
        <v/>
      </c>
      <c r="CK370" s="128">
        <f>IFERROR(AZ370*$W370,)</f>
        <v/>
      </c>
      <c r="CL370" s="129">
        <f>IFERROR(if($Y370=0,BA370*($W370/1.2),BA370*$Y370),"")</f>
        <v/>
      </c>
      <c r="CM370" s="129">
        <f>IFERROR(if($Y370=0,BB370*($W370/1.2),BB370*$Y370),"")</f>
        <v/>
      </c>
      <c r="CN370" s="129">
        <f>IFERROR(if($Y370=0,BC370*($W370/1.2),BC370*$Y370),"")</f>
        <v/>
      </c>
      <c r="CO370" s="130">
        <f>IFERROR(if($AA370=0,($W370/1.35)*BD370,BD370*$AA370),)</f>
        <v/>
      </c>
      <c r="CP370" s="130">
        <f>IFERROR(if($AA370=0,($W370/1.35)*BE370,BE370*$AA370),)</f>
        <v/>
      </c>
      <c r="CQ370" s="130">
        <f>IFERROR(if($AA370=0,($W370/1.35)*BF370,BF370*$AA370),)</f>
        <v/>
      </c>
      <c r="CR370" s="128">
        <f>IFERROR(if($AC370=0,($W370/0.74)*BG370,
BG370*$AC370),)</f>
        <v/>
      </c>
      <c r="CS370" s="128">
        <f>IFERROR(if($AC370=0,($W370/0.74)*BH370,
BH370*$AC370),)</f>
        <v/>
      </c>
      <c r="CT370" s="128">
        <f>IFERROR(if($AC370=0,($W370/0.74)*BI370,
BI370*$AC370),)</f>
        <v/>
      </c>
      <c r="CU370" s="128">
        <f>IFERROR(AI370*$V370,)</f>
        <v/>
      </c>
      <c r="CV370" s="128">
        <f>IFERROR(AJ370*$V370,)</f>
        <v/>
      </c>
      <c r="CW370" s="128">
        <f>IFERROR(AK370*$V370,)</f>
        <v/>
      </c>
      <c r="CX370" s="128">
        <f>IFERROR(AL370*$V370,)</f>
        <v/>
      </c>
      <c r="CY370" s="128">
        <f>IFERROR(AM370*$V370,)</f>
        <v/>
      </c>
      <c r="CZ370" s="128">
        <f>IFERROR(AN370*$V370,)</f>
        <v/>
      </c>
      <c r="DA370" s="128">
        <f>IFERROR(AO370*$V370,)</f>
        <v/>
      </c>
      <c r="DB370" s="128">
        <f>IFERROR(AP370*$V370,)</f>
        <v/>
      </c>
      <c r="DC370" s="128">
        <f>IFERROR(AQ370*$V370,)</f>
        <v/>
      </c>
      <c r="DD370" s="128">
        <f>IFERROR(AR370*$V370,)</f>
        <v/>
      </c>
      <c r="DE370" s="128">
        <f>IFERROR(AS370*$V370,)</f>
        <v/>
      </c>
      <c r="DF370" s="128">
        <f>IFERROR(AT370*$V370,)</f>
        <v/>
      </c>
      <c r="DG370" s="128">
        <f>IFERROR(AU370*$V370,)</f>
        <v/>
      </c>
      <c r="DH370" s="128">
        <f>IFERROR(AV370*$V370,)</f>
        <v/>
      </c>
      <c r="DI370" s="128">
        <f>IFERROR(AW370*$V370,)</f>
        <v/>
      </c>
      <c r="DJ370" s="128">
        <f>IFERROR(AX370*$V370,)</f>
        <v/>
      </c>
      <c r="DK370" s="128">
        <f>IFERROR(AY370*$V370,)</f>
        <v/>
      </c>
      <c r="DL370" s="128">
        <f>IFERROR(AZ370*$V370,)</f>
        <v/>
      </c>
      <c r="DM370" s="129">
        <f>IFERROR(if($X370=0,($V370/1.2)*BA370,
BA370*$X370),)</f>
        <v/>
      </c>
      <c r="DN370" s="129">
        <f>IFERROR(if($X370=0,($V370/1.2)*BB370,
BB370*$X370),)</f>
        <v/>
      </c>
      <c r="DO370" s="129">
        <f>IFERROR(if($X370=0,($V370/1.2)*BC370,
BC370*$X370),)</f>
        <v/>
      </c>
      <c r="DP370" s="130">
        <f>IFERROR(if($Z370=0,($V370/1.35)*BD370,
BD370*$Z370),)</f>
        <v/>
      </c>
      <c r="DQ370" s="130">
        <f>IFERROR(if($Z370=0,($V370/1.35)*BE370,
BE370*$Z370),)</f>
        <v/>
      </c>
      <c r="DR370" s="130">
        <f>IFERROR(if($Z370=0,($V370/1.35)*BF370,
BF370*$Z370),)</f>
        <v/>
      </c>
      <c r="DS370" s="128">
        <f>IFERROR(IF($AB370=0,($V370/0.74)*BG370,
BG370*$AB370),)</f>
        <v/>
      </c>
      <c r="DT370" s="128">
        <f>IFERROR(IF($AB370=0,($V370/0.74)*BH370,
BH370*$AB370),)</f>
        <v/>
      </c>
      <c r="DU370" s="128">
        <f>IFERROR(IF($AB370=0,($V370/0.74)*BI370,
BI370*$AB370),)</f>
        <v/>
      </c>
    </row>
    <row r="371" ht="131.25" customHeight="1" s="162">
      <c r="A371" s="115" t="n"/>
      <c r="B371" s="115" t="n"/>
      <c r="C371" s="115" t="n"/>
      <c r="D371" s="115" t="n"/>
      <c r="E371" s="115" t="n"/>
      <c r="F371" s="115" t="n"/>
      <c r="G371" s="115" t="n"/>
      <c r="H371" s="115" t="n"/>
      <c r="I371" s="115" t="n"/>
      <c r="J371" s="115" t="n"/>
      <c r="K371" s="115" t="n"/>
      <c r="L371" s="115" t="n"/>
      <c r="M371" s="115" t="n"/>
      <c r="N371" s="115" t="n"/>
      <c r="O371" s="115" t="n"/>
      <c r="P371" s="115" t="n"/>
      <c r="Q371" s="115" t="n"/>
      <c r="R371" s="115" t="n"/>
      <c r="S371" s="115" t="n"/>
      <c r="T371" s="115" t="n"/>
      <c r="U371" s="116" t="n"/>
      <c r="V371" s="116" t="n"/>
      <c r="W371" s="117" t="n"/>
      <c r="X371" s="118" t="n"/>
      <c r="Y371" s="119" t="n"/>
      <c r="Z371" s="120" t="n"/>
      <c r="AA371" s="121" t="n"/>
      <c r="AB371" s="122" t="n"/>
      <c r="AC371" s="117" t="n"/>
      <c r="AD371" s="123">
        <f>IF(SUM($AE371:$AH371)=0,"",SUM($AE371:$AH371))</f>
        <v/>
      </c>
      <c r="AE371" s="123">
        <f>iferror(IF(SUM($AI371:$AZ371)=0,"",SUM($AI371:$AZ371)),"")</f>
        <v/>
      </c>
      <c r="AF371" s="123">
        <f>iferror(IF(SUM($BA371:$BC371)=0,"",SUM($BA371:$BC371)),"")</f>
        <v/>
      </c>
      <c r="AG371" s="123">
        <f>iferror(IF(SUM($BD371:$BF371)=0,"",SUM($BD371:$BF371)),"")</f>
        <v/>
      </c>
      <c r="AH371" s="124">
        <f>iferror(IF(SUM($BG371:$BI371)=0,"",SUM($BG371:$BI371)),"")</f>
        <v/>
      </c>
      <c r="AI371" s="131" t="n"/>
      <c r="AJ371" s="132" t="n"/>
      <c r="AK371" s="132" t="n"/>
      <c r="AL371" s="132" t="n"/>
      <c r="AM371" s="132" t="n"/>
      <c r="AN371" s="132" t="n"/>
      <c r="AO371" s="132" t="n"/>
      <c r="AP371" s="132" t="n"/>
      <c r="AQ371" s="132" t="n"/>
      <c r="AR371" s="132" t="n"/>
      <c r="AS371" s="132" t="n"/>
      <c r="AT371" s="132" t="n"/>
      <c r="AU371" s="132" t="n"/>
      <c r="AV371" s="132" t="n"/>
      <c r="AW371" s="132" t="n"/>
      <c r="AX371" s="132" t="n"/>
      <c r="AY371" s="132" t="n"/>
      <c r="AZ371" s="133" t="n"/>
      <c r="BA371" s="131" t="n"/>
      <c r="BB371" s="132" t="n"/>
      <c r="BC371" s="133" t="n"/>
      <c r="BD371" s="131" t="n"/>
      <c r="BE371" s="132" t="n"/>
      <c r="BF371" s="133" t="n"/>
      <c r="BG371" s="131" t="n"/>
      <c r="BH371" s="132" t="n"/>
      <c r="BI371" s="132" t="n"/>
      <c r="BJ371" s="128">
        <f>iferror(SUM($BK371,($BL371*1.2),($BM371*1.35),($BN371*0.74)),)</f>
        <v/>
      </c>
      <c r="BK371" s="128">
        <f>IFERROR(SUM($BT371:$CK371),)</f>
        <v/>
      </c>
      <c r="BL371" s="129">
        <f>IFERROR(SUM($CL371:$CN371),)</f>
        <v/>
      </c>
      <c r="BM371" s="130">
        <f>IFERROR(SUM($CO371:$CQ371),)</f>
        <v/>
      </c>
      <c r="BN371" s="128">
        <f>IFERROR(SUM($CR371:$CT371),)</f>
        <v/>
      </c>
      <c r="BO371" s="128">
        <f>iferror(SUM($BP371,($BQ371*1.2),($BR371*1.35),($BS371*0.74)),)</f>
        <v/>
      </c>
      <c r="BP371" s="128">
        <f>IFERROR(SUM($CU371:$DL371),)</f>
        <v/>
      </c>
      <c r="BQ371" s="128">
        <f>IFERROR(SUM($DM371:$DO371),)</f>
        <v/>
      </c>
      <c r="BR371" s="128">
        <f>IFERROR(SUM($DP371:$DR371),)</f>
        <v/>
      </c>
      <c r="BS371" s="128">
        <f>IFERROR(SUM($DS371:$DU371),)</f>
        <v/>
      </c>
      <c r="BT371" s="128">
        <f>IFERROR(AI371*$W371,)</f>
        <v/>
      </c>
      <c r="BU371" s="128">
        <f>IFERROR(AJ371*$W371,)</f>
        <v/>
      </c>
      <c r="BV371" s="128">
        <f>IFERROR(AK371*$W371,)</f>
        <v/>
      </c>
      <c r="BW371" s="128">
        <f>IFERROR(AL371*$W371,)</f>
        <v/>
      </c>
      <c r="BX371" s="128">
        <f>IFERROR(AM371*$W371,)</f>
        <v/>
      </c>
      <c r="BY371" s="128">
        <f>IFERROR(AN371*$W371,)</f>
        <v/>
      </c>
      <c r="BZ371" s="128">
        <f>IFERROR(AO371*$W371,)</f>
        <v/>
      </c>
      <c r="CA371" s="128">
        <f>IFERROR(AP371*$W371,)</f>
        <v/>
      </c>
      <c r="CB371" s="128">
        <f>IFERROR(AQ371*$W371,)</f>
        <v/>
      </c>
      <c r="CC371" s="128">
        <f>IFERROR(AR371*$W371,)</f>
        <v/>
      </c>
      <c r="CD371" s="128">
        <f>IFERROR(AS371*$W371,)</f>
        <v/>
      </c>
      <c r="CE371" s="128">
        <f>IFERROR(AT371*$W371,)</f>
        <v/>
      </c>
      <c r="CF371" s="128">
        <f>IFERROR(AU371*$W371,)</f>
        <v/>
      </c>
      <c r="CG371" s="128">
        <f>IFERROR(AV371*$W371,)</f>
        <v/>
      </c>
      <c r="CH371" s="128">
        <f>IFERROR(AW371*$W371,)</f>
        <v/>
      </c>
      <c r="CI371" s="128">
        <f>IFERROR(AX371*$W371,)</f>
        <v/>
      </c>
      <c r="CJ371" s="128">
        <f>IFERROR(AY371*$W371,)</f>
        <v/>
      </c>
      <c r="CK371" s="128">
        <f>IFERROR(AZ371*$W371,)</f>
        <v/>
      </c>
      <c r="CL371" s="129">
        <f>IFERROR(if($Y371=0,BA371*($W371/1.2),BA371*$Y371),"")</f>
        <v/>
      </c>
      <c r="CM371" s="129">
        <f>IFERROR(if($Y371=0,BB371*($W371/1.2),BB371*$Y371),"")</f>
        <v/>
      </c>
      <c r="CN371" s="129">
        <f>IFERROR(if($Y371=0,BC371*($W371/1.2),BC371*$Y371),"")</f>
        <v/>
      </c>
      <c r="CO371" s="130">
        <f>IFERROR(if($AA371=0,($W371/1.35)*BD371,BD371*$AA371),)</f>
        <v/>
      </c>
      <c r="CP371" s="130">
        <f>IFERROR(if($AA371=0,($W371/1.35)*BE371,BE371*$AA371),)</f>
        <v/>
      </c>
      <c r="CQ371" s="130">
        <f>IFERROR(if($AA371=0,($W371/1.35)*BF371,BF371*$AA371),)</f>
        <v/>
      </c>
      <c r="CR371" s="128">
        <f>IFERROR(if($AC371=0,($W371/0.74)*BG371,
BG371*$AC371),)</f>
        <v/>
      </c>
      <c r="CS371" s="128">
        <f>IFERROR(if($AC371=0,($W371/0.74)*BH371,
BH371*$AC371),)</f>
        <v/>
      </c>
      <c r="CT371" s="128">
        <f>IFERROR(if($AC371=0,($W371/0.74)*BI371,
BI371*$AC371),)</f>
        <v/>
      </c>
      <c r="CU371" s="128">
        <f>IFERROR(AI371*$V371,)</f>
        <v/>
      </c>
      <c r="CV371" s="128">
        <f>IFERROR(AJ371*$V371,)</f>
        <v/>
      </c>
      <c r="CW371" s="128">
        <f>IFERROR(AK371*$V371,)</f>
        <v/>
      </c>
      <c r="CX371" s="128">
        <f>IFERROR(AL371*$V371,)</f>
        <v/>
      </c>
      <c r="CY371" s="128">
        <f>IFERROR(AM371*$V371,)</f>
        <v/>
      </c>
      <c r="CZ371" s="128">
        <f>IFERROR(AN371*$V371,)</f>
        <v/>
      </c>
      <c r="DA371" s="128">
        <f>IFERROR(AO371*$V371,)</f>
        <v/>
      </c>
      <c r="DB371" s="128">
        <f>IFERROR(AP371*$V371,)</f>
        <v/>
      </c>
      <c r="DC371" s="128">
        <f>IFERROR(AQ371*$V371,)</f>
        <v/>
      </c>
      <c r="DD371" s="128">
        <f>IFERROR(AR371*$V371,)</f>
        <v/>
      </c>
      <c r="DE371" s="128">
        <f>IFERROR(AS371*$V371,)</f>
        <v/>
      </c>
      <c r="DF371" s="128">
        <f>IFERROR(AT371*$V371,)</f>
        <v/>
      </c>
      <c r="DG371" s="128">
        <f>IFERROR(AU371*$V371,)</f>
        <v/>
      </c>
      <c r="DH371" s="128">
        <f>IFERROR(AV371*$V371,)</f>
        <v/>
      </c>
      <c r="DI371" s="128">
        <f>IFERROR(AW371*$V371,)</f>
        <v/>
      </c>
      <c r="DJ371" s="128">
        <f>IFERROR(AX371*$V371,)</f>
        <v/>
      </c>
      <c r="DK371" s="128">
        <f>IFERROR(AY371*$V371,)</f>
        <v/>
      </c>
      <c r="DL371" s="128">
        <f>IFERROR(AZ371*$V371,)</f>
        <v/>
      </c>
      <c r="DM371" s="129">
        <f>IFERROR(if($X371=0,($V371/1.2)*BA371,
BA371*$X371),)</f>
        <v/>
      </c>
      <c r="DN371" s="129">
        <f>IFERROR(if($X371=0,($V371/1.2)*BB371,
BB371*$X371),)</f>
        <v/>
      </c>
      <c r="DO371" s="129">
        <f>IFERROR(if($X371=0,($V371/1.2)*BC371,
BC371*$X371),)</f>
        <v/>
      </c>
      <c r="DP371" s="130">
        <f>IFERROR(if($Z371=0,($V371/1.35)*BD371,
BD371*$Z371),)</f>
        <v/>
      </c>
      <c r="DQ371" s="130">
        <f>IFERROR(if($Z371=0,($V371/1.35)*BE371,
BE371*$Z371),)</f>
        <v/>
      </c>
      <c r="DR371" s="130">
        <f>IFERROR(if($Z371=0,($V371/1.35)*BF371,
BF371*$Z371),)</f>
        <v/>
      </c>
      <c r="DS371" s="128">
        <f>IFERROR(IF($AB371=0,($V371/0.74)*BG371,
BG371*$AB371),)</f>
        <v/>
      </c>
      <c r="DT371" s="128">
        <f>IFERROR(IF($AB371=0,($V371/0.74)*BH371,
BH371*$AB371),)</f>
        <v/>
      </c>
      <c r="DU371" s="128">
        <f>IFERROR(IF($AB371=0,($V371/0.74)*BI371,
BI371*$AB371),)</f>
        <v/>
      </c>
    </row>
    <row r="372" ht="131.25" customHeight="1" s="162">
      <c r="A372" s="115" t="n"/>
      <c r="B372" s="115" t="n"/>
      <c r="C372" s="115" t="n"/>
      <c r="D372" s="115" t="n"/>
      <c r="E372" s="115" t="n"/>
      <c r="F372" s="115" t="n"/>
      <c r="G372" s="115" t="n"/>
      <c r="H372" s="115" t="n"/>
      <c r="I372" s="115" t="n"/>
      <c r="J372" s="115" t="n"/>
      <c r="K372" s="115" t="n"/>
      <c r="L372" s="115" t="n"/>
      <c r="M372" s="115" t="n"/>
      <c r="N372" s="115" t="n"/>
      <c r="O372" s="115" t="n"/>
      <c r="P372" s="115" t="n"/>
      <c r="Q372" s="115" t="n"/>
      <c r="R372" s="115" t="n"/>
      <c r="S372" s="115" t="n"/>
      <c r="T372" s="115" t="n"/>
      <c r="U372" s="116" t="n"/>
      <c r="V372" s="116" t="n"/>
      <c r="W372" s="117" t="n"/>
      <c r="X372" s="118" t="n"/>
      <c r="Y372" s="119" t="n"/>
      <c r="Z372" s="120" t="n"/>
      <c r="AA372" s="121" t="n"/>
      <c r="AB372" s="122" t="n"/>
      <c r="AC372" s="117" t="n"/>
      <c r="AD372" s="123">
        <f>IF(SUM($AE372:$AH372)=0,"",SUM($AE372:$AH372))</f>
        <v/>
      </c>
      <c r="AE372" s="123">
        <f>iferror(IF(SUM($AI372:$AZ372)=0,"",SUM($AI372:$AZ372)),"")</f>
        <v/>
      </c>
      <c r="AF372" s="123">
        <f>iferror(IF(SUM($BA372:$BC372)=0,"",SUM($BA372:$BC372)),"")</f>
        <v/>
      </c>
      <c r="AG372" s="123">
        <f>iferror(IF(SUM($BD372:$BF372)=0,"",SUM($BD372:$BF372)),"")</f>
        <v/>
      </c>
      <c r="AH372" s="124">
        <f>iferror(IF(SUM($BG372:$BI372)=0,"",SUM($BG372:$BI372)),"")</f>
        <v/>
      </c>
      <c r="AI372" s="131" t="n"/>
      <c r="AJ372" s="132" t="n"/>
      <c r="AK372" s="132" t="n"/>
      <c r="AL372" s="132" t="n"/>
      <c r="AM372" s="132" t="n"/>
      <c r="AN372" s="132" t="n"/>
      <c r="AO372" s="132" t="n"/>
      <c r="AP372" s="132" t="n"/>
      <c r="AQ372" s="132" t="n"/>
      <c r="AR372" s="132" t="n"/>
      <c r="AS372" s="132" t="n"/>
      <c r="AT372" s="132" t="n"/>
      <c r="AU372" s="132" t="n"/>
      <c r="AV372" s="132" t="n"/>
      <c r="AW372" s="132" t="n"/>
      <c r="AX372" s="132" t="n"/>
      <c r="AY372" s="132" t="n"/>
      <c r="AZ372" s="133" t="n"/>
      <c r="BA372" s="131" t="n"/>
      <c r="BB372" s="132" t="n"/>
      <c r="BC372" s="133" t="n"/>
      <c r="BD372" s="131" t="n"/>
      <c r="BE372" s="132" t="n"/>
      <c r="BF372" s="133" t="n"/>
      <c r="BG372" s="131" t="n"/>
      <c r="BH372" s="132" t="n"/>
      <c r="BI372" s="132" t="n"/>
      <c r="BJ372" s="128">
        <f>iferror(SUM($BK372,($BL372*1.2),($BM372*1.35),($BN372*0.74)),)</f>
        <v/>
      </c>
      <c r="BK372" s="128">
        <f>IFERROR(SUM($BT372:$CK372),)</f>
        <v/>
      </c>
      <c r="BL372" s="129">
        <f>IFERROR(SUM($CL372:$CN372),)</f>
        <v/>
      </c>
      <c r="BM372" s="130">
        <f>IFERROR(SUM($CO372:$CQ372),)</f>
        <v/>
      </c>
      <c r="BN372" s="128">
        <f>IFERROR(SUM($CR372:$CT372),)</f>
        <v/>
      </c>
      <c r="BO372" s="128">
        <f>iferror(SUM($BP372,($BQ372*1.2),($BR372*1.35),($BS372*0.74)),)</f>
        <v/>
      </c>
      <c r="BP372" s="128">
        <f>IFERROR(SUM($CU372:$DL372),)</f>
        <v/>
      </c>
      <c r="BQ372" s="128">
        <f>IFERROR(SUM($DM372:$DO372),)</f>
        <v/>
      </c>
      <c r="BR372" s="128">
        <f>IFERROR(SUM($DP372:$DR372),)</f>
        <v/>
      </c>
      <c r="BS372" s="128">
        <f>IFERROR(SUM($DS372:$DU372),)</f>
        <v/>
      </c>
      <c r="BT372" s="128">
        <f>IFERROR(AI372*$W372,)</f>
        <v/>
      </c>
      <c r="BU372" s="128">
        <f>IFERROR(AJ372*$W372,)</f>
        <v/>
      </c>
      <c r="BV372" s="128">
        <f>IFERROR(AK372*$W372,)</f>
        <v/>
      </c>
      <c r="BW372" s="128">
        <f>IFERROR(AL372*$W372,)</f>
        <v/>
      </c>
      <c r="BX372" s="128">
        <f>IFERROR(AM372*$W372,)</f>
        <v/>
      </c>
      <c r="BY372" s="128">
        <f>IFERROR(AN372*$W372,)</f>
        <v/>
      </c>
      <c r="BZ372" s="128">
        <f>IFERROR(AO372*$W372,)</f>
        <v/>
      </c>
      <c r="CA372" s="128">
        <f>IFERROR(AP372*$W372,)</f>
        <v/>
      </c>
      <c r="CB372" s="128">
        <f>IFERROR(AQ372*$W372,)</f>
        <v/>
      </c>
      <c r="CC372" s="128">
        <f>IFERROR(AR372*$W372,)</f>
        <v/>
      </c>
      <c r="CD372" s="128">
        <f>IFERROR(AS372*$W372,)</f>
        <v/>
      </c>
      <c r="CE372" s="128">
        <f>IFERROR(AT372*$W372,)</f>
        <v/>
      </c>
      <c r="CF372" s="128">
        <f>IFERROR(AU372*$W372,)</f>
        <v/>
      </c>
      <c r="CG372" s="128">
        <f>IFERROR(AV372*$W372,)</f>
        <v/>
      </c>
      <c r="CH372" s="128">
        <f>IFERROR(AW372*$W372,)</f>
        <v/>
      </c>
      <c r="CI372" s="128">
        <f>IFERROR(AX372*$W372,)</f>
        <v/>
      </c>
      <c r="CJ372" s="128">
        <f>IFERROR(AY372*$W372,)</f>
        <v/>
      </c>
      <c r="CK372" s="128">
        <f>IFERROR(AZ372*$W372,)</f>
        <v/>
      </c>
      <c r="CL372" s="129">
        <f>IFERROR(if($Y372=0,BA372*($W372/1.2),BA372*$Y372),"")</f>
        <v/>
      </c>
      <c r="CM372" s="129">
        <f>IFERROR(if($Y372=0,BB372*($W372/1.2),BB372*$Y372),"")</f>
        <v/>
      </c>
      <c r="CN372" s="129">
        <f>IFERROR(if($Y372=0,BC372*($W372/1.2),BC372*$Y372),"")</f>
        <v/>
      </c>
      <c r="CO372" s="130">
        <f>IFERROR(if($AA372=0,($W372/1.35)*BD372,BD372*$AA372),)</f>
        <v/>
      </c>
      <c r="CP372" s="130">
        <f>IFERROR(if($AA372=0,($W372/1.35)*BE372,BE372*$AA372),)</f>
        <v/>
      </c>
      <c r="CQ372" s="130">
        <f>IFERROR(if($AA372=0,($W372/1.35)*BF372,BF372*$AA372),)</f>
        <v/>
      </c>
      <c r="CR372" s="128">
        <f>IFERROR(if($AC372=0,($W372/0.74)*BG372,
BG372*$AC372),)</f>
        <v/>
      </c>
      <c r="CS372" s="128">
        <f>IFERROR(if($AC372=0,($W372/0.74)*BH372,
BH372*$AC372),)</f>
        <v/>
      </c>
      <c r="CT372" s="128">
        <f>IFERROR(if($AC372=0,($W372/0.74)*BI372,
BI372*$AC372),)</f>
        <v/>
      </c>
      <c r="CU372" s="128">
        <f>IFERROR(AI372*$V372,)</f>
        <v/>
      </c>
      <c r="CV372" s="128">
        <f>IFERROR(AJ372*$V372,)</f>
        <v/>
      </c>
      <c r="CW372" s="128">
        <f>IFERROR(AK372*$V372,)</f>
        <v/>
      </c>
      <c r="CX372" s="128">
        <f>IFERROR(AL372*$V372,)</f>
        <v/>
      </c>
      <c r="CY372" s="128">
        <f>IFERROR(AM372*$V372,)</f>
        <v/>
      </c>
      <c r="CZ372" s="128">
        <f>IFERROR(AN372*$V372,)</f>
        <v/>
      </c>
      <c r="DA372" s="128">
        <f>IFERROR(AO372*$V372,)</f>
        <v/>
      </c>
      <c r="DB372" s="128">
        <f>IFERROR(AP372*$V372,)</f>
        <v/>
      </c>
      <c r="DC372" s="128">
        <f>IFERROR(AQ372*$V372,)</f>
        <v/>
      </c>
      <c r="DD372" s="128">
        <f>IFERROR(AR372*$V372,)</f>
        <v/>
      </c>
      <c r="DE372" s="128">
        <f>IFERROR(AS372*$V372,)</f>
        <v/>
      </c>
      <c r="DF372" s="128">
        <f>IFERROR(AT372*$V372,)</f>
        <v/>
      </c>
      <c r="DG372" s="128">
        <f>IFERROR(AU372*$V372,)</f>
        <v/>
      </c>
      <c r="DH372" s="128">
        <f>IFERROR(AV372*$V372,)</f>
        <v/>
      </c>
      <c r="DI372" s="128">
        <f>IFERROR(AW372*$V372,)</f>
        <v/>
      </c>
      <c r="DJ372" s="128">
        <f>IFERROR(AX372*$V372,)</f>
        <v/>
      </c>
      <c r="DK372" s="128">
        <f>IFERROR(AY372*$V372,)</f>
        <v/>
      </c>
      <c r="DL372" s="128">
        <f>IFERROR(AZ372*$V372,)</f>
        <v/>
      </c>
      <c r="DM372" s="129">
        <f>IFERROR(if($X372=0,($V372/1.2)*BA372,
BA372*$X372),)</f>
        <v/>
      </c>
      <c r="DN372" s="129">
        <f>IFERROR(if($X372=0,($V372/1.2)*BB372,
BB372*$X372),)</f>
        <v/>
      </c>
      <c r="DO372" s="129">
        <f>IFERROR(if($X372=0,($V372/1.2)*BC372,
BC372*$X372),)</f>
        <v/>
      </c>
      <c r="DP372" s="130">
        <f>IFERROR(if($Z372=0,($V372/1.35)*BD372,
BD372*$Z372),)</f>
        <v/>
      </c>
      <c r="DQ372" s="130">
        <f>IFERROR(if($Z372=0,($V372/1.35)*BE372,
BE372*$Z372),)</f>
        <v/>
      </c>
      <c r="DR372" s="130">
        <f>IFERROR(if($Z372=0,($V372/1.35)*BF372,
BF372*$Z372),)</f>
        <v/>
      </c>
      <c r="DS372" s="128">
        <f>IFERROR(IF($AB372=0,($V372/0.74)*BG372,
BG372*$AB372),)</f>
        <v/>
      </c>
      <c r="DT372" s="128">
        <f>IFERROR(IF($AB372=0,($V372/0.74)*BH372,
BH372*$AB372),)</f>
        <v/>
      </c>
      <c r="DU372" s="128">
        <f>IFERROR(IF($AB372=0,($V372/0.74)*BI372,
BI372*$AB372),)</f>
        <v/>
      </c>
    </row>
    <row r="373" ht="131.25" customHeight="1" s="162">
      <c r="A373" s="115" t="n"/>
      <c r="B373" s="115" t="n"/>
      <c r="C373" s="115" t="n"/>
      <c r="D373" s="115" t="n"/>
      <c r="E373" s="115" t="n"/>
      <c r="F373" s="115" t="n"/>
      <c r="G373" s="115" t="n"/>
      <c r="H373" s="115" t="n"/>
      <c r="I373" s="115" t="n"/>
      <c r="J373" s="115" t="n"/>
      <c r="K373" s="115" t="n"/>
      <c r="L373" s="115" t="n"/>
      <c r="M373" s="115" t="n"/>
      <c r="N373" s="115" t="n"/>
      <c r="O373" s="115" t="n"/>
      <c r="P373" s="115" t="n"/>
      <c r="Q373" s="115" t="n"/>
      <c r="R373" s="115" t="n"/>
      <c r="S373" s="115" t="n"/>
      <c r="T373" s="115" t="n"/>
      <c r="U373" s="116" t="n"/>
      <c r="V373" s="116" t="n"/>
      <c r="W373" s="117" t="n"/>
      <c r="X373" s="118" t="n"/>
      <c r="Y373" s="119" t="n"/>
      <c r="Z373" s="120" t="n"/>
      <c r="AA373" s="121" t="n"/>
      <c r="AB373" s="122" t="n"/>
      <c r="AC373" s="117" t="n"/>
      <c r="AD373" s="123">
        <f>IF(SUM($AE373:$AH373)=0,"",SUM($AE373:$AH373))</f>
        <v/>
      </c>
      <c r="AE373" s="123">
        <f>iferror(IF(SUM($AI373:$AZ373)=0,"",SUM($AI373:$AZ373)),"")</f>
        <v/>
      </c>
      <c r="AF373" s="123">
        <f>iferror(IF(SUM($BA373:$BC373)=0,"",SUM($BA373:$BC373)),"")</f>
        <v/>
      </c>
      <c r="AG373" s="123">
        <f>iferror(IF(SUM($BD373:$BF373)=0,"",SUM($BD373:$BF373)),"")</f>
        <v/>
      </c>
      <c r="AH373" s="124">
        <f>iferror(IF(SUM($BG373:$BI373)=0,"",SUM($BG373:$BI373)),"")</f>
        <v/>
      </c>
      <c r="AI373" s="131" t="n"/>
      <c r="AJ373" s="132" t="n"/>
      <c r="AK373" s="132" t="n"/>
      <c r="AL373" s="132" t="n"/>
      <c r="AM373" s="132" t="n"/>
      <c r="AN373" s="132" t="n"/>
      <c r="AO373" s="132" t="n"/>
      <c r="AP373" s="132" t="n"/>
      <c r="AQ373" s="132" t="n"/>
      <c r="AR373" s="132" t="n"/>
      <c r="AS373" s="132" t="n"/>
      <c r="AT373" s="132" t="n"/>
      <c r="AU373" s="132" t="n"/>
      <c r="AV373" s="132" t="n"/>
      <c r="AW373" s="132" t="n"/>
      <c r="AX373" s="132" t="n"/>
      <c r="AY373" s="132" t="n"/>
      <c r="AZ373" s="133" t="n"/>
      <c r="BA373" s="131" t="n"/>
      <c r="BB373" s="132" t="n"/>
      <c r="BC373" s="133" t="n"/>
      <c r="BD373" s="131" t="n"/>
      <c r="BE373" s="132" t="n"/>
      <c r="BF373" s="133" t="n"/>
      <c r="BG373" s="131" t="n"/>
      <c r="BH373" s="132" t="n"/>
      <c r="BI373" s="132" t="n"/>
      <c r="BJ373" s="128">
        <f>iferror(SUM($BK373,($BL373*1.2),($BM373*1.35),($BN373*0.74)),)</f>
        <v/>
      </c>
      <c r="BK373" s="128">
        <f>IFERROR(SUM($BT373:$CK373),)</f>
        <v/>
      </c>
      <c r="BL373" s="129">
        <f>IFERROR(SUM($CL373:$CN373),)</f>
        <v/>
      </c>
      <c r="BM373" s="130">
        <f>IFERROR(SUM($CO373:$CQ373),)</f>
        <v/>
      </c>
      <c r="BN373" s="128">
        <f>IFERROR(SUM($CR373:$CT373),)</f>
        <v/>
      </c>
      <c r="BO373" s="128">
        <f>iferror(SUM($BP373,($BQ373*1.2),($BR373*1.35),($BS373*0.74)),)</f>
        <v/>
      </c>
      <c r="BP373" s="128">
        <f>IFERROR(SUM($CU373:$DL373),)</f>
        <v/>
      </c>
      <c r="BQ373" s="128">
        <f>IFERROR(SUM($DM373:$DO373),)</f>
        <v/>
      </c>
      <c r="BR373" s="128">
        <f>IFERROR(SUM($DP373:$DR373),)</f>
        <v/>
      </c>
      <c r="BS373" s="128">
        <f>IFERROR(SUM($DS373:$DU373),)</f>
        <v/>
      </c>
      <c r="BT373" s="128">
        <f>IFERROR(AI373*$W373,)</f>
        <v/>
      </c>
      <c r="BU373" s="128">
        <f>IFERROR(AJ373*$W373,)</f>
        <v/>
      </c>
      <c r="BV373" s="128">
        <f>IFERROR(AK373*$W373,)</f>
        <v/>
      </c>
      <c r="BW373" s="128">
        <f>IFERROR(AL373*$W373,)</f>
        <v/>
      </c>
      <c r="BX373" s="128">
        <f>IFERROR(AM373*$W373,)</f>
        <v/>
      </c>
      <c r="BY373" s="128">
        <f>IFERROR(AN373*$W373,)</f>
        <v/>
      </c>
      <c r="BZ373" s="128">
        <f>IFERROR(AO373*$W373,)</f>
        <v/>
      </c>
      <c r="CA373" s="128">
        <f>IFERROR(AP373*$W373,)</f>
        <v/>
      </c>
      <c r="CB373" s="128">
        <f>IFERROR(AQ373*$W373,)</f>
        <v/>
      </c>
      <c r="CC373" s="128">
        <f>IFERROR(AR373*$W373,)</f>
        <v/>
      </c>
      <c r="CD373" s="128">
        <f>IFERROR(AS373*$W373,)</f>
        <v/>
      </c>
      <c r="CE373" s="128">
        <f>IFERROR(AT373*$W373,)</f>
        <v/>
      </c>
      <c r="CF373" s="128">
        <f>IFERROR(AU373*$W373,)</f>
        <v/>
      </c>
      <c r="CG373" s="128">
        <f>IFERROR(AV373*$W373,)</f>
        <v/>
      </c>
      <c r="CH373" s="128">
        <f>IFERROR(AW373*$W373,)</f>
        <v/>
      </c>
      <c r="CI373" s="128">
        <f>IFERROR(AX373*$W373,)</f>
        <v/>
      </c>
      <c r="CJ373" s="128">
        <f>IFERROR(AY373*$W373,)</f>
        <v/>
      </c>
      <c r="CK373" s="128">
        <f>IFERROR(AZ373*$W373,)</f>
        <v/>
      </c>
      <c r="CL373" s="129">
        <f>IFERROR(if($Y373=0,BA373*($W373/1.2),BA373*$Y373),"")</f>
        <v/>
      </c>
      <c r="CM373" s="129">
        <f>IFERROR(if($Y373=0,BB373*($W373/1.2),BB373*$Y373),"")</f>
        <v/>
      </c>
      <c r="CN373" s="129">
        <f>IFERROR(if($Y373=0,BC373*($W373/1.2),BC373*$Y373),"")</f>
        <v/>
      </c>
      <c r="CO373" s="130">
        <f>IFERROR(if($AA373=0,($W373/1.35)*BD373,BD373*$AA373),)</f>
        <v/>
      </c>
      <c r="CP373" s="130">
        <f>IFERROR(if($AA373=0,($W373/1.35)*BE373,BE373*$AA373),)</f>
        <v/>
      </c>
      <c r="CQ373" s="130">
        <f>IFERROR(if($AA373=0,($W373/1.35)*BF373,BF373*$AA373),)</f>
        <v/>
      </c>
      <c r="CR373" s="128">
        <f>IFERROR(if($AC373=0,($W373/0.74)*BG373,
BG373*$AC373),)</f>
        <v/>
      </c>
      <c r="CS373" s="128">
        <f>IFERROR(if($AC373=0,($W373/0.74)*BH373,
BH373*$AC373),)</f>
        <v/>
      </c>
      <c r="CT373" s="128">
        <f>IFERROR(if($AC373=0,($W373/0.74)*BI373,
BI373*$AC373),)</f>
        <v/>
      </c>
      <c r="CU373" s="128">
        <f>IFERROR(AI373*$V373,)</f>
        <v/>
      </c>
      <c r="CV373" s="128">
        <f>IFERROR(AJ373*$V373,)</f>
        <v/>
      </c>
      <c r="CW373" s="128">
        <f>IFERROR(AK373*$V373,)</f>
        <v/>
      </c>
      <c r="CX373" s="128">
        <f>IFERROR(AL373*$V373,)</f>
        <v/>
      </c>
      <c r="CY373" s="128">
        <f>IFERROR(AM373*$V373,)</f>
        <v/>
      </c>
      <c r="CZ373" s="128">
        <f>IFERROR(AN373*$V373,)</f>
        <v/>
      </c>
      <c r="DA373" s="128">
        <f>IFERROR(AO373*$V373,)</f>
        <v/>
      </c>
      <c r="DB373" s="128">
        <f>IFERROR(AP373*$V373,)</f>
        <v/>
      </c>
      <c r="DC373" s="128">
        <f>IFERROR(AQ373*$V373,)</f>
        <v/>
      </c>
      <c r="DD373" s="128">
        <f>IFERROR(AR373*$V373,)</f>
        <v/>
      </c>
      <c r="DE373" s="128">
        <f>IFERROR(AS373*$V373,)</f>
        <v/>
      </c>
      <c r="DF373" s="128">
        <f>IFERROR(AT373*$V373,)</f>
        <v/>
      </c>
      <c r="DG373" s="128">
        <f>IFERROR(AU373*$V373,)</f>
        <v/>
      </c>
      <c r="DH373" s="128">
        <f>IFERROR(AV373*$V373,)</f>
        <v/>
      </c>
      <c r="DI373" s="128">
        <f>IFERROR(AW373*$V373,)</f>
        <v/>
      </c>
      <c r="DJ373" s="128">
        <f>IFERROR(AX373*$V373,)</f>
        <v/>
      </c>
      <c r="DK373" s="128">
        <f>IFERROR(AY373*$V373,)</f>
        <v/>
      </c>
      <c r="DL373" s="128">
        <f>IFERROR(AZ373*$V373,)</f>
        <v/>
      </c>
      <c r="DM373" s="129">
        <f>IFERROR(if($X373=0,($V373/1.2)*BA373,
BA373*$X373),)</f>
        <v/>
      </c>
      <c r="DN373" s="129">
        <f>IFERROR(if($X373=0,($V373/1.2)*BB373,
BB373*$X373),)</f>
        <v/>
      </c>
      <c r="DO373" s="129">
        <f>IFERROR(if($X373=0,($V373/1.2)*BC373,
BC373*$X373),)</f>
        <v/>
      </c>
      <c r="DP373" s="130">
        <f>IFERROR(if($Z373=0,($V373/1.35)*BD373,
BD373*$Z373),)</f>
        <v/>
      </c>
      <c r="DQ373" s="130">
        <f>IFERROR(if($Z373=0,($V373/1.35)*BE373,
BE373*$Z373),)</f>
        <v/>
      </c>
      <c r="DR373" s="130">
        <f>IFERROR(if($Z373=0,($V373/1.35)*BF373,
BF373*$Z373),)</f>
        <v/>
      </c>
      <c r="DS373" s="128">
        <f>IFERROR(IF($AB373=0,($V373/0.74)*BG373,
BG373*$AB373),)</f>
        <v/>
      </c>
      <c r="DT373" s="128">
        <f>IFERROR(IF($AB373=0,($V373/0.74)*BH373,
BH373*$AB373),)</f>
        <v/>
      </c>
      <c r="DU373" s="128">
        <f>IFERROR(IF($AB373=0,($V373/0.74)*BI373,
BI373*$AB373),)</f>
        <v/>
      </c>
    </row>
    <row r="374" ht="131.25" customHeight="1" s="162">
      <c r="A374" s="115" t="n"/>
      <c r="B374" s="115" t="n"/>
      <c r="C374" s="115" t="n"/>
      <c r="D374" s="115" t="n"/>
      <c r="E374" s="115" t="n"/>
      <c r="F374" s="115" t="n"/>
      <c r="G374" s="115" t="n"/>
      <c r="H374" s="115" t="n"/>
      <c r="I374" s="115" t="n"/>
      <c r="J374" s="115" t="n"/>
      <c r="K374" s="115" t="n"/>
      <c r="L374" s="115" t="n"/>
      <c r="M374" s="115" t="n"/>
      <c r="N374" s="115" t="n"/>
      <c r="O374" s="115" t="n"/>
      <c r="P374" s="115" t="n"/>
      <c r="Q374" s="115" t="n"/>
      <c r="R374" s="115" t="n"/>
      <c r="S374" s="115" t="n"/>
      <c r="T374" s="115" t="n"/>
      <c r="U374" s="116" t="n"/>
      <c r="V374" s="116" t="n"/>
      <c r="W374" s="117" t="n"/>
      <c r="X374" s="118" t="n"/>
      <c r="Y374" s="119" t="n"/>
      <c r="Z374" s="120" t="n"/>
      <c r="AA374" s="121" t="n"/>
      <c r="AB374" s="122" t="n"/>
      <c r="AC374" s="117" t="n"/>
      <c r="AD374" s="123">
        <f>IF(SUM($AE374:$AH374)=0,"",SUM($AE374:$AH374))</f>
        <v/>
      </c>
      <c r="AE374" s="123">
        <f>iferror(IF(SUM($AI374:$AZ374)=0,"",SUM($AI374:$AZ374)),"")</f>
        <v/>
      </c>
      <c r="AF374" s="123">
        <f>iferror(IF(SUM($BA374:$BC374)=0,"",SUM($BA374:$BC374)),"")</f>
        <v/>
      </c>
      <c r="AG374" s="123">
        <f>iferror(IF(SUM($BD374:$BF374)=0,"",SUM($BD374:$BF374)),"")</f>
        <v/>
      </c>
      <c r="AH374" s="124">
        <f>iferror(IF(SUM($BG374:$BI374)=0,"",SUM($BG374:$BI374)),"")</f>
        <v/>
      </c>
      <c r="AI374" s="131" t="n"/>
      <c r="AJ374" s="132" t="n"/>
      <c r="AK374" s="132" t="n"/>
      <c r="AL374" s="132" t="n"/>
      <c r="AM374" s="132" t="n"/>
      <c r="AN374" s="132" t="n"/>
      <c r="AO374" s="132" t="n"/>
      <c r="AP374" s="132" t="n"/>
      <c r="AQ374" s="132" t="n"/>
      <c r="AR374" s="132" t="n"/>
      <c r="AS374" s="132" t="n"/>
      <c r="AT374" s="132" t="n"/>
      <c r="AU374" s="132" t="n"/>
      <c r="AV374" s="132" t="n"/>
      <c r="AW374" s="132" t="n"/>
      <c r="AX374" s="132" t="n"/>
      <c r="AY374" s="132" t="n"/>
      <c r="AZ374" s="133" t="n"/>
      <c r="BA374" s="131" t="n"/>
      <c r="BB374" s="132" t="n"/>
      <c r="BC374" s="133" t="n"/>
      <c r="BD374" s="131" t="n"/>
      <c r="BE374" s="132" t="n"/>
      <c r="BF374" s="133" t="n"/>
      <c r="BG374" s="131" t="n"/>
      <c r="BH374" s="132" t="n"/>
      <c r="BI374" s="132" t="n"/>
      <c r="BJ374" s="128">
        <f>iferror(SUM($BK374,($BL374*1.2),($BM374*1.35),($BN374*0.74)),)</f>
        <v/>
      </c>
      <c r="BK374" s="128">
        <f>IFERROR(SUM($BT374:$CK374),)</f>
        <v/>
      </c>
      <c r="BL374" s="129">
        <f>IFERROR(SUM($CL374:$CN374),)</f>
        <v/>
      </c>
      <c r="BM374" s="130">
        <f>IFERROR(SUM($CO374:$CQ374),)</f>
        <v/>
      </c>
      <c r="BN374" s="128">
        <f>IFERROR(SUM($CR374:$CT374),)</f>
        <v/>
      </c>
      <c r="BO374" s="128">
        <f>iferror(SUM($BP374,($BQ374*1.2),($BR374*1.35),($BS374*0.74)),)</f>
        <v/>
      </c>
      <c r="BP374" s="128">
        <f>IFERROR(SUM($CU374:$DL374),)</f>
        <v/>
      </c>
      <c r="BQ374" s="128">
        <f>IFERROR(SUM($DM374:$DO374),)</f>
        <v/>
      </c>
      <c r="BR374" s="128">
        <f>IFERROR(SUM($DP374:$DR374),)</f>
        <v/>
      </c>
      <c r="BS374" s="128">
        <f>IFERROR(SUM($DS374:$DU374),)</f>
        <v/>
      </c>
      <c r="BT374" s="128">
        <f>IFERROR(AI374*$W374,)</f>
        <v/>
      </c>
      <c r="BU374" s="128">
        <f>IFERROR(AJ374*$W374,)</f>
        <v/>
      </c>
      <c r="BV374" s="128">
        <f>IFERROR(AK374*$W374,)</f>
        <v/>
      </c>
      <c r="BW374" s="128">
        <f>IFERROR(AL374*$W374,)</f>
        <v/>
      </c>
      <c r="BX374" s="128">
        <f>IFERROR(AM374*$W374,)</f>
        <v/>
      </c>
      <c r="BY374" s="128">
        <f>IFERROR(AN374*$W374,)</f>
        <v/>
      </c>
      <c r="BZ374" s="128">
        <f>IFERROR(AO374*$W374,)</f>
        <v/>
      </c>
      <c r="CA374" s="128">
        <f>IFERROR(AP374*$W374,)</f>
        <v/>
      </c>
      <c r="CB374" s="128">
        <f>IFERROR(AQ374*$W374,)</f>
        <v/>
      </c>
      <c r="CC374" s="128">
        <f>IFERROR(AR374*$W374,)</f>
        <v/>
      </c>
      <c r="CD374" s="128">
        <f>IFERROR(AS374*$W374,)</f>
        <v/>
      </c>
      <c r="CE374" s="128">
        <f>IFERROR(AT374*$W374,)</f>
        <v/>
      </c>
      <c r="CF374" s="128">
        <f>IFERROR(AU374*$W374,)</f>
        <v/>
      </c>
      <c r="CG374" s="128">
        <f>IFERROR(AV374*$W374,)</f>
        <v/>
      </c>
      <c r="CH374" s="128">
        <f>IFERROR(AW374*$W374,)</f>
        <v/>
      </c>
      <c r="CI374" s="128">
        <f>IFERROR(AX374*$W374,)</f>
        <v/>
      </c>
      <c r="CJ374" s="128">
        <f>IFERROR(AY374*$W374,)</f>
        <v/>
      </c>
      <c r="CK374" s="128">
        <f>IFERROR(AZ374*$W374,)</f>
        <v/>
      </c>
      <c r="CL374" s="129">
        <f>IFERROR(if($Y374=0,BA374*($W374/1.2),BA374*$Y374),"")</f>
        <v/>
      </c>
      <c r="CM374" s="129">
        <f>IFERROR(if($Y374=0,BB374*($W374/1.2),BB374*$Y374),"")</f>
        <v/>
      </c>
      <c r="CN374" s="129">
        <f>IFERROR(if($Y374=0,BC374*($W374/1.2),BC374*$Y374),"")</f>
        <v/>
      </c>
      <c r="CO374" s="130">
        <f>IFERROR(if($AA374=0,($W374/1.35)*BD374,BD374*$AA374),)</f>
        <v/>
      </c>
      <c r="CP374" s="130">
        <f>IFERROR(if($AA374=0,($W374/1.35)*BE374,BE374*$AA374),)</f>
        <v/>
      </c>
      <c r="CQ374" s="130">
        <f>IFERROR(if($AA374=0,($W374/1.35)*BF374,BF374*$AA374),)</f>
        <v/>
      </c>
      <c r="CR374" s="128">
        <f>IFERROR(if($AC374=0,($W374/0.74)*BG374,
BG374*$AC374),)</f>
        <v/>
      </c>
      <c r="CS374" s="128">
        <f>IFERROR(if($AC374=0,($W374/0.74)*BH374,
BH374*$AC374),)</f>
        <v/>
      </c>
      <c r="CT374" s="128">
        <f>IFERROR(if($AC374=0,($W374/0.74)*BI374,
BI374*$AC374),)</f>
        <v/>
      </c>
      <c r="CU374" s="128">
        <f>IFERROR(AI374*$V374,)</f>
        <v/>
      </c>
      <c r="CV374" s="128">
        <f>IFERROR(AJ374*$V374,)</f>
        <v/>
      </c>
      <c r="CW374" s="128">
        <f>IFERROR(AK374*$V374,)</f>
        <v/>
      </c>
      <c r="CX374" s="128">
        <f>IFERROR(AL374*$V374,)</f>
        <v/>
      </c>
      <c r="CY374" s="128">
        <f>IFERROR(AM374*$V374,)</f>
        <v/>
      </c>
      <c r="CZ374" s="128">
        <f>IFERROR(AN374*$V374,)</f>
        <v/>
      </c>
      <c r="DA374" s="128">
        <f>IFERROR(AO374*$V374,)</f>
        <v/>
      </c>
      <c r="DB374" s="128">
        <f>IFERROR(AP374*$V374,)</f>
        <v/>
      </c>
      <c r="DC374" s="128">
        <f>IFERROR(AQ374*$V374,)</f>
        <v/>
      </c>
      <c r="DD374" s="128">
        <f>IFERROR(AR374*$V374,)</f>
        <v/>
      </c>
      <c r="DE374" s="128">
        <f>IFERROR(AS374*$V374,)</f>
        <v/>
      </c>
      <c r="DF374" s="128">
        <f>IFERROR(AT374*$V374,)</f>
        <v/>
      </c>
      <c r="DG374" s="128">
        <f>IFERROR(AU374*$V374,)</f>
        <v/>
      </c>
      <c r="DH374" s="128">
        <f>IFERROR(AV374*$V374,)</f>
        <v/>
      </c>
      <c r="DI374" s="128">
        <f>IFERROR(AW374*$V374,)</f>
        <v/>
      </c>
      <c r="DJ374" s="128">
        <f>IFERROR(AX374*$V374,)</f>
        <v/>
      </c>
      <c r="DK374" s="128">
        <f>IFERROR(AY374*$V374,)</f>
        <v/>
      </c>
      <c r="DL374" s="128">
        <f>IFERROR(AZ374*$V374,)</f>
        <v/>
      </c>
      <c r="DM374" s="129">
        <f>IFERROR(if($X374=0,($V374/1.2)*BA374,
BA374*$X374),)</f>
        <v/>
      </c>
      <c r="DN374" s="129">
        <f>IFERROR(if($X374=0,($V374/1.2)*BB374,
BB374*$X374),)</f>
        <v/>
      </c>
      <c r="DO374" s="129">
        <f>IFERROR(if($X374=0,($V374/1.2)*BC374,
BC374*$X374),)</f>
        <v/>
      </c>
      <c r="DP374" s="130">
        <f>IFERROR(if($Z374=0,($V374/1.35)*BD374,
BD374*$Z374),)</f>
        <v/>
      </c>
      <c r="DQ374" s="130">
        <f>IFERROR(if($Z374=0,($V374/1.35)*BE374,
BE374*$Z374),)</f>
        <v/>
      </c>
      <c r="DR374" s="130">
        <f>IFERROR(if($Z374=0,($V374/1.35)*BF374,
BF374*$Z374),)</f>
        <v/>
      </c>
      <c r="DS374" s="128">
        <f>IFERROR(IF($AB374=0,($V374/0.74)*BG374,
BG374*$AB374),)</f>
        <v/>
      </c>
      <c r="DT374" s="128">
        <f>IFERROR(IF($AB374=0,($V374/0.74)*BH374,
BH374*$AB374),)</f>
        <v/>
      </c>
      <c r="DU374" s="128">
        <f>IFERROR(IF($AB374=0,($V374/0.74)*BI374,
BI374*$AB374),)</f>
        <v/>
      </c>
    </row>
    <row r="375" ht="131.25" customHeight="1" s="162">
      <c r="A375" s="115" t="n"/>
      <c r="B375" s="115" t="n"/>
      <c r="C375" s="115" t="n"/>
      <c r="D375" s="115" t="n"/>
      <c r="E375" s="115" t="n"/>
      <c r="F375" s="115" t="n"/>
      <c r="G375" s="115" t="n"/>
      <c r="H375" s="115" t="n"/>
      <c r="I375" s="115" t="n"/>
      <c r="J375" s="115" t="n"/>
      <c r="K375" s="115" t="n"/>
      <c r="L375" s="115" t="n"/>
      <c r="M375" s="115" t="n"/>
      <c r="N375" s="115" t="n"/>
      <c r="O375" s="115" t="n"/>
      <c r="P375" s="115" t="n"/>
      <c r="Q375" s="115" t="n"/>
      <c r="R375" s="115" t="n"/>
      <c r="S375" s="115" t="n"/>
      <c r="T375" s="115" t="n"/>
      <c r="U375" s="116" t="n"/>
      <c r="V375" s="116" t="n"/>
      <c r="W375" s="117" t="n"/>
      <c r="X375" s="118" t="n"/>
      <c r="Y375" s="119" t="n"/>
      <c r="Z375" s="120" t="n"/>
      <c r="AA375" s="121" t="n"/>
      <c r="AB375" s="122" t="n"/>
      <c r="AC375" s="117" t="n"/>
      <c r="AD375" s="123">
        <f>IF(SUM($AE375:$AH375)=0,"",SUM($AE375:$AH375))</f>
        <v/>
      </c>
      <c r="AE375" s="123">
        <f>iferror(IF(SUM($AI375:$AZ375)=0,"",SUM($AI375:$AZ375)),"")</f>
        <v/>
      </c>
      <c r="AF375" s="123">
        <f>iferror(IF(SUM($BA375:$BC375)=0,"",SUM($BA375:$BC375)),"")</f>
        <v/>
      </c>
      <c r="AG375" s="123">
        <f>iferror(IF(SUM($BD375:$BF375)=0,"",SUM($BD375:$BF375)),"")</f>
        <v/>
      </c>
      <c r="AH375" s="124">
        <f>iferror(IF(SUM($BG375:$BI375)=0,"",SUM($BG375:$BI375)),"")</f>
        <v/>
      </c>
      <c r="AI375" s="131" t="n"/>
      <c r="AJ375" s="132" t="n"/>
      <c r="AK375" s="132" t="n"/>
      <c r="AL375" s="132" t="n"/>
      <c r="AM375" s="132" t="n"/>
      <c r="AN375" s="132" t="n"/>
      <c r="AO375" s="132" t="n"/>
      <c r="AP375" s="132" t="n"/>
      <c r="AQ375" s="132" t="n"/>
      <c r="AR375" s="132" t="n"/>
      <c r="AS375" s="132" t="n"/>
      <c r="AT375" s="132" t="n"/>
      <c r="AU375" s="132" t="n"/>
      <c r="AV375" s="132" t="n"/>
      <c r="AW375" s="132" t="n"/>
      <c r="AX375" s="132" t="n"/>
      <c r="AY375" s="132" t="n"/>
      <c r="AZ375" s="133" t="n"/>
      <c r="BA375" s="131" t="n"/>
      <c r="BB375" s="132" t="n"/>
      <c r="BC375" s="133" t="n"/>
      <c r="BD375" s="131" t="n"/>
      <c r="BE375" s="132" t="n"/>
      <c r="BF375" s="133" t="n"/>
      <c r="BG375" s="131" t="n"/>
      <c r="BH375" s="132" t="n"/>
      <c r="BI375" s="132" t="n"/>
      <c r="BJ375" s="128">
        <f>iferror(SUM($BK375,($BL375*1.2),($BM375*1.35),($BN375*0.74)),)</f>
        <v/>
      </c>
      <c r="BK375" s="128">
        <f>IFERROR(SUM($BT375:$CK375),)</f>
        <v/>
      </c>
      <c r="BL375" s="129">
        <f>IFERROR(SUM($CL375:$CN375),)</f>
        <v/>
      </c>
      <c r="BM375" s="130">
        <f>IFERROR(SUM($CO375:$CQ375),)</f>
        <v/>
      </c>
      <c r="BN375" s="128">
        <f>IFERROR(SUM($CR375:$CT375),)</f>
        <v/>
      </c>
      <c r="BO375" s="128">
        <f>iferror(SUM($BP375,($BQ375*1.2),($BR375*1.35),($BS375*0.74)),)</f>
        <v/>
      </c>
      <c r="BP375" s="128">
        <f>IFERROR(SUM($CU375:$DL375),)</f>
        <v/>
      </c>
      <c r="BQ375" s="128">
        <f>IFERROR(SUM($DM375:$DO375),)</f>
        <v/>
      </c>
      <c r="BR375" s="128">
        <f>IFERROR(SUM($DP375:$DR375),)</f>
        <v/>
      </c>
      <c r="BS375" s="128">
        <f>IFERROR(SUM($DS375:$DU375),)</f>
        <v/>
      </c>
      <c r="BT375" s="128">
        <f>IFERROR(AI375*$W375,)</f>
        <v/>
      </c>
      <c r="BU375" s="128">
        <f>IFERROR(AJ375*$W375,)</f>
        <v/>
      </c>
      <c r="BV375" s="128">
        <f>IFERROR(AK375*$W375,)</f>
        <v/>
      </c>
      <c r="BW375" s="128">
        <f>IFERROR(AL375*$W375,)</f>
        <v/>
      </c>
      <c r="BX375" s="128">
        <f>IFERROR(AM375*$W375,)</f>
        <v/>
      </c>
      <c r="BY375" s="128">
        <f>IFERROR(AN375*$W375,)</f>
        <v/>
      </c>
      <c r="BZ375" s="128">
        <f>IFERROR(AO375*$W375,)</f>
        <v/>
      </c>
      <c r="CA375" s="128">
        <f>IFERROR(AP375*$W375,)</f>
        <v/>
      </c>
      <c r="CB375" s="128">
        <f>IFERROR(AQ375*$W375,)</f>
        <v/>
      </c>
      <c r="CC375" s="128">
        <f>IFERROR(AR375*$W375,)</f>
        <v/>
      </c>
      <c r="CD375" s="128">
        <f>IFERROR(AS375*$W375,)</f>
        <v/>
      </c>
      <c r="CE375" s="128">
        <f>IFERROR(AT375*$W375,)</f>
        <v/>
      </c>
      <c r="CF375" s="128">
        <f>IFERROR(AU375*$W375,)</f>
        <v/>
      </c>
      <c r="CG375" s="128">
        <f>IFERROR(AV375*$W375,)</f>
        <v/>
      </c>
      <c r="CH375" s="128">
        <f>IFERROR(AW375*$W375,)</f>
        <v/>
      </c>
      <c r="CI375" s="128">
        <f>IFERROR(AX375*$W375,)</f>
        <v/>
      </c>
      <c r="CJ375" s="128">
        <f>IFERROR(AY375*$W375,)</f>
        <v/>
      </c>
      <c r="CK375" s="128">
        <f>IFERROR(AZ375*$W375,)</f>
        <v/>
      </c>
      <c r="CL375" s="129">
        <f>IFERROR(if($Y375=0,BA375*($W375/1.2),BA375*$Y375),"")</f>
        <v/>
      </c>
      <c r="CM375" s="129">
        <f>IFERROR(if($Y375=0,BB375*($W375/1.2),BB375*$Y375),"")</f>
        <v/>
      </c>
      <c r="CN375" s="129">
        <f>IFERROR(if($Y375=0,BC375*($W375/1.2),BC375*$Y375),"")</f>
        <v/>
      </c>
      <c r="CO375" s="130">
        <f>IFERROR(if($AA375=0,($W375/1.35)*BD375,BD375*$AA375),)</f>
        <v/>
      </c>
      <c r="CP375" s="130">
        <f>IFERROR(if($AA375=0,($W375/1.35)*BE375,BE375*$AA375),)</f>
        <v/>
      </c>
      <c r="CQ375" s="130">
        <f>IFERROR(if($AA375=0,($W375/1.35)*BF375,BF375*$AA375),)</f>
        <v/>
      </c>
      <c r="CR375" s="128">
        <f>IFERROR(if($AC375=0,($W375/0.74)*BG375,
BG375*$AC375),)</f>
        <v/>
      </c>
      <c r="CS375" s="128">
        <f>IFERROR(if($AC375=0,($W375/0.74)*BH375,
BH375*$AC375),)</f>
        <v/>
      </c>
      <c r="CT375" s="128">
        <f>IFERROR(if($AC375=0,($W375/0.74)*BI375,
BI375*$AC375),)</f>
        <v/>
      </c>
      <c r="CU375" s="128">
        <f>IFERROR(AI375*$V375,)</f>
        <v/>
      </c>
      <c r="CV375" s="128">
        <f>IFERROR(AJ375*$V375,)</f>
        <v/>
      </c>
      <c r="CW375" s="128">
        <f>IFERROR(AK375*$V375,)</f>
        <v/>
      </c>
      <c r="CX375" s="128">
        <f>IFERROR(AL375*$V375,)</f>
        <v/>
      </c>
      <c r="CY375" s="128">
        <f>IFERROR(AM375*$V375,)</f>
        <v/>
      </c>
      <c r="CZ375" s="128">
        <f>IFERROR(AN375*$V375,)</f>
        <v/>
      </c>
      <c r="DA375" s="128">
        <f>IFERROR(AO375*$V375,)</f>
        <v/>
      </c>
      <c r="DB375" s="128">
        <f>IFERROR(AP375*$V375,)</f>
        <v/>
      </c>
      <c r="DC375" s="128">
        <f>IFERROR(AQ375*$V375,)</f>
        <v/>
      </c>
      <c r="DD375" s="128">
        <f>IFERROR(AR375*$V375,)</f>
        <v/>
      </c>
      <c r="DE375" s="128">
        <f>IFERROR(AS375*$V375,)</f>
        <v/>
      </c>
      <c r="DF375" s="128">
        <f>IFERROR(AT375*$V375,)</f>
        <v/>
      </c>
      <c r="DG375" s="128">
        <f>IFERROR(AU375*$V375,)</f>
        <v/>
      </c>
      <c r="DH375" s="128">
        <f>IFERROR(AV375*$V375,)</f>
        <v/>
      </c>
      <c r="DI375" s="128">
        <f>IFERROR(AW375*$V375,)</f>
        <v/>
      </c>
      <c r="DJ375" s="128">
        <f>IFERROR(AX375*$V375,)</f>
        <v/>
      </c>
      <c r="DK375" s="128">
        <f>IFERROR(AY375*$V375,)</f>
        <v/>
      </c>
      <c r="DL375" s="128">
        <f>IFERROR(AZ375*$V375,)</f>
        <v/>
      </c>
      <c r="DM375" s="129">
        <f>IFERROR(if($X375=0,($V375/1.2)*BA375,
BA375*$X375),)</f>
        <v/>
      </c>
      <c r="DN375" s="129">
        <f>IFERROR(if($X375=0,($V375/1.2)*BB375,
BB375*$X375),)</f>
        <v/>
      </c>
      <c r="DO375" s="129">
        <f>IFERROR(if($X375=0,($V375/1.2)*BC375,
BC375*$X375),)</f>
        <v/>
      </c>
      <c r="DP375" s="130">
        <f>IFERROR(if($Z375=0,($V375/1.35)*BD375,
BD375*$Z375),)</f>
        <v/>
      </c>
      <c r="DQ375" s="130">
        <f>IFERROR(if($Z375=0,($V375/1.35)*BE375,
BE375*$Z375),)</f>
        <v/>
      </c>
      <c r="DR375" s="130">
        <f>IFERROR(if($Z375=0,($V375/1.35)*BF375,
BF375*$Z375),)</f>
        <v/>
      </c>
      <c r="DS375" s="128">
        <f>IFERROR(IF($AB375=0,($V375/0.74)*BG375,
BG375*$AB375),)</f>
        <v/>
      </c>
      <c r="DT375" s="128">
        <f>IFERROR(IF($AB375=0,($V375/0.74)*BH375,
BH375*$AB375),)</f>
        <v/>
      </c>
      <c r="DU375" s="128">
        <f>IFERROR(IF($AB375=0,($V375/0.74)*BI375,
BI375*$AB375),)</f>
        <v/>
      </c>
    </row>
    <row r="376" ht="131.25" customHeight="1" s="162">
      <c r="A376" s="115" t="n"/>
      <c r="B376" s="115" t="n"/>
      <c r="C376" s="115" t="n"/>
      <c r="D376" s="115" t="n"/>
      <c r="E376" s="115" t="n"/>
      <c r="F376" s="115" t="n"/>
      <c r="G376" s="115" t="n"/>
      <c r="H376" s="115" t="n"/>
      <c r="I376" s="115" t="n"/>
      <c r="J376" s="115" t="n"/>
      <c r="K376" s="115" t="n"/>
      <c r="L376" s="115" t="n"/>
      <c r="M376" s="115" t="n"/>
      <c r="N376" s="115" t="n"/>
      <c r="O376" s="115" t="n"/>
      <c r="P376" s="115" t="n"/>
      <c r="Q376" s="115" t="n"/>
      <c r="R376" s="115" t="n"/>
      <c r="S376" s="115" t="n"/>
      <c r="T376" s="115" t="n"/>
      <c r="U376" s="116" t="n"/>
      <c r="V376" s="116" t="n"/>
      <c r="W376" s="117" t="n"/>
      <c r="X376" s="118" t="n"/>
      <c r="Y376" s="119" t="n"/>
      <c r="Z376" s="120" t="n"/>
      <c r="AA376" s="121" t="n"/>
      <c r="AB376" s="122" t="n"/>
      <c r="AC376" s="117" t="n"/>
      <c r="AD376" s="123">
        <f>IF(SUM($AE376:$AH376)=0,"",SUM($AE376:$AH376))</f>
        <v/>
      </c>
      <c r="AE376" s="123">
        <f>iferror(IF(SUM($AI376:$AZ376)=0,"",SUM($AI376:$AZ376)),"")</f>
        <v/>
      </c>
      <c r="AF376" s="123">
        <f>iferror(IF(SUM($BA376:$BC376)=0,"",SUM($BA376:$BC376)),"")</f>
        <v/>
      </c>
      <c r="AG376" s="123">
        <f>iferror(IF(SUM($BD376:$BF376)=0,"",SUM($BD376:$BF376)),"")</f>
        <v/>
      </c>
      <c r="AH376" s="124">
        <f>iferror(IF(SUM($BG376:$BI376)=0,"",SUM($BG376:$BI376)),"")</f>
        <v/>
      </c>
      <c r="AI376" s="131" t="n"/>
      <c r="AJ376" s="132" t="n"/>
      <c r="AK376" s="132" t="n"/>
      <c r="AL376" s="132" t="n"/>
      <c r="AM376" s="132" t="n"/>
      <c r="AN376" s="132" t="n"/>
      <c r="AO376" s="132" t="n"/>
      <c r="AP376" s="132" t="n"/>
      <c r="AQ376" s="132" t="n"/>
      <c r="AR376" s="132" t="n"/>
      <c r="AS376" s="132" t="n"/>
      <c r="AT376" s="132" t="n"/>
      <c r="AU376" s="132" t="n"/>
      <c r="AV376" s="132" t="n"/>
      <c r="AW376" s="132" t="n"/>
      <c r="AX376" s="132" t="n"/>
      <c r="AY376" s="132" t="n"/>
      <c r="AZ376" s="133" t="n"/>
      <c r="BA376" s="131" t="n"/>
      <c r="BB376" s="132" t="n"/>
      <c r="BC376" s="133" t="n"/>
      <c r="BD376" s="131" t="n"/>
      <c r="BE376" s="132" t="n"/>
      <c r="BF376" s="133" t="n"/>
      <c r="BG376" s="131" t="n"/>
      <c r="BH376" s="132" t="n"/>
      <c r="BI376" s="132" t="n"/>
      <c r="BJ376" s="128">
        <f>iferror(SUM($BK376,($BL376*1.2),($BM376*1.35),($BN376*0.74)),)</f>
        <v/>
      </c>
      <c r="BK376" s="128">
        <f>IFERROR(SUM($BT376:$CK376),)</f>
        <v/>
      </c>
      <c r="BL376" s="129">
        <f>IFERROR(SUM($CL376:$CN376),)</f>
        <v/>
      </c>
      <c r="BM376" s="130">
        <f>IFERROR(SUM($CO376:$CQ376),)</f>
        <v/>
      </c>
      <c r="BN376" s="128">
        <f>IFERROR(SUM($CR376:$CT376),)</f>
        <v/>
      </c>
      <c r="BO376" s="128">
        <f>iferror(SUM($BP376,($BQ376*1.2),($BR376*1.35),($BS376*0.74)),)</f>
        <v/>
      </c>
      <c r="BP376" s="128">
        <f>IFERROR(SUM($CU376:$DL376),)</f>
        <v/>
      </c>
      <c r="BQ376" s="128">
        <f>IFERROR(SUM($DM376:$DO376),)</f>
        <v/>
      </c>
      <c r="BR376" s="128">
        <f>IFERROR(SUM($DP376:$DR376),)</f>
        <v/>
      </c>
      <c r="BS376" s="128">
        <f>IFERROR(SUM($DS376:$DU376),)</f>
        <v/>
      </c>
      <c r="BT376" s="128">
        <f>IFERROR(AI376*$W376,)</f>
        <v/>
      </c>
      <c r="BU376" s="128">
        <f>IFERROR(AJ376*$W376,)</f>
        <v/>
      </c>
      <c r="BV376" s="128">
        <f>IFERROR(AK376*$W376,)</f>
        <v/>
      </c>
      <c r="BW376" s="128">
        <f>IFERROR(AL376*$W376,)</f>
        <v/>
      </c>
      <c r="BX376" s="128">
        <f>IFERROR(AM376*$W376,)</f>
        <v/>
      </c>
      <c r="BY376" s="128">
        <f>IFERROR(AN376*$W376,)</f>
        <v/>
      </c>
      <c r="BZ376" s="128">
        <f>IFERROR(AO376*$W376,)</f>
        <v/>
      </c>
      <c r="CA376" s="128">
        <f>IFERROR(AP376*$W376,)</f>
        <v/>
      </c>
      <c r="CB376" s="128">
        <f>IFERROR(AQ376*$W376,)</f>
        <v/>
      </c>
      <c r="CC376" s="128">
        <f>IFERROR(AR376*$W376,)</f>
        <v/>
      </c>
      <c r="CD376" s="128">
        <f>IFERROR(AS376*$W376,)</f>
        <v/>
      </c>
      <c r="CE376" s="128">
        <f>IFERROR(AT376*$W376,)</f>
        <v/>
      </c>
      <c r="CF376" s="128">
        <f>IFERROR(AU376*$W376,)</f>
        <v/>
      </c>
      <c r="CG376" s="128">
        <f>IFERROR(AV376*$W376,)</f>
        <v/>
      </c>
      <c r="CH376" s="128">
        <f>IFERROR(AW376*$W376,)</f>
        <v/>
      </c>
      <c r="CI376" s="128">
        <f>IFERROR(AX376*$W376,)</f>
        <v/>
      </c>
      <c r="CJ376" s="128">
        <f>IFERROR(AY376*$W376,)</f>
        <v/>
      </c>
      <c r="CK376" s="128">
        <f>IFERROR(AZ376*$W376,)</f>
        <v/>
      </c>
      <c r="CL376" s="129">
        <f>IFERROR(if($Y376=0,BA376*($W376/1.2),BA376*$Y376),"")</f>
        <v/>
      </c>
      <c r="CM376" s="129">
        <f>IFERROR(if($Y376=0,BB376*($W376/1.2),BB376*$Y376),"")</f>
        <v/>
      </c>
      <c r="CN376" s="129">
        <f>IFERROR(if($Y376=0,BC376*($W376/1.2),BC376*$Y376),"")</f>
        <v/>
      </c>
      <c r="CO376" s="130">
        <f>IFERROR(if($AA376=0,($W376/1.35)*BD376,BD376*$AA376),)</f>
        <v/>
      </c>
      <c r="CP376" s="130">
        <f>IFERROR(if($AA376=0,($W376/1.35)*BE376,BE376*$AA376),)</f>
        <v/>
      </c>
      <c r="CQ376" s="130">
        <f>IFERROR(if($AA376=0,($W376/1.35)*BF376,BF376*$AA376),)</f>
        <v/>
      </c>
      <c r="CR376" s="128">
        <f>IFERROR(if($AC376=0,($W376/0.74)*BG376,
BG376*$AC376),)</f>
        <v/>
      </c>
      <c r="CS376" s="128">
        <f>IFERROR(if($AC376=0,($W376/0.74)*BH376,
BH376*$AC376),)</f>
        <v/>
      </c>
      <c r="CT376" s="128">
        <f>IFERROR(if($AC376=0,($W376/0.74)*BI376,
BI376*$AC376),)</f>
        <v/>
      </c>
      <c r="CU376" s="128">
        <f>IFERROR(AI376*$V376,)</f>
        <v/>
      </c>
      <c r="CV376" s="128">
        <f>IFERROR(AJ376*$V376,)</f>
        <v/>
      </c>
      <c r="CW376" s="128">
        <f>IFERROR(AK376*$V376,)</f>
        <v/>
      </c>
      <c r="CX376" s="128">
        <f>IFERROR(AL376*$V376,)</f>
        <v/>
      </c>
      <c r="CY376" s="128">
        <f>IFERROR(AM376*$V376,)</f>
        <v/>
      </c>
      <c r="CZ376" s="128">
        <f>IFERROR(AN376*$V376,)</f>
        <v/>
      </c>
      <c r="DA376" s="128">
        <f>IFERROR(AO376*$V376,)</f>
        <v/>
      </c>
      <c r="DB376" s="128">
        <f>IFERROR(AP376*$V376,)</f>
        <v/>
      </c>
      <c r="DC376" s="128">
        <f>IFERROR(AQ376*$V376,)</f>
        <v/>
      </c>
      <c r="DD376" s="128">
        <f>IFERROR(AR376*$V376,)</f>
        <v/>
      </c>
      <c r="DE376" s="128">
        <f>IFERROR(AS376*$V376,)</f>
        <v/>
      </c>
      <c r="DF376" s="128">
        <f>IFERROR(AT376*$V376,)</f>
        <v/>
      </c>
      <c r="DG376" s="128">
        <f>IFERROR(AU376*$V376,)</f>
        <v/>
      </c>
      <c r="DH376" s="128">
        <f>IFERROR(AV376*$V376,)</f>
        <v/>
      </c>
      <c r="DI376" s="128">
        <f>IFERROR(AW376*$V376,)</f>
        <v/>
      </c>
      <c r="DJ376" s="128">
        <f>IFERROR(AX376*$V376,)</f>
        <v/>
      </c>
      <c r="DK376" s="128">
        <f>IFERROR(AY376*$V376,)</f>
        <v/>
      </c>
      <c r="DL376" s="128">
        <f>IFERROR(AZ376*$V376,)</f>
        <v/>
      </c>
      <c r="DM376" s="129">
        <f>IFERROR(if($X376=0,($V376/1.2)*BA376,
BA376*$X376),)</f>
        <v/>
      </c>
      <c r="DN376" s="129">
        <f>IFERROR(if($X376=0,($V376/1.2)*BB376,
BB376*$X376),)</f>
        <v/>
      </c>
      <c r="DO376" s="129">
        <f>IFERROR(if($X376=0,($V376/1.2)*BC376,
BC376*$X376),)</f>
        <v/>
      </c>
      <c r="DP376" s="130">
        <f>IFERROR(if($Z376=0,($V376/1.35)*BD376,
BD376*$Z376),)</f>
        <v/>
      </c>
      <c r="DQ376" s="130">
        <f>IFERROR(if($Z376=0,($V376/1.35)*BE376,
BE376*$Z376),)</f>
        <v/>
      </c>
      <c r="DR376" s="130">
        <f>IFERROR(if($Z376=0,($V376/1.35)*BF376,
BF376*$Z376),)</f>
        <v/>
      </c>
      <c r="DS376" s="128">
        <f>IFERROR(IF($AB376=0,($V376/0.74)*BG376,
BG376*$AB376),)</f>
        <v/>
      </c>
      <c r="DT376" s="128">
        <f>IFERROR(IF($AB376=0,($V376/0.74)*BH376,
BH376*$AB376),)</f>
        <v/>
      </c>
      <c r="DU376" s="128">
        <f>IFERROR(IF($AB376=0,($V376/0.74)*BI376,
BI376*$AB376),)</f>
        <v/>
      </c>
    </row>
    <row r="377" ht="131.25" customHeight="1" s="162">
      <c r="A377" s="115" t="n"/>
      <c r="B377" s="115" t="n"/>
      <c r="C377" s="115" t="n"/>
      <c r="D377" s="115" t="n"/>
      <c r="E377" s="115" t="n"/>
      <c r="F377" s="115" t="n"/>
      <c r="G377" s="115" t="n"/>
      <c r="H377" s="115" t="n"/>
      <c r="I377" s="115" t="n"/>
      <c r="J377" s="115" t="n"/>
      <c r="K377" s="115" t="n"/>
      <c r="L377" s="115" t="n"/>
      <c r="M377" s="115" t="n"/>
      <c r="N377" s="115" t="n"/>
      <c r="O377" s="115" t="n"/>
      <c r="P377" s="115" t="n"/>
      <c r="Q377" s="115" t="n"/>
      <c r="R377" s="115" t="n"/>
      <c r="S377" s="115" t="n"/>
      <c r="T377" s="115" t="n"/>
      <c r="U377" s="116" t="n"/>
      <c r="V377" s="116" t="n"/>
      <c r="W377" s="117" t="n"/>
      <c r="X377" s="118" t="n"/>
      <c r="Y377" s="119" t="n"/>
      <c r="Z377" s="120" t="n"/>
      <c r="AA377" s="121" t="n"/>
      <c r="AB377" s="122" t="n"/>
      <c r="AC377" s="117" t="n"/>
      <c r="AD377" s="123">
        <f>IF(SUM($AE377:$AH377)=0,"",SUM($AE377:$AH377))</f>
        <v/>
      </c>
      <c r="AE377" s="123">
        <f>iferror(IF(SUM($AI377:$AZ377)=0,"",SUM($AI377:$AZ377)),"")</f>
        <v/>
      </c>
      <c r="AF377" s="123">
        <f>iferror(IF(SUM($BA377:$BC377)=0,"",SUM($BA377:$BC377)),"")</f>
        <v/>
      </c>
      <c r="AG377" s="123">
        <f>iferror(IF(SUM($BD377:$BF377)=0,"",SUM($BD377:$BF377)),"")</f>
        <v/>
      </c>
      <c r="AH377" s="124">
        <f>iferror(IF(SUM($BG377:$BI377)=0,"",SUM($BG377:$BI377)),"")</f>
        <v/>
      </c>
      <c r="AI377" s="131" t="n"/>
      <c r="AJ377" s="132" t="n"/>
      <c r="AK377" s="132" t="n"/>
      <c r="AL377" s="132" t="n"/>
      <c r="AM377" s="132" t="n"/>
      <c r="AN377" s="132" t="n"/>
      <c r="AO377" s="132" t="n"/>
      <c r="AP377" s="132" t="n"/>
      <c r="AQ377" s="132" t="n"/>
      <c r="AR377" s="132" t="n"/>
      <c r="AS377" s="132" t="n"/>
      <c r="AT377" s="132" t="n"/>
      <c r="AU377" s="132" t="n"/>
      <c r="AV377" s="132" t="n"/>
      <c r="AW377" s="132" t="n"/>
      <c r="AX377" s="132" t="n"/>
      <c r="AY377" s="132" t="n"/>
      <c r="AZ377" s="133" t="n"/>
      <c r="BA377" s="131" t="n"/>
      <c r="BB377" s="132" t="n"/>
      <c r="BC377" s="133" t="n"/>
      <c r="BD377" s="131" t="n"/>
      <c r="BE377" s="132" t="n"/>
      <c r="BF377" s="133" t="n"/>
      <c r="BG377" s="131" t="n"/>
      <c r="BH377" s="132" t="n"/>
      <c r="BI377" s="132" t="n"/>
      <c r="BJ377" s="128">
        <f>iferror(SUM($BK377,($BL377*1.2),($BM377*1.35),($BN377*0.74)),)</f>
        <v/>
      </c>
      <c r="BK377" s="128">
        <f>IFERROR(SUM($BT377:$CK377),)</f>
        <v/>
      </c>
      <c r="BL377" s="129">
        <f>IFERROR(SUM($CL377:$CN377),)</f>
        <v/>
      </c>
      <c r="BM377" s="130">
        <f>IFERROR(SUM($CO377:$CQ377),)</f>
        <v/>
      </c>
      <c r="BN377" s="128">
        <f>IFERROR(SUM($CR377:$CT377),)</f>
        <v/>
      </c>
      <c r="BO377" s="128">
        <f>iferror(SUM($BP377,($BQ377*1.2),($BR377*1.35),($BS377*0.74)),)</f>
        <v/>
      </c>
      <c r="BP377" s="128">
        <f>IFERROR(SUM($CU377:$DL377),)</f>
        <v/>
      </c>
      <c r="BQ377" s="128">
        <f>IFERROR(SUM($DM377:$DO377),)</f>
        <v/>
      </c>
      <c r="BR377" s="128">
        <f>IFERROR(SUM($DP377:$DR377),)</f>
        <v/>
      </c>
      <c r="BS377" s="128">
        <f>IFERROR(SUM($DS377:$DU377),)</f>
        <v/>
      </c>
      <c r="BT377" s="128">
        <f>IFERROR(AI377*$W377,)</f>
        <v/>
      </c>
      <c r="BU377" s="128">
        <f>IFERROR(AJ377*$W377,)</f>
        <v/>
      </c>
      <c r="BV377" s="128">
        <f>IFERROR(AK377*$W377,)</f>
        <v/>
      </c>
      <c r="BW377" s="128">
        <f>IFERROR(AL377*$W377,)</f>
        <v/>
      </c>
      <c r="BX377" s="128">
        <f>IFERROR(AM377*$W377,)</f>
        <v/>
      </c>
      <c r="BY377" s="128">
        <f>IFERROR(AN377*$W377,)</f>
        <v/>
      </c>
      <c r="BZ377" s="128">
        <f>IFERROR(AO377*$W377,)</f>
        <v/>
      </c>
      <c r="CA377" s="128">
        <f>IFERROR(AP377*$W377,)</f>
        <v/>
      </c>
      <c r="CB377" s="128">
        <f>IFERROR(AQ377*$W377,)</f>
        <v/>
      </c>
      <c r="CC377" s="128">
        <f>IFERROR(AR377*$W377,)</f>
        <v/>
      </c>
      <c r="CD377" s="128">
        <f>IFERROR(AS377*$W377,)</f>
        <v/>
      </c>
      <c r="CE377" s="128">
        <f>IFERROR(AT377*$W377,)</f>
        <v/>
      </c>
      <c r="CF377" s="128">
        <f>IFERROR(AU377*$W377,)</f>
        <v/>
      </c>
      <c r="CG377" s="128">
        <f>IFERROR(AV377*$W377,)</f>
        <v/>
      </c>
      <c r="CH377" s="128">
        <f>IFERROR(AW377*$W377,)</f>
        <v/>
      </c>
      <c r="CI377" s="128">
        <f>IFERROR(AX377*$W377,)</f>
        <v/>
      </c>
      <c r="CJ377" s="128">
        <f>IFERROR(AY377*$W377,)</f>
        <v/>
      </c>
      <c r="CK377" s="128">
        <f>IFERROR(AZ377*$W377,)</f>
        <v/>
      </c>
      <c r="CL377" s="129">
        <f>IFERROR(if($Y377=0,BA377*($W377/1.2),BA377*$Y377),"")</f>
        <v/>
      </c>
      <c r="CM377" s="129">
        <f>IFERROR(if($Y377=0,BB377*($W377/1.2),BB377*$Y377),"")</f>
        <v/>
      </c>
      <c r="CN377" s="129">
        <f>IFERROR(if($Y377=0,BC377*($W377/1.2),BC377*$Y377),"")</f>
        <v/>
      </c>
      <c r="CO377" s="130">
        <f>IFERROR(if($AA377=0,($W377/1.35)*BD377,BD377*$AA377),)</f>
        <v/>
      </c>
      <c r="CP377" s="130">
        <f>IFERROR(if($AA377=0,($W377/1.35)*BE377,BE377*$AA377),)</f>
        <v/>
      </c>
      <c r="CQ377" s="130">
        <f>IFERROR(if($AA377=0,($W377/1.35)*BF377,BF377*$AA377),)</f>
        <v/>
      </c>
      <c r="CR377" s="128">
        <f>IFERROR(if($AC377=0,($W377/0.74)*BG377,
BG377*$AC377),)</f>
        <v/>
      </c>
      <c r="CS377" s="128">
        <f>IFERROR(if($AC377=0,($W377/0.74)*BH377,
BH377*$AC377),)</f>
        <v/>
      </c>
      <c r="CT377" s="128">
        <f>IFERROR(if($AC377=0,($W377/0.74)*BI377,
BI377*$AC377),)</f>
        <v/>
      </c>
      <c r="CU377" s="128">
        <f>IFERROR(AI377*$V377,)</f>
        <v/>
      </c>
      <c r="CV377" s="128">
        <f>IFERROR(AJ377*$V377,)</f>
        <v/>
      </c>
      <c r="CW377" s="128">
        <f>IFERROR(AK377*$V377,)</f>
        <v/>
      </c>
      <c r="CX377" s="128">
        <f>IFERROR(AL377*$V377,)</f>
        <v/>
      </c>
      <c r="CY377" s="128">
        <f>IFERROR(AM377*$V377,)</f>
        <v/>
      </c>
      <c r="CZ377" s="128">
        <f>IFERROR(AN377*$V377,)</f>
        <v/>
      </c>
      <c r="DA377" s="128">
        <f>IFERROR(AO377*$V377,)</f>
        <v/>
      </c>
      <c r="DB377" s="128">
        <f>IFERROR(AP377*$V377,)</f>
        <v/>
      </c>
      <c r="DC377" s="128">
        <f>IFERROR(AQ377*$V377,)</f>
        <v/>
      </c>
      <c r="DD377" s="128">
        <f>IFERROR(AR377*$V377,)</f>
        <v/>
      </c>
      <c r="DE377" s="128">
        <f>IFERROR(AS377*$V377,)</f>
        <v/>
      </c>
      <c r="DF377" s="128">
        <f>IFERROR(AT377*$V377,)</f>
        <v/>
      </c>
      <c r="DG377" s="128">
        <f>IFERROR(AU377*$V377,)</f>
        <v/>
      </c>
      <c r="DH377" s="128">
        <f>IFERROR(AV377*$V377,)</f>
        <v/>
      </c>
      <c r="DI377" s="128">
        <f>IFERROR(AW377*$V377,)</f>
        <v/>
      </c>
      <c r="DJ377" s="128">
        <f>IFERROR(AX377*$V377,)</f>
        <v/>
      </c>
      <c r="DK377" s="128">
        <f>IFERROR(AY377*$V377,)</f>
        <v/>
      </c>
      <c r="DL377" s="128">
        <f>IFERROR(AZ377*$V377,)</f>
        <v/>
      </c>
      <c r="DM377" s="129">
        <f>IFERROR(if($X377=0,($V377/1.2)*BA377,
BA377*$X377),)</f>
        <v/>
      </c>
      <c r="DN377" s="129">
        <f>IFERROR(if($X377=0,($V377/1.2)*BB377,
BB377*$X377),)</f>
        <v/>
      </c>
      <c r="DO377" s="129">
        <f>IFERROR(if($X377=0,($V377/1.2)*BC377,
BC377*$X377),)</f>
        <v/>
      </c>
      <c r="DP377" s="130">
        <f>IFERROR(if($Z377=0,($V377/1.35)*BD377,
BD377*$Z377),)</f>
        <v/>
      </c>
      <c r="DQ377" s="130">
        <f>IFERROR(if($Z377=0,($V377/1.35)*BE377,
BE377*$Z377),)</f>
        <v/>
      </c>
      <c r="DR377" s="130">
        <f>IFERROR(if($Z377=0,($V377/1.35)*BF377,
BF377*$Z377),)</f>
        <v/>
      </c>
      <c r="DS377" s="128">
        <f>IFERROR(IF($AB377=0,($V377/0.74)*BG377,
BG377*$AB377),)</f>
        <v/>
      </c>
      <c r="DT377" s="128">
        <f>IFERROR(IF($AB377=0,($V377/0.74)*BH377,
BH377*$AB377),)</f>
        <v/>
      </c>
      <c r="DU377" s="128">
        <f>IFERROR(IF($AB377=0,($V377/0.74)*BI377,
BI377*$AB377),)</f>
        <v/>
      </c>
    </row>
    <row r="378" ht="131.25" customHeight="1" s="162">
      <c r="A378" s="115" t="n"/>
      <c r="B378" s="115" t="n"/>
      <c r="C378" s="115" t="n"/>
      <c r="D378" s="115" t="n"/>
      <c r="E378" s="115" t="n"/>
      <c r="F378" s="115" t="n"/>
      <c r="G378" s="115" t="n"/>
      <c r="H378" s="115" t="n"/>
      <c r="I378" s="115" t="n"/>
      <c r="J378" s="115" t="n"/>
      <c r="K378" s="115" t="n"/>
      <c r="L378" s="115" t="n"/>
      <c r="M378" s="115" t="n"/>
      <c r="N378" s="115" t="n"/>
      <c r="O378" s="115" t="n"/>
      <c r="P378" s="115" t="n"/>
      <c r="Q378" s="115" t="n"/>
      <c r="R378" s="115" t="n"/>
      <c r="S378" s="115" t="n"/>
      <c r="T378" s="115" t="n"/>
      <c r="U378" s="116" t="n"/>
      <c r="V378" s="116" t="n"/>
      <c r="W378" s="117" t="n"/>
      <c r="X378" s="118" t="n"/>
      <c r="Y378" s="119" t="n"/>
      <c r="Z378" s="120" t="n"/>
      <c r="AA378" s="121" t="n"/>
      <c r="AB378" s="122" t="n"/>
      <c r="AC378" s="117" t="n"/>
      <c r="AD378" s="123">
        <f>IF(SUM($AE378:$AH378)=0,"",SUM($AE378:$AH378))</f>
        <v/>
      </c>
      <c r="AE378" s="123">
        <f>iferror(IF(SUM($AI378:$AZ378)=0,"",SUM($AI378:$AZ378)),"")</f>
        <v/>
      </c>
      <c r="AF378" s="123">
        <f>iferror(IF(SUM($BA378:$BC378)=0,"",SUM($BA378:$BC378)),"")</f>
        <v/>
      </c>
      <c r="AG378" s="123">
        <f>iferror(IF(SUM($BD378:$BF378)=0,"",SUM($BD378:$BF378)),"")</f>
        <v/>
      </c>
      <c r="AH378" s="124">
        <f>iferror(IF(SUM($BG378:$BI378)=0,"",SUM($BG378:$BI378)),"")</f>
        <v/>
      </c>
      <c r="AI378" s="131" t="n"/>
      <c r="AJ378" s="132" t="n"/>
      <c r="AK378" s="132" t="n"/>
      <c r="AL378" s="132" t="n"/>
      <c r="AM378" s="132" t="n"/>
      <c r="AN378" s="132" t="n"/>
      <c r="AO378" s="132" t="n"/>
      <c r="AP378" s="132" t="n"/>
      <c r="AQ378" s="132" t="n"/>
      <c r="AR378" s="132" t="n"/>
      <c r="AS378" s="132" t="n"/>
      <c r="AT378" s="132" t="n"/>
      <c r="AU378" s="132" t="n"/>
      <c r="AV378" s="132" t="n"/>
      <c r="AW378" s="132" t="n"/>
      <c r="AX378" s="132" t="n"/>
      <c r="AY378" s="132" t="n"/>
      <c r="AZ378" s="133" t="n"/>
      <c r="BA378" s="131" t="n"/>
      <c r="BB378" s="132" t="n"/>
      <c r="BC378" s="133" t="n"/>
      <c r="BD378" s="131" t="n"/>
      <c r="BE378" s="132" t="n"/>
      <c r="BF378" s="133" t="n"/>
      <c r="BG378" s="131" t="n"/>
      <c r="BH378" s="132" t="n"/>
      <c r="BI378" s="132" t="n"/>
      <c r="BJ378" s="128">
        <f>iferror(SUM($BK378,($BL378*1.2),($BM378*1.35),($BN378*0.74)),)</f>
        <v/>
      </c>
      <c r="BK378" s="128">
        <f>IFERROR(SUM($BT378:$CK378),)</f>
        <v/>
      </c>
      <c r="BL378" s="129">
        <f>IFERROR(SUM($CL378:$CN378),)</f>
        <v/>
      </c>
      <c r="BM378" s="130">
        <f>IFERROR(SUM($CO378:$CQ378),)</f>
        <v/>
      </c>
      <c r="BN378" s="128">
        <f>IFERROR(SUM($CR378:$CT378),)</f>
        <v/>
      </c>
      <c r="BO378" s="128">
        <f>iferror(SUM($BP378,($BQ378*1.2),($BR378*1.35),($BS378*0.74)),)</f>
        <v/>
      </c>
      <c r="BP378" s="128">
        <f>IFERROR(SUM($CU378:$DL378),)</f>
        <v/>
      </c>
      <c r="BQ378" s="128">
        <f>IFERROR(SUM($DM378:$DO378),)</f>
        <v/>
      </c>
      <c r="BR378" s="128">
        <f>IFERROR(SUM($DP378:$DR378),)</f>
        <v/>
      </c>
      <c r="BS378" s="128">
        <f>IFERROR(SUM($DS378:$DU378),)</f>
        <v/>
      </c>
      <c r="BT378" s="128">
        <f>IFERROR(AI378*$W378,)</f>
        <v/>
      </c>
      <c r="BU378" s="128">
        <f>IFERROR(AJ378*$W378,)</f>
        <v/>
      </c>
      <c r="BV378" s="128">
        <f>IFERROR(AK378*$W378,)</f>
        <v/>
      </c>
      <c r="BW378" s="128">
        <f>IFERROR(AL378*$W378,)</f>
        <v/>
      </c>
      <c r="BX378" s="128">
        <f>IFERROR(AM378*$W378,)</f>
        <v/>
      </c>
      <c r="BY378" s="128">
        <f>IFERROR(AN378*$W378,)</f>
        <v/>
      </c>
      <c r="BZ378" s="128">
        <f>IFERROR(AO378*$W378,)</f>
        <v/>
      </c>
      <c r="CA378" s="128">
        <f>IFERROR(AP378*$W378,)</f>
        <v/>
      </c>
      <c r="CB378" s="128">
        <f>IFERROR(AQ378*$W378,)</f>
        <v/>
      </c>
      <c r="CC378" s="128">
        <f>IFERROR(AR378*$W378,)</f>
        <v/>
      </c>
      <c r="CD378" s="128">
        <f>IFERROR(AS378*$W378,)</f>
        <v/>
      </c>
      <c r="CE378" s="128">
        <f>IFERROR(AT378*$W378,)</f>
        <v/>
      </c>
      <c r="CF378" s="128">
        <f>IFERROR(AU378*$W378,)</f>
        <v/>
      </c>
      <c r="CG378" s="128">
        <f>IFERROR(AV378*$W378,)</f>
        <v/>
      </c>
      <c r="CH378" s="128">
        <f>IFERROR(AW378*$W378,)</f>
        <v/>
      </c>
      <c r="CI378" s="128">
        <f>IFERROR(AX378*$W378,)</f>
        <v/>
      </c>
      <c r="CJ378" s="128">
        <f>IFERROR(AY378*$W378,)</f>
        <v/>
      </c>
      <c r="CK378" s="128">
        <f>IFERROR(AZ378*$W378,)</f>
        <v/>
      </c>
      <c r="CL378" s="129">
        <f>IFERROR(if($Y378=0,BA378*($W378/1.2),BA378*$Y378),"")</f>
        <v/>
      </c>
      <c r="CM378" s="129">
        <f>IFERROR(if($Y378=0,BB378*($W378/1.2),BB378*$Y378),"")</f>
        <v/>
      </c>
      <c r="CN378" s="129">
        <f>IFERROR(if($Y378=0,BC378*($W378/1.2),BC378*$Y378),"")</f>
        <v/>
      </c>
      <c r="CO378" s="130">
        <f>IFERROR(if($AA378=0,($W378/1.35)*BD378,BD378*$AA378),)</f>
        <v/>
      </c>
      <c r="CP378" s="130">
        <f>IFERROR(if($AA378=0,($W378/1.35)*BE378,BE378*$AA378),)</f>
        <v/>
      </c>
      <c r="CQ378" s="130">
        <f>IFERROR(if($AA378=0,($W378/1.35)*BF378,BF378*$AA378),)</f>
        <v/>
      </c>
      <c r="CR378" s="128">
        <f>IFERROR(if($AC378=0,($W378/0.74)*BG378,
BG378*$AC378),)</f>
        <v/>
      </c>
      <c r="CS378" s="128">
        <f>IFERROR(if($AC378=0,($W378/0.74)*BH378,
BH378*$AC378),)</f>
        <v/>
      </c>
      <c r="CT378" s="128">
        <f>IFERROR(if($AC378=0,($W378/0.74)*BI378,
BI378*$AC378),)</f>
        <v/>
      </c>
      <c r="CU378" s="128">
        <f>IFERROR(AI378*$V378,)</f>
        <v/>
      </c>
      <c r="CV378" s="128">
        <f>IFERROR(AJ378*$V378,)</f>
        <v/>
      </c>
      <c r="CW378" s="128">
        <f>IFERROR(AK378*$V378,)</f>
        <v/>
      </c>
      <c r="CX378" s="128">
        <f>IFERROR(AL378*$V378,)</f>
        <v/>
      </c>
      <c r="CY378" s="128">
        <f>IFERROR(AM378*$V378,)</f>
        <v/>
      </c>
      <c r="CZ378" s="128">
        <f>IFERROR(AN378*$V378,)</f>
        <v/>
      </c>
      <c r="DA378" s="128">
        <f>IFERROR(AO378*$V378,)</f>
        <v/>
      </c>
      <c r="DB378" s="128">
        <f>IFERROR(AP378*$V378,)</f>
        <v/>
      </c>
      <c r="DC378" s="128">
        <f>IFERROR(AQ378*$V378,)</f>
        <v/>
      </c>
      <c r="DD378" s="128">
        <f>IFERROR(AR378*$V378,)</f>
        <v/>
      </c>
      <c r="DE378" s="128">
        <f>IFERROR(AS378*$V378,)</f>
        <v/>
      </c>
      <c r="DF378" s="128">
        <f>IFERROR(AT378*$V378,)</f>
        <v/>
      </c>
      <c r="DG378" s="128">
        <f>IFERROR(AU378*$V378,)</f>
        <v/>
      </c>
      <c r="DH378" s="128">
        <f>IFERROR(AV378*$V378,)</f>
        <v/>
      </c>
      <c r="DI378" s="128">
        <f>IFERROR(AW378*$V378,)</f>
        <v/>
      </c>
      <c r="DJ378" s="128">
        <f>IFERROR(AX378*$V378,)</f>
        <v/>
      </c>
      <c r="DK378" s="128">
        <f>IFERROR(AY378*$V378,)</f>
        <v/>
      </c>
      <c r="DL378" s="128">
        <f>IFERROR(AZ378*$V378,)</f>
        <v/>
      </c>
      <c r="DM378" s="129">
        <f>IFERROR(if($X378=0,($V378/1.2)*BA378,
BA378*$X378),)</f>
        <v/>
      </c>
      <c r="DN378" s="129">
        <f>IFERROR(if($X378=0,($V378/1.2)*BB378,
BB378*$X378),)</f>
        <v/>
      </c>
      <c r="DO378" s="129">
        <f>IFERROR(if($X378=0,($V378/1.2)*BC378,
BC378*$X378),)</f>
        <v/>
      </c>
      <c r="DP378" s="130">
        <f>IFERROR(if($Z378=0,($V378/1.35)*BD378,
BD378*$Z378),)</f>
        <v/>
      </c>
      <c r="DQ378" s="130">
        <f>IFERROR(if($Z378=0,($V378/1.35)*BE378,
BE378*$Z378),)</f>
        <v/>
      </c>
      <c r="DR378" s="130">
        <f>IFERROR(if($Z378=0,($V378/1.35)*BF378,
BF378*$Z378),)</f>
        <v/>
      </c>
      <c r="DS378" s="128">
        <f>IFERROR(IF($AB378=0,($V378/0.74)*BG378,
BG378*$AB378),)</f>
        <v/>
      </c>
      <c r="DT378" s="128">
        <f>IFERROR(IF($AB378=0,($V378/0.74)*BH378,
BH378*$AB378),)</f>
        <v/>
      </c>
      <c r="DU378" s="128">
        <f>IFERROR(IF($AB378=0,($V378/0.74)*BI378,
BI378*$AB378),)</f>
        <v/>
      </c>
    </row>
    <row r="379" ht="131.25" customHeight="1" s="162">
      <c r="A379" s="115" t="n"/>
      <c r="B379" s="115" t="n"/>
      <c r="C379" s="115" t="n"/>
      <c r="D379" s="115" t="n"/>
      <c r="E379" s="115" t="n"/>
      <c r="F379" s="115" t="n"/>
      <c r="G379" s="115" t="n"/>
      <c r="H379" s="115" t="n"/>
      <c r="I379" s="115" t="n"/>
      <c r="J379" s="115" t="n"/>
      <c r="K379" s="115" t="n"/>
      <c r="L379" s="115" t="n"/>
      <c r="M379" s="115" t="n"/>
      <c r="N379" s="115" t="n"/>
      <c r="O379" s="115" t="n"/>
      <c r="P379" s="115" t="n"/>
      <c r="Q379" s="115" t="n"/>
      <c r="R379" s="115" t="n"/>
      <c r="S379" s="115" t="n"/>
      <c r="T379" s="115" t="n"/>
      <c r="U379" s="116" t="n"/>
      <c r="V379" s="116" t="n"/>
      <c r="W379" s="117" t="n"/>
      <c r="X379" s="118" t="n"/>
      <c r="Y379" s="119" t="n"/>
      <c r="Z379" s="120" t="n"/>
      <c r="AA379" s="121" t="n"/>
      <c r="AB379" s="122" t="n"/>
      <c r="AC379" s="117" t="n"/>
      <c r="AD379" s="123">
        <f>IF(SUM($AE379:$AH379)=0,"",SUM($AE379:$AH379))</f>
        <v/>
      </c>
      <c r="AE379" s="123">
        <f>iferror(IF(SUM($AI379:$AZ379)=0,"",SUM($AI379:$AZ379)),"")</f>
        <v/>
      </c>
      <c r="AF379" s="123">
        <f>iferror(IF(SUM($BA379:$BC379)=0,"",SUM($BA379:$BC379)),"")</f>
        <v/>
      </c>
      <c r="AG379" s="123">
        <f>iferror(IF(SUM($BD379:$BF379)=0,"",SUM($BD379:$BF379)),"")</f>
        <v/>
      </c>
      <c r="AH379" s="124">
        <f>iferror(IF(SUM($BG379:$BI379)=0,"",SUM($BG379:$BI379)),"")</f>
        <v/>
      </c>
      <c r="AI379" s="131" t="n"/>
      <c r="AJ379" s="132" t="n"/>
      <c r="AK379" s="132" t="n"/>
      <c r="AL379" s="132" t="n"/>
      <c r="AM379" s="132" t="n"/>
      <c r="AN379" s="132" t="n"/>
      <c r="AO379" s="132" t="n"/>
      <c r="AP379" s="132" t="n"/>
      <c r="AQ379" s="132" t="n"/>
      <c r="AR379" s="132" t="n"/>
      <c r="AS379" s="132" t="n"/>
      <c r="AT379" s="132" t="n"/>
      <c r="AU379" s="132" t="n"/>
      <c r="AV379" s="132" t="n"/>
      <c r="AW379" s="132" t="n"/>
      <c r="AX379" s="132" t="n"/>
      <c r="AY379" s="132" t="n"/>
      <c r="AZ379" s="133" t="n"/>
      <c r="BA379" s="131" t="n"/>
      <c r="BB379" s="132" t="n"/>
      <c r="BC379" s="133" t="n"/>
      <c r="BD379" s="131" t="n"/>
      <c r="BE379" s="132" t="n"/>
      <c r="BF379" s="133" t="n"/>
      <c r="BG379" s="131" t="n"/>
      <c r="BH379" s="132" t="n"/>
      <c r="BI379" s="132" t="n"/>
      <c r="BJ379" s="128">
        <f>iferror(SUM($BK379,($BL379*1.2),($BM379*1.35),($BN379*0.74)),)</f>
        <v/>
      </c>
      <c r="BK379" s="128">
        <f>IFERROR(SUM($BT379:$CK379),)</f>
        <v/>
      </c>
      <c r="BL379" s="129">
        <f>IFERROR(SUM($CL379:$CN379),)</f>
        <v/>
      </c>
      <c r="BM379" s="130">
        <f>IFERROR(SUM($CO379:$CQ379),)</f>
        <v/>
      </c>
      <c r="BN379" s="128">
        <f>IFERROR(SUM($CR379:$CT379),)</f>
        <v/>
      </c>
      <c r="BO379" s="128">
        <f>iferror(SUM($BP379,($BQ379*1.2),($BR379*1.35),($BS379*0.74)),)</f>
        <v/>
      </c>
      <c r="BP379" s="128">
        <f>IFERROR(SUM($CU379:$DL379),)</f>
        <v/>
      </c>
      <c r="BQ379" s="128">
        <f>IFERROR(SUM($DM379:$DO379),)</f>
        <v/>
      </c>
      <c r="BR379" s="128">
        <f>IFERROR(SUM($DP379:$DR379),)</f>
        <v/>
      </c>
      <c r="BS379" s="128">
        <f>IFERROR(SUM($DS379:$DU379),)</f>
        <v/>
      </c>
      <c r="BT379" s="128">
        <f>IFERROR(AI379*$W379,)</f>
        <v/>
      </c>
      <c r="BU379" s="128">
        <f>IFERROR(AJ379*$W379,)</f>
        <v/>
      </c>
      <c r="BV379" s="128">
        <f>IFERROR(AK379*$W379,)</f>
        <v/>
      </c>
      <c r="BW379" s="128">
        <f>IFERROR(AL379*$W379,)</f>
        <v/>
      </c>
      <c r="BX379" s="128">
        <f>IFERROR(AM379*$W379,)</f>
        <v/>
      </c>
      <c r="BY379" s="128">
        <f>IFERROR(AN379*$W379,)</f>
        <v/>
      </c>
      <c r="BZ379" s="128">
        <f>IFERROR(AO379*$W379,)</f>
        <v/>
      </c>
      <c r="CA379" s="128">
        <f>IFERROR(AP379*$W379,)</f>
        <v/>
      </c>
      <c r="CB379" s="128">
        <f>IFERROR(AQ379*$W379,)</f>
        <v/>
      </c>
      <c r="CC379" s="128">
        <f>IFERROR(AR379*$W379,)</f>
        <v/>
      </c>
      <c r="CD379" s="128">
        <f>IFERROR(AS379*$W379,)</f>
        <v/>
      </c>
      <c r="CE379" s="128">
        <f>IFERROR(AT379*$W379,)</f>
        <v/>
      </c>
      <c r="CF379" s="128">
        <f>IFERROR(AU379*$W379,)</f>
        <v/>
      </c>
      <c r="CG379" s="128">
        <f>IFERROR(AV379*$W379,)</f>
        <v/>
      </c>
      <c r="CH379" s="128">
        <f>IFERROR(AW379*$W379,)</f>
        <v/>
      </c>
      <c r="CI379" s="128">
        <f>IFERROR(AX379*$W379,)</f>
        <v/>
      </c>
      <c r="CJ379" s="128">
        <f>IFERROR(AY379*$W379,)</f>
        <v/>
      </c>
      <c r="CK379" s="128">
        <f>IFERROR(AZ379*$W379,)</f>
        <v/>
      </c>
      <c r="CL379" s="129">
        <f>IFERROR(if($Y379=0,BA379*($W379/1.2),BA379*$Y379),"")</f>
        <v/>
      </c>
      <c r="CM379" s="129">
        <f>IFERROR(if($Y379=0,BB379*($W379/1.2),BB379*$Y379),"")</f>
        <v/>
      </c>
      <c r="CN379" s="129">
        <f>IFERROR(if($Y379=0,BC379*($W379/1.2),BC379*$Y379),"")</f>
        <v/>
      </c>
      <c r="CO379" s="130">
        <f>IFERROR(if($AA379=0,($W379/1.35)*BD379,BD379*$AA379),)</f>
        <v/>
      </c>
      <c r="CP379" s="130">
        <f>IFERROR(if($AA379=0,($W379/1.35)*BE379,BE379*$AA379),)</f>
        <v/>
      </c>
      <c r="CQ379" s="130">
        <f>IFERROR(if($AA379=0,($W379/1.35)*BF379,BF379*$AA379),)</f>
        <v/>
      </c>
      <c r="CR379" s="128">
        <f>IFERROR(if($AC379=0,($W379/0.74)*BG379,
BG379*$AC379),)</f>
        <v/>
      </c>
      <c r="CS379" s="128">
        <f>IFERROR(if($AC379=0,($W379/0.74)*BH379,
BH379*$AC379),)</f>
        <v/>
      </c>
      <c r="CT379" s="128">
        <f>IFERROR(if($AC379=0,($W379/0.74)*BI379,
BI379*$AC379),)</f>
        <v/>
      </c>
      <c r="CU379" s="128">
        <f>IFERROR(AI379*$V379,)</f>
        <v/>
      </c>
      <c r="CV379" s="128">
        <f>IFERROR(AJ379*$V379,)</f>
        <v/>
      </c>
      <c r="CW379" s="128">
        <f>IFERROR(AK379*$V379,)</f>
        <v/>
      </c>
      <c r="CX379" s="128">
        <f>IFERROR(AL379*$V379,)</f>
        <v/>
      </c>
      <c r="CY379" s="128">
        <f>IFERROR(AM379*$V379,)</f>
        <v/>
      </c>
      <c r="CZ379" s="128">
        <f>IFERROR(AN379*$V379,)</f>
        <v/>
      </c>
      <c r="DA379" s="128">
        <f>IFERROR(AO379*$V379,)</f>
        <v/>
      </c>
      <c r="DB379" s="128">
        <f>IFERROR(AP379*$V379,)</f>
        <v/>
      </c>
      <c r="DC379" s="128">
        <f>IFERROR(AQ379*$V379,)</f>
        <v/>
      </c>
      <c r="DD379" s="128">
        <f>IFERROR(AR379*$V379,)</f>
        <v/>
      </c>
      <c r="DE379" s="128">
        <f>IFERROR(AS379*$V379,)</f>
        <v/>
      </c>
      <c r="DF379" s="128">
        <f>IFERROR(AT379*$V379,)</f>
        <v/>
      </c>
      <c r="DG379" s="128">
        <f>IFERROR(AU379*$V379,)</f>
        <v/>
      </c>
      <c r="DH379" s="128">
        <f>IFERROR(AV379*$V379,)</f>
        <v/>
      </c>
      <c r="DI379" s="128">
        <f>IFERROR(AW379*$V379,)</f>
        <v/>
      </c>
      <c r="DJ379" s="128">
        <f>IFERROR(AX379*$V379,)</f>
        <v/>
      </c>
      <c r="DK379" s="128">
        <f>IFERROR(AY379*$V379,)</f>
        <v/>
      </c>
      <c r="DL379" s="128">
        <f>IFERROR(AZ379*$V379,)</f>
        <v/>
      </c>
      <c r="DM379" s="129">
        <f>IFERROR(if($X379=0,($V379/1.2)*BA379,
BA379*$X379),)</f>
        <v/>
      </c>
      <c r="DN379" s="129">
        <f>IFERROR(if($X379=0,($V379/1.2)*BB379,
BB379*$X379),)</f>
        <v/>
      </c>
      <c r="DO379" s="129">
        <f>IFERROR(if($X379=0,($V379/1.2)*BC379,
BC379*$X379),)</f>
        <v/>
      </c>
      <c r="DP379" s="130">
        <f>IFERROR(if($Z379=0,($V379/1.35)*BD379,
BD379*$Z379),)</f>
        <v/>
      </c>
      <c r="DQ379" s="130">
        <f>IFERROR(if($Z379=0,($V379/1.35)*BE379,
BE379*$Z379),)</f>
        <v/>
      </c>
      <c r="DR379" s="130">
        <f>IFERROR(if($Z379=0,($V379/1.35)*BF379,
BF379*$Z379),)</f>
        <v/>
      </c>
      <c r="DS379" s="128">
        <f>IFERROR(IF($AB379=0,($V379/0.74)*BG379,
BG379*$AB379),)</f>
        <v/>
      </c>
      <c r="DT379" s="128">
        <f>IFERROR(IF($AB379=0,($V379/0.74)*BH379,
BH379*$AB379),)</f>
        <v/>
      </c>
      <c r="DU379" s="128">
        <f>IFERROR(IF($AB379=0,($V379/0.74)*BI379,
BI379*$AB379),)</f>
        <v/>
      </c>
    </row>
    <row r="380" ht="131.25" customHeight="1" s="162">
      <c r="A380" s="115" t="n"/>
      <c r="B380" s="115" t="n"/>
      <c r="C380" s="115" t="n"/>
      <c r="D380" s="115" t="n"/>
      <c r="E380" s="115" t="n"/>
      <c r="F380" s="115" t="n"/>
      <c r="G380" s="115" t="n"/>
      <c r="H380" s="115" t="n"/>
      <c r="I380" s="115" t="n"/>
      <c r="J380" s="115" t="n"/>
      <c r="K380" s="115" t="n"/>
      <c r="L380" s="115" t="n"/>
      <c r="M380" s="115" t="n"/>
      <c r="N380" s="115" t="n"/>
      <c r="O380" s="115" t="n"/>
      <c r="P380" s="115" t="n"/>
      <c r="Q380" s="115" t="n"/>
      <c r="R380" s="115" t="n"/>
      <c r="S380" s="115" t="n"/>
      <c r="T380" s="115" t="n"/>
      <c r="U380" s="116" t="n"/>
      <c r="V380" s="116" t="n"/>
      <c r="W380" s="117" t="n"/>
      <c r="X380" s="118" t="n"/>
      <c r="Y380" s="119" t="n"/>
      <c r="Z380" s="120" t="n"/>
      <c r="AA380" s="121" t="n"/>
      <c r="AB380" s="122" t="n"/>
      <c r="AC380" s="117" t="n"/>
      <c r="AD380" s="123">
        <f>IF(SUM($AE380:$AH380)=0,"",SUM($AE380:$AH380))</f>
        <v/>
      </c>
      <c r="AE380" s="123">
        <f>iferror(IF(SUM($AI380:$AZ380)=0,"",SUM($AI380:$AZ380)),"")</f>
        <v/>
      </c>
      <c r="AF380" s="123">
        <f>iferror(IF(SUM($BA380:$BC380)=0,"",SUM($BA380:$BC380)),"")</f>
        <v/>
      </c>
      <c r="AG380" s="123">
        <f>iferror(IF(SUM($BD380:$BF380)=0,"",SUM($BD380:$BF380)),"")</f>
        <v/>
      </c>
      <c r="AH380" s="124">
        <f>iferror(IF(SUM($BG380:$BI380)=0,"",SUM($BG380:$BI380)),"")</f>
        <v/>
      </c>
      <c r="AI380" s="131" t="n"/>
      <c r="AJ380" s="132" t="n"/>
      <c r="AK380" s="132" t="n"/>
      <c r="AL380" s="132" t="n"/>
      <c r="AM380" s="132" t="n"/>
      <c r="AN380" s="132" t="n"/>
      <c r="AO380" s="132" t="n"/>
      <c r="AP380" s="132" t="n"/>
      <c r="AQ380" s="132" t="n"/>
      <c r="AR380" s="132" t="n"/>
      <c r="AS380" s="132" t="n"/>
      <c r="AT380" s="132" t="n"/>
      <c r="AU380" s="132" t="n"/>
      <c r="AV380" s="132" t="n"/>
      <c r="AW380" s="132" t="n"/>
      <c r="AX380" s="132" t="n"/>
      <c r="AY380" s="132" t="n"/>
      <c r="AZ380" s="133" t="n"/>
      <c r="BA380" s="131" t="n"/>
      <c r="BB380" s="132" t="n"/>
      <c r="BC380" s="133" t="n"/>
      <c r="BD380" s="131" t="n"/>
      <c r="BE380" s="132" t="n"/>
      <c r="BF380" s="133" t="n"/>
      <c r="BG380" s="131" t="n"/>
      <c r="BH380" s="132" t="n"/>
      <c r="BI380" s="132" t="n"/>
      <c r="BJ380" s="128">
        <f>iferror(SUM($BK380,($BL380*1.2),($BM380*1.35),($BN380*0.74)),)</f>
        <v/>
      </c>
      <c r="BK380" s="128">
        <f>IFERROR(SUM($BT380:$CK380),)</f>
        <v/>
      </c>
      <c r="BL380" s="129">
        <f>IFERROR(SUM($CL380:$CN380),)</f>
        <v/>
      </c>
      <c r="BM380" s="130">
        <f>IFERROR(SUM($CO380:$CQ380),)</f>
        <v/>
      </c>
      <c r="BN380" s="128">
        <f>IFERROR(SUM($CR380:$CT380),)</f>
        <v/>
      </c>
      <c r="BO380" s="128">
        <f>iferror(SUM($BP380,($BQ380*1.2),($BR380*1.35),($BS380*0.74)),)</f>
        <v/>
      </c>
      <c r="BP380" s="128">
        <f>IFERROR(SUM($CU380:$DL380),)</f>
        <v/>
      </c>
      <c r="BQ380" s="128">
        <f>IFERROR(SUM($DM380:$DO380),)</f>
        <v/>
      </c>
      <c r="BR380" s="128">
        <f>IFERROR(SUM($DP380:$DR380),)</f>
        <v/>
      </c>
      <c r="BS380" s="128">
        <f>IFERROR(SUM($DS380:$DU380),)</f>
        <v/>
      </c>
      <c r="BT380" s="128">
        <f>IFERROR(AI380*$W380,)</f>
        <v/>
      </c>
      <c r="BU380" s="128">
        <f>IFERROR(AJ380*$W380,)</f>
        <v/>
      </c>
      <c r="BV380" s="128">
        <f>IFERROR(AK380*$W380,)</f>
        <v/>
      </c>
      <c r="BW380" s="128">
        <f>IFERROR(AL380*$W380,)</f>
        <v/>
      </c>
      <c r="BX380" s="128">
        <f>IFERROR(AM380*$W380,)</f>
        <v/>
      </c>
      <c r="BY380" s="128">
        <f>IFERROR(AN380*$W380,)</f>
        <v/>
      </c>
      <c r="BZ380" s="128">
        <f>IFERROR(AO380*$W380,)</f>
        <v/>
      </c>
      <c r="CA380" s="128">
        <f>IFERROR(AP380*$W380,)</f>
        <v/>
      </c>
      <c r="CB380" s="128">
        <f>IFERROR(AQ380*$W380,)</f>
        <v/>
      </c>
      <c r="CC380" s="128">
        <f>IFERROR(AR380*$W380,)</f>
        <v/>
      </c>
      <c r="CD380" s="128">
        <f>IFERROR(AS380*$W380,)</f>
        <v/>
      </c>
      <c r="CE380" s="128">
        <f>IFERROR(AT380*$W380,)</f>
        <v/>
      </c>
      <c r="CF380" s="128">
        <f>IFERROR(AU380*$W380,)</f>
        <v/>
      </c>
      <c r="CG380" s="128">
        <f>IFERROR(AV380*$W380,)</f>
        <v/>
      </c>
      <c r="CH380" s="128">
        <f>IFERROR(AW380*$W380,)</f>
        <v/>
      </c>
      <c r="CI380" s="128">
        <f>IFERROR(AX380*$W380,)</f>
        <v/>
      </c>
      <c r="CJ380" s="128">
        <f>IFERROR(AY380*$W380,)</f>
        <v/>
      </c>
      <c r="CK380" s="128">
        <f>IFERROR(AZ380*$W380,)</f>
        <v/>
      </c>
      <c r="CL380" s="129">
        <f>IFERROR(if($Y380=0,BA380*($W380/1.2),BA380*$Y380),"")</f>
        <v/>
      </c>
      <c r="CM380" s="129">
        <f>IFERROR(if($Y380=0,BB380*($W380/1.2),BB380*$Y380),"")</f>
        <v/>
      </c>
      <c r="CN380" s="129">
        <f>IFERROR(if($Y380=0,BC380*($W380/1.2),BC380*$Y380),"")</f>
        <v/>
      </c>
      <c r="CO380" s="130">
        <f>IFERROR(if($AA380=0,($W380/1.35)*BD380,BD380*$AA380),)</f>
        <v/>
      </c>
      <c r="CP380" s="130">
        <f>IFERROR(if($AA380=0,($W380/1.35)*BE380,BE380*$AA380),)</f>
        <v/>
      </c>
      <c r="CQ380" s="130">
        <f>IFERROR(if($AA380=0,($W380/1.35)*BF380,BF380*$AA380),)</f>
        <v/>
      </c>
      <c r="CR380" s="128">
        <f>IFERROR(if($AC380=0,($W380/0.74)*BG380,
BG380*$AC380),)</f>
        <v/>
      </c>
      <c r="CS380" s="128">
        <f>IFERROR(if($AC380=0,($W380/0.74)*BH380,
BH380*$AC380),)</f>
        <v/>
      </c>
      <c r="CT380" s="128">
        <f>IFERROR(if($AC380=0,($W380/0.74)*BI380,
BI380*$AC380),)</f>
        <v/>
      </c>
      <c r="CU380" s="128">
        <f>IFERROR(AI380*$V380,)</f>
        <v/>
      </c>
      <c r="CV380" s="128">
        <f>IFERROR(AJ380*$V380,)</f>
        <v/>
      </c>
      <c r="CW380" s="128">
        <f>IFERROR(AK380*$V380,)</f>
        <v/>
      </c>
      <c r="CX380" s="128">
        <f>IFERROR(AL380*$V380,)</f>
        <v/>
      </c>
      <c r="CY380" s="128">
        <f>IFERROR(AM380*$V380,)</f>
        <v/>
      </c>
      <c r="CZ380" s="128">
        <f>IFERROR(AN380*$V380,)</f>
        <v/>
      </c>
      <c r="DA380" s="128">
        <f>IFERROR(AO380*$V380,)</f>
        <v/>
      </c>
      <c r="DB380" s="128">
        <f>IFERROR(AP380*$V380,)</f>
        <v/>
      </c>
      <c r="DC380" s="128">
        <f>IFERROR(AQ380*$V380,)</f>
        <v/>
      </c>
      <c r="DD380" s="128">
        <f>IFERROR(AR380*$V380,)</f>
        <v/>
      </c>
      <c r="DE380" s="128">
        <f>IFERROR(AS380*$V380,)</f>
        <v/>
      </c>
      <c r="DF380" s="128">
        <f>IFERROR(AT380*$V380,)</f>
        <v/>
      </c>
      <c r="DG380" s="128">
        <f>IFERROR(AU380*$V380,)</f>
        <v/>
      </c>
      <c r="DH380" s="128">
        <f>IFERROR(AV380*$V380,)</f>
        <v/>
      </c>
      <c r="DI380" s="128">
        <f>IFERROR(AW380*$V380,)</f>
        <v/>
      </c>
      <c r="DJ380" s="128">
        <f>IFERROR(AX380*$V380,)</f>
        <v/>
      </c>
      <c r="DK380" s="128">
        <f>IFERROR(AY380*$V380,)</f>
        <v/>
      </c>
      <c r="DL380" s="128">
        <f>IFERROR(AZ380*$V380,)</f>
        <v/>
      </c>
      <c r="DM380" s="129">
        <f>IFERROR(if($X380=0,($V380/1.2)*BA380,
BA380*$X380),)</f>
        <v/>
      </c>
      <c r="DN380" s="129">
        <f>IFERROR(if($X380=0,($V380/1.2)*BB380,
BB380*$X380),)</f>
        <v/>
      </c>
      <c r="DO380" s="129">
        <f>IFERROR(if($X380=0,($V380/1.2)*BC380,
BC380*$X380),)</f>
        <v/>
      </c>
      <c r="DP380" s="130">
        <f>IFERROR(if($Z380=0,($V380/1.35)*BD380,
BD380*$Z380),)</f>
        <v/>
      </c>
      <c r="DQ380" s="130">
        <f>IFERROR(if($Z380=0,($V380/1.35)*BE380,
BE380*$Z380),)</f>
        <v/>
      </c>
      <c r="DR380" s="130">
        <f>IFERROR(if($Z380=0,($V380/1.35)*BF380,
BF380*$Z380),)</f>
        <v/>
      </c>
      <c r="DS380" s="128">
        <f>IFERROR(IF($AB380=0,($V380/0.74)*BG380,
BG380*$AB380),)</f>
        <v/>
      </c>
      <c r="DT380" s="128">
        <f>IFERROR(IF($AB380=0,($V380/0.74)*BH380,
BH380*$AB380),)</f>
        <v/>
      </c>
      <c r="DU380" s="128">
        <f>IFERROR(IF($AB380=0,($V380/0.74)*BI380,
BI380*$AB380),)</f>
        <v/>
      </c>
    </row>
    <row r="381" ht="131.25" customHeight="1" s="162">
      <c r="A381" s="115" t="n"/>
      <c r="B381" s="115" t="n"/>
      <c r="C381" s="115" t="n"/>
      <c r="D381" s="115" t="n"/>
      <c r="E381" s="115" t="n"/>
      <c r="F381" s="115" t="n"/>
      <c r="G381" s="115" t="n"/>
      <c r="H381" s="115" t="n"/>
      <c r="I381" s="115" t="n"/>
      <c r="J381" s="115" t="n"/>
      <c r="K381" s="115" t="n"/>
      <c r="L381" s="115" t="n"/>
      <c r="M381" s="115" t="n"/>
      <c r="N381" s="115" t="n"/>
      <c r="O381" s="115" t="n"/>
      <c r="P381" s="115" t="n"/>
      <c r="Q381" s="115" t="n"/>
      <c r="R381" s="115" t="n"/>
      <c r="S381" s="115" t="n"/>
      <c r="T381" s="115" t="n"/>
      <c r="U381" s="116" t="n"/>
      <c r="V381" s="116" t="n"/>
      <c r="W381" s="117" t="n"/>
      <c r="X381" s="118" t="n"/>
      <c r="Y381" s="119" t="n"/>
      <c r="Z381" s="120" t="n"/>
      <c r="AA381" s="121" t="n"/>
      <c r="AB381" s="122" t="n"/>
      <c r="AC381" s="117" t="n"/>
      <c r="AD381" s="123">
        <f>IF(SUM($AE381:$AH381)=0,"",SUM($AE381:$AH381))</f>
        <v/>
      </c>
      <c r="AE381" s="123">
        <f>iferror(IF(SUM($AI381:$AZ381)=0,"",SUM($AI381:$AZ381)),"")</f>
        <v/>
      </c>
      <c r="AF381" s="123">
        <f>iferror(IF(SUM($BA381:$BC381)=0,"",SUM($BA381:$BC381)),"")</f>
        <v/>
      </c>
      <c r="AG381" s="123">
        <f>iferror(IF(SUM($BD381:$BF381)=0,"",SUM($BD381:$BF381)),"")</f>
        <v/>
      </c>
      <c r="AH381" s="124">
        <f>iferror(IF(SUM($BG381:$BI381)=0,"",SUM($BG381:$BI381)),"")</f>
        <v/>
      </c>
      <c r="AI381" s="131" t="n"/>
      <c r="AJ381" s="132" t="n"/>
      <c r="AK381" s="132" t="n"/>
      <c r="AL381" s="132" t="n"/>
      <c r="AM381" s="132" t="n"/>
      <c r="AN381" s="132" t="n"/>
      <c r="AO381" s="132" t="n"/>
      <c r="AP381" s="132" t="n"/>
      <c r="AQ381" s="132" t="n"/>
      <c r="AR381" s="132" t="n"/>
      <c r="AS381" s="132" t="n"/>
      <c r="AT381" s="132" t="n"/>
      <c r="AU381" s="132" t="n"/>
      <c r="AV381" s="132" t="n"/>
      <c r="AW381" s="132" t="n"/>
      <c r="AX381" s="132" t="n"/>
      <c r="AY381" s="132" t="n"/>
      <c r="AZ381" s="133" t="n"/>
      <c r="BA381" s="131" t="n"/>
      <c r="BB381" s="132" t="n"/>
      <c r="BC381" s="133" t="n"/>
      <c r="BD381" s="131" t="n"/>
      <c r="BE381" s="132" t="n"/>
      <c r="BF381" s="133" t="n"/>
      <c r="BG381" s="131" t="n"/>
      <c r="BH381" s="132" t="n"/>
      <c r="BI381" s="132" t="n"/>
      <c r="BJ381" s="128">
        <f>iferror(SUM($BK381,($BL381*1.2),($BM381*1.35),($BN381*0.74)),)</f>
        <v/>
      </c>
      <c r="BK381" s="128">
        <f>IFERROR(SUM($BT381:$CK381),)</f>
        <v/>
      </c>
      <c r="BL381" s="129">
        <f>IFERROR(SUM($CL381:$CN381),)</f>
        <v/>
      </c>
      <c r="BM381" s="130">
        <f>IFERROR(SUM($CO381:$CQ381),)</f>
        <v/>
      </c>
      <c r="BN381" s="128">
        <f>IFERROR(SUM($CR381:$CT381),)</f>
        <v/>
      </c>
      <c r="BO381" s="128">
        <f>iferror(SUM($BP381,($BQ381*1.2),($BR381*1.35),($BS381*0.74)),)</f>
        <v/>
      </c>
      <c r="BP381" s="128">
        <f>IFERROR(SUM($CU381:$DL381),)</f>
        <v/>
      </c>
      <c r="BQ381" s="128">
        <f>IFERROR(SUM($DM381:$DO381),)</f>
        <v/>
      </c>
      <c r="BR381" s="128">
        <f>IFERROR(SUM($DP381:$DR381),)</f>
        <v/>
      </c>
      <c r="BS381" s="128">
        <f>IFERROR(SUM($DS381:$DU381),)</f>
        <v/>
      </c>
      <c r="BT381" s="128">
        <f>IFERROR(AI381*$W381,)</f>
        <v/>
      </c>
      <c r="BU381" s="128">
        <f>IFERROR(AJ381*$W381,)</f>
        <v/>
      </c>
      <c r="BV381" s="128">
        <f>IFERROR(AK381*$W381,)</f>
        <v/>
      </c>
      <c r="BW381" s="128">
        <f>IFERROR(AL381*$W381,)</f>
        <v/>
      </c>
      <c r="BX381" s="128">
        <f>IFERROR(AM381*$W381,)</f>
        <v/>
      </c>
      <c r="BY381" s="128">
        <f>IFERROR(AN381*$W381,)</f>
        <v/>
      </c>
      <c r="BZ381" s="128">
        <f>IFERROR(AO381*$W381,)</f>
        <v/>
      </c>
      <c r="CA381" s="128">
        <f>IFERROR(AP381*$W381,)</f>
        <v/>
      </c>
      <c r="CB381" s="128">
        <f>IFERROR(AQ381*$W381,)</f>
        <v/>
      </c>
      <c r="CC381" s="128">
        <f>IFERROR(AR381*$W381,)</f>
        <v/>
      </c>
      <c r="CD381" s="128">
        <f>IFERROR(AS381*$W381,)</f>
        <v/>
      </c>
      <c r="CE381" s="128">
        <f>IFERROR(AT381*$W381,)</f>
        <v/>
      </c>
      <c r="CF381" s="128">
        <f>IFERROR(AU381*$W381,)</f>
        <v/>
      </c>
      <c r="CG381" s="128">
        <f>IFERROR(AV381*$W381,)</f>
        <v/>
      </c>
      <c r="CH381" s="128">
        <f>IFERROR(AW381*$W381,)</f>
        <v/>
      </c>
      <c r="CI381" s="128">
        <f>IFERROR(AX381*$W381,)</f>
        <v/>
      </c>
      <c r="CJ381" s="128">
        <f>IFERROR(AY381*$W381,)</f>
        <v/>
      </c>
      <c r="CK381" s="128">
        <f>IFERROR(AZ381*$W381,)</f>
        <v/>
      </c>
      <c r="CL381" s="129">
        <f>IFERROR(if($Y381=0,BA381*($W381/1.2),BA381*$Y381),"")</f>
        <v/>
      </c>
      <c r="CM381" s="129">
        <f>IFERROR(if($Y381=0,BB381*($W381/1.2),BB381*$Y381),"")</f>
        <v/>
      </c>
      <c r="CN381" s="129">
        <f>IFERROR(if($Y381=0,BC381*($W381/1.2),BC381*$Y381),"")</f>
        <v/>
      </c>
      <c r="CO381" s="130">
        <f>IFERROR(if($AA381=0,($W381/1.35)*BD381,BD381*$AA381),)</f>
        <v/>
      </c>
      <c r="CP381" s="130">
        <f>IFERROR(if($AA381=0,($W381/1.35)*BE381,BE381*$AA381),)</f>
        <v/>
      </c>
      <c r="CQ381" s="130">
        <f>IFERROR(if($AA381=0,($W381/1.35)*BF381,BF381*$AA381),)</f>
        <v/>
      </c>
      <c r="CR381" s="128">
        <f>IFERROR(if($AC381=0,($W381/0.74)*BG381,
BG381*$AC381),)</f>
        <v/>
      </c>
      <c r="CS381" s="128">
        <f>IFERROR(if($AC381=0,($W381/0.74)*BH381,
BH381*$AC381),)</f>
        <v/>
      </c>
      <c r="CT381" s="128">
        <f>IFERROR(if($AC381=0,($W381/0.74)*BI381,
BI381*$AC381),)</f>
        <v/>
      </c>
      <c r="CU381" s="128">
        <f>IFERROR(AI381*$V381,)</f>
        <v/>
      </c>
      <c r="CV381" s="128">
        <f>IFERROR(AJ381*$V381,)</f>
        <v/>
      </c>
      <c r="CW381" s="128">
        <f>IFERROR(AK381*$V381,)</f>
        <v/>
      </c>
      <c r="CX381" s="128">
        <f>IFERROR(AL381*$V381,)</f>
        <v/>
      </c>
      <c r="CY381" s="128">
        <f>IFERROR(AM381*$V381,)</f>
        <v/>
      </c>
      <c r="CZ381" s="128">
        <f>IFERROR(AN381*$V381,)</f>
        <v/>
      </c>
      <c r="DA381" s="128">
        <f>IFERROR(AO381*$V381,)</f>
        <v/>
      </c>
      <c r="DB381" s="128">
        <f>IFERROR(AP381*$V381,)</f>
        <v/>
      </c>
      <c r="DC381" s="128">
        <f>IFERROR(AQ381*$V381,)</f>
        <v/>
      </c>
      <c r="DD381" s="128">
        <f>IFERROR(AR381*$V381,)</f>
        <v/>
      </c>
      <c r="DE381" s="128">
        <f>IFERROR(AS381*$V381,)</f>
        <v/>
      </c>
      <c r="DF381" s="128">
        <f>IFERROR(AT381*$V381,)</f>
        <v/>
      </c>
      <c r="DG381" s="128">
        <f>IFERROR(AU381*$V381,)</f>
        <v/>
      </c>
      <c r="DH381" s="128">
        <f>IFERROR(AV381*$V381,)</f>
        <v/>
      </c>
      <c r="DI381" s="128">
        <f>IFERROR(AW381*$V381,)</f>
        <v/>
      </c>
      <c r="DJ381" s="128">
        <f>IFERROR(AX381*$V381,)</f>
        <v/>
      </c>
      <c r="DK381" s="128">
        <f>IFERROR(AY381*$V381,)</f>
        <v/>
      </c>
      <c r="DL381" s="128">
        <f>IFERROR(AZ381*$V381,)</f>
        <v/>
      </c>
      <c r="DM381" s="129">
        <f>IFERROR(if($X381=0,($V381/1.2)*BA381,
BA381*$X381),)</f>
        <v/>
      </c>
      <c r="DN381" s="129">
        <f>IFERROR(if($X381=0,($V381/1.2)*BB381,
BB381*$X381),)</f>
        <v/>
      </c>
      <c r="DO381" s="129">
        <f>IFERROR(if($X381=0,($V381/1.2)*BC381,
BC381*$X381),)</f>
        <v/>
      </c>
      <c r="DP381" s="130">
        <f>IFERROR(if($Z381=0,($V381/1.35)*BD381,
BD381*$Z381),)</f>
        <v/>
      </c>
      <c r="DQ381" s="130">
        <f>IFERROR(if($Z381=0,($V381/1.35)*BE381,
BE381*$Z381),)</f>
        <v/>
      </c>
      <c r="DR381" s="130">
        <f>IFERROR(if($Z381=0,($V381/1.35)*BF381,
BF381*$Z381),)</f>
        <v/>
      </c>
      <c r="DS381" s="128">
        <f>IFERROR(IF($AB381=0,($V381/0.74)*BG381,
BG381*$AB381),)</f>
        <v/>
      </c>
      <c r="DT381" s="128">
        <f>IFERROR(IF($AB381=0,($V381/0.74)*BH381,
BH381*$AB381),)</f>
        <v/>
      </c>
      <c r="DU381" s="128">
        <f>IFERROR(IF($AB381=0,($V381/0.74)*BI381,
BI381*$AB381),)</f>
        <v/>
      </c>
    </row>
    <row r="382" ht="131.25" customHeight="1" s="162">
      <c r="A382" s="115" t="n"/>
      <c r="B382" s="115" t="n"/>
      <c r="C382" s="115" t="n"/>
      <c r="D382" s="115" t="n"/>
      <c r="E382" s="115" t="n"/>
      <c r="F382" s="115" t="n"/>
      <c r="G382" s="115" t="n"/>
      <c r="H382" s="115" t="n"/>
      <c r="I382" s="115" t="n"/>
      <c r="J382" s="115" t="n"/>
      <c r="K382" s="115" t="n"/>
      <c r="L382" s="115" t="n"/>
      <c r="M382" s="115" t="n"/>
      <c r="N382" s="115" t="n"/>
      <c r="O382" s="115" t="n"/>
      <c r="P382" s="115" t="n"/>
      <c r="Q382" s="115" t="n"/>
      <c r="R382" s="115" t="n"/>
      <c r="S382" s="115" t="n"/>
      <c r="T382" s="115" t="n"/>
      <c r="U382" s="116" t="n"/>
      <c r="V382" s="116" t="n"/>
      <c r="W382" s="117" t="n"/>
      <c r="X382" s="118" t="n"/>
      <c r="Y382" s="119" t="n"/>
      <c r="Z382" s="120" t="n"/>
      <c r="AA382" s="121" t="n"/>
      <c r="AB382" s="122" t="n"/>
      <c r="AC382" s="117" t="n"/>
      <c r="AD382" s="123">
        <f>IF(SUM($AE382:$AH382)=0,"",SUM($AE382:$AH382))</f>
        <v/>
      </c>
      <c r="AE382" s="123">
        <f>iferror(IF(SUM($AI382:$AZ382)=0,"",SUM($AI382:$AZ382)),"")</f>
        <v/>
      </c>
      <c r="AF382" s="123">
        <f>iferror(IF(SUM($BA382:$BC382)=0,"",SUM($BA382:$BC382)),"")</f>
        <v/>
      </c>
      <c r="AG382" s="123">
        <f>iferror(IF(SUM($BD382:$BF382)=0,"",SUM($BD382:$BF382)),"")</f>
        <v/>
      </c>
      <c r="AH382" s="124">
        <f>iferror(IF(SUM($BG382:$BI382)=0,"",SUM($BG382:$BI382)),"")</f>
        <v/>
      </c>
      <c r="AI382" s="131" t="n"/>
      <c r="AJ382" s="132" t="n"/>
      <c r="AK382" s="132" t="n"/>
      <c r="AL382" s="132" t="n"/>
      <c r="AM382" s="132" t="n"/>
      <c r="AN382" s="132" t="n"/>
      <c r="AO382" s="132" t="n"/>
      <c r="AP382" s="132" t="n"/>
      <c r="AQ382" s="132" t="n"/>
      <c r="AR382" s="132" t="n"/>
      <c r="AS382" s="132" t="n"/>
      <c r="AT382" s="132" t="n"/>
      <c r="AU382" s="132" t="n"/>
      <c r="AV382" s="132" t="n"/>
      <c r="AW382" s="132" t="n"/>
      <c r="AX382" s="132" t="n"/>
      <c r="AY382" s="132" t="n"/>
      <c r="AZ382" s="133" t="n"/>
      <c r="BA382" s="131" t="n"/>
      <c r="BB382" s="132" t="n"/>
      <c r="BC382" s="133" t="n"/>
      <c r="BD382" s="131" t="n"/>
      <c r="BE382" s="132" t="n"/>
      <c r="BF382" s="133" t="n"/>
      <c r="BG382" s="131" t="n"/>
      <c r="BH382" s="132" t="n"/>
      <c r="BI382" s="132" t="n"/>
      <c r="BJ382" s="128">
        <f>iferror(SUM($BK382,($BL382*1.2),($BM382*1.35),($BN382*0.74)),)</f>
        <v/>
      </c>
      <c r="BK382" s="128">
        <f>IFERROR(SUM($BT382:$CK382),)</f>
        <v/>
      </c>
      <c r="BL382" s="129">
        <f>IFERROR(SUM($CL382:$CN382),)</f>
        <v/>
      </c>
      <c r="BM382" s="130">
        <f>IFERROR(SUM($CO382:$CQ382),)</f>
        <v/>
      </c>
      <c r="BN382" s="128">
        <f>IFERROR(SUM($CR382:$CT382),)</f>
        <v/>
      </c>
      <c r="BO382" s="128">
        <f>iferror(SUM($BP382,($BQ382*1.2),($BR382*1.35),($BS382*0.74)),)</f>
        <v/>
      </c>
      <c r="BP382" s="128">
        <f>IFERROR(SUM($CU382:$DL382),)</f>
        <v/>
      </c>
      <c r="BQ382" s="128">
        <f>IFERROR(SUM($DM382:$DO382),)</f>
        <v/>
      </c>
      <c r="BR382" s="128">
        <f>IFERROR(SUM($DP382:$DR382),)</f>
        <v/>
      </c>
      <c r="BS382" s="128">
        <f>IFERROR(SUM($DS382:$DU382),)</f>
        <v/>
      </c>
      <c r="BT382" s="128">
        <f>IFERROR(AI382*$W382,)</f>
        <v/>
      </c>
      <c r="BU382" s="128">
        <f>IFERROR(AJ382*$W382,)</f>
        <v/>
      </c>
      <c r="BV382" s="128">
        <f>IFERROR(AK382*$W382,)</f>
        <v/>
      </c>
      <c r="BW382" s="128">
        <f>IFERROR(AL382*$W382,)</f>
        <v/>
      </c>
      <c r="BX382" s="128">
        <f>IFERROR(AM382*$W382,)</f>
        <v/>
      </c>
      <c r="BY382" s="128">
        <f>IFERROR(AN382*$W382,)</f>
        <v/>
      </c>
      <c r="BZ382" s="128">
        <f>IFERROR(AO382*$W382,)</f>
        <v/>
      </c>
      <c r="CA382" s="128">
        <f>IFERROR(AP382*$W382,)</f>
        <v/>
      </c>
      <c r="CB382" s="128">
        <f>IFERROR(AQ382*$W382,)</f>
        <v/>
      </c>
      <c r="CC382" s="128">
        <f>IFERROR(AR382*$W382,)</f>
        <v/>
      </c>
      <c r="CD382" s="128">
        <f>IFERROR(AS382*$W382,)</f>
        <v/>
      </c>
      <c r="CE382" s="128">
        <f>IFERROR(AT382*$W382,)</f>
        <v/>
      </c>
      <c r="CF382" s="128">
        <f>IFERROR(AU382*$W382,)</f>
        <v/>
      </c>
      <c r="CG382" s="128">
        <f>IFERROR(AV382*$W382,)</f>
        <v/>
      </c>
      <c r="CH382" s="128">
        <f>IFERROR(AW382*$W382,)</f>
        <v/>
      </c>
      <c r="CI382" s="128">
        <f>IFERROR(AX382*$W382,)</f>
        <v/>
      </c>
      <c r="CJ382" s="128">
        <f>IFERROR(AY382*$W382,)</f>
        <v/>
      </c>
      <c r="CK382" s="128">
        <f>IFERROR(AZ382*$W382,)</f>
        <v/>
      </c>
      <c r="CL382" s="129">
        <f>IFERROR(if($Y382=0,BA382*($W382/1.2),BA382*$Y382),"")</f>
        <v/>
      </c>
      <c r="CM382" s="129">
        <f>IFERROR(if($Y382=0,BB382*($W382/1.2),BB382*$Y382),"")</f>
        <v/>
      </c>
      <c r="CN382" s="129">
        <f>IFERROR(if($Y382=0,BC382*($W382/1.2),BC382*$Y382),"")</f>
        <v/>
      </c>
      <c r="CO382" s="130">
        <f>IFERROR(if($AA382=0,($W382/1.35)*BD382,BD382*$AA382),)</f>
        <v/>
      </c>
      <c r="CP382" s="130">
        <f>IFERROR(if($AA382=0,($W382/1.35)*BE382,BE382*$AA382),)</f>
        <v/>
      </c>
      <c r="CQ382" s="130">
        <f>IFERROR(if($AA382=0,($W382/1.35)*BF382,BF382*$AA382),)</f>
        <v/>
      </c>
      <c r="CR382" s="128">
        <f>IFERROR(if($AC382=0,($W382/0.74)*BG382,
BG382*$AC382),)</f>
        <v/>
      </c>
      <c r="CS382" s="128">
        <f>IFERROR(if($AC382=0,($W382/0.74)*BH382,
BH382*$AC382),)</f>
        <v/>
      </c>
      <c r="CT382" s="128">
        <f>IFERROR(if($AC382=0,($W382/0.74)*BI382,
BI382*$AC382),)</f>
        <v/>
      </c>
      <c r="CU382" s="128">
        <f>IFERROR(AI382*$V382,)</f>
        <v/>
      </c>
      <c r="CV382" s="128">
        <f>IFERROR(AJ382*$V382,)</f>
        <v/>
      </c>
      <c r="CW382" s="128">
        <f>IFERROR(AK382*$V382,)</f>
        <v/>
      </c>
      <c r="CX382" s="128">
        <f>IFERROR(AL382*$V382,)</f>
        <v/>
      </c>
      <c r="CY382" s="128">
        <f>IFERROR(AM382*$V382,)</f>
        <v/>
      </c>
      <c r="CZ382" s="128">
        <f>IFERROR(AN382*$V382,)</f>
        <v/>
      </c>
      <c r="DA382" s="128">
        <f>IFERROR(AO382*$V382,)</f>
        <v/>
      </c>
      <c r="DB382" s="128">
        <f>IFERROR(AP382*$V382,)</f>
        <v/>
      </c>
      <c r="DC382" s="128">
        <f>IFERROR(AQ382*$V382,)</f>
        <v/>
      </c>
      <c r="DD382" s="128">
        <f>IFERROR(AR382*$V382,)</f>
        <v/>
      </c>
      <c r="DE382" s="128">
        <f>IFERROR(AS382*$V382,)</f>
        <v/>
      </c>
      <c r="DF382" s="128">
        <f>IFERROR(AT382*$V382,)</f>
        <v/>
      </c>
      <c r="DG382" s="128">
        <f>IFERROR(AU382*$V382,)</f>
        <v/>
      </c>
      <c r="DH382" s="128">
        <f>IFERROR(AV382*$V382,)</f>
        <v/>
      </c>
      <c r="DI382" s="128">
        <f>IFERROR(AW382*$V382,)</f>
        <v/>
      </c>
      <c r="DJ382" s="128">
        <f>IFERROR(AX382*$V382,)</f>
        <v/>
      </c>
      <c r="DK382" s="128">
        <f>IFERROR(AY382*$V382,)</f>
        <v/>
      </c>
      <c r="DL382" s="128">
        <f>IFERROR(AZ382*$V382,)</f>
        <v/>
      </c>
      <c r="DM382" s="129">
        <f>IFERROR(if($X382=0,($V382/1.2)*BA382,
BA382*$X382),)</f>
        <v/>
      </c>
      <c r="DN382" s="129">
        <f>IFERROR(if($X382=0,($V382/1.2)*BB382,
BB382*$X382),)</f>
        <v/>
      </c>
      <c r="DO382" s="129">
        <f>IFERROR(if($X382=0,($V382/1.2)*BC382,
BC382*$X382),)</f>
        <v/>
      </c>
      <c r="DP382" s="130">
        <f>IFERROR(if($Z382=0,($V382/1.35)*BD382,
BD382*$Z382),)</f>
        <v/>
      </c>
      <c r="DQ382" s="130">
        <f>IFERROR(if($Z382=0,($V382/1.35)*BE382,
BE382*$Z382),)</f>
        <v/>
      </c>
      <c r="DR382" s="130">
        <f>IFERROR(if($Z382=0,($V382/1.35)*BF382,
BF382*$Z382),)</f>
        <v/>
      </c>
      <c r="DS382" s="128">
        <f>IFERROR(IF($AB382=0,($V382/0.74)*BG382,
BG382*$AB382),)</f>
        <v/>
      </c>
      <c r="DT382" s="128">
        <f>IFERROR(IF($AB382=0,($V382/0.74)*BH382,
BH382*$AB382),)</f>
        <v/>
      </c>
      <c r="DU382" s="128">
        <f>IFERROR(IF($AB382=0,($V382/0.74)*BI382,
BI382*$AB382),)</f>
        <v/>
      </c>
    </row>
    <row r="383" ht="131.25" customHeight="1" s="162">
      <c r="A383" s="115" t="n"/>
      <c r="B383" s="115" t="n"/>
      <c r="C383" s="115" t="n"/>
      <c r="D383" s="115" t="n"/>
      <c r="E383" s="115" t="n"/>
      <c r="F383" s="115" t="n"/>
      <c r="G383" s="115" t="n"/>
      <c r="H383" s="115" t="n"/>
      <c r="I383" s="115" t="n"/>
      <c r="J383" s="115" t="n"/>
      <c r="K383" s="115" t="n"/>
      <c r="L383" s="115" t="n"/>
      <c r="M383" s="115" t="n"/>
      <c r="N383" s="115" t="n"/>
      <c r="O383" s="115" t="n"/>
      <c r="P383" s="115" t="n"/>
      <c r="Q383" s="115" t="n"/>
      <c r="R383" s="115" t="n"/>
      <c r="S383" s="115" t="n"/>
      <c r="T383" s="115" t="n"/>
      <c r="U383" s="116" t="n"/>
      <c r="V383" s="116" t="n"/>
      <c r="W383" s="117" t="n"/>
      <c r="X383" s="118" t="n"/>
      <c r="Y383" s="119" t="n"/>
      <c r="Z383" s="120" t="n"/>
      <c r="AA383" s="121" t="n"/>
      <c r="AB383" s="122" t="n"/>
      <c r="AC383" s="117" t="n"/>
      <c r="AD383" s="123">
        <f>IF(SUM($AE383:$AH383)=0,"",SUM($AE383:$AH383))</f>
        <v/>
      </c>
      <c r="AE383" s="123">
        <f>iferror(IF(SUM($AI383:$AZ383)=0,"",SUM($AI383:$AZ383)),"")</f>
        <v/>
      </c>
      <c r="AF383" s="123">
        <f>iferror(IF(SUM($BA383:$BC383)=0,"",SUM($BA383:$BC383)),"")</f>
        <v/>
      </c>
      <c r="AG383" s="123">
        <f>iferror(IF(SUM($BD383:$BF383)=0,"",SUM($BD383:$BF383)),"")</f>
        <v/>
      </c>
      <c r="AH383" s="124">
        <f>iferror(IF(SUM($BG383:$BI383)=0,"",SUM($BG383:$BI383)),"")</f>
        <v/>
      </c>
      <c r="AI383" s="131" t="n"/>
      <c r="AJ383" s="132" t="n"/>
      <c r="AK383" s="132" t="n"/>
      <c r="AL383" s="132" t="n"/>
      <c r="AM383" s="132" t="n"/>
      <c r="AN383" s="132" t="n"/>
      <c r="AO383" s="132" t="n"/>
      <c r="AP383" s="132" t="n"/>
      <c r="AQ383" s="132" t="n"/>
      <c r="AR383" s="132" t="n"/>
      <c r="AS383" s="132" t="n"/>
      <c r="AT383" s="132" t="n"/>
      <c r="AU383" s="132" t="n"/>
      <c r="AV383" s="132" t="n"/>
      <c r="AW383" s="132" t="n"/>
      <c r="AX383" s="132" t="n"/>
      <c r="AY383" s="132" t="n"/>
      <c r="AZ383" s="133" t="n"/>
      <c r="BA383" s="131" t="n"/>
      <c r="BB383" s="132" t="n"/>
      <c r="BC383" s="133" t="n"/>
      <c r="BD383" s="131" t="n"/>
      <c r="BE383" s="132" t="n"/>
      <c r="BF383" s="133" t="n"/>
      <c r="BG383" s="131" t="n"/>
      <c r="BH383" s="132" t="n"/>
      <c r="BI383" s="132" t="n"/>
      <c r="BJ383" s="128">
        <f>iferror(SUM($BK383,($BL383*1.2),($BM383*1.35),($BN383*0.74)),)</f>
        <v/>
      </c>
      <c r="BK383" s="128">
        <f>IFERROR(SUM($BT383:$CK383),)</f>
        <v/>
      </c>
      <c r="BL383" s="129">
        <f>IFERROR(SUM($CL383:$CN383),)</f>
        <v/>
      </c>
      <c r="BM383" s="130">
        <f>IFERROR(SUM($CO383:$CQ383),)</f>
        <v/>
      </c>
      <c r="BN383" s="128">
        <f>IFERROR(SUM($CR383:$CT383),)</f>
        <v/>
      </c>
      <c r="BO383" s="128">
        <f>iferror(SUM($BP383,($BQ383*1.2),($BR383*1.35),($BS383*0.74)),)</f>
        <v/>
      </c>
      <c r="BP383" s="128">
        <f>IFERROR(SUM($CU383:$DL383),)</f>
        <v/>
      </c>
      <c r="BQ383" s="128">
        <f>IFERROR(SUM($DM383:$DO383),)</f>
        <v/>
      </c>
      <c r="BR383" s="128">
        <f>IFERROR(SUM($DP383:$DR383),)</f>
        <v/>
      </c>
      <c r="BS383" s="128">
        <f>IFERROR(SUM($DS383:$DU383),)</f>
        <v/>
      </c>
      <c r="BT383" s="128">
        <f>IFERROR(AI383*$W383,)</f>
        <v/>
      </c>
      <c r="BU383" s="128">
        <f>IFERROR(AJ383*$W383,)</f>
        <v/>
      </c>
      <c r="BV383" s="128">
        <f>IFERROR(AK383*$W383,)</f>
        <v/>
      </c>
      <c r="BW383" s="128">
        <f>IFERROR(AL383*$W383,)</f>
        <v/>
      </c>
      <c r="BX383" s="128">
        <f>IFERROR(AM383*$W383,)</f>
        <v/>
      </c>
      <c r="BY383" s="128">
        <f>IFERROR(AN383*$W383,)</f>
        <v/>
      </c>
      <c r="BZ383" s="128">
        <f>IFERROR(AO383*$W383,)</f>
        <v/>
      </c>
      <c r="CA383" s="128">
        <f>IFERROR(AP383*$W383,)</f>
        <v/>
      </c>
      <c r="CB383" s="128">
        <f>IFERROR(AQ383*$W383,)</f>
        <v/>
      </c>
      <c r="CC383" s="128">
        <f>IFERROR(AR383*$W383,)</f>
        <v/>
      </c>
      <c r="CD383" s="128">
        <f>IFERROR(AS383*$W383,)</f>
        <v/>
      </c>
      <c r="CE383" s="128">
        <f>IFERROR(AT383*$W383,)</f>
        <v/>
      </c>
      <c r="CF383" s="128">
        <f>IFERROR(AU383*$W383,)</f>
        <v/>
      </c>
      <c r="CG383" s="128">
        <f>IFERROR(AV383*$W383,)</f>
        <v/>
      </c>
      <c r="CH383" s="128">
        <f>IFERROR(AW383*$W383,)</f>
        <v/>
      </c>
      <c r="CI383" s="128">
        <f>IFERROR(AX383*$W383,)</f>
        <v/>
      </c>
      <c r="CJ383" s="128">
        <f>IFERROR(AY383*$W383,)</f>
        <v/>
      </c>
      <c r="CK383" s="128">
        <f>IFERROR(AZ383*$W383,)</f>
        <v/>
      </c>
      <c r="CL383" s="129">
        <f>IFERROR(if($Y383=0,BA383*($W383/1.2),BA383*$Y383),"")</f>
        <v/>
      </c>
      <c r="CM383" s="129">
        <f>IFERROR(if($Y383=0,BB383*($W383/1.2),BB383*$Y383),"")</f>
        <v/>
      </c>
      <c r="CN383" s="129">
        <f>IFERROR(if($Y383=0,BC383*($W383/1.2),BC383*$Y383),"")</f>
        <v/>
      </c>
      <c r="CO383" s="130">
        <f>IFERROR(if($AA383=0,($W383/1.35)*BD383,BD383*$AA383),)</f>
        <v/>
      </c>
      <c r="CP383" s="130">
        <f>IFERROR(if($AA383=0,($W383/1.35)*BE383,BE383*$AA383),)</f>
        <v/>
      </c>
      <c r="CQ383" s="130">
        <f>IFERROR(if($AA383=0,($W383/1.35)*BF383,BF383*$AA383),)</f>
        <v/>
      </c>
      <c r="CR383" s="128">
        <f>IFERROR(if($AC383=0,($W383/0.74)*BG383,
BG383*$AC383),)</f>
        <v/>
      </c>
      <c r="CS383" s="128">
        <f>IFERROR(if($AC383=0,($W383/0.74)*BH383,
BH383*$AC383),)</f>
        <v/>
      </c>
      <c r="CT383" s="128">
        <f>IFERROR(if($AC383=0,($W383/0.74)*BI383,
BI383*$AC383),)</f>
        <v/>
      </c>
      <c r="CU383" s="128">
        <f>IFERROR(AI383*$V383,)</f>
        <v/>
      </c>
      <c r="CV383" s="128">
        <f>IFERROR(AJ383*$V383,)</f>
        <v/>
      </c>
      <c r="CW383" s="128">
        <f>IFERROR(AK383*$V383,)</f>
        <v/>
      </c>
      <c r="CX383" s="128">
        <f>IFERROR(AL383*$V383,)</f>
        <v/>
      </c>
      <c r="CY383" s="128">
        <f>IFERROR(AM383*$V383,)</f>
        <v/>
      </c>
      <c r="CZ383" s="128">
        <f>IFERROR(AN383*$V383,)</f>
        <v/>
      </c>
      <c r="DA383" s="128">
        <f>IFERROR(AO383*$V383,)</f>
        <v/>
      </c>
      <c r="DB383" s="128">
        <f>IFERROR(AP383*$V383,)</f>
        <v/>
      </c>
      <c r="DC383" s="128">
        <f>IFERROR(AQ383*$V383,)</f>
        <v/>
      </c>
      <c r="DD383" s="128">
        <f>IFERROR(AR383*$V383,)</f>
        <v/>
      </c>
      <c r="DE383" s="128">
        <f>IFERROR(AS383*$V383,)</f>
        <v/>
      </c>
      <c r="DF383" s="128">
        <f>IFERROR(AT383*$V383,)</f>
        <v/>
      </c>
      <c r="DG383" s="128">
        <f>IFERROR(AU383*$V383,)</f>
        <v/>
      </c>
      <c r="DH383" s="128">
        <f>IFERROR(AV383*$V383,)</f>
        <v/>
      </c>
      <c r="DI383" s="128">
        <f>IFERROR(AW383*$V383,)</f>
        <v/>
      </c>
      <c r="DJ383" s="128">
        <f>IFERROR(AX383*$V383,)</f>
        <v/>
      </c>
      <c r="DK383" s="128">
        <f>IFERROR(AY383*$V383,)</f>
        <v/>
      </c>
      <c r="DL383" s="128">
        <f>IFERROR(AZ383*$V383,)</f>
        <v/>
      </c>
      <c r="DM383" s="129">
        <f>IFERROR(if($X383=0,($V383/1.2)*BA383,
BA383*$X383),)</f>
        <v/>
      </c>
      <c r="DN383" s="129">
        <f>IFERROR(if($X383=0,($V383/1.2)*BB383,
BB383*$X383),)</f>
        <v/>
      </c>
      <c r="DO383" s="129">
        <f>IFERROR(if($X383=0,($V383/1.2)*BC383,
BC383*$X383),)</f>
        <v/>
      </c>
      <c r="DP383" s="130">
        <f>IFERROR(if($Z383=0,($V383/1.35)*BD383,
BD383*$Z383),)</f>
        <v/>
      </c>
      <c r="DQ383" s="130">
        <f>IFERROR(if($Z383=0,($V383/1.35)*BE383,
BE383*$Z383),)</f>
        <v/>
      </c>
      <c r="DR383" s="130">
        <f>IFERROR(if($Z383=0,($V383/1.35)*BF383,
BF383*$Z383),)</f>
        <v/>
      </c>
      <c r="DS383" s="128">
        <f>IFERROR(IF($AB383=0,($V383/0.74)*BG383,
BG383*$AB383),)</f>
        <v/>
      </c>
      <c r="DT383" s="128">
        <f>IFERROR(IF($AB383=0,($V383/0.74)*BH383,
BH383*$AB383),)</f>
        <v/>
      </c>
      <c r="DU383" s="128">
        <f>IFERROR(IF($AB383=0,($V383/0.74)*BI383,
BI383*$AB383),)</f>
        <v/>
      </c>
    </row>
    <row r="384" ht="131.25" customHeight="1" s="162">
      <c r="A384" s="115" t="n"/>
      <c r="B384" s="115" t="n"/>
      <c r="C384" s="115" t="n"/>
      <c r="D384" s="115" t="n"/>
      <c r="E384" s="115" t="n"/>
      <c r="F384" s="115" t="n"/>
      <c r="G384" s="115" t="n"/>
      <c r="H384" s="115" t="n"/>
      <c r="I384" s="115" t="n"/>
      <c r="J384" s="115" t="n"/>
      <c r="K384" s="115" t="n"/>
      <c r="L384" s="115" t="n"/>
      <c r="M384" s="115" t="n"/>
      <c r="N384" s="115" t="n"/>
      <c r="O384" s="115" t="n"/>
      <c r="P384" s="115" t="n"/>
      <c r="Q384" s="115" t="n"/>
      <c r="R384" s="115" t="n"/>
      <c r="S384" s="115" t="n"/>
      <c r="T384" s="115" t="n"/>
      <c r="U384" s="116" t="n"/>
      <c r="V384" s="116" t="n"/>
      <c r="W384" s="117" t="n"/>
      <c r="X384" s="118" t="n"/>
      <c r="Y384" s="119" t="n"/>
      <c r="Z384" s="120" t="n"/>
      <c r="AA384" s="121" t="n"/>
      <c r="AB384" s="122" t="n"/>
      <c r="AC384" s="117" t="n"/>
      <c r="AD384" s="123">
        <f>IF(SUM($AE384:$AH384)=0,"",SUM($AE384:$AH384))</f>
        <v/>
      </c>
      <c r="AE384" s="123">
        <f>iferror(IF(SUM($AI384:$AZ384)=0,"",SUM($AI384:$AZ384)),"")</f>
        <v/>
      </c>
      <c r="AF384" s="123">
        <f>iferror(IF(SUM($BA384:$BC384)=0,"",SUM($BA384:$BC384)),"")</f>
        <v/>
      </c>
      <c r="AG384" s="123">
        <f>iferror(IF(SUM($BD384:$BF384)=0,"",SUM($BD384:$BF384)),"")</f>
        <v/>
      </c>
      <c r="AH384" s="124">
        <f>iferror(IF(SUM($BG384:$BI384)=0,"",SUM($BG384:$BI384)),"")</f>
        <v/>
      </c>
      <c r="AI384" s="131" t="n"/>
      <c r="AJ384" s="132" t="n"/>
      <c r="AK384" s="132" t="n"/>
      <c r="AL384" s="132" t="n"/>
      <c r="AM384" s="132" t="n"/>
      <c r="AN384" s="132" t="n"/>
      <c r="AO384" s="132" t="n"/>
      <c r="AP384" s="132" t="n"/>
      <c r="AQ384" s="132" t="n"/>
      <c r="AR384" s="132" t="n"/>
      <c r="AS384" s="132" t="n"/>
      <c r="AT384" s="132" t="n"/>
      <c r="AU384" s="132" t="n"/>
      <c r="AV384" s="132" t="n"/>
      <c r="AW384" s="132" t="n"/>
      <c r="AX384" s="132" t="n"/>
      <c r="AY384" s="132" t="n"/>
      <c r="AZ384" s="133" t="n"/>
      <c r="BA384" s="131" t="n"/>
      <c r="BB384" s="132" t="n"/>
      <c r="BC384" s="133" t="n"/>
      <c r="BD384" s="131" t="n"/>
      <c r="BE384" s="132" t="n"/>
      <c r="BF384" s="133" t="n"/>
      <c r="BG384" s="131" t="n"/>
      <c r="BH384" s="132" t="n"/>
      <c r="BI384" s="132" t="n"/>
      <c r="BJ384" s="128">
        <f>iferror(SUM($BK384,($BL384*1.2),($BM384*1.35),($BN384*0.74)),)</f>
        <v/>
      </c>
      <c r="BK384" s="128">
        <f>IFERROR(SUM($BT384:$CK384),)</f>
        <v/>
      </c>
      <c r="BL384" s="129">
        <f>IFERROR(SUM($CL384:$CN384),)</f>
        <v/>
      </c>
      <c r="BM384" s="130">
        <f>IFERROR(SUM($CO384:$CQ384),)</f>
        <v/>
      </c>
      <c r="BN384" s="128">
        <f>IFERROR(SUM($CR384:$CT384),)</f>
        <v/>
      </c>
      <c r="BO384" s="128">
        <f>iferror(SUM($BP384,($BQ384*1.2),($BR384*1.35),($BS384*0.74)),)</f>
        <v/>
      </c>
      <c r="BP384" s="128">
        <f>IFERROR(SUM($CU384:$DL384),)</f>
        <v/>
      </c>
      <c r="BQ384" s="128">
        <f>IFERROR(SUM($DM384:$DO384),)</f>
        <v/>
      </c>
      <c r="BR384" s="128">
        <f>IFERROR(SUM($DP384:$DR384),)</f>
        <v/>
      </c>
      <c r="BS384" s="128">
        <f>IFERROR(SUM($DS384:$DU384),)</f>
        <v/>
      </c>
      <c r="BT384" s="128">
        <f>IFERROR(AI384*$W384,)</f>
        <v/>
      </c>
      <c r="BU384" s="128">
        <f>IFERROR(AJ384*$W384,)</f>
        <v/>
      </c>
      <c r="BV384" s="128">
        <f>IFERROR(AK384*$W384,)</f>
        <v/>
      </c>
      <c r="BW384" s="128">
        <f>IFERROR(AL384*$W384,)</f>
        <v/>
      </c>
      <c r="BX384" s="128">
        <f>IFERROR(AM384*$W384,)</f>
        <v/>
      </c>
      <c r="BY384" s="128">
        <f>IFERROR(AN384*$W384,)</f>
        <v/>
      </c>
      <c r="BZ384" s="128">
        <f>IFERROR(AO384*$W384,)</f>
        <v/>
      </c>
      <c r="CA384" s="128">
        <f>IFERROR(AP384*$W384,)</f>
        <v/>
      </c>
      <c r="CB384" s="128">
        <f>IFERROR(AQ384*$W384,)</f>
        <v/>
      </c>
      <c r="CC384" s="128">
        <f>IFERROR(AR384*$W384,)</f>
        <v/>
      </c>
      <c r="CD384" s="128">
        <f>IFERROR(AS384*$W384,)</f>
        <v/>
      </c>
      <c r="CE384" s="128">
        <f>IFERROR(AT384*$W384,)</f>
        <v/>
      </c>
      <c r="CF384" s="128">
        <f>IFERROR(AU384*$W384,)</f>
        <v/>
      </c>
      <c r="CG384" s="128">
        <f>IFERROR(AV384*$W384,)</f>
        <v/>
      </c>
      <c r="CH384" s="128">
        <f>IFERROR(AW384*$W384,)</f>
        <v/>
      </c>
      <c r="CI384" s="128">
        <f>IFERROR(AX384*$W384,)</f>
        <v/>
      </c>
      <c r="CJ384" s="128">
        <f>IFERROR(AY384*$W384,)</f>
        <v/>
      </c>
      <c r="CK384" s="128">
        <f>IFERROR(AZ384*$W384,)</f>
        <v/>
      </c>
      <c r="CL384" s="129">
        <f>IFERROR(if($Y384=0,BA384*($W384/1.2),BA384*$Y384),"")</f>
        <v/>
      </c>
      <c r="CM384" s="129">
        <f>IFERROR(if($Y384=0,BB384*($W384/1.2),BB384*$Y384),"")</f>
        <v/>
      </c>
      <c r="CN384" s="129">
        <f>IFERROR(if($Y384=0,BC384*($W384/1.2),BC384*$Y384),"")</f>
        <v/>
      </c>
      <c r="CO384" s="130">
        <f>IFERROR(if($AA384=0,($W384/1.35)*BD384,BD384*$AA384),)</f>
        <v/>
      </c>
      <c r="CP384" s="130">
        <f>IFERROR(if($AA384=0,($W384/1.35)*BE384,BE384*$AA384),)</f>
        <v/>
      </c>
      <c r="CQ384" s="130">
        <f>IFERROR(if($AA384=0,($W384/1.35)*BF384,BF384*$AA384),)</f>
        <v/>
      </c>
      <c r="CR384" s="128">
        <f>IFERROR(if($AC384=0,($W384/0.74)*BG384,
BG384*$AC384),)</f>
        <v/>
      </c>
      <c r="CS384" s="128">
        <f>IFERROR(if($AC384=0,($W384/0.74)*BH384,
BH384*$AC384),)</f>
        <v/>
      </c>
      <c r="CT384" s="128">
        <f>IFERROR(if($AC384=0,($W384/0.74)*BI384,
BI384*$AC384),)</f>
        <v/>
      </c>
      <c r="CU384" s="128">
        <f>IFERROR(AI384*$V384,)</f>
        <v/>
      </c>
      <c r="CV384" s="128">
        <f>IFERROR(AJ384*$V384,)</f>
        <v/>
      </c>
      <c r="CW384" s="128">
        <f>IFERROR(AK384*$V384,)</f>
        <v/>
      </c>
      <c r="CX384" s="128">
        <f>IFERROR(AL384*$V384,)</f>
        <v/>
      </c>
      <c r="CY384" s="128">
        <f>IFERROR(AM384*$V384,)</f>
        <v/>
      </c>
      <c r="CZ384" s="128">
        <f>IFERROR(AN384*$V384,)</f>
        <v/>
      </c>
      <c r="DA384" s="128">
        <f>IFERROR(AO384*$V384,)</f>
        <v/>
      </c>
      <c r="DB384" s="128">
        <f>IFERROR(AP384*$V384,)</f>
        <v/>
      </c>
      <c r="DC384" s="128">
        <f>IFERROR(AQ384*$V384,)</f>
        <v/>
      </c>
      <c r="DD384" s="128">
        <f>IFERROR(AR384*$V384,)</f>
        <v/>
      </c>
      <c r="DE384" s="128">
        <f>IFERROR(AS384*$V384,)</f>
        <v/>
      </c>
      <c r="DF384" s="128">
        <f>IFERROR(AT384*$V384,)</f>
        <v/>
      </c>
      <c r="DG384" s="128">
        <f>IFERROR(AU384*$V384,)</f>
        <v/>
      </c>
      <c r="DH384" s="128">
        <f>IFERROR(AV384*$V384,)</f>
        <v/>
      </c>
      <c r="DI384" s="128">
        <f>IFERROR(AW384*$V384,)</f>
        <v/>
      </c>
      <c r="DJ384" s="128">
        <f>IFERROR(AX384*$V384,)</f>
        <v/>
      </c>
      <c r="DK384" s="128">
        <f>IFERROR(AY384*$V384,)</f>
        <v/>
      </c>
      <c r="DL384" s="128">
        <f>IFERROR(AZ384*$V384,)</f>
        <v/>
      </c>
      <c r="DM384" s="129">
        <f>IFERROR(if($X384=0,($V384/1.2)*BA384,
BA384*$X384),)</f>
        <v/>
      </c>
      <c r="DN384" s="129">
        <f>IFERROR(if($X384=0,($V384/1.2)*BB384,
BB384*$X384),)</f>
        <v/>
      </c>
      <c r="DO384" s="129">
        <f>IFERROR(if($X384=0,($V384/1.2)*BC384,
BC384*$X384),)</f>
        <v/>
      </c>
      <c r="DP384" s="130">
        <f>IFERROR(if($Z384=0,($V384/1.35)*BD384,
BD384*$Z384),)</f>
        <v/>
      </c>
      <c r="DQ384" s="130">
        <f>IFERROR(if($Z384=0,($V384/1.35)*BE384,
BE384*$Z384),)</f>
        <v/>
      </c>
      <c r="DR384" s="130">
        <f>IFERROR(if($Z384=0,($V384/1.35)*BF384,
BF384*$Z384),)</f>
        <v/>
      </c>
      <c r="DS384" s="128">
        <f>IFERROR(IF($AB384=0,($V384/0.74)*BG384,
BG384*$AB384),)</f>
        <v/>
      </c>
      <c r="DT384" s="128">
        <f>IFERROR(IF($AB384=0,($V384/0.74)*BH384,
BH384*$AB384),)</f>
        <v/>
      </c>
      <c r="DU384" s="128">
        <f>IFERROR(IF($AB384=0,($V384/0.74)*BI384,
BI384*$AB384),)</f>
        <v/>
      </c>
    </row>
    <row r="385" ht="131.25" customHeight="1" s="162">
      <c r="A385" s="115" t="n"/>
      <c r="B385" s="115" t="n"/>
      <c r="C385" s="115" t="n"/>
      <c r="D385" s="115" t="n"/>
      <c r="E385" s="115" t="n"/>
      <c r="F385" s="115" t="n"/>
      <c r="G385" s="115" t="n"/>
      <c r="H385" s="115" t="n"/>
      <c r="I385" s="115" t="n"/>
      <c r="J385" s="115" t="n"/>
      <c r="K385" s="115" t="n"/>
      <c r="L385" s="115" t="n"/>
      <c r="M385" s="115" t="n"/>
      <c r="N385" s="115" t="n"/>
      <c r="O385" s="115" t="n"/>
      <c r="P385" s="115" t="n"/>
      <c r="Q385" s="115" t="n"/>
      <c r="R385" s="115" t="n"/>
      <c r="S385" s="115" t="n"/>
      <c r="T385" s="115" t="n"/>
      <c r="U385" s="116" t="n"/>
      <c r="V385" s="116" t="n"/>
      <c r="W385" s="117" t="n"/>
      <c r="X385" s="118" t="n"/>
      <c r="Y385" s="119" t="n"/>
      <c r="Z385" s="120" t="n"/>
      <c r="AA385" s="121" t="n"/>
      <c r="AB385" s="122" t="n"/>
      <c r="AC385" s="117" t="n"/>
      <c r="AD385" s="123">
        <f>IF(SUM($AE385:$AH385)=0,"",SUM($AE385:$AH385))</f>
        <v/>
      </c>
      <c r="AE385" s="123">
        <f>iferror(IF(SUM($AI385:$AZ385)=0,"",SUM($AI385:$AZ385)),"")</f>
        <v/>
      </c>
      <c r="AF385" s="123">
        <f>iferror(IF(SUM($BA385:$BC385)=0,"",SUM($BA385:$BC385)),"")</f>
        <v/>
      </c>
      <c r="AG385" s="123">
        <f>iferror(IF(SUM($BD385:$BF385)=0,"",SUM($BD385:$BF385)),"")</f>
        <v/>
      </c>
      <c r="AH385" s="124">
        <f>iferror(IF(SUM($BG385:$BI385)=0,"",SUM($BG385:$BI385)),"")</f>
        <v/>
      </c>
      <c r="AI385" s="131" t="n"/>
      <c r="AJ385" s="132" t="n"/>
      <c r="AK385" s="132" t="n"/>
      <c r="AL385" s="132" t="n"/>
      <c r="AM385" s="132" t="n"/>
      <c r="AN385" s="132" t="n"/>
      <c r="AO385" s="132" t="n"/>
      <c r="AP385" s="132" t="n"/>
      <c r="AQ385" s="132" t="n"/>
      <c r="AR385" s="132" t="n"/>
      <c r="AS385" s="132" t="n"/>
      <c r="AT385" s="132" t="n"/>
      <c r="AU385" s="132" t="n"/>
      <c r="AV385" s="132" t="n"/>
      <c r="AW385" s="132" t="n"/>
      <c r="AX385" s="132" t="n"/>
      <c r="AY385" s="132" t="n"/>
      <c r="AZ385" s="133" t="n"/>
      <c r="BA385" s="131" t="n"/>
      <c r="BB385" s="132" t="n"/>
      <c r="BC385" s="133" t="n"/>
      <c r="BD385" s="131" t="n"/>
      <c r="BE385" s="132" t="n"/>
      <c r="BF385" s="133" t="n"/>
      <c r="BG385" s="131" t="n"/>
      <c r="BH385" s="132" t="n"/>
      <c r="BI385" s="132" t="n"/>
      <c r="BJ385" s="128">
        <f>iferror(SUM($BK385,($BL385*1.2),($BM385*1.35),($BN385*0.74)),)</f>
        <v/>
      </c>
      <c r="BK385" s="128">
        <f>IFERROR(SUM($BT385:$CK385),)</f>
        <v/>
      </c>
      <c r="BL385" s="129">
        <f>IFERROR(SUM($CL385:$CN385),)</f>
        <v/>
      </c>
      <c r="BM385" s="130">
        <f>IFERROR(SUM($CO385:$CQ385),)</f>
        <v/>
      </c>
      <c r="BN385" s="128">
        <f>IFERROR(SUM($CR385:$CT385),)</f>
        <v/>
      </c>
      <c r="BO385" s="128">
        <f>iferror(SUM($BP385,($BQ385*1.2),($BR385*1.35),($BS385*0.74)),)</f>
        <v/>
      </c>
      <c r="BP385" s="128">
        <f>IFERROR(SUM($CU385:$DL385),)</f>
        <v/>
      </c>
      <c r="BQ385" s="128">
        <f>IFERROR(SUM($DM385:$DO385),)</f>
        <v/>
      </c>
      <c r="BR385" s="128">
        <f>IFERROR(SUM($DP385:$DR385),)</f>
        <v/>
      </c>
      <c r="BS385" s="128">
        <f>IFERROR(SUM($DS385:$DU385),)</f>
        <v/>
      </c>
      <c r="BT385" s="128">
        <f>IFERROR(AI385*$W385,)</f>
        <v/>
      </c>
      <c r="BU385" s="128">
        <f>IFERROR(AJ385*$W385,)</f>
        <v/>
      </c>
      <c r="BV385" s="128">
        <f>IFERROR(AK385*$W385,)</f>
        <v/>
      </c>
      <c r="BW385" s="128">
        <f>IFERROR(AL385*$W385,)</f>
        <v/>
      </c>
      <c r="BX385" s="128">
        <f>IFERROR(AM385*$W385,)</f>
        <v/>
      </c>
      <c r="BY385" s="128">
        <f>IFERROR(AN385*$W385,)</f>
        <v/>
      </c>
      <c r="BZ385" s="128">
        <f>IFERROR(AO385*$W385,)</f>
        <v/>
      </c>
      <c r="CA385" s="128">
        <f>IFERROR(AP385*$W385,)</f>
        <v/>
      </c>
      <c r="CB385" s="128">
        <f>IFERROR(AQ385*$W385,)</f>
        <v/>
      </c>
      <c r="CC385" s="128">
        <f>IFERROR(AR385*$W385,)</f>
        <v/>
      </c>
      <c r="CD385" s="128">
        <f>IFERROR(AS385*$W385,)</f>
        <v/>
      </c>
      <c r="CE385" s="128">
        <f>IFERROR(AT385*$W385,)</f>
        <v/>
      </c>
      <c r="CF385" s="128">
        <f>IFERROR(AU385*$W385,)</f>
        <v/>
      </c>
      <c r="CG385" s="128">
        <f>IFERROR(AV385*$W385,)</f>
        <v/>
      </c>
      <c r="CH385" s="128">
        <f>IFERROR(AW385*$W385,)</f>
        <v/>
      </c>
      <c r="CI385" s="128">
        <f>IFERROR(AX385*$W385,)</f>
        <v/>
      </c>
      <c r="CJ385" s="128">
        <f>IFERROR(AY385*$W385,)</f>
        <v/>
      </c>
      <c r="CK385" s="128">
        <f>IFERROR(AZ385*$W385,)</f>
        <v/>
      </c>
      <c r="CL385" s="129">
        <f>IFERROR(if($Y385=0,BA385*($W385/1.2),BA385*$Y385),"")</f>
        <v/>
      </c>
      <c r="CM385" s="129">
        <f>IFERROR(if($Y385=0,BB385*($W385/1.2),BB385*$Y385),"")</f>
        <v/>
      </c>
      <c r="CN385" s="129">
        <f>IFERROR(if($Y385=0,BC385*($W385/1.2),BC385*$Y385),"")</f>
        <v/>
      </c>
      <c r="CO385" s="130">
        <f>IFERROR(if($AA385=0,($W385/1.35)*BD385,BD385*$AA385),)</f>
        <v/>
      </c>
      <c r="CP385" s="130">
        <f>IFERROR(if($AA385=0,($W385/1.35)*BE385,BE385*$AA385),)</f>
        <v/>
      </c>
      <c r="CQ385" s="130">
        <f>IFERROR(if($AA385=0,($W385/1.35)*BF385,BF385*$AA385),)</f>
        <v/>
      </c>
      <c r="CR385" s="128">
        <f>IFERROR(if($AC385=0,($W385/0.74)*BG385,
BG385*$AC385),)</f>
        <v/>
      </c>
      <c r="CS385" s="128">
        <f>IFERROR(if($AC385=0,($W385/0.74)*BH385,
BH385*$AC385),)</f>
        <v/>
      </c>
      <c r="CT385" s="128">
        <f>IFERROR(if($AC385=0,($W385/0.74)*BI385,
BI385*$AC385),)</f>
        <v/>
      </c>
      <c r="CU385" s="128">
        <f>IFERROR(AI385*$V385,)</f>
        <v/>
      </c>
      <c r="CV385" s="128">
        <f>IFERROR(AJ385*$V385,)</f>
        <v/>
      </c>
      <c r="CW385" s="128">
        <f>IFERROR(AK385*$V385,)</f>
        <v/>
      </c>
      <c r="CX385" s="128">
        <f>IFERROR(AL385*$V385,)</f>
        <v/>
      </c>
      <c r="CY385" s="128">
        <f>IFERROR(AM385*$V385,)</f>
        <v/>
      </c>
      <c r="CZ385" s="128">
        <f>IFERROR(AN385*$V385,)</f>
        <v/>
      </c>
      <c r="DA385" s="128">
        <f>IFERROR(AO385*$V385,)</f>
        <v/>
      </c>
      <c r="DB385" s="128">
        <f>IFERROR(AP385*$V385,)</f>
        <v/>
      </c>
      <c r="DC385" s="128">
        <f>IFERROR(AQ385*$V385,)</f>
        <v/>
      </c>
      <c r="DD385" s="128">
        <f>IFERROR(AR385*$V385,)</f>
        <v/>
      </c>
      <c r="DE385" s="128">
        <f>IFERROR(AS385*$V385,)</f>
        <v/>
      </c>
      <c r="DF385" s="128">
        <f>IFERROR(AT385*$V385,)</f>
        <v/>
      </c>
      <c r="DG385" s="128">
        <f>IFERROR(AU385*$V385,)</f>
        <v/>
      </c>
      <c r="DH385" s="128">
        <f>IFERROR(AV385*$V385,)</f>
        <v/>
      </c>
      <c r="DI385" s="128">
        <f>IFERROR(AW385*$V385,)</f>
        <v/>
      </c>
      <c r="DJ385" s="128">
        <f>IFERROR(AX385*$V385,)</f>
        <v/>
      </c>
      <c r="DK385" s="128">
        <f>IFERROR(AY385*$V385,)</f>
        <v/>
      </c>
      <c r="DL385" s="128">
        <f>IFERROR(AZ385*$V385,)</f>
        <v/>
      </c>
      <c r="DM385" s="129">
        <f>IFERROR(if($X385=0,($V385/1.2)*BA385,
BA385*$X385),)</f>
        <v/>
      </c>
      <c r="DN385" s="129">
        <f>IFERROR(if($X385=0,($V385/1.2)*BB385,
BB385*$X385),)</f>
        <v/>
      </c>
      <c r="DO385" s="129">
        <f>IFERROR(if($X385=0,($V385/1.2)*BC385,
BC385*$X385),)</f>
        <v/>
      </c>
      <c r="DP385" s="130">
        <f>IFERROR(if($Z385=0,($V385/1.35)*BD385,
BD385*$Z385),)</f>
        <v/>
      </c>
      <c r="DQ385" s="130">
        <f>IFERROR(if($Z385=0,($V385/1.35)*BE385,
BE385*$Z385),)</f>
        <v/>
      </c>
      <c r="DR385" s="130">
        <f>IFERROR(if($Z385=0,($V385/1.35)*BF385,
BF385*$Z385),)</f>
        <v/>
      </c>
      <c r="DS385" s="128">
        <f>IFERROR(IF($AB385=0,($V385/0.74)*BG385,
BG385*$AB385),)</f>
        <v/>
      </c>
      <c r="DT385" s="128">
        <f>IFERROR(IF($AB385=0,($V385/0.74)*BH385,
BH385*$AB385),)</f>
        <v/>
      </c>
      <c r="DU385" s="128">
        <f>IFERROR(IF($AB385=0,($V385/0.74)*BI385,
BI385*$AB385),)</f>
        <v/>
      </c>
    </row>
    <row r="386" ht="131.25" customHeight="1" s="162">
      <c r="A386" s="115" t="n"/>
      <c r="B386" s="115" t="n"/>
      <c r="C386" s="115" t="n"/>
      <c r="D386" s="115" t="n"/>
      <c r="E386" s="115" t="n"/>
      <c r="F386" s="115" t="n"/>
      <c r="G386" s="115" t="n"/>
      <c r="H386" s="115" t="n"/>
      <c r="I386" s="115" t="n"/>
      <c r="J386" s="115" t="n"/>
      <c r="K386" s="115" t="n"/>
      <c r="L386" s="115" t="n"/>
      <c r="M386" s="115" t="n"/>
      <c r="N386" s="115" t="n"/>
      <c r="O386" s="115" t="n"/>
      <c r="P386" s="115" t="n"/>
      <c r="Q386" s="115" t="n"/>
      <c r="R386" s="115" t="n"/>
      <c r="S386" s="115" t="n"/>
      <c r="T386" s="115" t="n"/>
      <c r="U386" s="116" t="n"/>
      <c r="V386" s="116" t="n"/>
      <c r="W386" s="117" t="n"/>
      <c r="X386" s="118" t="n"/>
      <c r="Y386" s="119" t="n"/>
      <c r="Z386" s="120" t="n"/>
      <c r="AA386" s="121" t="n"/>
      <c r="AB386" s="122" t="n"/>
      <c r="AC386" s="117" t="n"/>
      <c r="AD386" s="123">
        <f>IF(SUM($AE386:$AH386)=0,"",SUM($AE386:$AH386))</f>
        <v/>
      </c>
      <c r="AE386" s="123">
        <f>iferror(IF(SUM($AI386:$AZ386)=0,"",SUM($AI386:$AZ386)),"")</f>
        <v/>
      </c>
      <c r="AF386" s="123">
        <f>iferror(IF(SUM($BA386:$BC386)=0,"",SUM($BA386:$BC386)),"")</f>
        <v/>
      </c>
      <c r="AG386" s="123">
        <f>iferror(IF(SUM($BD386:$BF386)=0,"",SUM($BD386:$BF386)),"")</f>
        <v/>
      </c>
      <c r="AH386" s="124">
        <f>iferror(IF(SUM($BG386:$BI386)=0,"",SUM($BG386:$BI386)),"")</f>
        <v/>
      </c>
      <c r="AI386" s="131" t="n"/>
      <c r="AJ386" s="132" t="n"/>
      <c r="AK386" s="132" t="n"/>
      <c r="AL386" s="132" t="n"/>
      <c r="AM386" s="132" t="n"/>
      <c r="AN386" s="132" t="n"/>
      <c r="AO386" s="132" t="n"/>
      <c r="AP386" s="132" t="n"/>
      <c r="AQ386" s="132" t="n"/>
      <c r="AR386" s="132" t="n"/>
      <c r="AS386" s="132" t="n"/>
      <c r="AT386" s="132" t="n"/>
      <c r="AU386" s="132" t="n"/>
      <c r="AV386" s="132" t="n"/>
      <c r="AW386" s="132" t="n"/>
      <c r="AX386" s="132" t="n"/>
      <c r="AY386" s="132" t="n"/>
      <c r="AZ386" s="133" t="n"/>
      <c r="BA386" s="131" t="n"/>
      <c r="BB386" s="132" t="n"/>
      <c r="BC386" s="133" t="n"/>
      <c r="BD386" s="131" t="n"/>
      <c r="BE386" s="132" t="n"/>
      <c r="BF386" s="133" t="n"/>
      <c r="BG386" s="131" t="n"/>
      <c r="BH386" s="132" t="n"/>
      <c r="BI386" s="132" t="n"/>
      <c r="BJ386" s="128">
        <f>iferror(SUM($BK386,($BL386*1.2),($BM386*1.35),($BN386*0.74)),)</f>
        <v/>
      </c>
      <c r="BK386" s="128">
        <f>IFERROR(SUM($BT386:$CK386),)</f>
        <v/>
      </c>
      <c r="BL386" s="129">
        <f>IFERROR(SUM($CL386:$CN386),)</f>
        <v/>
      </c>
      <c r="BM386" s="130">
        <f>IFERROR(SUM($CO386:$CQ386),)</f>
        <v/>
      </c>
      <c r="BN386" s="128">
        <f>IFERROR(SUM($CR386:$CT386),)</f>
        <v/>
      </c>
      <c r="BO386" s="128">
        <f>iferror(SUM($BP386,($BQ386*1.2),($BR386*1.35),($BS386*0.74)),)</f>
        <v/>
      </c>
      <c r="BP386" s="128">
        <f>IFERROR(SUM($CU386:$DL386),)</f>
        <v/>
      </c>
      <c r="BQ386" s="128">
        <f>IFERROR(SUM($DM386:$DO386),)</f>
        <v/>
      </c>
      <c r="BR386" s="128">
        <f>IFERROR(SUM($DP386:$DR386),)</f>
        <v/>
      </c>
      <c r="BS386" s="128">
        <f>IFERROR(SUM($DS386:$DU386),)</f>
        <v/>
      </c>
      <c r="BT386" s="128">
        <f>IFERROR(AI386*$W386,)</f>
        <v/>
      </c>
      <c r="BU386" s="128">
        <f>IFERROR(AJ386*$W386,)</f>
        <v/>
      </c>
      <c r="BV386" s="128">
        <f>IFERROR(AK386*$W386,)</f>
        <v/>
      </c>
      <c r="BW386" s="128">
        <f>IFERROR(AL386*$W386,)</f>
        <v/>
      </c>
      <c r="BX386" s="128">
        <f>IFERROR(AM386*$W386,)</f>
        <v/>
      </c>
      <c r="BY386" s="128">
        <f>IFERROR(AN386*$W386,)</f>
        <v/>
      </c>
      <c r="BZ386" s="128">
        <f>IFERROR(AO386*$W386,)</f>
        <v/>
      </c>
      <c r="CA386" s="128">
        <f>IFERROR(AP386*$W386,)</f>
        <v/>
      </c>
      <c r="CB386" s="128">
        <f>IFERROR(AQ386*$W386,)</f>
        <v/>
      </c>
      <c r="CC386" s="128">
        <f>IFERROR(AR386*$W386,)</f>
        <v/>
      </c>
      <c r="CD386" s="128">
        <f>IFERROR(AS386*$W386,)</f>
        <v/>
      </c>
      <c r="CE386" s="128">
        <f>IFERROR(AT386*$W386,)</f>
        <v/>
      </c>
      <c r="CF386" s="128">
        <f>IFERROR(AU386*$W386,)</f>
        <v/>
      </c>
      <c r="CG386" s="128">
        <f>IFERROR(AV386*$W386,)</f>
        <v/>
      </c>
      <c r="CH386" s="128">
        <f>IFERROR(AW386*$W386,)</f>
        <v/>
      </c>
      <c r="CI386" s="128">
        <f>IFERROR(AX386*$W386,)</f>
        <v/>
      </c>
      <c r="CJ386" s="128">
        <f>IFERROR(AY386*$W386,)</f>
        <v/>
      </c>
      <c r="CK386" s="128">
        <f>IFERROR(AZ386*$W386,)</f>
        <v/>
      </c>
      <c r="CL386" s="129">
        <f>IFERROR(if($Y386=0,BA386*($W386/1.2),BA386*$Y386),"")</f>
        <v/>
      </c>
      <c r="CM386" s="129">
        <f>IFERROR(if($Y386=0,BB386*($W386/1.2),BB386*$Y386),"")</f>
        <v/>
      </c>
      <c r="CN386" s="129">
        <f>IFERROR(if($Y386=0,BC386*($W386/1.2),BC386*$Y386),"")</f>
        <v/>
      </c>
      <c r="CO386" s="130">
        <f>IFERROR(if($AA386=0,($W386/1.35)*BD386,BD386*$AA386),)</f>
        <v/>
      </c>
      <c r="CP386" s="130">
        <f>IFERROR(if($AA386=0,($W386/1.35)*BE386,BE386*$AA386),)</f>
        <v/>
      </c>
      <c r="CQ386" s="130">
        <f>IFERROR(if($AA386=0,($W386/1.35)*BF386,BF386*$AA386),)</f>
        <v/>
      </c>
      <c r="CR386" s="128">
        <f>IFERROR(if($AC386=0,($W386/0.74)*BG386,
BG386*$AC386),)</f>
        <v/>
      </c>
      <c r="CS386" s="128">
        <f>IFERROR(if($AC386=0,($W386/0.74)*BH386,
BH386*$AC386),)</f>
        <v/>
      </c>
      <c r="CT386" s="128">
        <f>IFERROR(if($AC386=0,($W386/0.74)*BI386,
BI386*$AC386),)</f>
        <v/>
      </c>
      <c r="CU386" s="128">
        <f>IFERROR(AI386*$V386,)</f>
        <v/>
      </c>
      <c r="CV386" s="128">
        <f>IFERROR(AJ386*$V386,)</f>
        <v/>
      </c>
      <c r="CW386" s="128">
        <f>IFERROR(AK386*$V386,)</f>
        <v/>
      </c>
      <c r="CX386" s="128">
        <f>IFERROR(AL386*$V386,)</f>
        <v/>
      </c>
      <c r="CY386" s="128">
        <f>IFERROR(AM386*$V386,)</f>
        <v/>
      </c>
      <c r="CZ386" s="128">
        <f>IFERROR(AN386*$V386,)</f>
        <v/>
      </c>
      <c r="DA386" s="128">
        <f>IFERROR(AO386*$V386,)</f>
        <v/>
      </c>
      <c r="DB386" s="128">
        <f>IFERROR(AP386*$V386,)</f>
        <v/>
      </c>
      <c r="DC386" s="128">
        <f>IFERROR(AQ386*$V386,)</f>
        <v/>
      </c>
      <c r="DD386" s="128">
        <f>IFERROR(AR386*$V386,)</f>
        <v/>
      </c>
      <c r="DE386" s="128">
        <f>IFERROR(AS386*$V386,)</f>
        <v/>
      </c>
      <c r="DF386" s="128">
        <f>IFERROR(AT386*$V386,)</f>
        <v/>
      </c>
      <c r="DG386" s="128">
        <f>IFERROR(AU386*$V386,)</f>
        <v/>
      </c>
      <c r="DH386" s="128">
        <f>IFERROR(AV386*$V386,)</f>
        <v/>
      </c>
      <c r="DI386" s="128">
        <f>IFERROR(AW386*$V386,)</f>
        <v/>
      </c>
      <c r="DJ386" s="128">
        <f>IFERROR(AX386*$V386,)</f>
        <v/>
      </c>
      <c r="DK386" s="128">
        <f>IFERROR(AY386*$V386,)</f>
        <v/>
      </c>
      <c r="DL386" s="128">
        <f>IFERROR(AZ386*$V386,)</f>
        <v/>
      </c>
      <c r="DM386" s="129">
        <f>IFERROR(if($X386=0,($V386/1.2)*BA386,
BA386*$X386),)</f>
        <v/>
      </c>
      <c r="DN386" s="129">
        <f>IFERROR(if($X386=0,($V386/1.2)*BB386,
BB386*$X386),)</f>
        <v/>
      </c>
      <c r="DO386" s="129">
        <f>IFERROR(if($X386=0,($V386/1.2)*BC386,
BC386*$X386),)</f>
        <v/>
      </c>
      <c r="DP386" s="130">
        <f>IFERROR(if($Z386=0,($V386/1.35)*BD386,
BD386*$Z386),)</f>
        <v/>
      </c>
      <c r="DQ386" s="130">
        <f>IFERROR(if($Z386=0,($V386/1.35)*BE386,
BE386*$Z386),)</f>
        <v/>
      </c>
      <c r="DR386" s="130">
        <f>IFERROR(if($Z386=0,($V386/1.35)*BF386,
BF386*$Z386),)</f>
        <v/>
      </c>
      <c r="DS386" s="128">
        <f>IFERROR(IF($AB386=0,($V386/0.74)*BG386,
BG386*$AB386),)</f>
        <v/>
      </c>
      <c r="DT386" s="128">
        <f>IFERROR(IF($AB386=0,($V386/0.74)*BH386,
BH386*$AB386),)</f>
        <v/>
      </c>
      <c r="DU386" s="128">
        <f>IFERROR(IF($AB386=0,($V386/0.74)*BI386,
BI386*$AB386),)</f>
        <v/>
      </c>
    </row>
    <row r="387" ht="131.25" customHeight="1" s="162">
      <c r="A387" s="115" t="n"/>
      <c r="B387" s="115" t="n"/>
      <c r="C387" s="115" t="n"/>
      <c r="D387" s="115" t="n"/>
      <c r="E387" s="115" t="n"/>
      <c r="F387" s="115" t="n"/>
      <c r="G387" s="115" t="n"/>
      <c r="H387" s="115" t="n"/>
      <c r="I387" s="115" t="n"/>
      <c r="J387" s="115" t="n"/>
      <c r="K387" s="115" t="n"/>
      <c r="L387" s="115" t="n"/>
      <c r="M387" s="115" t="n"/>
      <c r="N387" s="115" t="n"/>
      <c r="O387" s="115" t="n"/>
      <c r="P387" s="115" t="n"/>
      <c r="Q387" s="115" t="n"/>
      <c r="R387" s="115" t="n"/>
      <c r="S387" s="115" t="n"/>
      <c r="T387" s="115" t="n"/>
      <c r="U387" s="116" t="n"/>
      <c r="V387" s="116" t="n"/>
      <c r="W387" s="117" t="n"/>
      <c r="X387" s="118" t="n"/>
      <c r="Y387" s="119" t="n"/>
      <c r="Z387" s="120" t="n"/>
      <c r="AA387" s="121" t="n"/>
      <c r="AB387" s="122" t="n"/>
      <c r="AC387" s="117" t="n"/>
      <c r="AD387" s="123">
        <f>IF(SUM($AE387:$AH387)=0,"",SUM($AE387:$AH387))</f>
        <v/>
      </c>
      <c r="AE387" s="123">
        <f>iferror(IF(SUM($AI387:$AZ387)=0,"",SUM($AI387:$AZ387)),"")</f>
        <v/>
      </c>
      <c r="AF387" s="123">
        <f>iferror(IF(SUM($BA387:$BC387)=0,"",SUM($BA387:$BC387)),"")</f>
        <v/>
      </c>
      <c r="AG387" s="123">
        <f>iferror(IF(SUM($BD387:$BF387)=0,"",SUM($BD387:$BF387)),"")</f>
        <v/>
      </c>
      <c r="AH387" s="124">
        <f>iferror(IF(SUM($BG387:$BI387)=0,"",SUM($BG387:$BI387)),"")</f>
        <v/>
      </c>
      <c r="AI387" s="131" t="n"/>
      <c r="AJ387" s="132" t="n"/>
      <c r="AK387" s="132" t="n"/>
      <c r="AL387" s="132" t="n"/>
      <c r="AM387" s="132" t="n"/>
      <c r="AN387" s="132" t="n"/>
      <c r="AO387" s="132" t="n"/>
      <c r="AP387" s="132" t="n"/>
      <c r="AQ387" s="132" t="n"/>
      <c r="AR387" s="132" t="n"/>
      <c r="AS387" s="132" t="n"/>
      <c r="AT387" s="132" t="n"/>
      <c r="AU387" s="132" t="n"/>
      <c r="AV387" s="132" t="n"/>
      <c r="AW387" s="132" t="n"/>
      <c r="AX387" s="132" t="n"/>
      <c r="AY387" s="132" t="n"/>
      <c r="AZ387" s="133" t="n"/>
      <c r="BA387" s="131" t="n"/>
      <c r="BB387" s="132" t="n"/>
      <c r="BC387" s="133" t="n"/>
      <c r="BD387" s="131" t="n"/>
      <c r="BE387" s="132" t="n"/>
      <c r="BF387" s="133" t="n"/>
      <c r="BG387" s="131" t="n"/>
      <c r="BH387" s="132" t="n"/>
      <c r="BI387" s="132" t="n"/>
      <c r="BJ387" s="128">
        <f>iferror(SUM($BK387,($BL387*1.2),($BM387*1.35),($BN387*0.74)),)</f>
        <v/>
      </c>
      <c r="BK387" s="128">
        <f>IFERROR(SUM($BT387:$CK387),)</f>
        <v/>
      </c>
      <c r="BL387" s="129">
        <f>IFERROR(SUM($CL387:$CN387),)</f>
        <v/>
      </c>
      <c r="BM387" s="130">
        <f>IFERROR(SUM($CO387:$CQ387),)</f>
        <v/>
      </c>
      <c r="BN387" s="128">
        <f>IFERROR(SUM($CR387:$CT387),)</f>
        <v/>
      </c>
      <c r="BO387" s="128">
        <f>iferror(SUM($BP387,($BQ387*1.2),($BR387*1.35),($BS387*0.74)),)</f>
        <v/>
      </c>
      <c r="BP387" s="128">
        <f>IFERROR(SUM($CU387:$DL387),)</f>
        <v/>
      </c>
      <c r="BQ387" s="128">
        <f>IFERROR(SUM($DM387:$DO387),)</f>
        <v/>
      </c>
      <c r="BR387" s="128">
        <f>IFERROR(SUM($DP387:$DR387),)</f>
        <v/>
      </c>
      <c r="BS387" s="128">
        <f>IFERROR(SUM($DS387:$DU387),)</f>
        <v/>
      </c>
      <c r="BT387" s="128">
        <f>IFERROR(AI387*$W387,)</f>
        <v/>
      </c>
      <c r="BU387" s="128">
        <f>IFERROR(AJ387*$W387,)</f>
        <v/>
      </c>
      <c r="BV387" s="128">
        <f>IFERROR(AK387*$W387,)</f>
        <v/>
      </c>
      <c r="BW387" s="128">
        <f>IFERROR(AL387*$W387,)</f>
        <v/>
      </c>
      <c r="BX387" s="128">
        <f>IFERROR(AM387*$W387,)</f>
        <v/>
      </c>
      <c r="BY387" s="128">
        <f>IFERROR(AN387*$W387,)</f>
        <v/>
      </c>
      <c r="BZ387" s="128">
        <f>IFERROR(AO387*$W387,)</f>
        <v/>
      </c>
      <c r="CA387" s="128">
        <f>IFERROR(AP387*$W387,)</f>
        <v/>
      </c>
      <c r="CB387" s="128">
        <f>IFERROR(AQ387*$W387,)</f>
        <v/>
      </c>
      <c r="CC387" s="128">
        <f>IFERROR(AR387*$W387,)</f>
        <v/>
      </c>
      <c r="CD387" s="128">
        <f>IFERROR(AS387*$W387,)</f>
        <v/>
      </c>
      <c r="CE387" s="128">
        <f>IFERROR(AT387*$W387,)</f>
        <v/>
      </c>
      <c r="CF387" s="128">
        <f>IFERROR(AU387*$W387,)</f>
        <v/>
      </c>
      <c r="CG387" s="128">
        <f>IFERROR(AV387*$W387,)</f>
        <v/>
      </c>
      <c r="CH387" s="128">
        <f>IFERROR(AW387*$W387,)</f>
        <v/>
      </c>
      <c r="CI387" s="128">
        <f>IFERROR(AX387*$W387,)</f>
        <v/>
      </c>
      <c r="CJ387" s="128">
        <f>IFERROR(AY387*$W387,)</f>
        <v/>
      </c>
      <c r="CK387" s="128">
        <f>IFERROR(AZ387*$W387,)</f>
        <v/>
      </c>
      <c r="CL387" s="129">
        <f>IFERROR(if($Y387=0,BA387*($W387/1.2),BA387*$Y387),"")</f>
        <v/>
      </c>
      <c r="CM387" s="129">
        <f>IFERROR(if($Y387=0,BB387*($W387/1.2),BB387*$Y387),"")</f>
        <v/>
      </c>
      <c r="CN387" s="129">
        <f>IFERROR(if($Y387=0,BC387*($W387/1.2),BC387*$Y387),"")</f>
        <v/>
      </c>
      <c r="CO387" s="130">
        <f>IFERROR(if($AA387=0,($W387/1.35)*BD387,BD387*$AA387),)</f>
        <v/>
      </c>
      <c r="CP387" s="130">
        <f>IFERROR(if($AA387=0,($W387/1.35)*BE387,BE387*$AA387),)</f>
        <v/>
      </c>
      <c r="CQ387" s="130">
        <f>IFERROR(if($AA387=0,($W387/1.35)*BF387,BF387*$AA387),)</f>
        <v/>
      </c>
      <c r="CR387" s="128">
        <f>IFERROR(if($AC387=0,($W387/0.74)*BG387,
BG387*$AC387),)</f>
        <v/>
      </c>
      <c r="CS387" s="128">
        <f>IFERROR(if($AC387=0,($W387/0.74)*BH387,
BH387*$AC387),)</f>
        <v/>
      </c>
      <c r="CT387" s="128">
        <f>IFERROR(if($AC387=0,($W387/0.74)*BI387,
BI387*$AC387),)</f>
        <v/>
      </c>
      <c r="CU387" s="128">
        <f>IFERROR(AI387*$V387,)</f>
        <v/>
      </c>
      <c r="CV387" s="128">
        <f>IFERROR(AJ387*$V387,)</f>
        <v/>
      </c>
      <c r="CW387" s="128">
        <f>IFERROR(AK387*$V387,)</f>
        <v/>
      </c>
      <c r="CX387" s="128">
        <f>IFERROR(AL387*$V387,)</f>
        <v/>
      </c>
      <c r="CY387" s="128">
        <f>IFERROR(AM387*$V387,)</f>
        <v/>
      </c>
      <c r="CZ387" s="128">
        <f>IFERROR(AN387*$V387,)</f>
        <v/>
      </c>
      <c r="DA387" s="128">
        <f>IFERROR(AO387*$V387,)</f>
        <v/>
      </c>
      <c r="DB387" s="128">
        <f>IFERROR(AP387*$V387,)</f>
        <v/>
      </c>
      <c r="DC387" s="128">
        <f>IFERROR(AQ387*$V387,)</f>
        <v/>
      </c>
      <c r="DD387" s="128">
        <f>IFERROR(AR387*$V387,)</f>
        <v/>
      </c>
      <c r="DE387" s="128">
        <f>IFERROR(AS387*$V387,)</f>
        <v/>
      </c>
      <c r="DF387" s="128">
        <f>IFERROR(AT387*$V387,)</f>
        <v/>
      </c>
      <c r="DG387" s="128">
        <f>IFERROR(AU387*$V387,)</f>
        <v/>
      </c>
      <c r="DH387" s="128">
        <f>IFERROR(AV387*$V387,)</f>
        <v/>
      </c>
      <c r="DI387" s="128">
        <f>IFERROR(AW387*$V387,)</f>
        <v/>
      </c>
      <c r="DJ387" s="128">
        <f>IFERROR(AX387*$V387,)</f>
        <v/>
      </c>
      <c r="DK387" s="128">
        <f>IFERROR(AY387*$V387,)</f>
        <v/>
      </c>
      <c r="DL387" s="128">
        <f>IFERROR(AZ387*$V387,)</f>
        <v/>
      </c>
      <c r="DM387" s="129">
        <f>IFERROR(if($X387=0,($V387/1.2)*BA387,
BA387*$X387),)</f>
        <v/>
      </c>
      <c r="DN387" s="129">
        <f>IFERROR(if($X387=0,($V387/1.2)*BB387,
BB387*$X387),)</f>
        <v/>
      </c>
      <c r="DO387" s="129">
        <f>IFERROR(if($X387=0,($V387/1.2)*BC387,
BC387*$X387),)</f>
        <v/>
      </c>
      <c r="DP387" s="130">
        <f>IFERROR(if($Z387=0,($V387/1.35)*BD387,
BD387*$Z387),)</f>
        <v/>
      </c>
      <c r="DQ387" s="130">
        <f>IFERROR(if($Z387=0,($V387/1.35)*BE387,
BE387*$Z387),)</f>
        <v/>
      </c>
      <c r="DR387" s="130">
        <f>IFERROR(if($Z387=0,($V387/1.35)*BF387,
BF387*$Z387),)</f>
        <v/>
      </c>
      <c r="DS387" s="128">
        <f>IFERROR(IF($AB387=0,($V387/0.74)*BG387,
BG387*$AB387),)</f>
        <v/>
      </c>
      <c r="DT387" s="128">
        <f>IFERROR(IF($AB387=0,($V387/0.74)*BH387,
BH387*$AB387),)</f>
        <v/>
      </c>
      <c r="DU387" s="128">
        <f>IFERROR(IF($AB387=0,($V387/0.74)*BI387,
BI387*$AB387),)</f>
        <v/>
      </c>
    </row>
    <row r="388" ht="131.25" customHeight="1" s="162">
      <c r="A388" s="115" t="n"/>
      <c r="B388" s="115" t="n"/>
      <c r="C388" s="115" t="n"/>
      <c r="D388" s="115" t="n"/>
      <c r="E388" s="115" t="n"/>
      <c r="F388" s="115" t="n"/>
      <c r="G388" s="115" t="n"/>
      <c r="H388" s="115" t="n"/>
      <c r="I388" s="115" t="n"/>
      <c r="J388" s="115" t="n"/>
      <c r="K388" s="115" t="n"/>
      <c r="L388" s="115" t="n"/>
      <c r="M388" s="115" t="n"/>
      <c r="N388" s="115" t="n"/>
      <c r="O388" s="115" t="n"/>
      <c r="P388" s="115" t="n"/>
      <c r="Q388" s="115" t="n"/>
      <c r="R388" s="115" t="n"/>
      <c r="S388" s="115" t="n"/>
      <c r="T388" s="115" t="n"/>
      <c r="U388" s="116" t="n"/>
      <c r="V388" s="116" t="n"/>
      <c r="W388" s="117" t="n"/>
      <c r="X388" s="118" t="n"/>
      <c r="Y388" s="119" t="n"/>
      <c r="Z388" s="120" t="n"/>
      <c r="AA388" s="121" t="n"/>
      <c r="AB388" s="122" t="n"/>
      <c r="AC388" s="117" t="n"/>
      <c r="AD388" s="123">
        <f>IF(SUM($AE388:$AH388)=0,"",SUM($AE388:$AH388))</f>
        <v/>
      </c>
      <c r="AE388" s="123">
        <f>iferror(IF(SUM($AI388:$AZ388)=0,"",SUM($AI388:$AZ388)),"")</f>
        <v/>
      </c>
      <c r="AF388" s="123">
        <f>iferror(IF(SUM($BA388:$BC388)=0,"",SUM($BA388:$BC388)),"")</f>
        <v/>
      </c>
      <c r="AG388" s="123">
        <f>iferror(IF(SUM($BD388:$BF388)=0,"",SUM($BD388:$BF388)),"")</f>
        <v/>
      </c>
      <c r="AH388" s="124">
        <f>iferror(IF(SUM($BG388:$BI388)=0,"",SUM($BG388:$BI388)),"")</f>
        <v/>
      </c>
      <c r="AI388" s="131" t="n"/>
      <c r="AJ388" s="132" t="n"/>
      <c r="AK388" s="132" t="n"/>
      <c r="AL388" s="132" t="n"/>
      <c r="AM388" s="132" t="n"/>
      <c r="AN388" s="132" t="n"/>
      <c r="AO388" s="132" t="n"/>
      <c r="AP388" s="132" t="n"/>
      <c r="AQ388" s="132" t="n"/>
      <c r="AR388" s="132" t="n"/>
      <c r="AS388" s="132" t="n"/>
      <c r="AT388" s="132" t="n"/>
      <c r="AU388" s="132" t="n"/>
      <c r="AV388" s="132" t="n"/>
      <c r="AW388" s="132" t="n"/>
      <c r="AX388" s="132" t="n"/>
      <c r="AY388" s="132" t="n"/>
      <c r="AZ388" s="133" t="n"/>
      <c r="BA388" s="131" t="n"/>
      <c r="BB388" s="132" t="n"/>
      <c r="BC388" s="133" t="n"/>
      <c r="BD388" s="131" t="n"/>
      <c r="BE388" s="132" t="n"/>
      <c r="BF388" s="133" t="n"/>
      <c r="BG388" s="131" t="n"/>
      <c r="BH388" s="132" t="n"/>
      <c r="BI388" s="132" t="n"/>
      <c r="BJ388" s="128">
        <f>iferror(SUM($BK388,($BL388*1.2),($BM388*1.35),($BN388*0.74)),)</f>
        <v/>
      </c>
      <c r="BK388" s="128">
        <f>IFERROR(SUM($BT388:$CK388),)</f>
        <v/>
      </c>
      <c r="BL388" s="129">
        <f>IFERROR(SUM($CL388:$CN388),)</f>
        <v/>
      </c>
      <c r="BM388" s="130">
        <f>IFERROR(SUM($CO388:$CQ388),)</f>
        <v/>
      </c>
      <c r="BN388" s="128">
        <f>IFERROR(SUM($CR388:$CT388),)</f>
        <v/>
      </c>
      <c r="BO388" s="128">
        <f>iferror(SUM($BP388,($BQ388*1.2),($BR388*1.35),($BS388*0.74)),)</f>
        <v/>
      </c>
      <c r="BP388" s="128">
        <f>IFERROR(SUM($CU388:$DL388),)</f>
        <v/>
      </c>
      <c r="BQ388" s="128">
        <f>IFERROR(SUM($DM388:$DO388),)</f>
        <v/>
      </c>
      <c r="BR388" s="128">
        <f>IFERROR(SUM($DP388:$DR388),)</f>
        <v/>
      </c>
      <c r="BS388" s="128">
        <f>IFERROR(SUM($DS388:$DU388),)</f>
        <v/>
      </c>
      <c r="BT388" s="128">
        <f>IFERROR(AI388*$W388,)</f>
        <v/>
      </c>
      <c r="BU388" s="128">
        <f>IFERROR(AJ388*$W388,)</f>
        <v/>
      </c>
      <c r="BV388" s="128">
        <f>IFERROR(AK388*$W388,)</f>
        <v/>
      </c>
      <c r="BW388" s="128">
        <f>IFERROR(AL388*$W388,)</f>
        <v/>
      </c>
      <c r="BX388" s="128">
        <f>IFERROR(AM388*$W388,)</f>
        <v/>
      </c>
      <c r="BY388" s="128">
        <f>IFERROR(AN388*$W388,)</f>
        <v/>
      </c>
      <c r="BZ388" s="128">
        <f>IFERROR(AO388*$W388,)</f>
        <v/>
      </c>
      <c r="CA388" s="128">
        <f>IFERROR(AP388*$W388,)</f>
        <v/>
      </c>
      <c r="CB388" s="128">
        <f>IFERROR(AQ388*$W388,)</f>
        <v/>
      </c>
      <c r="CC388" s="128">
        <f>IFERROR(AR388*$W388,)</f>
        <v/>
      </c>
      <c r="CD388" s="128">
        <f>IFERROR(AS388*$W388,)</f>
        <v/>
      </c>
      <c r="CE388" s="128">
        <f>IFERROR(AT388*$W388,)</f>
        <v/>
      </c>
      <c r="CF388" s="128">
        <f>IFERROR(AU388*$W388,)</f>
        <v/>
      </c>
      <c r="CG388" s="128">
        <f>IFERROR(AV388*$W388,)</f>
        <v/>
      </c>
      <c r="CH388" s="128">
        <f>IFERROR(AW388*$W388,)</f>
        <v/>
      </c>
      <c r="CI388" s="128">
        <f>IFERROR(AX388*$W388,)</f>
        <v/>
      </c>
      <c r="CJ388" s="128">
        <f>IFERROR(AY388*$W388,)</f>
        <v/>
      </c>
      <c r="CK388" s="128">
        <f>IFERROR(AZ388*$W388,)</f>
        <v/>
      </c>
      <c r="CL388" s="129">
        <f>IFERROR(if($Y388=0,BA388*($W388/1.2),BA388*$Y388),"")</f>
        <v/>
      </c>
      <c r="CM388" s="129">
        <f>IFERROR(if($Y388=0,BB388*($W388/1.2),BB388*$Y388),"")</f>
        <v/>
      </c>
      <c r="CN388" s="129">
        <f>IFERROR(if($Y388=0,BC388*($W388/1.2),BC388*$Y388),"")</f>
        <v/>
      </c>
      <c r="CO388" s="130">
        <f>IFERROR(if($AA388=0,($W388/1.35)*BD388,BD388*$AA388),)</f>
        <v/>
      </c>
      <c r="CP388" s="130">
        <f>IFERROR(if($AA388=0,($W388/1.35)*BE388,BE388*$AA388),)</f>
        <v/>
      </c>
      <c r="CQ388" s="130">
        <f>IFERROR(if($AA388=0,($W388/1.35)*BF388,BF388*$AA388),)</f>
        <v/>
      </c>
      <c r="CR388" s="128">
        <f>IFERROR(if($AC388=0,($W388/0.74)*BG388,
BG388*$AC388),)</f>
        <v/>
      </c>
      <c r="CS388" s="128">
        <f>IFERROR(if($AC388=0,($W388/0.74)*BH388,
BH388*$AC388),)</f>
        <v/>
      </c>
      <c r="CT388" s="128">
        <f>IFERROR(if($AC388=0,($W388/0.74)*BI388,
BI388*$AC388),)</f>
        <v/>
      </c>
      <c r="CU388" s="128">
        <f>IFERROR(AI388*$V388,)</f>
        <v/>
      </c>
      <c r="CV388" s="128">
        <f>IFERROR(AJ388*$V388,)</f>
        <v/>
      </c>
      <c r="CW388" s="128">
        <f>IFERROR(AK388*$V388,)</f>
        <v/>
      </c>
      <c r="CX388" s="128">
        <f>IFERROR(AL388*$V388,)</f>
        <v/>
      </c>
      <c r="CY388" s="128">
        <f>IFERROR(AM388*$V388,)</f>
        <v/>
      </c>
      <c r="CZ388" s="128">
        <f>IFERROR(AN388*$V388,)</f>
        <v/>
      </c>
      <c r="DA388" s="128">
        <f>IFERROR(AO388*$V388,)</f>
        <v/>
      </c>
      <c r="DB388" s="128">
        <f>IFERROR(AP388*$V388,)</f>
        <v/>
      </c>
      <c r="DC388" s="128">
        <f>IFERROR(AQ388*$V388,)</f>
        <v/>
      </c>
      <c r="DD388" s="128">
        <f>IFERROR(AR388*$V388,)</f>
        <v/>
      </c>
      <c r="DE388" s="128">
        <f>IFERROR(AS388*$V388,)</f>
        <v/>
      </c>
      <c r="DF388" s="128">
        <f>IFERROR(AT388*$V388,)</f>
        <v/>
      </c>
      <c r="DG388" s="128">
        <f>IFERROR(AU388*$V388,)</f>
        <v/>
      </c>
      <c r="DH388" s="128">
        <f>IFERROR(AV388*$V388,)</f>
        <v/>
      </c>
      <c r="DI388" s="128">
        <f>IFERROR(AW388*$V388,)</f>
        <v/>
      </c>
      <c r="DJ388" s="128">
        <f>IFERROR(AX388*$V388,)</f>
        <v/>
      </c>
      <c r="DK388" s="128">
        <f>IFERROR(AY388*$V388,)</f>
        <v/>
      </c>
      <c r="DL388" s="128">
        <f>IFERROR(AZ388*$V388,)</f>
        <v/>
      </c>
      <c r="DM388" s="129">
        <f>IFERROR(if($X388=0,($V388/1.2)*BA388,
BA388*$X388),)</f>
        <v/>
      </c>
      <c r="DN388" s="129">
        <f>IFERROR(if($X388=0,($V388/1.2)*BB388,
BB388*$X388),)</f>
        <v/>
      </c>
      <c r="DO388" s="129">
        <f>IFERROR(if($X388=0,($V388/1.2)*BC388,
BC388*$X388),)</f>
        <v/>
      </c>
      <c r="DP388" s="130">
        <f>IFERROR(if($Z388=0,($V388/1.35)*BD388,
BD388*$Z388),)</f>
        <v/>
      </c>
      <c r="DQ388" s="130">
        <f>IFERROR(if($Z388=0,($V388/1.35)*BE388,
BE388*$Z388),)</f>
        <v/>
      </c>
      <c r="DR388" s="130">
        <f>IFERROR(if($Z388=0,($V388/1.35)*BF388,
BF388*$Z388),)</f>
        <v/>
      </c>
      <c r="DS388" s="128">
        <f>IFERROR(IF($AB388=0,($V388/0.74)*BG388,
BG388*$AB388),)</f>
        <v/>
      </c>
      <c r="DT388" s="128">
        <f>IFERROR(IF($AB388=0,($V388/0.74)*BH388,
BH388*$AB388),)</f>
        <v/>
      </c>
      <c r="DU388" s="128">
        <f>IFERROR(IF($AB388=0,($V388/0.74)*BI388,
BI388*$AB388),)</f>
        <v/>
      </c>
    </row>
    <row r="389" ht="131.25" customHeight="1" s="162">
      <c r="A389" s="115" t="n"/>
      <c r="B389" s="115" t="n"/>
      <c r="C389" s="115" t="n"/>
      <c r="D389" s="115" t="n"/>
      <c r="E389" s="115" t="n"/>
      <c r="F389" s="115" t="n"/>
      <c r="G389" s="115" t="n"/>
      <c r="H389" s="115" t="n"/>
      <c r="I389" s="115" t="n"/>
      <c r="J389" s="115" t="n"/>
      <c r="K389" s="115" t="n"/>
      <c r="L389" s="115" t="n"/>
      <c r="M389" s="115" t="n"/>
      <c r="N389" s="115" t="n"/>
      <c r="O389" s="115" t="n"/>
      <c r="P389" s="115" t="n"/>
      <c r="Q389" s="115" t="n"/>
      <c r="R389" s="115" t="n"/>
      <c r="S389" s="115" t="n"/>
      <c r="T389" s="115" t="n"/>
      <c r="U389" s="116" t="n"/>
      <c r="V389" s="116" t="n"/>
      <c r="W389" s="117" t="n"/>
      <c r="X389" s="118" t="n"/>
      <c r="Y389" s="119" t="n"/>
      <c r="Z389" s="120" t="n"/>
      <c r="AA389" s="121" t="n"/>
      <c r="AB389" s="122" t="n"/>
      <c r="AC389" s="117" t="n"/>
      <c r="AD389" s="123">
        <f>IF(SUM($AE389:$AH389)=0,"",SUM($AE389:$AH389))</f>
        <v/>
      </c>
      <c r="AE389" s="123">
        <f>iferror(IF(SUM($AI389:$AZ389)=0,"",SUM($AI389:$AZ389)),"")</f>
        <v/>
      </c>
      <c r="AF389" s="123">
        <f>iferror(IF(SUM($BA389:$BC389)=0,"",SUM($BA389:$BC389)),"")</f>
        <v/>
      </c>
      <c r="AG389" s="123">
        <f>iferror(IF(SUM($BD389:$BF389)=0,"",SUM($BD389:$BF389)),"")</f>
        <v/>
      </c>
      <c r="AH389" s="124">
        <f>iferror(IF(SUM($BG389:$BI389)=0,"",SUM($BG389:$BI389)),"")</f>
        <v/>
      </c>
      <c r="AI389" s="131" t="n"/>
      <c r="AJ389" s="132" t="n"/>
      <c r="AK389" s="132" t="n"/>
      <c r="AL389" s="132" t="n"/>
      <c r="AM389" s="132" t="n"/>
      <c r="AN389" s="132" t="n"/>
      <c r="AO389" s="132" t="n"/>
      <c r="AP389" s="132" t="n"/>
      <c r="AQ389" s="132" t="n"/>
      <c r="AR389" s="132" t="n"/>
      <c r="AS389" s="132" t="n"/>
      <c r="AT389" s="132" t="n"/>
      <c r="AU389" s="132" t="n"/>
      <c r="AV389" s="132" t="n"/>
      <c r="AW389" s="132" t="n"/>
      <c r="AX389" s="132" t="n"/>
      <c r="AY389" s="132" t="n"/>
      <c r="AZ389" s="133" t="n"/>
      <c r="BA389" s="131" t="n"/>
      <c r="BB389" s="132" t="n"/>
      <c r="BC389" s="133" t="n"/>
      <c r="BD389" s="131" t="n"/>
      <c r="BE389" s="132" t="n"/>
      <c r="BF389" s="133" t="n"/>
      <c r="BG389" s="131" t="n"/>
      <c r="BH389" s="132" t="n"/>
      <c r="BI389" s="132" t="n"/>
      <c r="BJ389" s="128">
        <f>iferror(SUM($BK389,($BL389*1.2),($BM389*1.35),($BN389*0.74)),)</f>
        <v/>
      </c>
      <c r="BK389" s="128">
        <f>IFERROR(SUM($BT389:$CK389),)</f>
        <v/>
      </c>
      <c r="BL389" s="129">
        <f>IFERROR(SUM($CL389:$CN389),)</f>
        <v/>
      </c>
      <c r="BM389" s="130">
        <f>IFERROR(SUM($CO389:$CQ389),)</f>
        <v/>
      </c>
      <c r="BN389" s="128">
        <f>IFERROR(SUM($CR389:$CT389),)</f>
        <v/>
      </c>
      <c r="BO389" s="128">
        <f>iferror(SUM($BP389,($BQ389*1.2),($BR389*1.35),($BS389*0.74)),)</f>
        <v/>
      </c>
      <c r="BP389" s="128">
        <f>IFERROR(SUM($CU389:$DL389),)</f>
        <v/>
      </c>
      <c r="BQ389" s="128">
        <f>IFERROR(SUM($DM389:$DO389),)</f>
        <v/>
      </c>
      <c r="BR389" s="128">
        <f>IFERROR(SUM($DP389:$DR389),)</f>
        <v/>
      </c>
      <c r="BS389" s="128">
        <f>IFERROR(SUM($DS389:$DU389),)</f>
        <v/>
      </c>
      <c r="BT389" s="128">
        <f>IFERROR(AI389*$W389,)</f>
        <v/>
      </c>
      <c r="BU389" s="128">
        <f>IFERROR(AJ389*$W389,)</f>
        <v/>
      </c>
      <c r="BV389" s="128">
        <f>IFERROR(AK389*$W389,)</f>
        <v/>
      </c>
      <c r="BW389" s="128">
        <f>IFERROR(AL389*$W389,)</f>
        <v/>
      </c>
      <c r="BX389" s="128">
        <f>IFERROR(AM389*$W389,)</f>
        <v/>
      </c>
      <c r="BY389" s="128">
        <f>IFERROR(AN389*$W389,)</f>
        <v/>
      </c>
      <c r="BZ389" s="128">
        <f>IFERROR(AO389*$W389,)</f>
        <v/>
      </c>
      <c r="CA389" s="128">
        <f>IFERROR(AP389*$W389,)</f>
        <v/>
      </c>
      <c r="CB389" s="128">
        <f>IFERROR(AQ389*$W389,)</f>
        <v/>
      </c>
      <c r="CC389" s="128">
        <f>IFERROR(AR389*$W389,)</f>
        <v/>
      </c>
      <c r="CD389" s="128">
        <f>IFERROR(AS389*$W389,)</f>
        <v/>
      </c>
      <c r="CE389" s="128">
        <f>IFERROR(AT389*$W389,)</f>
        <v/>
      </c>
      <c r="CF389" s="128">
        <f>IFERROR(AU389*$W389,)</f>
        <v/>
      </c>
      <c r="CG389" s="128">
        <f>IFERROR(AV389*$W389,)</f>
        <v/>
      </c>
      <c r="CH389" s="128">
        <f>IFERROR(AW389*$W389,)</f>
        <v/>
      </c>
      <c r="CI389" s="128">
        <f>IFERROR(AX389*$W389,)</f>
        <v/>
      </c>
      <c r="CJ389" s="128">
        <f>IFERROR(AY389*$W389,)</f>
        <v/>
      </c>
      <c r="CK389" s="128">
        <f>IFERROR(AZ389*$W389,)</f>
        <v/>
      </c>
      <c r="CL389" s="129">
        <f>IFERROR(if($Y389=0,BA389*($W389/1.2),BA389*$Y389),"")</f>
        <v/>
      </c>
      <c r="CM389" s="129">
        <f>IFERROR(if($Y389=0,BB389*($W389/1.2),BB389*$Y389),"")</f>
        <v/>
      </c>
      <c r="CN389" s="129">
        <f>IFERROR(if($Y389=0,BC389*($W389/1.2),BC389*$Y389),"")</f>
        <v/>
      </c>
      <c r="CO389" s="130">
        <f>IFERROR(if($AA389=0,($W389/1.35)*BD389,BD389*$AA389),)</f>
        <v/>
      </c>
      <c r="CP389" s="130">
        <f>IFERROR(if($AA389=0,($W389/1.35)*BE389,BE389*$AA389),)</f>
        <v/>
      </c>
      <c r="CQ389" s="130">
        <f>IFERROR(if($AA389=0,($W389/1.35)*BF389,BF389*$AA389),)</f>
        <v/>
      </c>
      <c r="CR389" s="128">
        <f>IFERROR(if($AC389=0,($W389/0.74)*BG389,
BG389*$AC389),)</f>
        <v/>
      </c>
      <c r="CS389" s="128">
        <f>IFERROR(if($AC389=0,($W389/0.74)*BH389,
BH389*$AC389),)</f>
        <v/>
      </c>
      <c r="CT389" s="128">
        <f>IFERROR(if($AC389=0,($W389/0.74)*BI389,
BI389*$AC389),)</f>
        <v/>
      </c>
      <c r="CU389" s="128">
        <f>IFERROR(AI389*$V389,)</f>
        <v/>
      </c>
      <c r="CV389" s="128">
        <f>IFERROR(AJ389*$V389,)</f>
        <v/>
      </c>
      <c r="CW389" s="128">
        <f>IFERROR(AK389*$V389,)</f>
        <v/>
      </c>
      <c r="CX389" s="128">
        <f>IFERROR(AL389*$V389,)</f>
        <v/>
      </c>
      <c r="CY389" s="128">
        <f>IFERROR(AM389*$V389,)</f>
        <v/>
      </c>
      <c r="CZ389" s="128">
        <f>IFERROR(AN389*$V389,)</f>
        <v/>
      </c>
      <c r="DA389" s="128">
        <f>IFERROR(AO389*$V389,)</f>
        <v/>
      </c>
      <c r="DB389" s="128">
        <f>IFERROR(AP389*$V389,)</f>
        <v/>
      </c>
      <c r="DC389" s="128">
        <f>IFERROR(AQ389*$V389,)</f>
        <v/>
      </c>
      <c r="DD389" s="128">
        <f>IFERROR(AR389*$V389,)</f>
        <v/>
      </c>
      <c r="DE389" s="128">
        <f>IFERROR(AS389*$V389,)</f>
        <v/>
      </c>
      <c r="DF389" s="128">
        <f>IFERROR(AT389*$V389,)</f>
        <v/>
      </c>
      <c r="DG389" s="128">
        <f>IFERROR(AU389*$V389,)</f>
        <v/>
      </c>
      <c r="DH389" s="128">
        <f>IFERROR(AV389*$V389,)</f>
        <v/>
      </c>
      <c r="DI389" s="128">
        <f>IFERROR(AW389*$V389,)</f>
        <v/>
      </c>
      <c r="DJ389" s="128">
        <f>IFERROR(AX389*$V389,)</f>
        <v/>
      </c>
      <c r="DK389" s="128">
        <f>IFERROR(AY389*$V389,)</f>
        <v/>
      </c>
      <c r="DL389" s="128">
        <f>IFERROR(AZ389*$V389,)</f>
        <v/>
      </c>
      <c r="DM389" s="129">
        <f>IFERROR(if($X389=0,($V389/1.2)*BA389,
BA389*$X389),)</f>
        <v/>
      </c>
      <c r="DN389" s="129">
        <f>IFERROR(if($X389=0,($V389/1.2)*BB389,
BB389*$X389),)</f>
        <v/>
      </c>
      <c r="DO389" s="129">
        <f>IFERROR(if($X389=0,($V389/1.2)*BC389,
BC389*$X389),)</f>
        <v/>
      </c>
      <c r="DP389" s="130">
        <f>IFERROR(if($Z389=0,($V389/1.35)*BD389,
BD389*$Z389),)</f>
        <v/>
      </c>
      <c r="DQ389" s="130">
        <f>IFERROR(if($Z389=0,($V389/1.35)*BE389,
BE389*$Z389),)</f>
        <v/>
      </c>
      <c r="DR389" s="130">
        <f>IFERROR(if($Z389=0,($V389/1.35)*BF389,
BF389*$Z389),)</f>
        <v/>
      </c>
      <c r="DS389" s="128">
        <f>IFERROR(IF($AB389=0,($V389/0.74)*BG389,
BG389*$AB389),)</f>
        <v/>
      </c>
      <c r="DT389" s="128">
        <f>IFERROR(IF($AB389=0,($V389/0.74)*BH389,
BH389*$AB389),)</f>
        <v/>
      </c>
      <c r="DU389" s="128">
        <f>IFERROR(IF($AB389=0,($V389/0.74)*BI389,
BI389*$AB389),)</f>
        <v/>
      </c>
    </row>
    <row r="390" ht="131.25" customHeight="1" s="162">
      <c r="A390" s="115" t="n"/>
      <c r="B390" s="115" t="n"/>
      <c r="C390" s="115" t="n"/>
      <c r="D390" s="115" t="n"/>
      <c r="E390" s="115" t="n"/>
      <c r="F390" s="115" t="n"/>
      <c r="G390" s="115" t="n"/>
      <c r="H390" s="115" t="n"/>
      <c r="I390" s="115" t="n"/>
      <c r="J390" s="115" t="n"/>
      <c r="K390" s="115" t="n"/>
      <c r="L390" s="115" t="n"/>
      <c r="M390" s="115" t="n"/>
      <c r="N390" s="115" t="n"/>
      <c r="O390" s="115" t="n"/>
      <c r="P390" s="115" t="n"/>
      <c r="Q390" s="115" t="n"/>
      <c r="R390" s="115" t="n"/>
      <c r="S390" s="115" t="n"/>
      <c r="T390" s="115" t="n"/>
      <c r="U390" s="116" t="n"/>
      <c r="V390" s="116" t="n"/>
      <c r="W390" s="117" t="n"/>
      <c r="X390" s="118" t="n"/>
      <c r="Y390" s="119" t="n"/>
      <c r="Z390" s="120" t="n"/>
      <c r="AA390" s="121" t="n"/>
      <c r="AB390" s="122" t="n"/>
      <c r="AC390" s="117" t="n"/>
      <c r="AD390" s="123">
        <f>IF(SUM($AE390:$AH390)=0,"",SUM($AE390:$AH390))</f>
        <v/>
      </c>
      <c r="AE390" s="123">
        <f>iferror(IF(SUM($AI390:$AZ390)=0,"",SUM($AI390:$AZ390)),"")</f>
        <v/>
      </c>
      <c r="AF390" s="123">
        <f>iferror(IF(SUM($BA390:$BC390)=0,"",SUM($BA390:$BC390)),"")</f>
        <v/>
      </c>
      <c r="AG390" s="123">
        <f>iferror(IF(SUM($BD390:$BF390)=0,"",SUM($BD390:$BF390)),"")</f>
        <v/>
      </c>
      <c r="AH390" s="124">
        <f>iferror(IF(SUM($BG390:$BI390)=0,"",SUM($BG390:$BI390)),"")</f>
        <v/>
      </c>
      <c r="AI390" s="131" t="n"/>
      <c r="AJ390" s="132" t="n"/>
      <c r="AK390" s="132" t="n"/>
      <c r="AL390" s="132" t="n"/>
      <c r="AM390" s="132" t="n"/>
      <c r="AN390" s="132" t="n"/>
      <c r="AO390" s="132" t="n"/>
      <c r="AP390" s="132" t="n"/>
      <c r="AQ390" s="132" t="n"/>
      <c r="AR390" s="132" t="n"/>
      <c r="AS390" s="132" t="n"/>
      <c r="AT390" s="132" t="n"/>
      <c r="AU390" s="132" t="n"/>
      <c r="AV390" s="132" t="n"/>
      <c r="AW390" s="132" t="n"/>
      <c r="AX390" s="132" t="n"/>
      <c r="AY390" s="132" t="n"/>
      <c r="AZ390" s="133" t="n"/>
      <c r="BA390" s="131" t="n"/>
      <c r="BB390" s="132" t="n"/>
      <c r="BC390" s="133" t="n"/>
      <c r="BD390" s="131" t="n"/>
      <c r="BE390" s="132" t="n"/>
      <c r="BF390" s="133" t="n"/>
      <c r="BG390" s="131" t="n"/>
      <c r="BH390" s="132" t="n"/>
      <c r="BI390" s="132" t="n"/>
      <c r="BJ390" s="128">
        <f>iferror(SUM($BK390,($BL390*1.2),($BM390*1.35),($BN390*0.74)),)</f>
        <v/>
      </c>
      <c r="BK390" s="128">
        <f>IFERROR(SUM($BT390:$CK390),)</f>
        <v/>
      </c>
      <c r="BL390" s="129">
        <f>IFERROR(SUM($CL390:$CN390),)</f>
        <v/>
      </c>
      <c r="BM390" s="130">
        <f>IFERROR(SUM($CO390:$CQ390),)</f>
        <v/>
      </c>
      <c r="BN390" s="128">
        <f>IFERROR(SUM($CR390:$CT390),)</f>
        <v/>
      </c>
      <c r="BO390" s="128">
        <f>iferror(SUM($BP390,($BQ390*1.2),($BR390*1.35),($BS390*0.74)),)</f>
        <v/>
      </c>
      <c r="BP390" s="128">
        <f>IFERROR(SUM($CU390:$DL390),)</f>
        <v/>
      </c>
      <c r="BQ390" s="128">
        <f>IFERROR(SUM($DM390:$DO390),)</f>
        <v/>
      </c>
      <c r="BR390" s="128">
        <f>IFERROR(SUM($DP390:$DR390),)</f>
        <v/>
      </c>
      <c r="BS390" s="128">
        <f>IFERROR(SUM($DS390:$DU390),)</f>
        <v/>
      </c>
      <c r="BT390" s="128">
        <f>IFERROR(AI390*$W390,)</f>
        <v/>
      </c>
      <c r="BU390" s="128">
        <f>IFERROR(AJ390*$W390,)</f>
        <v/>
      </c>
      <c r="BV390" s="128">
        <f>IFERROR(AK390*$W390,)</f>
        <v/>
      </c>
      <c r="BW390" s="128">
        <f>IFERROR(AL390*$W390,)</f>
        <v/>
      </c>
      <c r="BX390" s="128">
        <f>IFERROR(AM390*$W390,)</f>
        <v/>
      </c>
      <c r="BY390" s="128">
        <f>IFERROR(AN390*$W390,)</f>
        <v/>
      </c>
      <c r="BZ390" s="128">
        <f>IFERROR(AO390*$W390,)</f>
        <v/>
      </c>
      <c r="CA390" s="128">
        <f>IFERROR(AP390*$W390,)</f>
        <v/>
      </c>
      <c r="CB390" s="128">
        <f>IFERROR(AQ390*$W390,)</f>
        <v/>
      </c>
      <c r="CC390" s="128">
        <f>IFERROR(AR390*$W390,)</f>
        <v/>
      </c>
      <c r="CD390" s="128">
        <f>IFERROR(AS390*$W390,)</f>
        <v/>
      </c>
      <c r="CE390" s="128">
        <f>IFERROR(AT390*$W390,)</f>
        <v/>
      </c>
      <c r="CF390" s="128">
        <f>IFERROR(AU390*$W390,)</f>
        <v/>
      </c>
      <c r="CG390" s="128">
        <f>IFERROR(AV390*$W390,)</f>
        <v/>
      </c>
      <c r="CH390" s="128">
        <f>IFERROR(AW390*$W390,)</f>
        <v/>
      </c>
      <c r="CI390" s="128">
        <f>IFERROR(AX390*$W390,)</f>
        <v/>
      </c>
      <c r="CJ390" s="128">
        <f>IFERROR(AY390*$W390,)</f>
        <v/>
      </c>
      <c r="CK390" s="128">
        <f>IFERROR(AZ390*$W390,)</f>
        <v/>
      </c>
      <c r="CL390" s="129">
        <f>IFERROR(if($Y390=0,BA390*($W390/1.2),BA390*$Y390),"")</f>
        <v/>
      </c>
      <c r="CM390" s="129">
        <f>IFERROR(if($Y390=0,BB390*($W390/1.2),BB390*$Y390),"")</f>
        <v/>
      </c>
      <c r="CN390" s="129">
        <f>IFERROR(if($Y390=0,BC390*($W390/1.2),BC390*$Y390),"")</f>
        <v/>
      </c>
      <c r="CO390" s="130">
        <f>IFERROR(if($AA390=0,($W390/1.35)*BD390,BD390*$AA390),)</f>
        <v/>
      </c>
      <c r="CP390" s="130">
        <f>IFERROR(if($AA390=0,($W390/1.35)*BE390,BE390*$AA390),)</f>
        <v/>
      </c>
      <c r="CQ390" s="130">
        <f>IFERROR(if($AA390=0,($W390/1.35)*BF390,BF390*$AA390),)</f>
        <v/>
      </c>
      <c r="CR390" s="128">
        <f>IFERROR(if($AC390=0,($W390/0.74)*BG390,
BG390*$AC390),)</f>
        <v/>
      </c>
      <c r="CS390" s="128">
        <f>IFERROR(if($AC390=0,($W390/0.74)*BH390,
BH390*$AC390),)</f>
        <v/>
      </c>
      <c r="CT390" s="128">
        <f>IFERROR(if($AC390=0,($W390/0.74)*BI390,
BI390*$AC390),)</f>
        <v/>
      </c>
      <c r="CU390" s="128">
        <f>IFERROR(AI390*$V390,)</f>
        <v/>
      </c>
      <c r="CV390" s="128">
        <f>IFERROR(AJ390*$V390,)</f>
        <v/>
      </c>
      <c r="CW390" s="128">
        <f>IFERROR(AK390*$V390,)</f>
        <v/>
      </c>
      <c r="CX390" s="128">
        <f>IFERROR(AL390*$V390,)</f>
        <v/>
      </c>
      <c r="CY390" s="128">
        <f>IFERROR(AM390*$V390,)</f>
        <v/>
      </c>
      <c r="CZ390" s="128">
        <f>IFERROR(AN390*$V390,)</f>
        <v/>
      </c>
      <c r="DA390" s="128">
        <f>IFERROR(AO390*$V390,)</f>
        <v/>
      </c>
      <c r="DB390" s="128">
        <f>IFERROR(AP390*$V390,)</f>
        <v/>
      </c>
      <c r="DC390" s="128">
        <f>IFERROR(AQ390*$V390,)</f>
        <v/>
      </c>
      <c r="DD390" s="128">
        <f>IFERROR(AR390*$V390,)</f>
        <v/>
      </c>
      <c r="DE390" s="128">
        <f>IFERROR(AS390*$V390,)</f>
        <v/>
      </c>
      <c r="DF390" s="128">
        <f>IFERROR(AT390*$V390,)</f>
        <v/>
      </c>
      <c r="DG390" s="128">
        <f>IFERROR(AU390*$V390,)</f>
        <v/>
      </c>
      <c r="DH390" s="128">
        <f>IFERROR(AV390*$V390,)</f>
        <v/>
      </c>
      <c r="DI390" s="128">
        <f>IFERROR(AW390*$V390,)</f>
        <v/>
      </c>
      <c r="DJ390" s="128">
        <f>IFERROR(AX390*$V390,)</f>
        <v/>
      </c>
      <c r="DK390" s="128">
        <f>IFERROR(AY390*$V390,)</f>
        <v/>
      </c>
      <c r="DL390" s="128">
        <f>IFERROR(AZ390*$V390,)</f>
        <v/>
      </c>
      <c r="DM390" s="129">
        <f>IFERROR(if($X390=0,($V390/1.2)*BA390,
BA390*$X390),)</f>
        <v/>
      </c>
      <c r="DN390" s="129">
        <f>IFERROR(if($X390=0,($V390/1.2)*BB390,
BB390*$X390),)</f>
        <v/>
      </c>
      <c r="DO390" s="129">
        <f>IFERROR(if($X390=0,($V390/1.2)*BC390,
BC390*$X390),)</f>
        <v/>
      </c>
      <c r="DP390" s="130">
        <f>IFERROR(if($Z390=0,($V390/1.35)*BD390,
BD390*$Z390),)</f>
        <v/>
      </c>
      <c r="DQ390" s="130">
        <f>IFERROR(if($Z390=0,($V390/1.35)*BE390,
BE390*$Z390),)</f>
        <v/>
      </c>
      <c r="DR390" s="130">
        <f>IFERROR(if($Z390=0,($V390/1.35)*BF390,
BF390*$Z390),)</f>
        <v/>
      </c>
      <c r="DS390" s="128">
        <f>IFERROR(IF($AB390=0,($V390/0.74)*BG390,
BG390*$AB390),)</f>
        <v/>
      </c>
      <c r="DT390" s="128">
        <f>IFERROR(IF($AB390=0,($V390/0.74)*BH390,
BH390*$AB390),)</f>
        <v/>
      </c>
      <c r="DU390" s="128">
        <f>IFERROR(IF($AB390=0,($V390/0.74)*BI390,
BI390*$AB390),)</f>
        <v/>
      </c>
    </row>
    <row r="391" ht="131.25" customHeight="1" s="162">
      <c r="A391" s="115" t="n"/>
      <c r="B391" s="115" t="n"/>
      <c r="C391" s="115" t="n"/>
      <c r="D391" s="115" t="n"/>
      <c r="E391" s="115" t="n"/>
      <c r="F391" s="115" t="n"/>
      <c r="G391" s="115" t="n"/>
      <c r="H391" s="115" t="n"/>
      <c r="I391" s="115" t="n"/>
      <c r="J391" s="115" t="n"/>
      <c r="K391" s="115" t="n"/>
      <c r="L391" s="115" t="n"/>
      <c r="M391" s="115" t="n"/>
      <c r="N391" s="115" t="n"/>
      <c r="O391" s="115" t="n"/>
      <c r="P391" s="115" t="n"/>
      <c r="Q391" s="115" t="n"/>
      <c r="R391" s="115" t="n"/>
      <c r="S391" s="115" t="n"/>
      <c r="T391" s="115" t="n"/>
      <c r="U391" s="116" t="n"/>
      <c r="V391" s="116" t="n"/>
      <c r="W391" s="117" t="n"/>
      <c r="X391" s="118" t="n"/>
      <c r="Y391" s="119" t="n"/>
      <c r="Z391" s="120" t="n"/>
      <c r="AA391" s="121" t="n"/>
      <c r="AB391" s="122" t="n"/>
      <c r="AC391" s="117" t="n"/>
      <c r="AD391" s="123">
        <f>IF(SUM($AE391:$AH391)=0,"",SUM($AE391:$AH391))</f>
        <v/>
      </c>
      <c r="AE391" s="123">
        <f>iferror(IF(SUM($AI391:$AZ391)=0,"",SUM($AI391:$AZ391)),"")</f>
        <v/>
      </c>
      <c r="AF391" s="123">
        <f>iferror(IF(SUM($BA391:$BC391)=0,"",SUM($BA391:$BC391)),"")</f>
        <v/>
      </c>
      <c r="AG391" s="123">
        <f>iferror(IF(SUM($BD391:$BF391)=0,"",SUM($BD391:$BF391)),"")</f>
        <v/>
      </c>
      <c r="AH391" s="124">
        <f>iferror(IF(SUM($BG391:$BI391)=0,"",SUM($BG391:$BI391)),"")</f>
        <v/>
      </c>
      <c r="AI391" s="131" t="n"/>
      <c r="AJ391" s="132" t="n"/>
      <c r="AK391" s="132" t="n"/>
      <c r="AL391" s="132" t="n"/>
      <c r="AM391" s="132" t="n"/>
      <c r="AN391" s="132" t="n"/>
      <c r="AO391" s="132" t="n"/>
      <c r="AP391" s="132" t="n"/>
      <c r="AQ391" s="132" t="n"/>
      <c r="AR391" s="132" t="n"/>
      <c r="AS391" s="132" t="n"/>
      <c r="AT391" s="132" t="n"/>
      <c r="AU391" s="132" t="n"/>
      <c r="AV391" s="132" t="n"/>
      <c r="AW391" s="132" t="n"/>
      <c r="AX391" s="132" t="n"/>
      <c r="AY391" s="132" t="n"/>
      <c r="AZ391" s="133" t="n"/>
      <c r="BA391" s="131" t="n"/>
      <c r="BB391" s="132" t="n"/>
      <c r="BC391" s="133" t="n"/>
      <c r="BD391" s="131" t="n"/>
      <c r="BE391" s="132" t="n"/>
      <c r="BF391" s="133" t="n"/>
      <c r="BG391" s="131" t="n"/>
      <c r="BH391" s="132" t="n"/>
      <c r="BI391" s="132" t="n"/>
      <c r="BJ391" s="128">
        <f>iferror(SUM($BK391,($BL391*1.2),($BM391*1.35),($BN391*0.74)),)</f>
        <v/>
      </c>
      <c r="BK391" s="128">
        <f>IFERROR(SUM($BT391:$CK391),)</f>
        <v/>
      </c>
      <c r="BL391" s="129">
        <f>IFERROR(SUM($CL391:$CN391),)</f>
        <v/>
      </c>
      <c r="BM391" s="130">
        <f>IFERROR(SUM($CO391:$CQ391),)</f>
        <v/>
      </c>
      <c r="BN391" s="128">
        <f>IFERROR(SUM($CR391:$CT391),)</f>
        <v/>
      </c>
      <c r="BO391" s="128">
        <f>iferror(SUM($BP391,($BQ391*1.2),($BR391*1.35),($BS391*0.74)),)</f>
        <v/>
      </c>
      <c r="BP391" s="128">
        <f>IFERROR(SUM($CU391:$DL391),)</f>
        <v/>
      </c>
      <c r="BQ391" s="128">
        <f>IFERROR(SUM($DM391:$DO391),)</f>
        <v/>
      </c>
      <c r="BR391" s="128">
        <f>IFERROR(SUM($DP391:$DR391),)</f>
        <v/>
      </c>
      <c r="BS391" s="128">
        <f>IFERROR(SUM($DS391:$DU391),)</f>
        <v/>
      </c>
      <c r="BT391" s="128">
        <f>IFERROR(AI391*$W391,)</f>
        <v/>
      </c>
      <c r="BU391" s="128">
        <f>IFERROR(AJ391*$W391,)</f>
        <v/>
      </c>
      <c r="BV391" s="128">
        <f>IFERROR(AK391*$W391,)</f>
        <v/>
      </c>
      <c r="BW391" s="128">
        <f>IFERROR(AL391*$W391,)</f>
        <v/>
      </c>
      <c r="BX391" s="128">
        <f>IFERROR(AM391*$W391,)</f>
        <v/>
      </c>
      <c r="BY391" s="128">
        <f>IFERROR(AN391*$W391,)</f>
        <v/>
      </c>
      <c r="BZ391" s="128">
        <f>IFERROR(AO391*$W391,)</f>
        <v/>
      </c>
      <c r="CA391" s="128">
        <f>IFERROR(AP391*$W391,)</f>
        <v/>
      </c>
      <c r="CB391" s="128">
        <f>IFERROR(AQ391*$W391,)</f>
        <v/>
      </c>
      <c r="CC391" s="128">
        <f>IFERROR(AR391*$W391,)</f>
        <v/>
      </c>
      <c r="CD391" s="128">
        <f>IFERROR(AS391*$W391,)</f>
        <v/>
      </c>
      <c r="CE391" s="128">
        <f>IFERROR(AT391*$W391,)</f>
        <v/>
      </c>
      <c r="CF391" s="128">
        <f>IFERROR(AU391*$W391,)</f>
        <v/>
      </c>
      <c r="CG391" s="128">
        <f>IFERROR(AV391*$W391,)</f>
        <v/>
      </c>
      <c r="CH391" s="128">
        <f>IFERROR(AW391*$W391,)</f>
        <v/>
      </c>
      <c r="CI391" s="128">
        <f>IFERROR(AX391*$W391,)</f>
        <v/>
      </c>
      <c r="CJ391" s="128">
        <f>IFERROR(AY391*$W391,)</f>
        <v/>
      </c>
      <c r="CK391" s="128">
        <f>IFERROR(AZ391*$W391,)</f>
        <v/>
      </c>
      <c r="CL391" s="129">
        <f>IFERROR(if($Y391=0,BA391*($W391/1.2),BA391*$Y391),"")</f>
        <v/>
      </c>
      <c r="CM391" s="129">
        <f>IFERROR(if($Y391=0,BB391*($W391/1.2),BB391*$Y391),"")</f>
        <v/>
      </c>
      <c r="CN391" s="129">
        <f>IFERROR(if($Y391=0,BC391*($W391/1.2),BC391*$Y391),"")</f>
        <v/>
      </c>
      <c r="CO391" s="130">
        <f>IFERROR(if($AA391=0,($W391/1.35)*BD391,BD391*$AA391),)</f>
        <v/>
      </c>
      <c r="CP391" s="130">
        <f>IFERROR(if($AA391=0,($W391/1.35)*BE391,BE391*$AA391),)</f>
        <v/>
      </c>
      <c r="CQ391" s="130">
        <f>IFERROR(if($AA391=0,($W391/1.35)*BF391,BF391*$AA391),)</f>
        <v/>
      </c>
      <c r="CR391" s="128">
        <f>IFERROR(if($AC391=0,($W391/0.74)*BG391,
BG391*$AC391),)</f>
        <v/>
      </c>
      <c r="CS391" s="128">
        <f>IFERROR(if($AC391=0,($W391/0.74)*BH391,
BH391*$AC391),)</f>
        <v/>
      </c>
      <c r="CT391" s="128">
        <f>IFERROR(if($AC391=0,($W391/0.74)*BI391,
BI391*$AC391),)</f>
        <v/>
      </c>
      <c r="CU391" s="128">
        <f>IFERROR(AI391*$V391,)</f>
        <v/>
      </c>
      <c r="CV391" s="128">
        <f>IFERROR(AJ391*$V391,)</f>
        <v/>
      </c>
      <c r="CW391" s="128">
        <f>IFERROR(AK391*$V391,)</f>
        <v/>
      </c>
      <c r="CX391" s="128">
        <f>IFERROR(AL391*$V391,)</f>
        <v/>
      </c>
      <c r="CY391" s="128">
        <f>IFERROR(AM391*$V391,)</f>
        <v/>
      </c>
      <c r="CZ391" s="128">
        <f>IFERROR(AN391*$V391,)</f>
        <v/>
      </c>
      <c r="DA391" s="128">
        <f>IFERROR(AO391*$V391,)</f>
        <v/>
      </c>
      <c r="DB391" s="128">
        <f>IFERROR(AP391*$V391,)</f>
        <v/>
      </c>
      <c r="DC391" s="128">
        <f>IFERROR(AQ391*$V391,)</f>
        <v/>
      </c>
      <c r="DD391" s="128">
        <f>IFERROR(AR391*$V391,)</f>
        <v/>
      </c>
      <c r="DE391" s="128">
        <f>IFERROR(AS391*$V391,)</f>
        <v/>
      </c>
      <c r="DF391" s="128">
        <f>IFERROR(AT391*$V391,)</f>
        <v/>
      </c>
      <c r="DG391" s="128">
        <f>IFERROR(AU391*$V391,)</f>
        <v/>
      </c>
      <c r="DH391" s="128">
        <f>IFERROR(AV391*$V391,)</f>
        <v/>
      </c>
      <c r="DI391" s="128">
        <f>IFERROR(AW391*$V391,)</f>
        <v/>
      </c>
      <c r="DJ391" s="128">
        <f>IFERROR(AX391*$V391,)</f>
        <v/>
      </c>
      <c r="DK391" s="128">
        <f>IFERROR(AY391*$V391,)</f>
        <v/>
      </c>
      <c r="DL391" s="128">
        <f>IFERROR(AZ391*$V391,)</f>
        <v/>
      </c>
      <c r="DM391" s="129">
        <f>IFERROR(if($X391=0,($V391/1.2)*BA391,
BA391*$X391),)</f>
        <v/>
      </c>
      <c r="DN391" s="129">
        <f>IFERROR(if($X391=0,($V391/1.2)*BB391,
BB391*$X391),)</f>
        <v/>
      </c>
      <c r="DO391" s="129">
        <f>IFERROR(if($X391=0,($V391/1.2)*BC391,
BC391*$X391),)</f>
        <v/>
      </c>
      <c r="DP391" s="130">
        <f>IFERROR(if($Z391=0,($V391/1.35)*BD391,
BD391*$Z391),)</f>
        <v/>
      </c>
      <c r="DQ391" s="130">
        <f>IFERROR(if($Z391=0,($V391/1.35)*BE391,
BE391*$Z391),)</f>
        <v/>
      </c>
      <c r="DR391" s="130">
        <f>IFERROR(if($Z391=0,($V391/1.35)*BF391,
BF391*$Z391),)</f>
        <v/>
      </c>
      <c r="DS391" s="128">
        <f>IFERROR(IF($AB391=0,($V391/0.74)*BG391,
BG391*$AB391),)</f>
        <v/>
      </c>
      <c r="DT391" s="128">
        <f>IFERROR(IF($AB391=0,($V391/0.74)*BH391,
BH391*$AB391),)</f>
        <v/>
      </c>
      <c r="DU391" s="128">
        <f>IFERROR(IF($AB391=0,($V391/0.74)*BI391,
BI391*$AB391),)</f>
        <v/>
      </c>
    </row>
    <row r="392" ht="131.25" customHeight="1" s="162">
      <c r="A392" s="115" t="n"/>
      <c r="B392" s="115" t="n"/>
      <c r="C392" s="115" t="n"/>
      <c r="D392" s="115" t="n"/>
      <c r="E392" s="115" t="n"/>
      <c r="F392" s="115" t="n"/>
      <c r="G392" s="115" t="n"/>
      <c r="H392" s="115" t="n"/>
      <c r="I392" s="115" t="n"/>
      <c r="J392" s="115" t="n"/>
      <c r="K392" s="115" t="n"/>
      <c r="L392" s="115" t="n"/>
      <c r="M392" s="115" t="n"/>
      <c r="N392" s="115" t="n"/>
      <c r="O392" s="115" t="n"/>
      <c r="P392" s="115" t="n"/>
      <c r="Q392" s="115" t="n"/>
      <c r="R392" s="115" t="n"/>
      <c r="S392" s="115" t="n"/>
      <c r="T392" s="115" t="n"/>
      <c r="U392" s="116" t="n"/>
      <c r="V392" s="116" t="n"/>
      <c r="W392" s="117" t="n"/>
      <c r="X392" s="118" t="n"/>
      <c r="Y392" s="119" t="n"/>
      <c r="Z392" s="120" t="n"/>
      <c r="AA392" s="121" t="n"/>
      <c r="AB392" s="122" t="n"/>
      <c r="AC392" s="117" t="n"/>
      <c r="AD392" s="123">
        <f>IF(SUM($AE392:$AH392)=0,"",SUM($AE392:$AH392))</f>
        <v/>
      </c>
      <c r="AE392" s="123">
        <f>iferror(IF(SUM($AI392:$AZ392)=0,"",SUM($AI392:$AZ392)),"")</f>
        <v/>
      </c>
      <c r="AF392" s="123">
        <f>iferror(IF(SUM($BA392:$BC392)=0,"",SUM($BA392:$BC392)),"")</f>
        <v/>
      </c>
      <c r="AG392" s="123">
        <f>iferror(IF(SUM($BD392:$BF392)=0,"",SUM($BD392:$BF392)),"")</f>
        <v/>
      </c>
      <c r="AH392" s="124">
        <f>iferror(IF(SUM($BG392:$BI392)=0,"",SUM($BG392:$BI392)),"")</f>
        <v/>
      </c>
      <c r="AI392" s="131" t="n"/>
      <c r="AJ392" s="132" t="n"/>
      <c r="AK392" s="132" t="n"/>
      <c r="AL392" s="132" t="n"/>
      <c r="AM392" s="132" t="n"/>
      <c r="AN392" s="132" t="n"/>
      <c r="AO392" s="132" t="n"/>
      <c r="AP392" s="132" t="n"/>
      <c r="AQ392" s="132" t="n"/>
      <c r="AR392" s="132" t="n"/>
      <c r="AS392" s="132" t="n"/>
      <c r="AT392" s="132" t="n"/>
      <c r="AU392" s="132" t="n"/>
      <c r="AV392" s="132" t="n"/>
      <c r="AW392" s="132" t="n"/>
      <c r="AX392" s="132" t="n"/>
      <c r="AY392" s="132" t="n"/>
      <c r="AZ392" s="133" t="n"/>
      <c r="BA392" s="131" t="n"/>
      <c r="BB392" s="132" t="n"/>
      <c r="BC392" s="133" t="n"/>
      <c r="BD392" s="131" t="n"/>
      <c r="BE392" s="132" t="n"/>
      <c r="BF392" s="133" t="n"/>
      <c r="BG392" s="131" t="n"/>
      <c r="BH392" s="132" t="n"/>
      <c r="BI392" s="132" t="n"/>
      <c r="BJ392" s="128">
        <f>iferror(SUM($BK392,($BL392*1.2),($BM392*1.35),($BN392*0.74)),)</f>
        <v/>
      </c>
      <c r="BK392" s="128">
        <f>IFERROR(SUM($BT392:$CK392),)</f>
        <v/>
      </c>
      <c r="BL392" s="129">
        <f>IFERROR(SUM($CL392:$CN392),)</f>
        <v/>
      </c>
      <c r="BM392" s="130">
        <f>IFERROR(SUM($CO392:$CQ392),)</f>
        <v/>
      </c>
      <c r="BN392" s="128">
        <f>IFERROR(SUM($CR392:$CT392),)</f>
        <v/>
      </c>
      <c r="BO392" s="128">
        <f>iferror(SUM($BP392,($BQ392*1.2),($BR392*1.35),($BS392*0.74)),)</f>
        <v/>
      </c>
      <c r="BP392" s="128">
        <f>IFERROR(SUM($CU392:$DL392),)</f>
        <v/>
      </c>
      <c r="BQ392" s="128">
        <f>IFERROR(SUM($DM392:$DO392),)</f>
        <v/>
      </c>
      <c r="BR392" s="128">
        <f>IFERROR(SUM($DP392:$DR392),)</f>
        <v/>
      </c>
      <c r="BS392" s="128">
        <f>IFERROR(SUM($DS392:$DU392),)</f>
        <v/>
      </c>
      <c r="BT392" s="128">
        <f>IFERROR(AI392*$W392,)</f>
        <v/>
      </c>
      <c r="BU392" s="128">
        <f>IFERROR(AJ392*$W392,)</f>
        <v/>
      </c>
      <c r="BV392" s="128">
        <f>IFERROR(AK392*$W392,)</f>
        <v/>
      </c>
      <c r="BW392" s="128">
        <f>IFERROR(AL392*$W392,)</f>
        <v/>
      </c>
      <c r="BX392" s="128">
        <f>IFERROR(AM392*$W392,)</f>
        <v/>
      </c>
      <c r="BY392" s="128">
        <f>IFERROR(AN392*$W392,)</f>
        <v/>
      </c>
      <c r="BZ392" s="128">
        <f>IFERROR(AO392*$W392,)</f>
        <v/>
      </c>
      <c r="CA392" s="128">
        <f>IFERROR(AP392*$W392,)</f>
        <v/>
      </c>
      <c r="CB392" s="128">
        <f>IFERROR(AQ392*$W392,)</f>
        <v/>
      </c>
      <c r="CC392" s="128">
        <f>IFERROR(AR392*$W392,)</f>
        <v/>
      </c>
      <c r="CD392" s="128">
        <f>IFERROR(AS392*$W392,)</f>
        <v/>
      </c>
      <c r="CE392" s="128">
        <f>IFERROR(AT392*$W392,)</f>
        <v/>
      </c>
      <c r="CF392" s="128">
        <f>IFERROR(AU392*$W392,)</f>
        <v/>
      </c>
      <c r="CG392" s="128">
        <f>IFERROR(AV392*$W392,)</f>
        <v/>
      </c>
      <c r="CH392" s="128">
        <f>IFERROR(AW392*$W392,)</f>
        <v/>
      </c>
      <c r="CI392" s="128">
        <f>IFERROR(AX392*$W392,)</f>
        <v/>
      </c>
      <c r="CJ392" s="128">
        <f>IFERROR(AY392*$W392,)</f>
        <v/>
      </c>
      <c r="CK392" s="128">
        <f>IFERROR(AZ392*$W392,)</f>
        <v/>
      </c>
      <c r="CL392" s="129">
        <f>IFERROR(if($Y392=0,BA392*($W392/1.2),BA392*$Y392),"")</f>
        <v/>
      </c>
      <c r="CM392" s="129">
        <f>IFERROR(if($Y392=0,BB392*($W392/1.2),BB392*$Y392),"")</f>
        <v/>
      </c>
      <c r="CN392" s="129">
        <f>IFERROR(if($Y392=0,BC392*($W392/1.2),BC392*$Y392),"")</f>
        <v/>
      </c>
      <c r="CO392" s="130">
        <f>IFERROR(if($AA392=0,($W392/1.35)*BD392,BD392*$AA392),)</f>
        <v/>
      </c>
      <c r="CP392" s="130">
        <f>IFERROR(if($AA392=0,($W392/1.35)*BE392,BE392*$AA392),)</f>
        <v/>
      </c>
      <c r="CQ392" s="130">
        <f>IFERROR(if($AA392=0,($W392/1.35)*BF392,BF392*$AA392),)</f>
        <v/>
      </c>
      <c r="CR392" s="128">
        <f>IFERROR(if($AC392=0,($W392/0.74)*BG392,
BG392*$AC392),)</f>
        <v/>
      </c>
      <c r="CS392" s="128">
        <f>IFERROR(if($AC392=0,($W392/0.74)*BH392,
BH392*$AC392),)</f>
        <v/>
      </c>
      <c r="CT392" s="128">
        <f>IFERROR(if($AC392=0,($W392/0.74)*BI392,
BI392*$AC392),)</f>
        <v/>
      </c>
      <c r="CU392" s="128">
        <f>IFERROR(AI392*$V392,)</f>
        <v/>
      </c>
      <c r="CV392" s="128">
        <f>IFERROR(AJ392*$V392,)</f>
        <v/>
      </c>
      <c r="CW392" s="128">
        <f>IFERROR(AK392*$V392,)</f>
        <v/>
      </c>
      <c r="CX392" s="128">
        <f>IFERROR(AL392*$V392,)</f>
        <v/>
      </c>
      <c r="CY392" s="128">
        <f>IFERROR(AM392*$V392,)</f>
        <v/>
      </c>
      <c r="CZ392" s="128">
        <f>IFERROR(AN392*$V392,)</f>
        <v/>
      </c>
      <c r="DA392" s="128">
        <f>IFERROR(AO392*$V392,)</f>
        <v/>
      </c>
      <c r="DB392" s="128">
        <f>IFERROR(AP392*$V392,)</f>
        <v/>
      </c>
      <c r="DC392" s="128">
        <f>IFERROR(AQ392*$V392,)</f>
        <v/>
      </c>
      <c r="DD392" s="128">
        <f>IFERROR(AR392*$V392,)</f>
        <v/>
      </c>
      <c r="DE392" s="128">
        <f>IFERROR(AS392*$V392,)</f>
        <v/>
      </c>
      <c r="DF392" s="128">
        <f>IFERROR(AT392*$V392,)</f>
        <v/>
      </c>
      <c r="DG392" s="128">
        <f>IFERROR(AU392*$V392,)</f>
        <v/>
      </c>
      <c r="DH392" s="128">
        <f>IFERROR(AV392*$V392,)</f>
        <v/>
      </c>
      <c r="DI392" s="128">
        <f>IFERROR(AW392*$V392,)</f>
        <v/>
      </c>
      <c r="DJ392" s="128">
        <f>IFERROR(AX392*$V392,)</f>
        <v/>
      </c>
      <c r="DK392" s="128">
        <f>IFERROR(AY392*$V392,)</f>
        <v/>
      </c>
      <c r="DL392" s="128">
        <f>IFERROR(AZ392*$V392,)</f>
        <v/>
      </c>
      <c r="DM392" s="129">
        <f>IFERROR(if($X392=0,($V392/1.2)*BA392,
BA392*$X392),)</f>
        <v/>
      </c>
      <c r="DN392" s="129">
        <f>IFERROR(if($X392=0,($V392/1.2)*BB392,
BB392*$X392),)</f>
        <v/>
      </c>
      <c r="DO392" s="129">
        <f>IFERROR(if($X392=0,($V392/1.2)*BC392,
BC392*$X392),)</f>
        <v/>
      </c>
      <c r="DP392" s="130">
        <f>IFERROR(if($Z392=0,($V392/1.35)*BD392,
BD392*$Z392),)</f>
        <v/>
      </c>
      <c r="DQ392" s="130">
        <f>IFERROR(if($Z392=0,($V392/1.35)*BE392,
BE392*$Z392),)</f>
        <v/>
      </c>
      <c r="DR392" s="130">
        <f>IFERROR(if($Z392=0,($V392/1.35)*BF392,
BF392*$Z392),)</f>
        <v/>
      </c>
      <c r="DS392" s="128">
        <f>IFERROR(IF($AB392=0,($V392/0.74)*BG392,
BG392*$AB392),)</f>
        <v/>
      </c>
      <c r="DT392" s="128">
        <f>IFERROR(IF($AB392=0,($V392/0.74)*BH392,
BH392*$AB392),)</f>
        <v/>
      </c>
      <c r="DU392" s="128">
        <f>IFERROR(IF($AB392=0,($V392/0.74)*BI392,
BI392*$AB392),)</f>
        <v/>
      </c>
    </row>
    <row r="393" ht="131.25" customHeight="1" s="162">
      <c r="A393" s="115" t="n"/>
      <c r="B393" s="115" t="n"/>
      <c r="C393" s="115" t="n"/>
      <c r="D393" s="115" t="n"/>
      <c r="E393" s="115" t="n"/>
      <c r="F393" s="115" t="n"/>
      <c r="G393" s="115" t="n"/>
      <c r="H393" s="115" t="n"/>
      <c r="I393" s="115" t="n"/>
      <c r="J393" s="115" t="n"/>
      <c r="K393" s="115" t="n"/>
      <c r="L393" s="115" t="n"/>
      <c r="M393" s="115" t="n"/>
      <c r="N393" s="115" t="n"/>
      <c r="O393" s="115" t="n"/>
      <c r="P393" s="115" t="n"/>
      <c r="Q393" s="115" t="n"/>
      <c r="R393" s="115" t="n"/>
      <c r="S393" s="115" t="n"/>
      <c r="T393" s="115" t="n"/>
      <c r="U393" s="116" t="n"/>
      <c r="V393" s="116" t="n"/>
      <c r="W393" s="117" t="n"/>
      <c r="X393" s="118" t="n"/>
      <c r="Y393" s="119" t="n"/>
      <c r="Z393" s="120" t="n"/>
      <c r="AA393" s="121" t="n"/>
      <c r="AB393" s="122" t="n"/>
      <c r="AC393" s="117" t="n"/>
      <c r="AD393" s="123">
        <f>IF(SUM($AE393:$AH393)=0,"",SUM($AE393:$AH393))</f>
        <v/>
      </c>
      <c r="AE393" s="123">
        <f>iferror(IF(SUM($AI393:$AZ393)=0,"",SUM($AI393:$AZ393)),"")</f>
        <v/>
      </c>
      <c r="AF393" s="123">
        <f>iferror(IF(SUM($BA393:$BC393)=0,"",SUM($BA393:$BC393)),"")</f>
        <v/>
      </c>
      <c r="AG393" s="123">
        <f>iferror(IF(SUM($BD393:$BF393)=0,"",SUM($BD393:$BF393)),"")</f>
        <v/>
      </c>
      <c r="AH393" s="124">
        <f>iferror(IF(SUM($BG393:$BI393)=0,"",SUM($BG393:$BI393)),"")</f>
        <v/>
      </c>
      <c r="AI393" s="131" t="n"/>
      <c r="AJ393" s="132" t="n"/>
      <c r="AK393" s="132" t="n"/>
      <c r="AL393" s="132" t="n"/>
      <c r="AM393" s="132" t="n"/>
      <c r="AN393" s="132" t="n"/>
      <c r="AO393" s="132" t="n"/>
      <c r="AP393" s="132" t="n"/>
      <c r="AQ393" s="132" t="n"/>
      <c r="AR393" s="132" t="n"/>
      <c r="AS393" s="132" t="n"/>
      <c r="AT393" s="132" t="n"/>
      <c r="AU393" s="132" t="n"/>
      <c r="AV393" s="132" t="n"/>
      <c r="AW393" s="132" t="n"/>
      <c r="AX393" s="132" t="n"/>
      <c r="AY393" s="132" t="n"/>
      <c r="AZ393" s="133" t="n"/>
      <c r="BA393" s="131" t="n"/>
      <c r="BB393" s="132" t="n"/>
      <c r="BC393" s="133" t="n"/>
      <c r="BD393" s="131" t="n"/>
      <c r="BE393" s="132" t="n"/>
      <c r="BF393" s="133" t="n"/>
      <c r="BG393" s="131" t="n"/>
      <c r="BH393" s="132" t="n"/>
      <c r="BI393" s="132" t="n"/>
      <c r="BJ393" s="128">
        <f>iferror(SUM($BK393,($BL393*1.2),($BM393*1.35),($BN393*0.74)),)</f>
        <v/>
      </c>
      <c r="BK393" s="128">
        <f>IFERROR(SUM($BT393:$CK393),)</f>
        <v/>
      </c>
      <c r="BL393" s="129">
        <f>IFERROR(SUM($CL393:$CN393),)</f>
        <v/>
      </c>
      <c r="BM393" s="130">
        <f>IFERROR(SUM($CO393:$CQ393),)</f>
        <v/>
      </c>
      <c r="BN393" s="128">
        <f>IFERROR(SUM($CR393:$CT393),)</f>
        <v/>
      </c>
      <c r="BO393" s="128">
        <f>iferror(SUM($BP393,($BQ393*1.2),($BR393*1.35),($BS393*0.74)),)</f>
        <v/>
      </c>
      <c r="BP393" s="128">
        <f>IFERROR(SUM($CU393:$DL393),)</f>
        <v/>
      </c>
      <c r="BQ393" s="128">
        <f>IFERROR(SUM($DM393:$DO393),)</f>
        <v/>
      </c>
      <c r="BR393" s="128">
        <f>IFERROR(SUM($DP393:$DR393),)</f>
        <v/>
      </c>
      <c r="BS393" s="128">
        <f>IFERROR(SUM($DS393:$DU393),)</f>
        <v/>
      </c>
      <c r="BT393" s="128">
        <f>IFERROR(AI393*$W393,)</f>
        <v/>
      </c>
      <c r="BU393" s="128">
        <f>IFERROR(AJ393*$W393,)</f>
        <v/>
      </c>
      <c r="BV393" s="128">
        <f>IFERROR(AK393*$W393,)</f>
        <v/>
      </c>
      <c r="BW393" s="128">
        <f>IFERROR(AL393*$W393,)</f>
        <v/>
      </c>
      <c r="BX393" s="128">
        <f>IFERROR(AM393*$W393,)</f>
        <v/>
      </c>
      <c r="BY393" s="128">
        <f>IFERROR(AN393*$W393,)</f>
        <v/>
      </c>
      <c r="BZ393" s="128">
        <f>IFERROR(AO393*$W393,)</f>
        <v/>
      </c>
      <c r="CA393" s="128">
        <f>IFERROR(AP393*$W393,)</f>
        <v/>
      </c>
      <c r="CB393" s="128">
        <f>IFERROR(AQ393*$W393,)</f>
        <v/>
      </c>
      <c r="CC393" s="128">
        <f>IFERROR(AR393*$W393,)</f>
        <v/>
      </c>
      <c r="CD393" s="128">
        <f>IFERROR(AS393*$W393,)</f>
        <v/>
      </c>
      <c r="CE393" s="128">
        <f>IFERROR(AT393*$W393,)</f>
        <v/>
      </c>
      <c r="CF393" s="128">
        <f>IFERROR(AU393*$W393,)</f>
        <v/>
      </c>
      <c r="CG393" s="128">
        <f>IFERROR(AV393*$W393,)</f>
        <v/>
      </c>
      <c r="CH393" s="128">
        <f>IFERROR(AW393*$W393,)</f>
        <v/>
      </c>
      <c r="CI393" s="128">
        <f>IFERROR(AX393*$W393,)</f>
        <v/>
      </c>
      <c r="CJ393" s="128">
        <f>IFERROR(AY393*$W393,)</f>
        <v/>
      </c>
      <c r="CK393" s="128">
        <f>IFERROR(AZ393*$W393,)</f>
        <v/>
      </c>
      <c r="CL393" s="129">
        <f>IFERROR(if($Y393=0,BA393*($W393/1.2),BA393*$Y393),"")</f>
        <v/>
      </c>
      <c r="CM393" s="129">
        <f>IFERROR(if($Y393=0,BB393*($W393/1.2),BB393*$Y393),"")</f>
        <v/>
      </c>
      <c r="CN393" s="129">
        <f>IFERROR(if($Y393=0,BC393*($W393/1.2),BC393*$Y393),"")</f>
        <v/>
      </c>
      <c r="CO393" s="130">
        <f>IFERROR(if($AA393=0,($W393/1.35)*BD393,BD393*$AA393),)</f>
        <v/>
      </c>
      <c r="CP393" s="130">
        <f>IFERROR(if($AA393=0,($W393/1.35)*BE393,BE393*$AA393),)</f>
        <v/>
      </c>
      <c r="CQ393" s="130">
        <f>IFERROR(if($AA393=0,($W393/1.35)*BF393,BF393*$AA393),)</f>
        <v/>
      </c>
      <c r="CR393" s="128">
        <f>IFERROR(if($AC393=0,($W393/0.74)*BG393,
BG393*$AC393),)</f>
        <v/>
      </c>
      <c r="CS393" s="128">
        <f>IFERROR(if($AC393=0,($W393/0.74)*BH393,
BH393*$AC393),)</f>
        <v/>
      </c>
      <c r="CT393" s="128">
        <f>IFERROR(if($AC393=0,($W393/0.74)*BI393,
BI393*$AC393),)</f>
        <v/>
      </c>
      <c r="CU393" s="128">
        <f>IFERROR(AI393*$V393,)</f>
        <v/>
      </c>
      <c r="CV393" s="128">
        <f>IFERROR(AJ393*$V393,)</f>
        <v/>
      </c>
      <c r="CW393" s="128">
        <f>IFERROR(AK393*$V393,)</f>
        <v/>
      </c>
      <c r="CX393" s="128">
        <f>IFERROR(AL393*$V393,)</f>
        <v/>
      </c>
      <c r="CY393" s="128">
        <f>IFERROR(AM393*$V393,)</f>
        <v/>
      </c>
      <c r="CZ393" s="128">
        <f>IFERROR(AN393*$V393,)</f>
        <v/>
      </c>
      <c r="DA393" s="128">
        <f>IFERROR(AO393*$V393,)</f>
        <v/>
      </c>
      <c r="DB393" s="128">
        <f>IFERROR(AP393*$V393,)</f>
        <v/>
      </c>
      <c r="DC393" s="128">
        <f>IFERROR(AQ393*$V393,)</f>
        <v/>
      </c>
      <c r="DD393" s="128">
        <f>IFERROR(AR393*$V393,)</f>
        <v/>
      </c>
      <c r="DE393" s="128">
        <f>IFERROR(AS393*$V393,)</f>
        <v/>
      </c>
      <c r="DF393" s="128">
        <f>IFERROR(AT393*$V393,)</f>
        <v/>
      </c>
      <c r="DG393" s="128">
        <f>IFERROR(AU393*$V393,)</f>
        <v/>
      </c>
      <c r="DH393" s="128">
        <f>IFERROR(AV393*$V393,)</f>
        <v/>
      </c>
      <c r="DI393" s="128">
        <f>IFERROR(AW393*$V393,)</f>
        <v/>
      </c>
      <c r="DJ393" s="128">
        <f>IFERROR(AX393*$V393,)</f>
        <v/>
      </c>
      <c r="DK393" s="128">
        <f>IFERROR(AY393*$V393,)</f>
        <v/>
      </c>
      <c r="DL393" s="128">
        <f>IFERROR(AZ393*$V393,)</f>
        <v/>
      </c>
      <c r="DM393" s="129">
        <f>IFERROR(if($X393=0,($V393/1.2)*BA393,
BA393*$X393),)</f>
        <v/>
      </c>
      <c r="DN393" s="129">
        <f>IFERROR(if($X393=0,($V393/1.2)*BB393,
BB393*$X393),)</f>
        <v/>
      </c>
      <c r="DO393" s="129">
        <f>IFERROR(if($X393=0,($V393/1.2)*BC393,
BC393*$X393),)</f>
        <v/>
      </c>
      <c r="DP393" s="130">
        <f>IFERROR(if($Z393=0,($V393/1.35)*BD393,
BD393*$Z393),)</f>
        <v/>
      </c>
      <c r="DQ393" s="130">
        <f>IFERROR(if($Z393=0,($V393/1.35)*BE393,
BE393*$Z393),)</f>
        <v/>
      </c>
      <c r="DR393" s="130">
        <f>IFERROR(if($Z393=0,($V393/1.35)*BF393,
BF393*$Z393),)</f>
        <v/>
      </c>
      <c r="DS393" s="128">
        <f>IFERROR(IF($AB393=0,($V393/0.74)*BG393,
BG393*$AB393),)</f>
        <v/>
      </c>
      <c r="DT393" s="128">
        <f>IFERROR(IF($AB393=0,($V393/0.74)*BH393,
BH393*$AB393),)</f>
        <v/>
      </c>
      <c r="DU393" s="128">
        <f>IFERROR(IF($AB393=0,($V393/0.74)*BI393,
BI393*$AB393),)</f>
        <v/>
      </c>
    </row>
    <row r="394" ht="131.25" customHeight="1" s="162">
      <c r="A394" s="115" t="n"/>
      <c r="B394" s="115" t="n"/>
      <c r="C394" s="115" t="n"/>
      <c r="D394" s="115" t="n"/>
      <c r="E394" s="115" t="n"/>
      <c r="F394" s="115" t="n"/>
      <c r="G394" s="115" t="n"/>
      <c r="H394" s="115" t="n"/>
      <c r="I394" s="115" t="n"/>
      <c r="J394" s="115" t="n"/>
      <c r="K394" s="115" t="n"/>
      <c r="L394" s="115" t="n"/>
      <c r="M394" s="115" t="n"/>
      <c r="N394" s="115" t="n"/>
      <c r="O394" s="115" t="n"/>
      <c r="P394" s="115" t="n"/>
      <c r="Q394" s="115" t="n"/>
      <c r="R394" s="115" t="n"/>
      <c r="S394" s="115" t="n"/>
      <c r="T394" s="115" t="n"/>
      <c r="U394" s="116" t="n"/>
      <c r="V394" s="116" t="n"/>
      <c r="W394" s="117" t="n"/>
      <c r="X394" s="118" t="n"/>
      <c r="Y394" s="119" t="n"/>
      <c r="Z394" s="120" t="n"/>
      <c r="AA394" s="121" t="n"/>
      <c r="AB394" s="122" t="n"/>
      <c r="AC394" s="117" t="n"/>
      <c r="AD394" s="123">
        <f>IF(SUM($AE394:$AH394)=0,"",SUM($AE394:$AH394))</f>
        <v/>
      </c>
      <c r="AE394" s="123">
        <f>iferror(IF(SUM($AI394:$AZ394)=0,"",SUM($AI394:$AZ394)),"")</f>
        <v/>
      </c>
      <c r="AF394" s="123">
        <f>iferror(IF(SUM($BA394:$BC394)=0,"",SUM($BA394:$BC394)),"")</f>
        <v/>
      </c>
      <c r="AG394" s="123">
        <f>iferror(IF(SUM($BD394:$BF394)=0,"",SUM($BD394:$BF394)),"")</f>
        <v/>
      </c>
      <c r="AH394" s="124">
        <f>iferror(IF(SUM($BG394:$BI394)=0,"",SUM($BG394:$BI394)),"")</f>
        <v/>
      </c>
      <c r="AI394" s="131" t="n"/>
      <c r="AJ394" s="132" t="n"/>
      <c r="AK394" s="132" t="n"/>
      <c r="AL394" s="132" t="n"/>
      <c r="AM394" s="132" t="n"/>
      <c r="AN394" s="132" t="n"/>
      <c r="AO394" s="132" t="n"/>
      <c r="AP394" s="132" t="n"/>
      <c r="AQ394" s="132" t="n"/>
      <c r="AR394" s="132" t="n"/>
      <c r="AS394" s="132" t="n"/>
      <c r="AT394" s="132" t="n"/>
      <c r="AU394" s="132" t="n"/>
      <c r="AV394" s="132" t="n"/>
      <c r="AW394" s="132" t="n"/>
      <c r="AX394" s="132" t="n"/>
      <c r="AY394" s="132" t="n"/>
      <c r="AZ394" s="133" t="n"/>
      <c r="BA394" s="131" t="n"/>
      <c r="BB394" s="132" t="n"/>
      <c r="BC394" s="133" t="n"/>
      <c r="BD394" s="131" t="n"/>
      <c r="BE394" s="132" t="n"/>
      <c r="BF394" s="133" t="n"/>
      <c r="BG394" s="131" t="n"/>
      <c r="BH394" s="132" t="n"/>
      <c r="BI394" s="132" t="n"/>
      <c r="BJ394" s="128">
        <f>iferror(SUM($BK394,($BL394*1.2),($BM394*1.35),($BN394*0.74)),)</f>
        <v/>
      </c>
      <c r="BK394" s="128">
        <f>IFERROR(SUM($BT394:$CK394),)</f>
        <v/>
      </c>
      <c r="BL394" s="129">
        <f>IFERROR(SUM($CL394:$CN394),)</f>
        <v/>
      </c>
      <c r="BM394" s="130">
        <f>IFERROR(SUM($CO394:$CQ394),)</f>
        <v/>
      </c>
      <c r="BN394" s="128">
        <f>IFERROR(SUM($CR394:$CT394),)</f>
        <v/>
      </c>
      <c r="BO394" s="128">
        <f>iferror(SUM($BP394,($BQ394*1.2),($BR394*1.35),($BS394*0.74)),)</f>
        <v/>
      </c>
      <c r="BP394" s="128">
        <f>IFERROR(SUM($CU394:$DL394),)</f>
        <v/>
      </c>
      <c r="BQ394" s="128">
        <f>IFERROR(SUM($DM394:$DO394),)</f>
        <v/>
      </c>
      <c r="BR394" s="128">
        <f>IFERROR(SUM($DP394:$DR394),)</f>
        <v/>
      </c>
      <c r="BS394" s="128">
        <f>IFERROR(SUM($DS394:$DU394),)</f>
        <v/>
      </c>
      <c r="BT394" s="128">
        <f>IFERROR(AI394*$W394,)</f>
        <v/>
      </c>
      <c r="BU394" s="128">
        <f>IFERROR(AJ394*$W394,)</f>
        <v/>
      </c>
      <c r="BV394" s="128">
        <f>IFERROR(AK394*$W394,)</f>
        <v/>
      </c>
      <c r="BW394" s="128">
        <f>IFERROR(AL394*$W394,)</f>
        <v/>
      </c>
      <c r="BX394" s="128">
        <f>IFERROR(AM394*$W394,)</f>
        <v/>
      </c>
      <c r="BY394" s="128">
        <f>IFERROR(AN394*$W394,)</f>
        <v/>
      </c>
      <c r="BZ394" s="128">
        <f>IFERROR(AO394*$W394,)</f>
        <v/>
      </c>
      <c r="CA394" s="128">
        <f>IFERROR(AP394*$W394,)</f>
        <v/>
      </c>
      <c r="CB394" s="128">
        <f>IFERROR(AQ394*$W394,)</f>
        <v/>
      </c>
      <c r="CC394" s="128">
        <f>IFERROR(AR394*$W394,)</f>
        <v/>
      </c>
      <c r="CD394" s="128">
        <f>IFERROR(AS394*$W394,)</f>
        <v/>
      </c>
      <c r="CE394" s="128">
        <f>IFERROR(AT394*$W394,)</f>
        <v/>
      </c>
      <c r="CF394" s="128">
        <f>IFERROR(AU394*$W394,)</f>
        <v/>
      </c>
      <c r="CG394" s="128">
        <f>IFERROR(AV394*$W394,)</f>
        <v/>
      </c>
      <c r="CH394" s="128">
        <f>IFERROR(AW394*$W394,)</f>
        <v/>
      </c>
      <c r="CI394" s="128">
        <f>IFERROR(AX394*$W394,)</f>
        <v/>
      </c>
      <c r="CJ394" s="128">
        <f>IFERROR(AY394*$W394,)</f>
        <v/>
      </c>
      <c r="CK394" s="128">
        <f>IFERROR(AZ394*$W394,)</f>
        <v/>
      </c>
      <c r="CL394" s="129">
        <f>IFERROR(if($Y394=0,BA394*($W394/1.2),BA394*$Y394),"")</f>
        <v/>
      </c>
      <c r="CM394" s="129">
        <f>IFERROR(if($Y394=0,BB394*($W394/1.2),BB394*$Y394),"")</f>
        <v/>
      </c>
      <c r="CN394" s="129">
        <f>IFERROR(if($Y394=0,BC394*($W394/1.2),BC394*$Y394),"")</f>
        <v/>
      </c>
      <c r="CO394" s="130">
        <f>IFERROR(if($AA394=0,($W394/1.35)*BD394,BD394*$AA394),)</f>
        <v/>
      </c>
      <c r="CP394" s="130">
        <f>IFERROR(if($AA394=0,($W394/1.35)*BE394,BE394*$AA394),)</f>
        <v/>
      </c>
      <c r="CQ394" s="130">
        <f>IFERROR(if($AA394=0,($W394/1.35)*BF394,BF394*$AA394),)</f>
        <v/>
      </c>
      <c r="CR394" s="128">
        <f>IFERROR(if($AC394=0,($W394/0.74)*BG394,
BG394*$AC394),)</f>
        <v/>
      </c>
      <c r="CS394" s="128">
        <f>IFERROR(if($AC394=0,($W394/0.74)*BH394,
BH394*$AC394),)</f>
        <v/>
      </c>
      <c r="CT394" s="128">
        <f>IFERROR(if($AC394=0,($W394/0.74)*BI394,
BI394*$AC394),)</f>
        <v/>
      </c>
      <c r="CU394" s="128">
        <f>IFERROR(AI394*$V394,)</f>
        <v/>
      </c>
      <c r="CV394" s="128">
        <f>IFERROR(AJ394*$V394,)</f>
        <v/>
      </c>
      <c r="CW394" s="128">
        <f>IFERROR(AK394*$V394,)</f>
        <v/>
      </c>
      <c r="CX394" s="128">
        <f>IFERROR(AL394*$V394,)</f>
        <v/>
      </c>
      <c r="CY394" s="128">
        <f>IFERROR(AM394*$V394,)</f>
        <v/>
      </c>
      <c r="CZ394" s="128">
        <f>IFERROR(AN394*$V394,)</f>
        <v/>
      </c>
      <c r="DA394" s="128">
        <f>IFERROR(AO394*$V394,)</f>
        <v/>
      </c>
      <c r="DB394" s="128">
        <f>IFERROR(AP394*$V394,)</f>
        <v/>
      </c>
      <c r="DC394" s="128">
        <f>IFERROR(AQ394*$V394,)</f>
        <v/>
      </c>
      <c r="DD394" s="128">
        <f>IFERROR(AR394*$V394,)</f>
        <v/>
      </c>
      <c r="DE394" s="128">
        <f>IFERROR(AS394*$V394,)</f>
        <v/>
      </c>
      <c r="DF394" s="128">
        <f>IFERROR(AT394*$V394,)</f>
        <v/>
      </c>
      <c r="DG394" s="128">
        <f>IFERROR(AU394*$V394,)</f>
        <v/>
      </c>
      <c r="DH394" s="128">
        <f>IFERROR(AV394*$V394,)</f>
        <v/>
      </c>
      <c r="DI394" s="128">
        <f>IFERROR(AW394*$V394,)</f>
        <v/>
      </c>
      <c r="DJ394" s="128">
        <f>IFERROR(AX394*$V394,)</f>
        <v/>
      </c>
      <c r="DK394" s="128">
        <f>IFERROR(AY394*$V394,)</f>
        <v/>
      </c>
      <c r="DL394" s="128">
        <f>IFERROR(AZ394*$V394,)</f>
        <v/>
      </c>
      <c r="DM394" s="129">
        <f>IFERROR(if($X394=0,($V394/1.2)*BA394,
BA394*$X394),)</f>
        <v/>
      </c>
      <c r="DN394" s="129">
        <f>IFERROR(if($X394=0,($V394/1.2)*BB394,
BB394*$X394),)</f>
        <v/>
      </c>
      <c r="DO394" s="129">
        <f>IFERROR(if($X394=0,($V394/1.2)*BC394,
BC394*$X394),)</f>
        <v/>
      </c>
      <c r="DP394" s="130">
        <f>IFERROR(if($Z394=0,($V394/1.35)*BD394,
BD394*$Z394),)</f>
        <v/>
      </c>
      <c r="DQ394" s="130">
        <f>IFERROR(if($Z394=0,($V394/1.35)*BE394,
BE394*$Z394),)</f>
        <v/>
      </c>
      <c r="DR394" s="130">
        <f>IFERROR(if($Z394=0,($V394/1.35)*BF394,
BF394*$Z394),)</f>
        <v/>
      </c>
      <c r="DS394" s="128">
        <f>IFERROR(IF($AB394=0,($V394/0.74)*BG394,
BG394*$AB394),)</f>
        <v/>
      </c>
      <c r="DT394" s="128">
        <f>IFERROR(IF($AB394=0,($V394/0.74)*BH394,
BH394*$AB394),)</f>
        <v/>
      </c>
      <c r="DU394" s="128">
        <f>IFERROR(IF($AB394=0,($V394/0.74)*BI394,
BI394*$AB394),)</f>
        <v/>
      </c>
    </row>
    <row r="395" ht="131.25" customHeight="1" s="162">
      <c r="A395" s="115" t="n"/>
      <c r="B395" s="115" t="n"/>
      <c r="C395" s="115" t="n"/>
      <c r="D395" s="115" t="n"/>
      <c r="E395" s="115" t="n"/>
      <c r="F395" s="115" t="n"/>
      <c r="G395" s="115" t="n"/>
      <c r="H395" s="115" t="n"/>
      <c r="I395" s="115" t="n"/>
      <c r="J395" s="115" t="n"/>
      <c r="K395" s="115" t="n"/>
      <c r="L395" s="115" t="n"/>
      <c r="M395" s="115" t="n"/>
      <c r="N395" s="115" t="n"/>
      <c r="O395" s="115" t="n"/>
      <c r="P395" s="115" t="n"/>
      <c r="Q395" s="115" t="n"/>
      <c r="R395" s="115" t="n"/>
      <c r="S395" s="115" t="n"/>
      <c r="T395" s="115" t="n"/>
      <c r="U395" s="116" t="n"/>
      <c r="V395" s="116" t="n"/>
      <c r="W395" s="117" t="n"/>
      <c r="X395" s="118" t="n"/>
      <c r="Y395" s="119" t="n"/>
      <c r="Z395" s="120" t="n"/>
      <c r="AA395" s="121" t="n"/>
      <c r="AB395" s="122" t="n"/>
      <c r="AC395" s="117" t="n"/>
      <c r="AD395" s="123">
        <f>IF(SUM($AE395:$AH395)=0,"",SUM($AE395:$AH395))</f>
        <v/>
      </c>
      <c r="AE395" s="123">
        <f>iferror(IF(SUM($AI395:$AZ395)=0,"",SUM($AI395:$AZ395)),"")</f>
        <v/>
      </c>
      <c r="AF395" s="123">
        <f>iferror(IF(SUM($BA395:$BC395)=0,"",SUM($BA395:$BC395)),"")</f>
        <v/>
      </c>
      <c r="AG395" s="123">
        <f>iferror(IF(SUM($BD395:$BF395)=0,"",SUM($BD395:$BF395)),"")</f>
        <v/>
      </c>
      <c r="AH395" s="124">
        <f>iferror(IF(SUM($BG395:$BI395)=0,"",SUM($BG395:$BI395)),"")</f>
        <v/>
      </c>
      <c r="AI395" s="131" t="n"/>
      <c r="AJ395" s="132" t="n"/>
      <c r="AK395" s="132" t="n"/>
      <c r="AL395" s="132" t="n"/>
      <c r="AM395" s="132" t="n"/>
      <c r="AN395" s="132" t="n"/>
      <c r="AO395" s="132" t="n"/>
      <c r="AP395" s="132" t="n"/>
      <c r="AQ395" s="132" t="n"/>
      <c r="AR395" s="132" t="n"/>
      <c r="AS395" s="132" t="n"/>
      <c r="AT395" s="132" t="n"/>
      <c r="AU395" s="132" t="n"/>
      <c r="AV395" s="132" t="n"/>
      <c r="AW395" s="132" t="n"/>
      <c r="AX395" s="132" t="n"/>
      <c r="AY395" s="132" t="n"/>
      <c r="AZ395" s="133" t="n"/>
      <c r="BA395" s="131" t="n"/>
      <c r="BB395" s="132" t="n"/>
      <c r="BC395" s="133" t="n"/>
      <c r="BD395" s="131" t="n"/>
      <c r="BE395" s="132" t="n"/>
      <c r="BF395" s="133" t="n"/>
      <c r="BG395" s="131" t="n"/>
      <c r="BH395" s="132" t="n"/>
      <c r="BI395" s="132" t="n"/>
      <c r="BJ395" s="128">
        <f>iferror(SUM($BK395,($BL395*1.2),($BM395*1.35),($BN395*0.74)),)</f>
        <v/>
      </c>
      <c r="BK395" s="128">
        <f>IFERROR(SUM($BT395:$CK395),)</f>
        <v/>
      </c>
      <c r="BL395" s="129">
        <f>IFERROR(SUM($CL395:$CN395),)</f>
        <v/>
      </c>
      <c r="BM395" s="130">
        <f>IFERROR(SUM($CO395:$CQ395),)</f>
        <v/>
      </c>
      <c r="BN395" s="128">
        <f>IFERROR(SUM($CR395:$CT395),)</f>
        <v/>
      </c>
      <c r="BO395" s="128">
        <f>iferror(SUM($BP395,($BQ395*1.2),($BR395*1.35),($BS395*0.74)),)</f>
        <v/>
      </c>
      <c r="BP395" s="128">
        <f>IFERROR(SUM($CU395:$DL395),)</f>
        <v/>
      </c>
      <c r="BQ395" s="128">
        <f>IFERROR(SUM($DM395:$DO395),)</f>
        <v/>
      </c>
      <c r="BR395" s="128">
        <f>IFERROR(SUM($DP395:$DR395),)</f>
        <v/>
      </c>
      <c r="BS395" s="128">
        <f>IFERROR(SUM($DS395:$DU395),)</f>
        <v/>
      </c>
      <c r="BT395" s="128">
        <f>IFERROR(AI395*$W395,)</f>
        <v/>
      </c>
      <c r="BU395" s="128">
        <f>IFERROR(AJ395*$W395,)</f>
        <v/>
      </c>
      <c r="BV395" s="128">
        <f>IFERROR(AK395*$W395,)</f>
        <v/>
      </c>
      <c r="BW395" s="128">
        <f>IFERROR(AL395*$W395,)</f>
        <v/>
      </c>
      <c r="BX395" s="128">
        <f>IFERROR(AM395*$W395,)</f>
        <v/>
      </c>
      <c r="BY395" s="128">
        <f>IFERROR(AN395*$W395,)</f>
        <v/>
      </c>
      <c r="BZ395" s="128">
        <f>IFERROR(AO395*$W395,)</f>
        <v/>
      </c>
      <c r="CA395" s="128">
        <f>IFERROR(AP395*$W395,)</f>
        <v/>
      </c>
      <c r="CB395" s="128">
        <f>IFERROR(AQ395*$W395,)</f>
        <v/>
      </c>
      <c r="CC395" s="128">
        <f>IFERROR(AR395*$W395,)</f>
        <v/>
      </c>
      <c r="CD395" s="128">
        <f>IFERROR(AS395*$W395,)</f>
        <v/>
      </c>
      <c r="CE395" s="128">
        <f>IFERROR(AT395*$W395,)</f>
        <v/>
      </c>
      <c r="CF395" s="128">
        <f>IFERROR(AU395*$W395,)</f>
        <v/>
      </c>
      <c r="CG395" s="128">
        <f>IFERROR(AV395*$W395,)</f>
        <v/>
      </c>
      <c r="CH395" s="128">
        <f>IFERROR(AW395*$W395,)</f>
        <v/>
      </c>
      <c r="CI395" s="128">
        <f>IFERROR(AX395*$W395,)</f>
        <v/>
      </c>
      <c r="CJ395" s="128">
        <f>IFERROR(AY395*$W395,)</f>
        <v/>
      </c>
      <c r="CK395" s="128">
        <f>IFERROR(AZ395*$W395,)</f>
        <v/>
      </c>
      <c r="CL395" s="129">
        <f>IFERROR(if($Y395=0,BA395*($W395/1.2),BA395*$Y395),"")</f>
        <v/>
      </c>
      <c r="CM395" s="129">
        <f>IFERROR(if($Y395=0,BB395*($W395/1.2),BB395*$Y395),"")</f>
        <v/>
      </c>
      <c r="CN395" s="129">
        <f>IFERROR(if($Y395=0,BC395*($W395/1.2),BC395*$Y395),"")</f>
        <v/>
      </c>
      <c r="CO395" s="130">
        <f>IFERROR(if($AA395=0,($W395/1.35)*BD395,BD395*$AA395),)</f>
        <v/>
      </c>
      <c r="CP395" s="130">
        <f>IFERROR(if($AA395=0,($W395/1.35)*BE395,BE395*$AA395),)</f>
        <v/>
      </c>
      <c r="CQ395" s="130">
        <f>IFERROR(if($AA395=0,($W395/1.35)*BF395,BF395*$AA395),)</f>
        <v/>
      </c>
      <c r="CR395" s="128">
        <f>IFERROR(if($AC395=0,($W395/0.74)*BG395,
BG395*$AC395),)</f>
        <v/>
      </c>
      <c r="CS395" s="128">
        <f>IFERROR(if($AC395=0,($W395/0.74)*BH395,
BH395*$AC395),)</f>
        <v/>
      </c>
      <c r="CT395" s="128">
        <f>IFERROR(if($AC395=0,($W395/0.74)*BI395,
BI395*$AC395),)</f>
        <v/>
      </c>
      <c r="CU395" s="128">
        <f>IFERROR(AI395*$V395,)</f>
        <v/>
      </c>
      <c r="CV395" s="128">
        <f>IFERROR(AJ395*$V395,)</f>
        <v/>
      </c>
      <c r="CW395" s="128">
        <f>IFERROR(AK395*$V395,)</f>
        <v/>
      </c>
      <c r="CX395" s="128">
        <f>IFERROR(AL395*$V395,)</f>
        <v/>
      </c>
      <c r="CY395" s="128">
        <f>IFERROR(AM395*$V395,)</f>
        <v/>
      </c>
      <c r="CZ395" s="128">
        <f>IFERROR(AN395*$V395,)</f>
        <v/>
      </c>
      <c r="DA395" s="128">
        <f>IFERROR(AO395*$V395,)</f>
        <v/>
      </c>
      <c r="DB395" s="128">
        <f>IFERROR(AP395*$V395,)</f>
        <v/>
      </c>
      <c r="DC395" s="128">
        <f>IFERROR(AQ395*$V395,)</f>
        <v/>
      </c>
      <c r="DD395" s="128">
        <f>IFERROR(AR395*$V395,)</f>
        <v/>
      </c>
      <c r="DE395" s="128">
        <f>IFERROR(AS395*$V395,)</f>
        <v/>
      </c>
      <c r="DF395" s="128">
        <f>IFERROR(AT395*$V395,)</f>
        <v/>
      </c>
      <c r="DG395" s="128">
        <f>IFERROR(AU395*$V395,)</f>
        <v/>
      </c>
      <c r="DH395" s="128">
        <f>IFERROR(AV395*$V395,)</f>
        <v/>
      </c>
      <c r="DI395" s="128">
        <f>IFERROR(AW395*$V395,)</f>
        <v/>
      </c>
      <c r="DJ395" s="128">
        <f>IFERROR(AX395*$V395,)</f>
        <v/>
      </c>
      <c r="DK395" s="128">
        <f>IFERROR(AY395*$V395,)</f>
        <v/>
      </c>
      <c r="DL395" s="128">
        <f>IFERROR(AZ395*$V395,)</f>
        <v/>
      </c>
      <c r="DM395" s="129">
        <f>IFERROR(if($X395=0,($V395/1.2)*BA395,
BA395*$X395),)</f>
        <v/>
      </c>
      <c r="DN395" s="129">
        <f>IFERROR(if($X395=0,($V395/1.2)*BB395,
BB395*$X395),)</f>
        <v/>
      </c>
      <c r="DO395" s="129">
        <f>IFERROR(if($X395=0,($V395/1.2)*BC395,
BC395*$X395),)</f>
        <v/>
      </c>
      <c r="DP395" s="130">
        <f>IFERROR(if($Z395=0,($V395/1.35)*BD395,
BD395*$Z395),)</f>
        <v/>
      </c>
      <c r="DQ395" s="130">
        <f>IFERROR(if($Z395=0,($V395/1.35)*BE395,
BE395*$Z395),)</f>
        <v/>
      </c>
      <c r="DR395" s="130">
        <f>IFERROR(if($Z395=0,($V395/1.35)*BF395,
BF395*$Z395),)</f>
        <v/>
      </c>
      <c r="DS395" s="128">
        <f>IFERROR(IF($AB395=0,($V395/0.74)*BG395,
BG395*$AB395),)</f>
        <v/>
      </c>
      <c r="DT395" s="128">
        <f>IFERROR(IF($AB395=0,($V395/0.74)*BH395,
BH395*$AB395),)</f>
        <v/>
      </c>
      <c r="DU395" s="128">
        <f>IFERROR(IF($AB395=0,($V395/0.74)*BI395,
BI395*$AB395),)</f>
        <v/>
      </c>
    </row>
    <row r="396" ht="131.25" customHeight="1" s="162">
      <c r="A396" s="115" t="n"/>
      <c r="B396" s="115" t="n"/>
      <c r="C396" s="115" t="n"/>
      <c r="D396" s="115" t="n"/>
      <c r="E396" s="115" t="n"/>
      <c r="F396" s="115" t="n"/>
      <c r="G396" s="115" t="n"/>
      <c r="H396" s="115" t="n"/>
      <c r="I396" s="115" t="n"/>
      <c r="J396" s="115" t="n"/>
      <c r="K396" s="115" t="n"/>
      <c r="L396" s="115" t="n"/>
      <c r="M396" s="115" t="n"/>
      <c r="N396" s="115" t="n"/>
      <c r="O396" s="115" t="n"/>
      <c r="P396" s="115" t="n"/>
      <c r="Q396" s="115" t="n"/>
      <c r="R396" s="115" t="n"/>
      <c r="S396" s="115" t="n"/>
      <c r="T396" s="115" t="n"/>
      <c r="U396" s="116" t="n"/>
      <c r="V396" s="116" t="n"/>
      <c r="W396" s="117" t="n"/>
      <c r="X396" s="118" t="n"/>
      <c r="Y396" s="119" t="n"/>
      <c r="Z396" s="120" t="n"/>
      <c r="AA396" s="121" t="n"/>
      <c r="AB396" s="122" t="n"/>
      <c r="AC396" s="117" t="n"/>
      <c r="AD396" s="123">
        <f>IF(SUM($AE396:$AH396)=0,"",SUM($AE396:$AH396))</f>
        <v/>
      </c>
      <c r="AE396" s="123">
        <f>iferror(IF(SUM($AI396:$AZ396)=0,"",SUM($AI396:$AZ396)),"")</f>
        <v/>
      </c>
      <c r="AF396" s="123">
        <f>iferror(IF(SUM($BA396:$BC396)=0,"",SUM($BA396:$BC396)),"")</f>
        <v/>
      </c>
      <c r="AG396" s="123">
        <f>iferror(IF(SUM($BD396:$BF396)=0,"",SUM($BD396:$BF396)),"")</f>
        <v/>
      </c>
      <c r="AH396" s="124">
        <f>iferror(IF(SUM($BG396:$BI396)=0,"",SUM($BG396:$BI396)),"")</f>
        <v/>
      </c>
      <c r="AI396" s="131" t="n"/>
      <c r="AJ396" s="132" t="n"/>
      <c r="AK396" s="132" t="n"/>
      <c r="AL396" s="132" t="n"/>
      <c r="AM396" s="132" t="n"/>
      <c r="AN396" s="132" t="n"/>
      <c r="AO396" s="132" t="n"/>
      <c r="AP396" s="132" t="n"/>
      <c r="AQ396" s="132" t="n"/>
      <c r="AR396" s="132" t="n"/>
      <c r="AS396" s="132" t="n"/>
      <c r="AT396" s="132" t="n"/>
      <c r="AU396" s="132" t="n"/>
      <c r="AV396" s="132" t="n"/>
      <c r="AW396" s="132" t="n"/>
      <c r="AX396" s="132" t="n"/>
      <c r="AY396" s="132" t="n"/>
      <c r="AZ396" s="133" t="n"/>
      <c r="BA396" s="131" t="n"/>
      <c r="BB396" s="132" t="n"/>
      <c r="BC396" s="133" t="n"/>
      <c r="BD396" s="131" t="n"/>
      <c r="BE396" s="132" t="n"/>
      <c r="BF396" s="133" t="n"/>
      <c r="BG396" s="131" t="n"/>
      <c r="BH396" s="132" t="n"/>
      <c r="BI396" s="132" t="n"/>
      <c r="BJ396" s="128">
        <f>iferror(SUM($BK396,($BL396*1.2),($BM396*1.35),($BN396*0.74)),)</f>
        <v/>
      </c>
      <c r="BK396" s="128">
        <f>IFERROR(SUM($BT396:$CK396),)</f>
        <v/>
      </c>
      <c r="BL396" s="129">
        <f>IFERROR(SUM($CL396:$CN396),)</f>
        <v/>
      </c>
      <c r="BM396" s="130">
        <f>IFERROR(SUM($CO396:$CQ396),)</f>
        <v/>
      </c>
      <c r="BN396" s="128">
        <f>IFERROR(SUM($CR396:$CT396),)</f>
        <v/>
      </c>
      <c r="BO396" s="128">
        <f>iferror(SUM($BP396,($BQ396*1.2),($BR396*1.35),($BS396*0.74)),)</f>
        <v/>
      </c>
      <c r="BP396" s="128">
        <f>IFERROR(SUM($CU396:$DL396),)</f>
        <v/>
      </c>
      <c r="BQ396" s="128">
        <f>IFERROR(SUM($DM396:$DO396),)</f>
        <v/>
      </c>
      <c r="BR396" s="128">
        <f>IFERROR(SUM($DP396:$DR396),)</f>
        <v/>
      </c>
      <c r="BS396" s="128">
        <f>IFERROR(SUM($DS396:$DU396),)</f>
        <v/>
      </c>
      <c r="BT396" s="128">
        <f>IFERROR(AI396*$W396,)</f>
        <v/>
      </c>
      <c r="BU396" s="128">
        <f>IFERROR(AJ396*$W396,)</f>
        <v/>
      </c>
      <c r="BV396" s="128">
        <f>IFERROR(AK396*$W396,)</f>
        <v/>
      </c>
      <c r="BW396" s="128">
        <f>IFERROR(AL396*$W396,)</f>
        <v/>
      </c>
      <c r="BX396" s="128">
        <f>IFERROR(AM396*$W396,)</f>
        <v/>
      </c>
      <c r="BY396" s="128">
        <f>IFERROR(AN396*$W396,)</f>
        <v/>
      </c>
      <c r="BZ396" s="128">
        <f>IFERROR(AO396*$W396,)</f>
        <v/>
      </c>
      <c r="CA396" s="128">
        <f>IFERROR(AP396*$W396,)</f>
        <v/>
      </c>
      <c r="CB396" s="128">
        <f>IFERROR(AQ396*$W396,)</f>
        <v/>
      </c>
      <c r="CC396" s="128">
        <f>IFERROR(AR396*$W396,)</f>
        <v/>
      </c>
      <c r="CD396" s="128">
        <f>IFERROR(AS396*$W396,)</f>
        <v/>
      </c>
      <c r="CE396" s="128">
        <f>IFERROR(AT396*$W396,)</f>
        <v/>
      </c>
      <c r="CF396" s="128">
        <f>IFERROR(AU396*$W396,)</f>
        <v/>
      </c>
      <c r="CG396" s="128">
        <f>IFERROR(AV396*$W396,)</f>
        <v/>
      </c>
      <c r="CH396" s="128">
        <f>IFERROR(AW396*$W396,)</f>
        <v/>
      </c>
      <c r="CI396" s="128">
        <f>IFERROR(AX396*$W396,)</f>
        <v/>
      </c>
      <c r="CJ396" s="128">
        <f>IFERROR(AY396*$W396,)</f>
        <v/>
      </c>
      <c r="CK396" s="128">
        <f>IFERROR(AZ396*$W396,)</f>
        <v/>
      </c>
      <c r="CL396" s="129">
        <f>IFERROR(if($Y396=0,BA396*($W396/1.2),BA396*$Y396),"")</f>
        <v/>
      </c>
      <c r="CM396" s="129">
        <f>IFERROR(if($Y396=0,BB396*($W396/1.2),BB396*$Y396),"")</f>
        <v/>
      </c>
      <c r="CN396" s="129">
        <f>IFERROR(if($Y396=0,BC396*($W396/1.2),BC396*$Y396),"")</f>
        <v/>
      </c>
      <c r="CO396" s="130">
        <f>IFERROR(if($AA396=0,($W396/1.35)*BD396,BD396*$AA396),)</f>
        <v/>
      </c>
      <c r="CP396" s="130">
        <f>IFERROR(if($AA396=0,($W396/1.35)*BE396,BE396*$AA396),)</f>
        <v/>
      </c>
      <c r="CQ396" s="130">
        <f>IFERROR(if($AA396=0,($W396/1.35)*BF396,BF396*$AA396),)</f>
        <v/>
      </c>
      <c r="CR396" s="128">
        <f>IFERROR(if($AC396=0,($W396/0.74)*BG396,
BG396*$AC396),)</f>
        <v/>
      </c>
      <c r="CS396" s="128">
        <f>IFERROR(if($AC396=0,($W396/0.74)*BH396,
BH396*$AC396),)</f>
        <v/>
      </c>
      <c r="CT396" s="128">
        <f>IFERROR(if($AC396=0,($W396/0.74)*BI396,
BI396*$AC396),)</f>
        <v/>
      </c>
      <c r="CU396" s="128">
        <f>IFERROR(AI396*$V396,)</f>
        <v/>
      </c>
      <c r="CV396" s="128">
        <f>IFERROR(AJ396*$V396,)</f>
        <v/>
      </c>
      <c r="CW396" s="128">
        <f>IFERROR(AK396*$V396,)</f>
        <v/>
      </c>
      <c r="CX396" s="128">
        <f>IFERROR(AL396*$V396,)</f>
        <v/>
      </c>
      <c r="CY396" s="128">
        <f>IFERROR(AM396*$V396,)</f>
        <v/>
      </c>
      <c r="CZ396" s="128">
        <f>IFERROR(AN396*$V396,)</f>
        <v/>
      </c>
      <c r="DA396" s="128">
        <f>IFERROR(AO396*$V396,)</f>
        <v/>
      </c>
      <c r="DB396" s="128">
        <f>IFERROR(AP396*$V396,)</f>
        <v/>
      </c>
      <c r="DC396" s="128">
        <f>IFERROR(AQ396*$V396,)</f>
        <v/>
      </c>
      <c r="DD396" s="128">
        <f>IFERROR(AR396*$V396,)</f>
        <v/>
      </c>
      <c r="DE396" s="128">
        <f>IFERROR(AS396*$V396,)</f>
        <v/>
      </c>
      <c r="DF396" s="128">
        <f>IFERROR(AT396*$V396,)</f>
        <v/>
      </c>
      <c r="DG396" s="128">
        <f>IFERROR(AU396*$V396,)</f>
        <v/>
      </c>
      <c r="DH396" s="128">
        <f>IFERROR(AV396*$V396,)</f>
        <v/>
      </c>
      <c r="DI396" s="128">
        <f>IFERROR(AW396*$V396,)</f>
        <v/>
      </c>
      <c r="DJ396" s="128">
        <f>IFERROR(AX396*$V396,)</f>
        <v/>
      </c>
      <c r="DK396" s="128">
        <f>IFERROR(AY396*$V396,)</f>
        <v/>
      </c>
      <c r="DL396" s="128">
        <f>IFERROR(AZ396*$V396,)</f>
        <v/>
      </c>
      <c r="DM396" s="129">
        <f>IFERROR(if($X396=0,($V396/1.2)*BA396,
BA396*$X396),)</f>
        <v/>
      </c>
      <c r="DN396" s="129">
        <f>IFERROR(if($X396=0,($V396/1.2)*BB396,
BB396*$X396),)</f>
        <v/>
      </c>
      <c r="DO396" s="129">
        <f>IFERROR(if($X396=0,($V396/1.2)*BC396,
BC396*$X396),)</f>
        <v/>
      </c>
      <c r="DP396" s="130">
        <f>IFERROR(if($Z396=0,($V396/1.35)*BD396,
BD396*$Z396),)</f>
        <v/>
      </c>
      <c r="DQ396" s="130">
        <f>IFERROR(if($Z396=0,($V396/1.35)*BE396,
BE396*$Z396),)</f>
        <v/>
      </c>
      <c r="DR396" s="130">
        <f>IFERROR(if($Z396=0,($V396/1.35)*BF396,
BF396*$Z396),)</f>
        <v/>
      </c>
      <c r="DS396" s="128">
        <f>IFERROR(IF($AB396=0,($V396/0.74)*BG396,
BG396*$AB396),)</f>
        <v/>
      </c>
      <c r="DT396" s="128">
        <f>IFERROR(IF($AB396=0,($V396/0.74)*BH396,
BH396*$AB396),)</f>
        <v/>
      </c>
      <c r="DU396" s="128">
        <f>IFERROR(IF($AB396=0,($V396/0.74)*BI396,
BI396*$AB396),)</f>
        <v/>
      </c>
    </row>
    <row r="397" ht="131.25" customHeight="1" s="162">
      <c r="A397" s="115" t="n"/>
      <c r="B397" s="115" t="n"/>
      <c r="C397" s="115" t="n"/>
      <c r="D397" s="115" t="n"/>
      <c r="E397" s="115" t="n"/>
      <c r="F397" s="115" t="n"/>
      <c r="G397" s="115" t="n"/>
      <c r="H397" s="115" t="n"/>
      <c r="I397" s="115" t="n"/>
      <c r="J397" s="115" t="n"/>
      <c r="K397" s="115" t="n"/>
      <c r="L397" s="115" t="n"/>
      <c r="M397" s="115" t="n"/>
      <c r="N397" s="115" t="n"/>
      <c r="O397" s="115" t="n"/>
      <c r="P397" s="115" t="n"/>
      <c r="Q397" s="115" t="n"/>
      <c r="R397" s="115" t="n"/>
      <c r="S397" s="115" t="n"/>
      <c r="T397" s="115" t="n"/>
      <c r="U397" s="116" t="n"/>
      <c r="V397" s="116" t="n"/>
      <c r="W397" s="117" t="n"/>
      <c r="X397" s="118" t="n"/>
      <c r="Y397" s="119" t="n"/>
      <c r="Z397" s="120" t="n"/>
      <c r="AA397" s="121" t="n"/>
      <c r="AB397" s="122" t="n"/>
      <c r="AC397" s="117" t="n"/>
      <c r="AD397" s="123">
        <f>IF(SUM($AE397:$AH397)=0,"",SUM($AE397:$AH397))</f>
        <v/>
      </c>
      <c r="AE397" s="123">
        <f>iferror(IF(SUM($AI397:$AZ397)=0,"",SUM($AI397:$AZ397)),"")</f>
        <v/>
      </c>
      <c r="AF397" s="123">
        <f>iferror(IF(SUM($BA397:$BC397)=0,"",SUM($BA397:$BC397)),"")</f>
        <v/>
      </c>
      <c r="AG397" s="123">
        <f>iferror(IF(SUM($BD397:$BF397)=0,"",SUM($BD397:$BF397)),"")</f>
        <v/>
      </c>
      <c r="AH397" s="124">
        <f>iferror(IF(SUM($BG397:$BI397)=0,"",SUM($BG397:$BI397)),"")</f>
        <v/>
      </c>
      <c r="AI397" s="131" t="n"/>
      <c r="AJ397" s="132" t="n"/>
      <c r="AK397" s="132" t="n"/>
      <c r="AL397" s="132" t="n"/>
      <c r="AM397" s="132" t="n"/>
      <c r="AN397" s="132" t="n"/>
      <c r="AO397" s="132" t="n"/>
      <c r="AP397" s="132" t="n"/>
      <c r="AQ397" s="132" t="n"/>
      <c r="AR397" s="132" t="n"/>
      <c r="AS397" s="132" t="n"/>
      <c r="AT397" s="132" t="n"/>
      <c r="AU397" s="132" t="n"/>
      <c r="AV397" s="132" t="n"/>
      <c r="AW397" s="132" t="n"/>
      <c r="AX397" s="132" t="n"/>
      <c r="AY397" s="132" t="n"/>
      <c r="AZ397" s="133" t="n"/>
      <c r="BA397" s="131" t="n"/>
      <c r="BB397" s="132" t="n"/>
      <c r="BC397" s="133" t="n"/>
      <c r="BD397" s="131" t="n"/>
      <c r="BE397" s="132" t="n"/>
      <c r="BF397" s="133" t="n"/>
      <c r="BG397" s="131" t="n"/>
      <c r="BH397" s="132" t="n"/>
      <c r="BI397" s="132" t="n"/>
      <c r="BJ397" s="128">
        <f>iferror(SUM($BK397,($BL397*1.2),($BM397*1.35),($BN397*0.74)),)</f>
        <v/>
      </c>
      <c r="BK397" s="128">
        <f>IFERROR(SUM($BT397:$CK397),)</f>
        <v/>
      </c>
      <c r="BL397" s="129">
        <f>IFERROR(SUM($CL397:$CN397),)</f>
        <v/>
      </c>
      <c r="BM397" s="130">
        <f>IFERROR(SUM($CO397:$CQ397),)</f>
        <v/>
      </c>
      <c r="BN397" s="128">
        <f>IFERROR(SUM($CR397:$CT397),)</f>
        <v/>
      </c>
      <c r="BO397" s="128">
        <f>iferror(SUM($BP397,($BQ397*1.2),($BR397*1.35),($BS397*0.74)),)</f>
        <v/>
      </c>
      <c r="BP397" s="128">
        <f>IFERROR(SUM($CU397:$DL397),)</f>
        <v/>
      </c>
      <c r="BQ397" s="128">
        <f>IFERROR(SUM($DM397:$DO397),)</f>
        <v/>
      </c>
      <c r="BR397" s="128">
        <f>IFERROR(SUM($DP397:$DR397),)</f>
        <v/>
      </c>
      <c r="BS397" s="128">
        <f>IFERROR(SUM($DS397:$DU397),)</f>
        <v/>
      </c>
      <c r="BT397" s="128">
        <f>IFERROR(AI397*$W397,)</f>
        <v/>
      </c>
      <c r="BU397" s="128">
        <f>IFERROR(AJ397*$W397,)</f>
        <v/>
      </c>
      <c r="BV397" s="128">
        <f>IFERROR(AK397*$W397,)</f>
        <v/>
      </c>
      <c r="BW397" s="128">
        <f>IFERROR(AL397*$W397,)</f>
        <v/>
      </c>
      <c r="BX397" s="128">
        <f>IFERROR(AM397*$W397,)</f>
        <v/>
      </c>
      <c r="BY397" s="128">
        <f>IFERROR(AN397*$W397,)</f>
        <v/>
      </c>
      <c r="BZ397" s="128">
        <f>IFERROR(AO397*$W397,)</f>
        <v/>
      </c>
      <c r="CA397" s="128">
        <f>IFERROR(AP397*$W397,)</f>
        <v/>
      </c>
      <c r="CB397" s="128">
        <f>IFERROR(AQ397*$W397,)</f>
        <v/>
      </c>
      <c r="CC397" s="128">
        <f>IFERROR(AR397*$W397,)</f>
        <v/>
      </c>
      <c r="CD397" s="128">
        <f>IFERROR(AS397*$W397,)</f>
        <v/>
      </c>
      <c r="CE397" s="128">
        <f>IFERROR(AT397*$W397,)</f>
        <v/>
      </c>
      <c r="CF397" s="128">
        <f>IFERROR(AU397*$W397,)</f>
        <v/>
      </c>
      <c r="CG397" s="128">
        <f>IFERROR(AV397*$W397,)</f>
        <v/>
      </c>
      <c r="CH397" s="128">
        <f>IFERROR(AW397*$W397,)</f>
        <v/>
      </c>
      <c r="CI397" s="128">
        <f>IFERROR(AX397*$W397,)</f>
        <v/>
      </c>
      <c r="CJ397" s="128">
        <f>IFERROR(AY397*$W397,)</f>
        <v/>
      </c>
      <c r="CK397" s="128">
        <f>IFERROR(AZ397*$W397,)</f>
        <v/>
      </c>
      <c r="CL397" s="129">
        <f>IFERROR(if($Y397=0,BA397*($W397/1.2),BA397*$Y397),"")</f>
        <v/>
      </c>
      <c r="CM397" s="129">
        <f>IFERROR(if($Y397=0,BB397*($W397/1.2),BB397*$Y397),"")</f>
        <v/>
      </c>
      <c r="CN397" s="129">
        <f>IFERROR(if($Y397=0,BC397*($W397/1.2),BC397*$Y397),"")</f>
        <v/>
      </c>
      <c r="CO397" s="130">
        <f>IFERROR(if($AA397=0,($W397/1.35)*BD397,BD397*$AA397),)</f>
        <v/>
      </c>
      <c r="CP397" s="130">
        <f>IFERROR(if($AA397=0,($W397/1.35)*BE397,BE397*$AA397),)</f>
        <v/>
      </c>
      <c r="CQ397" s="130">
        <f>IFERROR(if($AA397=0,($W397/1.35)*BF397,BF397*$AA397),)</f>
        <v/>
      </c>
      <c r="CR397" s="128">
        <f>IFERROR(if($AC397=0,($W397/0.74)*BG397,
BG397*$AC397),)</f>
        <v/>
      </c>
      <c r="CS397" s="128">
        <f>IFERROR(if($AC397=0,($W397/0.74)*BH397,
BH397*$AC397),)</f>
        <v/>
      </c>
      <c r="CT397" s="128">
        <f>IFERROR(if($AC397=0,($W397/0.74)*BI397,
BI397*$AC397),)</f>
        <v/>
      </c>
      <c r="CU397" s="128">
        <f>IFERROR(AI397*$V397,)</f>
        <v/>
      </c>
      <c r="CV397" s="128">
        <f>IFERROR(AJ397*$V397,)</f>
        <v/>
      </c>
      <c r="CW397" s="128">
        <f>IFERROR(AK397*$V397,)</f>
        <v/>
      </c>
      <c r="CX397" s="128">
        <f>IFERROR(AL397*$V397,)</f>
        <v/>
      </c>
      <c r="CY397" s="128">
        <f>IFERROR(AM397*$V397,)</f>
        <v/>
      </c>
      <c r="CZ397" s="128">
        <f>IFERROR(AN397*$V397,)</f>
        <v/>
      </c>
      <c r="DA397" s="128">
        <f>IFERROR(AO397*$V397,)</f>
        <v/>
      </c>
      <c r="DB397" s="128">
        <f>IFERROR(AP397*$V397,)</f>
        <v/>
      </c>
      <c r="DC397" s="128">
        <f>IFERROR(AQ397*$V397,)</f>
        <v/>
      </c>
      <c r="DD397" s="128">
        <f>IFERROR(AR397*$V397,)</f>
        <v/>
      </c>
      <c r="DE397" s="128">
        <f>IFERROR(AS397*$V397,)</f>
        <v/>
      </c>
      <c r="DF397" s="128">
        <f>IFERROR(AT397*$V397,)</f>
        <v/>
      </c>
      <c r="DG397" s="128">
        <f>IFERROR(AU397*$V397,)</f>
        <v/>
      </c>
      <c r="DH397" s="128">
        <f>IFERROR(AV397*$V397,)</f>
        <v/>
      </c>
      <c r="DI397" s="128">
        <f>IFERROR(AW397*$V397,)</f>
        <v/>
      </c>
      <c r="DJ397" s="128">
        <f>IFERROR(AX397*$V397,)</f>
        <v/>
      </c>
      <c r="DK397" s="128">
        <f>IFERROR(AY397*$V397,)</f>
        <v/>
      </c>
      <c r="DL397" s="128">
        <f>IFERROR(AZ397*$V397,)</f>
        <v/>
      </c>
      <c r="DM397" s="129">
        <f>IFERROR(if($X397=0,($V397/1.2)*BA397,
BA397*$X397),)</f>
        <v/>
      </c>
      <c r="DN397" s="129">
        <f>IFERROR(if($X397=0,($V397/1.2)*BB397,
BB397*$X397),)</f>
        <v/>
      </c>
      <c r="DO397" s="129">
        <f>IFERROR(if($X397=0,($V397/1.2)*BC397,
BC397*$X397),)</f>
        <v/>
      </c>
      <c r="DP397" s="130">
        <f>IFERROR(if($Z397=0,($V397/1.35)*BD397,
BD397*$Z397),)</f>
        <v/>
      </c>
      <c r="DQ397" s="130">
        <f>IFERROR(if($Z397=0,($V397/1.35)*BE397,
BE397*$Z397),)</f>
        <v/>
      </c>
      <c r="DR397" s="130">
        <f>IFERROR(if($Z397=0,($V397/1.35)*BF397,
BF397*$Z397),)</f>
        <v/>
      </c>
      <c r="DS397" s="128">
        <f>IFERROR(IF($AB397=0,($V397/0.74)*BG397,
BG397*$AB397),)</f>
        <v/>
      </c>
      <c r="DT397" s="128">
        <f>IFERROR(IF($AB397=0,($V397/0.74)*BH397,
BH397*$AB397),)</f>
        <v/>
      </c>
      <c r="DU397" s="128">
        <f>IFERROR(IF($AB397=0,($V397/0.74)*BI397,
BI397*$AB397),)</f>
        <v/>
      </c>
    </row>
    <row r="398" ht="131.25" customHeight="1" s="162">
      <c r="A398" s="115" t="n"/>
      <c r="B398" s="115" t="n"/>
      <c r="C398" s="115" t="n"/>
      <c r="D398" s="115" t="n"/>
      <c r="E398" s="115" t="n"/>
      <c r="F398" s="115" t="n"/>
      <c r="G398" s="115" t="n"/>
      <c r="H398" s="115" t="n"/>
      <c r="I398" s="115" t="n"/>
      <c r="J398" s="115" t="n"/>
      <c r="K398" s="115" t="n"/>
      <c r="L398" s="115" t="n"/>
      <c r="M398" s="115" t="n"/>
      <c r="N398" s="115" t="n"/>
      <c r="O398" s="115" t="n"/>
      <c r="P398" s="115" t="n"/>
      <c r="Q398" s="115" t="n"/>
      <c r="R398" s="115" t="n"/>
      <c r="S398" s="115" t="n"/>
      <c r="T398" s="115" t="n"/>
      <c r="U398" s="116" t="n"/>
      <c r="V398" s="116" t="n"/>
      <c r="W398" s="117" t="n"/>
      <c r="X398" s="118" t="n"/>
      <c r="Y398" s="119" t="n"/>
      <c r="Z398" s="120" t="n"/>
      <c r="AA398" s="121" t="n"/>
      <c r="AB398" s="122" t="n"/>
      <c r="AC398" s="117" t="n"/>
      <c r="AD398" s="123">
        <f>IF(SUM($AE398:$AH398)=0,"",SUM($AE398:$AH398))</f>
        <v/>
      </c>
      <c r="AE398" s="123">
        <f>iferror(IF(SUM($AI398:$AZ398)=0,"",SUM($AI398:$AZ398)),"")</f>
        <v/>
      </c>
      <c r="AF398" s="123">
        <f>iferror(IF(SUM($BA398:$BC398)=0,"",SUM($BA398:$BC398)),"")</f>
        <v/>
      </c>
      <c r="AG398" s="123">
        <f>iferror(IF(SUM($BD398:$BF398)=0,"",SUM($BD398:$BF398)),"")</f>
        <v/>
      </c>
      <c r="AH398" s="124">
        <f>iferror(IF(SUM($BG398:$BI398)=0,"",SUM($BG398:$BI398)),"")</f>
        <v/>
      </c>
      <c r="AI398" s="131" t="n"/>
      <c r="AJ398" s="132" t="n"/>
      <c r="AK398" s="132" t="n"/>
      <c r="AL398" s="132" t="n"/>
      <c r="AM398" s="132" t="n"/>
      <c r="AN398" s="132" t="n"/>
      <c r="AO398" s="132" t="n"/>
      <c r="AP398" s="132" t="n"/>
      <c r="AQ398" s="132" t="n"/>
      <c r="AR398" s="132" t="n"/>
      <c r="AS398" s="132" t="n"/>
      <c r="AT398" s="132" t="n"/>
      <c r="AU398" s="132" t="n"/>
      <c r="AV398" s="132" t="n"/>
      <c r="AW398" s="132" t="n"/>
      <c r="AX398" s="132" t="n"/>
      <c r="AY398" s="132" t="n"/>
      <c r="AZ398" s="133" t="n"/>
      <c r="BA398" s="131" t="n"/>
      <c r="BB398" s="132" t="n"/>
      <c r="BC398" s="133" t="n"/>
      <c r="BD398" s="131" t="n"/>
      <c r="BE398" s="132" t="n"/>
      <c r="BF398" s="133" t="n"/>
      <c r="BG398" s="131" t="n"/>
      <c r="BH398" s="132" t="n"/>
      <c r="BI398" s="132" t="n"/>
      <c r="BJ398" s="128">
        <f>iferror(SUM($BK398,($BL398*1.2),($BM398*1.35),($BN398*0.74)),)</f>
        <v/>
      </c>
      <c r="BK398" s="128">
        <f>IFERROR(SUM($BT398:$CK398),)</f>
        <v/>
      </c>
      <c r="BL398" s="129">
        <f>IFERROR(SUM($CL398:$CN398),)</f>
        <v/>
      </c>
      <c r="BM398" s="130">
        <f>IFERROR(SUM($CO398:$CQ398),)</f>
        <v/>
      </c>
      <c r="BN398" s="128">
        <f>IFERROR(SUM($CR398:$CT398),)</f>
        <v/>
      </c>
      <c r="BO398" s="128">
        <f>iferror(SUM($BP398,($BQ398*1.2),($BR398*1.35),($BS398*0.74)),)</f>
        <v/>
      </c>
      <c r="BP398" s="128">
        <f>IFERROR(SUM($CU398:$DL398),)</f>
        <v/>
      </c>
      <c r="BQ398" s="128">
        <f>IFERROR(SUM($DM398:$DO398),)</f>
        <v/>
      </c>
      <c r="BR398" s="128">
        <f>IFERROR(SUM($DP398:$DR398),)</f>
        <v/>
      </c>
      <c r="BS398" s="128">
        <f>IFERROR(SUM($DS398:$DU398),)</f>
        <v/>
      </c>
      <c r="BT398" s="128">
        <f>IFERROR(AI398*$W398,)</f>
        <v/>
      </c>
      <c r="BU398" s="128">
        <f>IFERROR(AJ398*$W398,)</f>
        <v/>
      </c>
      <c r="BV398" s="128">
        <f>IFERROR(AK398*$W398,)</f>
        <v/>
      </c>
      <c r="BW398" s="128">
        <f>IFERROR(AL398*$W398,)</f>
        <v/>
      </c>
      <c r="BX398" s="128">
        <f>IFERROR(AM398*$W398,)</f>
        <v/>
      </c>
      <c r="BY398" s="128">
        <f>IFERROR(AN398*$W398,)</f>
        <v/>
      </c>
      <c r="BZ398" s="128">
        <f>IFERROR(AO398*$W398,)</f>
        <v/>
      </c>
      <c r="CA398" s="128">
        <f>IFERROR(AP398*$W398,)</f>
        <v/>
      </c>
      <c r="CB398" s="128">
        <f>IFERROR(AQ398*$W398,)</f>
        <v/>
      </c>
      <c r="CC398" s="128">
        <f>IFERROR(AR398*$W398,)</f>
        <v/>
      </c>
      <c r="CD398" s="128">
        <f>IFERROR(AS398*$W398,)</f>
        <v/>
      </c>
      <c r="CE398" s="128">
        <f>IFERROR(AT398*$W398,)</f>
        <v/>
      </c>
      <c r="CF398" s="128">
        <f>IFERROR(AU398*$W398,)</f>
        <v/>
      </c>
      <c r="CG398" s="128">
        <f>IFERROR(AV398*$W398,)</f>
        <v/>
      </c>
      <c r="CH398" s="128">
        <f>IFERROR(AW398*$W398,)</f>
        <v/>
      </c>
      <c r="CI398" s="128">
        <f>IFERROR(AX398*$W398,)</f>
        <v/>
      </c>
      <c r="CJ398" s="128">
        <f>IFERROR(AY398*$W398,)</f>
        <v/>
      </c>
      <c r="CK398" s="128">
        <f>IFERROR(AZ398*$W398,)</f>
        <v/>
      </c>
      <c r="CL398" s="129">
        <f>IFERROR(if($Y398=0,BA398*($W398/1.2),BA398*$Y398),"")</f>
        <v/>
      </c>
      <c r="CM398" s="129">
        <f>IFERROR(if($Y398=0,BB398*($W398/1.2),BB398*$Y398),"")</f>
        <v/>
      </c>
      <c r="CN398" s="129">
        <f>IFERROR(if($Y398=0,BC398*($W398/1.2),BC398*$Y398),"")</f>
        <v/>
      </c>
      <c r="CO398" s="130">
        <f>IFERROR(if($AA398=0,($W398/1.35)*BD398,BD398*$AA398),)</f>
        <v/>
      </c>
      <c r="CP398" s="130">
        <f>IFERROR(if($AA398=0,($W398/1.35)*BE398,BE398*$AA398),)</f>
        <v/>
      </c>
      <c r="CQ398" s="130">
        <f>IFERROR(if($AA398=0,($W398/1.35)*BF398,BF398*$AA398),)</f>
        <v/>
      </c>
      <c r="CR398" s="128">
        <f>IFERROR(if($AC398=0,($W398/0.74)*BG398,
BG398*$AC398),)</f>
        <v/>
      </c>
      <c r="CS398" s="128">
        <f>IFERROR(if($AC398=0,($W398/0.74)*BH398,
BH398*$AC398),)</f>
        <v/>
      </c>
      <c r="CT398" s="128">
        <f>IFERROR(if($AC398=0,($W398/0.74)*BI398,
BI398*$AC398),)</f>
        <v/>
      </c>
      <c r="CU398" s="128">
        <f>IFERROR(AI398*$V398,)</f>
        <v/>
      </c>
      <c r="CV398" s="128">
        <f>IFERROR(AJ398*$V398,)</f>
        <v/>
      </c>
      <c r="CW398" s="128">
        <f>IFERROR(AK398*$V398,)</f>
        <v/>
      </c>
      <c r="CX398" s="128">
        <f>IFERROR(AL398*$V398,)</f>
        <v/>
      </c>
      <c r="CY398" s="128">
        <f>IFERROR(AM398*$V398,)</f>
        <v/>
      </c>
      <c r="CZ398" s="128">
        <f>IFERROR(AN398*$V398,)</f>
        <v/>
      </c>
      <c r="DA398" s="128">
        <f>IFERROR(AO398*$V398,)</f>
        <v/>
      </c>
      <c r="DB398" s="128">
        <f>IFERROR(AP398*$V398,)</f>
        <v/>
      </c>
      <c r="DC398" s="128">
        <f>IFERROR(AQ398*$V398,)</f>
        <v/>
      </c>
      <c r="DD398" s="128">
        <f>IFERROR(AR398*$V398,)</f>
        <v/>
      </c>
      <c r="DE398" s="128">
        <f>IFERROR(AS398*$V398,)</f>
        <v/>
      </c>
      <c r="DF398" s="128">
        <f>IFERROR(AT398*$V398,)</f>
        <v/>
      </c>
      <c r="DG398" s="128">
        <f>IFERROR(AU398*$V398,)</f>
        <v/>
      </c>
      <c r="DH398" s="128">
        <f>IFERROR(AV398*$V398,)</f>
        <v/>
      </c>
      <c r="DI398" s="128">
        <f>IFERROR(AW398*$V398,)</f>
        <v/>
      </c>
      <c r="DJ398" s="128">
        <f>IFERROR(AX398*$V398,)</f>
        <v/>
      </c>
      <c r="DK398" s="128">
        <f>IFERROR(AY398*$V398,)</f>
        <v/>
      </c>
      <c r="DL398" s="128">
        <f>IFERROR(AZ398*$V398,)</f>
        <v/>
      </c>
      <c r="DM398" s="129">
        <f>IFERROR(if($X398=0,($V398/1.2)*BA398,
BA398*$X398),)</f>
        <v/>
      </c>
      <c r="DN398" s="129">
        <f>IFERROR(if($X398=0,($V398/1.2)*BB398,
BB398*$X398),)</f>
        <v/>
      </c>
      <c r="DO398" s="129">
        <f>IFERROR(if($X398=0,($V398/1.2)*BC398,
BC398*$X398),)</f>
        <v/>
      </c>
      <c r="DP398" s="130">
        <f>IFERROR(if($Z398=0,($V398/1.35)*BD398,
BD398*$Z398),)</f>
        <v/>
      </c>
      <c r="DQ398" s="130">
        <f>IFERROR(if($Z398=0,($V398/1.35)*BE398,
BE398*$Z398),)</f>
        <v/>
      </c>
      <c r="DR398" s="130">
        <f>IFERROR(if($Z398=0,($V398/1.35)*BF398,
BF398*$Z398),)</f>
        <v/>
      </c>
      <c r="DS398" s="128">
        <f>IFERROR(IF($AB398=0,($V398/0.74)*BG398,
BG398*$AB398),)</f>
        <v/>
      </c>
      <c r="DT398" s="128">
        <f>IFERROR(IF($AB398=0,($V398/0.74)*BH398,
BH398*$AB398),)</f>
        <v/>
      </c>
      <c r="DU398" s="128">
        <f>IFERROR(IF($AB398=0,($V398/0.74)*BI398,
BI398*$AB398),)</f>
        <v/>
      </c>
    </row>
    <row r="399" ht="131.25" customHeight="1" s="162">
      <c r="A399" s="115" t="n"/>
      <c r="B399" s="115" t="n"/>
      <c r="C399" s="115" t="n"/>
      <c r="D399" s="115" t="n"/>
      <c r="E399" s="115" t="n"/>
      <c r="F399" s="115" t="n"/>
      <c r="G399" s="115" t="n"/>
      <c r="H399" s="115" t="n"/>
      <c r="I399" s="115" t="n"/>
      <c r="J399" s="115" t="n"/>
      <c r="K399" s="115" t="n"/>
      <c r="L399" s="115" t="n"/>
      <c r="M399" s="115" t="n"/>
      <c r="N399" s="115" t="n"/>
      <c r="O399" s="115" t="n"/>
      <c r="P399" s="115" t="n"/>
      <c r="Q399" s="115" t="n"/>
      <c r="R399" s="115" t="n"/>
      <c r="S399" s="115" t="n"/>
      <c r="T399" s="115" t="n"/>
      <c r="U399" s="116" t="n"/>
      <c r="V399" s="116" t="n"/>
      <c r="W399" s="117" t="n"/>
      <c r="X399" s="118" t="n"/>
      <c r="Y399" s="119" t="n"/>
      <c r="Z399" s="120" t="n"/>
      <c r="AA399" s="121" t="n"/>
      <c r="AB399" s="122" t="n"/>
      <c r="AC399" s="117" t="n"/>
      <c r="AD399" s="123">
        <f>IF(SUM($AE399:$AH399)=0,"",SUM($AE399:$AH399))</f>
        <v/>
      </c>
      <c r="AE399" s="123">
        <f>iferror(IF(SUM($AI399:$AZ399)=0,"",SUM($AI399:$AZ399)),"")</f>
        <v/>
      </c>
      <c r="AF399" s="123">
        <f>iferror(IF(SUM($BA399:$BC399)=0,"",SUM($BA399:$BC399)),"")</f>
        <v/>
      </c>
      <c r="AG399" s="123">
        <f>iferror(IF(SUM($BD399:$BF399)=0,"",SUM($BD399:$BF399)),"")</f>
        <v/>
      </c>
      <c r="AH399" s="124">
        <f>iferror(IF(SUM($BG399:$BI399)=0,"",SUM($BG399:$BI399)),"")</f>
        <v/>
      </c>
      <c r="AI399" s="131" t="n"/>
      <c r="AJ399" s="132" t="n"/>
      <c r="AK399" s="132" t="n"/>
      <c r="AL399" s="132" t="n"/>
      <c r="AM399" s="132" t="n"/>
      <c r="AN399" s="132" t="n"/>
      <c r="AO399" s="132" t="n"/>
      <c r="AP399" s="132" t="n"/>
      <c r="AQ399" s="132" t="n"/>
      <c r="AR399" s="132" t="n"/>
      <c r="AS399" s="132" t="n"/>
      <c r="AT399" s="132" t="n"/>
      <c r="AU399" s="132" t="n"/>
      <c r="AV399" s="132" t="n"/>
      <c r="AW399" s="132" t="n"/>
      <c r="AX399" s="132" t="n"/>
      <c r="AY399" s="132" t="n"/>
      <c r="AZ399" s="133" t="n"/>
      <c r="BA399" s="131" t="n"/>
      <c r="BB399" s="132" t="n"/>
      <c r="BC399" s="133" t="n"/>
      <c r="BD399" s="131" t="n"/>
      <c r="BE399" s="132" t="n"/>
      <c r="BF399" s="133" t="n"/>
      <c r="BG399" s="131" t="n"/>
      <c r="BH399" s="132" t="n"/>
      <c r="BI399" s="132" t="n"/>
      <c r="BJ399" s="128">
        <f>iferror(SUM($BK399,($BL399*1.2),($BM399*1.35),($BN399*0.74)),)</f>
        <v/>
      </c>
      <c r="BK399" s="128">
        <f>IFERROR(SUM($BT399:$CK399),)</f>
        <v/>
      </c>
      <c r="BL399" s="129">
        <f>IFERROR(SUM($CL399:$CN399),)</f>
        <v/>
      </c>
      <c r="BM399" s="130">
        <f>IFERROR(SUM($CO399:$CQ399),)</f>
        <v/>
      </c>
      <c r="BN399" s="128">
        <f>IFERROR(SUM($CR399:$CT399),)</f>
        <v/>
      </c>
      <c r="BO399" s="128">
        <f>iferror(SUM($BP399,($BQ399*1.2),($BR399*1.35),($BS399*0.74)),)</f>
        <v/>
      </c>
      <c r="BP399" s="128">
        <f>IFERROR(SUM($CU399:$DL399),)</f>
        <v/>
      </c>
      <c r="BQ399" s="128">
        <f>IFERROR(SUM($DM399:$DO399),)</f>
        <v/>
      </c>
      <c r="BR399" s="128">
        <f>IFERROR(SUM($DP399:$DR399),)</f>
        <v/>
      </c>
      <c r="BS399" s="128">
        <f>IFERROR(SUM($DS399:$DU399),)</f>
        <v/>
      </c>
      <c r="BT399" s="128">
        <f>IFERROR(AI399*$W399,)</f>
        <v/>
      </c>
      <c r="BU399" s="128">
        <f>IFERROR(AJ399*$W399,)</f>
        <v/>
      </c>
      <c r="BV399" s="128">
        <f>IFERROR(AK399*$W399,)</f>
        <v/>
      </c>
      <c r="BW399" s="128">
        <f>IFERROR(AL399*$W399,)</f>
        <v/>
      </c>
      <c r="BX399" s="128">
        <f>IFERROR(AM399*$W399,)</f>
        <v/>
      </c>
      <c r="BY399" s="128">
        <f>IFERROR(AN399*$W399,)</f>
        <v/>
      </c>
      <c r="BZ399" s="128">
        <f>IFERROR(AO399*$W399,)</f>
        <v/>
      </c>
      <c r="CA399" s="128">
        <f>IFERROR(AP399*$W399,)</f>
        <v/>
      </c>
      <c r="CB399" s="128">
        <f>IFERROR(AQ399*$W399,)</f>
        <v/>
      </c>
      <c r="CC399" s="128">
        <f>IFERROR(AR399*$W399,)</f>
        <v/>
      </c>
      <c r="CD399" s="128">
        <f>IFERROR(AS399*$W399,)</f>
        <v/>
      </c>
      <c r="CE399" s="128">
        <f>IFERROR(AT399*$W399,)</f>
        <v/>
      </c>
      <c r="CF399" s="128">
        <f>IFERROR(AU399*$W399,)</f>
        <v/>
      </c>
      <c r="CG399" s="128">
        <f>IFERROR(AV399*$W399,)</f>
        <v/>
      </c>
      <c r="CH399" s="128">
        <f>IFERROR(AW399*$W399,)</f>
        <v/>
      </c>
      <c r="CI399" s="128">
        <f>IFERROR(AX399*$W399,)</f>
        <v/>
      </c>
      <c r="CJ399" s="128">
        <f>IFERROR(AY399*$W399,)</f>
        <v/>
      </c>
      <c r="CK399" s="128">
        <f>IFERROR(AZ399*$W399,)</f>
        <v/>
      </c>
      <c r="CL399" s="129">
        <f>IFERROR(if($Y399=0,BA399*($W399/1.2),BA399*$Y399),"")</f>
        <v/>
      </c>
      <c r="CM399" s="129">
        <f>IFERROR(if($Y399=0,BB399*($W399/1.2),BB399*$Y399),"")</f>
        <v/>
      </c>
      <c r="CN399" s="129">
        <f>IFERROR(if($Y399=0,BC399*($W399/1.2),BC399*$Y399),"")</f>
        <v/>
      </c>
      <c r="CO399" s="130">
        <f>IFERROR(if($AA399=0,($W399/1.35)*BD399,BD399*$AA399),)</f>
        <v/>
      </c>
      <c r="CP399" s="130">
        <f>IFERROR(if($AA399=0,($W399/1.35)*BE399,BE399*$AA399),)</f>
        <v/>
      </c>
      <c r="CQ399" s="130">
        <f>IFERROR(if($AA399=0,($W399/1.35)*BF399,BF399*$AA399),)</f>
        <v/>
      </c>
      <c r="CR399" s="128">
        <f>IFERROR(if($AC399=0,($W399/0.74)*BG399,
BG399*$AC399),)</f>
        <v/>
      </c>
      <c r="CS399" s="128">
        <f>IFERROR(if($AC399=0,($W399/0.74)*BH399,
BH399*$AC399),)</f>
        <v/>
      </c>
      <c r="CT399" s="128">
        <f>IFERROR(if($AC399=0,($W399/0.74)*BI399,
BI399*$AC399),)</f>
        <v/>
      </c>
      <c r="CU399" s="128">
        <f>IFERROR(AI399*$V399,)</f>
        <v/>
      </c>
      <c r="CV399" s="128">
        <f>IFERROR(AJ399*$V399,)</f>
        <v/>
      </c>
      <c r="CW399" s="128">
        <f>IFERROR(AK399*$V399,)</f>
        <v/>
      </c>
      <c r="CX399" s="128">
        <f>IFERROR(AL399*$V399,)</f>
        <v/>
      </c>
      <c r="CY399" s="128">
        <f>IFERROR(AM399*$V399,)</f>
        <v/>
      </c>
      <c r="CZ399" s="128">
        <f>IFERROR(AN399*$V399,)</f>
        <v/>
      </c>
      <c r="DA399" s="128">
        <f>IFERROR(AO399*$V399,)</f>
        <v/>
      </c>
      <c r="DB399" s="128">
        <f>IFERROR(AP399*$V399,)</f>
        <v/>
      </c>
      <c r="DC399" s="128">
        <f>IFERROR(AQ399*$V399,)</f>
        <v/>
      </c>
      <c r="DD399" s="128">
        <f>IFERROR(AR399*$V399,)</f>
        <v/>
      </c>
      <c r="DE399" s="128">
        <f>IFERROR(AS399*$V399,)</f>
        <v/>
      </c>
      <c r="DF399" s="128">
        <f>IFERROR(AT399*$V399,)</f>
        <v/>
      </c>
      <c r="DG399" s="128">
        <f>IFERROR(AU399*$V399,)</f>
        <v/>
      </c>
      <c r="DH399" s="128">
        <f>IFERROR(AV399*$V399,)</f>
        <v/>
      </c>
      <c r="DI399" s="128">
        <f>IFERROR(AW399*$V399,)</f>
        <v/>
      </c>
      <c r="DJ399" s="128">
        <f>IFERROR(AX399*$V399,)</f>
        <v/>
      </c>
      <c r="DK399" s="128">
        <f>IFERROR(AY399*$V399,)</f>
        <v/>
      </c>
      <c r="DL399" s="128">
        <f>IFERROR(AZ399*$V399,)</f>
        <v/>
      </c>
      <c r="DM399" s="129">
        <f>IFERROR(if($X399=0,($V399/1.2)*BA399,
BA399*$X399),)</f>
        <v/>
      </c>
      <c r="DN399" s="129">
        <f>IFERROR(if($X399=0,($V399/1.2)*BB399,
BB399*$X399),)</f>
        <v/>
      </c>
      <c r="DO399" s="129">
        <f>IFERROR(if($X399=0,($V399/1.2)*BC399,
BC399*$X399),)</f>
        <v/>
      </c>
      <c r="DP399" s="130">
        <f>IFERROR(if($Z399=0,($V399/1.35)*BD399,
BD399*$Z399),)</f>
        <v/>
      </c>
      <c r="DQ399" s="130">
        <f>IFERROR(if($Z399=0,($V399/1.35)*BE399,
BE399*$Z399),)</f>
        <v/>
      </c>
      <c r="DR399" s="130">
        <f>IFERROR(if($Z399=0,($V399/1.35)*BF399,
BF399*$Z399),)</f>
        <v/>
      </c>
      <c r="DS399" s="128">
        <f>IFERROR(IF($AB399=0,($V399/0.74)*BG399,
BG399*$AB399),)</f>
        <v/>
      </c>
      <c r="DT399" s="128">
        <f>IFERROR(IF($AB399=0,($V399/0.74)*BH399,
BH399*$AB399),)</f>
        <v/>
      </c>
      <c r="DU399" s="128">
        <f>IFERROR(IF($AB399=0,($V399/0.74)*BI399,
BI399*$AB399),)</f>
        <v/>
      </c>
    </row>
    <row r="400" ht="131.25" customHeight="1" s="162">
      <c r="A400" s="115" t="n"/>
      <c r="B400" s="115" t="n"/>
      <c r="C400" s="115" t="n"/>
      <c r="D400" s="115" t="n"/>
      <c r="E400" s="115" t="n"/>
      <c r="F400" s="115" t="n"/>
      <c r="G400" s="115" t="n"/>
      <c r="H400" s="115" t="n"/>
      <c r="I400" s="115" t="n"/>
      <c r="J400" s="115" t="n"/>
      <c r="K400" s="115" t="n"/>
      <c r="L400" s="115" t="n"/>
      <c r="M400" s="115" t="n"/>
      <c r="N400" s="115" t="n"/>
      <c r="O400" s="115" t="n"/>
      <c r="P400" s="115" t="n"/>
      <c r="Q400" s="115" t="n"/>
      <c r="R400" s="115" t="n"/>
      <c r="S400" s="115" t="n"/>
      <c r="T400" s="115" t="n"/>
      <c r="U400" s="116" t="n"/>
      <c r="V400" s="116" t="n"/>
      <c r="W400" s="117" t="n"/>
      <c r="X400" s="118" t="n"/>
      <c r="Y400" s="119" t="n"/>
      <c r="Z400" s="120" t="n"/>
      <c r="AA400" s="121" t="n"/>
      <c r="AB400" s="122" t="n"/>
      <c r="AC400" s="117" t="n"/>
      <c r="AD400" s="123">
        <f>IF(SUM($AE400:$AH400)=0,"",SUM($AE400:$AH400))</f>
        <v/>
      </c>
      <c r="AE400" s="123">
        <f>iferror(IF(SUM($AI400:$AZ400)=0,"",SUM($AI400:$AZ400)),"")</f>
        <v/>
      </c>
      <c r="AF400" s="123">
        <f>iferror(IF(SUM($BA400:$BC400)=0,"",SUM($BA400:$BC400)),"")</f>
        <v/>
      </c>
      <c r="AG400" s="123">
        <f>iferror(IF(SUM($BD400:$BF400)=0,"",SUM($BD400:$BF400)),"")</f>
        <v/>
      </c>
      <c r="AH400" s="124">
        <f>iferror(IF(SUM($BG400:$BI400)=0,"",SUM($BG400:$BI400)),"")</f>
        <v/>
      </c>
      <c r="AI400" s="131" t="n"/>
      <c r="AJ400" s="132" t="n"/>
      <c r="AK400" s="132" t="n"/>
      <c r="AL400" s="132" t="n"/>
      <c r="AM400" s="132" t="n"/>
      <c r="AN400" s="132" t="n"/>
      <c r="AO400" s="132" t="n"/>
      <c r="AP400" s="132" t="n"/>
      <c r="AQ400" s="132" t="n"/>
      <c r="AR400" s="132" t="n"/>
      <c r="AS400" s="132" t="n"/>
      <c r="AT400" s="132" t="n"/>
      <c r="AU400" s="132" t="n"/>
      <c r="AV400" s="132" t="n"/>
      <c r="AW400" s="132" t="n"/>
      <c r="AX400" s="132" t="n"/>
      <c r="AY400" s="132" t="n"/>
      <c r="AZ400" s="133" t="n"/>
      <c r="BA400" s="131" t="n"/>
      <c r="BB400" s="132" t="n"/>
      <c r="BC400" s="133" t="n"/>
      <c r="BD400" s="131" t="n"/>
      <c r="BE400" s="132" t="n"/>
      <c r="BF400" s="133" t="n"/>
      <c r="BG400" s="131" t="n"/>
      <c r="BH400" s="132" t="n"/>
      <c r="BI400" s="132" t="n"/>
      <c r="BJ400" s="128">
        <f>iferror(SUM($BK400,($BL400*1.2),($BM400*1.35),($BN400*0.74)),)</f>
        <v/>
      </c>
      <c r="BK400" s="128">
        <f>IFERROR(SUM($BT400:$CK400),)</f>
        <v/>
      </c>
      <c r="BL400" s="129">
        <f>IFERROR(SUM($CL400:$CN400),)</f>
        <v/>
      </c>
      <c r="BM400" s="130">
        <f>IFERROR(SUM($CO400:$CQ400),)</f>
        <v/>
      </c>
      <c r="BN400" s="128">
        <f>IFERROR(SUM($CR400:$CT400),)</f>
        <v/>
      </c>
      <c r="BO400" s="128">
        <f>iferror(SUM($BP400,($BQ400*1.2),($BR400*1.35),($BS400*0.74)),)</f>
        <v/>
      </c>
      <c r="BP400" s="128">
        <f>IFERROR(SUM($CU400:$DL400),)</f>
        <v/>
      </c>
      <c r="BQ400" s="128">
        <f>IFERROR(SUM($DM400:$DO400),)</f>
        <v/>
      </c>
      <c r="BR400" s="128">
        <f>IFERROR(SUM($DP400:$DR400),)</f>
        <v/>
      </c>
      <c r="BS400" s="128">
        <f>IFERROR(SUM($DS400:$DU400),)</f>
        <v/>
      </c>
      <c r="BT400" s="128">
        <f>IFERROR(AI400*$W400,)</f>
        <v/>
      </c>
      <c r="BU400" s="128">
        <f>IFERROR(AJ400*$W400,)</f>
        <v/>
      </c>
      <c r="BV400" s="128">
        <f>IFERROR(AK400*$W400,)</f>
        <v/>
      </c>
      <c r="BW400" s="128">
        <f>IFERROR(AL400*$W400,)</f>
        <v/>
      </c>
      <c r="BX400" s="128">
        <f>IFERROR(AM400*$W400,)</f>
        <v/>
      </c>
      <c r="BY400" s="128">
        <f>IFERROR(AN400*$W400,)</f>
        <v/>
      </c>
      <c r="BZ400" s="128">
        <f>IFERROR(AO400*$W400,)</f>
        <v/>
      </c>
      <c r="CA400" s="128">
        <f>IFERROR(AP400*$W400,)</f>
        <v/>
      </c>
      <c r="CB400" s="128">
        <f>IFERROR(AQ400*$W400,)</f>
        <v/>
      </c>
      <c r="CC400" s="128">
        <f>IFERROR(AR400*$W400,)</f>
        <v/>
      </c>
      <c r="CD400" s="128">
        <f>IFERROR(AS400*$W400,)</f>
        <v/>
      </c>
      <c r="CE400" s="128">
        <f>IFERROR(AT400*$W400,)</f>
        <v/>
      </c>
      <c r="CF400" s="128">
        <f>IFERROR(AU400*$W400,)</f>
        <v/>
      </c>
      <c r="CG400" s="128">
        <f>IFERROR(AV400*$W400,)</f>
        <v/>
      </c>
      <c r="CH400" s="128">
        <f>IFERROR(AW400*$W400,)</f>
        <v/>
      </c>
      <c r="CI400" s="128">
        <f>IFERROR(AX400*$W400,)</f>
        <v/>
      </c>
      <c r="CJ400" s="128">
        <f>IFERROR(AY400*$W400,)</f>
        <v/>
      </c>
      <c r="CK400" s="128">
        <f>IFERROR(AZ400*$W400,)</f>
        <v/>
      </c>
      <c r="CL400" s="129">
        <f>IFERROR(if($Y400=0,BA400*($W400/1.2),BA400*$Y400),"")</f>
        <v/>
      </c>
      <c r="CM400" s="129">
        <f>IFERROR(if($Y400=0,BB400*($W400/1.2),BB400*$Y400),"")</f>
        <v/>
      </c>
      <c r="CN400" s="129">
        <f>IFERROR(if($Y400=0,BC400*($W400/1.2),BC400*$Y400),"")</f>
        <v/>
      </c>
      <c r="CO400" s="130">
        <f>IFERROR(if($AA400=0,($W400/1.35)*BD400,BD400*$AA400),)</f>
        <v/>
      </c>
      <c r="CP400" s="130">
        <f>IFERROR(if($AA400=0,($W400/1.35)*BE400,BE400*$AA400),)</f>
        <v/>
      </c>
      <c r="CQ400" s="130">
        <f>IFERROR(if($AA400=0,($W400/1.35)*BF400,BF400*$AA400),)</f>
        <v/>
      </c>
      <c r="CR400" s="128">
        <f>IFERROR(if($AC400=0,($W400/0.74)*BG400,
BG400*$AC400),)</f>
        <v/>
      </c>
      <c r="CS400" s="128">
        <f>IFERROR(if($AC400=0,($W400/0.74)*BH400,
BH400*$AC400),)</f>
        <v/>
      </c>
      <c r="CT400" s="128">
        <f>IFERROR(if($AC400=0,($W400/0.74)*BI400,
BI400*$AC400),)</f>
        <v/>
      </c>
      <c r="CU400" s="128">
        <f>IFERROR(AI400*$V400,)</f>
        <v/>
      </c>
      <c r="CV400" s="128">
        <f>IFERROR(AJ400*$V400,)</f>
        <v/>
      </c>
      <c r="CW400" s="128">
        <f>IFERROR(AK400*$V400,)</f>
        <v/>
      </c>
      <c r="CX400" s="128">
        <f>IFERROR(AL400*$V400,)</f>
        <v/>
      </c>
      <c r="CY400" s="128">
        <f>IFERROR(AM400*$V400,)</f>
        <v/>
      </c>
      <c r="CZ400" s="128">
        <f>IFERROR(AN400*$V400,)</f>
        <v/>
      </c>
      <c r="DA400" s="128">
        <f>IFERROR(AO400*$V400,)</f>
        <v/>
      </c>
      <c r="DB400" s="128">
        <f>IFERROR(AP400*$V400,)</f>
        <v/>
      </c>
      <c r="DC400" s="128">
        <f>IFERROR(AQ400*$V400,)</f>
        <v/>
      </c>
      <c r="DD400" s="128">
        <f>IFERROR(AR400*$V400,)</f>
        <v/>
      </c>
      <c r="DE400" s="128">
        <f>IFERROR(AS400*$V400,)</f>
        <v/>
      </c>
      <c r="DF400" s="128">
        <f>IFERROR(AT400*$V400,)</f>
        <v/>
      </c>
      <c r="DG400" s="128">
        <f>IFERROR(AU400*$V400,)</f>
        <v/>
      </c>
      <c r="DH400" s="128">
        <f>IFERROR(AV400*$V400,)</f>
        <v/>
      </c>
      <c r="DI400" s="128">
        <f>IFERROR(AW400*$V400,)</f>
        <v/>
      </c>
      <c r="DJ400" s="128">
        <f>IFERROR(AX400*$V400,)</f>
        <v/>
      </c>
      <c r="DK400" s="128">
        <f>IFERROR(AY400*$V400,)</f>
        <v/>
      </c>
      <c r="DL400" s="128">
        <f>IFERROR(AZ400*$V400,)</f>
        <v/>
      </c>
      <c r="DM400" s="129">
        <f>IFERROR(if($X400=0,($V400/1.2)*BA400,
BA400*$X400),)</f>
        <v/>
      </c>
      <c r="DN400" s="129">
        <f>IFERROR(if($X400=0,($V400/1.2)*BB400,
BB400*$X400),)</f>
        <v/>
      </c>
      <c r="DO400" s="129">
        <f>IFERROR(if($X400=0,($V400/1.2)*BC400,
BC400*$X400),)</f>
        <v/>
      </c>
      <c r="DP400" s="130">
        <f>IFERROR(if($Z400=0,($V400/1.35)*BD400,
BD400*$Z400),)</f>
        <v/>
      </c>
      <c r="DQ400" s="130">
        <f>IFERROR(if($Z400=0,($V400/1.35)*BE400,
BE400*$Z400),)</f>
        <v/>
      </c>
      <c r="DR400" s="130">
        <f>IFERROR(if($Z400=0,($V400/1.35)*BF400,
BF400*$Z400),)</f>
        <v/>
      </c>
      <c r="DS400" s="128">
        <f>IFERROR(IF($AB400=0,($V400/0.74)*BG400,
BG400*$AB400),)</f>
        <v/>
      </c>
      <c r="DT400" s="128">
        <f>IFERROR(IF($AB400=0,($V400/0.74)*BH400,
BH400*$AB400),)</f>
        <v/>
      </c>
      <c r="DU400" s="128">
        <f>IFERROR(IF($AB400=0,($V400/0.74)*BI400,
BI400*$AB400),)</f>
        <v/>
      </c>
    </row>
    <row r="401" ht="131.25" customHeight="1" s="162">
      <c r="A401" s="115" t="n"/>
      <c r="B401" s="115" t="n"/>
      <c r="C401" s="115" t="n"/>
      <c r="D401" s="115" t="n"/>
      <c r="E401" s="115" t="n"/>
      <c r="F401" s="115" t="n"/>
      <c r="G401" s="115" t="n"/>
      <c r="H401" s="115" t="n"/>
      <c r="I401" s="115" t="n"/>
      <c r="J401" s="115" t="n"/>
      <c r="K401" s="115" t="n"/>
      <c r="L401" s="115" t="n"/>
      <c r="M401" s="115" t="n"/>
      <c r="N401" s="115" t="n"/>
      <c r="O401" s="115" t="n"/>
      <c r="P401" s="115" t="n"/>
      <c r="Q401" s="115" t="n"/>
      <c r="R401" s="115" t="n"/>
      <c r="S401" s="115" t="n"/>
      <c r="T401" s="115" t="n"/>
      <c r="U401" s="116" t="n"/>
      <c r="V401" s="116" t="n"/>
      <c r="W401" s="117" t="n"/>
      <c r="X401" s="118" t="n"/>
      <c r="Y401" s="119" t="n"/>
      <c r="Z401" s="120" t="n"/>
      <c r="AA401" s="121" t="n"/>
      <c r="AB401" s="122" t="n"/>
      <c r="AC401" s="117" t="n"/>
      <c r="AD401" s="123">
        <f>IF(SUM($AE401:$AH401)=0,"",SUM($AE401:$AH401))</f>
        <v/>
      </c>
      <c r="AE401" s="123">
        <f>iferror(IF(SUM($AI401:$AZ401)=0,"",SUM($AI401:$AZ401)),"")</f>
        <v/>
      </c>
      <c r="AF401" s="123">
        <f>iferror(IF(SUM($BA401:$BC401)=0,"",SUM($BA401:$BC401)),"")</f>
        <v/>
      </c>
      <c r="AG401" s="123">
        <f>iferror(IF(SUM($BD401:$BF401)=0,"",SUM($BD401:$BF401)),"")</f>
        <v/>
      </c>
      <c r="AH401" s="124">
        <f>iferror(IF(SUM($BG401:$BI401)=0,"",SUM($BG401:$BI401)),"")</f>
        <v/>
      </c>
      <c r="AI401" s="131" t="n"/>
      <c r="AJ401" s="132" t="n"/>
      <c r="AK401" s="132" t="n"/>
      <c r="AL401" s="132" t="n"/>
      <c r="AM401" s="132" t="n"/>
      <c r="AN401" s="132" t="n"/>
      <c r="AO401" s="132" t="n"/>
      <c r="AP401" s="132" t="n"/>
      <c r="AQ401" s="132" t="n"/>
      <c r="AR401" s="132" t="n"/>
      <c r="AS401" s="132" t="n"/>
      <c r="AT401" s="132" t="n"/>
      <c r="AU401" s="132" t="n"/>
      <c r="AV401" s="132" t="n"/>
      <c r="AW401" s="132" t="n"/>
      <c r="AX401" s="132" t="n"/>
      <c r="AY401" s="132" t="n"/>
      <c r="AZ401" s="133" t="n"/>
      <c r="BA401" s="131" t="n"/>
      <c r="BB401" s="132" t="n"/>
      <c r="BC401" s="133" t="n"/>
      <c r="BD401" s="131" t="n"/>
      <c r="BE401" s="132" t="n"/>
      <c r="BF401" s="133" t="n"/>
      <c r="BG401" s="131" t="n"/>
      <c r="BH401" s="132" t="n"/>
      <c r="BI401" s="132" t="n"/>
      <c r="BJ401" s="128">
        <f>iferror(SUM($BK401,($BL401*1.2),($BM401*1.35),($BN401*0.74)),)</f>
        <v/>
      </c>
      <c r="BK401" s="128">
        <f>IFERROR(SUM($BT401:$CK401),)</f>
        <v/>
      </c>
      <c r="BL401" s="129">
        <f>IFERROR(SUM($CL401:$CN401),)</f>
        <v/>
      </c>
      <c r="BM401" s="130">
        <f>IFERROR(SUM($CO401:$CQ401),)</f>
        <v/>
      </c>
      <c r="BN401" s="128">
        <f>IFERROR(SUM($CR401:$CT401),)</f>
        <v/>
      </c>
      <c r="BO401" s="128">
        <f>iferror(SUM($BP401,($BQ401*1.2),($BR401*1.35),($BS401*0.74)),)</f>
        <v/>
      </c>
      <c r="BP401" s="128">
        <f>IFERROR(SUM($CU401:$DL401),)</f>
        <v/>
      </c>
      <c r="BQ401" s="128">
        <f>IFERROR(SUM($DM401:$DO401),)</f>
        <v/>
      </c>
      <c r="BR401" s="128">
        <f>IFERROR(SUM($DP401:$DR401),)</f>
        <v/>
      </c>
      <c r="BS401" s="128">
        <f>IFERROR(SUM($DS401:$DU401),)</f>
        <v/>
      </c>
      <c r="BT401" s="128">
        <f>IFERROR(AI401*$W401,)</f>
        <v/>
      </c>
      <c r="BU401" s="128">
        <f>IFERROR(AJ401*$W401,)</f>
        <v/>
      </c>
      <c r="BV401" s="128">
        <f>IFERROR(AK401*$W401,)</f>
        <v/>
      </c>
      <c r="BW401" s="128">
        <f>IFERROR(AL401*$W401,)</f>
        <v/>
      </c>
      <c r="BX401" s="128">
        <f>IFERROR(AM401*$W401,)</f>
        <v/>
      </c>
      <c r="BY401" s="128">
        <f>IFERROR(AN401*$W401,)</f>
        <v/>
      </c>
      <c r="BZ401" s="128">
        <f>IFERROR(AO401*$W401,)</f>
        <v/>
      </c>
      <c r="CA401" s="128">
        <f>IFERROR(AP401*$W401,)</f>
        <v/>
      </c>
      <c r="CB401" s="128">
        <f>IFERROR(AQ401*$W401,)</f>
        <v/>
      </c>
      <c r="CC401" s="128">
        <f>IFERROR(AR401*$W401,)</f>
        <v/>
      </c>
      <c r="CD401" s="128">
        <f>IFERROR(AS401*$W401,)</f>
        <v/>
      </c>
      <c r="CE401" s="128">
        <f>IFERROR(AT401*$W401,)</f>
        <v/>
      </c>
      <c r="CF401" s="128">
        <f>IFERROR(AU401*$W401,)</f>
        <v/>
      </c>
      <c r="CG401" s="128">
        <f>IFERROR(AV401*$W401,)</f>
        <v/>
      </c>
      <c r="CH401" s="128">
        <f>IFERROR(AW401*$W401,)</f>
        <v/>
      </c>
      <c r="CI401" s="128">
        <f>IFERROR(AX401*$W401,)</f>
        <v/>
      </c>
      <c r="CJ401" s="128">
        <f>IFERROR(AY401*$W401,)</f>
        <v/>
      </c>
      <c r="CK401" s="128">
        <f>IFERROR(AZ401*$W401,)</f>
        <v/>
      </c>
      <c r="CL401" s="129">
        <f>IFERROR(if($Y401=0,BA401*($W401/1.2),BA401*$Y401),"")</f>
        <v/>
      </c>
      <c r="CM401" s="129">
        <f>IFERROR(if($Y401=0,BB401*($W401/1.2),BB401*$Y401),"")</f>
        <v/>
      </c>
      <c r="CN401" s="129">
        <f>IFERROR(if($Y401=0,BC401*($W401/1.2),BC401*$Y401),"")</f>
        <v/>
      </c>
      <c r="CO401" s="130">
        <f>IFERROR(if($AA401=0,($W401/1.35)*BD401,BD401*$AA401),)</f>
        <v/>
      </c>
      <c r="CP401" s="130">
        <f>IFERROR(if($AA401=0,($W401/1.35)*BE401,BE401*$AA401),)</f>
        <v/>
      </c>
      <c r="CQ401" s="130">
        <f>IFERROR(if($AA401=0,($W401/1.35)*BF401,BF401*$AA401),)</f>
        <v/>
      </c>
      <c r="CR401" s="128">
        <f>IFERROR(if($AC401=0,($W401/0.74)*BG401,
BG401*$AC401),)</f>
        <v/>
      </c>
      <c r="CS401" s="128">
        <f>IFERROR(if($AC401=0,($W401/0.74)*BH401,
BH401*$AC401),)</f>
        <v/>
      </c>
      <c r="CT401" s="128">
        <f>IFERROR(if($AC401=0,($W401/0.74)*BI401,
BI401*$AC401),)</f>
        <v/>
      </c>
      <c r="CU401" s="128">
        <f>IFERROR(AI401*$V401,)</f>
        <v/>
      </c>
      <c r="CV401" s="128">
        <f>IFERROR(AJ401*$V401,)</f>
        <v/>
      </c>
      <c r="CW401" s="128">
        <f>IFERROR(AK401*$V401,)</f>
        <v/>
      </c>
      <c r="CX401" s="128">
        <f>IFERROR(AL401*$V401,)</f>
        <v/>
      </c>
      <c r="CY401" s="128">
        <f>IFERROR(AM401*$V401,)</f>
        <v/>
      </c>
      <c r="CZ401" s="128">
        <f>IFERROR(AN401*$V401,)</f>
        <v/>
      </c>
      <c r="DA401" s="128">
        <f>IFERROR(AO401*$V401,)</f>
        <v/>
      </c>
      <c r="DB401" s="128">
        <f>IFERROR(AP401*$V401,)</f>
        <v/>
      </c>
      <c r="DC401" s="128">
        <f>IFERROR(AQ401*$V401,)</f>
        <v/>
      </c>
      <c r="DD401" s="128">
        <f>IFERROR(AR401*$V401,)</f>
        <v/>
      </c>
      <c r="DE401" s="128">
        <f>IFERROR(AS401*$V401,)</f>
        <v/>
      </c>
      <c r="DF401" s="128">
        <f>IFERROR(AT401*$V401,)</f>
        <v/>
      </c>
      <c r="DG401" s="128">
        <f>IFERROR(AU401*$V401,)</f>
        <v/>
      </c>
      <c r="DH401" s="128">
        <f>IFERROR(AV401*$V401,)</f>
        <v/>
      </c>
      <c r="DI401" s="128">
        <f>IFERROR(AW401*$V401,)</f>
        <v/>
      </c>
      <c r="DJ401" s="128">
        <f>IFERROR(AX401*$V401,)</f>
        <v/>
      </c>
      <c r="DK401" s="128">
        <f>IFERROR(AY401*$V401,)</f>
        <v/>
      </c>
      <c r="DL401" s="128">
        <f>IFERROR(AZ401*$V401,)</f>
        <v/>
      </c>
      <c r="DM401" s="129">
        <f>IFERROR(if($X401=0,($V401/1.2)*BA401,
BA401*$X401),)</f>
        <v/>
      </c>
      <c r="DN401" s="129">
        <f>IFERROR(if($X401=0,($V401/1.2)*BB401,
BB401*$X401),)</f>
        <v/>
      </c>
      <c r="DO401" s="129">
        <f>IFERROR(if($X401=0,($V401/1.2)*BC401,
BC401*$X401),)</f>
        <v/>
      </c>
      <c r="DP401" s="130">
        <f>IFERROR(if($Z401=0,($V401/1.35)*BD401,
BD401*$Z401),)</f>
        <v/>
      </c>
      <c r="DQ401" s="130">
        <f>IFERROR(if($Z401=0,($V401/1.35)*BE401,
BE401*$Z401),)</f>
        <v/>
      </c>
      <c r="DR401" s="130">
        <f>IFERROR(if($Z401=0,($V401/1.35)*BF401,
BF401*$Z401),)</f>
        <v/>
      </c>
      <c r="DS401" s="128">
        <f>IFERROR(IF($AB401=0,($V401/0.74)*BG401,
BG401*$AB401),)</f>
        <v/>
      </c>
      <c r="DT401" s="128">
        <f>IFERROR(IF($AB401=0,($V401/0.74)*BH401,
BH401*$AB401),)</f>
        <v/>
      </c>
      <c r="DU401" s="128">
        <f>IFERROR(IF($AB401=0,($V401/0.74)*BI401,
BI401*$AB401),)</f>
        <v/>
      </c>
    </row>
    <row r="402" ht="131.25" customHeight="1" s="162">
      <c r="A402" s="115" t="n"/>
      <c r="B402" s="115" t="n"/>
      <c r="C402" s="115" t="n"/>
      <c r="D402" s="115" t="n"/>
      <c r="E402" s="115" t="n"/>
      <c r="F402" s="115" t="n"/>
      <c r="G402" s="115" t="n"/>
      <c r="H402" s="115" t="n"/>
      <c r="I402" s="115" t="n"/>
      <c r="J402" s="115" t="n"/>
      <c r="K402" s="115" t="n"/>
      <c r="L402" s="115" t="n"/>
      <c r="M402" s="115" t="n"/>
      <c r="N402" s="115" t="n"/>
      <c r="O402" s="115" t="n"/>
      <c r="P402" s="115" t="n"/>
      <c r="Q402" s="115" t="n"/>
      <c r="R402" s="115" t="n"/>
      <c r="S402" s="115" t="n"/>
      <c r="T402" s="115" t="n"/>
      <c r="U402" s="116" t="n"/>
      <c r="V402" s="116" t="n"/>
      <c r="W402" s="117" t="n"/>
      <c r="X402" s="118" t="n"/>
      <c r="Y402" s="119" t="n"/>
      <c r="Z402" s="120" t="n"/>
      <c r="AA402" s="121" t="n"/>
      <c r="AB402" s="122" t="n"/>
      <c r="AC402" s="117" t="n"/>
      <c r="AD402" s="123">
        <f>IF(SUM($AE402:$AH402)=0,"",SUM($AE402:$AH402))</f>
        <v/>
      </c>
      <c r="AE402" s="123">
        <f>iferror(IF(SUM($AI402:$AZ402)=0,"",SUM($AI402:$AZ402)),"")</f>
        <v/>
      </c>
      <c r="AF402" s="123">
        <f>iferror(IF(SUM($BA402:$BC402)=0,"",SUM($BA402:$BC402)),"")</f>
        <v/>
      </c>
      <c r="AG402" s="123">
        <f>iferror(IF(SUM($BD402:$BF402)=0,"",SUM($BD402:$BF402)),"")</f>
        <v/>
      </c>
      <c r="AH402" s="124">
        <f>iferror(IF(SUM($BG402:$BI402)=0,"",SUM($BG402:$BI402)),"")</f>
        <v/>
      </c>
      <c r="AI402" s="131" t="n"/>
      <c r="AJ402" s="132" t="n"/>
      <c r="AK402" s="132" t="n"/>
      <c r="AL402" s="132" t="n"/>
      <c r="AM402" s="132" t="n"/>
      <c r="AN402" s="132" t="n"/>
      <c r="AO402" s="132" t="n"/>
      <c r="AP402" s="132" t="n"/>
      <c r="AQ402" s="132" t="n"/>
      <c r="AR402" s="132" t="n"/>
      <c r="AS402" s="132" t="n"/>
      <c r="AT402" s="132" t="n"/>
      <c r="AU402" s="132" t="n"/>
      <c r="AV402" s="132" t="n"/>
      <c r="AW402" s="132" t="n"/>
      <c r="AX402" s="132" t="n"/>
      <c r="AY402" s="132" t="n"/>
      <c r="AZ402" s="133" t="n"/>
      <c r="BA402" s="131" t="n"/>
      <c r="BB402" s="132" t="n"/>
      <c r="BC402" s="133" t="n"/>
      <c r="BD402" s="131" t="n"/>
      <c r="BE402" s="132" t="n"/>
      <c r="BF402" s="133" t="n"/>
      <c r="BG402" s="131" t="n"/>
      <c r="BH402" s="132" t="n"/>
      <c r="BI402" s="132" t="n"/>
      <c r="BJ402" s="128">
        <f>iferror(SUM($BK402,($BL402*1.2),($BM402*1.35),($BN402*0.74)),)</f>
        <v/>
      </c>
      <c r="BK402" s="128">
        <f>IFERROR(SUM($BT402:$CK402),)</f>
        <v/>
      </c>
      <c r="BL402" s="129">
        <f>IFERROR(SUM($CL402:$CN402),)</f>
        <v/>
      </c>
      <c r="BM402" s="130">
        <f>IFERROR(SUM($CO402:$CQ402),)</f>
        <v/>
      </c>
      <c r="BN402" s="128">
        <f>IFERROR(SUM($CR402:$CT402),)</f>
        <v/>
      </c>
      <c r="BO402" s="128">
        <f>iferror(SUM($BP402,($BQ402*1.2),($BR402*1.35),($BS402*0.74)),)</f>
        <v/>
      </c>
      <c r="BP402" s="128">
        <f>IFERROR(SUM($CU402:$DL402),)</f>
        <v/>
      </c>
      <c r="BQ402" s="128">
        <f>IFERROR(SUM($DM402:$DO402),)</f>
        <v/>
      </c>
      <c r="BR402" s="128">
        <f>IFERROR(SUM($DP402:$DR402),)</f>
        <v/>
      </c>
      <c r="BS402" s="128">
        <f>IFERROR(SUM($DS402:$DU402),)</f>
        <v/>
      </c>
      <c r="BT402" s="128">
        <f>IFERROR(AI402*$W402,)</f>
        <v/>
      </c>
      <c r="BU402" s="128">
        <f>IFERROR(AJ402*$W402,)</f>
        <v/>
      </c>
      <c r="BV402" s="128">
        <f>IFERROR(AK402*$W402,)</f>
        <v/>
      </c>
      <c r="BW402" s="128">
        <f>IFERROR(AL402*$W402,)</f>
        <v/>
      </c>
      <c r="BX402" s="128">
        <f>IFERROR(AM402*$W402,)</f>
        <v/>
      </c>
      <c r="BY402" s="128">
        <f>IFERROR(AN402*$W402,)</f>
        <v/>
      </c>
      <c r="BZ402" s="128">
        <f>IFERROR(AO402*$W402,)</f>
        <v/>
      </c>
      <c r="CA402" s="128">
        <f>IFERROR(AP402*$W402,)</f>
        <v/>
      </c>
      <c r="CB402" s="128">
        <f>IFERROR(AQ402*$W402,)</f>
        <v/>
      </c>
      <c r="CC402" s="128">
        <f>IFERROR(AR402*$W402,)</f>
        <v/>
      </c>
      <c r="CD402" s="128">
        <f>IFERROR(AS402*$W402,)</f>
        <v/>
      </c>
      <c r="CE402" s="128">
        <f>IFERROR(AT402*$W402,)</f>
        <v/>
      </c>
      <c r="CF402" s="128">
        <f>IFERROR(AU402*$W402,)</f>
        <v/>
      </c>
      <c r="CG402" s="128">
        <f>IFERROR(AV402*$W402,)</f>
        <v/>
      </c>
      <c r="CH402" s="128">
        <f>IFERROR(AW402*$W402,)</f>
        <v/>
      </c>
      <c r="CI402" s="128">
        <f>IFERROR(AX402*$W402,)</f>
        <v/>
      </c>
      <c r="CJ402" s="128">
        <f>IFERROR(AY402*$W402,)</f>
        <v/>
      </c>
      <c r="CK402" s="128">
        <f>IFERROR(AZ402*$W402,)</f>
        <v/>
      </c>
      <c r="CL402" s="129">
        <f>IFERROR(if($Y402=0,BA402*($W402/1.2),BA402*$Y402),"")</f>
        <v/>
      </c>
      <c r="CM402" s="129">
        <f>IFERROR(if($Y402=0,BB402*($W402/1.2),BB402*$Y402),"")</f>
        <v/>
      </c>
      <c r="CN402" s="129">
        <f>IFERROR(if($Y402=0,BC402*($W402/1.2),BC402*$Y402),"")</f>
        <v/>
      </c>
      <c r="CO402" s="130">
        <f>IFERROR(if($AA402=0,($W402/1.35)*BD402,BD402*$AA402),)</f>
        <v/>
      </c>
      <c r="CP402" s="130">
        <f>IFERROR(if($AA402=0,($W402/1.35)*BE402,BE402*$AA402),)</f>
        <v/>
      </c>
      <c r="CQ402" s="130">
        <f>IFERROR(if($AA402=0,($W402/1.35)*BF402,BF402*$AA402),)</f>
        <v/>
      </c>
      <c r="CR402" s="128">
        <f>IFERROR(if($AC402=0,($W402/0.74)*BG402,
BG402*$AC402),)</f>
        <v/>
      </c>
      <c r="CS402" s="128">
        <f>IFERROR(if($AC402=0,($W402/0.74)*BH402,
BH402*$AC402),)</f>
        <v/>
      </c>
      <c r="CT402" s="128">
        <f>IFERROR(if($AC402=0,($W402/0.74)*BI402,
BI402*$AC402),)</f>
        <v/>
      </c>
      <c r="CU402" s="128">
        <f>IFERROR(AI402*$V402,)</f>
        <v/>
      </c>
      <c r="CV402" s="128">
        <f>IFERROR(AJ402*$V402,)</f>
        <v/>
      </c>
      <c r="CW402" s="128">
        <f>IFERROR(AK402*$V402,)</f>
        <v/>
      </c>
      <c r="CX402" s="128">
        <f>IFERROR(AL402*$V402,)</f>
        <v/>
      </c>
      <c r="CY402" s="128">
        <f>IFERROR(AM402*$V402,)</f>
        <v/>
      </c>
      <c r="CZ402" s="128">
        <f>IFERROR(AN402*$V402,)</f>
        <v/>
      </c>
      <c r="DA402" s="128">
        <f>IFERROR(AO402*$V402,)</f>
        <v/>
      </c>
      <c r="DB402" s="128">
        <f>IFERROR(AP402*$V402,)</f>
        <v/>
      </c>
      <c r="DC402" s="128">
        <f>IFERROR(AQ402*$V402,)</f>
        <v/>
      </c>
      <c r="DD402" s="128">
        <f>IFERROR(AR402*$V402,)</f>
        <v/>
      </c>
      <c r="DE402" s="128">
        <f>IFERROR(AS402*$V402,)</f>
        <v/>
      </c>
      <c r="DF402" s="128">
        <f>IFERROR(AT402*$V402,)</f>
        <v/>
      </c>
      <c r="DG402" s="128">
        <f>IFERROR(AU402*$V402,)</f>
        <v/>
      </c>
      <c r="DH402" s="128">
        <f>IFERROR(AV402*$V402,)</f>
        <v/>
      </c>
      <c r="DI402" s="128">
        <f>IFERROR(AW402*$V402,)</f>
        <v/>
      </c>
      <c r="DJ402" s="128">
        <f>IFERROR(AX402*$V402,)</f>
        <v/>
      </c>
      <c r="DK402" s="128">
        <f>IFERROR(AY402*$V402,)</f>
        <v/>
      </c>
      <c r="DL402" s="128">
        <f>IFERROR(AZ402*$V402,)</f>
        <v/>
      </c>
      <c r="DM402" s="129">
        <f>IFERROR(if($X402=0,($V402/1.2)*BA402,
BA402*$X402),)</f>
        <v/>
      </c>
      <c r="DN402" s="129">
        <f>IFERROR(if($X402=0,($V402/1.2)*BB402,
BB402*$X402),)</f>
        <v/>
      </c>
      <c r="DO402" s="129">
        <f>IFERROR(if($X402=0,($V402/1.2)*BC402,
BC402*$X402),)</f>
        <v/>
      </c>
      <c r="DP402" s="130">
        <f>IFERROR(if($Z402=0,($V402/1.35)*BD402,
BD402*$Z402),)</f>
        <v/>
      </c>
      <c r="DQ402" s="130">
        <f>IFERROR(if($Z402=0,($V402/1.35)*BE402,
BE402*$Z402),)</f>
        <v/>
      </c>
      <c r="DR402" s="130">
        <f>IFERROR(if($Z402=0,($V402/1.35)*BF402,
BF402*$Z402),)</f>
        <v/>
      </c>
      <c r="DS402" s="128">
        <f>IFERROR(IF($AB402=0,($V402/0.74)*BG402,
BG402*$AB402),)</f>
        <v/>
      </c>
      <c r="DT402" s="128">
        <f>IFERROR(IF($AB402=0,($V402/0.74)*BH402,
BH402*$AB402),)</f>
        <v/>
      </c>
      <c r="DU402" s="128">
        <f>IFERROR(IF($AB402=0,($V402/0.74)*BI402,
BI402*$AB402),)</f>
        <v/>
      </c>
    </row>
    <row r="403" ht="131.25" customHeight="1" s="162">
      <c r="A403" s="115" t="n"/>
      <c r="B403" s="115" t="n"/>
      <c r="C403" s="115" t="n"/>
      <c r="D403" s="115" t="n"/>
      <c r="E403" s="115" t="n"/>
      <c r="F403" s="115" t="n"/>
      <c r="G403" s="115" t="n"/>
      <c r="H403" s="115" t="n"/>
      <c r="I403" s="115" t="n"/>
      <c r="J403" s="115" t="n"/>
      <c r="K403" s="115" t="n"/>
      <c r="L403" s="115" t="n"/>
      <c r="M403" s="115" t="n"/>
      <c r="N403" s="115" t="n"/>
      <c r="O403" s="115" t="n"/>
      <c r="P403" s="115" t="n"/>
      <c r="Q403" s="115" t="n"/>
      <c r="R403" s="115" t="n"/>
      <c r="S403" s="115" t="n"/>
      <c r="T403" s="115" t="n"/>
      <c r="U403" s="116" t="n"/>
      <c r="V403" s="116" t="n"/>
      <c r="W403" s="117" t="n"/>
      <c r="X403" s="118" t="n"/>
      <c r="Y403" s="119" t="n"/>
      <c r="Z403" s="120" t="n"/>
      <c r="AA403" s="121" t="n"/>
      <c r="AB403" s="122" t="n"/>
      <c r="AC403" s="117" t="n"/>
      <c r="AD403" s="123">
        <f>IF(SUM($AE403:$AH403)=0,"",SUM($AE403:$AH403))</f>
        <v/>
      </c>
      <c r="AE403" s="123">
        <f>iferror(IF(SUM($AI403:$AZ403)=0,"",SUM($AI403:$AZ403)),"")</f>
        <v/>
      </c>
      <c r="AF403" s="123">
        <f>iferror(IF(SUM($BA403:$BC403)=0,"",SUM($BA403:$BC403)),"")</f>
        <v/>
      </c>
      <c r="AG403" s="123">
        <f>iferror(IF(SUM($BD403:$BF403)=0,"",SUM($BD403:$BF403)),"")</f>
        <v/>
      </c>
      <c r="AH403" s="124">
        <f>iferror(IF(SUM($BG403:$BI403)=0,"",SUM($BG403:$BI403)),"")</f>
        <v/>
      </c>
      <c r="AI403" s="131" t="n"/>
      <c r="AJ403" s="132" t="n"/>
      <c r="AK403" s="132" t="n"/>
      <c r="AL403" s="132" t="n"/>
      <c r="AM403" s="132" t="n"/>
      <c r="AN403" s="132" t="n"/>
      <c r="AO403" s="132" t="n"/>
      <c r="AP403" s="132" t="n"/>
      <c r="AQ403" s="132" t="n"/>
      <c r="AR403" s="132" t="n"/>
      <c r="AS403" s="132" t="n"/>
      <c r="AT403" s="132" t="n"/>
      <c r="AU403" s="132" t="n"/>
      <c r="AV403" s="132" t="n"/>
      <c r="AW403" s="132" t="n"/>
      <c r="AX403" s="132" t="n"/>
      <c r="AY403" s="132" t="n"/>
      <c r="AZ403" s="133" t="n"/>
      <c r="BA403" s="131" t="n"/>
      <c r="BB403" s="132" t="n"/>
      <c r="BC403" s="133" t="n"/>
      <c r="BD403" s="131" t="n"/>
      <c r="BE403" s="132" t="n"/>
      <c r="BF403" s="133" t="n"/>
      <c r="BG403" s="131" t="n"/>
      <c r="BH403" s="132" t="n"/>
      <c r="BI403" s="132" t="n"/>
      <c r="BJ403" s="128">
        <f>iferror(SUM($BK403,($BL403*1.2),($BM403*1.35),($BN403*0.74)),)</f>
        <v/>
      </c>
      <c r="BK403" s="128">
        <f>IFERROR(SUM($BT403:$CK403),)</f>
        <v/>
      </c>
      <c r="BL403" s="129">
        <f>IFERROR(SUM($CL403:$CN403),)</f>
        <v/>
      </c>
      <c r="BM403" s="130">
        <f>IFERROR(SUM($CO403:$CQ403),)</f>
        <v/>
      </c>
      <c r="BN403" s="128">
        <f>IFERROR(SUM($CR403:$CT403),)</f>
        <v/>
      </c>
      <c r="BO403" s="128">
        <f>iferror(SUM($BP403,($BQ403*1.2),($BR403*1.35),($BS403*0.74)),)</f>
        <v/>
      </c>
      <c r="BP403" s="128">
        <f>IFERROR(SUM($CU403:$DL403),)</f>
        <v/>
      </c>
      <c r="BQ403" s="128">
        <f>IFERROR(SUM($DM403:$DO403),)</f>
        <v/>
      </c>
      <c r="BR403" s="128">
        <f>IFERROR(SUM($DP403:$DR403),)</f>
        <v/>
      </c>
      <c r="BS403" s="128">
        <f>IFERROR(SUM($DS403:$DU403),)</f>
        <v/>
      </c>
      <c r="BT403" s="128">
        <f>IFERROR(AI403*$W403,)</f>
        <v/>
      </c>
      <c r="BU403" s="128">
        <f>IFERROR(AJ403*$W403,)</f>
        <v/>
      </c>
      <c r="BV403" s="128">
        <f>IFERROR(AK403*$W403,)</f>
        <v/>
      </c>
      <c r="BW403" s="128">
        <f>IFERROR(AL403*$W403,)</f>
        <v/>
      </c>
      <c r="BX403" s="128">
        <f>IFERROR(AM403*$W403,)</f>
        <v/>
      </c>
      <c r="BY403" s="128">
        <f>IFERROR(AN403*$W403,)</f>
        <v/>
      </c>
      <c r="BZ403" s="128">
        <f>IFERROR(AO403*$W403,)</f>
        <v/>
      </c>
      <c r="CA403" s="128">
        <f>IFERROR(AP403*$W403,)</f>
        <v/>
      </c>
      <c r="CB403" s="128">
        <f>IFERROR(AQ403*$W403,)</f>
        <v/>
      </c>
      <c r="CC403" s="128">
        <f>IFERROR(AR403*$W403,)</f>
        <v/>
      </c>
      <c r="CD403" s="128">
        <f>IFERROR(AS403*$W403,)</f>
        <v/>
      </c>
      <c r="CE403" s="128">
        <f>IFERROR(AT403*$W403,)</f>
        <v/>
      </c>
      <c r="CF403" s="128">
        <f>IFERROR(AU403*$W403,)</f>
        <v/>
      </c>
      <c r="CG403" s="128">
        <f>IFERROR(AV403*$W403,)</f>
        <v/>
      </c>
      <c r="CH403" s="128">
        <f>IFERROR(AW403*$W403,)</f>
        <v/>
      </c>
      <c r="CI403" s="128">
        <f>IFERROR(AX403*$W403,)</f>
        <v/>
      </c>
      <c r="CJ403" s="128">
        <f>IFERROR(AY403*$W403,)</f>
        <v/>
      </c>
      <c r="CK403" s="128">
        <f>IFERROR(AZ403*$W403,)</f>
        <v/>
      </c>
      <c r="CL403" s="129">
        <f>IFERROR(if($Y403=0,BA403*($W403/1.2),BA403*$Y403),"")</f>
        <v/>
      </c>
      <c r="CM403" s="129">
        <f>IFERROR(if($Y403=0,BB403*($W403/1.2),BB403*$Y403),"")</f>
        <v/>
      </c>
      <c r="CN403" s="129">
        <f>IFERROR(if($Y403=0,BC403*($W403/1.2),BC403*$Y403),"")</f>
        <v/>
      </c>
      <c r="CO403" s="130">
        <f>IFERROR(if($AA403=0,($W403/1.35)*BD403,BD403*$AA403),)</f>
        <v/>
      </c>
      <c r="CP403" s="130">
        <f>IFERROR(if($AA403=0,($W403/1.35)*BE403,BE403*$AA403),)</f>
        <v/>
      </c>
      <c r="CQ403" s="130">
        <f>IFERROR(if($AA403=0,($W403/1.35)*BF403,BF403*$AA403),)</f>
        <v/>
      </c>
      <c r="CR403" s="128">
        <f>IFERROR(if($AC403=0,($W403/0.74)*BG403,
BG403*$AC403),)</f>
        <v/>
      </c>
      <c r="CS403" s="128">
        <f>IFERROR(if($AC403=0,($W403/0.74)*BH403,
BH403*$AC403),)</f>
        <v/>
      </c>
      <c r="CT403" s="128">
        <f>IFERROR(if($AC403=0,($W403/0.74)*BI403,
BI403*$AC403),)</f>
        <v/>
      </c>
      <c r="CU403" s="128">
        <f>IFERROR(AI403*$V403,)</f>
        <v/>
      </c>
      <c r="CV403" s="128">
        <f>IFERROR(AJ403*$V403,)</f>
        <v/>
      </c>
      <c r="CW403" s="128">
        <f>IFERROR(AK403*$V403,)</f>
        <v/>
      </c>
      <c r="CX403" s="128">
        <f>IFERROR(AL403*$V403,)</f>
        <v/>
      </c>
      <c r="CY403" s="128">
        <f>IFERROR(AM403*$V403,)</f>
        <v/>
      </c>
      <c r="CZ403" s="128">
        <f>IFERROR(AN403*$V403,)</f>
        <v/>
      </c>
      <c r="DA403" s="128">
        <f>IFERROR(AO403*$V403,)</f>
        <v/>
      </c>
      <c r="DB403" s="128">
        <f>IFERROR(AP403*$V403,)</f>
        <v/>
      </c>
      <c r="DC403" s="128">
        <f>IFERROR(AQ403*$V403,)</f>
        <v/>
      </c>
      <c r="DD403" s="128">
        <f>IFERROR(AR403*$V403,)</f>
        <v/>
      </c>
      <c r="DE403" s="128">
        <f>IFERROR(AS403*$V403,)</f>
        <v/>
      </c>
      <c r="DF403" s="128">
        <f>IFERROR(AT403*$V403,)</f>
        <v/>
      </c>
      <c r="DG403" s="128">
        <f>IFERROR(AU403*$V403,)</f>
        <v/>
      </c>
      <c r="DH403" s="128">
        <f>IFERROR(AV403*$V403,)</f>
        <v/>
      </c>
      <c r="DI403" s="128">
        <f>IFERROR(AW403*$V403,)</f>
        <v/>
      </c>
      <c r="DJ403" s="128">
        <f>IFERROR(AX403*$V403,)</f>
        <v/>
      </c>
      <c r="DK403" s="128">
        <f>IFERROR(AY403*$V403,)</f>
        <v/>
      </c>
      <c r="DL403" s="128">
        <f>IFERROR(AZ403*$V403,)</f>
        <v/>
      </c>
      <c r="DM403" s="129">
        <f>IFERROR(if($X403=0,($V403/1.2)*BA403,
BA403*$X403),)</f>
        <v/>
      </c>
      <c r="DN403" s="129">
        <f>IFERROR(if($X403=0,($V403/1.2)*BB403,
BB403*$X403),)</f>
        <v/>
      </c>
      <c r="DO403" s="129">
        <f>IFERROR(if($X403=0,($V403/1.2)*BC403,
BC403*$X403),)</f>
        <v/>
      </c>
      <c r="DP403" s="130">
        <f>IFERROR(if($Z403=0,($V403/1.35)*BD403,
BD403*$Z403),)</f>
        <v/>
      </c>
      <c r="DQ403" s="130">
        <f>IFERROR(if($Z403=0,($V403/1.35)*BE403,
BE403*$Z403),)</f>
        <v/>
      </c>
      <c r="DR403" s="130">
        <f>IFERROR(if($Z403=0,($V403/1.35)*BF403,
BF403*$Z403),)</f>
        <v/>
      </c>
      <c r="DS403" s="128">
        <f>IFERROR(IF($AB403=0,($V403/0.74)*BG403,
BG403*$AB403),)</f>
        <v/>
      </c>
      <c r="DT403" s="128">
        <f>IFERROR(IF($AB403=0,($V403/0.74)*BH403,
BH403*$AB403),)</f>
        <v/>
      </c>
      <c r="DU403" s="128">
        <f>IFERROR(IF($AB403=0,($V403/0.74)*BI403,
BI403*$AB403),)</f>
        <v/>
      </c>
    </row>
    <row r="404" ht="131.25" customHeight="1" s="162">
      <c r="A404" s="115" t="n"/>
      <c r="B404" s="115" t="n"/>
      <c r="C404" s="115" t="n"/>
      <c r="D404" s="115" t="n"/>
      <c r="E404" s="115" t="n"/>
      <c r="F404" s="115" t="n"/>
      <c r="G404" s="115" t="n"/>
      <c r="H404" s="115" t="n"/>
      <c r="I404" s="115" t="n"/>
      <c r="J404" s="115" t="n"/>
      <c r="K404" s="115" t="n"/>
      <c r="L404" s="115" t="n"/>
      <c r="M404" s="115" t="n"/>
      <c r="N404" s="115" t="n"/>
      <c r="O404" s="115" t="n"/>
      <c r="P404" s="115" t="n"/>
      <c r="Q404" s="115" t="n"/>
      <c r="R404" s="115" t="n"/>
      <c r="S404" s="115" t="n"/>
      <c r="T404" s="115" t="n"/>
      <c r="U404" s="116" t="n"/>
      <c r="V404" s="116" t="n"/>
      <c r="W404" s="117" t="n"/>
      <c r="X404" s="118" t="n"/>
      <c r="Y404" s="119" t="n"/>
      <c r="Z404" s="120" t="n"/>
      <c r="AA404" s="121" t="n"/>
      <c r="AB404" s="122" t="n"/>
      <c r="AC404" s="117" t="n"/>
      <c r="AD404" s="123">
        <f>IF(SUM($AE404:$AH404)=0,"",SUM($AE404:$AH404))</f>
        <v/>
      </c>
      <c r="AE404" s="123">
        <f>iferror(IF(SUM($AI404:$AZ404)=0,"",SUM($AI404:$AZ404)),"")</f>
        <v/>
      </c>
      <c r="AF404" s="123">
        <f>iferror(IF(SUM($BA404:$BC404)=0,"",SUM($BA404:$BC404)),"")</f>
        <v/>
      </c>
      <c r="AG404" s="123">
        <f>iferror(IF(SUM($BD404:$BF404)=0,"",SUM($BD404:$BF404)),"")</f>
        <v/>
      </c>
      <c r="AH404" s="124">
        <f>iferror(IF(SUM($BG404:$BI404)=0,"",SUM($BG404:$BI404)),"")</f>
        <v/>
      </c>
      <c r="AI404" s="131" t="n"/>
      <c r="AJ404" s="132" t="n"/>
      <c r="AK404" s="132" t="n"/>
      <c r="AL404" s="132" t="n"/>
      <c r="AM404" s="132" t="n"/>
      <c r="AN404" s="132" t="n"/>
      <c r="AO404" s="132" t="n"/>
      <c r="AP404" s="132" t="n"/>
      <c r="AQ404" s="132" t="n"/>
      <c r="AR404" s="132" t="n"/>
      <c r="AS404" s="132" t="n"/>
      <c r="AT404" s="132" t="n"/>
      <c r="AU404" s="132" t="n"/>
      <c r="AV404" s="132" t="n"/>
      <c r="AW404" s="132" t="n"/>
      <c r="AX404" s="132" t="n"/>
      <c r="AY404" s="132" t="n"/>
      <c r="AZ404" s="133" t="n"/>
      <c r="BA404" s="131" t="n"/>
      <c r="BB404" s="132" t="n"/>
      <c r="BC404" s="133" t="n"/>
      <c r="BD404" s="131" t="n"/>
      <c r="BE404" s="132" t="n"/>
      <c r="BF404" s="133" t="n"/>
      <c r="BG404" s="131" t="n"/>
      <c r="BH404" s="132" t="n"/>
      <c r="BI404" s="132" t="n"/>
      <c r="BJ404" s="128">
        <f>iferror(SUM($BK404,($BL404*1.2),($BM404*1.35),($BN404*0.74)),)</f>
        <v/>
      </c>
      <c r="BK404" s="128">
        <f>IFERROR(SUM($BT404:$CK404),)</f>
        <v/>
      </c>
      <c r="BL404" s="129">
        <f>IFERROR(SUM($CL404:$CN404),)</f>
        <v/>
      </c>
      <c r="BM404" s="130">
        <f>IFERROR(SUM($CO404:$CQ404),)</f>
        <v/>
      </c>
      <c r="BN404" s="128">
        <f>IFERROR(SUM($CR404:$CT404),)</f>
        <v/>
      </c>
      <c r="BO404" s="128">
        <f>iferror(SUM($BP404,($BQ404*1.2),($BR404*1.35),($BS404*0.74)),)</f>
        <v/>
      </c>
      <c r="BP404" s="128">
        <f>IFERROR(SUM($CU404:$DL404),)</f>
        <v/>
      </c>
      <c r="BQ404" s="128">
        <f>IFERROR(SUM($DM404:$DO404),)</f>
        <v/>
      </c>
      <c r="BR404" s="128">
        <f>IFERROR(SUM($DP404:$DR404),)</f>
        <v/>
      </c>
      <c r="BS404" s="128">
        <f>IFERROR(SUM($DS404:$DU404),)</f>
        <v/>
      </c>
      <c r="BT404" s="128">
        <f>IFERROR(AI404*$W404,)</f>
        <v/>
      </c>
      <c r="BU404" s="128">
        <f>IFERROR(AJ404*$W404,)</f>
        <v/>
      </c>
      <c r="BV404" s="128">
        <f>IFERROR(AK404*$W404,)</f>
        <v/>
      </c>
      <c r="BW404" s="128">
        <f>IFERROR(AL404*$W404,)</f>
        <v/>
      </c>
      <c r="BX404" s="128">
        <f>IFERROR(AM404*$W404,)</f>
        <v/>
      </c>
      <c r="BY404" s="128">
        <f>IFERROR(AN404*$W404,)</f>
        <v/>
      </c>
      <c r="BZ404" s="128">
        <f>IFERROR(AO404*$W404,)</f>
        <v/>
      </c>
      <c r="CA404" s="128">
        <f>IFERROR(AP404*$W404,)</f>
        <v/>
      </c>
      <c r="CB404" s="128">
        <f>IFERROR(AQ404*$W404,)</f>
        <v/>
      </c>
      <c r="CC404" s="128">
        <f>IFERROR(AR404*$W404,)</f>
        <v/>
      </c>
      <c r="CD404" s="128">
        <f>IFERROR(AS404*$W404,)</f>
        <v/>
      </c>
      <c r="CE404" s="128">
        <f>IFERROR(AT404*$W404,)</f>
        <v/>
      </c>
      <c r="CF404" s="128">
        <f>IFERROR(AU404*$W404,)</f>
        <v/>
      </c>
      <c r="CG404" s="128">
        <f>IFERROR(AV404*$W404,)</f>
        <v/>
      </c>
      <c r="CH404" s="128">
        <f>IFERROR(AW404*$W404,)</f>
        <v/>
      </c>
      <c r="CI404" s="128">
        <f>IFERROR(AX404*$W404,)</f>
        <v/>
      </c>
      <c r="CJ404" s="128">
        <f>IFERROR(AY404*$W404,)</f>
        <v/>
      </c>
      <c r="CK404" s="128">
        <f>IFERROR(AZ404*$W404,)</f>
        <v/>
      </c>
      <c r="CL404" s="129">
        <f>IFERROR(if($Y404=0,BA404*($W404/1.2),BA404*$Y404),"")</f>
        <v/>
      </c>
      <c r="CM404" s="129">
        <f>IFERROR(if($Y404=0,BB404*($W404/1.2),BB404*$Y404),"")</f>
        <v/>
      </c>
      <c r="CN404" s="129">
        <f>IFERROR(if($Y404=0,BC404*($W404/1.2),BC404*$Y404),"")</f>
        <v/>
      </c>
      <c r="CO404" s="130">
        <f>IFERROR(if($AA404=0,($W404/1.35)*BD404,BD404*$AA404),)</f>
        <v/>
      </c>
      <c r="CP404" s="130">
        <f>IFERROR(if($AA404=0,($W404/1.35)*BE404,BE404*$AA404),)</f>
        <v/>
      </c>
      <c r="CQ404" s="130">
        <f>IFERROR(if($AA404=0,($W404/1.35)*BF404,BF404*$AA404),)</f>
        <v/>
      </c>
      <c r="CR404" s="128">
        <f>IFERROR(if($AC404=0,($W404/0.74)*BG404,
BG404*$AC404),)</f>
        <v/>
      </c>
      <c r="CS404" s="128">
        <f>IFERROR(if($AC404=0,($W404/0.74)*BH404,
BH404*$AC404),)</f>
        <v/>
      </c>
      <c r="CT404" s="128">
        <f>IFERROR(if($AC404=0,($W404/0.74)*BI404,
BI404*$AC404),)</f>
        <v/>
      </c>
      <c r="CU404" s="128">
        <f>IFERROR(AI404*$V404,)</f>
        <v/>
      </c>
      <c r="CV404" s="128">
        <f>IFERROR(AJ404*$V404,)</f>
        <v/>
      </c>
      <c r="CW404" s="128">
        <f>IFERROR(AK404*$V404,)</f>
        <v/>
      </c>
      <c r="CX404" s="128">
        <f>IFERROR(AL404*$V404,)</f>
        <v/>
      </c>
      <c r="CY404" s="128">
        <f>IFERROR(AM404*$V404,)</f>
        <v/>
      </c>
      <c r="CZ404" s="128">
        <f>IFERROR(AN404*$V404,)</f>
        <v/>
      </c>
      <c r="DA404" s="128">
        <f>IFERROR(AO404*$V404,)</f>
        <v/>
      </c>
      <c r="DB404" s="128">
        <f>IFERROR(AP404*$V404,)</f>
        <v/>
      </c>
      <c r="DC404" s="128">
        <f>IFERROR(AQ404*$V404,)</f>
        <v/>
      </c>
      <c r="DD404" s="128">
        <f>IFERROR(AR404*$V404,)</f>
        <v/>
      </c>
      <c r="DE404" s="128">
        <f>IFERROR(AS404*$V404,)</f>
        <v/>
      </c>
      <c r="DF404" s="128">
        <f>IFERROR(AT404*$V404,)</f>
        <v/>
      </c>
      <c r="DG404" s="128">
        <f>IFERROR(AU404*$V404,)</f>
        <v/>
      </c>
      <c r="DH404" s="128">
        <f>IFERROR(AV404*$V404,)</f>
        <v/>
      </c>
      <c r="DI404" s="128">
        <f>IFERROR(AW404*$V404,)</f>
        <v/>
      </c>
      <c r="DJ404" s="128">
        <f>IFERROR(AX404*$V404,)</f>
        <v/>
      </c>
      <c r="DK404" s="128">
        <f>IFERROR(AY404*$V404,)</f>
        <v/>
      </c>
      <c r="DL404" s="128">
        <f>IFERROR(AZ404*$V404,)</f>
        <v/>
      </c>
      <c r="DM404" s="129">
        <f>IFERROR(if($X404=0,($V404/1.2)*BA404,
BA404*$X404),)</f>
        <v/>
      </c>
      <c r="DN404" s="129">
        <f>IFERROR(if($X404=0,($V404/1.2)*BB404,
BB404*$X404),)</f>
        <v/>
      </c>
      <c r="DO404" s="129">
        <f>IFERROR(if($X404=0,($V404/1.2)*BC404,
BC404*$X404),)</f>
        <v/>
      </c>
      <c r="DP404" s="130">
        <f>IFERROR(if($Z404=0,($V404/1.35)*BD404,
BD404*$Z404),)</f>
        <v/>
      </c>
      <c r="DQ404" s="130">
        <f>IFERROR(if($Z404=0,($V404/1.35)*BE404,
BE404*$Z404),)</f>
        <v/>
      </c>
      <c r="DR404" s="130">
        <f>IFERROR(if($Z404=0,($V404/1.35)*BF404,
BF404*$Z404),)</f>
        <v/>
      </c>
      <c r="DS404" s="128">
        <f>IFERROR(IF($AB404=0,($V404/0.74)*BG404,
BG404*$AB404),)</f>
        <v/>
      </c>
      <c r="DT404" s="128">
        <f>IFERROR(IF($AB404=0,($V404/0.74)*BH404,
BH404*$AB404),)</f>
        <v/>
      </c>
      <c r="DU404" s="128">
        <f>IFERROR(IF($AB404=0,($V404/0.74)*BI404,
BI404*$AB404),)</f>
        <v/>
      </c>
    </row>
    <row r="405" ht="131.25" customHeight="1" s="162">
      <c r="A405" s="115" t="n"/>
      <c r="B405" s="115" t="n"/>
      <c r="C405" s="115" t="n"/>
      <c r="D405" s="115" t="n"/>
      <c r="E405" s="115" t="n"/>
      <c r="F405" s="115" t="n"/>
      <c r="G405" s="115" t="n"/>
      <c r="H405" s="115" t="n"/>
      <c r="I405" s="115" t="n"/>
      <c r="J405" s="115" t="n"/>
      <c r="K405" s="115" t="n"/>
      <c r="L405" s="115" t="n"/>
      <c r="M405" s="115" t="n"/>
      <c r="N405" s="115" t="n"/>
      <c r="O405" s="115" t="n"/>
      <c r="P405" s="115" t="n"/>
      <c r="Q405" s="115" t="n"/>
      <c r="R405" s="115" t="n"/>
      <c r="S405" s="115" t="n"/>
      <c r="T405" s="115" t="n"/>
      <c r="U405" s="116" t="n"/>
      <c r="V405" s="116" t="n"/>
      <c r="W405" s="117" t="n"/>
      <c r="X405" s="118" t="n"/>
      <c r="Y405" s="119" t="n"/>
      <c r="Z405" s="120" t="n"/>
      <c r="AA405" s="121" t="n"/>
      <c r="AB405" s="122" t="n"/>
      <c r="AC405" s="117" t="n"/>
      <c r="AD405" s="123">
        <f>IF(SUM($AE405:$AH405)=0,"",SUM($AE405:$AH405))</f>
        <v/>
      </c>
      <c r="AE405" s="123">
        <f>iferror(IF(SUM($AI405:$AZ405)=0,"",SUM($AI405:$AZ405)),"")</f>
        <v/>
      </c>
      <c r="AF405" s="123">
        <f>iferror(IF(SUM($BA405:$BC405)=0,"",SUM($BA405:$BC405)),"")</f>
        <v/>
      </c>
      <c r="AG405" s="123">
        <f>iferror(IF(SUM($BD405:$BF405)=0,"",SUM($BD405:$BF405)),"")</f>
        <v/>
      </c>
      <c r="AH405" s="124">
        <f>iferror(IF(SUM($BG405:$BI405)=0,"",SUM($BG405:$BI405)),"")</f>
        <v/>
      </c>
      <c r="AI405" s="131" t="n"/>
      <c r="AJ405" s="132" t="n"/>
      <c r="AK405" s="132" t="n"/>
      <c r="AL405" s="132" t="n"/>
      <c r="AM405" s="132" t="n"/>
      <c r="AN405" s="132" t="n"/>
      <c r="AO405" s="132" t="n"/>
      <c r="AP405" s="132" t="n"/>
      <c r="AQ405" s="132" t="n"/>
      <c r="AR405" s="132" t="n"/>
      <c r="AS405" s="132" t="n"/>
      <c r="AT405" s="132" t="n"/>
      <c r="AU405" s="132" t="n"/>
      <c r="AV405" s="132" t="n"/>
      <c r="AW405" s="132" t="n"/>
      <c r="AX405" s="132" t="n"/>
      <c r="AY405" s="132" t="n"/>
      <c r="AZ405" s="133" t="n"/>
      <c r="BA405" s="131" t="n"/>
      <c r="BB405" s="132" t="n"/>
      <c r="BC405" s="133" t="n"/>
      <c r="BD405" s="131" t="n"/>
      <c r="BE405" s="132" t="n"/>
      <c r="BF405" s="133" t="n"/>
      <c r="BG405" s="131" t="n"/>
      <c r="BH405" s="132" t="n"/>
      <c r="BI405" s="132" t="n"/>
      <c r="BJ405" s="128">
        <f>iferror(SUM($BK405,($BL405*1.2),($BM405*1.35),($BN405*0.74)),)</f>
        <v/>
      </c>
      <c r="BK405" s="128">
        <f>IFERROR(SUM($BT405:$CK405),)</f>
        <v/>
      </c>
      <c r="BL405" s="129">
        <f>IFERROR(SUM($CL405:$CN405),)</f>
        <v/>
      </c>
      <c r="BM405" s="130">
        <f>IFERROR(SUM($CO405:$CQ405),)</f>
        <v/>
      </c>
      <c r="BN405" s="128">
        <f>IFERROR(SUM($CR405:$CT405),)</f>
        <v/>
      </c>
      <c r="BO405" s="128">
        <f>iferror(SUM($BP405,($BQ405*1.2),($BR405*1.35),($BS405*0.74)),)</f>
        <v/>
      </c>
      <c r="BP405" s="128">
        <f>IFERROR(SUM($CU405:$DL405),)</f>
        <v/>
      </c>
      <c r="BQ405" s="128">
        <f>IFERROR(SUM($DM405:$DO405),)</f>
        <v/>
      </c>
      <c r="BR405" s="128">
        <f>IFERROR(SUM($DP405:$DR405),)</f>
        <v/>
      </c>
      <c r="BS405" s="128">
        <f>IFERROR(SUM($DS405:$DU405),)</f>
        <v/>
      </c>
      <c r="BT405" s="128">
        <f>IFERROR(AI405*$W405,)</f>
        <v/>
      </c>
      <c r="BU405" s="128">
        <f>IFERROR(AJ405*$W405,)</f>
        <v/>
      </c>
      <c r="BV405" s="128">
        <f>IFERROR(AK405*$W405,)</f>
        <v/>
      </c>
      <c r="BW405" s="128">
        <f>IFERROR(AL405*$W405,)</f>
        <v/>
      </c>
      <c r="BX405" s="128">
        <f>IFERROR(AM405*$W405,)</f>
        <v/>
      </c>
      <c r="BY405" s="128">
        <f>IFERROR(AN405*$W405,)</f>
        <v/>
      </c>
      <c r="BZ405" s="128">
        <f>IFERROR(AO405*$W405,)</f>
        <v/>
      </c>
      <c r="CA405" s="128">
        <f>IFERROR(AP405*$W405,)</f>
        <v/>
      </c>
      <c r="CB405" s="128">
        <f>IFERROR(AQ405*$W405,)</f>
        <v/>
      </c>
      <c r="CC405" s="128">
        <f>IFERROR(AR405*$W405,)</f>
        <v/>
      </c>
      <c r="CD405" s="128">
        <f>IFERROR(AS405*$W405,)</f>
        <v/>
      </c>
      <c r="CE405" s="128">
        <f>IFERROR(AT405*$W405,)</f>
        <v/>
      </c>
      <c r="CF405" s="128">
        <f>IFERROR(AU405*$W405,)</f>
        <v/>
      </c>
      <c r="CG405" s="128">
        <f>IFERROR(AV405*$W405,)</f>
        <v/>
      </c>
      <c r="CH405" s="128">
        <f>IFERROR(AW405*$W405,)</f>
        <v/>
      </c>
      <c r="CI405" s="128">
        <f>IFERROR(AX405*$W405,)</f>
        <v/>
      </c>
      <c r="CJ405" s="128">
        <f>IFERROR(AY405*$W405,)</f>
        <v/>
      </c>
      <c r="CK405" s="128">
        <f>IFERROR(AZ405*$W405,)</f>
        <v/>
      </c>
      <c r="CL405" s="129">
        <f>IFERROR(if($Y405=0,BA405*($W405/1.2),BA405*$Y405),"")</f>
        <v/>
      </c>
      <c r="CM405" s="129">
        <f>IFERROR(if($Y405=0,BB405*($W405/1.2),BB405*$Y405),"")</f>
        <v/>
      </c>
      <c r="CN405" s="129">
        <f>IFERROR(if($Y405=0,BC405*($W405/1.2),BC405*$Y405),"")</f>
        <v/>
      </c>
      <c r="CO405" s="130">
        <f>IFERROR(if($AA405=0,($W405/1.35)*BD405,BD405*$AA405),)</f>
        <v/>
      </c>
      <c r="CP405" s="130">
        <f>IFERROR(if($AA405=0,($W405/1.35)*BE405,BE405*$AA405),)</f>
        <v/>
      </c>
      <c r="CQ405" s="130">
        <f>IFERROR(if($AA405=0,($W405/1.35)*BF405,BF405*$AA405),)</f>
        <v/>
      </c>
      <c r="CR405" s="128">
        <f>IFERROR(if($AC405=0,($W405/0.74)*BG405,
BG405*$AC405),)</f>
        <v/>
      </c>
      <c r="CS405" s="128">
        <f>IFERROR(if($AC405=0,($W405/0.74)*BH405,
BH405*$AC405),)</f>
        <v/>
      </c>
      <c r="CT405" s="128">
        <f>IFERROR(if($AC405=0,($W405/0.74)*BI405,
BI405*$AC405),)</f>
        <v/>
      </c>
      <c r="CU405" s="128">
        <f>IFERROR(AI405*$V405,)</f>
        <v/>
      </c>
      <c r="CV405" s="128">
        <f>IFERROR(AJ405*$V405,)</f>
        <v/>
      </c>
      <c r="CW405" s="128">
        <f>IFERROR(AK405*$V405,)</f>
        <v/>
      </c>
      <c r="CX405" s="128">
        <f>IFERROR(AL405*$V405,)</f>
        <v/>
      </c>
      <c r="CY405" s="128">
        <f>IFERROR(AM405*$V405,)</f>
        <v/>
      </c>
      <c r="CZ405" s="128">
        <f>IFERROR(AN405*$V405,)</f>
        <v/>
      </c>
      <c r="DA405" s="128">
        <f>IFERROR(AO405*$V405,)</f>
        <v/>
      </c>
      <c r="DB405" s="128">
        <f>IFERROR(AP405*$V405,)</f>
        <v/>
      </c>
      <c r="DC405" s="128">
        <f>IFERROR(AQ405*$V405,)</f>
        <v/>
      </c>
      <c r="DD405" s="128">
        <f>IFERROR(AR405*$V405,)</f>
        <v/>
      </c>
      <c r="DE405" s="128">
        <f>IFERROR(AS405*$V405,)</f>
        <v/>
      </c>
      <c r="DF405" s="128">
        <f>IFERROR(AT405*$V405,)</f>
        <v/>
      </c>
      <c r="DG405" s="128">
        <f>IFERROR(AU405*$V405,)</f>
        <v/>
      </c>
      <c r="DH405" s="128">
        <f>IFERROR(AV405*$V405,)</f>
        <v/>
      </c>
      <c r="DI405" s="128">
        <f>IFERROR(AW405*$V405,)</f>
        <v/>
      </c>
      <c r="DJ405" s="128">
        <f>IFERROR(AX405*$V405,)</f>
        <v/>
      </c>
      <c r="DK405" s="128">
        <f>IFERROR(AY405*$V405,)</f>
        <v/>
      </c>
      <c r="DL405" s="128">
        <f>IFERROR(AZ405*$V405,)</f>
        <v/>
      </c>
      <c r="DM405" s="129">
        <f>IFERROR(if($X405=0,($V405/1.2)*BA405,
BA405*$X405),)</f>
        <v/>
      </c>
      <c r="DN405" s="129">
        <f>IFERROR(if($X405=0,($V405/1.2)*BB405,
BB405*$X405),)</f>
        <v/>
      </c>
      <c r="DO405" s="129">
        <f>IFERROR(if($X405=0,($V405/1.2)*BC405,
BC405*$X405),)</f>
        <v/>
      </c>
      <c r="DP405" s="130">
        <f>IFERROR(if($Z405=0,($V405/1.35)*BD405,
BD405*$Z405),)</f>
        <v/>
      </c>
      <c r="DQ405" s="130">
        <f>IFERROR(if($Z405=0,($V405/1.35)*BE405,
BE405*$Z405),)</f>
        <v/>
      </c>
      <c r="DR405" s="130">
        <f>IFERROR(if($Z405=0,($V405/1.35)*BF405,
BF405*$Z405),)</f>
        <v/>
      </c>
      <c r="DS405" s="128">
        <f>IFERROR(IF($AB405=0,($V405/0.74)*BG405,
BG405*$AB405),)</f>
        <v/>
      </c>
      <c r="DT405" s="128">
        <f>IFERROR(IF($AB405=0,($V405/0.74)*BH405,
BH405*$AB405),)</f>
        <v/>
      </c>
      <c r="DU405" s="128">
        <f>IFERROR(IF($AB405=0,($V405/0.74)*BI405,
BI405*$AB405),)</f>
        <v/>
      </c>
    </row>
    <row r="406" ht="131.25" customHeight="1" s="162">
      <c r="A406" s="115" t="n"/>
      <c r="B406" s="115" t="n"/>
      <c r="C406" s="115" t="n"/>
      <c r="D406" s="115" t="n"/>
      <c r="E406" s="115" t="n"/>
      <c r="F406" s="115" t="n"/>
      <c r="G406" s="115" t="n"/>
      <c r="H406" s="115" t="n"/>
      <c r="I406" s="115" t="n"/>
      <c r="J406" s="115" t="n"/>
      <c r="K406" s="115" t="n"/>
      <c r="L406" s="115" t="n"/>
      <c r="M406" s="115" t="n"/>
      <c r="N406" s="115" t="n"/>
      <c r="O406" s="115" t="n"/>
      <c r="P406" s="115" t="n"/>
      <c r="Q406" s="115" t="n"/>
      <c r="R406" s="115" t="n"/>
      <c r="S406" s="115" t="n"/>
      <c r="T406" s="115" t="n"/>
      <c r="U406" s="116" t="n"/>
      <c r="V406" s="116" t="n"/>
      <c r="W406" s="117" t="n"/>
      <c r="X406" s="118" t="n"/>
      <c r="Y406" s="119" t="n"/>
      <c r="Z406" s="120" t="n"/>
      <c r="AA406" s="121" t="n"/>
      <c r="AB406" s="122" t="n"/>
      <c r="AC406" s="117" t="n"/>
      <c r="AD406" s="123">
        <f>IF(SUM($AE406:$AH406)=0,"",SUM($AE406:$AH406))</f>
        <v/>
      </c>
      <c r="AE406" s="123">
        <f>iferror(IF(SUM($AI406:$AZ406)=0,"",SUM($AI406:$AZ406)),"")</f>
        <v/>
      </c>
      <c r="AF406" s="123">
        <f>iferror(IF(SUM($BA406:$BC406)=0,"",SUM($BA406:$BC406)),"")</f>
        <v/>
      </c>
      <c r="AG406" s="123">
        <f>iferror(IF(SUM($BD406:$BF406)=0,"",SUM($BD406:$BF406)),"")</f>
        <v/>
      </c>
      <c r="AH406" s="124">
        <f>iferror(IF(SUM($BG406:$BI406)=0,"",SUM($BG406:$BI406)),"")</f>
        <v/>
      </c>
      <c r="AI406" s="131" t="n"/>
      <c r="AJ406" s="132" t="n"/>
      <c r="AK406" s="132" t="n"/>
      <c r="AL406" s="132" t="n"/>
      <c r="AM406" s="132" t="n"/>
      <c r="AN406" s="132" t="n"/>
      <c r="AO406" s="132" t="n"/>
      <c r="AP406" s="132" t="n"/>
      <c r="AQ406" s="132" t="n"/>
      <c r="AR406" s="132" t="n"/>
      <c r="AS406" s="132" t="n"/>
      <c r="AT406" s="132" t="n"/>
      <c r="AU406" s="132" t="n"/>
      <c r="AV406" s="132" t="n"/>
      <c r="AW406" s="132" t="n"/>
      <c r="AX406" s="132" t="n"/>
      <c r="AY406" s="132" t="n"/>
      <c r="AZ406" s="133" t="n"/>
      <c r="BA406" s="131" t="n"/>
      <c r="BB406" s="132" t="n"/>
      <c r="BC406" s="133" t="n"/>
      <c r="BD406" s="131" t="n"/>
      <c r="BE406" s="132" t="n"/>
      <c r="BF406" s="133" t="n"/>
      <c r="BG406" s="131" t="n"/>
      <c r="BH406" s="132" t="n"/>
      <c r="BI406" s="132" t="n"/>
      <c r="BJ406" s="128">
        <f>iferror(SUM($BK406,($BL406*1.2),($BM406*1.35),($BN406*0.74)),)</f>
        <v/>
      </c>
      <c r="BK406" s="128">
        <f>IFERROR(SUM($BT406:$CK406),)</f>
        <v/>
      </c>
      <c r="BL406" s="129">
        <f>IFERROR(SUM($CL406:$CN406),)</f>
        <v/>
      </c>
      <c r="BM406" s="130">
        <f>IFERROR(SUM($CO406:$CQ406),)</f>
        <v/>
      </c>
      <c r="BN406" s="128">
        <f>IFERROR(SUM($CR406:$CT406),)</f>
        <v/>
      </c>
      <c r="BO406" s="128">
        <f>iferror(SUM($BP406,($BQ406*1.2),($BR406*1.35),($BS406*0.74)),)</f>
        <v/>
      </c>
      <c r="BP406" s="128">
        <f>IFERROR(SUM($CU406:$DL406),)</f>
        <v/>
      </c>
      <c r="BQ406" s="128">
        <f>IFERROR(SUM($DM406:$DO406),)</f>
        <v/>
      </c>
      <c r="BR406" s="128">
        <f>IFERROR(SUM($DP406:$DR406),)</f>
        <v/>
      </c>
      <c r="BS406" s="128">
        <f>IFERROR(SUM($DS406:$DU406),)</f>
        <v/>
      </c>
      <c r="BT406" s="128">
        <f>IFERROR(AI406*$W406,)</f>
        <v/>
      </c>
      <c r="BU406" s="128">
        <f>IFERROR(AJ406*$W406,)</f>
        <v/>
      </c>
      <c r="BV406" s="128">
        <f>IFERROR(AK406*$W406,)</f>
        <v/>
      </c>
      <c r="BW406" s="128">
        <f>IFERROR(AL406*$W406,)</f>
        <v/>
      </c>
      <c r="BX406" s="128">
        <f>IFERROR(AM406*$W406,)</f>
        <v/>
      </c>
      <c r="BY406" s="128">
        <f>IFERROR(AN406*$W406,)</f>
        <v/>
      </c>
      <c r="BZ406" s="128">
        <f>IFERROR(AO406*$W406,)</f>
        <v/>
      </c>
      <c r="CA406" s="128">
        <f>IFERROR(AP406*$W406,)</f>
        <v/>
      </c>
      <c r="CB406" s="128">
        <f>IFERROR(AQ406*$W406,)</f>
        <v/>
      </c>
      <c r="CC406" s="128">
        <f>IFERROR(AR406*$W406,)</f>
        <v/>
      </c>
      <c r="CD406" s="128">
        <f>IFERROR(AS406*$W406,)</f>
        <v/>
      </c>
      <c r="CE406" s="128">
        <f>IFERROR(AT406*$W406,)</f>
        <v/>
      </c>
      <c r="CF406" s="128">
        <f>IFERROR(AU406*$W406,)</f>
        <v/>
      </c>
      <c r="CG406" s="128">
        <f>IFERROR(AV406*$W406,)</f>
        <v/>
      </c>
      <c r="CH406" s="128">
        <f>IFERROR(AW406*$W406,)</f>
        <v/>
      </c>
      <c r="CI406" s="128">
        <f>IFERROR(AX406*$W406,)</f>
        <v/>
      </c>
      <c r="CJ406" s="128">
        <f>IFERROR(AY406*$W406,)</f>
        <v/>
      </c>
      <c r="CK406" s="128">
        <f>IFERROR(AZ406*$W406,)</f>
        <v/>
      </c>
      <c r="CL406" s="129">
        <f>IFERROR(if($Y406=0,BA406*($W406/1.2),BA406*$Y406),"")</f>
        <v/>
      </c>
      <c r="CM406" s="129">
        <f>IFERROR(if($Y406=0,BB406*($W406/1.2),BB406*$Y406),"")</f>
        <v/>
      </c>
      <c r="CN406" s="129">
        <f>IFERROR(if($Y406=0,BC406*($W406/1.2),BC406*$Y406),"")</f>
        <v/>
      </c>
      <c r="CO406" s="130">
        <f>IFERROR(if($AA406=0,($W406/1.35)*BD406,BD406*$AA406),)</f>
        <v/>
      </c>
      <c r="CP406" s="130">
        <f>IFERROR(if($AA406=0,($W406/1.35)*BE406,BE406*$AA406),)</f>
        <v/>
      </c>
      <c r="CQ406" s="130">
        <f>IFERROR(if($AA406=0,($W406/1.35)*BF406,BF406*$AA406),)</f>
        <v/>
      </c>
      <c r="CR406" s="128">
        <f>IFERROR(if($AC406=0,($W406/0.74)*BG406,
BG406*$AC406),)</f>
        <v/>
      </c>
      <c r="CS406" s="128">
        <f>IFERROR(if($AC406=0,($W406/0.74)*BH406,
BH406*$AC406),)</f>
        <v/>
      </c>
      <c r="CT406" s="128">
        <f>IFERROR(if($AC406=0,($W406/0.74)*BI406,
BI406*$AC406),)</f>
        <v/>
      </c>
      <c r="CU406" s="128">
        <f>IFERROR(AI406*$V406,)</f>
        <v/>
      </c>
      <c r="CV406" s="128">
        <f>IFERROR(AJ406*$V406,)</f>
        <v/>
      </c>
      <c r="CW406" s="128">
        <f>IFERROR(AK406*$V406,)</f>
        <v/>
      </c>
      <c r="CX406" s="128">
        <f>IFERROR(AL406*$V406,)</f>
        <v/>
      </c>
      <c r="CY406" s="128">
        <f>IFERROR(AM406*$V406,)</f>
        <v/>
      </c>
      <c r="CZ406" s="128">
        <f>IFERROR(AN406*$V406,)</f>
        <v/>
      </c>
      <c r="DA406" s="128">
        <f>IFERROR(AO406*$V406,)</f>
        <v/>
      </c>
      <c r="DB406" s="128">
        <f>IFERROR(AP406*$V406,)</f>
        <v/>
      </c>
      <c r="DC406" s="128">
        <f>IFERROR(AQ406*$V406,)</f>
        <v/>
      </c>
      <c r="DD406" s="128">
        <f>IFERROR(AR406*$V406,)</f>
        <v/>
      </c>
      <c r="DE406" s="128">
        <f>IFERROR(AS406*$V406,)</f>
        <v/>
      </c>
      <c r="DF406" s="128">
        <f>IFERROR(AT406*$V406,)</f>
        <v/>
      </c>
      <c r="DG406" s="128">
        <f>IFERROR(AU406*$V406,)</f>
        <v/>
      </c>
      <c r="DH406" s="128">
        <f>IFERROR(AV406*$V406,)</f>
        <v/>
      </c>
      <c r="DI406" s="128">
        <f>IFERROR(AW406*$V406,)</f>
        <v/>
      </c>
      <c r="DJ406" s="128">
        <f>IFERROR(AX406*$V406,)</f>
        <v/>
      </c>
      <c r="DK406" s="128">
        <f>IFERROR(AY406*$V406,)</f>
        <v/>
      </c>
      <c r="DL406" s="128">
        <f>IFERROR(AZ406*$V406,)</f>
        <v/>
      </c>
      <c r="DM406" s="129">
        <f>IFERROR(if($X406=0,($V406/1.2)*BA406,
BA406*$X406),)</f>
        <v/>
      </c>
      <c r="DN406" s="129">
        <f>IFERROR(if($X406=0,($V406/1.2)*BB406,
BB406*$X406),)</f>
        <v/>
      </c>
      <c r="DO406" s="129">
        <f>IFERROR(if($X406=0,($V406/1.2)*BC406,
BC406*$X406),)</f>
        <v/>
      </c>
      <c r="DP406" s="130">
        <f>IFERROR(if($Z406=0,($V406/1.35)*BD406,
BD406*$Z406),)</f>
        <v/>
      </c>
      <c r="DQ406" s="130">
        <f>IFERROR(if($Z406=0,($V406/1.35)*BE406,
BE406*$Z406),)</f>
        <v/>
      </c>
      <c r="DR406" s="130">
        <f>IFERROR(if($Z406=0,($V406/1.35)*BF406,
BF406*$Z406),)</f>
        <v/>
      </c>
      <c r="DS406" s="128">
        <f>IFERROR(IF($AB406=0,($V406/0.74)*BG406,
BG406*$AB406),)</f>
        <v/>
      </c>
      <c r="DT406" s="128">
        <f>IFERROR(IF($AB406=0,($V406/0.74)*BH406,
BH406*$AB406),)</f>
        <v/>
      </c>
      <c r="DU406" s="128">
        <f>IFERROR(IF($AB406=0,($V406/0.74)*BI406,
BI406*$AB406),)</f>
        <v/>
      </c>
    </row>
    <row r="407" ht="131.25" customHeight="1" s="162">
      <c r="A407" s="115" t="n"/>
      <c r="B407" s="115" t="n"/>
      <c r="C407" s="115" t="n"/>
      <c r="D407" s="115" t="n"/>
      <c r="E407" s="115" t="n"/>
      <c r="F407" s="115" t="n"/>
      <c r="G407" s="115" t="n"/>
      <c r="H407" s="115" t="n"/>
      <c r="I407" s="115" t="n"/>
      <c r="J407" s="115" t="n"/>
      <c r="K407" s="115" t="n"/>
      <c r="L407" s="115" t="n"/>
      <c r="M407" s="115" t="n"/>
      <c r="N407" s="115" t="n"/>
      <c r="O407" s="115" t="n"/>
      <c r="P407" s="115" t="n"/>
      <c r="Q407" s="115" t="n"/>
      <c r="R407" s="115" t="n"/>
      <c r="S407" s="115" t="n"/>
      <c r="T407" s="115" t="n"/>
      <c r="U407" s="116" t="n"/>
      <c r="V407" s="116" t="n"/>
      <c r="W407" s="117" t="n"/>
      <c r="X407" s="118" t="n"/>
      <c r="Y407" s="119" t="n"/>
      <c r="Z407" s="120" t="n"/>
      <c r="AA407" s="121" t="n"/>
      <c r="AB407" s="122" t="n"/>
      <c r="AC407" s="117" t="n"/>
      <c r="AD407" s="123">
        <f>IF(SUM($AE407:$AH407)=0,"",SUM($AE407:$AH407))</f>
        <v/>
      </c>
      <c r="AE407" s="123">
        <f>iferror(IF(SUM($AI407:$AZ407)=0,"",SUM($AI407:$AZ407)),"")</f>
        <v/>
      </c>
      <c r="AF407" s="123">
        <f>iferror(IF(SUM($BA407:$BC407)=0,"",SUM($BA407:$BC407)),"")</f>
        <v/>
      </c>
      <c r="AG407" s="123">
        <f>iferror(IF(SUM($BD407:$BF407)=0,"",SUM($BD407:$BF407)),"")</f>
        <v/>
      </c>
      <c r="AH407" s="124">
        <f>iferror(IF(SUM($BG407:$BI407)=0,"",SUM($BG407:$BI407)),"")</f>
        <v/>
      </c>
      <c r="AI407" s="131" t="n"/>
      <c r="AJ407" s="132" t="n"/>
      <c r="AK407" s="132" t="n"/>
      <c r="AL407" s="132" t="n"/>
      <c r="AM407" s="132" t="n"/>
      <c r="AN407" s="132" t="n"/>
      <c r="AO407" s="132" t="n"/>
      <c r="AP407" s="132" t="n"/>
      <c r="AQ407" s="132" t="n"/>
      <c r="AR407" s="132" t="n"/>
      <c r="AS407" s="132" t="n"/>
      <c r="AT407" s="132" t="n"/>
      <c r="AU407" s="132" t="n"/>
      <c r="AV407" s="132" t="n"/>
      <c r="AW407" s="132" t="n"/>
      <c r="AX407" s="132" t="n"/>
      <c r="AY407" s="132" t="n"/>
      <c r="AZ407" s="133" t="n"/>
      <c r="BA407" s="131" t="n"/>
      <c r="BB407" s="132" t="n"/>
      <c r="BC407" s="133" t="n"/>
      <c r="BD407" s="131" t="n"/>
      <c r="BE407" s="132" t="n"/>
      <c r="BF407" s="133" t="n"/>
      <c r="BG407" s="131" t="n"/>
      <c r="BH407" s="132" t="n"/>
      <c r="BI407" s="132" t="n"/>
      <c r="BJ407" s="128">
        <f>iferror(SUM($BK407,($BL407*1.2),($BM407*1.35),($BN407*0.74)),)</f>
        <v/>
      </c>
      <c r="BK407" s="128">
        <f>IFERROR(SUM($BT407:$CK407),)</f>
        <v/>
      </c>
      <c r="BL407" s="129">
        <f>IFERROR(SUM($CL407:$CN407),)</f>
        <v/>
      </c>
      <c r="BM407" s="130">
        <f>IFERROR(SUM($CO407:$CQ407),)</f>
        <v/>
      </c>
      <c r="BN407" s="128">
        <f>IFERROR(SUM($CR407:$CT407),)</f>
        <v/>
      </c>
      <c r="BO407" s="128">
        <f>iferror(SUM($BP407,($BQ407*1.2),($BR407*1.35),($BS407*0.74)),)</f>
        <v/>
      </c>
      <c r="BP407" s="128">
        <f>IFERROR(SUM($CU407:$DL407),)</f>
        <v/>
      </c>
      <c r="BQ407" s="128">
        <f>IFERROR(SUM($DM407:$DO407),)</f>
        <v/>
      </c>
      <c r="BR407" s="128">
        <f>IFERROR(SUM($DP407:$DR407),)</f>
        <v/>
      </c>
      <c r="BS407" s="128">
        <f>IFERROR(SUM($DS407:$DU407),)</f>
        <v/>
      </c>
      <c r="BT407" s="128">
        <f>IFERROR(AI407*$W407,)</f>
        <v/>
      </c>
      <c r="BU407" s="128">
        <f>IFERROR(AJ407*$W407,)</f>
        <v/>
      </c>
      <c r="BV407" s="128">
        <f>IFERROR(AK407*$W407,)</f>
        <v/>
      </c>
      <c r="BW407" s="128">
        <f>IFERROR(AL407*$W407,)</f>
        <v/>
      </c>
      <c r="BX407" s="128">
        <f>IFERROR(AM407*$W407,)</f>
        <v/>
      </c>
      <c r="BY407" s="128">
        <f>IFERROR(AN407*$W407,)</f>
        <v/>
      </c>
      <c r="BZ407" s="128">
        <f>IFERROR(AO407*$W407,)</f>
        <v/>
      </c>
      <c r="CA407" s="128">
        <f>IFERROR(AP407*$W407,)</f>
        <v/>
      </c>
      <c r="CB407" s="128">
        <f>IFERROR(AQ407*$W407,)</f>
        <v/>
      </c>
      <c r="CC407" s="128">
        <f>IFERROR(AR407*$W407,)</f>
        <v/>
      </c>
      <c r="CD407" s="128">
        <f>IFERROR(AS407*$W407,)</f>
        <v/>
      </c>
      <c r="CE407" s="128">
        <f>IFERROR(AT407*$W407,)</f>
        <v/>
      </c>
      <c r="CF407" s="128">
        <f>IFERROR(AU407*$W407,)</f>
        <v/>
      </c>
      <c r="CG407" s="128">
        <f>IFERROR(AV407*$W407,)</f>
        <v/>
      </c>
      <c r="CH407" s="128">
        <f>IFERROR(AW407*$W407,)</f>
        <v/>
      </c>
      <c r="CI407" s="128">
        <f>IFERROR(AX407*$W407,)</f>
        <v/>
      </c>
      <c r="CJ407" s="128">
        <f>IFERROR(AY407*$W407,)</f>
        <v/>
      </c>
      <c r="CK407" s="128">
        <f>IFERROR(AZ407*$W407,)</f>
        <v/>
      </c>
      <c r="CL407" s="129">
        <f>IFERROR(if($Y407=0,BA407*($W407/1.2),BA407*$Y407),"")</f>
        <v/>
      </c>
      <c r="CM407" s="129">
        <f>IFERROR(if($Y407=0,BB407*($W407/1.2),BB407*$Y407),"")</f>
        <v/>
      </c>
      <c r="CN407" s="129">
        <f>IFERROR(if($Y407=0,BC407*($W407/1.2),BC407*$Y407),"")</f>
        <v/>
      </c>
      <c r="CO407" s="130">
        <f>IFERROR(if($AA407=0,($W407/1.35)*BD407,BD407*$AA407),)</f>
        <v/>
      </c>
      <c r="CP407" s="130">
        <f>IFERROR(if($AA407=0,($W407/1.35)*BE407,BE407*$AA407),)</f>
        <v/>
      </c>
      <c r="CQ407" s="130">
        <f>IFERROR(if($AA407=0,($W407/1.35)*BF407,BF407*$AA407),)</f>
        <v/>
      </c>
      <c r="CR407" s="128">
        <f>IFERROR(if($AC407=0,($W407/0.74)*BG407,
BG407*$AC407),)</f>
        <v/>
      </c>
      <c r="CS407" s="128">
        <f>IFERROR(if($AC407=0,($W407/0.74)*BH407,
BH407*$AC407),)</f>
        <v/>
      </c>
      <c r="CT407" s="128">
        <f>IFERROR(if($AC407=0,($W407/0.74)*BI407,
BI407*$AC407),)</f>
        <v/>
      </c>
      <c r="CU407" s="128">
        <f>IFERROR(AI407*$V407,)</f>
        <v/>
      </c>
      <c r="CV407" s="128">
        <f>IFERROR(AJ407*$V407,)</f>
        <v/>
      </c>
      <c r="CW407" s="128">
        <f>IFERROR(AK407*$V407,)</f>
        <v/>
      </c>
      <c r="CX407" s="128">
        <f>IFERROR(AL407*$V407,)</f>
        <v/>
      </c>
      <c r="CY407" s="128">
        <f>IFERROR(AM407*$V407,)</f>
        <v/>
      </c>
      <c r="CZ407" s="128">
        <f>IFERROR(AN407*$V407,)</f>
        <v/>
      </c>
      <c r="DA407" s="128">
        <f>IFERROR(AO407*$V407,)</f>
        <v/>
      </c>
      <c r="DB407" s="128">
        <f>IFERROR(AP407*$V407,)</f>
        <v/>
      </c>
      <c r="DC407" s="128">
        <f>IFERROR(AQ407*$V407,)</f>
        <v/>
      </c>
      <c r="DD407" s="128">
        <f>IFERROR(AR407*$V407,)</f>
        <v/>
      </c>
      <c r="DE407" s="128">
        <f>IFERROR(AS407*$V407,)</f>
        <v/>
      </c>
      <c r="DF407" s="128">
        <f>IFERROR(AT407*$V407,)</f>
        <v/>
      </c>
      <c r="DG407" s="128">
        <f>IFERROR(AU407*$V407,)</f>
        <v/>
      </c>
      <c r="DH407" s="128">
        <f>IFERROR(AV407*$V407,)</f>
        <v/>
      </c>
      <c r="DI407" s="128">
        <f>IFERROR(AW407*$V407,)</f>
        <v/>
      </c>
      <c r="DJ407" s="128">
        <f>IFERROR(AX407*$V407,)</f>
        <v/>
      </c>
      <c r="DK407" s="128">
        <f>IFERROR(AY407*$V407,)</f>
        <v/>
      </c>
      <c r="DL407" s="128">
        <f>IFERROR(AZ407*$V407,)</f>
        <v/>
      </c>
      <c r="DM407" s="129">
        <f>IFERROR(if($X407=0,($V407/1.2)*BA407,
BA407*$X407),)</f>
        <v/>
      </c>
      <c r="DN407" s="129">
        <f>IFERROR(if($X407=0,($V407/1.2)*BB407,
BB407*$X407),)</f>
        <v/>
      </c>
      <c r="DO407" s="129">
        <f>IFERROR(if($X407=0,($V407/1.2)*BC407,
BC407*$X407),)</f>
        <v/>
      </c>
      <c r="DP407" s="130">
        <f>IFERROR(if($Z407=0,($V407/1.35)*BD407,
BD407*$Z407),)</f>
        <v/>
      </c>
      <c r="DQ407" s="130">
        <f>IFERROR(if($Z407=0,($V407/1.35)*BE407,
BE407*$Z407),)</f>
        <v/>
      </c>
      <c r="DR407" s="130">
        <f>IFERROR(if($Z407=0,($V407/1.35)*BF407,
BF407*$Z407),)</f>
        <v/>
      </c>
      <c r="DS407" s="128">
        <f>IFERROR(IF($AB407=0,($V407/0.74)*BG407,
BG407*$AB407),)</f>
        <v/>
      </c>
      <c r="DT407" s="128">
        <f>IFERROR(IF($AB407=0,($V407/0.74)*BH407,
BH407*$AB407),)</f>
        <v/>
      </c>
      <c r="DU407" s="128">
        <f>IFERROR(IF($AB407=0,($V407/0.74)*BI407,
BI407*$AB407),)</f>
        <v/>
      </c>
    </row>
    <row r="408" ht="131.25" customHeight="1" s="162">
      <c r="A408" s="115" t="n"/>
      <c r="B408" s="115" t="n"/>
      <c r="C408" s="115" t="n"/>
      <c r="D408" s="115" t="n"/>
      <c r="E408" s="115" t="n"/>
      <c r="F408" s="115" t="n"/>
      <c r="G408" s="115" t="n"/>
      <c r="H408" s="115" t="n"/>
      <c r="I408" s="115" t="n"/>
      <c r="J408" s="115" t="n"/>
      <c r="K408" s="115" t="n"/>
      <c r="L408" s="115" t="n"/>
      <c r="M408" s="115" t="n"/>
      <c r="N408" s="115" t="n"/>
      <c r="O408" s="115" t="n"/>
      <c r="P408" s="115" t="n"/>
      <c r="Q408" s="115" t="n"/>
      <c r="R408" s="115" t="n"/>
      <c r="S408" s="115" t="n"/>
      <c r="T408" s="115" t="n"/>
      <c r="U408" s="116" t="n"/>
      <c r="V408" s="116" t="n"/>
      <c r="W408" s="117" t="n"/>
      <c r="X408" s="118" t="n"/>
      <c r="Y408" s="119" t="n"/>
      <c r="Z408" s="120" t="n"/>
      <c r="AA408" s="121" t="n"/>
      <c r="AB408" s="122" t="n"/>
      <c r="AC408" s="117" t="n"/>
      <c r="AD408" s="123">
        <f>IF(SUM($AE408:$AH408)=0,"",SUM($AE408:$AH408))</f>
        <v/>
      </c>
      <c r="AE408" s="123">
        <f>iferror(IF(SUM($AI408:$AZ408)=0,"",SUM($AI408:$AZ408)),"")</f>
        <v/>
      </c>
      <c r="AF408" s="123">
        <f>iferror(IF(SUM($BA408:$BC408)=0,"",SUM($BA408:$BC408)),"")</f>
        <v/>
      </c>
      <c r="AG408" s="123">
        <f>iferror(IF(SUM($BD408:$BF408)=0,"",SUM($BD408:$BF408)),"")</f>
        <v/>
      </c>
      <c r="AH408" s="124">
        <f>iferror(IF(SUM($BG408:$BI408)=0,"",SUM($BG408:$BI408)),"")</f>
        <v/>
      </c>
      <c r="AI408" s="131" t="n"/>
      <c r="AJ408" s="132" t="n"/>
      <c r="AK408" s="132" t="n"/>
      <c r="AL408" s="132" t="n"/>
      <c r="AM408" s="132" t="n"/>
      <c r="AN408" s="132" t="n"/>
      <c r="AO408" s="132" t="n"/>
      <c r="AP408" s="132" t="n"/>
      <c r="AQ408" s="132" t="n"/>
      <c r="AR408" s="132" t="n"/>
      <c r="AS408" s="132" t="n"/>
      <c r="AT408" s="132" t="n"/>
      <c r="AU408" s="132" t="n"/>
      <c r="AV408" s="132" t="n"/>
      <c r="AW408" s="132" t="n"/>
      <c r="AX408" s="132" t="n"/>
      <c r="AY408" s="132" t="n"/>
      <c r="AZ408" s="133" t="n"/>
      <c r="BA408" s="131" t="n"/>
      <c r="BB408" s="132" t="n"/>
      <c r="BC408" s="133" t="n"/>
      <c r="BD408" s="131" t="n"/>
      <c r="BE408" s="132" t="n"/>
      <c r="BF408" s="133" t="n"/>
      <c r="BG408" s="131" t="n"/>
      <c r="BH408" s="132" t="n"/>
      <c r="BI408" s="132" t="n"/>
      <c r="BJ408" s="128">
        <f>iferror(SUM($BK408,($BL408*1.2),($BM408*1.35),($BN408*0.74)),)</f>
        <v/>
      </c>
      <c r="BK408" s="128">
        <f>IFERROR(SUM($BT408:$CK408),)</f>
        <v/>
      </c>
      <c r="BL408" s="129">
        <f>IFERROR(SUM($CL408:$CN408),)</f>
        <v/>
      </c>
      <c r="BM408" s="130">
        <f>IFERROR(SUM($CO408:$CQ408),)</f>
        <v/>
      </c>
      <c r="BN408" s="128">
        <f>IFERROR(SUM($CR408:$CT408),)</f>
        <v/>
      </c>
      <c r="BO408" s="128">
        <f>iferror(SUM($BP408,($BQ408*1.2),($BR408*1.35),($BS408*0.74)),)</f>
        <v/>
      </c>
      <c r="BP408" s="128">
        <f>IFERROR(SUM($CU408:$DL408),)</f>
        <v/>
      </c>
      <c r="BQ408" s="128">
        <f>IFERROR(SUM($DM408:$DO408),)</f>
        <v/>
      </c>
      <c r="BR408" s="128">
        <f>IFERROR(SUM($DP408:$DR408),)</f>
        <v/>
      </c>
      <c r="BS408" s="128">
        <f>IFERROR(SUM($DS408:$DU408),)</f>
        <v/>
      </c>
      <c r="BT408" s="128">
        <f>IFERROR(AI408*$W408,)</f>
        <v/>
      </c>
      <c r="BU408" s="128">
        <f>IFERROR(AJ408*$W408,)</f>
        <v/>
      </c>
      <c r="BV408" s="128">
        <f>IFERROR(AK408*$W408,)</f>
        <v/>
      </c>
      <c r="BW408" s="128">
        <f>IFERROR(AL408*$W408,)</f>
        <v/>
      </c>
      <c r="BX408" s="128">
        <f>IFERROR(AM408*$W408,)</f>
        <v/>
      </c>
      <c r="BY408" s="128">
        <f>IFERROR(AN408*$W408,)</f>
        <v/>
      </c>
      <c r="BZ408" s="128">
        <f>IFERROR(AO408*$W408,)</f>
        <v/>
      </c>
      <c r="CA408" s="128">
        <f>IFERROR(AP408*$W408,)</f>
        <v/>
      </c>
      <c r="CB408" s="128">
        <f>IFERROR(AQ408*$W408,)</f>
        <v/>
      </c>
      <c r="CC408" s="128">
        <f>IFERROR(AR408*$W408,)</f>
        <v/>
      </c>
      <c r="CD408" s="128">
        <f>IFERROR(AS408*$W408,)</f>
        <v/>
      </c>
      <c r="CE408" s="128">
        <f>IFERROR(AT408*$W408,)</f>
        <v/>
      </c>
      <c r="CF408" s="128">
        <f>IFERROR(AU408*$W408,)</f>
        <v/>
      </c>
      <c r="CG408" s="128">
        <f>IFERROR(AV408*$W408,)</f>
        <v/>
      </c>
      <c r="CH408" s="128">
        <f>IFERROR(AW408*$W408,)</f>
        <v/>
      </c>
      <c r="CI408" s="128">
        <f>IFERROR(AX408*$W408,)</f>
        <v/>
      </c>
      <c r="CJ408" s="128">
        <f>IFERROR(AY408*$W408,)</f>
        <v/>
      </c>
      <c r="CK408" s="128">
        <f>IFERROR(AZ408*$W408,)</f>
        <v/>
      </c>
      <c r="CL408" s="129">
        <f>IFERROR(if($Y408=0,BA408*($W408/1.2),BA408*$Y408),"")</f>
        <v/>
      </c>
      <c r="CM408" s="129">
        <f>IFERROR(if($Y408=0,BB408*($W408/1.2),BB408*$Y408),"")</f>
        <v/>
      </c>
      <c r="CN408" s="129">
        <f>IFERROR(if($Y408=0,BC408*($W408/1.2),BC408*$Y408),"")</f>
        <v/>
      </c>
      <c r="CO408" s="130">
        <f>IFERROR(if($AA408=0,($W408/1.35)*BD408,BD408*$AA408),)</f>
        <v/>
      </c>
      <c r="CP408" s="130">
        <f>IFERROR(if($AA408=0,($W408/1.35)*BE408,BE408*$AA408),)</f>
        <v/>
      </c>
      <c r="CQ408" s="130">
        <f>IFERROR(if($AA408=0,($W408/1.35)*BF408,BF408*$AA408),)</f>
        <v/>
      </c>
      <c r="CR408" s="128">
        <f>IFERROR(if($AC408=0,($W408/0.74)*BG408,
BG408*$AC408),)</f>
        <v/>
      </c>
      <c r="CS408" s="128">
        <f>IFERROR(if($AC408=0,($W408/0.74)*BH408,
BH408*$AC408),)</f>
        <v/>
      </c>
      <c r="CT408" s="128">
        <f>IFERROR(if($AC408=0,($W408/0.74)*BI408,
BI408*$AC408),)</f>
        <v/>
      </c>
      <c r="CU408" s="128">
        <f>IFERROR(AI408*$V408,)</f>
        <v/>
      </c>
      <c r="CV408" s="128">
        <f>IFERROR(AJ408*$V408,)</f>
        <v/>
      </c>
      <c r="CW408" s="128">
        <f>IFERROR(AK408*$V408,)</f>
        <v/>
      </c>
      <c r="CX408" s="128">
        <f>IFERROR(AL408*$V408,)</f>
        <v/>
      </c>
      <c r="CY408" s="128">
        <f>IFERROR(AM408*$V408,)</f>
        <v/>
      </c>
      <c r="CZ408" s="128">
        <f>IFERROR(AN408*$V408,)</f>
        <v/>
      </c>
      <c r="DA408" s="128">
        <f>IFERROR(AO408*$V408,)</f>
        <v/>
      </c>
      <c r="DB408" s="128">
        <f>IFERROR(AP408*$V408,)</f>
        <v/>
      </c>
      <c r="DC408" s="128">
        <f>IFERROR(AQ408*$V408,)</f>
        <v/>
      </c>
      <c r="DD408" s="128">
        <f>IFERROR(AR408*$V408,)</f>
        <v/>
      </c>
      <c r="DE408" s="128">
        <f>IFERROR(AS408*$V408,)</f>
        <v/>
      </c>
      <c r="DF408" s="128">
        <f>IFERROR(AT408*$V408,)</f>
        <v/>
      </c>
      <c r="DG408" s="128">
        <f>IFERROR(AU408*$V408,)</f>
        <v/>
      </c>
      <c r="DH408" s="128">
        <f>IFERROR(AV408*$V408,)</f>
        <v/>
      </c>
      <c r="DI408" s="128">
        <f>IFERROR(AW408*$V408,)</f>
        <v/>
      </c>
      <c r="DJ408" s="128">
        <f>IFERROR(AX408*$V408,)</f>
        <v/>
      </c>
      <c r="DK408" s="128">
        <f>IFERROR(AY408*$V408,)</f>
        <v/>
      </c>
      <c r="DL408" s="128">
        <f>IFERROR(AZ408*$V408,)</f>
        <v/>
      </c>
      <c r="DM408" s="129">
        <f>IFERROR(if($X408=0,($V408/1.2)*BA408,
BA408*$X408),)</f>
        <v/>
      </c>
      <c r="DN408" s="129">
        <f>IFERROR(if($X408=0,($V408/1.2)*BB408,
BB408*$X408),)</f>
        <v/>
      </c>
      <c r="DO408" s="129">
        <f>IFERROR(if($X408=0,($V408/1.2)*BC408,
BC408*$X408),)</f>
        <v/>
      </c>
      <c r="DP408" s="130">
        <f>IFERROR(if($Z408=0,($V408/1.35)*BD408,
BD408*$Z408),)</f>
        <v/>
      </c>
      <c r="DQ408" s="130">
        <f>IFERROR(if($Z408=0,($V408/1.35)*BE408,
BE408*$Z408),)</f>
        <v/>
      </c>
      <c r="DR408" s="130">
        <f>IFERROR(if($Z408=0,($V408/1.35)*BF408,
BF408*$Z408),)</f>
        <v/>
      </c>
      <c r="DS408" s="128">
        <f>IFERROR(IF($AB408=0,($V408/0.74)*BG408,
BG408*$AB408),)</f>
        <v/>
      </c>
      <c r="DT408" s="128">
        <f>IFERROR(IF($AB408=0,($V408/0.74)*BH408,
BH408*$AB408),)</f>
        <v/>
      </c>
      <c r="DU408" s="128">
        <f>IFERROR(IF($AB408=0,($V408/0.74)*BI408,
BI408*$AB408),)</f>
        <v/>
      </c>
    </row>
    <row r="409" ht="131.25" customHeight="1" s="162">
      <c r="A409" s="115" t="n"/>
      <c r="B409" s="115" t="n"/>
      <c r="C409" s="115" t="n"/>
      <c r="D409" s="115" t="n"/>
      <c r="E409" s="115" t="n"/>
      <c r="F409" s="115" t="n"/>
      <c r="G409" s="115" t="n"/>
      <c r="H409" s="115" t="n"/>
      <c r="I409" s="115" t="n"/>
      <c r="J409" s="115" t="n"/>
      <c r="K409" s="115" t="n"/>
      <c r="L409" s="115" t="n"/>
      <c r="M409" s="115" t="n"/>
      <c r="N409" s="115" t="n"/>
      <c r="O409" s="115" t="n"/>
      <c r="P409" s="115" t="n"/>
      <c r="Q409" s="115" t="n"/>
      <c r="R409" s="115" t="n"/>
      <c r="S409" s="115" t="n"/>
      <c r="T409" s="115" t="n"/>
      <c r="U409" s="116" t="n"/>
      <c r="V409" s="116" t="n"/>
      <c r="W409" s="117" t="n"/>
      <c r="X409" s="118" t="n"/>
      <c r="Y409" s="119" t="n"/>
      <c r="Z409" s="120" t="n"/>
      <c r="AA409" s="121" t="n"/>
      <c r="AB409" s="122" t="n"/>
      <c r="AC409" s="117" t="n"/>
      <c r="AD409" s="123">
        <f>IF(SUM($AE409:$AH409)=0,"",SUM($AE409:$AH409))</f>
        <v/>
      </c>
      <c r="AE409" s="123">
        <f>iferror(IF(SUM($AI409:$AZ409)=0,"",SUM($AI409:$AZ409)),"")</f>
        <v/>
      </c>
      <c r="AF409" s="123">
        <f>iferror(IF(SUM($BA409:$BC409)=0,"",SUM($BA409:$BC409)),"")</f>
        <v/>
      </c>
      <c r="AG409" s="123">
        <f>iferror(IF(SUM($BD409:$BF409)=0,"",SUM($BD409:$BF409)),"")</f>
        <v/>
      </c>
      <c r="AH409" s="124">
        <f>iferror(IF(SUM($BG409:$BI409)=0,"",SUM($BG409:$BI409)),"")</f>
        <v/>
      </c>
      <c r="AI409" s="131" t="n"/>
      <c r="AJ409" s="132" t="n"/>
      <c r="AK409" s="132" t="n"/>
      <c r="AL409" s="132" t="n"/>
      <c r="AM409" s="132" t="n"/>
      <c r="AN409" s="132" t="n"/>
      <c r="AO409" s="132" t="n"/>
      <c r="AP409" s="132" t="n"/>
      <c r="AQ409" s="132" t="n"/>
      <c r="AR409" s="132" t="n"/>
      <c r="AS409" s="132" t="n"/>
      <c r="AT409" s="132" t="n"/>
      <c r="AU409" s="132" t="n"/>
      <c r="AV409" s="132" t="n"/>
      <c r="AW409" s="132" t="n"/>
      <c r="AX409" s="132" t="n"/>
      <c r="AY409" s="132" t="n"/>
      <c r="AZ409" s="133" t="n"/>
      <c r="BA409" s="131" t="n"/>
      <c r="BB409" s="132" t="n"/>
      <c r="BC409" s="133" t="n"/>
      <c r="BD409" s="131" t="n"/>
      <c r="BE409" s="132" t="n"/>
      <c r="BF409" s="133" t="n"/>
      <c r="BG409" s="131" t="n"/>
      <c r="BH409" s="132" t="n"/>
      <c r="BI409" s="132" t="n"/>
      <c r="BJ409" s="128">
        <f>iferror(SUM($BK409,($BL409*1.2),($BM409*1.35),($BN409*0.74)),)</f>
        <v/>
      </c>
      <c r="BK409" s="128">
        <f>IFERROR(SUM($BT409:$CK409),)</f>
        <v/>
      </c>
      <c r="BL409" s="129">
        <f>IFERROR(SUM($CL409:$CN409),)</f>
        <v/>
      </c>
      <c r="BM409" s="130">
        <f>IFERROR(SUM($CO409:$CQ409),)</f>
        <v/>
      </c>
      <c r="BN409" s="128">
        <f>IFERROR(SUM($CR409:$CT409),)</f>
        <v/>
      </c>
      <c r="BO409" s="128">
        <f>iferror(SUM($BP409,($BQ409*1.2),($BR409*1.35),($BS409*0.74)),)</f>
        <v/>
      </c>
      <c r="BP409" s="128">
        <f>IFERROR(SUM($CU409:$DL409),)</f>
        <v/>
      </c>
      <c r="BQ409" s="128">
        <f>IFERROR(SUM($DM409:$DO409),)</f>
        <v/>
      </c>
      <c r="BR409" s="128">
        <f>IFERROR(SUM($DP409:$DR409),)</f>
        <v/>
      </c>
      <c r="BS409" s="128">
        <f>IFERROR(SUM($DS409:$DU409),)</f>
        <v/>
      </c>
      <c r="BT409" s="128">
        <f>IFERROR(AI409*$W409,)</f>
        <v/>
      </c>
      <c r="BU409" s="128">
        <f>IFERROR(AJ409*$W409,)</f>
        <v/>
      </c>
      <c r="BV409" s="128">
        <f>IFERROR(AK409*$W409,)</f>
        <v/>
      </c>
      <c r="BW409" s="128">
        <f>IFERROR(AL409*$W409,)</f>
        <v/>
      </c>
      <c r="BX409" s="128">
        <f>IFERROR(AM409*$W409,)</f>
        <v/>
      </c>
      <c r="BY409" s="128">
        <f>IFERROR(AN409*$W409,)</f>
        <v/>
      </c>
      <c r="BZ409" s="128">
        <f>IFERROR(AO409*$W409,)</f>
        <v/>
      </c>
      <c r="CA409" s="128">
        <f>IFERROR(AP409*$W409,)</f>
        <v/>
      </c>
      <c r="CB409" s="128">
        <f>IFERROR(AQ409*$W409,)</f>
        <v/>
      </c>
      <c r="CC409" s="128">
        <f>IFERROR(AR409*$W409,)</f>
        <v/>
      </c>
      <c r="CD409" s="128">
        <f>IFERROR(AS409*$W409,)</f>
        <v/>
      </c>
      <c r="CE409" s="128">
        <f>IFERROR(AT409*$W409,)</f>
        <v/>
      </c>
      <c r="CF409" s="128">
        <f>IFERROR(AU409*$W409,)</f>
        <v/>
      </c>
      <c r="CG409" s="128">
        <f>IFERROR(AV409*$W409,)</f>
        <v/>
      </c>
      <c r="CH409" s="128">
        <f>IFERROR(AW409*$W409,)</f>
        <v/>
      </c>
      <c r="CI409" s="128">
        <f>IFERROR(AX409*$W409,)</f>
        <v/>
      </c>
      <c r="CJ409" s="128">
        <f>IFERROR(AY409*$W409,)</f>
        <v/>
      </c>
      <c r="CK409" s="128">
        <f>IFERROR(AZ409*$W409,)</f>
        <v/>
      </c>
      <c r="CL409" s="129">
        <f>IFERROR(if($Y409=0,BA409*($W409/1.2),BA409*$Y409),"")</f>
        <v/>
      </c>
      <c r="CM409" s="129">
        <f>IFERROR(if($Y409=0,BB409*($W409/1.2),BB409*$Y409),"")</f>
        <v/>
      </c>
      <c r="CN409" s="129">
        <f>IFERROR(if($Y409=0,BC409*($W409/1.2),BC409*$Y409),"")</f>
        <v/>
      </c>
      <c r="CO409" s="130">
        <f>IFERROR(if($AA409=0,($W409/1.35)*BD409,BD409*$AA409),)</f>
        <v/>
      </c>
      <c r="CP409" s="130">
        <f>IFERROR(if($AA409=0,($W409/1.35)*BE409,BE409*$AA409),)</f>
        <v/>
      </c>
      <c r="CQ409" s="130">
        <f>IFERROR(if($AA409=0,($W409/1.35)*BF409,BF409*$AA409),)</f>
        <v/>
      </c>
      <c r="CR409" s="128">
        <f>IFERROR(if($AC409=0,($W409/0.74)*BG409,
BG409*$AC409),)</f>
        <v/>
      </c>
      <c r="CS409" s="128">
        <f>IFERROR(if($AC409=0,($W409/0.74)*BH409,
BH409*$AC409),)</f>
        <v/>
      </c>
      <c r="CT409" s="128">
        <f>IFERROR(if($AC409=0,($W409/0.74)*BI409,
BI409*$AC409),)</f>
        <v/>
      </c>
      <c r="CU409" s="128">
        <f>IFERROR(AI409*$V409,)</f>
        <v/>
      </c>
      <c r="CV409" s="128">
        <f>IFERROR(AJ409*$V409,)</f>
        <v/>
      </c>
      <c r="CW409" s="128">
        <f>IFERROR(AK409*$V409,)</f>
        <v/>
      </c>
      <c r="CX409" s="128">
        <f>IFERROR(AL409*$V409,)</f>
        <v/>
      </c>
      <c r="CY409" s="128">
        <f>IFERROR(AM409*$V409,)</f>
        <v/>
      </c>
      <c r="CZ409" s="128">
        <f>IFERROR(AN409*$V409,)</f>
        <v/>
      </c>
      <c r="DA409" s="128">
        <f>IFERROR(AO409*$V409,)</f>
        <v/>
      </c>
      <c r="DB409" s="128">
        <f>IFERROR(AP409*$V409,)</f>
        <v/>
      </c>
      <c r="DC409" s="128">
        <f>IFERROR(AQ409*$V409,)</f>
        <v/>
      </c>
      <c r="DD409" s="128">
        <f>IFERROR(AR409*$V409,)</f>
        <v/>
      </c>
      <c r="DE409" s="128">
        <f>IFERROR(AS409*$V409,)</f>
        <v/>
      </c>
      <c r="DF409" s="128">
        <f>IFERROR(AT409*$V409,)</f>
        <v/>
      </c>
      <c r="DG409" s="128">
        <f>IFERROR(AU409*$V409,)</f>
        <v/>
      </c>
      <c r="DH409" s="128">
        <f>IFERROR(AV409*$V409,)</f>
        <v/>
      </c>
      <c r="DI409" s="128">
        <f>IFERROR(AW409*$V409,)</f>
        <v/>
      </c>
      <c r="DJ409" s="128">
        <f>IFERROR(AX409*$V409,)</f>
        <v/>
      </c>
      <c r="DK409" s="128">
        <f>IFERROR(AY409*$V409,)</f>
        <v/>
      </c>
      <c r="DL409" s="128">
        <f>IFERROR(AZ409*$V409,)</f>
        <v/>
      </c>
      <c r="DM409" s="129">
        <f>IFERROR(if($X409=0,($V409/1.2)*BA409,
BA409*$X409),)</f>
        <v/>
      </c>
      <c r="DN409" s="129">
        <f>IFERROR(if($X409=0,($V409/1.2)*BB409,
BB409*$X409),)</f>
        <v/>
      </c>
      <c r="DO409" s="129">
        <f>IFERROR(if($X409=0,($V409/1.2)*BC409,
BC409*$X409),)</f>
        <v/>
      </c>
      <c r="DP409" s="130">
        <f>IFERROR(if($Z409=0,($V409/1.35)*BD409,
BD409*$Z409),)</f>
        <v/>
      </c>
      <c r="DQ409" s="130">
        <f>IFERROR(if($Z409=0,($V409/1.35)*BE409,
BE409*$Z409),)</f>
        <v/>
      </c>
      <c r="DR409" s="130">
        <f>IFERROR(if($Z409=0,($V409/1.35)*BF409,
BF409*$Z409),)</f>
        <v/>
      </c>
      <c r="DS409" s="128">
        <f>IFERROR(IF($AB409=0,($V409/0.74)*BG409,
BG409*$AB409),)</f>
        <v/>
      </c>
      <c r="DT409" s="128">
        <f>IFERROR(IF($AB409=0,($V409/0.74)*BH409,
BH409*$AB409),)</f>
        <v/>
      </c>
      <c r="DU409" s="128">
        <f>IFERROR(IF($AB409=0,($V409/0.74)*BI409,
BI409*$AB409),)</f>
        <v/>
      </c>
    </row>
    <row r="410" ht="131.25" customHeight="1" s="162">
      <c r="A410" s="115" t="n"/>
      <c r="B410" s="115" t="n"/>
      <c r="C410" s="115" t="n"/>
      <c r="D410" s="115" t="n"/>
      <c r="E410" s="115" t="n"/>
      <c r="F410" s="115" t="n"/>
      <c r="G410" s="115" t="n"/>
      <c r="H410" s="115" t="n"/>
      <c r="I410" s="115" t="n"/>
      <c r="J410" s="115" t="n"/>
      <c r="K410" s="115" t="n"/>
      <c r="L410" s="115" t="n"/>
      <c r="M410" s="115" t="n"/>
      <c r="N410" s="115" t="n"/>
      <c r="O410" s="115" t="n"/>
      <c r="P410" s="115" t="n"/>
      <c r="Q410" s="115" t="n"/>
      <c r="R410" s="115" t="n"/>
      <c r="S410" s="115" t="n"/>
      <c r="T410" s="115" t="n"/>
      <c r="U410" s="116" t="n"/>
      <c r="V410" s="116" t="n"/>
      <c r="W410" s="117" t="n"/>
      <c r="X410" s="118" t="n"/>
      <c r="Y410" s="119" t="n"/>
      <c r="Z410" s="120" t="n"/>
      <c r="AA410" s="121" t="n"/>
      <c r="AB410" s="122" t="n"/>
      <c r="AC410" s="117" t="n"/>
      <c r="AD410" s="123">
        <f>IF(SUM($AE410:$AH410)=0,"",SUM($AE410:$AH410))</f>
        <v/>
      </c>
      <c r="AE410" s="123">
        <f>iferror(IF(SUM($AI410:$AZ410)=0,"",SUM($AI410:$AZ410)),"")</f>
        <v/>
      </c>
      <c r="AF410" s="123">
        <f>iferror(IF(SUM($BA410:$BC410)=0,"",SUM($BA410:$BC410)),"")</f>
        <v/>
      </c>
      <c r="AG410" s="123">
        <f>iferror(IF(SUM($BD410:$BF410)=0,"",SUM($BD410:$BF410)),"")</f>
        <v/>
      </c>
      <c r="AH410" s="124">
        <f>iferror(IF(SUM($BG410:$BI410)=0,"",SUM($BG410:$BI410)),"")</f>
        <v/>
      </c>
      <c r="AI410" s="131" t="n"/>
      <c r="AJ410" s="132" t="n"/>
      <c r="AK410" s="132" t="n"/>
      <c r="AL410" s="132" t="n"/>
      <c r="AM410" s="132" t="n"/>
      <c r="AN410" s="132" t="n"/>
      <c r="AO410" s="132" t="n"/>
      <c r="AP410" s="132" t="n"/>
      <c r="AQ410" s="132" t="n"/>
      <c r="AR410" s="132" t="n"/>
      <c r="AS410" s="132" t="n"/>
      <c r="AT410" s="132" t="n"/>
      <c r="AU410" s="132" t="n"/>
      <c r="AV410" s="132" t="n"/>
      <c r="AW410" s="132" t="n"/>
      <c r="AX410" s="132" t="n"/>
      <c r="AY410" s="132" t="n"/>
      <c r="AZ410" s="133" t="n"/>
      <c r="BA410" s="131" t="n"/>
      <c r="BB410" s="132" t="n"/>
      <c r="BC410" s="133" t="n"/>
      <c r="BD410" s="131" t="n"/>
      <c r="BE410" s="132" t="n"/>
      <c r="BF410" s="133" t="n"/>
      <c r="BG410" s="131" t="n"/>
      <c r="BH410" s="132" t="n"/>
      <c r="BI410" s="132" t="n"/>
      <c r="BJ410" s="128">
        <f>iferror(SUM($BK410,($BL410*1.2),($BM410*1.35),($BN410*0.74)),)</f>
        <v/>
      </c>
      <c r="BK410" s="128">
        <f>IFERROR(SUM($BT410:$CK410),)</f>
        <v/>
      </c>
      <c r="BL410" s="129">
        <f>IFERROR(SUM($CL410:$CN410),)</f>
        <v/>
      </c>
      <c r="BM410" s="130">
        <f>IFERROR(SUM($CO410:$CQ410),)</f>
        <v/>
      </c>
      <c r="BN410" s="128">
        <f>IFERROR(SUM($CR410:$CT410),)</f>
        <v/>
      </c>
      <c r="BO410" s="128">
        <f>iferror(SUM($BP410,($BQ410*1.2),($BR410*1.35),($BS410*0.74)),)</f>
        <v/>
      </c>
      <c r="BP410" s="128">
        <f>IFERROR(SUM($CU410:$DL410),)</f>
        <v/>
      </c>
      <c r="BQ410" s="128">
        <f>IFERROR(SUM($DM410:$DO410),)</f>
        <v/>
      </c>
      <c r="BR410" s="128">
        <f>IFERROR(SUM($DP410:$DR410),)</f>
        <v/>
      </c>
      <c r="BS410" s="128">
        <f>IFERROR(SUM($DS410:$DU410),)</f>
        <v/>
      </c>
      <c r="BT410" s="128">
        <f>IFERROR(AI410*$W410,)</f>
        <v/>
      </c>
      <c r="BU410" s="128">
        <f>IFERROR(AJ410*$W410,)</f>
        <v/>
      </c>
      <c r="BV410" s="128">
        <f>IFERROR(AK410*$W410,)</f>
        <v/>
      </c>
      <c r="BW410" s="128">
        <f>IFERROR(AL410*$W410,)</f>
        <v/>
      </c>
      <c r="BX410" s="128">
        <f>IFERROR(AM410*$W410,)</f>
        <v/>
      </c>
      <c r="BY410" s="128">
        <f>IFERROR(AN410*$W410,)</f>
        <v/>
      </c>
      <c r="BZ410" s="128">
        <f>IFERROR(AO410*$W410,)</f>
        <v/>
      </c>
      <c r="CA410" s="128">
        <f>IFERROR(AP410*$W410,)</f>
        <v/>
      </c>
      <c r="CB410" s="128">
        <f>IFERROR(AQ410*$W410,)</f>
        <v/>
      </c>
      <c r="CC410" s="128">
        <f>IFERROR(AR410*$W410,)</f>
        <v/>
      </c>
      <c r="CD410" s="128">
        <f>IFERROR(AS410*$W410,)</f>
        <v/>
      </c>
      <c r="CE410" s="128">
        <f>IFERROR(AT410*$W410,)</f>
        <v/>
      </c>
      <c r="CF410" s="128">
        <f>IFERROR(AU410*$W410,)</f>
        <v/>
      </c>
      <c r="CG410" s="128">
        <f>IFERROR(AV410*$W410,)</f>
        <v/>
      </c>
      <c r="CH410" s="128">
        <f>IFERROR(AW410*$W410,)</f>
        <v/>
      </c>
      <c r="CI410" s="128">
        <f>IFERROR(AX410*$W410,)</f>
        <v/>
      </c>
      <c r="CJ410" s="128">
        <f>IFERROR(AY410*$W410,)</f>
        <v/>
      </c>
      <c r="CK410" s="128">
        <f>IFERROR(AZ410*$W410,)</f>
        <v/>
      </c>
      <c r="CL410" s="129">
        <f>IFERROR(if($Y410=0,BA410*($W410/1.2),BA410*$Y410),"")</f>
        <v/>
      </c>
      <c r="CM410" s="129">
        <f>IFERROR(if($Y410=0,BB410*($W410/1.2),BB410*$Y410),"")</f>
        <v/>
      </c>
      <c r="CN410" s="129">
        <f>IFERROR(if($Y410=0,BC410*($W410/1.2),BC410*$Y410),"")</f>
        <v/>
      </c>
      <c r="CO410" s="130">
        <f>IFERROR(if($AA410=0,($W410/1.35)*BD410,BD410*$AA410),)</f>
        <v/>
      </c>
      <c r="CP410" s="130">
        <f>IFERROR(if($AA410=0,($W410/1.35)*BE410,BE410*$AA410),)</f>
        <v/>
      </c>
      <c r="CQ410" s="130">
        <f>IFERROR(if($AA410=0,($W410/1.35)*BF410,BF410*$AA410),)</f>
        <v/>
      </c>
      <c r="CR410" s="128">
        <f>IFERROR(if($AC410=0,($W410/0.74)*BG410,
BG410*$AC410),)</f>
        <v/>
      </c>
      <c r="CS410" s="128">
        <f>IFERROR(if($AC410=0,($W410/0.74)*BH410,
BH410*$AC410),)</f>
        <v/>
      </c>
      <c r="CT410" s="128">
        <f>IFERROR(if($AC410=0,($W410/0.74)*BI410,
BI410*$AC410),)</f>
        <v/>
      </c>
      <c r="CU410" s="128">
        <f>IFERROR(AI410*$V410,)</f>
        <v/>
      </c>
      <c r="CV410" s="128">
        <f>IFERROR(AJ410*$V410,)</f>
        <v/>
      </c>
      <c r="CW410" s="128">
        <f>IFERROR(AK410*$V410,)</f>
        <v/>
      </c>
      <c r="CX410" s="128">
        <f>IFERROR(AL410*$V410,)</f>
        <v/>
      </c>
      <c r="CY410" s="128">
        <f>IFERROR(AM410*$V410,)</f>
        <v/>
      </c>
      <c r="CZ410" s="128">
        <f>IFERROR(AN410*$V410,)</f>
        <v/>
      </c>
      <c r="DA410" s="128">
        <f>IFERROR(AO410*$V410,)</f>
        <v/>
      </c>
      <c r="DB410" s="128">
        <f>IFERROR(AP410*$V410,)</f>
        <v/>
      </c>
      <c r="DC410" s="128">
        <f>IFERROR(AQ410*$V410,)</f>
        <v/>
      </c>
      <c r="DD410" s="128">
        <f>IFERROR(AR410*$V410,)</f>
        <v/>
      </c>
      <c r="DE410" s="128">
        <f>IFERROR(AS410*$V410,)</f>
        <v/>
      </c>
      <c r="DF410" s="128">
        <f>IFERROR(AT410*$V410,)</f>
        <v/>
      </c>
      <c r="DG410" s="128">
        <f>IFERROR(AU410*$V410,)</f>
        <v/>
      </c>
      <c r="DH410" s="128">
        <f>IFERROR(AV410*$V410,)</f>
        <v/>
      </c>
      <c r="DI410" s="128">
        <f>IFERROR(AW410*$V410,)</f>
        <v/>
      </c>
      <c r="DJ410" s="128">
        <f>IFERROR(AX410*$V410,)</f>
        <v/>
      </c>
      <c r="DK410" s="128">
        <f>IFERROR(AY410*$V410,)</f>
        <v/>
      </c>
      <c r="DL410" s="128">
        <f>IFERROR(AZ410*$V410,)</f>
        <v/>
      </c>
      <c r="DM410" s="129">
        <f>IFERROR(if($X410=0,($V410/1.2)*BA410,
BA410*$X410),)</f>
        <v/>
      </c>
      <c r="DN410" s="129">
        <f>IFERROR(if($X410=0,($V410/1.2)*BB410,
BB410*$X410),)</f>
        <v/>
      </c>
      <c r="DO410" s="129">
        <f>IFERROR(if($X410=0,($V410/1.2)*BC410,
BC410*$X410),)</f>
        <v/>
      </c>
      <c r="DP410" s="130">
        <f>IFERROR(if($Z410=0,($V410/1.35)*BD410,
BD410*$Z410),)</f>
        <v/>
      </c>
      <c r="DQ410" s="130">
        <f>IFERROR(if($Z410=0,($V410/1.35)*BE410,
BE410*$Z410),)</f>
        <v/>
      </c>
      <c r="DR410" s="130">
        <f>IFERROR(if($Z410=0,($V410/1.35)*BF410,
BF410*$Z410),)</f>
        <v/>
      </c>
      <c r="DS410" s="128">
        <f>IFERROR(IF($AB410=0,($V410/0.74)*BG410,
BG410*$AB410),)</f>
        <v/>
      </c>
      <c r="DT410" s="128">
        <f>IFERROR(IF($AB410=0,($V410/0.74)*BH410,
BH410*$AB410),)</f>
        <v/>
      </c>
      <c r="DU410" s="128">
        <f>IFERROR(IF($AB410=0,($V410/0.74)*BI410,
BI410*$AB410),)</f>
        <v/>
      </c>
    </row>
    <row r="411" ht="131.25" customHeight="1" s="162">
      <c r="A411" s="115" t="n"/>
      <c r="B411" s="115" t="n"/>
      <c r="C411" s="115" t="n"/>
      <c r="D411" s="115" t="n"/>
      <c r="E411" s="115" t="n"/>
      <c r="F411" s="115" t="n"/>
      <c r="G411" s="115" t="n"/>
      <c r="H411" s="115" t="n"/>
      <c r="I411" s="115" t="n"/>
      <c r="J411" s="115" t="n"/>
      <c r="K411" s="115" t="n"/>
      <c r="L411" s="115" t="n"/>
      <c r="M411" s="115" t="n"/>
      <c r="N411" s="115" t="n"/>
      <c r="O411" s="115" t="n"/>
      <c r="P411" s="115" t="n"/>
      <c r="Q411" s="115" t="n"/>
      <c r="R411" s="115" t="n"/>
      <c r="S411" s="115" t="n"/>
      <c r="T411" s="115" t="n"/>
      <c r="U411" s="116" t="n"/>
      <c r="V411" s="116" t="n"/>
      <c r="W411" s="117" t="n"/>
      <c r="X411" s="118" t="n"/>
      <c r="Y411" s="119" t="n"/>
      <c r="Z411" s="120" t="n"/>
      <c r="AA411" s="121" t="n"/>
      <c r="AB411" s="122" t="n"/>
      <c r="AC411" s="117" t="n"/>
      <c r="AD411" s="123">
        <f>IF(SUM($AE411:$AH411)=0,"",SUM($AE411:$AH411))</f>
        <v/>
      </c>
      <c r="AE411" s="123">
        <f>iferror(IF(SUM($AI411:$AZ411)=0,"",SUM($AI411:$AZ411)),"")</f>
        <v/>
      </c>
      <c r="AF411" s="123">
        <f>iferror(IF(SUM($BA411:$BC411)=0,"",SUM($BA411:$BC411)),"")</f>
        <v/>
      </c>
      <c r="AG411" s="123">
        <f>iferror(IF(SUM($BD411:$BF411)=0,"",SUM($BD411:$BF411)),"")</f>
        <v/>
      </c>
      <c r="AH411" s="124">
        <f>iferror(IF(SUM($BG411:$BI411)=0,"",SUM($BG411:$BI411)),"")</f>
        <v/>
      </c>
      <c r="AI411" s="131" t="n"/>
      <c r="AJ411" s="132" t="n"/>
      <c r="AK411" s="132" t="n"/>
      <c r="AL411" s="132" t="n"/>
      <c r="AM411" s="132" t="n"/>
      <c r="AN411" s="132" t="n"/>
      <c r="AO411" s="132" t="n"/>
      <c r="AP411" s="132" t="n"/>
      <c r="AQ411" s="132" t="n"/>
      <c r="AR411" s="132" t="n"/>
      <c r="AS411" s="132" t="n"/>
      <c r="AT411" s="132" t="n"/>
      <c r="AU411" s="132" t="n"/>
      <c r="AV411" s="132" t="n"/>
      <c r="AW411" s="132" t="n"/>
      <c r="AX411" s="132" t="n"/>
      <c r="AY411" s="132" t="n"/>
      <c r="AZ411" s="133" t="n"/>
      <c r="BA411" s="131" t="n"/>
      <c r="BB411" s="132" t="n"/>
      <c r="BC411" s="133" t="n"/>
      <c r="BD411" s="131" t="n"/>
      <c r="BE411" s="132" t="n"/>
      <c r="BF411" s="133" t="n"/>
      <c r="BG411" s="131" t="n"/>
      <c r="BH411" s="132" t="n"/>
      <c r="BI411" s="132" t="n"/>
      <c r="BJ411" s="128">
        <f>iferror(SUM($BK411,($BL411*1.2),($BM411*1.35),($BN411*0.74)),)</f>
        <v/>
      </c>
      <c r="BK411" s="128">
        <f>IFERROR(SUM($BT411:$CK411),)</f>
        <v/>
      </c>
      <c r="BL411" s="129">
        <f>IFERROR(SUM($CL411:$CN411),)</f>
        <v/>
      </c>
      <c r="BM411" s="130">
        <f>IFERROR(SUM($CO411:$CQ411),)</f>
        <v/>
      </c>
      <c r="BN411" s="128">
        <f>IFERROR(SUM($CR411:$CT411),)</f>
        <v/>
      </c>
      <c r="BO411" s="128">
        <f>iferror(SUM($BP411,($BQ411*1.2),($BR411*1.35),($BS411*0.74)),)</f>
        <v/>
      </c>
      <c r="BP411" s="128">
        <f>IFERROR(SUM($CU411:$DL411),)</f>
        <v/>
      </c>
      <c r="BQ411" s="128">
        <f>IFERROR(SUM($DM411:$DO411),)</f>
        <v/>
      </c>
      <c r="BR411" s="128">
        <f>IFERROR(SUM($DP411:$DR411),)</f>
        <v/>
      </c>
      <c r="BS411" s="128">
        <f>IFERROR(SUM($DS411:$DU411),)</f>
        <v/>
      </c>
      <c r="BT411" s="128">
        <f>IFERROR(AI411*$W411,)</f>
        <v/>
      </c>
      <c r="BU411" s="128">
        <f>IFERROR(AJ411*$W411,)</f>
        <v/>
      </c>
      <c r="BV411" s="128">
        <f>IFERROR(AK411*$W411,)</f>
        <v/>
      </c>
      <c r="BW411" s="128">
        <f>IFERROR(AL411*$W411,)</f>
        <v/>
      </c>
      <c r="BX411" s="128">
        <f>IFERROR(AM411*$W411,)</f>
        <v/>
      </c>
      <c r="BY411" s="128">
        <f>IFERROR(AN411*$W411,)</f>
        <v/>
      </c>
      <c r="BZ411" s="128">
        <f>IFERROR(AO411*$W411,)</f>
        <v/>
      </c>
      <c r="CA411" s="128">
        <f>IFERROR(AP411*$W411,)</f>
        <v/>
      </c>
      <c r="CB411" s="128">
        <f>IFERROR(AQ411*$W411,)</f>
        <v/>
      </c>
      <c r="CC411" s="128">
        <f>IFERROR(AR411*$W411,)</f>
        <v/>
      </c>
      <c r="CD411" s="128">
        <f>IFERROR(AS411*$W411,)</f>
        <v/>
      </c>
      <c r="CE411" s="128">
        <f>IFERROR(AT411*$W411,)</f>
        <v/>
      </c>
      <c r="CF411" s="128">
        <f>IFERROR(AU411*$W411,)</f>
        <v/>
      </c>
      <c r="CG411" s="128">
        <f>IFERROR(AV411*$W411,)</f>
        <v/>
      </c>
      <c r="CH411" s="128">
        <f>IFERROR(AW411*$W411,)</f>
        <v/>
      </c>
      <c r="CI411" s="128">
        <f>IFERROR(AX411*$W411,)</f>
        <v/>
      </c>
      <c r="CJ411" s="128">
        <f>IFERROR(AY411*$W411,)</f>
        <v/>
      </c>
      <c r="CK411" s="128">
        <f>IFERROR(AZ411*$W411,)</f>
        <v/>
      </c>
      <c r="CL411" s="129">
        <f>IFERROR(if($Y411=0,BA411*($W411/1.2),BA411*$Y411),"")</f>
        <v/>
      </c>
      <c r="CM411" s="129">
        <f>IFERROR(if($Y411=0,BB411*($W411/1.2),BB411*$Y411),"")</f>
        <v/>
      </c>
      <c r="CN411" s="129">
        <f>IFERROR(if($Y411=0,BC411*($W411/1.2),BC411*$Y411),"")</f>
        <v/>
      </c>
      <c r="CO411" s="130">
        <f>IFERROR(if($AA411=0,($W411/1.35)*BD411,BD411*$AA411),)</f>
        <v/>
      </c>
      <c r="CP411" s="130">
        <f>IFERROR(if($AA411=0,($W411/1.35)*BE411,BE411*$AA411),)</f>
        <v/>
      </c>
      <c r="CQ411" s="130">
        <f>IFERROR(if($AA411=0,($W411/1.35)*BF411,BF411*$AA411),)</f>
        <v/>
      </c>
      <c r="CR411" s="128">
        <f>IFERROR(if($AC411=0,($W411/0.74)*BG411,
BG411*$AC411),)</f>
        <v/>
      </c>
      <c r="CS411" s="128">
        <f>IFERROR(if($AC411=0,($W411/0.74)*BH411,
BH411*$AC411),)</f>
        <v/>
      </c>
      <c r="CT411" s="128">
        <f>IFERROR(if($AC411=0,($W411/0.74)*BI411,
BI411*$AC411),)</f>
        <v/>
      </c>
      <c r="CU411" s="128">
        <f>IFERROR(AI411*$V411,)</f>
        <v/>
      </c>
      <c r="CV411" s="128">
        <f>IFERROR(AJ411*$V411,)</f>
        <v/>
      </c>
      <c r="CW411" s="128">
        <f>IFERROR(AK411*$V411,)</f>
        <v/>
      </c>
      <c r="CX411" s="128">
        <f>IFERROR(AL411*$V411,)</f>
        <v/>
      </c>
      <c r="CY411" s="128">
        <f>IFERROR(AM411*$V411,)</f>
        <v/>
      </c>
      <c r="CZ411" s="128">
        <f>IFERROR(AN411*$V411,)</f>
        <v/>
      </c>
      <c r="DA411" s="128">
        <f>IFERROR(AO411*$V411,)</f>
        <v/>
      </c>
      <c r="DB411" s="128">
        <f>IFERROR(AP411*$V411,)</f>
        <v/>
      </c>
      <c r="DC411" s="128">
        <f>IFERROR(AQ411*$V411,)</f>
        <v/>
      </c>
      <c r="DD411" s="128">
        <f>IFERROR(AR411*$V411,)</f>
        <v/>
      </c>
      <c r="DE411" s="128">
        <f>IFERROR(AS411*$V411,)</f>
        <v/>
      </c>
      <c r="DF411" s="128">
        <f>IFERROR(AT411*$V411,)</f>
        <v/>
      </c>
      <c r="DG411" s="128">
        <f>IFERROR(AU411*$V411,)</f>
        <v/>
      </c>
      <c r="DH411" s="128">
        <f>IFERROR(AV411*$V411,)</f>
        <v/>
      </c>
      <c r="DI411" s="128">
        <f>IFERROR(AW411*$V411,)</f>
        <v/>
      </c>
      <c r="DJ411" s="128">
        <f>IFERROR(AX411*$V411,)</f>
        <v/>
      </c>
      <c r="DK411" s="128">
        <f>IFERROR(AY411*$V411,)</f>
        <v/>
      </c>
      <c r="DL411" s="128">
        <f>IFERROR(AZ411*$V411,)</f>
        <v/>
      </c>
      <c r="DM411" s="129">
        <f>IFERROR(if($X411=0,($V411/1.2)*BA411,
BA411*$X411),)</f>
        <v/>
      </c>
      <c r="DN411" s="129">
        <f>IFERROR(if($X411=0,($V411/1.2)*BB411,
BB411*$X411),)</f>
        <v/>
      </c>
      <c r="DO411" s="129">
        <f>IFERROR(if($X411=0,($V411/1.2)*BC411,
BC411*$X411),)</f>
        <v/>
      </c>
      <c r="DP411" s="130">
        <f>IFERROR(if($Z411=0,($V411/1.35)*BD411,
BD411*$Z411),)</f>
        <v/>
      </c>
      <c r="DQ411" s="130">
        <f>IFERROR(if($Z411=0,($V411/1.35)*BE411,
BE411*$Z411),)</f>
        <v/>
      </c>
      <c r="DR411" s="130">
        <f>IFERROR(if($Z411=0,($V411/1.35)*BF411,
BF411*$Z411),)</f>
        <v/>
      </c>
      <c r="DS411" s="128">
        <f>IFERROR(IF($AB411=0,($V411/0.74)*BG411,
BG411*$AB411),)</f>
        <v/>
      </c>
      <c r="DT411" s="128">
        <f>IFERROR(IF($AB411=0,($V411/0.74)*BH411,
BH411*$AB411),)</f>
        <v/>
      </c>
      <c r="DU411" s="128">
        <f>IFERROR(IF($AB411=0,($V411/0.74)*BI411,
BI411*$AB411),)</f>
        <v/>
      </c>
    </row>
    <row r="412" ht="131.25" customHeight="1" s="162">
      <c r="A412" s="115" t="n"/>
      <c r="B412" s="115" t="n"/>
      <c r="C412" s="115" t="n"/>
      <c r="D412" s="115" t="n"/>
      <c r="E412" s="115" t="n"/>
      <c r="F412" s="115" t="n"/>
      <c r="G412" s="115" t="n"/>
      <c r="H412" s="115" t="n"/>
      <c r="I412" s="115" t="n"/>
      <c r="J412" s="115" t="n"/>
      <c r="K412" s="115" t="n"/>
      <c r="L412" s="115" t="n"/>
      <c r="M412" s="115" t="n"/>
      <c r="N412" s="115" t="n"/>
      <c r="O412" s="115" t="n"/>
      <c r="P412" s="115" t="n"/>
      <c r="Q412" s="115" t="n"/>
      <c r="R412" s="115" t="n"/>
      <c r="S412" s="115" t="n"/>
      <c r="T412" s="115" t="n"/>
      <c r="U412" s="116" t="n"/>
      <c r="V412" s="116" t="n"/>
      <c r="W412" s="117" t="n"/>
      <c r="X412" s="118" t="n"/>
      <c r="Y412" s="119" t="n"/>
      <c r="Z412" s="120" t="n"/>
      <c r="AA412" s="121" t="n"/>
      <c r="AB412" s="122" t="n"/>
      <c r="AC412" s="117" t="n"/>
      <c r="AD412" s="123">
        <f>IF(SUM($AE412:$AH412)=0,"",SUM($AE412:$AH412))</f>
        <v/>
      </c>
      <c r="AE412" s="123">
        <f>iferror(IF(SUM($AI412:$AZ412)=0,"",SUM($AI412:$AZ412)),"")</f>
        <v/>
      </c>
      <c r="AF412" s="123">
        <f>iferror(IF(SUM($BA412:$BC412)=0,"",SUM($BA412:$BC412)),"")</f>
        <v/>
      </c>
      <c r="AG412" s="123">
        <f>iferror(IF(SUM($BD412:$BF412)=0,"",SUM($BD412:$BF412)),"")</f>
        <v/>
      </c>
      <c r="AH412" s="124">
        <f>iferror(IF(SUM($BG412:$BI412)=0,"",SUM($BG412:$BI412)),"")</f>
        <v/>
      </c>
      <c r="AI412" s="131" t="n"/>
      <c r="AJ412" s="132" t="n"/>
      <c r="AK412" s="132" t="n"/>
      <c r="AL412" s="132" t="n"/>
      <c r="AM412" s="132" t="n"/>
      <c r="AN412" s="132" t="n"/>
      <c r="AO412" s="132" t="n"/>
      <c r="AP412" s="132" t="n"/>
      <c r="AQ412" s="132" t="n"/>
      <c r="AR412" s="132" t="n"/>
      <c r="AS412" s="132" t="n"/>
      <c r="AT412" s="132" t="n"/>
      <c r="AU412" s="132" t="n"/>
      <c r="AV412" s="132" t="n"/>
      <c r="AW412" s="132" t="n"/>
      <c r="AX412" s="132" t="n"/>
      <c r="AY412" s="132" t="n"/>
      <c r="AZ412" s="133" t="n"/>
      <c r="BA412" s="131" t="n"/>
      <c r="BB412" s="132" t="n"/>
      <c r="BC412" s="133" t="n"/>
      <c r="BD412" s="131" t="n"/>
      <c r="BE412" s="132" t="n"/>
      <c r="BF412" s="133" t="n"/>
      <c r="BG412" s="131" t="n"/>
      <c r="BH412" s="132" t="n"/>
      <c r="BI412" s="132" t="n"/>
      <c r="BJ412" s="128">
        <f>iferror(SUM($BK412,($BL412*1.2),($BM412*1.35),($BN412*0.74)),)</f>
        <v/>
      </c>
      <c r="BK412" s="128">
        <f>IFERROR(SUM($BT412:$CK412),)</f>
        <v/>
      </c>
      <c r="BL412" s="129">
        <f>IFERROR(SUM($CL412:$CN412),)</f>
        <v/>
      </c>
      <c r="BM412" s="130">
        <f>IFERROR(SUM($CO412:$CQ412),)</f>
        <v/>
      </c>
      <c r="BN412" s="128">
        <f>IFERROR(SUM($CR412:$CT412),)</f>
        <v/>
      </c>
      <c r="BO412" s="128">
        <f>iferror(SUM($BP412,($BQ412*1.2),($BR412*1.35),($BS412*0.74)),)</f>
        <v/>
      </c>
      <c r="BP412" s="128">
        <f>IFERROR(SUM($CU412:$DL412),)</f>
        <v/>
      </c>
      <c r="BQ412" s="128">
        <f>IFERROR(SUM($DM412:$DO412),)</f>
        <v/>
      </c>
      <c r="BR412" s="128">
        <f>IFERROR(SUM($DP412:$DR412),)</f>
        <v/>
      </c>
      <c r="BS412" s="128">
        <f>IFERROR(SUM($DS412:$DU412),)</f>
        <v/>
      </c>
      <c r="BT412" s="128">
        <f>IFERROR(AI412*$W412,)</f>
        <v/>
      </c>
      <c r="BU412" s="128">
        <f>IFERROR(AJ412*$W412,)</f>
        <v/>
      </c>
      <c r="BV412" s="128">
        <f>IFERROR(AK412*$W412,)</f>
        <v/>
      </c>
      <c r="BW412" s="128">
        <f>IFERROR(AL412*$W412,)</f>
        <v/>
      </c>
      <c r="BX412" s="128">
        <f>IFERROR(AM412*$W412,)</f>
        <v/>
      </c>
      <c r="BY412" s="128">
        <f>IFERROR(AN412*$W412,)</f>
        <v/>
      </c>
      <c r="BZ412" s="128">
        <f>IFERROR(AO412*$W412,)</f>
        <v/>
      </c>
      <c r="CA412" s="128">
        <f>IFERROR(AP412*$W412,)</f>
        <v/>
      </c>
      <c r="CB412" s="128">
        <f>IFERROR(AQ412*$W412,)</f>
        <v/>
      </c>
      <c r="CC412" s="128">
        <f>IFERROR(AR412*$W412,)</f>
        <v/>
      </c>
      <c r="CD412" s="128">
        <f>IFERROR(AS412*$W412,)</f>
        <v/>
      </c>
      <c r="CE412" s="128">
        <f>IFERROR(AT412*$W412,)</f>
        <v/>
      </c>
      <c r="CF412" s="128">
        <f>IFERROR(AU412*$W412,)</f>
        <v/>
      </c>
      <c r="CG412" s="128">
        <f>IFERROR(AV412*$W412,)</f>
        <v/>
      </c>
      <c r="CH412" s="128">
        <f>IFERROR(AW412*$W412,)</f>
        <v/>
      </c>
      <c r="CI412" s="128">
        <f>IFERROR(AX412*$W412,)</f>
        <v/>
      </c>
      <c r="CJ412" s="128">
        <f>IFERROR(AY412*$W412,)</f>
        <v/>
      </c>
      <c r="CK412" s="128">
        <f>IFERROR(AZ412*$W412,)</f>
        <v/>
      </c>
      <c r="CL412" s="129">
        <f>IFERROR(if($Y412=0,BA412*($W412/1.2),BA412*$Y412),"")</f>
        <v/>
      </c>
      <c r="CM412" s="129">
        <f>IFERROR(if($Y412=0,BB412*($W412/1.2),BB412*$Y412),"")</f>
        <v/>
      </c>
      <c r="CN412" s="129">
        <f>IFERROR(if($Y412=0,BC412*($W412/1.2),BC412*$Y412),"")</f>
        <v/>
      </c>
      <c r="CO412" s="130">
        <f>IFERROR(if($AA412=0,($W412/1.35)*BD412,BD412*$AA412),)</f>
        <v/>
      </c>
      <c r="CP412" s="130">
        <f>IFERROR(if($AA412=0,($W412/1.35)*BE412,BE412*$AA412),)</f>
        <v/>
      </c>
      <c r="CQ412" s="130">
        <f>IFERROR(if($AA412=0,($W412/1.35)*BF412,BF412*$AA412),)</f>
        <v/>
      </c>
      <c r="CR412" s="128">
        <f>IFERROR(if($AC412=0,($W412/0.74)*BG412,
BG412*$AC412),)</f>
        <v/>
      </c>
      <c r="CS412" s="128">
        <f>IFERROR(if($AC412=0,($W412/0.74)*BH412,
BH412*$AC412),)</f>
        <v/>
      </c>
      <c r="CT412" s="128">
        <f>IFERROR(if($AC412=0,($W412/0.74)*BI412,
BI412*$AC412),)</f>
        <v/>
      </c>
      <c r="CU412" s="128">
        <f>IFERROR(AI412*$V412,)</f>
        <v/>
      </c>
      <c r="CV412" s="128">
        <f>IFERROR(AJ412*$V412,)</f>
        <v/>
      </c>
      <c r="CW412" s="128">
        <f>IFERROR(AK412*$V412,)</f>
        <v/>
      </c>
      <c r="CX412" s="128">
        <f>IFERROR(AL412*$V412,)</f>
        <v/>
      </c>
      <c r="CY412" s="128">
        <f>IFERROR(AM412*$V412,)</f>
        <v/>
      </c>
      <c r="CZ412" s="128">
        <f>IFERROR(AN412*$V412,)</f>
        <v/>
      </c>
      <c r="DA412" s="128">
        <f>IFERROR(AO412*$V412,)</f>
        <v/>
      </c>
      <c r="DB412" s="128">
        <f>IFERROR(AP412*$V412,)</f>
        <v/>
      </c>
      <c r="DC412" s="128">
        <f>IFERROR(AQ412*$V412,)</f>
        <v/>
      </c>
      <c r="DD412" s="128">
        <f>IFERROR(AR412*$V412,)</f>
        <v/>
      </c>
      <c r="DE412" s="128">
        <f>IFERROR(AS412*$V412,)</f>
        <v/>
      </c>
      <c r="DF412" s="128">
        <f>IFERROR(AT412*$V412,)</f>
        <v/>
      </c>
      <c r="DG412" s="128">
        <f>IFERROR(AU412*$V412,)</f>
        <v/>
      </c>
      <c r="DH412" s="128">
        <f>IFERROR(AV412*$V412,)</f>
        <v/>
      </c>
      <c r="DI412" s="128">
        <f>IFERROR(AW412*$V412,)</f>
        <v/>
      </c>
      <c r="DJ412" s="128">
        <f>IFERROR(AX412*$V412,)</f>
        <v/>
      </c>
      <c r="DK412" s="128">
        <f>IFERROR(AY412*$V412,)</f>
        <v/>
      </c>
      <c r="DL412" s="128">
        <f>IFERROR(AZ412*$V412,)</f>
        <v/>
      </c>
      <c r="DM412" s="129">
        <f>IFERROR(if($X412=0,($V412/1.2)*BA412,
BA412*$X412),)</f>
        <v/>
      </c>
      <c r="DN412" s="129">
        <f>IFERROR(if($X412=0,($V412/1.2)*BB412,
BB412*$X412),)</f>
        <v/>
      </c>
      <c r="DO412" s="129">
        <f>IFERROR(if($X412=0,($V412/1.2)*BC412,
BC412*$X412),)</f>
        <v/>
      </c>
      <c r="DP412" s="130">
        <f>IFERROR(if($Z412=0,($V412/1.35)*BD412,
BD412*$Z412),)</f>
        <v/>
      </c>
      <c r="DQ412" s="130">
        <f>IFERROR(if($Z412=0,($V412/1.35)*BE412,
BE412*$Z412),)</f>
        <v/>
      </c>
      <c r="DR412" s="130">
        <f>IFERROR(if($Z412=0,($V412/1.35)*BF412,
BF412*$Z412),)</f>
        <v/>
      </c>
      <c r="DS412" s="128">
        <f>IFERROR(IF($AB412=0,($V412/0.74)*BG412,
BG412*$AB412),)</f>
        <v/>
      </c>
      <c r="DT412" s="128">
        <f>IFERROR(IF($AB412=0,($V412/0.74)*BH412,
BH412*$AB412),)</f>
        <v/>
      </c>
      <c r="DU412" s="128">
        <f>IFERROR(IF($AB412=0,($V412/0.74)*BI412,
BI412*$AB412),)</f>
        <v/>
      </c>
    </row>
    <row r="413" ht="131.25" customHeight="1" s="162">
      <c r="A413" s="115" t="n"/>
      <c r="B413" s="115" t="n"/>
      <c r="C413" s="115" t="n"/>
      <c r="D413" s="115" t="n"/>
      <c r="E413" s="115" t="n"/>
      <c r="F413" s="115" t="n"/>
      <c r="G413" s="115" t="n"/>
      <c r="H413" s="115" t="n"/>
      <c r="I413" s="115" t="n"/>
      <c r="J413" s="115" t="n"/>
      <c r="K413" s="115" t="n"/>
      <c r="L413" s="115" t="n"/>
      <c r="M413" s="115" t="n"/>
      <c r="N413" s="115" t="n"/>
      <c r="O413" s="115" t="n"/>
      <c r="P413" s="115" t="n"/>
      <c r="Q413" s="115" t="n"/>
      <c r="R413" s="115" t="n"/>
      <c r="S413" s="115" t="n"/>
      <c r="T413" s="115" t="n"/>
      <c r="U413" s="116" t="n"/>
      <c r="V413" s="116" t="n"/>
      <c r="W413" s="117" t="n"/>
      <c r="X413" s="118" t="n"/>
      <c r="Y413" s="119" t="n"/>
      <c r="Z413" s="120" t="n"/>
      <c r="AA413" s="121" t="n"/>
      <c r="AB413" s="122" t="n"/>
      <c r="AC413" s="117" t="n"/>
      <c r="AD413" s="123">
        <f>IF(SUM($AE413:$AH413)=0,"",SUM($AE413:$AH413))</f>
        <v/>
      </c>
      <c r="AE413" s="123">
        <f>iferror(IF(SUM($AI413:$AZ413)=0,"",SUM($AI413:$AZ413)),"")</f>
        <v/>
      </c>
      <c r="AF413" s="123">
        <f>iferror(IF(SUM($BA413:$BC413)=0,"",SUM($BA413:$BC413)),"")</f>
        <v/>
      </c>
      <c r="AG413" s="123">
        <f>iferror(IF(SUM($BD413:$BF413)=0,"",SUM($BD413:$BF413)),"")</f>
        <v/>
      </c>
      <c r="AH413" s="124">
        <f>iferror(IF(SUM($BG413:$BI413)=0,"",SUM($BG413:$BI413)),"")</f>
        <v/>
      </c>
      <c r="AI413" s="131" t="n"/>
      <c r="AJ413" s="132" t="n"/>
      <c r="AK413" s="132" t="n"/>
      <c r="AL413" s="132" t="n"/>
      <c r="AM413" s="132" t="n"/>
      <c r="AN413" s="132" t="n"/>
      <c r="AO413" s="132" t="n"/>
      <c r="AP413" s="132" t="n"/>
      <c r="AQ413" s="132" t="n"/>
      <c r="AR413" s="132" t="n"/>
      <c r="AS413" s="132" t="n"/>
      <c r="AT413" s="132" t="n"/>
      <c r="AU413" s="132" t="n"/>
      <c r="AV413" s="132" t="n"/>
      <c r="AW413" s="132" t="n"/>
      <c r="AX413" s="132" t="n"/>
      <c r="AY413" s="132" t="n"/>
      <c r="AZ413" s="133" t="n"/>
      <c r="BA413" s="131" t="n"/>
      <c r="BB413" s="132" t="n"/>
      <c r="BC413" s="133" t="n"/>
      <c r="BD413" s="131" t="n"/>
      <c r="BE413" s="132" t="n"/>
      <c r="BF413" s="133" t="n"/>
      <c r="BG413" s="131" t="n"/>
      <c r="BH413" s="132" t="n"/>
      <c r="BI413" s="132" t="n"/>
      <c r="BJ413" s="128">
        <f>iferror(SUM($BK413,($BL413*1.2),($BM413*1.35),($BN413*0.74)),)</f>
        <v/>
      </c>
      <c r="BK413" s="128">
        <f>IFERROR(SUM($BT413:$CK413),)</f>
        <v/>
      </c>
      <c r="BL413" s="129">
        <f>IFERROR(SUM($CL413:$CN413),)</f>
        <v/>
      </c>
      <c r="BM413" s="130">
        <f>IFERROR(SUM($CO413:$CQ413),)</f>
        <v/>
      </c>
      <c r="BN413" s="128">
        <f>IFERROR(SUM($CR413:$CT413),)</f>
        <v/>
      </c>
      <c r="BO413" s="128">
        <f>iferror(SUM($BP413,($BQ413*1.2),($BR413*1.35),($BS413*0.74)),)</f>
        <v/>
      </c>
      <c r="BP413" s="128">
        <f>IFERROR(SUM($CU413:$DL413),)</f>
        <v/>
      </c>
      <c r="BQ413" s="128">
        <f>IFERROR(SUM($DM413:$DO413),)</f>
        <v/>
      </c>
      <c r="BR413" s="128">
        <f>IFERROR(SUM($DP413:$DR413),)</f>
        <v/>
      </c>
      <c r="BS413" s="128">
        <f>IFERROR(SUM($DS413:$DU413),)</f>
        <v/>
      </c>
      <c r="BT413" s="128">
        <f>IFERROR(AI413*$W413,)</f>
        <v/>
      </c>
      <c r="BU413" s="128">
        <f>IFERROR(AJ413*$W413,)</f>
        <v/>
      </c>
      <c r="BV413" s="128">
        <f>IFERROR(AK413*$W413,)</f>
        <v/>
      </c>
      <c r="BW413" s="128">
        <f>IFERROR(AL413*$W413,)</f>
        <v/>
      </c>
      <c r="BX413" s="128">
        <f>IFERROR(AM413*$W413,)</f>
        <v/>
      </c>
      <c r="BY413" s="128">
        <f>IFERROR(AN413*$W413,)</f>
        <v/>
      </c>
      <c r="BZ413" s="128">
        <f>IFERROR(AO413*$W413,)</f>
        <v/>
      </c>
      <c r="CA413" s="128">
        <f>IFERROR(AP413*$W413,)</f>
        <v/>
      </c>
      <c r="CB413" s="128">
        <f>IFERROR(AQ413*$W413,)</f>
        <v/>
      </c>
      <c r="CC413" s="128">
        <f>IFERROR(AR413*$W413,)</f>
        <v/>
      </c>
      <c r="CD413" s="128">
        <f>IFERROR(AS413*$W413,)</f>
        <v/>
      </c>
      <c r="CE413" s="128">
        <f>IFERROR(AT413*$W413,)</f>
        <v/>
      </c>
      <c r="CF413" s="128">
        <f>IFERROR(AU413*$W413,)</f>
        <v/>
      </c>
      <c r="CG413" s="128">
        <f>IFERROR(AV413*$W413,)</f>
        <v/>
      </c>
      <c r="CH413" s="128">
        <f>IFERROR(AW413*$W413,)</f>
        <v/>
      </c>
      <c r="CI413" s="128">
        <f>IFERROR(AX413*$W413,)</f>
        <v/>
      </c>
      <c r="CJ413" s="128">
        <f>IFERROR(AY413*$W413,)</f>
        <v/>
      </c>
      <c r="CK413" s="128">
        <f>IFERROR(AZ413*$W413,)</f>
        <v/>
      </c>
      <c r="CL413" s="129">
        <f>IFERROR(if($Y413=0,BA413*($W413/1.2),BA413*$Y413),"")</f>
        <v/>
      </c>
      <c r="CM413" s="129">
        <f>IFERROR(if($Y413=0,BB413*($W413/1.2),BB413*$Y413),"")</f>
        <v/>
      </c>
      <c r="CN413" s="129">
        <f>IFERROR(if($Y413=0,BC413*($W413/1.2),BC413*$Y413),"")</f>
        <v/>
      </c>
      <c r="CO413" s="130">
        <f>IFERROR(if($AA413=0,($W413/1.35)*BD413,BD413*$AA413),)</f>
        <v/>
      </c>
      <c r="CP413" s="130">
        <f>IFERROR(if($AA413=0,($W413/1.35)*BE413,BE413*$AA413),)</f>
        <v/>
      </c>
      <c r="CQ413" s="130">
        <f>IFERROR(if($AA413=0,($W413/1.35)*BF413,BF413*$AA413),)</f>
        <v/>
      </c>
      <c r="CR413" s="128">
        <f>IFERROR(if($AC413=0,($W413/0.74)*BG413,
BG413*$AC413),)</f>
        <v/>
      </c>
      <c r="CS413" s="128">
        <f>IFERROR(if($AC413=0,($W413/0.74)*BH413,
BH413*$AC413),)</f>
        <v/>
      </c>
      <c r="CT413" s="128">
        <f>IFERROR(if($AC413=0,($W413/0.74)*BI413,
BI413*$AC413),)</f>
        <v/>
      </c>
      <c r="CU413" s="128">
        <f>IFERROR(AI413*$V413,)</f>
        <v/>
      </c>
      <c r="CV413" s="128">
        <f>IFERROR(AJ413*$V413,)</f>
        <v/>
      </c>
      <c r="CW413" s="128">
        <f>IFERROR(AK413*$V413,)</f>
        <v/>
      </c>
      <c r="CX413" s="128">
        <f>IFERROR(AL413*$V413,)</f>
        <v/>
      </c>
      <c r="CY413" s="128">
        <f>IFERROR(AM413*$V413,)</f>
        <v/>
      </c>
      <c r="CZ413" s="128">
        <f>IFERROR(AN413*$V413,)</f>
        <v/>
      </c>
      <c r="DA413" s="128">
        <f>IFERROR(AO413*$V413,)</f>
        <v/>
      </c>
      <c r="DB413" s="128">
        <f>IFERROR(AP413*$V413,)</f>
        <v/>
      </c>
      <c r="DC413" s="128">
        <f>IFERROR(AQ413*$V413,)</f>
        <v/>
      </c>
      <c r="DD413" s="128">
        <f>IFERROR(AR413*$V413,)</f>
        <v/>
      </c>
      <c r="DE413" s="128">
        <f>IFERROR(AS413*$V413,)</f>
        <v/>
      </c>
      <c r="DF413" s="128">
        <f>IFERROR(AT413*$V413,)</f>
        <v/>
      </c>
      <c r="DG413" s="128">
        <f>IFERROR(AU413*$V413,)</f>
        <v/>
      </c>
      <c r="DH413" s="128">
        <f>IFERROR(AV413*$V413,)</f>
        <v/>
      </c>
      <c r="DI413" s="128">
        <f>IFERROR(AW413*$V413,)</f>
        <v/>
      </c>
      <c r="DJ413" s="128">
        <f>IFERROR(AX413*$V413,)</f>
        <v/>
      </c>
      <c r="DK413" s="128">
        <f>IFERROR(AY413*$V413,)</f>
        <v/>
      </c>
      <c r="DL413" s="128">
        <f>IFERROR(AZ413*$V413,)</f>
        <v/>
      </c>
      <c r="DM413" s="129">
        <f>IFERROR(if($X413=0,($V413/1.2)*BA413,
BA413*$X413),)</f>
        <v/>
      </c>
      <c r="DN413" s="129">
        <f>IFERROR(if($X413=0,($V413/1.2)*BB413,
BB413*$X413),)</f>
        <v/>
      </c>
      <c r="DO413" s="129">
        <f>IFERROR(if($X413=0,($V413/1.2)*BC413,
BC413*$X413),)</f>
        <v/>
      </c>
      <c r="DP413" s="130">
        <f>IFERROR(if($Z413=0,($V413/1.35)*BD413,
BD413*$Z413),)</f>
        <v/>
      </c>
      <c r="DQ413" s="130">
        <f>IFERROR(if($Z413=0,($V413/1.35)*BE413,
BE413*$Z413),)</f>
        <v/>
      </c>
      <c r="DR413" s="130">
        <f>IFERROR(if($Z413=0,($V413/1.35)*BF413,
BF413*$Z413),)</f>
        <v/>
      </c>
      <c r="DS413" s="128">
        <f>IFERROR(IF($AB413=0,($V413/0.74)*BG413,
BG413*$AB413),)</f>
        <v/>
      </c>
      <c r="DT413" s="128">
        <f>IFERROR(IF($AB413=0,($V413/0.74)*BH413,
BH413*$AB413),)</f>
        <v/>
      </c>
      <c r="DU413" s="128">
        <f>IFERROR(IF($AB413=0,($V413/0.74)*BI413,
BI413*$AB413),)</f>
        <v/>
      </c>
    </row>
    <row r="414" ht="131.25" customHeight="1" s="162">
      <c r="A414" s="115" t="n"/>
      <c r="B414" s="115" t="n"/>
      <c r="C414" s="115" t="n"/>
      <c r="D414" s="115" t="n"/>
      <c r="E414" s="115" t="n"/>
      <c r="F414" s="115" t="n"/>
      <c r="G414" s="115" t="n"/>
      <c r="H414" s="115" t="n"/>
      <c r="I414" s="115" t="n"/>
      <c r="J414" s="115" t="n"/>
      <c r="K414" s="115" t="n"/>
      <c r="L414" s="115" t="n"/>
      <c r="M414" s="115" t="n"/>
      <c r="N414" s="115" t="n"/>
      <c r="O414" s="115" t="n"/>
      <c r="P414" s="115" t="n"/>
      <c r="Q414" s="115" t="n"/>
      <c r="R414" s="115" t="n"/>
      <c r="S414" s="115" t="n"/>
      <c r="T414" s="115" t="n"/>
      <c r="U414" s="116" t="n"/>
      <c r="V414" s="116" t="n"/>
      <c r="W414" s="117" t="n"/>
      <c r="X414" s="118" t="n"/>
      <c r="Y414" s="119" t="n"/>
      <c r="Z414" s="120" t="n"/>
      <c r="AA414" s="121" t="n"/>
      <c r="AB414" s="122" t="n"/>
      <c r="AC414" s="117" t="n"/>
      <c r="AD414" s="123">
        <f>IF(SUM($AE414:$AH414)=0,"",SUM($AE414:$AH414))</f>
        <v/>
      </c>
      <c r="AE414" s="123">
        <f>iferror(IF(SUM($AI414:$AZ414)=0,"",SUM($AI414:$AZ414)),"")</f>
        <v/>
      </c>
      <c r="AF414" s="123">
        <f>iferror(IF(SUM($BA414:$BC414)=0,"",SUM($BA414:$BC414)),"")</f>
        <v/>
      </c>
      <c r="AG414" s="123">
        <f>iferror(IF(SUM($BD414:$BF414)=0,"",SUM($BD414:$BF414)),"")</f>
        <v/>
      </c>
      <c r="AH414" s="124">
        <f>iferror(IF(SUM($BG414:$BI414)=0,"",SUM($BG414:$BI414)),"")</f>
        <v/>
      </c>
      <c r="AI414" s="131" t="n"/>
      <c r="AJ414" s="132" t="n"/>
      <c r="AK414" s="132" t="n"/>
      <c r="AL414" s="132" t="n"/>
      <c r="AM414" s="132" t="n"/>
      <c r="AN414" s="132" t="n"/>
      <c r="AO414" s="132" t="n"/>
      <c r="AP414" s="132" t="n"/>
      <c r="AQ414" s="132" t="n"/>
      <c r="AR414" s="132" t="n"/>
      <c r="AS414" s="132" t="n"/>
      <c r="AT414" s="132" t="n"/>
      <c r="AU414" s="132" t="n"/>
      <c r="AV414" s="132" t="n"/>
      <c r="AW414" s="132" t="n"/>
      <c r="AX414" s="132" t="n"/>
      <c r="AY414" s="132" t="n"/>
      <c r="AZ414" s="133" t="n"/>
      <c r="BA414" s="131" t="n"/>
      <c r="BB414" s="132" t="n"/>
      <c r="BC414" s="133" t="n"/>
      <c r="BD414" s="131" t="n"/>
      <c r="BE414" s="132" t="n"/>
      <c r="BF414" s="133" t="n"/>
      <c r="BG414" s="131" t="n"/>
      <c r="BH414" s="132" t="n"/>
      <c r="BI414" s="132" t="n"/>
      <c r="BJ414" s="128">
        <f>iferror(SUM($BK414,($BL414*1.2),($BM414*1.35),($BN414*0.74)),)</f>
        <v/>
      </c>
      <c r="BK414" s="128">
        <f>IFERROR(SUM($BT414:$CK414),)</f>
        <v/>
      </c>
      <c r="BL414" s="129">
        <f>IFERROR(SUM($CL414:$CN414),)</f>
        <v/>
      </c>
      <c r="BM414" s="130">
        <f>IFERROR(SUM($CO414:$CQ414),)</f>
        <v/>
      </c>
      <c r="BN414" s="128">
        <f>IFERROR(SUM($CR414:$CT414),)</f>
        <v/>
      </c>
      <c r="BO414" s="128">
        <f>iferror(SUM($BP414,($BQ414*1.2),($BR414*1.35),($BS414*0.74)),)</f>
        <v/>
      </c>
      <c r="BP414" s="128">
        <f>IFERROR(SUM($CU414:$DL414),)</f>
        <v/>
      </c>
      <c r="BQ414" s="128">
        <f>IFERROR(SUM($DM414:$DO414),)</f>
        <v/>
      </c>
      <c r="BR414" s="128">
        <f>IFERROR(SUM($DP414:$DR414),)</f>
        <v/>
      </c>
      <c r="BS414" s="128">
        <f>IFERROR(SUM($DS414:$DU414),)</f>
        <v/>
      </c>
      <c r="BT414" s="128">
        <f>IFERROR(AI414*$W414,)</f>
        <v/>
      </c>
      <c r="BU414" s="128">
        <f>IFERROR(AJ414*$W414,)</f>
        <v/>
      </c>
      <c r="BV414" s="128">
        <f>IFERROR(AK414*$W414,)</f>
        <v/>
      </c>
      <c r="BW414" s="128">
        <f>IFERROR(AL414*$W414,)</f>
        <v/>
      </c>
      <c r="BX414" s="128">
        <f>IFERROR(AM414*$W414,)</f>
        <v/>
      </c>
      <c r="BY414" s="128">
        <f>IFERROR(AN414*$W414,)</f>
        <v/>
      </c>
      <c r="BZ414" s="128">
        <f>IFERROR(AO414*$W414,)</f>
        <v/>
      </c>
      <c r="CA414" s="128">
        <f>IFERROR(AP414*$W414,)</f>
        <v/>
      </c>
      <c r="CB414" s="128">
        <f>IFERROR(AQ414*$W414,)</f>
        <v/>
      </c>
      <c r="CC414" s="128">
        <f>IFERROR(AR414*$W414,)</f>
        <v/>
      </c>
      <c r="CD414" s="128">
        <f>IFERROR(AS414*$W414,)</f>
        <v/>
      </c>
      <c r="CE414" s="128">
        <f>IFERROR(AT414*$W414,)</f>
        <v/>
      </c>
      <c r="CF414" s="128">
        <f>IFERROR(AU414*$W414,)</f>
        <v/>
      </c>
      <c r="CG414" s="128">
        <f>IFERROR(AV414*$W414,)</f>
        <v/>
      </c>
      <c r="CH414" s="128">
        <f>IFERROR(AW414*$W414,)</f>
        <v/>
      </c>
      <c r="CI414" s="128">
        <f>IFERROR(AX414*$W414,)</f>
        <v/>
      </c>
      <c r="CJ414" s="128">
        <f>IFERROR(AY414*$W414,)</f>
        <v/>
      </c>
      <c r="CK414" s="128">
        <f>IFERROR(AZ414*$W414,)</f>
        <v/>
      </c>
      <c r="CL414" s="129">
        <f>IFERROR(if($Y414=0,BA414*($W414/1.2),BA414*$Y414),"")</f>
        <v/>
      </c>
      <c r="CM414" s="129">
        <f>IFERROR(if($Y414=0,BB414*($W414/1.2),BB414*$Y414),"")</f>
        <v/>
      </c>
      <c r="CN414" s="129">
        <f>IFERROR(if($Y414=0,BC414*($W414/1.2),BC414*$Y414),"")</f>
        <v/>
      </c>
      <c r="CO414" s="130">
        <f>IFERROR(if($AA414=0,($W414/1.35)*BD414,BD414*$AA414),)</f>
        <v/>
      </c>
      <c r="CP414" s="130">
        <f>IFERROR(if($AA414=0,($W414/1.35)*BE414,BE414*$AA414),)</f>
        <v/>
      </c>
      <c r="CQ414" s="130">
        <f>IFERROR(if($AA414=0,($W414/1.35)*BF414,BF414*$AA414),)</f>
        <v/>
      </c>
      <c r="CR414" s="128">
        <f>IFERROR(if($AC414=0,($W414/0.74)*BG414,
BG414*$AC414),)</f>
        <v/>
      </c>
      <c r="CS414" s="128">
        <f>IFERROR(if($AC414=0,($W414/0.74)*BH414,
BH414*$AC414),)</f>
        <v/>
      </c>
      <c r="CT414" s="128">
        <f>IFERROR(if($AC414=0,($W414/0.74)*BI414,
BI414*$AC414),)</f>
        <v/>
      </c>
      <c r="CU414" s="128">
        <f>IFERROR(AI414*$V414,)</f>
        <v/>
      </c>
      <c r="CV414" s="128">
        <f>IFERROR(AJ414*$V414,)</f>
        <v/>
      </c>
      <c r="CW414" s="128">
        <f>IFERROR(AK414*$V414,)</f>
        <v/>
      </c>
      <c r="CX414" s="128">
        <f>IFERROR(AL414*$V414,)</f>
        <v/>
      </c>
      <c r="CY414" s="128">
        <f>IFERROR(AM414*$V414,)</f>
        <v/>
      </c>
      <c r="CZ414" s="128">
        <f>IFERROR(AN414*$V414,)</f>
        <v/>
      </c>
      <c r="DA414" s="128">
        <f>IFERROR(AO414*$V414,)</f>
        <v/>
      </c>
      <c r="DB414" s="128">
        <f>IFERROR(AP414*$V414,)</f>
        <v/>
      </c>
      <c r="DC414" s="128">
        <f>IFERROR(AQ414*$V414,)</f>
        <v/>
      </c>
      <c r="DD414" s="128">
        <f>IFERROR(AR414*$V414,)</f>
        <v/>
      </c>
      <c r="DE414" s="128">
        <f>IFERROR(AS414*$V414,)</f>
        <v/>
      </c>
      <c r="DF414" s="128">
        <f>IFERROR(AT414*$V414,)</f>
        <v/>
      </c>
      <c r="DG414" s="128">
        <f>IFERROR(AU414*$V414,)</f>
        <v/>
      </c>
      <c r="DH414" s="128">
        <f>IFERROR(AV414*$V414,)</f>
        <v/>
      </c>
      <c r="DI414" s="128">
        <f>IFERROR(AW414*$V414,)</f>
        <v/>
      </c>
      <c r="DJ414" s="128">
        <f>IFERROR(AX414*$V414,)</f>
        <v/>
      </c>
      <c r="DK414" s="128">
        <f>IFERROR(AY414*$V414,)</f>
        <v/>
      </c>
      <c r="DL414" s="128">
        <f>IFERROR(AZ414*$V414,)</f>
        <v/>
      </c>
      <c r="DM414" s="129">
        <f>IFERROR(if($X414=0,($V414/1.2)*BA414,
BA414*$X414),)</f>
        <v/>
      </c>
      <c r="DN414" s="129">
        <f>IFERROR(if($X414=0,($V414/1.2)*BB414,
BB414*$X414),)</f>
        <v/>
      </c>
      <c r="DO414" s="129">
        <f>IFERROR(if($X414=0,($V414/1.2)*BC414,
BC414*$X414),)</f>
        <v/>
      </c>
      <c r="DP414" s="130">
        <f>IFERROR(if($Z414=0,($V414/1.35)*BD414,
BD414*$Z414),)</f>
        <v/>
      </c>
      <c r="DQ414" s="130">
        <f>IFERROR(if($Z414=0,($V414/1.35)*BE414,
BE414*$Z414),)</f>
        <v/>
      </c>
      <c r="DR414" s="130">
        <f>IFERROR(if($Z414=0,($V414/1.35)*BF414,
BF414*$Z414),)</f>
        <v/>
      </c>
      <c r="DS414" s="128">
        <f>IFERROR(IF($AB414=0,($V414/0.74)*BG414,
BG414*$AB414),)</f>
        <v/>
      </c>
      <c r="DT414" s="128">
        <f>IFERROR(IF($AB414=0,($V414/0.74)*BH414,
BH414*$AB414),)</f>
        <v/>
      </c>
      <c r="DU414" s="128">
        <f>IFERROR(IF($AB414=0,($V414/0.74)*BI414,
BI414*$AB414),)</f>
        <v/>
      </c>
    </row>
    <row r="415" ht="131.25" customHeight="1" s="162">
      <c r="A415" s="115" t="n"/>
      <c r="B415" s="115" t="n"/>
      <c r="C415" s="115" t="n"/>
      <c r="D415" s="115" t="n"/>
      <c r="E415" s="115" t="n"/>
      <c r="F415" s="115" t="n"/>
      <c r="G415" s="115" t="n"/>
      <c r="H415" s="115" t="n"/>
      <c r="I415" s="115" t="n"/>
      <c r="J415" s="115" t="n"/>
      <c r="K415" s="115" t="n"/>
      <c r="L415" s="115" t="n"/>
      <c r="M415" s="115" t="n"/>
      <c r="N415" s="115" t="n"/>
      <c r="O415" s="115" t="n"/>
      <c r="P415" s="115" t="n"/>
      <c r="Q415" s="115" t="n"/>
      <c r="R415" s="115" t="n"/>
      <c r="S415" s="115" t="n"/>
      <c r="T415" s="115" t="n"/>
      <c r="U415" s="116" t="n"/>
      <c r="V415" s="116" t="n"/>
      <c r="W415" s="117" t="n"/>
      <c r="X415" s="118" t="n"/>
      <c r="Y415" s="119" t="n"/>
      <c r="Z415" s="120" t="n"/>
      <c r="AA415" s="121" t="n"/>
      <c r="AB415" s="122" t="n"/>
      <c r="AC415" s="117" t="n"/>
      <c r="AD415" s="123">
        <f>IF(SUM($AE415:$AH415)=0,"",SUM($AE415:$AH415))</f>
        <v/>
      </c>
      <c r="AE415" s="123">
        <f>iferror(IF(SUM($AI415:$AZ415)=0,"",SUM($AI415:$AZ415)),"")</f>
        <v/>
      </c>
      <c r="AF415" s="123">
        <f>iferror(IF(SUM($BA415:$BC415)=0,"",SUM($BA415:$BC415)),"")</f>
        <v/>
      </c>
      <c r="AG415" s="123">
        <f>iferror(IF(SUM($BD415:$BF415)=0,"",SUM($BD415:$BF415)),"")</f>
        <v/>
      </c>
      <c r="AH415" s="124">
        <f>iferror(IF(SUM($BG415:$BI415)=0,"",SUM($BG415:$BI415)),"")</f>
        <v/>
      </c>
      <c r="AI415" s="131" t="n"/>
      <c r="AJ415" s="132" t="n"/>
      <c r="AK415" s="132" t="n"/>
      <c r="AL415" s="132" t="n"/>
      <c r="AM415" s="132" t="n"/>
      <c r="AN415" s="132" t="n"/>
      <c r="AO415" s="132" t="n"/>
      <c r="AP415" s="132" t="n"/>
      <c r="AQ415" s="132" t="n"/>
      <c r="AR415" s="132" t="n"/>
      <c r="AS415" s="132" t="n"/>
      <c r="AT415" s="132" t="n"/>
      <c r="AU415" s="132" t="n"/>
      <c r="AV415" s="132" t="n"/>
      <c r="AW415" s="132" t="n"/>
      <c r="AX415" s="132" t="n"/>
      <c r="AY415" s="132" t="n"/>
      <c r="AZ415" s="133" t="n"/>
      <c r="BA415" s="131" t="n"/>
      <c r="BB415" s="132" t="n"/>
      <c r="BC415" s="133" t="n"/>
      <c r="BD415" s="131" t="n"/>
      <c r="BE415" s="132" t="n"/>
      <c r="BF415" s="133" t="n"/>
      <c r="BG415" s="131" t="n"/>
      <c r="BH415" s="132" t="n"/>
      <c r="BI415" s="132" t="n"/>
      <c r="BJ415" s="128">
        <f>iferror(SUM($BK415,($BL415*1.2),($BM415*1.35),($BN415*0.74)),)</f>
        <v/>
      </c>
      <c r="BK415" s="128">
        <f>IFERROR(SUM($BT415:$CK415),)</f>
        <v/>
      </c>
      <c r="BL415" s="129">
        <f>IFERROR(SUM($CL415:$CN415),)</f>
        <v/>
      </c>
      <c r="BM415" s="130">
        <f>IFERROR(SUM($CO415:$CQ415),)</f>
        <v/>
      </c>
      <c r="BN415" s="128">
        <f>IFERROR(SUM($CR415:$CT415),)</f>
        <v/>
      </c>
      <c r="BO415" s="128">
        <f>iferror(SUM($BP415,($BQ415*1.2),($BR415*1.35),($BS415*0.74)),)</f>
        <v/>
      </c>
      <c r="BP415" s="128">
        <f>IFERROR(SUM($CU415:$DL415),)</f>
        <v/>
      </c>
      <c r="BQ415" s="128">
        <f>IFERROR(SUM($DM415:$DO415),)</f>
        <v/>
      </c>
      <c r="BR415" s="128">
        <f>IFERROR(SUM($DP415:$DR415),)</f>
        <v/>
      </c>
      <c r="BS415" s="128">
        <f>IFERROR(SUM($DS415:$DU415),)</f>
        <v/>
      </c>
      <c r="BT415" s="128">
        <f>IFERROR(AI415*$W415,)</f>
        <v/>
      </c>
      <c r="BU415" s="128">
        <f>IFERROR(AJ415*$W415,)</f>
        <v/>
      </c>
      <c r="BV415" s="128">
        <f>IFERROR(AK415*$W415,)</f>
        <v/>
      </c>
      <c r="BW415" s="128">
        <f>IFERROR(AL415*$W415,)</f>
        <v/>
      </c>
      <c r="BX415" s="128">
        <f>IFERROR(AM415*$W415,)</f>
        <v/>
      </c>
      <c r="BY415" s="128">
        <f>IFERROR(AN415*$W415,)</f>
        <v/>
      </c>
      <c r="BZ415" s="128">
        <f>IFERROR(AO415*$W415,)</f>
        <v/>
      </c>
      <c r="CA415" s="128">
        <f>IFERROR(AP415*$W415,)</f>
        <v/>
      </c>
      <c r="CB415" s="128">
        <f>IFERROR(AQ415*$W415,)</f>
        <v/>
      </c>
      <c r="CC415" s="128">
        <f>IFERROR(AR415*$W415,)</f>
        <v/>
      </c>
      <c r="CD415" s="128">
        <f>IFERROR(AS415*$W415,)</f>
        <v/>
      </c>
      <c r="CE415" s="128">
        <f>IFERROR(AT415*$W415,)</f>
        <v/>
      </c>
      <c r="CF415" s="128">
        <f>IFERROR(AU415*$W415,)</f>
        <v/>
      </c>
      <c r="CG415" s="128">
        <f>IFERROR(AV415*$W415,)</f>
        <v/>
      </c>
      <c r="CH415" s="128">
        <f>IFERROR(AW415*$W415,)</f>
        <v/>
      </c>
      <c r="CI415" s="128">
        <f>IFERROR(AX415*$W415,)</f>
        <v/>
      </c>
      <c r="CJ415" s="128">
        <f>IFERROR(AY415*$W415,)</f>
        <v/>
      </c>
      <c r="CK415" s="128">
        <f>IFERROR(AZ415*$W415,)</f>
        <v/>
      </c>
      <c r="CL415" s="129">
        <f>IFERROR(if($Y415=0,BA415*($W415/1.2),BA415*$Y415),"")</f>
        <v/>
      </c>
      <c r="CM415" s="129">
        <f>IFERROR(if($Y415=0,BB415*($W415/1.2),BB415*$Y415),"")</f>
        <v/>
      </c>
      <c r="CN415" s="129">
        <f>IFERROR(if($Y415=0,BC415*($W415/1.2),BC415*$Y415),"")</f>
        <v/>
      </c>
      <c r="CO415" s="130">
        <f>IFERROR(if($AA415=0,($W415/1.35)*BD415,BD415*$AA415),)</f>
        <v/>
      </c>
      <c r="CP415" s="130">
        <f>IFERROR(if($AA415=0,($W415/1.35)*BE415,BE415*$AA415),)</f>
        <v/>
      </c>
      <c r="CQ415" s="130">
        <f>IFERROR(if($AA415=0,($W415/1.35)*BF415,BF415*$AA415),)</f>
        <v/>
      </c>
      <c r="CR415" s="128">
        <f>IFERROR(if($AC415=0,($W415/0.74)*BG415,
BG415*$AC415),)</f>
        <v/>
      </c>
      <c r="CS415" s="128">
        <f>IFERROR(if($AC415=0,($W415/0.74)*BH415,
BH415*$AC415),)</f>
        <v/>
      </c>
      <c r="CT415" s="128">
        <f>IFERROR(if($AC415=0,($W415/0.74)*BI415,
BI415*$AC415),)</f>
        <v/>
      </c>
      <c r="CU415" s="128">
        <f>IFERROR(AI415*$V415,)</f>
        <v/>
      </c>
      <c r="CV415" s="128">
        <f>IFERROR(AJ415*$V415,)</f>
        <v/>
      </c>
      <c r="CW415" s="128">
        <f>IFERROR(AK415*$V415,)</f>
        <v/>
      </c>
      <c r="CX415" s="128">
        <f>IFERROR(AL415*$V415,)</f>
        <v/>
      </c>
      <c r="CY415" s="128">
        <f>IFERROR(AM415*$V415,)</f>
        <v/>
      </c>
      <c r="CZ415" s="128">
        <f>IFERROR(AN415*$V415,)</f>
        <v/>
      </c>
      <c r="DA415" s="128">
        <f>IFERROR(AO415*$V415,)</f>
        <v/>
      </c>
      <c r="DB415" s="128">
        <f>IFERROR(AP415*$V415,)</f>
        <v/>
      </c>
      <c r="DC415" s="128">
        <f>IFERROR(AQ415*$V415,)</f>
        <v/>
      </c>
      <c r="DD415" s="128">
        <f>IFERROR(AR415*$V415,)</f>
        <v/>
      </c>
      <c r="DE415" s="128">
        <f>IFERROR(AS415*$V415,)</f>
        <v/>
      </c>
      <c r="DF415" s="128">
        <f>IFERROR(AT415*$V415,)</f>
        <v/>
      </c>
      <c r="DG415" s="128">
        <f>IFERROR(AU415*$V415,)</f>
        <v/>
      </c>
      <c r="DH415" s="128">
        <f>IFERROR(AV415*$V415,)</f>
        <v/>
      </c>
      <c r="DI415" s="128">
        <f>IFERROR(AW415*$V415,)</f>
        <v/>
      </c>
      <c r="DJ415" s="128">
        <f>IFERROR(AX415*$V415,)</f>
        <v/>
      </c>
      <c r="DK415" s="128">
        <f>IFERROR(AY415*$V415,)</f>
        <v/>
      </c>
      <c r="DL415" s="128">
        <f>IFERROR(AZ415*$V415,)</f>
        <v/>
      </c>
      <c r="DM415" s="129">
        <f>IFERROR(if($X415=0,($V415/1.2)*BA415,
BA415*$X415),)</f>
        <v/>
      </c>
      <c r="DN415" s="129">
        <f>IFERROR(if($X415=0,($V415/1.2)*BB415,
BB415*$X415),)</f>
        <v/>
      </c>
      <c r="DO415" s="129">
        <f>IFERROR(if($X415=0,($V415/1.2)*BC415,
BC415*$X415),)</f>
        <v/>
      </c>
      <c r="DP415" s="130">
        <f>IFERROR(if($Z415=0,($V415/1.35)*BD415,
BD415*$Z415),)</f>
        <v/>
      </c>
      <c r="DQ415" s="130">
        <f>IFERROR(if($Z415=0,($V415/1.35)*BE415,
BE415*$Z415),)</f>
        <v/>
      </c>
      <c r="DR415" s="130">
        <f>IFERROR(if($Z415=0,($V415/1.35)*BF415,
BF415*$Z415),)</f>
        <v/>
      </c>
      <c r="DS415" s="128">
        <f>IFERROR(IF($AB415=0,($V415/0.74)*BG415,
BG415*$AB415),)</f>
        <v/>
      </c>
      <c r="DT415" s="128">
        <f>IFERROR(IF($AB415=0,($V415/0.74)*BH415,
BH415*$AB415),)</f>
        <v/>
      </c>
      <c r="DU415" s="128">
        <f>IFERROR(IF($AB415=0,($V415/0.74)*BI415,
BI415*$AB415),)</f>
        <v/>
      </c>
    </row>
    <row r="416" ht="131.25" customHeight="1" s="162">
      <c r="A416" s="115" t="n"/>
      <c r="B416" s="115" t="n"/>
      <c r="C416" s="115" t="n"/>
      <c r="D416" s="115" t="n"/>
      <c r="E416" s="115" t="n"/>
      <c r="F416" s="115" t="n"/>
      <c r="G416" s="115" t="n"/>
      <c r="H416" s="115" t="n"/>
      <c r="I416" s="115" t="n"/>
      <c r="J416" s="115" t="n"/>
      <c r="K416" s="115" t="n"/>
      <c r="L416" s="115" t="n"/>
      <c r="M416" s="115" t="n"/>
      <c r="N416" s="115" t="n"/>
      <c r="O416" s="115" t="n"/>
      <c r="P416" s="115" t="n"/>
      <c r="Q416" s="115" t="n"/>
      <c r="R416" s="115" t="n"/>
      <c r="S416" s="115" t="n"/>
      <c r="T416" s="115" t="n"/>
      <c r="U416" s="116" t="n"/>
      <c r="V416" s="116" t="n"/>
      <c r="W416" s="117" t="n"/>
      <c r="X416" s="118" t="n"/>
      <c r="Y416" s="119" t="n"/>
      <c r="Z416" s="120" t="n"/>
      <c r="AA416" s="121" t="n"/>
      <c r="AB416" s="122" t="n"/>
      <c r="AC416" s="117" t="n"/>
      <c r="AD416" s="123">
        <f>IF(SUM($AE416:$AH416)=0,"",SUM($AE416:$AH416))</f>
        <v/>
      </c>
      <c r="AE416" s="123">
        <f>iferror(IF(SUM($AI416:$AZ416)=0,"",SUM($AI416:$AZ416)),"")</f>
        <v/>
      </c>
      <c r="AF416" s="123">
        <f>iferror(IF(SUM($BA416:$BC416)=0,"",SUM($BA416:$BC416)),"")</f>
        <v/>
      </c>
      <c r="AG416" s="123">
        <f>iferror(IF(SUM($BD416:$BF416)=0,"",SUM($BD416:$BF416)),"")</f>
        <v/>
      </c>
      <c r="AH416" s="124">
        <f>iferror(IF(SUM($BG416:$BI416)=0,"",SUM($BG416:$BI416)),"")</f>
        <v/>
      </c>
      <c r="AI416" s="131" t="n"/>
      <c r="AJ416" s="132" t="n"/>
      <c r="AK416" s="132" t="n"/>
      <c r="AL416" s="132" t="n"/>
      <c r="AM416" s="132" t="n"/>
      <c r="AN416" s="132" t="n"/>
      <c r="AO416" s="132" t="n"/>
      <c r="AP416" s="132" t="n"/>
      <c r="AQ416" s="132" t="n"/>
      <c r="AR416" s="132" t="n"/>
      <c r="AS416" s="132" t="n"/>
      <c r="AT416" s="132" t="n"/>
      <c r="AU416" s="132" t="n"/>
      <c r="AV416" s="132" t="n"/>
      <c r="AW416" s="132" t="n"/>
      <c r="AX416" s="132" t="n"/>
      <c r="AY416" s="132" t="n"/>
      <c r="AZ416" s="133" t="n"/>
      <c r="BA416" s="131" t="n"/>
      <c r="BB416" s="132" t="n"/>
      <c r="BC416" s="133" t="n"/>
      <c r="BD416" s="131" t="n"/>
      <c r="BE416" s="132" t="n"/>
      <c r="BF416" s="133" t="n"/>
      <c r="BG416" s="131" t="n"/>
      <c r="BH416" s="132" t="n"/>
      <c r="BI416" s="132" t="n"/>
      <c r="BJ416" s="128">
        <f>iferror(SUM($BK416,($BL416*1.2),($BM416*1.35),($BN416*0.74)),)</f>
        <v/>
      </c>
      <c r="BK416" s="128">
        <f>IFERROR(SUM($BT416:$CK416),)</f>
        <v/>
      </c>
      <c r="BL416" s="129">
        <f>IFERROR(SUM($CL416:$CN416),)</f>
        <v/>
      </c>
      <c r="BM416" s="130">
        <f>IFERROR(SUM($CO416:$CQ416),)</f>
        <v/>
      </c>
      <c r="BN416" s="128">
        <f>IFERROR(SUM($CR416:$CT416),)</f>
        <v/>
      </c>
      <c r="BO416" s="128">
        <f>iferror(SUM($BP416,($BQ416*1.2),($BR416*1.35),($BS416*0.74)),)</f>
        <v/>
      </c>
      <c r="BP416" s="128">
        <f>IFERROR(SUM($CU416:$DL416),)</f>
        <v/>
      </c>
      <c r="BQ416" s="128">
        <f>IFERROR(SUM($DM416:$DO416),)</f>
        <v/>
      </c>
      <c r="BR416" s="128">
        <f>IFERROR(SUM($DP416:$DR416),)</f>
        <v/>
      </c>
      <c r="BS416" s="128">
        <f>IFERROR(SUM($DS416:$DU416),)</f>
        <v/>
      </c>
      <c r="BT416" s="128">
        <f>IFERROR(AI416*$W416,)</f>
        <v/>
      </c>
      <c r="BU416" s="128">
        <f>IFERROR(AJ416*$W416,)</f>
        <v/>
      </c>
      <c r="BV416" s="128">
        <f>IFERROR(AK416*$W416,)</f>
        <v/>
      </c>
      <c r="BW416" s="128">
        <f>IFERROR(AL416*$W416,)</f>
        <v/>
      </c>
      <c r="BX416" s="128">
        <f>IFERROR(AM416*$W416,)</f>
        <v/>
      </c>
      <c r="BY416" s="128">
        <f>IFERROR(AN416*$W416,)</f>
        <v/>
      </c>
      <c r="BZ416" s="128">
        <f>IFERROR(AO416*$W416,)</f>
        <v/>
      </c>
      <c r="CA416" s="128">
        <f>IFERROR(AP416*$W416,)</f>
        <v/>
      </c>
      <c r="CB416" s="128">
        <f>IFERROR(AQ416*$W416,)</f>
        <v/>
      </c>
      <c r="CC416" s="128">
        <f>IFERROR(AR416*$W416,)</f>
        <v/>
      </c>
      <c r="CD416" s="128">
        <f>IFERROR(AS416*$W416,)</f>
        <v/>
      </c>
      <c r="CE416" s="128">
        <f>IFERROR(AT416*$W416,)</f>
        <v/>
      </c>
      <c r="CF416" s="128">
        <f>IFERROR(AU416*$W416,)</f>
        <v/>
      </c>
      <c r="CG416" s="128">
        <f>IFERROR(AV416*$W416,)</f>
        <v/>
      </c>
      <c r="CH416" s="128">
        <f>IFERROR(AW416*$W416,)</f>
        <v/>
      </c>
      <c r="CI416" s="128">
        <f>IFERROR(AX416*$W416,)</f>
        <v/>
      </c>
      <c r="CJ416" s="128">
        <f>IFERROR(AY416*$W416,)</f>
        <v/>
      </c>
      <c r="CK416" s="128">
        <f>IFERROR(AZ416*$W416,)</f>
        <v/>
      </c>
      <c r="CL416" s="129">
        <f>IFERROR(if($Y416=0,BA416*($W416/1.2),BA416*$Y416),"")</f>
        <v/>
      </c>
      <c r="CM416" s="129">
        <f>IFERROR(if($Y416=0,BB416*($W416/1.2),BB416*$Y416),"")</f>
        <v/>
      </c>
      <c r="CN416" s="129">
        <f>IFERROR(if($Y416=0,BC416*($W416/1.2),BC416*$Y416),"")</f>
        <v/>
      </c>
      <c r="CO416" s="130">
        <f>IFERROR(if($AA416=0,($W416/1.35)*BD416,BD416*$AA416),)</f>
        <v/>
      </c>
      <c r="CP416" s="130">
        <f>IFERROR(if($AA416=0,($W416/1.35)*BE416,BE416*$AA416),)</f>
        <v/>
      </c>
      <c r="CQ416" s="130">
        <f>IFERROR(if($AA416=0,($W416/1.35)*BF416,BF416*$AA416),)</f>
        <v/>
      </c>
      <c r="CR416" s="128">
        <f>IFERROR(if($AC416=0,($W416/0.74)*BG416,
BG416*$AC416),)</f>
        <v/>
      </c>
      <c r="CS416" s="128">
        <f>IFERROR(if($AC416=0,($W416/0.74)*BH416,
BH416*$AC416),)</f>
        <v/>
      </c>
      <c r="CT416" s="128">
        <f>IFERROR(if($AC416=0,($W416/0.74)*BI416,
BI416*$AC416),)</f>
        <v/>
      </c>
      <c r="CU416" s="128">
        <f>IFERROR(AI416*$V416,)</f>
        <v/>
      </c>
      <c r="CV416" s="128">
        <f>IFERROR(AJ416*$V416,)</f>
        <v/>
      </c>
      <c r="CW416" s="128">
        <f>IFERROR(AK416*$V416,)</f>
        <v/>
      </c>
      <c r="CX416" s="128">
        <f>IFERROR(AL416*$V416,)</f>
        <v/>
      </c>
      <c r="CY416" s="128">
        <f>IFERROR(AM416*$V416,)</f>
        <v/>
      </c>
      <c r="CZ416" s="128">
        <f>IFERROR(AN416*$V416,)</f>
        <v/>
      </c>
      <c r="DA416" s="128">
        <f>IFERROR(AO416*$V416,)</f>
        <v/>
      </c>
      <c r="DB416" s="128">
        <f>IFERROR(AP416*$V416,)</f>
        <v/>
      </c>
      <c r="DC416" s="128">
        <f>IFERROR(AQ416*$V416,)</f>
        <v/>
      </c>
      <c r="DD416" s="128">
        <f>IFERROR(AR416*$V416,)</f>
        <v/>
      </c>
      <c r="DE416" s="128">
        <f>IFERROR(AS416*$V416,)</f>
        <v/>
      </c>
      <c r="DF416" s="128">
        <f>IFERROR(AT416*$V416,)</f>
        <v/>
      </c>
      <c r="DG416" s="128">
        <f>IFERROR(AU416*$V416,)</f>
        <v/>
      </c>
      <c r="DH416" s="128">
        <f>IFERROR(AV416*$V416,)</f>
        <v/>
      </c>
      <c r="DI416" s="128">
        <f>IFERROR(AW416*$V416,)</f>
        <v/>
      </c>
      <c r="DJ416" s="128">
        <f>IFERROR(AX416*$V416,)</f>
        <v/>
      </c>
      <c r="DK416" s="128">
        <f>IFERROR(AY416*$V416,)</f>
        <v/>
      </c>
      <c r="DL416" s="128">
        <f>IFERROR(AZ416*$V416,)</f>
        <v/>
      </c>
      <c r="DM416" s="129">
        <f>IFERROR(if($X416=0,($V416/1.2)*BA416,
BA416*$X416),)</f>
        <v/>
      </c>
      <c r="DN416" s="129">
        <f>IFERROR(if($X416=0,($V416/1.2)*BB416,
BB416*$X416),)</f>
        <v/>
      </c>
      <c r="DO416" s="129">
        <f>IFERROR(if($X416=0,($V416/1.2)*BC416,
BC416*$X416),)</f>
        <v/>
      </c>
      <c r="DP416" s="130">
        <f>IFERROR(if($Z416=0,($V416/1.35)*BD416,
BD416*$Z416),)</f>
        <v/>
      </c>
      <c r="DQ416" s="130">
        <f>IFERROR(if($Z416=0,($V416/1.35)*BE416,
BE416*$Z416),)</f>
        <v/>
      </c>
      <c r="DR416" s="130">
        <f>IFERROR(if($Z416=0,($V416/1.35)*BF416,
BF416*$Z416),)</f>
        <v/>
      </c>
      <c r="DS416" s="128">
        <f>IFERROR(IF($AB416=0,($V416/0.74)*BG416,
BG416*$AB416),)</f>
        <v/>
      </c>
      <c r="DT416" s="128">
        <f>IFERROR(IF($AB416=0,($V416/0.74)*BH416,
BH416*$AB416),)</f>
        <v/>
      </c>
      <c r="DU416" s="128">
        <f>IFERROR(IF($AB416=0,($V416/0.74)*BI416,
BI416*$AB416),)</f>
        <v/>
      </c>
    </row>
    <row r="417" ht="131.25" customHeight="1" s="162">
      <c r="A417" s="115" t="n"/>
      <c r="B417" s="115" t="n"/>
      <c r="C417" s="115" t="n"/>
      <c r="D417" s="115" t="n"/>
      <c r="E417" s="115" t="n"/>
      <c r="F417" s="115" t="n"/>
      <c r="G417" s="115" t="n"/>
      <c r="H417" s="115" t="n"/>
      <c r="I417" s="115" t="n"/>
      <c r="J417" s="115" t="n"/>
      <c r="K417" s="115" t="n"/>
      <c r="L417" s="115" t="n"/>
      <c r="M417" s="115" t="n"/>
      <c r="N417" s="115" t="n"/>
      <c r="O417" s="115" t="n"/>
      <c r="P417" s="115" t="n"/>
      <c r="Q417" s="115" t="n"/>
      <c r="R417" s="115" t="n"/>
      <c r="S417" s="115" t="n"/>
      <c r="T417" s="115" t="n"/>
      <c r="U417" s="116" t="n"/>
      <c r="V417" s="116" t="n"/>
      <c r="W417" s="117" t="n"/>
      <c r="X417" s="118" t="n"/>
      <c r="Y417" s="119" t="n"/>
      <c r="Z417" s="120" t="n"/>
      <c r="AA417" s="121" t="n"/>
      <c r="AB417" s="122" t="n"/>
      <c r="AC417" s="117" t="n"/>
      <c r="AD417" s="123">
        <f>IF(SUM($AE417:$AH417)=0,"",SUM($AE417:$AH417))</f>
        <v/>
      </c>
      <c r="AE417" s="123">
        <f>iferror(IF(SUM($AI417:$AZ417)=0,"",SUM($AI417:$AZ417)),"")</f>
        <v/>
      </c>
      <c r="AF417" s="123">
        <f>iferror(IF(SUM($BA417:$BC417)=0,"",SUM($BA417:$BC417)),"")</f>
        <v/>
      </c>
      <c r="AG417" s="123">
        <f>iferror(IF(SUM($BD417:$BF417)=0,"",SUM($BD417:$BF417)),"")</f>
        <v/>
      </c>
      <c r="AH417" s="124">
        <f>iferror(IF(SUM($BG417:$BI417)=0,"",SUM($BG417:$BI417)),"")</f>
        <v/>
      </c>
      <c r="AI417" s="131" t="n"/>
      <c r="AJ417" s="132" t="n"/>
      <c r="AK417" s="132" t="n"/>
      <c r="AL417" s="132" t="n"/>
      <c r="AM417" s="132" t="n"/>
      <c r="AN417" s="132" t="n"/>
      <c r="AO417" s="132" t="n"/>
      <c r="AP417" s="132" t="n"/>
      <c r="AQ417" s="132" t="n"/>
      <c r="AR417" s="132" t="n"/>
      <c r="AS417" s="132" t="n"/>
      <c r="AT417" s="132" t="n"/>
      <c r="AU417" s="132" t="n"/>
      <c r="AV417" s="132" t="n"/>
      <c r="AW417" s="132" t="n"/>
      <c r="AX417" s="132" t="n"/>
      <c r="AY417" s="132" t="n"/>
      <c r="AZ417" s="133" t="n"/>
      <c r="BA417" s="131" t="n"/>
      <c r="BB417" s="132" t="n"/>
      <c r="BC417" s="133" t="n"/>
      <c r="BD417" s="131" t="n"/>
      <c r="BE417" s="132" t="n"/>
      <c r="BF417" s="133" t="n"/>
      <c r="BG417" s="131" t="n"/>
      <c r="BH417" s="132" t="n"/>
      <c r="BI417" s="132" t="n"/>
      <c r="BJ417" s="128">
        <f>iferror(SUM($BK417,($BL417*1.2),($BM417*1.35),($BN417*0.74)),)</f>
        <v/>
      </c>
      <c r="BK417" s="128">
        <f>IFERROR(SUM($BT417:$CK417),)</f>
        <v/>
      </c>
      <c r="BL417" s="129">
        <f>IFERROR(SUM($CL417:$CN417),)</f>
        <v/>
      </c>
      <c r="BM417" s="130">
        <f>IFERROR(SUM($CO417:$CQ417),)</f>
        <v/>
      </c>
      <c r="BN417" s="128">
        <f>IFERROR(SUM($CR417:$CT417),)</f>
        <v/>
      </c>
      <c r="BO417" s="128">
        <f>iferror(SUM($BP417,($BQ417*1.2),($BR417*1.35),($BS417*0.74)),)</f>
        <v/>
      </c>
      <c r="BP417" s="128">
        <f>IFERROR(SUM($CU417:$DL417),)</f>
        <v/>
      </c>
      <c r="BQ417" s="128">
        <f>IFERROR(SUM($DM417:$DO417),)</f>
        <v/>
      </c>
      <c r="BR417" s="128">
        <f>IFERROR(SUM($DP417:$DR417),)</f>
        <v/>
      </c>
      <c r="BS417" s="128">
        <f>IFERROR(SUM($DS417:$DU417),)</f>
        <v/>
      </c>
      <c r="BT417" s="128">
        <f>IFERROR(AI417*$W417,)</f>
        <v/>
      </c>
      <c r="BU417" s="128">
        <f>IFERROR(AJ417*$W417,)</f>
        <v/>
      </c>
      <c r="BV417" s="128">
        <f>IFERROR(AK417*$W417,)</f>
        <v/>
      </c>
      <c r="BW417" s="128">
        <f>IFERROR(AL417*$W417,)</f>
        <v/>
      </c>
      <c r="BX417" s="128">
        <f>IFERROR(AM417*$W417,)</f>
        <v/>
      </c>
      <c r="BY417" s="128">
        <f>IFERROR(AN417*$W417,)</f>
        <v/>
      </c>
      <c r="BZ417" s="128">
        <f>IFERROR(AO417*$W417,)</f>
        <v/>
      </c>
      <c r="CA417" s="128">
        <f>IFERROR(AP417*$W417,)</f>
        <v/>
      </c>
      <c r="CB417" s="128">
        <f>IFERROR(AQ417*$W417,)</f>
        <v/>
      </c>
      <c r="CC417" s="128">
        <f>IFERROR(AR417*$W417,)</f>
        <v/>
      </c>
      <c r="CD417" s="128">
        <f>IFERROR(AS417*$W417,)</f>
        <v/>
      </c>
      <c r="CE417" s="128">
        <f>IFERROR(AT417*$W417,)</f>
        <v/>
      </c>
      <c r="CF417" s="128">
        <f>IFERROR(AU417*$W417,)</f>
        <v/>
      </c>
      <c r="CG417" s="128">
        <f>IFERROR(AV417*$W417,)</f>
        <v/>
      </c>
      <c r="CH417" s="128">
        <f>IFERROR(AW417*$W417,)</f>
        <v/>
      </c>
      <c r="CI417" s="128">
        <f>IFERROR(AX417*$W417,)</f>
        <v/>
      </c>
      <c r="CJ417" s="128">
        <f>IFERROR(AY417*$W417,)</f>
        <v/>
      </c>
      <c r="CK417" s="128">
        <f>IFERROR(AZ417*$W417,)</f>
        <v/>
      </c>
      <c r="CL417" s="129">
        <f>IFERROR(if($Y417=0,BA417*($W417/1.2),BA417*$Y417),"")</f>
        <v/>
      </c>
      <c r="CM417" s="129">
        <f>IFERROR(if($Y417=0,BB417*($W417/1.2),BB417*$Y417),"")</f>
        <v/>
      </c>
      <c r="CN417" s="129">
        <f>IFERROR(if($Y417=0,BC417*($W417/1.2),BC417*$Y417),"")</f>
        <v/>
      </c>
      <c r="CO417" s="130">
        <f>IFERROR(if($AA417=0,($W417/1.35)*BD417,BD417*$AA417),)</f>
        <v/>
      </c>
      <c r="CP417" s="130">
        <f>IFERROR(if($AA417=0,($W417/1.35)*BE417,BE417*$AA417),)</f>
        <v/>
      </c>
      <c r="CQ417" s="130">
        <f>IFERROR(if($AA417=0,($W417/1.35)*BF417,BF417*$AA417),)</f>
        <v/>
      </c>
      <c r="CR417" s="128">
        <f>IFERROR(if($AC417=0,($W417/0.74)*BG417,
BG417*$AC417),)</f>
        <v/>
      </c>
      <c r="CS417" s="128">
        <f>IFERROR(if($AC417=0,($W417/0.74)*BH417,
BH417*$AC417),)</f>
        <v/>
      </c>
      <c r="CT417" s="128">
        <f>IFERROR(if($AC417=0,($W417/0.74)*BI417,
BI417*$AC417),)</f>
        <v/>
      </c>
      <c r="CU417" s="128">
        <f>IFERROR(AI417*$V417,)</f>
        <v/>
      </c>
      <c r="CV417" s="128">
        <f>IFERROR(AJ417*$V417,)</f>
        <v/>
      </c>
      <c r="CW417" s="128">
        <f>IFERROR(AK417*$V417,)</f>
        <v/>
      </c>
      <c r="CX417" s="128">
        <f>IFERROR(AL417*$V417,)</f>
        <v/>
      </c>
      <c r="CY417" s="128">
        <f>IFERROR(AM417*$V417,)</f>
        <v/>
      </c>
      <c r="CZ417" s="128">
        <f>IFERROR(AN417*$V417,)</f>
        <v/>
      </c>
      <c r="DA417" s="128">
        <f>IFERROR(AO417*$V417,)</f>
        <v/>
      </c>
      <c r="DB417" s="128">
        <f>IFERROR(AP417*$V417,)</f>
        <v/>
      </c>
      <c r="DC417" s="128">
        <f>IFERROR(AQ417*$V417,)</f>
        <v/>
      </c>
      <c r="DD417" s="128">
        <f>IFERROR(AR417*$V417,)</f>
        <v/>
      </c>
      <c r="DE417" s="128">
        <f>IFERROR(AS417*$V417,)</f>
        <v/>
      </c>
      <c r="DF417" s="128">
        <f>IFERROR(AT417*$V417,)</f>
        <v/>
      </c>
      <c r="DG417" s="128">
        <f>IFERROR(AU417*$V417,)</f>
        <v/>
      </c>
      <c r="DH417" s="128">
        <f>IFERROR(AV417*$V417,)</f>
        <v/>
      </c>
      <c r="DI417" s="128">
        <f>IFERROR(AW417*$V417,)</f>
        <v/>
      </c>
      <c r="DJ417" s="128">
        <f>IFERROR(AX417*$V417,)</f>
        <v/>
      </c>
      <c r="DK417" s="128">
        <f>IFERROR(AY417*$V417,)</f>
        <v/>
      </c>
      <c r="DL417" s="128">
        <f>IFERROR(AZ417*$V417,)</f>
        <v/>
      </c>
      <c r="DM417" s="129">
        <f>IFERROR(if($X417=0,($V417/1.2)*BA417,
BA417*$X417),)</f>
        <v/>
      </c>
      <c r="DN417" s="129">
        <f>IFERROR(if($X417=0,($V417/1.2)*BB417,
BB417*$X417),)</f>
        <v/>
      </c>
      <c r="DO417" s="129">
        <f>IFERROR(if($X417=0,($V417/1.2)*BC417,
BC417*$X417),)</f>
        <v/>
      </c>
      <c r="DP417" s="130">
        <f>IFERROR(if($Z417=0,($V417/1.35)*BD417,
BD417*$Z417),)</f>
        <v/>
      </c>
      <c r="DQ417" s="130">
        <f>IFERROR(if($Z417=0,($V417/1.35)*BE417,
BE417*$Z417),)</f>
        <v/>
      </c>
      <c r="DR417" s="130">
        <f>IFERROR(if($Z417=0,($V417/1.35)*BF417,
BF417*$Z417),)</f>
        <v/>
      </c>
      <c r="DS417" s="128">
        <f>IFERROR(IF($AB417=0,($V417/0.74)*BG417,
BG417*$AB417),)</f>
        <v/>
      </c>
      <c r="DT417" s="128">
        <f>IFERROR(IF($AB417=0,($V417/0.74)*BH417,
BH417*$AB417),)</f>
        <v/>
      </c>
      <c r="DU417" s="128">
        <f>IFERROR(IF($AB417=0,($V417/0.74)*BI417,
BI417*$AB417),)</f>
        <v/>
      </c>
    </row>
    <row r="418" ht="131.25" customHeight="1" s="162">
      <c r="A418" s="115" t="n"/>
      <c r="B418" s="115" t="n"/>
      <c r="C418" s="115" t="n"/>
      <c r="D418" s="115" t="n"/>
      <c r="E418" s="115" t="n"/>
      <c r="F418" s="115" t="n"/>
      <c r="G418" s="115" t="n"/>
      <c r="H418" s="115" t="n"/>
      <c r="I418" s="115" t="n"/>
      <c r="J418" s="115" t="n"/>
      <c r="K418" s="115" t="n"/>
      <c r="L418" s="115" t="n"/>
      <c r="M418" s="115" t="n"/>
      <c r="N418" s="115" t="n"/>
      <c r="O418" s="115" t="n"/>
      <c r="P418" s="115" t="n"/>
      <c r="Q418" s="115" t="n"/>
      <c r="R418" s="115" t="n"/>
      <c r="S418" s="115" t="n"/>
      <c r="T418" s="115" t="n"/>
      <c r="U418" s="116" t="n"/>
      <c r="V418" s="116" t="n"/>
      <c r="W418" s="117" t="n"/>
      <c r="X418" s="118" t="n"/>
      <c r="Y418" s="119" t="n"/>
      <c r="Z418" s="120" t="n"/>
      <c r="AA418" s="121" t="n"/>
      <c r="AB418" s="122" t="n"/>
      <c r="AC418" s="117" t="n"/>
      <c r="AD418" s="123">
        <f>IF(SUM($AE418:$AH418)=0,"",SUM($AE418:$AH418))</f>
        <v/>
      </c>
      <c r="AE418" s="123">
        <f>iferror(IF(SUM($AI418:$AZ418)=0,"",SUM($AI418:$AZ418)),"")</f>
        <v/>
      </c>
      <c r="AF418" s="123">
        <f>iferror(IF(SUM($BA418:$BC418)=0,"",SUM($BA418:$BC418)),"")</f>
        <v/>
      </c>
      <c r="AG418" s="123">
        <f>iferror(IF(SUM($BD418:$BF418)=0,"",SUM($BD418:$BF418)),"")</f>
        <v/>
      </c>
      <c r="AH418" s="124">
        <f>iferror(IF(SUM($BG418:$BI418)=0,"",SUM($BG418:$BI418)),"")</f>
        <v/>
      </c>
      <c r="AI418" s="131" t="n"/>
      <c r="AJ418" s="132" t="n"/>
      <c r="AK418" s="132" t="n"/>
      <c r="AL418" s="132" t="n"/>
      <c r="AM418" s="132" t="n"/>
      <c r="AN418" s="132" t="n"/>
      <c r="AO418" s="132" t="n"/>
      <c r="AP418" s="132" t="n"/>
      <c r="AQ418" s="132" t="n"/>
      <c r="AR418" s="132" t="n"/>
      <c r="AS418" s="132" t="n"/>
      <c r="AT418" s="132" t="n"/>
      <c r="AU418" s="132" t="n"/>
      <c r="AV418" s="132" t="n"/>
      <c r="AW418" s="132" t="n"/>
      <c r="AX418" s="132" t="n"/>
      <c r="AY418" s="132" t="n"/>
      <c r="AZ418" s="133" t="n"/>
      <c r="BA418" s="131" t="n"/>
      <c r="BB418" s="132" t="n"/>
      <c r="BC418" s="133" t="n"/>
      <c r="BD418" s="131" t="n"/>
      <c r="BE418" s="132" t="n"/>
      <c r="BF418" s="133" t="n"/>
      <c r="BG418" s="131" t="n"/>
      <c r="BH418" s="132" t="n"/>
      <c r="BI418" s="132" t="n"/>
      <c r="BJ418" s="128">
        <f>iferror(SUM($BK418,($BL418*1.2),($BM418*1.35),($BN418*0.74)),)</f>
        <v/>
      </c>
      <c r="BK418" s="128">
        <f>IFERROR(SUM($BT418:$CK418),)</f>
        <v/>
      </c>
      <c r="BL418" s="129">
        <f>IFERROR(SUM($CL418:$CN418),)</f>
        <v/>
      </c>
      <c r="BM418" s="130">
        <f>IFERROR(SUM($CO418:$CQ418),)</f>
        <v/>
      </c>
      <c r="BN418" s="128">
        <f>IFERROR(SUM($CR418:$CT418),)</f>
        <v/>
      </c>
      <c r="BO418" s="128">
        <f>iferror(SUM($BP418,($BQ418*1.2),($BR418*1.35),($BS418*0.74)),)</f>
        <v/>
      </c>
      <c r="BP418" s="128">
        <f>IFERROR(SUM($CU418:$DL418),)</f>
        <v/>
      </c>
      <c r="BQ418" s="128">
        <f>IFERROR(SUM($DM418:$DO418),)</f>
        <v/>
      </c>
      <c r="BR418" s="128">
        <f>IFERROR(SUM($DP418:$DR418),)</f>
        <v/>
      </c>
      <c r="BS418" s="128">
        <f>IFERROR(SUM($DS418:$DU418),)</f>
        <v/>
      </c>
      <c r="BT418" s="128">
        <f>IFERROR(AI418*$W418,)</f>
        <v/>
      </c>
      <c r="BU418" s="128">
        <f>IFERROR(AJ418*$W418,)</f>
        <v/>
      </c>
      <c r="BV418" s="128">
        <f>IFERROR(AK418*$W418,)</f>
        <v/>
      </c>
      <c r="BW418" s="128">
        <f>IFERROR(AL418*$W418,)</f>
        <v/>
      </c>
      <c r="BX418" s="128">
        <f>IFERROR(AM418*$W418,)</f>
        <v/>
      </c>
      <c r="BY418" s="128">
        <f>IFERROR(AN418*$W418,)</f>
        <v/>
      </c>
      <c r="BZ418" s="128">
        <f>IFERROR(AO418*$W418,)</f>
        <v/>
      </c>
      <c r="CA418" s="128">
        <f>IFERROR(AP418*$W418,)</f>
        <v/>
      </c>
      <c r="CB418" s="128">
        <f>IFERROR(AQ418*$W418,)</f>
        <v/>
      </c>
      <c r="CC418" s="128">
        <f>IFERROR(AR418*$W418,)</f>
        <v/>
      </c>
      <c r="CD418" s="128">
        <f>IFERROR(AS418*$W418,)</f>
        <v/>
      </c>
      <c r="CE418" s="128">
        <f>IFERROR(AT418*$W418,)</f>
        <v/>
      </c>
      <c r="CF418" s="128">
        <f>IFERROR(AU418*$W418,)</f>
        <v/>
      </c>
      <c r="CG418" s="128">
        <f>IFERROR(AV418*$W418,)</f>
        <v/>
      </c>
      <c r="CH418" s="128">
        <f>IFERROR(AW418*$W418,)</f>
        <v/>
      </c>
      <c r="CI418" s="128">
        <f>IFERROR(AX418*$W418,)</f>
        <v/>
      </c>
      <c r="CJ418" s="128">
        <f>IFERROR(AY418*$W418,)</f>
        <v/>
      </c>
      <c r="CK418" s="128">
        <f>IFERROR(AZ418*$W418,)</f>
        <v/>
      </c>
      <c r="CL418" s="129">
        <f>IFERROR(if($Y418=0,BA418*($W418/1.2),BA418*$Y418),"")</f>
        <v/>
      </c>
      <c r="CM418" s="129">
        <f>IFERROR(if($Y418=0,BB418*($W418/1.2),BB418*$Y418),"")</f>
        <v/>
      </c>
      <c r="CN418" s="129">
        <f>IFERROR(if($Y418=0,BC418*($W418/1.2),BC418*$Y418),"")</f>
        <v/>
      </c>
      <c r="CO418" s="130">
        <f>IFERROR(if($AA418=0,($W418/1.35)*BD418,BD418*$AA418),)</f>
        <v/>
      </c>
      <c r="CP418" s="130">
        <f>IFERROR(if($AA418=0,($W418/1.35)*BE418,BE418*$AA418),)</f>
        <v/>
      </c>
      <c r="CQ418" s="130">
        <f>IFERROR(if($AA418=0,($W418/1.35)*BF418,BF418*$AA418),)</f>
        <v/>
      </c>
      <c r="CR418" s="128">
        <f>IFERROR(if($AC418=0,($W418/0.74)*BG418,
BG418*$AC418),)</f>
        <v/>
      </c>
      <c r="CS418" s="128">
        <f>IFERROR(if($AC418=0,($W418/0.74)*BH418,
BH418*$AC418),)</f>
        <v/>
      </c>
      <c r="CT418" s="128">
        <f>IFERROR(if($AC418=0,($W418/0.74)*BI418,
BI418*$AC418),)</f>
        <v/>
      </c>
      <c r="CU418" s="128">
        <f>IFERROR(AI418*$V418,)</f>
        <v/>
      </c>
      <c r="CV418" s="128">
        <f>IFERROR(AJ418*$V418,)</f>
        <v/>
      </c>
      <c r="CW418" s="128">
        <f>IFERROR(AK418*$V418,)</f>
        <v/>
      </c>
      <c r="CX418" s="128">
        <f>IFERROR(AL418*$V418,)</f>
        <v/>
      </c>
      <c r="CY418" s="128">
        <f>IFERROR(AM418*$V418,)</f>
        <v/>
      </c>
      <c r="CZ418" s="128">
        <f>IFERROR(AN418*$V418,)</f>
        <v/>
      </c>
      <c r="DA418" s="128">
        <f>IFERROR(AO418*$V418,)</f>
        <v/>
      </c>
      <c r="DB418" s="128">
        <f>IFERROR(AP418*$V418,)</f>
        <v/>
      </c>
      <c r="DC418" s="128">
        <f>IFERROR(AQ418*$V418,)</f>
        <v/>
      </c>
      <c r="DD418" s="128">
        <f>IFERROR(AR418*$V418,)</f>
        <v/>
      </c>
      <c r="DE418" s="128">
        <f>IFERROR(AS418*$V418,)</f>
        <v/>
      </c>
      <c r="DF418" s="128">
        <f>IFERROR(AT418*$V418,)</f>
        <v/>
      </c>
      <c r="DG418" s="128">
        <f>IFERROR(AU418*$V418,)</f>
        <v/>
      </c>
      <c r="DH418" s="128">
        <f>IFERROR(AV418*$V418,)</f>
        <v/>
      </c>
      <c r="DI418" s="128">
        <f>IFERROR(AW418*$V418,)</f>
        <v/>
      </c>
      <c r="DJ418" s="128">
        <f>IFERROR(AX418*$V418,)</f>
        <v/>
      </c>
      <c r="DK418" s="128">
        <f>IFERROR(AY418*$V418,)</f>
        <v/>
      </c>
      <c r="DL418" s="128">
        <f>IFERROR(AZ418*$V418,)</f>
        <v/>
      </c>
      <c r="DM418" s="129">
        <f>IFERROR(if($X418=0,($V418/1.2)*BA418,
BA418*$X418),)</f>
        <v/>
      </c>
      <c r="DN418" s="129">
        <f>IFERROR(if($X418=0,($V418/1.2)*BB418,
BB418*$X418),)</f>
        <v/>
      </c>
      <c r="DO418" s="129">
        <f>IFERROR(if($X418=0,($V418/1.2)*BC418,
BC418*$X418),)</f>
        <v/>
      </c>
      <c r="DP418" s="130">
        <f>IFERROR(if($Z418=0,($V418/1.35)*BD418,
BD418*$Z418),)</f>
        <v/>
      </c>
      <c r="DQ418" s="130">
        <f>IFERROR(if($Z418=0,($V418/1.35)*BE418,
BE418*$Z418),)</f>
        <v/>
      </c>
      <c r="DR418" s="130">
        <f>IFERROR(if($Z418=0,($V418/1.35)*BF418,
BF418*$Z418),)</f>
        <v/>
      </c>
      <c r="DS418" s="128">
        <f>IFERROR(IF($AB418=0,($V418/0.74)*BG418,
BG418*$AB418),)</f>
        <v/>
      </c>
      <c r="DT418" s="128">
        <f>IFERROR(IF($AB418=0,($V418/0.74)*BH418,
BH418*$AB418),)</f>
        <v/>
      </c>
      <c r="DU418" s="128">
        <f>IFERROR(IF($AB418=0,($V418/0.74)*BI418,
BI418*$AB418),)</f>
        <v/>
      </c>
    </row>
    <row r="419" ht="131.25" customHeight="1" s="162">
      <c r="A419" s="115" t="n"/>
      <c r="B419" s="115" t="n"/>
      <c r="C419" s="115" t="n"/>
      <c r="D419" s="115" t="n"/>
      <c r="E419" s="115" t="n"/>
      <c r="F419" s="115" t="n"/>
      <c r="G419" s="115" t="n"/>
      <c r="H419" s="115" t="n"/>
      <c r="I419" s="115" t="n"/>
      <c r="J419" s="115" t="n"/>
      <c r="K419" s="115" t="n"/>
      <c r="L419" s="115" t="n"/>
      <c r="M419" s="115" t="n"/>
      <c r="N419" s="115" t="n"/>
      <c r="O419" s="115" t="n"/>
      <c r="P419" s="115" t="n"/>
      <c r="Q419" s="115" t="n"/>
      <c r="R419" s="115" t="n"/>
      <c r="S419" s="115" t="n"/>
      <c r="T419" s="115" t="n"/>
      <c r="U419" s="116" t="n"/>
      <c r="V419" s="116" t="n"/>
      <c r="W419" s="117" t="n"/>
      <c r="X419" s="118" t="n"/>
      <c r="Y419" s="119" t="n"/>
      <c r="Z419" s="120" t="n"/>
      <c r="AA419" s="121" t="n"/>
      <c r="AB419" s="122" t="n"/>
      <c r="AC419" s="117" t="n"/>
      <c r="AD419" s="123">
        <f>IF(SUM($AE419:$AH419)=0,"",SUM($AE419:$AH419))</f>
        <v/>
      </c>
      <c r="AE419" s="123">
        <f>iferror(IF(SUM($AI419:$AZ419)=0,"",SUM($AI419:$AZ419)),"")</f>
        <v/>
      </c>
      <c r="AF419" s="123">
        <f>iferror(IF(SUM($BA419:$BC419)=0,"",SUM($BA419:$BC419)),"")</f>
        <v/>
      </c>
      <c r="AG419" s="123">
        <f>iferror(IF(SUM($BD419:$BF419)=0,"",SUM($BD419:$BF419)),"")</f>
        <v/>
      </c>
      <c r="AH419" s="124">
        <f>iferror(IF(SUM($BG419:$BI419)=0,"",SUM($BG419:$BI419)),"")</f>
        <v/>
      </c>
      <c r="AI419" s="131" t="n"/>
      <c r="AJ419" s="132" t="n"/>
      <c r="AK419" s="132" t="n"/>
      <c r="AL419" s="132" t="n"/>
      <c r="AM419" s="132" t="n"/>
      <c r="AN419" s="132" t="n"/>
      <c r="AO419" s="132" t="n"/>
      <c r="AP419" s="132" t="n"/>
      <c r="AQ419" s="132" t="n"/>
      <c r="AR419" s="132" t="n"/>
      <c r="AS419" s="132" t="n"/>
      <c r="AT419" s="132" t="n"/>
      <c r="AU419" s="132" t="n"/>
      <c r="AV419" s="132" t="n"/>
      <c r="AW419" s="132" t="n"/>
      <c r="AX419" s="132" t="n"/>
      <c r="AY419" s="132" t="n"/>
      <c r="AZ419" s="133" t="n"/>
      <c r="BA419" s="131" t="n"/>
      <c r="BB419" s="132" t="n"/>
      <c r="BC419" s="133" t="n"/>
      <c r="BD419" s="131" t="n"/>
      <c r="BE419" s="132" t="n"/>
      <c r="BF419" s="133" t="n"/>
      <c r="BG419" s="131" t="n"/>
      <c r="BH419" s="132" t="n"/>
      <c r="BI419" s="132" t="n"/>
      <c r="BJ419" s="128">
        <f>iferror(SUM($BK419,($BL419*1.2),($BM419*1.35),($BN419*0.74)),)</f>
        <v/>
      </c>
      <c r="BK419" s="128">
        <f>IFERROR(SUM($BT419:$CK419),)</f>
        <v/>
      </c>
      <c r="BL419" s="129">
        <f>IFERROR(SUM($CL419:$CN419),)</f>
        <v/>
      </c>
      <c r="BM419" s="130">
        <f>IFERROR(SUM($CO419:$CQ419),)</f>
        <v/>
      </c>
      <c r="BN419" s="128">
        <f>IFERROR(SUM($CR419:$CT419),)</f>
        <v/>
      </c>
      <c r="BO419" s="128">
        <f>iferror(SUM($BP419,($BQ419*1.2),($BR419*1.35),($BS419*0.74)),)</f>
        <v/>
      </c>
      <c r="BP419" s="128">
        <f>IFERROR(SUM($CU419:$DL419),)</f>
        <v/>
      </c>
      <c r="BQ419" s="128">
        <f>IFERROR(SUM($DM419:$DO419),)</f>
        <v/>
      </c>
      <c r="BR419" s="128">
        <f>IFERROR(SUM($DP419:$DR419),)</f>
        <v/>
      </c>
      <c r="BS419" s="128">
        <f>IFERROR(SUM($DS419:$DU419),)</f>
        <v/>
      </c>
      <c r="BT419" s="128">
        <f>IFERROR(AI419*$W419,)</f>
        <v/>
      </c>
      <c r="BU419" s="128">
        <f>IFERROR(AJ419*$W419,)</f>
        <v/>
      </c>
      <c r="BV419" s="128">
        <f>IFERROR(AK419*$W419,)</f>
        <v/>
      </c>
      <c r="BW419" s="128">
        <f>IFERROR(AL419*$W419,)</f>
        <v/>
      </c>
      <c r="BX419" s="128">
        <f>IFERROR(AM419*$W419,)</f>
        <v/>
      </c>
      <c r="BY419" s="128">
        <f>IFERROR(AN419*$W419,)</f>
        <v/>
      </c>
      <c r="BZ419" s="128">
        <f>IFERROR(AO419*$W419,)</f>
        <v/>
      </c>
      <c r="CA419" s="128">
        <f>IFERROR(AP419*$W419,)</f>
        <v/>
      </c>
      <c r="CB419" s="128">
        <f>IFERROR(AQ419*$W419,)</f>
        <v/>
      </c>
      <c r="CC419" s="128">
        <f>IFERROR(AR419*$W419,)</f>
        <v/>
      </c>
      <c r="CD419" s="128">
        <f>IFERROR(AS419*$W419,)</f>
        <v/>
      </c>
      <c r="CE419" s="128">
        <f>IFERROR(AT419*$W419,)</f>
        <v/>
      </c>
      <c r="CF419" s="128">
        <f>IFERROR(AU419*$W419,)</f>
        <v/>
      </c>
      <c r="CG419" s="128">
        <f>IFERROR(AV419*$W419,)</f>
        <v/>
      </c>
      <c r="CH419" s="128">
        <f>IFERROR(AW419*$W419,)</f>
        <v/>
      </c>
      <c r="CI419" s="128">
        <f>IFERROR(AX419*$W419,)</f>
        <v/>
      </c>
      <c r="CJ419" s="128">
        <f>IFERROR(AY419*$W419,)</f>
        <v/>
      </c>
      <c r="CK419" s="128">
        <f>IFERROR(AZ419*$W419,)</f>
        <v/>
      </c>
      <c r="CL419" s="129">
        <f>IFERROR(if($Y419=0,BA419*($W419/1.2),BA419*$Y419),"")</f>
        <v/>
      </c>
      <c r="CM419" s="129">
        <f>IFERROR(if($Y419=0,BB419*($W419/1.2),BB419*$Y419),"")</f>
        <v/>
      </c>
      <c r="CN419" s="129">
        <f>IFERROR(if($Y419=0,BC419*($W419/1.2),BC419*$Y419),"")</f>
        <v/>
      </c>
      <c r="CO419" s="130">
        <f>IFERROR(if($AA419=0,($W419/1.35)*BD419,BD419*$AA419),)</f>
        <v/>
      </c>
      <c r="CP419" s="130">
        <f>IFERROR(if($AA419=0,($W419/1.35)*BE419,BE419*$AA419),)</f>
        <v/>
      </c>
      <c r="CQ419" s="130">
        <f>IFERROR(if($AA419=0,($W419/1.35)*BF419,BF419*$AA419),)</f>
        <v/>
      </c>
      <c r="CR419" s="128">
        <f>IFERROR(if($AC419=0,($W419/0.74)*BG419,
BG419*$AC419),)</f>
        <v/>
      </c>
      <c r="CS419" s="128">
        <f>IFERROR(if($AC419=0,($W419/0.74)*BH419,
BH419*$AC419),)</f>
        <v/>
      </c>
      <c r="CT419" s="128">
        <f>IFERROR(if($AC419=0,($W419/0.74)*BI419,
BI419*$AC419),)</f>
        <v/>
      </c>
      <c r="CU419" s="128">
        <f>IFERROR(AI419*$V419,)</f>
        <v/>
      </c>
      <c r="CV419" s="128">
        <f>IFERROR(AJ419*$V419,)</f>
        <v/>
      </c>
      <c r="CW419" s="128">
        <f>IFERROR(AK419*$V419,)</f>
        <v/>
      </c>
      <c r="CX419" s="128">
        <f>IFERROR(AL419*$V419,)</f>
        <v/>
      </c>
      <c r="CY419" s="128">
        <f>IFERROR(AM419*$V419,)</f>
        <v/>
      </c>
      <c r="CZ419" s="128">
        <f>IFERROR(AN419*$V419,)</f>
        <v/>
      </c>
      <c r="DA419" s="128">
        <f>IFERROR(AO419*$V419,)</f>
        <v/>
      </c>
      <c r="DB419" s="128">
        <f>IFERROR(AP419*$V419,)</f>
        <v/>
      </c>
      <c r="DC419" s="128">
        <f>IFERROR(AQ419*$V419,)</f>
        <v/>
      </c>
      <c r="DD419" s="128">
        <f>IFERROR(AR419*$V419,)</f>
        <v/>
      </c>
      <c r="DE419" s="128">
        <f>IFERROR(AS419*$V419,)</f>
        <v/>
      </c>
      <c r="DF419" s="128">
        <f>IFERROR(AT419*$V419,)</f>
        <v/>
      </c>
      <c r="DG419" s="128">
        <f>IFERROR(AU419*$V419,)</f>
        <v/>
      </c>
      <c r="DH419" s="128">
        <f>IFERROR(AV419*$V419,)</f>
        <v/>
      </c>
      <c r="DI419" s="128">
        <f>IFERROR(AW419*$V419,)</f>
        <v/>
      </c>
      <c r="DJ419" s="128">
        <f>IFERROR(AX419*$V419,)</f>
        <v/>
      </c>
      <c r="DK419" s="128">
        <f>IFERROR(AY419*$V419,)</f>
        <v/>
      </c>
      <c r="DL419" s="128">
        <f>IFERROR(AZ419*$V419,)</f>
        <v/>
      </c>
      <c r="DM419" s="129">
        <f>IFERROR(if($X419=0,($V419/1.2)*BA419,
BA419*$X419),)</f>
        <v/>
      </c>
      <c r="DN419" s="129">
        <f>IFERROR(if($X419=0,($V419/1.2)*BB419,
BB419*$X419),)</f>
        <v/>
      </c>
      <c r="DO419" s="129">
        <f>IFERROR(if($X419=0,($V419/1.2)*BC419,
BC419*$X419),)</f>
        <v/>
      </c>
      <c r="DP419" s="130">
        <f>IFERROR(if($Z419=0,($V419/1.35)*BD419,
BD419*$Z419),)</f>
        <v/>
      </c>
      <c r="DQ419" s="130">
        <f>IFERROR(if($Z419=0,($V419/1.35)*BE419,
BE419*$Z419),)</f>
        <v/>
      </c>
      <c r="DR419" s="130">
        <f>IFERROR(if($Z419=0,($V419/1.35)*BF419,
BF419*$Z419),)</f>
        <v/>
      </c>
      <c r="DS419" s="128">
        <f>IFERROR(IF($AB419=0,($V419/0.74)*BG419,
BG419*$AB419),)</f>
        <v/>
      </c>
      <c r="DT419" s="128">
        <f>IFERROR(IF($AB419=0,($V419/0.74)*BH419,
BH419*$AB419),)</f>
        <v/>
      </c>
      <c r="DU419" s="128">
        <f>IFERROR(IF($AB419=0,($V419/0.74)*BI419,
BI419*$AB419),)</f>
        <v/>
      </c>
    </row>
    <row r="420" ht="131.25" customHeight="1" s="162">
      <c r="A420" s="115" t="n"/>
      <c r="B420" s="115" t="n"/>
      <c r="C420" s="115" t="n"/>
      <c r="D420" s="115" t="n"/>
      <c r="E420" s="115" t="n"/>
      <c r="F420" s="115" t="n"/>
      <c r="G420" s="115" t="n"/>
      <c r="H420" s="115" t="n"/>
      <c r="I420" s="115" t="n"/>
      <c r="J420" s="115" t="n"/>
      <c r="K420" s="115" t="n"/>
      <c r="L420" s="115" t="n"/>
      <c r="M420" s="115" t="n"/>
      <c r="N420" s="115" t="n"/>
      <c r="O420" s="115" t="n"/>
      <c r="P420" s="115" t="n"/>
      <c r="Q420" s="115" t="n"/>
      <c r="R420" s="115" t="n"/>
      <c r="S420" s="115" t="n"/>
      <c r="T420" s="115" t="n"/>
      <c r="U420" s="116" t="n"/>
      <c r="V420" s="116" t="n"/>
      <c r="W420" s="117" t="n"/>
      <c r="X420" s="118" t="n"/>
      <c r="Y420" s="119" t="n"/>
      <c r="Z420" s="120" t="n"/>
      <c r="AA420" s="121" t="n"/>
      <c r="AB420" s="122" t="n"/>
      <c r="AC420" s="117" t="n"/>
      <c r="AD420" s="123">
        <f>IF(SUM($AE420:$AH420)=0,"",SUM($AE420:$AH420))</f>
        <v/>
      </c>
      <c r="AE420" s="123">
        <f>iferror(IF(SUM($AI420:$AZ420)=0,"",SUM($AI420:$AZ420)),"")</f>
        <v/>
      </c>
      <c r="AF420" s="123">
        <f>iferror(IF(SUM($BA420:$BC420)=0,"",SUM($BA420:$BC420)),"")</f>
        <v/>
      </c>
      <c r="AG420" s="123">
        <f>iferror(IF(SUM($BD420:$BF420)=0,"",SUM($BD420:$BF420)),"")</f>
        <v/>
      </c>
      <c r="AH420" s="124">
        <f>iferror(IF(SUM($BG420:$BI420)=0,"",SUM($BG420:$BI420)),"")</f>
        <v/>
      </c>
      <c r="AI420" s="131" t="n"/>
      <c r="AJ420" s="132" t="n"/>
      <c r="AK420" s="132" t="n"/>
      <c r="AL420" s="132" t="n"/>
      <c r="AM420" s="132" t="n"/>
      <c r="AN420" s="132" t="n"/>
      <c r="AO420" s="132" t="n"/>
      <c r="AP420" s="132" t="n"/>
      <c r="AQ420" s="132" t="n"/>
      <c r="AR420" s="132" t="n"/>
      <c r="AS420" s="132" t="n"/>
      <c r="AT420" s="132" t="n"/>
      <c r="AU420" s="132" t="n"/>
      <c r="AV420" s="132" t="n"/>
      <c r="AW420" s="132" t="n"/>
      <c r="AX420" s="132" t="n"/>
      <c r="AY420" s="132" t="n"/>
      <c r="AZ420" s="133" t="n"/>
      <c r="BA420" s="131" t="n"/>
      <c r="BB420" s="132" t="n"/>
      <c r="BC420" s="133" t="n"/>
      <c r="BD420" s="131" t="n"/>
      <c r="BE420" s="132" t="n"/>
      <c r="BF420" s="133" t="n"/>
      <c r="BG420" s="131" t="n"/>
      <c r="BH420" s="132" t="n"/>
      <c r="BI420" s="132" t="n"/>
      <c r="BJ420" s="128">
        <f>iferror(SUM($BK420,($BL420*1.2),($BM420*1.35),($BN420*0.74)),)</f>
        <v/>
      </c>
      <c r="BK420" s="128">
        <f>IFERROR(SUM($BT420:$CK420),)</f>
        <v/>
      </c>
      <c r="BL420" s="129">
        <f>IFERROR(SUM($CL420:$CN420),)</f>
        <v/>
      </c>
      <c r="BM420" s="130">
        <f>IFERROR(SUM($CO420:$CQ420),)</f>
        <v/>
      </c>
      <c r="BN420" s="128">
        <f>IFERROR(SUM($CR420:$CT420),)</f>
        <v/>
      </c>
      <c r="BO420" s="128">
        <f>iferror(SUM($BP420,($BQ420*1.2),($BR420*1.35),($BS420*0.74)),)</f>
        <v/>
      </c>
      <c r="BP420" s="128">
        <f>IFERROR(SUM($CU420:$DL420),)</f>
        <v/>
      </c>
      <c r="BQ420" s="128">
        <f>IFERROR(SUM($DM420:$DO420),)</f>
        <v/>
      </c>
      <c r="BR420" s="128">
        <f>IFERROR(SUM($DP420:$DR420),)</f>
        <v/>
      </c>
      <c r="BS420" s="128">
        <f>IFERROR(SUM($DS420:$DU420),)</f>
        <v/>
      </c>
      <c r="BT420" s="128">
        <f>IFERROR(AI420*$W420,)</f>
        <v/>
      </c>
      <c r="BU420" s="128">
        <f>IFERROR(AJ420*$W420,)</f>
        <v/>
      </c>
      <c r="BV420" s="128">
        <f>IFERROR(AK420*$W420,)</f>
        <v/>
      </c>
      <c r="BW420" s="128">
        <f>IFERROR(AL420*$W420,)</f>
        <v/>
      </c>
      <c r="BX420" s="128">
        <f>IFERROR(AM420*$W420,)</f>
        <v/>
      </c>
      <c r="BY420" s="128">
        <f>IFERROR(AN420*$W420,)</f>
        <v/>
      </c>
      <c r="BZ420" s="128">
        <f>IFERROR(AO420*$W420,)</f>
        <v/>
      </c>
      <c r="CA420" s="128">
        <f>IFERROR(AP420*$W420,)</f>
        <v/>
      </c>
      <c r="CB420" s="128">
        <f>IFERROR(AQ420*$W420,)</f>
        <v/>
      </c>
      <c r="CC420" s="128">
        <f>IFERROR(AR420*$W420,)</f>
        <v/>
      </c>
      <c r="CD420" s="128">
        <f>IFERROR(AS420*$W420,)</f>
        <v/>
      </c>
      <c r="CE420" s="128">
        <f>IFERROR(AT420*$W420,)</f>
        <v/>
      </c>
      <c r="CF420" s="128">
        <f>IFERROR(AU420*$W420,)</f>
        <v/>
      </c>
      <c r="CG420" s="128">
        <f>IFERROR(AV420*$W420,)</f>
        <v/>
      </c>
      <c r="CH420" s="128">
        <f>IFERROR(AW420*$W420,)</f>
        <v/>
      </c>
      <c r="CI420" s="128">
        <f>IFERROR(AX420*$W420,)</f>
        <v/>
      </c>
      <c r="CJ420" s="128">
        <f>IFERROR(AY420*$W420,)</f>
        <v/>
      </c>
      <c r="CK420" s="128">
        <f>IFERROR(AZ420*$W420,)</f>
        <v/>
      </c>
      <c r="CL420" s="129">
        <f>IFERROR(if($Y420=0,BA420*($W420/1.2),BA420*$Y420),"")</f>
        <v/>
      </c>
      <c r="CM420" s="129">
        <f>IFERROR(if($Y420=0,BB420*($W420/1.2),BB420*$Y420),"")</f>
        <v/>
      </c>
      <c r="CN420" s="129">
        <f>IFERROR(if($Y420=0,BC420*($W420/1.2),BC420*$Y420),"")</f>
        <v/>
      </c>
      <c r="CO420" s="130">
        <f>IFERROR(if($AA420=0,($W420/1.35)*BD420,BD420*$AA420),)</f>
        <v/>
      </c>
      <c r="CP420" s="130">
        <f>IFERROR(if($AA420=0,($W420/1.35)*BE420,BE420*$AA420),)</f>
        <v/>
      </c>
      <c r="CQ420" s="130">
        <f>IFERROR(if($AA420=0,($W420/1.35)*BF420,BF420*$AA420),)</f>
        <v/>
      </c>
      <c r="CR420" s="128">
        <f>IFERROR(if($AC420=0,($W420/0.74)*BG420,
BG420*$AC420),)</f>
        <v/>
      </c>
      <c r="CS420" s="128">
        <f>IFERROR(if($AC420=0,($W420/0.74)*BH420,
BH420*$AC420),)</f>
        <v/>
      </c>
      <c r="CT420" s="128">
        <f>IFERROR(if($AC420=0,($W420/0.74)*BI420,
BI420*$AC420),)</f>
        <v/>
      </c>
      <c r="CU420" s="128">
        <f>IFERROR(AI420*$V420,)</f>
        <v/>
      </c>
      <c r="CV420" s="128">
        <f>IFERROR(AJ420*$V420,)</f>
        <v/>
      </c>
      <c r="CW420" s="128">
        <f>IFERROR(AK420*$V420,)</f>
        <v/>
      </c>
      <c r="CX420" s="128">
        <f>IFERROR(AL420*$V420,)</f>
        <v/>
      </c>
      <c r="CY420" s="128">
        <f>IFERROR(AM420*$V420,)</f>
        <v/>
      </c>
      <c r="CZ420" s="128">
        <f>IFERROR(AN420*$V420,)</f>
        <v/>
      </c>
      <c r="DA420" s="128">
        <f>IFERROR(AO420*$V420,)</f>
        <v/>
      </c>
      <c r="DB420" s="128">
        <f>IFERROR(AP420*$V420,)</f>
        <v/>
      </c>
      <c r="DC420" s="128">
        <f>IFERROR(AQ420*$V420,)</f>
        <v/>
      </c>
      <c r="DD420" s="128">
        <f>IFERROR(AR420*$V420,)</f>
        <v/>
      </c>
      <c r="DE420" s="128">
        <f>IFERROR(AS420*$V420,)</f>
        <v/>
      </c>
      <c r="DF420" s="128">
        <f>IFERROR(AT420*$V420,)</f>
        <v/>
      </c>
      <c r="DG420" s="128">
        <f>IFERROR(AU420*$V420,)</f>
        <v/>
      </c>
      <c r="DH420" s="128">
        <f>IFERROR(AV420*$V420,)</f>
        <v/>
      </c>
      <c r="DI420" s="128">
        <f>IFERROR(AW420*$V420,)</f>
        <v/>
      </c>
      <c r="DJ420" s="128">
        <f>IFERROR(AX420*$V420,)</f>
        <v/>
      </c>
      <c r="DK420" s="128">
        <f>IFERROR(AY420*$V420,)</f>
        <v/>
      </c>
      <c r="DL420" s="128">
        <f>IFERROR(AZ420*$V420,)</f>
        <v/>
      </c>
      <c r="DM420" s="129">
        <f>IFERROR(if($X420=0,($V420/1.2)*BA420,
BA420*$X420),)</f>
        <v/>
      </c>
      <c r="DN420" s="129">
        <f>IFERROR(if($X420=0,($V420/1.2)*BB420,
BB420*$X420),)</f>
        <v/>
      </c>
      <c r="DO420" s="129">
        <f>IFERROR(if($X420=0,($V420/1.2)*BC420,
BC420*$X420),)</f>
        <v/>
      </c>
      <c r="DP420" s="130">
        <f>IFERROR(if($Z420=0,($V420/1.35)*BD420,
BD420*$Z420),)</f>
        <v/>
      </c>
      <c r="DQ420" s="130">
        <f>IFERROR(if($Z420=0,($V420/1.35)*BE420,
BE420*$Z420),)</f>
        <v/>
      </c>
      <c r="DR420" s="130">
        <f>IFERROR(if($Z420=0,($V420/1.35)*BF420,
BF420*$Z420),)</f>
        <v/>
      </c>
      <c r="DS420" s="128">
        <f>IFERROR(IF($AB420=0,($V420/0.74)*BG420,
BG420*$AB420),)</f>
        <v/>
      </c>
      <c r="DT420" s="128">
        <f>IFERROR(IF($AB420=0,($V420/0.74)*BH420,
BH420*$AB420),)</f>
        <v/>
      </c>
      <c r="DU420" s="128">
        <f>IFERROR(IF($AB420=0,($V420/0.74)*BI420,
BI420*$AB420),)</f>
        <v/>
      </c>
    </row>
    <row r="421" ht="131.25" customHeight="1" s="162">
      <c r="A421" s="115" t="n"/>
      <c r="B421" s="115" t="n"/>
      <c r="C421" s="115" t="n"/>
      <c r="D421" s="115" t="n"/>
      <c r="E421" s="115" t="n"/>
      <c r="F421" s="115" t="n"/>
      <c r="G421" s="115" t="n"/>
      <c r="H421" s="115" t="n"/>
      <c r="I421" s="115" t="n"/>
      <c r="J421" s="115" t="n"/>
      <c r="K421" s="115" t="n"/>
      <c r="L421" s="115" t="n"/>
      <c r="M421" s="115" t="n"/>
      <c r="N421" s="115" t="n"/>
      <c r="O421" s="115" t="n"/>
      <c r="P421" s="115" t="n"/>
      <c r="Q421" s="115" t="n"/>
      <c r="R421" s="115" t="n"/>
      <c r="S421" s="115" t="n"/>
      <c r="T421" s="115" t="n"/>
      <c r="U421" s="116" t="n"/>
      <c r="V421" s="116" t="n"/>
      <c r="W421" s="117" t="n"/>
      <c r="X421" s="118" t="n"/>
      <c r="Y421" s="119" t="n"/>
      <c r="Z421" s="120" t="n"/>
      <c r="AA421" s="121" t="n"/>
      <c r="AB421" s="122" t="n"/>
      <c r="AC421" s="117" t="n"/>
      <c r="AD421" s="123">
        <f>IF(SUM($AE421:$AH421)=0,"",SUM($AE421:$AH421))</f>
        <v/>
      </c>
      <c r="AE421" s="123">
        <f>iferror(IF(SUM($AI421:$AZ421)=0,"",SUM($AI421:$AZ421)),"")</f>
        <v/>
      </c>
      <c r="AF421" s="123">
        <f>iferror(IF(SUM($BA421:$BC421)=0,"",SUM($BA421:$BC421)),"")</f>
        <v/>
      </c>
      <c r="AG421" s="123">
        <f>iferror(IF(SUM($BD421:$BF421)=0,"",SUM($BD421:$BF421)),"")</f>
        <v/>
      </c>
      <c r="AH421" s="124">
        <f>iferror(IF(SUM($BG421:$BI421)=0,"",SUM($BG421:$BI421)),"")</f>
        <v/>
      </c>
      <c r="AI421" s="131" t="n"/>
      <c r="AJ421" s="132" t="n"/>
      <c r="AK421" s="132" t="n"/>
      <c r="AL421" s="132" t="n"/>
      <c r="AM421" s="132" t="n"/>
      <c r="AN421" s="132" t="n"/>
      <c r="AO421" s="132" t="n"/>
      <c r="AP421" s="132" t="n"/>
      <c r="AQ421" s="132" t="n"/>
      <c r="AR421" s="132" t="n"/>
      <c r="AS421" s="132" t="n"/>
      <c r="AT421" s="132" t="n"/>
      <c r="AU421" s="132" t="n"/>
      <c r="AV421" s="132" t="n"/>
      <c r="AW421" s="132" t="n"/>
      <c r="AX421" s="132" t="n"/>
      <c r="AY421" s="132" t="n"/>
      <c r="AZ421" s="133" t="n"/>
      <c r="BA421" s="131" t="n"/>
      <c r="BB421" s="132" t="n"/>
      <c r="BC421" s="133" t="n"/>
      <c r="BD421" s="131" t="n"/>
      <c r="BE421" s="132" t="n"/>
      <c r="BF421" s="133" t="n"/>
      <c r="BG421" s="131" t="n"/>
      <c r="BH421" s="132" t="n"/>
      <c r="BI421" s="132" t="n"/>
      <c r="BJ421" s="128">
        <f>iferror(SUM($BK421,($BL421*1.2),($BM421*1.35),($BN421*0.74)),)</f>
        <v/>
      </c>
      <c r="BK421" s="128">
        <f>IFERROR(SUM($BT421:$CK421),)</f>
        <v/>
      </c>
      <c r="BL421" s="129">
        <f>IFERROR(SUM($CL421:$CN421),)</f>
        <v/>
      </c>
      <c r="BM421" s="130">
        <f>IFERROR(SUM($CO421:$CQ421),)</f>
        <v/>
      </c>
      <c r="BN421" s="128">
        <f>IFERROR(SUM($CR421:$CT421),)</f>
        <v/>
      </c>
      <c r="BO421" s="128">
        <f>iferror(SUM($BP421,($BQ421*1.2),($BR421*1.35),($BS421*0.74)),)</f>
        <v/>
      </c>
      <c r="BP421" s="128">
        <f>IFERROR(SUM($CU421:$DL421),)</f>
        <v/>
      </c>
      <c r="BQ421" s="128">
        <f>IFERROR(SUM($DM421:$DO421),)</f>
        <v/>
      </c>
      <c r="BR421" s="128">
        <f>IFERROR(SUM($DP421:$DR421),)</f>
        <v/>
      </c>
      <c r="BS421" s="128">
        <f>IFERROR(SUM($DS421:$DU421),)</f>
        <v/>
      </c>
      <c r="BT421" s="128">
        <f>IFERROR(AI421*$W421,)</f>
        <v/>
      </c>
      <c r="BU421" s="128">
        <f>IFERROR(AJ421*$W421,)</f>
        <v/>
      </c>
      <c r="BV421" s="128">
        <f>IFERROR(AK421*$W421,)</f>
        <v/>
      </c>
      <c r="BW421" s="128">
        <f>IFERROR(AL421*$W421,)</f>
        <v/>
      </c>
      <c r="BX421" s="128">
        <f>IFERROR(AM421*$W421,)</f>
        <v/>
      </c>
      <c r="BY421" s="128">
        <f>IFERROR(AN421*$W421,)</f>
        <v/>
      </c>
      <c r="BZ421" s="128">
        <f>IFERROR(AO421*$W421,)</f>
        <v/>
      </c>
      <c r="CA421" s="128">
        <f>IFERROR(AP421*$W421,)</f>
        <v/>
      </c>
      <c r="CB421" s="128">
        <f>IFERROR(AQ421*$W421,)</f>
        <v/>
      </c>
      <c r="CC421" s="128">
        <f>IFERROR(AR421*$W421,)</f>
        <v/>
      </c>
      <c r="CD421" s="128">
        <f>IFERROR(AS421*$W421,)</f>
        <v/>
      </c>
      <c r="CE421" s="128">
        <f>IFERROR(AT421*$W421,)</f>
        <v/>
      </c>
      <c r="CF421" s="128">
        <f>IFERROR(AU421*$W421,)</f>
        <v/>
      </c>
      <c r="CG421" s="128">
        <f>IFERROR(AV421*$W421,)</f>
        <v/>
      </c>
      <c r="CH421" s="128">
        <f>IFERROR(AW421*$W421,)</f>
        <v/>
      </c>
      <c r="CI421" s="128">
        <f>IFERROR(AX421*$W421,)</f>
        <v/>
      </c>
      <c r="CJ421" s="128">
        <f>IFERROR(AY421*$W421,)</f>
        <v/>
      </c>
      <c r="CK421" s="128">
        <f>IFERROR(AZ421*$W421,)</f>
        <v/>
      </c>
      <c r="CL421" s="129">
        <f>IFERROR(if($Y421=0,BA421*($W421/1.2),BA421*$Y421),"")</f>
        <v/>
      </c>
      <c r="CM421" s="129">
        <f>IFERROR(if($Y421=0,BB421*($W421/1.2),BB421*$Y421),"")</f>
        <v/>
      </c>
      <c r="CN421" s="129">
        <f>IFERROR(if($Y421=0,BC421*($W421/1.2),BC421*$Y421),"")</f>
        <v/>
      </c>
      <c r="CO421" s="130">
        <f>IFERROR(if($AA421=0,($W421/1.35)*BD421,BD421*$AA421),)</f>
        <v/>
      </c>
      <c r="CP421" s="130">
        <f>IFERROR(if($AA421=0,($W421/1.35)*BE421,BE421*$AA421),)</f>
        <v/>
      </c>
      <c r="CQ421" s="130">
        <f>IFERROR(if($AA421=0,($W421/1.35)*BF421,BF421*$AA421),)</f>
        <v/>
      </c>
      <c r="CR421" s="128">
        <f>IFERROR(if($AC421=0,($W421/0.74)*BG421,
BG421*$AC421),)</f>
        <v/>
      </c>
      <c r="CS421" s="128">
        <f>IFERROR(if($AC421=0,($W421/0.74)*BH421,
BH421*$AC421),)</f>
        <v/>
      </c>
      <c r="CT421" s="128">
        <f>IFERROR(if($AC421=0,($W421/0.74)*BI421,
BI421*$AC421),)</f>
        <v/>
      </c>
      <c r="CU421" s="128">
        <f>IFERROR(AI421*$V421,)</f>
        <v/>
      </c>
      <c r="CV421" s="128">
        <f>IFERROR(AJ421*$V421,)</f>
        <v/>
      </c>
      <c r="CW421" s="128">
        <f>IFERROR(AK421*$V421,)</f>
        <v/>
      </c>
      <c r="CX421" s="128">
        <f>IFERROR(AL421*$V421,)</f>
        <v/>
      </c>
      <c r="CY421" s="128">
        <f>IFERROR(AM421*$V421,)</f>
        <v/>
      </c>
      <c r="CZ421" s="128">
        <f>IFERROR(AN421*$V421,)</f>
        <v/>
      </c>
      <c r="DA421" s="128">
        <f>IFERROR(AO421*$V421,)</f>
        <v/>
      </c>
      <c r="DB421" s="128">
        <f>IFERROR(AP421*$V421,)</f>
        <v/>
      </c>
      <c r="DC421" s="128">
        <f>IFERROR(AQ421*$V421,)</f>
        <v/>
      </c>
      <c r="DD421" s="128">
        <f>IFERROR(AR421*$V421,)</f>
        <v/>
      </c>
      <c r="DE421" s="128">
        <f>IFERROR(AS421*$V421,)</f>
        <v/>
      </c>
      <c r="DF421" s="128">
        <f>IFERROR(AT421*$V421,)</f>
        <v/>
      </c>
      <c r="DG421" s="128">
        <f>IFERROR(AU421*$V421,)</f>
        <v/>
      </c>
      <c r="DH421" s="128">
        <f>IFERROR(AV421*$V421,)</f>
        <v/>
      </c>
      <c r="DI421" s="128">
        <f>IFERROR(AW421*$V421,)</f>
        <v/>
      </c>
      <c r="DJ421" s="128">
        <f>IFERROR(AX421*$V421,)</f>
        <v/>
      </c>
      <c r="DK421" s="128">
        <f>IFERROR(AY421*$V421,)</f>
        <v/>
      </c>
      <c r="DL421" s="128">
        <f>IFERROR(AZ421*$V421,)</f>
        <v/>
      </c>
      <c r="DM421" s="129">
        <f>IFERROR(if($X421=0,($V421/1.2)*BA421,
BA421*$X421),)</f>
        <v/>
      </c>
      <c r="DN421" s="129">
        <f>IFERROR(if($X421=0,($V421/1.2)*BB421,
BB421*$X421),)</f>
        <v/>
      </c>
      <c r="DO421" s="129">
        <f>IFERROR(if($X421=0,($V421/1.2)*BC421,
BC421*$X421),)</f>
        <v/>
      </c>
      <c r="DP421" s="130">
        <f>IFERROR(if($Z421=0,($V421/1.35)*BD421,
BD421*$Z421),)</f>
        <v/>
      </c>
      <c r="DQ421" s="130">
        <f>IFERROR(if($Z421=0,($V421/1.35)*BE421,
BE421*$Z421),)</f>
        <v/>
      </c>
      <c r="DR421" s="130">
        <f>IFERROR(if($Z421=0,($V421/1.35)*BF421,
BF421*$Z421),)</f>
        <v/>
      </c>
      <c r="DS421" s="128">
        <f>IFERROR(IF($AB421=0,($V421/0.74)*BG421,
BG421*$AB421),)</f>
        <v/>
      </c>
      <c r="DT421" s="128">
        <f>IFERROR(IF($AB421=0,($V421/0.74)*BH421,
BH421*$AB421),)</f>
        <v/>
      </c>
      <c r="DU421" s="128">
        <f>IFERROR(IF($AB421=0,($V421/0.74)*BI421,
BI421*$AB421),)</f>
        <v/>
      </c>
    </row>
    <row r="422" ht="131.25" customHeight="1" s="162">
      <c r="A422" s="115" t="n"/>
      <c r="B422" s="115" t="n"/>
      <c r="C422" s="115" t="n"/>
      <c r="D422" s="115" t="n"/>
      <c r="E422" s="115" t="n"/>
      <c r="F422" s="115" t="n"/>
      <c r="G422" s="115" t="n"/>
      <c r="H422" s="115" t="n"/>
      <c r="I422" s="115" t="n"/>
      <c r="J422" s="115" t="n"/>
      <c r="K422" s="115" t="n"/>
      <c r="L422" s="115" t="n"/>
      <c r="M422" s="115" t="n"/>
      <c r="N422" s="115" t="n"/>
      <c r="O422" s="115" t="n"/>
      <c r="P422" s="115" t="n"/>
      <c r="Q422" s="115" t="n"/>
      <c r="R422" s="115" t="n"/>
      <c r="S422" s="115" t="n"/>
      <c r="T422" s="115" t="n"/>
      <c r="U422" s="116" t="n"/>
      <c r="V422" s="116" t="n"/>
      <c r="W422" s="117" t="n"/>
      <c r="X422" s="118" t="n"/>
      <c r="Y422" s="119" t="n"/>
      <c r="Z422" s="120" t="n"/>
      <c r="AA422" s="121" t="n"/>
      <c r="AB422" s="122" t="n"/>
      <c r="AC422" s="117" t="n"/>
      <c r="AD422" s="123">
        <f>IF(SUM($AE422:$AH422)=0,"",SUM($AE422:$AH422))</f>
        <v/>
      </c>
      <c r="AE422" s="123">
        <f>iferror(IF(SUM($AI422:$AZ422)=0,"",SUM($AI422:$AZ422)),"")</f>
        <v/>
      </c>
      <c r="AF422" s="123">
        <f>iferror(IF(SUM($BA422:$BC422)=0,"",SUM($BA422:$BC422)),"")</f>
        <v/>
      </c>
      <c r="AG422" s="123">
        <f>iferror(IF(SUM($BD422:$BF422)=0,"",SUM($BD422:$BF422)),"")</f>
        <v/>
      </c>
      <c r="AH422" s="124">
        <f>iferror(IF(SUM($BG422:$BI422)=0,"",SUM($BG422:$BI422)),"")</f>
        <v/>
      </c>
      <c r="AI422" s="131" t="n"/>
      <c r="AJ422" s="132" t="n"/>
      <c r="AK422" s="132" t="n"/>
      <c r="AL422" s="132" t="n"/>
      <c r="AM422" s="132" t="n"/>
      <c r="AN422" s="132" t="n"/>
      <c r="AO422" s="132" t="n"/>
      <c r="AP422" s="132" t="n"/>
      <c r="AQ422" s="132" t="n"/>
      <c r="AR422" s="132" t="n"/>
      <c r="AS422" s="132" t="n"/>
      <c r="AT422" s="132" t="n"/>
      <c r="AU422" s="132" t="n"/>
      <c r="AV422" s="132" t="n"/>
      <c r="AW422" s="132" t="n"/>
      <c r="AX422" s="132" t="n"/>
      <c r="AY422" s="132" t="n"/>
      <c r="AZ422" s="133" t="n"/>
      <c r="BA422" s="131" t="n"/>
      <c r="BB422" s="132" t="n"/>
      <c r="BC422" s="133" t="n"/>
      <c r="BD422" s="131" t="n"/>
      <c r="BE422" s="132" t="n"/>
      <c r="BF422" s="133" t="n"/>
      <c r="BG422" s="131" t="n"/>
      <c r="BH422" s="132" t="n"/>
      <c r="BI422" s="132" t="n"/>
      <c r="BJ422" s="128">
        <f>iferror(SUM($BK422,($BL422*1.2),($BM422*1.35),($BN422*0.74)),)</f>
        <v/>
      </c>
      <c r="BK422" s="128">
        <f>IFERROR(SUM($BT422:$CK422),)</f>
        <v/>
      </c>
      <c r="BL422" s="129">
        <f>IFERROR(SUM($CL422:$CN422),)</f>
        <v/>
      </c>
      <c r="BM422" s="130">
        <f>IFERROR(SUM($CO422:$CQ422),)</f>
        <v/>
      </c>
      <c r="BN422" s="128">
        <f>IFERROR(SUM($CR422:$CT422),)</f>
        <v/>
      </c>
      <c r="BO422" s="128">
        <f>iferror(SUM($BP422,($BQ422*1.2),($BR422*1.35),($BS422*0.74)),)</f>
        <v/>
      </c>
      <c r="BP422" s="128">
        <f>IFERROR(SUM($CU422:$DL422),)</f>
        <v/>
      </c>
      <c r="BQ422" s="128">
        <f>IFERROR(SUM($DM422:$DO422),)</f>
        <v/>
      </c>
      <c r="BR422" s="128">
        <f>IFERROR(SUM($DP422:$DR422),)</f>
        <v/>
      </c>
      <c r="BS422" s="128">
        <f>IFERROR(SUM($DS422:$DU422),)</f>
        <v/>
      </c>
      <c r="BT422" s="128">
        <f>IFERROR(AI422*$W422,)</f>
        <v/>
      </c>
      <c r="BU422" s="128">
        <f>IFERROR(AJ422*$W422,)</f>
        <v/>
      </c>
      <c r="BV422" s="128">
        <f>IFERROR(AK422*$W422,)</f>
        <v/>
      </c>
      <c r="BW422" s="128">
        <f>IFERROR(AL422*$W422,)</f>
        <v/>
      </c>
      <c r="BX422" s="128">
        <f>IFERROR(AM422*$W422,)</f>
        <v/>
      </c>
      <c r="BY422" s="128">
        <f>IFERROR(AN422*$W422,)</f>
        <v/>
      </c>
      <c r="BZ422" s="128">
        <f>IFERROR(AO422*$W422,)</f>
        <v/>
      </c>
      <c r="CA422" s="128">
        <f>IFERROR(AP422*$W422,)</f>
        <v/>
      </c>
      <c r="CB422" s="128">
        <f>IFERROR(AQ422*$W422,)</f>
        <v/>
      </c>
      <c r="CC422" s="128">
        <f>IFERROR(AR422*$W422,)</f>
        <v/>
      </c>
      <c r="CD422" s="128">
        <f>IFERROR(AS422*$W422,)</f>
        <v/>
      </c>
      <c r="CE422" s="128">
        <f>IFERROR(AT422*$W422,)</f>
        <v/>
      </c>
      <c r="CF422" s="128">
        <f>IFERROR(AU422*$W422,)</f>
        <v/>
      </c>
      <c r="CG422" s="128">
        <f>IFERROR(AV422*$W422,)</f>
        <v/>
      </c>
      <c r="CH422" s="128">
        <f>IFERROR(AW422*$W422,)</f>
        <v/>
      </c>
      <c r="CI422" s="128">
        <f>IFERROR(AX422*$W422,)</f>
        <v/>
      </c>
      <c r="CJ422" s="128">
        <f>IFERROR(AY422*$W422,)</f>
        <v/>
      </c>
      <c r="CK422" s="128">
        <f>IFERROR(AZ422*$W422,)</f>
        <v/>
      </c>
      <c r="CL422" s="129">
        <f>IFERROR(if($Y422=0,BA422*($W422/1.2),BA422*$Y422),"")</f>
        <v/>
      </c>
      <c r="CM422" s="129">
        <f>IFERROR(if($Y422=0,BB422*($W422/1.2),BB422*$Y422),"")</f>
        <v/>
      </c>
      <c r="CN422" s="129">
        <f>IFERROR(if($Y422=0,BC422*($W422/1.2),BC422*$Y422),"")</f>
        <v/>
      </c>
      <c r="CO422" s="130">
        <f>IFERROR(if($AA422=0,($W422/1.35)*BD422,BD422*$AA422),)</f>
        <v/>
      </c>
      <c r="CP422" s="130">
        <f>IFERROR(if($AA422=0,($W422/1.35)*BE422,BE422*$AA422),)</f>
        <v/>
      </c>
      <c r="CQ422" s="130">
        <f>IFERROR(if($AA422=0,($W422/1.35)*BF422,BF422*$AA422),)</f>
        <v/>
      </c>
      <c r="CR422" s="128">
        <f>IFERROR(if($AC422=0,($W422/0.74)*BG422,
BG422*$AC422),)</f>
        <v/>
      </c>
      <c r="CS422" s="128">
        <f>IFERROR(if($AC422=0,($W422/0.74)*BH422,
BH422*$AC422),)</f>
        <v/>
      </c>
      <c r="CT422" s="128">
        <f>IFERROR(if($AC422=0,($W422/0.74)*BI422,
BI422*$AC422),)</f>
        <v/>
      </c>
      <c r="CU422" s="128">
        <f>IFERROR(AI422*$V422,)</f>
        <v/>
      </c>
      <c r="CV422" s="128">
        <f>IFERROR(AJ422*$V422,)</f>
        <v/>
      </c>
      <c r="CW422" s="128">
        <f>IFERROR(AK422*$V422,)</f>
        <v/>
      </c>
      <c r="CX422" s="128">
        <f>IFERROR(AL422*$V422,)</f>
        <v/>
      </c>
      <c r="CY422" s="128">
        <f>IFERROR(AM422*$V422,)</f>
        <v/>
      </c>
      <c r="CZ422" s="128">
        <f>IFERROR(AN422*$V422,)</f>
        <v/>
      </c>
      <c r="DA422" s="128">
        <f>IFERROR(AO422*$V422,)</f>
        <v/>
      </c>
      <c r="DB422" s="128">
        <f>IFERROR(AP422*$V422,)</f>
        <v/>
      </c>
      <c r="DC422" s="128">
        <f>IFERROR(AQ422*$V422,)</f>
        <v/>
      </c>
      <c r="DD422" s="128">
        <f>IFERROR(AR422*$V422,)</f>
        <v/>
      </c>
      <c r="DE422" s="128">
        <f>IFERROR(AS422*$V422,)</f>
        <v/>
      </c>
      <c r="DF422" s="128">
        <f>IFERROR(AT422*$V422,)</f>
        <v/>
      </c>
      <c r="DG422" s="128">
        <f>IFERROR(AU422*$V422,)</f>
        <v/>
      </c>
      <c r="DH422" s="128">
        <f>IFERROR(AV422*$V422,)</f>
        <v/>
      </c>
      <c r="DI422" s="128">
        <f>IFERROR(AW422*$V422,)</f>
        <v/>
      </c>
      <c r="DJ422" s="128">
        <f>IFERROR(AX422*$V422,)</f>
        <v/>
      </c>
      <c r="DK422" s="128">
        <f>IFERROR(AY422*$V422,)</f>
        <v/>
      </c>
      <c r="DL422" s="128">
        <f>IFERROR(AZ422*$V422,)</f>
        <v/>
      </c>
      <c r="DM422" s="129">
        <f>IFERROR(if($X422=0,($V422/1.2)*BA422,
BA422*$X422),)</f>
        <v/>
      </c>
      <c r="DN422" s="129">
        <f>IFERROR(if($X422=0,($V422/1.2)*BB422,
BB422*$X422),)</f>
        <v/>
      </c>
      <c r="DO422" s="129">
        <f>IFERROR(if($X422=0,($V422/1.2)*BC422,
BC422*$X422),)</f>
        <v/>
      </c>
      <c r="DP422" s="130">
        <f>IFERROR(if($Z422=0,($V422/1.35)*BD422,
BD422*$Z422),)</f>
        <v/>
      </c>
      <c r="DQ422" s="130">
        <f>IFERROR(if($Z422=0,($V422/1.35)*BE422,
BE422*$Z422),)</f>
        <v/>
      </c>
      <c r="DR422" s="130">
        <f>IFERROR(if($Z422=0,($V422/1.35)*BF422,
BF422*$Z422),)</f>
        <v/>
      </c>
      <c r="DS422" s="128">
        <f>IFERROR(IF($AB422=0,($V422/0.74)*BG422,
BG422*$AB422),)</f>
        <v/>
      </c>
      <c r="DT422" s="128">
        <f>IFERROR(IF($AB422=0,($V422/0.74)*BH422,
BH422*$AB422),)</f>
        <v/>
      </c>
      <c r="DU422" s="128">
        <f>IFERROR(IF($AB422=0,($V422/0.74)*BI422,
BI422*$AB422),)</f>
        <v/>
      </c>
    </row>
    <row r="423" ht="131.25" customHeight="1" s="162">
      <c r="A423" s="115" t="n"/>
      <c r="B423" s="115" t="n"/>
      <c r="C423" s="115" t="n"/>
      <c r="D423" s="115" t="n"/>
      <c r="E423" s="115" t="n"/>
      <c r="F423" s="115" t="n"/>
      <c r="G423" s="115" t="n"/>
      <c r="H423" s="115" t="n"/>
      <c r="I423" s="115" t="n"/>
      <c r="J423" s="115" t="n"/>
      <c r="K423" s="115" t="n"/>
      <c r="L423" s="115" t="n"/>
      <c r="M423" s="115" t="n"/>
      <c r="N423" s="115" t="n"/>
      <c r="O423" s="115" t="n"/>
      <c r="P423" s="115" t="n"/>
      <c r="Q423" s="115" t="n"/>
      <c r="R423" s="115" t="n"/>
      <c r="S423" s="115" t="n"/>
      <c r="T423" s="115" t="n"/>
      <c r="U423" s="116" t="n"/>
      <c r="V423" s="116" t="n"/>
      <c r="W423" s="117" t="n"/>
      <c r="X423" s="118" t="n"/>
      <c r="Y423" s="119" t="n"/>
      <c r="Z423" s="120" t="n"/>
      <c r="AA423" s="121" t="n"/>
      <c r="AB423" s="122" t="n"/>
      <c r="AC423" s="117" t="n"/>
      <c r="AD423" s="123">
        <f>IF(SUM($AE423:$AH423)=0,"",SUM($AE423:$AH423))</f>
        <v/>
      </c>
      <c r="AE423" s="123">
        <f>iferror(IF(SUM($AI423:$AZ423)=0,"",SUM($AI423:$AZ423)),"")</f>
        <v/>
      </c>
      <c r="AF423" s="123">
        <f>iferror(IF(SUM($BA423:$BC423)=0,"",SUM($BA423:$BC423)),"")</f>
        <v/>
      </c>
      <c r="AG423" s="123">
        <f>iferror(IF(SUM($BD423:$BF423)=0,"",SUM($BD423:$BF423)),"")</f>
        <v/>
      </c>
      <c r="AH423" s="124">
        <f>iferror(IF(SUM($BG423:$BI423)=0,"",SUM($BG423:$BI423)),"")</f>
        <v/>
      </c>
      <c r="AI423" s="131" t="n"/>
      <c r="AJ423" s="132" t="n"/>
      <c r="AK423" s="132" t="n"/>
      <c r="AL423" s="132" t="n"/>
      <c r="AM423" s="132" t="n"/>
      <c r="AN423" s="132" t="n"/>
      <c r="AO423" s="132" t="n"/>
      <c r="AP423" s="132" t="n"/>
      <c r="AQ423" s="132" t="n"/>
      <c r="AR423" s="132" t="n"/>
      <c r="AS423" s="132" t="n"/>
      <c r="AT423" s="132" t="n"/>
      <c r="AU423" s="132" t="n"/>
      <c r="AV423" s="132" t="n"/>
      <c r="AW423" s="132" t="n"/>
      <c r="AX423" s="132" t="n"/>
      <c r="AY423" s="132" t="n"/>
      <c r="AZ423" s="133" t="n"/>
      <c r="BA423" s="131" t="n"/>
      <c r="BB423" s="132" t="n"/>
      <c r="BC423" s="133" t="n"/>
      <c r="BD423" s="131" t="n"/>
      <c r="BE423" s="132" t="n"/>
      <c r="BF423" s="133" t="n"/>
      <c r="BG423" s="131" t="n"/>
      <c r="BH423" s="132" t="n"/>
      <c r="BI423" s="132" t="n"/>
      <c r="BJ423" s="128">
        <f>iferror(SUM($BK423,($BL423*1.2),($BM423*1.35),($BN423*0.74)),)</f>
        <v/>
      </c>
      <c r="BK423" s="128">
        <f>IFERROR(SUM($BT423:$CK423),)</f>
        <v/>
      </c>
      <c r="BL423" s="129">
        <f>IFERROR(SUM($CL423:$CN423),)</f>
        <v/>
      </c>
      <c r="BM423" s="130">
        <f>IFERROR(SUM($CO423:$CQ423),)</f>
        <v/>
      </c>
      <c r="BN423" s="128">
        <f>IFERROR(SUM($CR423:$CT423),)</f>
        <v/>
      </c>
      <c r="BO423" s="128">
        <f>iferror(SUM($BP423,($BQ423*1.2),($BR423*1.35),($BS423*0.74)),)</f>
        <v/>
      </c>
      <c r="BP423" s="128">
        <f>IFERROR(SUM($CU423:$DL423),)</f>
        <v/>
      </c>
      <c r="BQ423" s="128">
        <f>IFERROR(SUM($DM423:$DO423),)</f>
        <v/>
      </c>
      <c r="BR423" s="128">
        <f>IFERROR(SUM($DP423:$DR423),)</f>
        <v/>
      </c>
      <c r="BS423" s="128">
        <f>IFERROR(SUM($DS423:$DU423),)</f>
        <v/>
      </c>
      <c r="BT423" s="128">
        <f>IFERROR(AI423*$W423,)</f>
        <v/>
      </c>
      <c r="BU423" s="128">
        <f>IFERROR(AJ423*$W423,)</f>
        <v/>
      </c>
      <c r="BV423" s="128">
        <f>IFERROR(AK423*$W423,)</f>
        <v/>
      </c>
      <c r="BW423" s="128">
        <f>IFERROR(AL423*$W423,)</f>
        <v/>
      </c>
      <c r="BX423" s="128">
        <f>IFERROR(AM423*$W423,)</f>
        <v/>
      </c>
      <c r="BY423" s="128">
        <f>IFERROR(AN423*$W423,)</f>
        <v/>
      </c>
      <c r="BZ423" s="128">
        <f>IFERROR(AO423*$W423,)</f>
        <v/>
      </c>
      <c r="CA423" s="128">
        <f>IFERROR(AP423*$W423,)</f>
        <v/>
      </c>
      <c r="CB423" s="128">
        <f>IFERROR(AQ423*$W423,)</f>
        <v/>
      </c>
      <c r="CC423" s="128">
        <f>IFERROR(AR423*$W423,)</f>
        <v/>
      </c>
      <c r="CD423" s="128">
        <f>IFERROR(AS423*$W423,)</f>
        <v/>
      </c>
      <c r="CE423" s="128">
        <f>IFERROR(AT423*$W423,)</f>
        <v/>
      </c>
      <c r="CF423" s="128">
        <f>IFERROR(AU423*$W423,)</f>
        <v/>
      </c>
      <c r="CG423" s="128">
        <f>IFERROR(AV423*$W423,)</f>
        <v/>
      </c>
      <c r="CH423" s="128">
        <f>IFERROR(AW423*$W423,)</f>
        <v/>
      </c>
      <c r="CI423" s="128">
        <f>IFERROR(AX423*$W423,)</f>
        <v/>
      </c>
      <c r="CJ423" s="128">
        <f>IFERROR(AY423*$W423,)</f>
        <v/>
      </c>
      <c r="CK423" s="128">
        <f>IFERROR(AZ423*$W423,)</f>
        <v/>
      </c>
      <c r="CL423" s="129">
        <f>IFERROR(if($Y423=0,BA423*($W423/1.2),BA423*$Y423),"")</f>
        <v/>
      </c>
      <c r="CM423" s="129">
        <f>IFERROR(if($Y423=0,BB423*($W423/1.2),BB423*$Y423),"")</f>
        <v/>
      </c>
      <c r="CN423" s="129">
        <f>IFERROR(if($Y423=0,BC423*($W423/1.2),BC423*$Y423),"")</f>
        <v/>
      </c>
      <c r="CO423" s="130">
        <f>IFERROR(if($AA423=0,($W423/1.35)*BD423,BD423*$AA423),)</f>
        <v/>
      </c>
      <c r="CP423" s="130">
        <f>IFERROR(if($AA423=0,($W423/1.35)*BE423,BE423*$AA423),)</f>
        <v/>
      </c>
      <c r="CQ423" s="130">
        <f>IFERROR(if($AA423=0,($W423/1.35)*BF423,BF423*$AA423),)</f>
        <v/>
      </c>
      <c r="CR423" s="128">
        <f>IFERROR(if($AC423=0,($W423/0.74)*BG423,
BG423*$AC423),)</f>
        <v/>
      </c>
      <c r="CS423" s="128">
        <f>IFERROR(if($AC423=0,($W423/0.74)*BH423,
BH423*$AC423),)</f>
        <v/>
      </c>
      <c r="CT423" s="128">
        <f>IFERROR(if($AC423=0,($W423/0.74)*BI423,
BI423*$AC423),)</f>
        <v/>
      </c>
      <c r="CU423" s="128">
        <f>IFERROR(AI423*$V423,)</f>
        <v/>
      </c>
      <c r="CV423" s="128">
        <f>IFERROR(AJ423*$V423,)</f>
        <v/>
      </c>
      <c r="CW423" s="128">
        <f>IFERROR(AK423*$V423,)</f>
        <v/>
      </c>
      <c r="CX423" s="128">
        <f>IFERROR(AL423*$V423,)</f>
        <v/>
      </c>
      <c r="CY423" s="128">
        <f>IFERROR(AM423*$V423,)</f>
        <v/>
      </c>
      <c r="CZ423" s="128">
        <f>IFERROR(AN423*$V423,)</f>
        <v/>
      </c>
      <c r="DA423" s="128">
        <f>IFERROR(AO423*$V423,)</f>
        <v/>
      </c>
      <c r="DB423" s="128">
        <f>IFERROR(AP423*$V423,)</f>
        <v/>
      </c>
      <c r="DC423" s="128">
        <f>IFERROR(AQ423*$V423,)</f>
        <v/>
      </c>
      <c r="DD423" s="128">
        <f>IFERROR(AR423*$V423,)</f>
        <v/>
      </c>
      <c r="DE423" s="128">
        <f>IFERROR(AS423*$V423,)</f>
        <v/>
      </c>
      <c r="DF423" s="128">
        <f>IFERROR(AT423*$V423,)</f>
        <v/>
      </c>
      <c r="DG423" s="128">
        <f>IFERROR(AU423*$V423,)</f>
        <v/>
      </c>
      <c r="DH423" s="128">
        <f>IFERROR(AV423*$V423,)</f>
        <v/>
      </c>
      <c r="DI423" s="128">
        <f>IFERROR(AW423*$V423,)</f>
        <v/>
      </c>
      <c r="DJ423" s="128">
        <f>IFERROR(AX423*$V423,)</f>
        <v/>
      </c>
      <c r="DK423" s="128">
        <f>IFERROR(AY423*$V423,)</f>
        <v/>
      </c>
      <c r="DL423" s="128">
        <f>IFERROR(AZ423*$V423,)</f>
        <v/>
      </c>
      <c r="DM423" s="129">
        <f>IFERROR(if($X423=0,($V423/1.2)*BA423,
BA423*$X423),)</f>
        <v/>
      </c>
      <c r="DN423" s="129">
        <f>IFERROR(if($X423=0,($V423/1.2)*BB423,
BB423*$X423),)</f>
        <v/>
      </c>
      <c r="DO423" s="129">
        <f>IFERROR(if($X423=0,($V423/1.2)*BC423,
BC423*$X423),)</f>
        <v/>
      </c>
      <c r="DP423" s="130">
        <f>IFERROR(if($Z423=0,($V423/1.35)*BD423,
BD423*$Z423),)</f>
        <v/>
      </c>
      <c r="DQ423" s="130">
        <f>IFERROR(if($Z423=0,($V423/1.35)*BE423,
BE423*$Z423),)</f>
        <v/>
      </c>
      <c r="DR423" s="130">
        <f>IFERROR(if($Z423=0,($V423/1.35)*BF423,
BF423*$Z423),)</f>
        <v/>
      </c>
      <c r="DS423" s="128">
        <f>IFERROR(IF($AB423=0,($V423/0.74)*BG423,
BG423*$AB423),)</f>
        <v/>
      </c>
      <c r="DT423" s="128">
        <f>IFERROR(IF($AB423=0,($V423/0.74)*BH423,
BH423*$AB423),)</f>
        <v/>
      </c>
      <c r="DU423" s="128">
        <f>IFERROR(IF($AB423=0,($V423/0.74)*BI423,
BI423*$AB423),)</f>
        <v/>
      </c>
    </row>
    <row r="424" ht="131.25" customHeight="1" s="162">
      <c r="A424" s="115" t="n"/>
      <c r="B424" s="115" t="n"/>
      <c r="C424" s="115" t="n"/>
      <c r="D424" s="115" t="n"/>
      <c r="E424" s="115" t="n"/>
      <c r="F424" s="115" t="n"/>
      <c r="G424" s="115" t="n"/>
      <c r="H424" s="115" t="n"/>
      <c r="I424" s="115" t="n"/>
      <c r="J424" s="115" t="n"/>
      <c r="K424" s="115" t="n"/>
      <c r="L424" s="115" t="n"/>
      <c r="M424" s="115" t="n"/>
      <c r="N424" s="115" t="n"/>
      <c r="O424" s="115" t="n"/>
      <c r="P424" s="115" t="n"/>
      <c r="Q424" s="115" t="n"/>
      <c r="R424" s="115" t="n"/>
      <c r="S424" s="115" t="n"/>
      <c r="T424" s="115" t="n"/>
      <c r="U424" s="116" t="n"/>
      <c r="V424" s="116" t="n"/>
      <c r="W424" s="117" t="n"/>
      <c r="X424" s="118" t="n"/>
      <c r="Y424" s="119" t="n"/>
      <c r="Z424" s="120" t="n"/>
      <c r="AA424" s="121" t="n"/>
      <c r="AB424" s="122" t="n"/>
      <c r="AC424" s="117" t="n"/>
      <c r="AD424" s="123">
        <f>IF(SUM($AE424:$AH424)=0,"",SUM($AE424:$AH424))</f>
        <v/>
      </c>
      <c r="AE424" s="123">
        <f>iferror(IF(SUM($AI424:$AZ424)=0,"",SUM($AI424:$AZ424)),"")</f>
        <v/>
      </c>
      <c r="AF424" s="123">
        <f>iferror(IF(SUM($BA424:$BC424)=0,"",SUM($BA424:$BC424)),"")</f>
        <v/>
      </c>
      <c r="AG424" s="123">
        <f>iferror(IF(SUM($BD424:$BF424)=0,"",SUM($BD424:$BF424)),"")</f>
        <v/>
      </c>
      <c r="AH424" s="124">
        <f>iferror(IF(SUM($BG424:$BI424)=0,"",SUM($BG424:$BI424)),"")</f>
        <v/>
      </c>
      <c r="AI424" s="131" t="n"/>
      <c r="AJ424" s="132" t="n"/>
      <c r="AK424" s="132" t="n"/>
      <c r="AL424" s="132" t="n"/>
      <c r="AM424" s="132" t="n"/>
      <c r="AN424" s="132" t="n"/>
      <c r="AO424" s="132" t="n"/>
      <c r="AP424" s="132" t="n"/>
      <c r="AQ424" s="132" t="n"/>
      <c r="AR424" s="132" t="n"/>
      <c r="AS424" s="132" t="n"/>
      <c r="AT424" s="132" t="n"/>
      <c r="AU424" s="132" t="n"/>
      <c r="AV424" s="132" t="n"/>
      <c r="AW424" s="132" t="n"/>
      <c r="AX424" s="132" t="n"/>
      <c r="AY424" s="132" t="n"/>
      <c r="AZ424" s="133" t="n"/>
      <c r="BA424" s="131" t="n"/>
      <c r="BB424" s="132" t="n"/>
      <c r="BC424" s="133" t="n"/>
      <c r="BD424" s="131" t="n"/>
      <c r="BE424" s="132" t="n"/>
      <c r="BF424" s="133" t="n"/>
      <c r="BG424" s="131" t="n"/>
      <c r="BH424" s="132" t="n"/>
      <c r="BI424" s="132" t="n"/>
      <c r="BJ424" s="128">
        <f>iferror(SUM($BK424,($BL424*1.2),($BM424*1.35),($BN424*0.74)),)</f>
        <v/>
      </c>
      <c r="BK424" s="128">
        <f>IFERROR(SUM($BT424:$CK424),)</f>
        <v/>
      </c>
      <c r="BL424" s="129">
        <f>IFERROR(SUM($CL424:$CN424),)</f>
        <v/>
      </c>
      <c r="BM424" s="130">
        <f>IFERROR(SUM($CO424:$CQ424),)</f>
        <v/>
      </c>
      <c r="BN424" s="128">
        <f>IFERROR(SUM($CR424:$CT424),)</f>
        <v/>
      </c>
      <c r="BO424" s="128">
        <f>iferror(SUM($BP424,($BQ424*1.2),($BR424*1.35),($BS424*0.74)),)</f>
        <v/>
      </c>
      <c r="BP424" s="128">
        <f>IFERROR(SUM($CU424:$DL424),)</f>
        <v/>
      </c>
      <c r="BQ424" s="128">
        <f>IFERROR(SUM($DM424:$DO424),)</f>
        <v/>
      </c>
      <c r="BR424" s="128">
        <f>IFERROR(SUM($DP424:$DR424),)</f>
        <v/>
      </c>
      <c r="BS424" s="128">
        <f>IFERROR(SUM($DS424:$DU424),)</f>
        <v/>
      </c>
      <c r="BT424" s="128">
        <f>IFERROR(AI424*$W424,)</f>
        <v/>
      </c>
      <c r="BU424" s="128">
        <f>IFERROR(AJ424*$W424,)</f>
        <v/>
      </c>
      <c r="BV424" s="128">
        <f>IFERROR(AK424*$W424,)</f>
        <v/>
      </c>
      <c r="BW424" s="128">
        <f>IFERROR(AL424*$W424,)</f>
        <v/>
      </c>
      <c r="BX424" s="128">
        <f>IFERROR(AM424*$W424,)</f>
        <v/>
      </c>
      <c r="BY424" s="128">
        <f>IFERROR(AN424*$W424,)</f>
        <v/>
      </c>
      <c r="BZ424" s="128">
        <f>IFERROR(AO424*$W424,)</f>
        <v/>
      </c>
      <c r="CA424" s="128">
        <f>IFERROR(AP424*$W424,)</f>
        <v/>
      </c>
      <c r="CB424" s="128">
        <f>IFERROR(AQ424*$W424,)</f>
        <v/>
      </c>
      <c r="CC424" s="128">
        <f>IFERROR(AR424*$W424,)</f>
        <v/>
      </c>
      <c r="CD424" s="128">
        <f>IFERROR(AS424*$W424,)</f>
        <v/>
      </c>
      <c r="CE424" s="128">
        <f>IFERROR(AT424*$W424,)</f>
        <v/>
      </c>
      <c r="CF424" s="128">
        <f>IFERROR(AU424*$W424,)</f>
        <v/>
      </c>
      <c r="CG424" s="128">
        <f>IFERROR(AV424*$W424,)</f>
        <v/>
      </c>
      <c r="CH424" s="128">
        <f>IFERROR(AW424*$W424,)</f>
        <v/>
      </c>
      <c r="CI424" s="128">
        <f>IFERROR(AX424*$W424,)</f>
        <v/>
      </c>
      <c r="CJ424" s="128">
        <f>IFERROR(AY424*$W424,)</f>
        <v/>
      </c>
      <c r="CK424" s="128">
        <f>IFERROR(AZ424*$W424,)</f>
        <v/>
      </c>
      <c r="CL424" s="129">
        <f>IFERROR(if($Y424=0,BA424*($W424/1.2),BA424*$Y424),"")</f>
        <v/>
      </c>
      <c r="CM424" s="129">
        <f>IFERROR(if($Y424=0,BB424*($W424/1.2),BB424*$Y424),"")</f>
        <v/>
      </c>
      <c r="CN424" s="129">
        <f>IFERROR(if($Y424=0,BC424*($W424/1.2),BC424*$Y424),"")</f>
        <v/>
      </c>
      <c r="CO424" s="130">
        <f>IFERROR(if($AA424=0,($W424/1.35)*BD424,BD424*$AA424),)</f>
        <v/>
      </c>
      <c r="CP424" s="130">
        <f>IFERROR(if($AA424=0,($W424/1.35)*BE424,BE424*$AA424),)</f>
        <v/>
      </c>
      <c r="CQ424" s="130">
        <f>IFERROR(if($AA424=0,($W424/1.35)*BF424,BF424*$AA424),)</f>
        <v/>
      </c>
      <c r="CR424" s="128">
        <f>IFERROR(if($AC424=0,($W424/0.74)*BG424,
BG424*$AC424),)</f>
        <v/>
      </c>
      <c r="CS424" s="128">
        <f>IFERROR(if($AC424=0,($W424/0.74)*BH424,
BH424*$AC424),)</f>
        <v/>
      </c>
      <c r="CT424" s="128">
        <f>IFERROR(if($AC424=0,($W424/0.74)*BI424,
BI424*$AC424),)</f>
        <v/>
      </c>
      <c r="CU424" s="128">
        <f>IFERROR(AI424*$V424,)</f>
        <v/>
      </c>
      <c r="CV424" s="128">
        <f>IFERROR(AJ424*$V424,)</f>
        <v/>
      </c>
      <c r="CW424" s="128">
        <f>IFERROR(AK424*$V424,)</f>
        <v/>
      </c>
      <c r="CX424" s="128">
        <f>IFERROR(AL424*$V424,)</f>
        <v/>
      </c>
      <c r="CY424" s="128">
        <f>IFERROR(AM424*$V424,)</f>
        <v/>
      </c>
      <c r="CZ424" s="128">
        <f>IFERROR(AN424*$V424,)</f>
        <v/>
      </c>
      <c r="DA424" s="128">
        <f>IFERROR(AO424*$V424,)</f>
        <v/>
      </c>
      <c r="DB424" s="128">
        <f>IFERROR(AP424*$V424,)</f>
        <v/>
      </c>
      <c r="DC424" s="128">
        <f>IFERROR(AQ424*$V424,)</f>
        <v/>
      </c>
      <c r="DD424" s="128">
        <f>IFERROR(AR424*$V424,)</f>
        <v/>
      </c>
      <c r="DE424" s="128">
        <f>IFERROR(AS424*$V424,)</f>
        <v/>
      </c>
      <c r="DF424" s="128">
        <f>IFERROR(AT424*$V424,)</f>
        <v/>
      </c>
      <c r="DG424" s="128">
        <f>IFERROR(AU424*$V424,)</f>
        <v/>
      </c>
      <c r="DH424" s="128">
        <f>IFERROR(AV424*$V424,)</f>
        <v/>
      </c>
      <c r="DI424" s="128">
        <f>IFERROR(AW424*$V424,)</f>
        <v/>
      </c>
      <c r="DJ424" s="128">
        <f>IFERROR(AX424*$V424,)</f>
        <v/>
      </c>
      <c r="DK424" s="128">
        <f>IFERROR(AY424*$V424,)</f>
        <v/>
      </c>
      <c r="DL424" s="128">
        <f>IFERROR(AZ424*$V424,)</f>
        <v/>
      </c>
      <c r="DM424" s="129">
        <f>IFERROR(if($X424=0,($V424/1.2)*BA424,
BA424*$X424),)</f>
        <v/>
      </c>
      <c r="DN424" s="129">
        <f>IFERROR(if($X424=0,($V424/1.2)*BB424,
BB424*$X424),)</f>
        <v/>
      </c>
      <c r="DO424" s="129">
        <f>IFERROR(if($X424=0,($V424/1.2)*BC424,
BC424*$X424),)</f>
        <v/>
      </c>
      <c r="DP424" s="130">
        <f>IFERROR(if($Z424=0,($V424/1.35)*BD424,
BD424*$Z424),)</f>
        <v/>
      </c>
      <c r="DQ424" s="130">
        <f>IFERROR(if($Z424=0,($V424/1.35)*BE424,
BE424*$Z424),)</f>
        <v/>
      </c>
      <c r="DR424" s="130">
        <f>IFERROR(if($Z424=0,($V424/1.35)*BF424,
BF424*$Z424),)</f>
        <v/>
      </c>
      <c r="DS424" s="128">
        <f>IFERROR(IF($AB424=0,($V424/0.74)*BG424,
BG424*$AB424),)</f>
        <v/>
      </c>
      <c r="DT424" s="128">
        <f>IFERROR(IF($AB424=0,($V424/0.74)*BH424,
BH424*$AB424),)</f>
        <v/>
      </c>
      <c r="DU424" s="128">
        <f>IFERROR(IF($AB424=0,($V424/0.74)*BI424,
BI424*$AB424),)</f>
        <v/>
      </c>
    </row>
    <row r="425" ht="131.25" customHeight="1" s="162">
      <c r="A425" s="115" t="n"/>
      <c r="B425" s="115" t="n"/>
      <c r="C425" s="115" t="n"/>
      <c r="D425" s="115" t="n"/>
      <c r="E425" s="115" t="n"/>
      <c r="F425" s="115" t="n"/>
      <c r="G425" s="115" t="n"/>
      <c r="H425" s="115" t="n"/>
      <c r="I425" s="115" t="n"/>
      <c r="J425" s="115" t="n"/>
      <c r="K425" s="115" t="n"/>
      <c r="L425" s="115" t="n"/>
      <c r="M425" s="115" t="n"/>
      <c r="N425" s="115" t="n"/>
      <c r="O425" s="115" t="n"/>
      <c r="P425" s="115" t="n"/>
      <c r="Q425" s="115" t="n"/>
      <c r="R425" s="115" t="n"/>
      <c r="S425" s="115" t="n"/>
      <c r="T425" s="115" t="n"/>
      <c r="U425" s="116" t="n"/>
      <c r="V425" s="116" t="n"/>
      <c r="W425" s="117" t="n"/>
      <c r="X425" s="118" t="n"/>
      <c r="Y425" s="119" t="n"/>
      <c r="Z425" s="120" t="n"/>
      <c r="AA425" s="121" t="n"/>
      <c r="AB425" s="122" t="n"/>
      <c r="AC425" s="117" t="n"/>
      <c r="AD425" s="123">
        <f>IF(SUM($AE425:$AH425)=0,"",SUM($AE425:$AH425))</f>
        <v/>
      </c>
      <c r="AE425" s="123">
        <f>iferror(IF(SUM($AI425:$AZ425)=0,"",SUM($AI425:$AZ425)),"")</f>
        <v/>
      </c>
      <c r="AF425" s="123">
        <f>iferror(IF(SUM($BA425:$BC425)=0,"",SUM($BA425:$BC425)),"")</f>
        <v/>
      </c>
      <c r="AG425" s="123">
        <f>iferror(IF(SUM($BD425:$BF425)=0,"",SUM($BD425:$BF425)),"")</f>
        <v/>
      </c>
      <c r="AH425" s="124">
        <f>iferror(IF(SUM($BG425:$BI425)=0,"",SUM($BG425:$BI425)),"")</f>
        <v/>
      </c>
      <c r="AI425" s="131" t="n"/>
      <c r="AJ425" s="132" t="n"/>
      <c r="AK425" s="132" t="n"/>
      <c r="AL425" s="132" t="n"/>
      <c r="AM425" s="132" t="n"/>
      <c r="AN425" s="132" t="n"/>
      <c r="AO425" s="132" t="n"/>
      <c r="AP425" s="132" t="n"/>
      <c r="AQ425" s="132" t="n"/>
      <c r="AR425" s="132" t="n"/>
      <c r="AS425" s="132" t="n"/>
      <c r="AT425" s="132" t="n"/>
      <c r="AU425" s="132" t="n"/>
      <c r="AV425" s="132" t="n"/>
      <c r="AW425" s="132" t="n"/>
      <c r="AX425" s="132" t="n"/>
      <c r="AY425" s="132" t="n"/>
      <c r="AZ425" s="133" t="n"/>
      <c r="BA425" s="131" t="n"/>
      <c r="BB425" s="132" t="n"/>
      <c r="BC425" s="133" t="n"/>
      <c r="BD425" s="131" t="n"/>
      <c r="BE425" s="132" t="n"/>
      <c r="BF425" s="133" t="n"/>
      <c r="BG425" s="131" t="n"/>
      <c r="BH425" s="132" t="n"/>
      <c r="BI425" s="132" t="n"/>
      <c r="BJ425" s="128">
        <f>iferror(SUM($BK425,($BL425*1.2),($BM425*1.35),($BN425*0.74)),)</f>
        <v/>
      </c>
      <c r="BK425" s="128">
        <f>IFERROR(SUM($BT425:$CK425),)</f>
        <v/>
      </c>
      <c r="BL425" s="129">
        <f>IFERROR(SUM($CL425:$CN425),)</f>
        <v/>
      </c>
      <c r="BM425" s="130">
        <f>IFERROR(SUM($CO425:$CQ425),)</f>
        <v/>
      </c>
      <c r="BN425" s="128">
        <f>IFERROR(SUM($CR425:$CT425),)</f>
        <v/>
      </c>
      <c r="BO425" s="128">
        <f>iferror(SUM($BP425,($BQ425*1.2),($BR425*1.35),($BS425*0.74)),)</f>
        <v/>
      </c>
      <c r="BP425" s="128">
        <f>IFERROR(SUM($CU425:$DL425),)</f>
        <v/>
      </c>
      <c r="BQ425" s="128">
        <f>IFERROR(SUM($DM425:$DO425),)</f>
        <v/>
      </c>
      <c r="BR425" s="128">
        <f>IFERROR(SUM($DP425:$DR425),)</f>
        <v/>
      </c>
      <c r="BS425" s="128">
        <f>IFERROR(SUM($DS425:$DU425),)</f>
        <v/>
      </c>
      <c r="BT425" s="128">
        <f>IFERROR(AI425*$W425,)</f>
        <v/>
      </c>
      <c r="BU425" s="128">
        <f>IFERROR(AJ425*$W425,)</f>
        <v/>
      </c>
      <c r="BV425" s="128">
        <f>IFERROR(AK425*$W425,)</f>
        <v/>
      </c>
      <c r="BW425" s="128">
        <f>IFERROR(AL425*$W425,)</f>
        <v/>
      </c>
      <c r="BX425" s="128">
        <f>IFERROR(AM425*$W425,)</f>
        <v/>
      </c>
      <c r="BY425" s="128">
        <f>IFERROR(AN425*$W425,)</f>
        <v/>
      </c>
      <c r="BZ425" s="128">
        <f>IFERROR(AO425*$W425,)</f>
        <v/>
      </c>
      <c r="CA425" s="128">
        <f>IFERROR(AP425*$W425,)</f>
        <v/>
      </c>
      <c r="CB425" s="128">
        <f>IFERROR(AQ425*$W425,)</f>
        <v/>
      </c>
      <c r="CC425" s="128">
        <f>IFERROR(AR425*$W425,)</f>
        <v/>
      </c>
      <c r="CD425" s="128">
        <f>IFERROR(AS425*$W425,)</f>
        <v/>
      </c>
      <c r="CE425" s="128">
        <f>IFERROR(AT425*$W425,)</f>
        <v/>
      </c>
      <c r="CF425" s="128">
        <f>IFERROR(AU425*$W425,)</f>
        <v/>
      </c>
      <c r="CG425" s="128">
        <f>IFERROR(AV425*$W425,)</f>
        <v/>
      </c>
      <c r="CH425" s="128">
        <f>IFERROR(AW425*$W425,)</f>
        <v/>
      </c>
      <c r="CI425" s="128">
        <f>IFERROR(AX425*$W425,)</f>
        <v/>
      </c>
      <c r="CJ425" s="128">
        <f>IFERROR(AY425*$W425,)</f>
        <v/>
      </c>
      <c r="CK425" s="128">
        <f>IFERROR(AZ425*$W425,)</f>
        <v/>
      </c>
      <c r="CL425" s="129">
        <f>IFERROR(if($Y425=0,BA425*($W425/1.2),BA425*$Y425),"")</f>
        <v/>
      </c>
      <c r="CM425" s="129">
        <f>IFERROR(if($Y425=0,BB425*($W425/1.2),BB425*$Y425),"")</f>
        <v/>
      </c>
      <c r="CN425" s="129">
        <f>IFERROR(if($Y425=0,BC425*($W425/1.2),BC425*$Y425),"")</f>
        <v/>
      </c>
      <c r="CO425" s="130">
        <f>IFERROR(if($AA425=0,($W425/1.35)*BD425,BD425*$AA425),)</f>
        <v/>
      </c>
      <c r="CP425" s="130">
        <f>IFERROR(if($AA425=0,($W425/1.35)*BE425,BE425*$AA425),)</f>
        <v/>
      </c>
      <c r="CQ425" s="130">
        <f>IFERROR(if($AA425=0,($W425/1.35)*BF425,BF425*$AA425),)</f>
        <v/>
      </c>
      <c r="CR425" s="128">
        <f>IFERROR(if($AC425=0,($W425/0.74)*BG425,
BG425*$AC425),)</f>
        <v/>
      </c>
      <c r="CS425" s="128">
        <f>IFERROR(if($AC425=0,($W425/0.74)*BH425,
BH425*$AC425),)</f>
        <v/>
      </c>
      <c r="CT425" s="128">
        <f>IFERROR(if($AC425=0,($W425/0.74)*BI425,
BI425*$AC425),)</f>
        <v/>
      </c>
      <c r="CU425" s="128">
        <f>IFERROR(AI425*$V425,)</f>
        <v/>
      </c>
      <c r="CV425" s="128">
        <f>IFERROR(AJ425*$V425,)</f>
        <v/>
      </c>
      <c r="CW425" s="128">
        <f>IFERROR(AK425*$V425,)</f>
        <v/>
      </c>
      <c r="CX425" s="128">
        <f>IFERROR(AL425*$V425,)</f>
        <v/>
      </c>
      <c r="CY425" s="128">
        <f>IFERROR(AM425*$V425,)</f>
        <v/>
      </c>
      <c r="CZ425" s="128">
        <f>IFERROR(AN425*$V425,)</f>
        <v/>
      </c>
      <c r="DA425" s="128">
        <f>IFERROR(AO425*$V425,)</f>
        <v/>
      </c>
      <c r="DB425" s="128">
        <f>IFERROR(AP425*$V425,)</f>
        <v/>
      </c>
      <c r="DC425" s="128">
        <f>IFERROR(AQ425*$V425,)</f>
        <v/>
      </c>
      <c r="DD425" s="128">
        <f>IFERROR(AR425*$V425,)</f>
        <v/>
      </c>
      <c r="DE425" s="128">
        <f>IFERROR(AS425*$V425,)</f>
        <v/>
      </c>
      <c r="DF425" s="128">
        <f>IFERROR(AT425*$V425,)</f>
        <v/>
      </c>
      <c r="DG425" s="128">
        <f>IFERROR(AU425*$V425,)</f>
        <v/>
      </c>
      <c r="DH425" s="128">
        <f>IFERROR(AV425*$V425,)</f>
        <v/>
      </c>
      <c r="DI425" s="128">
        <f>IFERROR(AW425*$V425,)</f>
        <v/>
      </c>
      <c r="DJ425" s="128">
        <f>IFERROR(AX425*$V425,)</f>
        <v/>
      </c>
      <c r="DK425" s="128">
        <f>IFERROR(AY425*$V425,)</f>
        <v/>
      </c>
      <c r="DL425" s="128">
        <f>IFERROR(AZ425*$V425,)</f>
        <v/>
      </c>
      <c r="DM425" s="129">
        <f>IFERROR(if($X425=0,($V425/1.2)*BA425,
BA425*$X425),)</f>
        <v/>
      </c>
      <c r="DN425" s="129">
        <f>IFERROR(if($X425=0,($V425/1.2)*BB425,
BB425*$X425),)</f>
        <v/>
      </c>
      <c r="DO425" s="129">
        <f>IFERROR(if($X425=0,($V425/1.2)*BC425,
BC425*$X425),)</f>
        <v/>
      </c>
      <c r="DP425" s="130">
        <f>IFERROR(if($Z425=0,($V425/1.35)*BD425,
BD425*$Z425),)</f>
        <v/>
      </c>
      <c r="DQ425" s="130">
        <f>IFERROR(if($Z425=0,($V425/1.35)*BE425,
BE425*$Z425),)</f>
        <v/>
      </c>
      <c r="DR425" s="130">
        <f>IFERROR(if($Z425=0,($V425/1.35)*BF425,
BF425*$Z425),)</f>
        <v/>
      </c>
      <c r="DS425" s="128">
        <f>IFERROR(IF($AB425=0,($V425/0.74)*BG425,
BG425*$AB425),)</f>
        <v/>
      </c>
      <c r="DT425" s="128">
        <f>IFERROR(IF($AB425=0,($V425/0.74)*BH425,
BH425*$AB425),)</f>
        <v/>
      </c>
      <c r="DU425" s="128">
        <f>IFERROR(IF($AB425=0,($V425/0.74)*BI425,
BI425*$AB425),)</f>
        <v/>
      </c>
    </row>
    <row r="426" ht="131.25" customHeight="1" s="162">
      <c r="A426" s="115" t="n"/>
      <c r="B426" s="115" t="n"/>
      <c r="C426" s="115" t="n"/>
      <c r="D426" s="115" t="n"/>
      <c r="E426" s="115" t="n"/>
      <c r="F426" s="115" t="n"/>
      <c r="G426" s="115" t="n"/>
      <c r="H426" s="115" t="n"/>
      <c r="I426" s="115" t="n"/>
      <c r="J426" s="115" t="n"/>
      <c r="K426" s="115" t="n"/>
      <c r="L426" s="115" t="n"/>
      <c r="M426" s="115" t="n"/>
      <c r="N426" s="115" t="n"/>
      <c r="O426" s="115" t="n"/>
      <c r="P426" s="115" t="n"/>
      <c r="Q426" s="115" t="n"/>
      <c r="R426" s="115" t="n"/>
      <c r="S426" s="115" t="n"/>
      <c r="T426" s="115" t="n"/>
      <c r="U426" s="116" t="n"/>
      <c r="V426" s="116" t="n"/>
      <c r="W426" s="117" t="n"/>
      <c r="X426" s="118" t="n"/>
      <c r="Y426" s="119" t="n"/>
      <c r="Z426" s="120" t="n"/>
      <c r="AA426" s="121" t="n"/>
      <c r="AB426" s="122" t="n"/>
      <c r="AC426" s="117" t="n"/>
      <c r="AD426" s="123">
        <f>IF(SUM($AE426:$AH426)=0,"",SUM($AE426:$AH426))</f>
        <v/>
      </c>
      <c r="AE426" s="123">
        <f>iferror(IF(SUM($AI426:$AZ426)=0,"",SUM($AI426:$AZ426)),"")</f>
        <v/>
      </c>
      <c r="AF426" s="123">
        <f>iferror(IF(SUM($BA426:$BC426)=0,"",SUM($BA426:$BC426)),"")</f>
        <v/>
      </c>
      <c r="AG426" s="123">
        <f>iferror(IF(SUM($BD426:$BF426)=0,"",SUM($BD426:$BF426)),"")</f>
        <v/>
      </c>
      <c r="AH426" s="124">
        <f>iferror(IF(SUM($BG426:$BI426)=0,"",SUM($BG426:$BI426)),"")</f>
        <v/>
      </c>
      <c r="AI426" s="131" t="n"/>
      <c r="AJ426" s="132" t="n"/>
      <c r="AK426" s="132" t="n"/>
      <c r="AL426" s="132" t="n"/>
      <c r="AM426" s="132" t="n"/>
      <c r="AN426" s="132" t="n"/>
      <c r="AO426" s="132" t="n"/>
      <c r="AP426" s="132" t="n"/>
      <c r="AQ426" s="132" t="n"/>
      <c r="AR426" s="132" t="n"/>
      <c r="AS426" s="132" t="n"/>
      <c r="AT426" s="132" t="n"/>
      <c r="AU426" s="132" t="n"/>
      <c r="AV426" s="132" t="n"/>
      <c r="AW426" s="132" t="n"/>
      <c r="AX426" s="132" t="n"/>
      <c r="AY426" s="132" t="n"/>
      <c r="AZ426" s="133" t="n"/>
      <c r="BA426" s="131" t="n"/>
      <c r="BB426" s="132" t="n"/>
      <c r="BC426" s="133" t="n"/>
      <c r="BD426" s="131" t="n"/>
      <c r="BE426" s="132" t="n"/>
      <c r="BF426" s="133" t="n"/>
      <c r="BG426" s="131" t="n"/>
      <c r="BH426" s="132" t="n"/>
      <c r="BI426" s="132" t="n"/>
      <c r="BJ426" s="128">
        <f>iferror(SUM($BK426,($BL426*1.2),($BM426*1.35),($BN426*0.74)),)</f>
        <v/>
      </c>
      <c r="BK426" s="128">
        <f>IFERROR(SUM($BT426:$CK426),)</f>
        <v/>
      </c>
      <c r="BL426" s="129">
        <f>IFERROR(SUM($CL426:$CN426),)</f>
        <v/>
      </c>
      <c r="BM426" s="130">
        <f>IFERROR(SUM($CO426:$CQ426),)</f>
        <v/>
      </c>
      <c r="BN426" s="128">
        <f>IFERROR(SUM($CR426:$CT426),)</f>
        <v/>
      </c>
      <c r="BO426" s="128">
        <f>iferror(SUM($BP426,($BQ426*1.2),($BR426*1.35),($BS426*0.74)),)</f>
        <v/>
      </c>
      <c r="BP426" s="128">
        <f>IFERROR(SUM($CU426:$DL426),)</f>
        <v/>
      </c>
      <c r="BQ426" s="128">
        <f>IFERROR(SUM($DM426:$DO426),)</f>
        <v/>
      </c>
      <c r="BR426" s="128">
        <f>IFERROR(SUM($DP426:$DR426),)</f>
        <v/>
      </c>
      <c r="BS426" s="128">
        <f>IFERROR(SUM($DS426:$DU426),)</f>
        <v/>
      </c>
      <c r="BT426" s="128">
        <f>IFERROR(AI426*$W426,)</f>
        <v/>
      </c>
      <c r="BU426" s="128">
        <f>IFERROR(AJ426*$W426,)</f>
        <v/>
      </c>
      <c r="BV426" s="128">
        <f>IFERROR(AK426*$W426,)</f>
        <v/>
      </c>
      <c r="BW426" s="128">
        <f>IFERROR(AL426*$W426,)</f>
        <v/>
      </c>
      <c r="BX426" s="128">
        <f>IFERROR(AM426*$W426,)</f>
        <v/>
      </c>
      <c r="BY426" s="128">
        <f>IFERROR(AN426*$W426,)</f>
        <v/>
      </c>
      <c r="BZ426" s="128">
        <f>IFERROR(AO426*$W426,)</f>
        <v/>
      </c>
      <c r="CA426" s="128">
        <f>IFERROR(AP426*$W426,)</f>
        <v/>
      </c>
      <c r="CB426" s="128">
        <f>IFERROR(AQ426*$W426,)</f>
        <v/>
      </c>
      <c r="CC426" s="128">
        <f>IFERROR(AR426*$W426,)</f>
        <v/>
      </c>
      <c r="CD426" s="128">
        <f>IFERROR(AS426*$W426,)</f>
        <v/>
      </c>
      <c r="CE426" s="128">
        <f>IFERROR(AT426*$W426,)</f>
        <v/>
      </c>
      <c r="CF426" s="128">
        <f>IFERROR(AU426*$W426,)</f>
        <v/>
      </c>
      <c r="CG426" s="128">
        <f>IFERROR(AV426*$W426,)</f>
        <v/>
      </c>
      <c r="CH426" s="128">
        <f>IFERROR(AW426*$W426,)</f>
        <v/>
      </c>
      <c r="CI426" s="128">
        <f>IFERROR(AX426*$W426,)</f>
        <v/>
      </c>
      <c r="CJ426" s="128">
        <f>IFERROR(AY426*$W426,)</f>
        <v/>
      </c>
      <c r="CK426" s="128">
        <f>IFERROR(AZ426*$W426,)</f>
        <v/>
      </c>
      <c r="CL426" s="129">
        <f>IFERROR(if($Y426=0,BA426*($W426/1.2),BA426*$Y426),"")</f>
        <v/>
      </c>
      <c r="CM426" s="129">
        <f>IFERROR(if($Y426=0,BB426*($W426/1.2),BB426*$Y426),"")</f>
        <v/>
      </c>
      <c r="CN426" s="129">
        <f>IFERROR(if($Y426=0,BC426*($W426/1.2),BC426*$Y426),"")</f>
        <v/>
      </c>
      <c r="CO426" s="130">
        <f>IFERROR(if($AA426=0,($W426/1.35)*BD426,BD426*$AA426),)</f>
        <v/>
      </c>
      <c r="CP426" s="130">
        <f>IFERROR(if($AA426=0,($W426/1.35)*BE426,BE426*$AA426),)</f>
        <v/>
      </c>
      <c r="CQ426" s="130">
        <f>IFERROR(if($AA426=0,($W426/1.35)*BF426,BF426*$AA426),)</f>
        <v/>
      </c>
      <c r="CR426" s="128">
        <f>IFERROR(if($AC426=0,($W426/0.74)*BG426,
BG426*$AC426),)</f>
        <v/>
      </c>
      <c r="CS426" s="128">
        <f>IFERROR(if($AC426=0,($W426/0.74)*BH426,
BH426*$AC426),)</f>
        <v/>
      </c>
      <c r="CT426" s="128">
        <f>IFERROR(if($AC426=0,($W426/0.74)*BI426,
BI426*$AC426),)</f>
        <v/>
      </c>
      <c r="CU426" s="128">
        <f>IFERROR(AI426*$V426,)</f>
        <v/>
      </c>
      <c r="CV426" s="128">
        <f>IFERROR(AJ426*$V426,)</f>
        <v/>
      </c>
      <c r="CW426" s="128">
        <f>IFERROR(AK426*$V426,)</f>
        <v/>
      </c>
      <c r="CX426" s="128">
        <f>IFERROR(AL426*$V426,)</f>
        <v/>
      </c>
      <c r="CY426" s="128">
        <f>IFERROR(AM426*$V426,)</f>
        <v/>
      </c>
      <c r="CZ426" s="128">
        <f>IFERROR(AN426*$V426,)</f>
        <v/>
      </c>
      <c r="DA426" s="128">
        <f>IFERROR(AO426*$V426,)</f>
        <v/>
      </c>
      <c r="DB426" s="128">
        <f>IFERROR(AP426*$V426,)</f>
        <v/>
      </c>
      <c r="DC426" s="128">
        <f>IFERROR(AQ426*$V426,)</f>
        <v/>
      </c>
      <c r="DD426" s="128">
        <f>IFERROR(AR426*$V426,)</f>
        <v/>
      </c>
      <c r="DE426" s="128">
        <f>IFERROR(AS426*$V426,)</f>
        <v/>
      </c>
      <c r="DF426" s="128">
        <f>IFERROR(AT426*$V426,)</f>
        <v/>
      </c>
      <c r="DG426" s="128">
        <f>IFERROR(AU426*$V426,)</f>
        <v/>
      </c>
      <c r="DH426" s="128">
        <f>IFERROR(AV426*$V426,)</f>
        <v/>
      </c>
      <c r="DI426" s="128">
        <f>IFERROR(AW426*$V426,)</f>
        <v/>
      </c>
      <c r="DJ426" s="128">
        <f>IFERROR(AX426*$V426,)</f>
        <v/>
      </c>
      <c r="DK426" s="128">
        <f>IFERROR(AY426*$V426,)</f>
        <v/>
      </c>
      <c r="DL426" s="128">
        <f>IFERROR(AZ426*$V426,)</f>
        <v/>
      </c>
      <c r="DM426" s="129">
        <f>IFERROR(if($X426=0,($V426/1.2)*BA426,
BA426*$X426),)</f>
        <v/>
      </c>
      <c r="DN426" s="129">
        <f>IFERROR(if($X426=0,($V426/1.2)*BB426,
BB426*$X426),)</f>
        <v/>
      </c>
      <c r="DO426" s="129">
        <f>IFERROR(if($X426=0,($V426/1.2)*BC426,
BC426*$X426),)</f>
        <v/>
      </c>
      <c r="DP426" s="130">
        <f>IFERROR(if($Z426=0,($V426/1.35)*BD426,
BD426*$Z426),)</f>
        <v/>
      </c>
      <c r="DQ426" s="130">
        <f>IFERROR(if($Z426=0,($V426/1.35)*BE426,
BE426*$Z426),)</f>
        <v/>
      </c>
      <c r="DR426" s="130">
        <f>IFERROR(if($Z426=0,($V426/1.35)*BF426,
BF426*$Z426),)</f>
        <v/>
      </c>
      <c r="DS426" s="128">
        <f>IFERROR(IF($AB426=0,($V426/0.74)*BG426,
BG426*$AB426),)</f>
        <v/>
      </c>
      <c r="DT426" s="128">
        <f>IFERROR(IF($AB426=0,($V426/0.74)*BH426,
BH426*$AB426),)</f>
        <v/>
      </c>
      <c r="DU426" s="128">
        <f>IFERROR(IF($AB426=0,($V426/0.74)*BI426,
BI426*$AB426),)</f>
        <v/>
      </c>
    </row>
    <row r="427" ht="131.25" customHeight="1" s="162">
      <c r="A427" s="115" t="n"/>
      <c r="B427" s="115" t="n"/>
      <c r="C427" s="115" t="n"/>
      <c r="D427" s="115" t="n"/>
      <c r="E427" s="115" t="n"/>
      <c r="F427" s="115" t="n"/>
      <c r="G427" s="115" t="n"/>
      <c r="H427" s="115" t="n"/>
      <c r="I427" s="115" t="n"/>
      <c r="J427" s="115" t="n"/>
      <c r="K427" s="115" t="n"/>
      <c r="L427" s="115" t="n"/>
      <c r="M427" s="115" t="n"/>
      <c r="N427" s="115" t="n"/>
      <c r="O427" s="115" t="n"/>
      <c r="P427" s="115" t="n"/>
      <c r="Q427" s="115" t="n"/>
      <c r="R427" s="115" t="n"/>
      <c r="S427" s="115" t="n"/>
      <c r="T427" s="115" t="n"/>
      <c r="U427" s="116" t="n"/>
      <c r="V427" s="116" t="n"/>
      <c r="W427" s="117" t="n"/>
      <c r="X427" s="118" t="n"/>
      <c r="Y427" s="119" t="n"/>
      <c r="Z427" s="120" t="n"/>
      <c r="AA427" s="121" t="n"/>
      <c r="AB427" s="122" t="n"/>
      <c r="AC427" s="117" t="n"/>
      <c r="AD427" s="123">
        <f>IF(SUM($AE427:$AH427)=0,"",SUM($AE427:$AH427))</f>
        <v/>
      </c>
      <c r="AE427" s="123">
        <f>iferror(IF(SUM($AI427:$AZ427)=0,"",SUM($AI427:$AZ427)),"")</f>
        <v/>
      </c>
      <c r="AF427" s="123">
        <f>iferror(IF(SUM($BA427:$BC427)=0,"",SUM($BA427:$BC427)),"")</f>
        <v/>
      </c>
      <c r="AG427" s="123">
        <f>iferror(IF(SUM($BD427:$BF427)=0,"",SUM($BD427:$BF427)),"")</f>
        <v/>
      </c>
      <c r="AH427" s="124">
        <f>iferror(IF(SUM($BG427:$BI427)=0,"",SUM($BG427:$BI427)),"")</f>
        <v/>
      </c>
      <c r="AI427" s="131" t="n"/>
      <c r="AJ427" s="132" t="n"/>
      <c r="AK427" s="132" t="n"/>
      <c r="AL427" s="132" t="n"/>
      <c r="AM427" s="132" t="n"/>
      <c r="AN427" s="132" t="n"/>
      <c r="AO427" s="132" t="n"/>
      <c r="AP427" s="132" t="n"/>
      <c r="AQ427" s="132" t="n"/>
      <c r="AR427" s="132" t="n"/>
      <c r="AS427" s="132" t="n"/>
      <c r="AT427" s="132" t="n"/>
      <c r="AU427" s="132" t="n"/>
      <c r="AV427" s="132" t="n"/>
      <c r="AW427" s="132" t="n"/>
      <c r="AX427" s="132" t="n"/>
      <c r="AY427" s="132" t="n"/>
      <c r="AZ427" s="133" t="n"/>
      <c r="BA427" s="131" t="n"/>
      <c r="BB427" s="132" t="n"/>
      <c r="BC427" s="133" t="n"/>
      <c r="BD427" s="131" t="n"/>
      <c r="BE427" s="132" t="n"/>
      <c r="BF427" s="133" t="n"/>
      <c r="BG427" s="131" t="n"/>
      <c r="BH427" s="132" t="n"/>
      <c r="BI427" s="132" t="n"/>
      <c r="BJ427" s="128">
        <f>iferror(SUM($BK427,($BL427*1.2),($BM427*1.35),($BN427*0.74)),)</f>
        <v/>
      </c>
      <c r="BK427" s="128">
        <f>IFERROR(SUM($BT427:$CK427),)</f>
        <v/>
      </c>
      <c r="BL427" s="129">
        <f>IFERROR(SUM($CL427:$CN427),)</f>
        <v/>
      </c>
      <c r="BM427" s="130">
        <f>IFERROR(SUM($CO427:$CQ427),)</f>
        <v/>
      </c>
      <c r="BN427" s="128">
        <f>IFERROR(SUM($CR427:$CT427),)</f>
        <v/>
      </c>
      <c r="BO427" s="128">
        <f>iferror(SUM($BP427,($BQ427*1.2),($BR427*1.35),($BS427*0.74)),)</f>
        <v/>
      </c>
      <c r="BP427" s="128">
        <f>IFERROR(SUM($CU427:$DL427),)</f>
        <v/>
      </c>
      <c r="BQ427" s="128">
        <f>IFERROR(SUM($DM427:$DO427),)</f>
        <v/>
      </c>
      <c r="BR427" s="128">
        <f>IFERROR(SUM($DP427:$DR427),)</f>
        <v/>
      </c>
      <c r="BS427" s="128">
        <f>IFERROR(SUM($DS427:$DU427),)</f>
        <v/>
      </c>
      <c r="BT427" s="128">
        <f>IFERROR(AI427*$W427,)</f>
        <v/>
      </c>
      <c r="BU427" s="128">
        <f>IFERROR(AJ427*$W427,)</f>
        <v/>
      </c>
      <c r="BV427" s="128">
        <f>IFERROR(AK427*$W427,)</f>
        <v/>
      </c>
      <c r="BW427" s="128">
        <f>IFERROR(AL427*$W427,)</f>
        <v/>
      </c>
      <c r="BX427" s="128">
        <f>IFERROR(AM427*$W427,)</f>
        <v/>
      </c>
      <c r="BY427" s="128">
        <f>IFERROR(AN427*$W427,)</f>
        <v/>
      </c>
      <c r="BZ427" s="128">
        <f>IFERROR(AO427*$W427,)</f>
        <v/>
      </c>
      <c r="CA427" s="128">
        <f>IFERROR(AP427*$W427,)</f>
        <v/>
      </c>
      <c r="CB427" s="128">
        <f>IFERROR(AQ427*$W427,)</f>
        <v/>
      </c>
      <c r="CC427" s="128">
        <f>IFERROR(AR427*$W427,)</f>
        <v/>
      </c>
      <c r="CD427" s="128">
        <f>IFERROR(AS427*$W427,)</f>
        <v/>
      </c>
      <c r="CE427" s="128">
        <f>IFERROR(AT427*$W427,)</f>
        <v/>
      </c>
      <c r="CF427" s="128">
        <f>IFERROR(AU427*$W427,)</f>
        <v/>
      </c>
      <c r="CG427" s="128">
        <f>IFERROR(AV427*$W427,)</f>
        <v/>
      </c>
      <c r="CH427" s="128">
        <f>IFERROR(AW427*$W427,)</f>
        <v/>
      </c>
      <c r="CI427" s="128">
        <f>IFERROR(AX427*$W427,)</f>
        <v/>
      </c>
      <c r="CJ427" s="128">
        <f>IFERROR(AY427*$W427,)</f>
        <v/>
      </c>
      <c r="CK427" s="128">
        <f>IFERROR(AZ427*$W427,)</f>
        <v/>
      </c>
      <c r="CL427" s="129">
        <f>IFERROR(if($Y427=0,BA427*($W427/1.2),BA427*$Y427),"")</f>
        <v/>
      </c>
      <c r="CM427" s="129">
        <f>IFERROR(if($Y427=0,BB427*($W427/1.2),BB427*$Y427),"")</f>
        <v/>
      </c>
      <c r="CN427" s="129">
        <f>IFERROR(if($Y427=0,BC427*($W427/1.2),BC427*$Y427),"")</f>
        <v/>
      </c>
      <c r="CO427" s="130">
        <f>IFERROR(if($AA427=0,($W427/1.35)*BD427,BD427*$AA427),)</f>
        <v/>
      </c>
      <c r="CP427" s="130">
        <f>IFERROR(if($AA427=0,($W427/1.35)*BE427,BE427*$AA427),)</f>
        <v/>
      </c>
      <c r="CQ427" s="130">
        <f>IFERROR(if($AA427=0,($W427/1.35)*BF427,BF427*$AA427),)</f>
        <v/>
      </c>
      <c r="CR427" s="128">
        <f>IFERROR(if($AC427=0,($W427/0.74)*BG427,
BG427*$AC427),)</f>
        <v/>
      </c>
      <c r="CS427" s="128">
        <f>IFERROR(if($AC427=0,($W427/0.74)*BH427,
BH427*$AC427),)</f>
        <v/>
      </c>
      <c r="CT427" s="128">
        <f>IFERROR(if($AC427=0,($W427/0.74)*BI427,
BI427*$AC427),)</f>
        <v/>
      </c>
      <c r="CU427" s="128">
        <f>IFERROR(AI427*$V427,)</f>
        <v/>
      </c>
      <c r="CV427" s="128">
        <f>IFERROR(AJ427*$V427,)</f>
        <v/>
      </c>
      <c r="CW427" s="128">
        <f>IFERROR(AK427*$V427,)</f>
        <v/>
      </c>
      <c r="CX427" s="128">
        <f>IFERROR(AL427*$V427,)</f>
        <v/>
      </c>
      <c r="CY427" s="128">
        <f>IFERROR(AM427*$V427,)</f>
        <v/>
      </c>
      <c r="CZ427" s="128">
        <f>IFERROR(AN427*$V427,)</f>
        <v/>
      </c>
      <c r="DA427" s="128">
        <f>IFERROR(AO427*$V427,)</f>
        <v/>
      </c>
      <c r="DB427" s="128">
        <f>IFERROR(AP427*$V427,)</f>
        <v/>
      </c>
      <c r="DC427" s="128">
        <f>IFERROR(AQ427*$V427,)</f>
        <v/>
      </c>
      <c r="DD427" s="128">
        <f>IFERROR(AR427*$V427,)</f>
        <v/>
      </c>
      <c r="DE427" s="128">
        <f>IFERROR(AS427*$V427,)</f>
        <v/>
      </c>
      <c r="DF427" s="128">
        <f>IFERROR(AT427*$V427,)</f>
        <v/>
      </c>
      <c r="DG427" s="128">
        <f>IFERROR(AU427*$V427,)</f>
        <v/>
      </c>
      <c r="DH427" s="128">
        <f>IFERROR(AV427*$V427,)</f>
        <v/>
      </c>
      <c r="DI427" s="128">
        <f>IFERROR(AW427*$V427,)</f>
        <v/>
      </c>
      <c r="DJ427" s="128">
        <f>IFERROR(AX427*$V427,)</f>
        <v/>
      </c>
      <c r="DK427" s="128">
        <f>IFERROR(AY427*$V427,)</f>
        <v/>
      </c>
      <c r="DL427" s="128">
        <f>IFERROR(AZ427*$V427,)</f>
        <v/>
      </c>
      <c r="DM427" s="129">
        <f>IFERROR(if($X427=0,($V427/1.2)*BA427,
BA427*$X427),)</f>
        <v/>
      </c>
      <c r="DN427" s="129">
        <f>IFERROR(if($X427=0,($V427/1.2)*BB427,
BB427*$X427),)</f>
        <v/>
      </c>
      <c r="DO427" s="129">
        <f>IFERROR(if($X427=0,($V427/1.2)*BC427,
BC427*$X427),)</f>
        <v/>
      </c>
      <c r="DP427" s="130">
        <f>IFERROR(if($Z427=0,($V427/1.35)*BD427,
BD427*$Z427),)</f>
        <v/>
      </c>
      <c r="DQ427" s="130">
        <f>IFERROR(if($Z427=0,($V427/1.35)*BE427,
BE427*$Z427),)</f>
        <v/>
      </c>
      <c r="DR427" s="130">
        <f>IFERROR(if($Z427=0,($V427/1.35)*BF427,
BF427*$Z427),)</f>
        <v/>
      </c>
      <c r="DS427" s="128">
        <f>IFERROR(IF($AB427=0,($V427/0.74)*BG427,
BG427*$AB427),)</f>
        <v/>
      </c>
      <c r="DT427" s="128">
        <f>IFERROR(IF($AB427=0,($V427/0.74)*BH427,
BH427*$AB427),)</f>
        <v/>
      </c>
      <c r="DU427" s="128">
        <f>IFERROR(IF($AB427=0,($V427/0.74)*BI427,
BI427*$AB427),)</f>
        <v/>
      </c>
    </row>
    <row r="428" ht="131.25" customHeight="1" s="162">
      <c r="A428" s="115" t="n"/>
      <c r="B428" s="115" t="n"/>
      <c r="C428" s="115" t="n"/>
      <c r="D428" s="115" t="n"/>
      <c r="E428" s="115" t="n"/>
      <c r="F428" s="115" t="n"/>
      <c r="G428" s="115" t="n"/>
      <c r="H428" s="115" t="n"/>
      <c r="I428" s="115" t="n"/>
      <c r="J428" s="115" t="n"/>
      <c r="K428" s="115" t="n"/>
      <c r="L428" s="115" t="n"/>
      <c r="M428" s="115" t="n"/>
      <c r="N428" s="115" t="n"/>
      <c r="O428" s="115" t="n"/>
      <c r="P428" s="115" t="n"/>
      <c r="Q428" s="115" t="n"/>
      <c r="R428" s="115" t="n"/>
      <c r="S428" s="115" t="n"/>
      <c r="T428" s="115" t="n"/>
      <c r="U428" s="116" t="n"/>
      <c r="V428" s="116" t="n"/>
      <c r="W428" s="117" t="n"/>
      <c r="X428" s="118" t="n"/>
      <c r="Y428" s="119" t="n"/>
      <c r="Z428" s="120" t="n"/>
      <c r="AA428" s="121" t="n"/>
      <c r="AB428" s="122" t="n"/>
      <c r="AC428" s="117" t="n"/>
      <c r="AD428" s="123">
        <f>IF(SUM($AE428:$AH428)=0,"",SUM($AE428:$AH428))</f>
        <v/>
      </c>
      <c r="AE428" s="123">
        <f>iferror(IF(SUM($AI428:$AZ428)=0,"",SUM($AI428:$AZ428)),"")</f>
        <v/>
      </c>
      <c r="AF428" s="123">
        <f>iferror(IF(SUM($BA428:$BC428)=0,"",SUM($BA428:$BC428)),"")</f>
        <v/>
      </c>
      <c r="AG428" s="123">
        <f>iferror(IF(SUM($BD428:$BF428)=0,"",SUM($BD428:$BF428)),"")</f>
        <v/>
      </c>
      <c r="AH428" s="124">
        <f>iferror(IF(SUM($BG428:$BI428)=0,"",SUM($BG428:$BI428)),"")</f>
        <v/>
      </c>
      <c r="AI428" s="131" t="n"/>
      <c r="AJ428" s="132" t="n"/>
      <c r="AK428" s="132" t="n"/>
      <c r="AL428" s="132" t="n"/>
      <c r="AM428" s="132" t="n"/>
      <c r="AN428" s="132" t="n"/>
      <c r="AO428" s="132" t="n"/>
      <c r="AP428" s="132" t="n"/>
      <c r="AQ428" s="132" t="n"/>
      <c r="AR428" s="132" t="n"/>
      <c r="AS428" s="132" t="n"/>
      <c r="AT428" s="132" t="n"/>
      <c r="AU428" s="132" t="n"/>
      <c r="AV428" s="132" t="n"/>
      <c r="AW428" s="132" t="n"/>
      <c r="AX428" s="132" t="n"/>
      <c r="AY428" s="132" t="n"/>
      <c r="AZ428" s="133" t="n"/>
      <c r="BA428" s="131" t="n"/>
      <c r="BB428" s="132" t="n"/>
      <c r="BC428" s="133" t="n"/>
      <c r="BD428" s="131" t="n"/>
      <c r="BE428" s="132" t="n"/>
      <c r="BF428" s="133" t="n"/>
      <c r="BG428" s="131" t="n"/>
      <c r="BH428" s="132" t="n"/>
      <c r="BI428" s="132" t="n"/>
      <c r="BJ428" s="128">
        <f>iferror(SUM($BK428,($BL428*1.2),($BM428*1.35),($BN428*0.74)),)</f>
        <v/>
      </c>
      <c r="BK428" s="128">
        <f>IFERROR(SUM($BT428:$CK428),)</f>
        <v/>
      </c>
      <c r="BL428" s="129">
        <f>IFERROR(SUM($CL428:$CN428),)</f>
        <v/>
      </c>
      <c r="BM428" s="130">
        <f>IFERROR(SUM($CO428:$CQ428),)</f>
        <v/>
      </c>
      <c r="BN428" s="128">
        <f>IFERROR(SUM($CR428:$CT428),)</f>
        <v/>
      </c>
      <c r="BO428" s="128">
        <f>iferror(SUM($BP428,($BQ428*1.2),($BR428*1.35),($BS428*0.74)),)</f>
        <v/>
      </c>
      <c r="BP428" s="128">
        <f>IFERROR(SUM($CU428:$DL428),)</f>
        <v/>
      </c>
      <c r="BQ428" s="128">
        <f>IFERROR(SUM($DM428:$DO428),)</f>
        <v/>
      </c>
      <c r="BR428" s="128">
        <f>IFERROR(SUM($DP428:$DR428),)</f>
        <v/>
      </c>
      <c r="BS428" s="128">
        <f>IFERROR(SUM($DS428:$DU428),)</f>
        <v/>
      </c>
      <c r="BT428" s="128">
        <f>IFERROR(AI428*$W428,)</f>
        <v/>
      </c>
      <c r="BU428" s="128">
        <f>IFERROR(AJ428*$W428,)</f>
        <v/>
      </c>
      <c r="BV428" s="128">
        <f>IFERROR(AK428*$W428,)</f>
        <v/>
      </c>
      <c r="BW428" s="128">
        <f>IFERROR(AL428*$W428,)</f>
        <v/>
      </c>
      <c r="BX428" s="128">
        <f>IFERROR(AM428*$W428,)</f>
        <v/>
      </c>
      <c r="BY428" s="128">
        <f>IFERROR(AN428*$W428,)</f>
        <v/>
      </c>
      <c r="BZ428" s="128">
        <f>IFERROR(AO428*$W428,)</f>
        <v/>
      </c>
      <c r="CA428" s="128">
        <f>IFERROR(AP428*$W428,)</f>
        <v/>
      </c>
      <c r="CB428" s="128">
        <f>IFERROR(AQ428*$W428,)</f>
        <v/>
      </c>
      <c r="CC428" s="128">
        <f>IFERROR(AR428*$W428,)</f>
        <v/>
      </c>
      <c r="CD428" s="128">
        <f>IFERROR(AS428*$W428,)</f>
        <v/>
      </c>
      <c r="CE428" s="128">
        <f>IFERROR(AT428*$W428,)</f>
        <v/>
      </c>
      <c r="CF428" s="128">
        <f>IFERROR(AU428*$W428,)</f>
        <v/>
      </c>
      <c r="CG428" s="128">
        <f>IFERROR(AV428*$W428,)</f>
        <v/>
      </c>
      <c r="CH428" s="128">
        <f>IFERROR(AW428*$W428,)</f>
        <v/>
      </c>
      <c r="CI428" s="128">
        <f>IFERROR(AX428*$W428,)</f>
        <v/>
      </c>
      <c r="CJ428" s="128">
        <f>IFERROR(AY428*$W428,)</f>
        <v/>
      </c>
      <c r="CK428" s="128">
        <f>IFERROR(AZ428*$W428,)</f>
        <v/>
      </c>
      <c r="CL428" s="129">
        <f>IFERROR(if($Y428=0,BA428*($W428/1.2),BA428*$Y428),"")</f>
        <v/>
      </c>
      <c r="CM428" s="129">
        <f>IFERROR(if($Y428=0,BB428*($W428/1.2),BB428*$Y428),"")</f>
        <v/>
      </c>
      <c r="CN428" s="129">
        <f>IFERROR(if($Y428=0,BC428*($W428/1.2),BC428*$Y428),"")</f>
        <v/>
      </c>
      <c r="CO428" s="130">
        <f>IFERROR(if($AA428=0,($W428/1.35)*BD428,BD428*$AA428),)</f>
        <v/>
      </c>
      <c r="CP428" s="130">
        <f>IFERROR(if($AA428=0,($W428/1.35)*BE428,BE428*$AA428),)</f>
        <v/>
      </c>
      <c r="CQ428" s="130">
        <f>IFERROR(if($AA428=0,($W428/1.35)*BF428,BF428*$AA428),)</f>
        <v/>
      </c>
      <c r="CR428" s="128">
        <f>IFERROR(if($AC428=0,($W428/0.74)*BG428,
BG428*$AC428),)</f>
        <v/>
      </c>
      <c r="CS428" s="128">
        <f>IFERROR(if($AC428=0,($W428/0.74)*BH428,
BH428*$AC428),)</f>
        <v/>
      </c>
      <c r="CT428" s="128">
        <f>IFERROR(if($AC428=0,($W428/0.74)*BI428,
BI428*$AC428),)</f>
        <v/>
      </c>
      <c r="CU428" s="128">
        <f>IFERROR(AI428*$V428,)</f>
        <v/>
      </c>
      <c r="CV428" s="128">
        <f>IFERROR(AJ428*$V428,)</f>
        <v/>
      </c>
      <c r="CW428" s="128">
        <f>IFERROR(AK428*$V428,)</f>
        <v/>
      </c>
      <c r="CX428" s="128">
        <f>IFERROR(AL428*$V428,)</f>
        <v/>
      </c>
      <c r="CY428" s="128">
        <f>IFERROR(AM428*$V428,)</f>
        <v/>
      </c>
      <c r="CZ428" s="128">
        <f>IFERROR(AN428*$V428,)</f>
        <v/>
      </c>
      <c r="DA428" s="128">
        <f>IFERROR(AO428*$V428,)</f>
        <v/>
      </c>
      <c r="DB428" s="128">
        <f>IFERROR(AP428*$V428,)</f>
        <v/>
      </c>
      <c r="DC428" s="128">
        <f>IFERROR(AQ428*$V428,)</f>
        <v/>
      </c>
      <c r="DD428" s="128">
        <f>IFERROR(AR428*$V428,)</f>
        <v/>
      </c>
      <c r="DE428" s="128">
        <f>IFERROR(AS428*$V428,)</f>
        <v/>
      </c>
      <c r="DF428" s="128">
        <f>IFERROR(AT428*$V428,)</f>
        <v/>
      </c>
      <c r="DG428" s="128">
        <f>IFERROR(AU428*$V428,)</f>
        <v/>
      </c>
      <c r="DH428" s="128">
        <f>IFERROR(AV428*$V428,)</f>
        <v/>
      </c>
      <c r="DI428" s="128">
        <f>IFERROR(AW428*$V428,)</f>
        <v/>
      </c>
      <c r="DJ428" s="128">
        <f>IFERROR(AX428*$V428,)</f>
        <v/>
      </c>
      <c r="DK428" s="128">
        <f>IFERROR(AY428*$V428,)</f>
        <v/>
      </c>
      <c r="DL428" s="128">
        <f>IFERROR(AZ428*$V428,)</f>
        <v/>
      </c>
      <c r="DM428" s="129">
        <f>IFERROR(if($X428=0,($V428/1.2)*BA428,
BA428*$X428),)</f>
        <v/>
      </c>
      <c r="DN428" s="129">
        <f>IFERROR(if($X428=0,($V428/1.2)*BB428,
BB428*$X428),)</f>
        <v/>
      </c>
      <c r="DO428" s="129">
        <f>IFERROR(if($X428=0,($V428/1.2)*BC428,
BC428*$X428),)</f>
        <v/>
      </c>
      <c r="DP428" s="130">
        <f>IFERROR(if($Z428=0,($V428/1.35)*BD428,
BD428*$Z428),)</f>
        <v/>
      </c>
      <c r="DQ428" s="130">
        <f>IFERROR(if($Z428=0,($V428/1.35)*BE428,
BE428*$Z428),)</f>
        <v/>
      </c>
      <c r="DR428" s="130">
        <f>IFERROR(if($Z428=0,($V428/1.35)*BF428,
BF428*$Z428),)</f>
        <v/>
      </c>
      <c r="DS428" s="128">
        <f>IFERROR(IF($AB428=0,($V428/0.74)*BG428,
BG428*$AB428),)</f>
        <v/>
      </c>
      <c r="DT428" s="128">
        <f>IFERROR(IF($AB428=0,($V428/0.74)*BH428,
BH428*$AB428),)</f>
        <v/>
      </c>
      <c r="DU428" s="128">
        <f>IFERROR(IF($AB428=0,($V428/0.74)*BI428,
BI428*$AB428),)</f>
        <v/>
      </c>
    </row>
    <row r="429" ht="131.25" customHeight="1" s="162">
      <c r="A429" s="115" t="n"/>
      <c r="B429" s="115" t="n"/>
      <c r="C429" s="115" t="n"/>
      <c r="D429" s="115" t="n"/>
      <c r="E429" s="115" t="n"/>
      <c r="F429" s="115" t="n"/>
      <c r="G429" s="115" t="n"/>
      <c r="H429" s="115" t="n"/>
      <c r="I429" s="115" t="n"/>
      <c r="J429" s="115" t="n"/>
      <c r="K429" s="115" t="n"/>
      <c r="L429" s="115" t="n"/>
      <c r="M429" s="115" t="n"/>
      <c r="N429" s="115" t="n"/>
      <c r="O429" s="115" t="n"/>
      <c r="P429" s="115" t="n"/>
      <c r="Q429" s="115" t="n"/>
      <c r="R429" s="115" t="n"/>
      <c r="S429" s="115" t="n"/>
      <c r="T429" s="115" t="n"/>
      <c r="U429" s="116" t="n"/>
      <c r="V429" s="116" t="n"/>
      <c r="W429" s="117" t="n"/>
      <c r="X429" s="118" t="n"/>
      <c r="Y429" s="119" t="n"/>
      <c r="Z429" s="120" t="n"/>
      <c r="AA429" s="121" t="n"/>
      <c r="AB429" s="122" t="n"/>
      <c r="AC429" s="117" t="n"/>
      <c r="AD429" s="123">
        <f>IF(SUM($AE429:$AH429)=0,"",SUM($AE429:$AH429))</f>
        <v/>
      </c>
      <c r="AE429" s="123">
        <f>iferror(IF(SUM($AI429:$AZ429)=0,"",SUM($AI429:$AZ429)),"")</f>
        <v/>
      </c>
      <c r="AF429" s="123">
        <f>iferror(IF(SUM($BA429:$BC429)=0,"",SUM($BA429:$BC429)),"")</f>
        <v/>
      </c>
      <c r="AG429" s="123">
        <f>iferror(IF(SUM($BD429:$BF429)=0,"",SUM($BD429:$BF429)),"")</f>
        <v/>
      </c>
      <c r="AH429" s="124">
        <f>iferror(IF(SUM($BG429:$BI429)=0,"",SUM($BG429:$BI429)),"")</f>
        <v/>
      </c>
      <c r="AI429" s="131" t="n"/>
      <c r="AJ429" s="132" t="n"/>
      <c r="AK429" s="132" t="n"/>
      <c r="AL429" s="132" t="n"/>
      <c r="AM429" s="132" t="n"/>
      <c r="AN429" s="132" t="n"/>
      <c r="AO429" s="132" t="n"/>
      <c r="AP429" s="132" t="n"/>
      <c r="AQ429" s="132" t="n"/>
      <c r="AR429" s="132" t="n"/>
      <c r="AS429" s="132" t="n"/>
      <c r="AT429" s="132" t="n"/>
      <c r="AU429" s="132" t="n"/>
      <c r="AV429" s="132" t="n"/>
      <c r="AW429" s="132" t="n"/>
      <c r="AX429" s="132" t="n"/>
      <c r="AY429" s="132" t="n"/>
      <c r="AZ429" s="133" t="n"/>
      <c r="BA429" s="131" t="n"/>
      <c r="BB429" s="132" t="n"/>
      <c r="BC429" s="133" t="n"/>
      <c r="BD429" s="131" t="n"/>
      <c r="BE429" s="132" t="n"/>
      <c r="BF429" s="133" t="n"/>
      <c r="BG429" s="131" t="n"/>
      <c r="BH429" s="132" t="n"/>
      <c r="BI429" s="132" t="n"/>
      <c r="BJ429" s="128">
        <f>iferror(SUM($BK429,($BL429*1.2),($BM429*1.35),($BN429*0.74)),)</f>
        <v/>
      </c>
      <c r="BK429" s="128">
        <f>IFERROR(SUM($BT429:$CK429),)</f>
        <v/>
      </c>
      <c r="BL429" s="129">
        <f>IFERROR(SUM($CL429:$CN429),)</f>
        <v/>
      </c>
      <c r="BM429" s="130">
        <f>IFERROR(SUM($CO429:$CQ429),)</f>
        <v/>
      </c>
      <c r="BN429" s="128">
        <f>IFERROR(SUM($CR429:$CT429),)</f>
        <v/>
      </c>
      <c r="BO429" s="128">
        <f>iferror(SUM($BP429,($BQ429*1.2),($BR429*1.35),($BS429*0.74)),)</f>
        <v/>
      </c>
      <c r="BP429" s="128">
        <f>IFERROR(SUM($CU429:$DL429),)</f>
        <v/>
      </c>
      <c r="BQ429" s="128">
        <f>IFERROR(SUM($DM429:$DO429),)</f>
        <v/>
      </c>
      <c r="BR429" s="128">
        <f>IFERROR(SUM($DP429:$DR429),)</f>
        <v/>
      </c>
      <c r="BS429" s="128">
        <f>IFERROR(SUM($DS429:$DU429),)</f>
        <v/>
      </c>
      <c r="BT429" s="128">
        <f>IFERROR(AI429*$W429,)</f>
        <v/>
      </c>
      <c r="BU429" s="128">
        <f>IFERROR(AJ429*$W429,)</f>
        <v/>
      </c>
      <c r="BV429" s="128">
        <f>IFERROR(AK429*$W429,)</f>
        <v/>
      </c>
      <c r="BW429" s="128">
        <f>IFERROR(AL429*$W429,)</f>
        <v/>
      </c>
      <c r="BX429" s="128">
        <f>IFERROR(AM429*$W429,)</f>
        <v/>
      </c>
      <c r="BY429" s="128">
        <f>IFERROR(AN429*$W429,)</f>
        <v/>
      </c>
      <c r="BZ429" s="128">
        <f>IFERROR(AO429*$W429,)</f>
        <v/>
      </c>
      <c r="CA429" s="128">
        <f>IFERROR(AP429*$W429,)</f>
        <v/>
      </c>
      <c r="CB429" s="128">
        <f>IFERROR(AQ429*$W429,)</f>
        <v/>
      </c>
      <c r="CC429" s="128">
        <f>IFERROR(AR429*$W429,)</f>
        <v/>
      </c>
      <c r="CD429" s="128">
        <f>IFERROR(AS429*$W429,)</f>
        <v/>
      </c>
      <c r="CE429" s="128">
        <f>IFERROR(AT429*$W429,)</f>
        <v/>
      </c>
      <c r="CF429" s="128">
        <f>IFERROR(AU429*$W429,)</f>
        <v/>
      </c>
      <c r="CG429" s="128">
        <f>IFERROR(AV429*$W429,)</f>
        <v/>
      </c>
      <c r="CH429" s="128">
        <f>IFERROR(AW429*$W429,)</f>
        <v/>
      </c>
      <c r="CI429" s="128">
        <f>IFERROR(AX429*$W429,)</f>
        <v/>
      </c>
      <c r="CJ429" s="128">
        <f>IFERROR(AY429*$W429,)</f>
        <v/>
      </c>
      <c r="CK429" s="128">
        <f>IFERROR(AZ429*$W429,)</f>
        <v/>
      </c>
      <c r="CL429" s="129">
        <f>IFERROR(if($Y429=0,BA429*($W429/1.2),BA429*$Y429),"")</f>
        <v/>
      </c>
      <c r="CM429" s="129">
        <f>IFERROR(if($Y429=0,BB429*($W429/1.2),BB429*$Y429),"")</f>
        <v/>
      </c>
      <c r="CN429" s="129">
        <f>IFERROR(if($Y429=0,BC429*($W429/1.2),BC429*$Y429),"")</f>
        <v/>
      </c>
      <c r="CO429" s="130">
        <f>IFERROR(if($AA429=0,($W429/1.35)*BD429,BD429*$AA429),)</f>
        <v/>
      </c>
      <c r="CP429" s="130">
        <f>IFERROR(if($AA429=0,($W429/1.35)*BE429,BE429*$AA429),)</f>
        <v/>
      </c>
      <c r="CQ429" s="130">
        <f>IFERROR(if($AA429=0,($W429/1.35)*BF429,BF429*$AA429),)</f>
        <v/>
      </c>
      <c r="CR429" s="128">
        <f>IFERROR(if($AC429=0,($W429/0.74)*BG429,
BG429*$AC429),)</f>
        <v/>
      </c>
      <c r="CS429" s="128">
        <f>IFERROR(if($AC429=0,($W429/0.74)*BH429,
BH429*$AC429),)</f>
        <v/>
      </c>
      <c r="CT429" s="128">
        <f>IFERROR(if($AC429=0,($W429/0.74)*BI429,
BI429*$AC429),)</f>
        <v/>
      </c>
      <c r="CU429" s="128">
        <f>IFERROR(AI429*$V429,)</f>
        <v/>
      </c>
      <c r="CV429" s="128">
        <f>IFERROR(AJ429*$V429,)</f>
        <v/>
      </c>
      <c r="CW429" s="128">
        <f>IFERROR(AK429*$V429,)</f>
        <v/>
      </c>
      <c r="CX429" s="128">
        <f>IFERROR(AL429*$V429,)</f>
        <v/>
      </c>
      <c r="CY429" s="128">
        <f>IFERROR(AM429*$V429,)</f>
        <v/>
      </c>
      <c r="CZ429" s="128">
        <f>IFERROR(AN429*$V429,)</f>
        <v/>
      </c>
      <c r="DA429" s="128">
        <f>IFERROR(AO429*$V429,)</f>
        <v/>
      </c>
      <c r="DB429" s="128">
        <f>IFERROR(AP429*$V429,)</f>
        <v/>
      </c>
      <c r="DC429" s="128">
        <f>IFERROR(AQ429*$V429,)</f>
        <v/>
      </c>
      <c r="DD429" s="128">
        <f>IFERROR(AR429*$V429,)</f>
        <v/>
      </c>
      <c r="DE429" s="128">
        <f>IFERROR(AS429*$V429,)</f>
        <v/>
      </c>
      <c r="DF429" s="128">
        <f>IFERROR(AT429*$V429,)</f>
        <v/>
      </c>
      <c r="DG429" s="128">
        <f>IFERROR(AU429*$V429,)</f>
        <v/>
      </c>
      <c r="DH429" s="128">
        <f>IFERROR(AV429*$V429,)</f>
        <v/>
      </c>
      <c r="DI429" s="128">
        <f>IFERROR(AW429*$V429,)</f>
        <v/>
      </c>
      <c r="DJ429" s="128">
        <f>IFERROR(AX429*$V429,)</f>
        <v/>
      </c>
      <c r="DK429" s="128">
        <f>IFERROR(AY429*$V429,)</f>
        <v/>
      </c>
      <c r="DL429" s="128">
        <f>IFERROR(AZ429*$V429,)</f>
        <v/>
      </c>
      <c r="DM429" s="129">
        <f>IFERROR(if($X429=0,($V429/1.2)*BA429,
BA429*$X429),)</f>
        <v/>
      </c>
      <c r="DN429" s="129">
        <f>IFERROR(if($X429=0,($V429/1.2)*BB429,
BB429*$X429),)</f>
        <v/>
      </c>
      <c r="DO429" s="129">
        <f>IFERROR(if($X429=0,($V429/1.2)*BC429,
BC429*$X429),)</f>
        <v/>
      </c>
      <c r="DP429" s="130">
        <f>IFERROR(if($Z429=0,($V429/1.35)*BD429,
BD429*$Z429),)</f>
        <v/>
      </c>
      <c r="DQ429" s="130">
        <f>IFERROR(if($Z429=0,($V429/1.35)*BE429,
BE429*$Z429),)</f>
        <v/>
      </c>
      <c r="DR429" s="130">
        <f>IFERROR(if($Z429=0,($V429/1.35)*BF429,
BF429*$Z429),)</f>
        <v/>
      </c>
      <c r="DS429" s="128">
        <f>IFERROR(IF($AB429=0,($V429/0.74)*BG429,
BG429*$AB429),)</f>
        <v/>
      </c>
      <c r="DT429" s="128">
        <f>IFERROR(IF($AB429=0,($V429/0.74)*BH429,
BH429*$AB429),)</f>
        <v/>
      </c>
      <c r="DU429" s="128">
        <f>IFERROR(IF($AB429=0,($V429/0.74)*BI429,
BI429*$AB429),)</f>
        <v/>
      </c>
    </row>
    <row r="430" ht="131.25" customHeight="1" s="162">
      <c r="A430" s="115" t="n"/>
      <c r="B430" s="115" t="n"/>
      <c r="C430" s="115" t="n"/>
      <c r="D430" s="115" t="n"/>
      <c r="E430" s="115" t="n"/>
      <c r="F430" s="115" t="n"/>
      <c r="G430" s="115" t="n"/>
      <c r="H430" s="115" t="n"/>
      <c r="I430" s="115" t="n"/>
      <c r="J430" s="115" t="n"/>
      <c r="K430" s="115" t="n"/>
      <c r="L430" s="115" t="n"/>
      <c r="M430" s="115" t="n"/>
      <c r="N430" s="115" t="n"/>
      <c r="O430" s="115" t="n"/>
      <c r="P430" s="115" t="n"/>
      <c r="Q430" s="115" t="n"/>
      <c r="R430" s="115" t="n"/>
      <c r="S430" s="115" t="n"/>
      <c r="T430" s="115" t="n"/>
      <c r="U430" s="116" t="n"/>
      <c r="V430" s="116" t="n"/>
      <c r="W430" s="117" t="n"/>
      <c r="X430" s="118" t="n"/>
      <c r="Y430" s="119" t="n"/>
      <c r="Z430" s="120" t="n"/>
      <c r="AA430" s="121" t="n"/>
      <c r="AB430" s="122" t="n"/>
      <c r="AC430" s="117" t="n"/>
      <c r="AD430" s="123">
        <f>IF(SUM($AE430:$AH430)=0,"",SUM($AE430:$AH430))</f>
        <v/>
      </c>
      <c r="AE430" s="123">
        <f>iferror(IF(SUM($AI430:$AZ430)=0,"",SUM($AI430:$AZ430)),"")</f>
        <v/>
      </c>
      <c r="AF430" s="123">
        <f>iferror(IF(SUM($BA430:$BC430)=0,"",SUM($BA430:$BC430)),"")</f>
        <v/>
      </c>
      <c r="AG430" s="123">
        <f>iferror(IF(SUM($BD430:$BF430)=0,"",SUM($BD430:$BF430)),"")</f>
        <v/>
      </c>
      <c r="AH430" s="124">
        <f>iferror(IF(SUM($BG430:$BI430)=0,"",SUM($BG430:$BI430)),"")</f>
        <v/>
      </c>
      <c r="AI430" s="131" t="n"/>
      <c r="AJ430" s="132" t="n"/>
      <c r="AK430" s="132" t="n"/>
      <c r="AL430" s="132" t="n"/>
      <c r="AM430" s="132" t="n"/>
      <c r="AN430" s="132" t="n"/>
      <c r="AO430" s="132" t="n"/>
      <c r="AP430" s="132" t="n"/>
      <c r="AQ430" s="132" t="n"/>
      <c r="AR430" s="132" t="n"/>
      <c r="AS430" s="132" t="n"/>
      <c r="AT430" s="132" t="n"/>
      <c r="AU430" s="132" t="n"/>
      <c r="AV430" s="132" t="n"/>
      <c r="AW430" s="132" t="n"/>
      <c r="AX430" s="132" t="n"/>
      <c r="AY430" s="132" t="n"/>
      <c r="AZ430" s="133" t="n"/>
      <c r="BA430" s="131" t="n"/>
      <c r="BB430" s="132" t="n"/>
      <c r="BC430" s="133" t="n"/>
      <c r="BD430" s="131" t="n"/>
      <c r="BE430" s="132" t="n"/>
      <c r="BF430" s="133" t="n"/>
      <c r="BG430" s="131" t="n"/>
      <c r="BH430" s="132" t="n"/>
      <c r="BI430" s="132" t="n"/>
      <c r="BJ430" s="128">
        <f>iferror(SUM($BK430,($BL430*1.2),($BM430*1.35),($BN430*0.74)),)</f>
        <v/>
      </c>
      <c r="BK430" s="128">
        <f>IFERROR(SUM($BT430:$CK430),)</f>
        <v/>
      </c>
      <c r="BL430" s="129">
        <f>IFERROR(SUM($CL430:$CN430),)</f>
        <v/>
      </c>
      <c r="BM430" s="130">
        <f>IFERROR(SUM($CO430:$CQ430),)</f>
        <v/>
      </c>
      <c r="BN430" s="128">
        <f>IFERROR(SUM($CR430:$CT430),)</f>
        <v/>
      </c>
      <c r="BO430" s="128">
        <f>iferror(SUM($BP430,($BQ430*1.2),($BR430*1.35),($BS430*0.74)),)</f>
        <v/>
      </c>
      <c r="BP430" s="128">
        <f>IFERROR(SUM($CU430:$DL430),)</f>
        <v/>
      </c>
      <c r="BQ430" s="128">
        <f>IFERROR(SUM($DM430:$DO430),)</f>
        <v/>
      </c>
      <c r="BR430" s="128">
        <f>IFERROR(SUM($DP430:$DR430),)</f>
        <v/>
      </c>
      <c r="BS430" s="128">
        <f>IFERROR(SUM($DS430:$DU430),)</f>
        <v/>
      </c>
      <c r="BT430" s="128">
        <f>IFERROR(AI430*$W430,)</f>
        <v/>
      </c>
      <c r="BU430" s="128">
        <f>IFERROR(AJ430*$W430,)</f>
        <v/>
      </c>
      <c r="BV430" s="128">
        <f>IFERROR(AK430*$W430,)</f>
        <v/>
      </c>
      <c r="BW430" s="128">
        <f>IFERROR(AL430*$W430,)</f>
        <v/>
      </c>
      <c r="BX430" s="128">
        <f>IFERROR(AM430*$W430,)</f>
        <v/>
      </c>
      <c r="BY430" s="128">
        <f>IFERROR(AN430*$W430,)</f>
        <v/>
      </c>
      <c r="BZ430" s="128">
        <f>IFERROR(AO430*$W430,)</f>
        <v/>
      </c>
      <c r="CA430" s="128">
        <f>IFERROR(AP430*$W430,)</f>
        <v/>
      </c>
      <c r="CB430" s="128">
        <f>IFERROR(AQ430*$W430,)</f>
        <v/>
      </c>
      <c r="CC430" s="128">
        <f>IFERROR(AR430*$W430,)</f>
        <v/>
      </c>
      <c r="CD430" s="128">
        <f>IFERROR(AS430*$W430,)</f>
        <v/>
      </c>
      <c r="CE430" s="128">
        <f>IFERROR(AT430*$W430,)</f>
        <v/>
      </c>
      <c r="CF430" s="128">
        <f>IFERROR(AU430*$W430,)</f>
        <v/>
      </c>
      <c r="CG430" s="128">
        <f>IFERROR(AV430*$W430,)</f>
        <v/>
      </c>
      <c r="CH430" s="128">
        <f>IFERROR(AW430*$W430,)</f>
        <v/>
      </c>
      <c r="CI430" s="128">
        <f>IFERROR(AX430*$W430,)</f>
        <v/>
      </c>
      <c r="CJ430" s="128">
        <f>IFERROR(AY430*$W430,)</f>
        <v/>
      </c>
      <c r="CK430" s="128">
        <f>IFERROR(AZ430*$W430,)</f>
        <v/>
      </c>
      <c r="CL430" s="129">
        <f>IFERROR(if($Y430=0,BA430*($W430/1.2),BA430*$Y430),"")</f>
        <v/>
      </c>
      <c r="CM430" s="129">
        <f>IFERROR(if($Y430=0,BB430*($W430/1.2),BB430*$Y430),"")</f>
        <v/>
      </c>
      <c r="CN430" s="129">
        <f>IFERROR(if($Y430=0,BC430*($W430/1.2),BC430*$Y430),"")</f>
        <v/>
      </c>
      <c r="CO430" s="130">
        <f>IFERROR(if($AA430=0,($W430/1.35)*BD430,BD430*$AA430),)</f>
        <v/>
      </c>
      <c r="CP430" s="130">
        <f>IFERROR(if($AA430=0,($W430/1.35)*BE430,BE430*$AA430),)</f>
        <v/>
      </c>
      <c r="CQ430" s="130">
        <f>IFERROR(if($AA430=0,($W430/1.35)*BF430,BF430*$AA430),)</f>
        <v/>
      </c>
      <c r="CR430" s="128">
        <f>IFERROR(if($AC430=0,($W430/0.74)*BG430,
BG430*$AC430),)</f>
        <v/>
      </c>
      <c r="CS430" s="128">
        <f>IFERROR(if($AC430=0,($W430/0.74)*BH430,
BH430*$AC430),)</f>
        <v/>
      </c>
      <c r="CT430" s="128">
        <f>IFERROR(if($AC430=0,($W430/0.74)*BI430,
BI430*$AC430),)</f>
        <v/>
      </c>
      <c r="CU430" s="128">
        <f>IFERROR(AI430*$V430,)</f>
        <v/>
      </c>
      <c r="CV430" s="128">
        <f>IFERROR(AJ430*$V430,)</f>
        <v/>
      </c>
      <c r="CW430" s="128">
        <f>IFERROR(AK430*$V430,)</f>
        <v/>
      </c>
      <c r="CX430" s="128">
        <f>IFERROR(AL430*$V430,)</f>
        <v/>
      </c>
      <c r="CY430" s="128">
        <f>IFERROR(AM430*$V430,)</f>
        <v/>
      </c>
      <c r="CZ430" s="128">
        <f>IFERROR(AN430*$V430,)</f>
        <v/>
      </c>
      <c r="DA430" s="128">
        <f>IFERROR(AO430*$V430,)</f>
        <v/>
      </c>
      <c r="DB430" s="128">
        <f>IFERROR(AP430*$V430,)</f>
        <v/>
      </c>
      <c r="DC430" s="128">
        <f>IFERROR(AQ430*$V430,)</f>
        <v/>
      </c>
      <c r="DD430" s="128">
        <f>IFERROR(AR430*$V430,)</f>
        <v/>
      </c>
      <c r="DE430" s="128">
        <f>IFERROR(AS430*$V430,)</f>
        <v/>
      </c>
      <c r="DF430" s="128">
        <f>IFERROR(AT430*$V430,)</f>
        <v/>
      </c>
      <c r="DG430" s="128">
        <f>IFERROR(AU430*$V430,)</f>
        <v/>
      </c>
      <c r="DH430" s="128">
        <f>IFERROR(AV430*$V430,)</f>
        <v/>
      </c>
      <c r="DI430" s="128">
        <f>IFERROR(AW430*$V430,)</f>
        <v/>
      </c>
      <c r="DJ430" s="128">
        <f>IFERROR(AX430*$V430,)</f>
        <v/>
      </c>
      <c r="DK430" s="128">
        <f>IFERROR(AY430*$V430,)</f>
        <v/>
      </c>
      <c r="DL430" s="128">
        <f>IFERROR(AZ430*$V430,)</f>
        <v/>
      </c>
      <c r="DM430" s="129">
        <f>IFERROR(if($X430=0,($V430/1.2)*BA430,
BA430*$X430),)</f>
        <v/>
      </c>
      <c r="DN430" s="129">
        <f>IFERROR(if($X430=0,($V430/1.2)*BB430,
BB430*$X430),)</f>
        <v/>
      </c>
      <c r="DO430" s="129">
        <f>IFERROR(if($X430=0,($V430/1.2)*BC430,
BC430*$X430),)</f>
        <v/>
      </c>
      <c r="DP430" s="130">
        <f>IFERROR(if($Z430=0,($V430/1.35)*BD430,
BD430*$Z430),)</f>
        <v/>
      </c>
      <c r="DQ430" s="130">
        <f>IFERROR(if($Z430=0,($V430/1.35)*BE430,
BE430*$Z430),)</f>
        <v/>
      </c>
      <c r="DR430" s="130">
        <f>IFERROR(if($Z430=0,($V430/1.35)*BF430,
BF430*$Z430),)</f>
        <v/>
      </c>
      <c r="DS430" s="128">
        <f>IFERROR(IF($AB430=0,($V430/0.74)*BG430,
BG430*$AB430),)</f>
        <v/>
      </c>
      <c r="DT430" s="128">
        <f>IFERROR(IF($AB430=0,($V430/0.74)*BH430,
BH430*$AB430),)</f>
        <v/>
      </c>
      <c r="DU430" s="128">
        <f>IFERROR(IF($AB430=0,($V430/0.74)*BI430,
BI430*$AB430),)</f>
        <v/>
      </c>
    </row>
    <row r="431" ht="131.25" customHeight="1" s="162">
      <c r="A431" s="115" t="n"/>
      <c r="B431" s="115" t="n"/>
      <c r="C431" s="115" t="n"/>
      <c r="D431" s="115" t="n"/>
      <c r="E431" s="115" t="n"/>
      <c r="F431" s="115" t="n"/>
      <c r="G431" s="115" t="n"/>
      <c r="H431" s="115" t="n"/>
      <c r="I431" s="115" t="n"/>
      <c r="J431" s="115" t="n"/>
      <c r="K431" s="115" t="n"/>
      <c r="L431" s="115" t="n"/>
      <c r="M431" s="115" t="n"/>
      <c r="N431" s="115" t="n"/>
      <c r="O431" s="115" t="n"/>
      <c r="P431" s="115" t="n"/>
      <c r="Q431" s="115" t="n"/>
      <c r="R431" s="115" t="n"/>
      <c r="S431" s="115" t="n"/>
      <c r="T431" s="115" t="n"/>
      <c r="U431" s="116" t="n"/>
      <c r="V431" s="116" t="n"/>
      <c r="W431" s="117" t="n"/>
      <c r="X431" s="118" t="n"/>
      <c r="Y431" s="119" t="n"/>
      <c r="Z431" s="120" t="n"/>
      <c r="AA431" s="121" t="n"/>
      <c r="AB431" s="122" t="n"/>
      <c r="AC431" s="117" t="n"/>
      <c r="AD431" s="123">
        <f>IF(SUM($AE431:$AH431)=0,"",SUM($AE431:$AH431))</f>
        <v/>
      </c>
      <c r="AE431" s="123">
        <f>iferror(IF(SUM($AI431:$AZ431)=0,"",SUM($AI431:$AZ431)),"")</f>
        <v/>
      </c>
      <c r="AF431" s="123">
        <f>iferror(IF(SUM($BA431:$BC431)=0,"",SUM($BA431:$BC431)),"")</f>
        <v/>
      </c>
      <c r="AG431" s="123">
        <f>iferror(IF(SUM($BD431:$BF431)=0,"",SUM($BD431:$BF431)),"")</f>
        <v/>
      </c>
      <c r="AH431" s="124">
        <f>iferror(IF(SUM($BG431:$BI431)=0,"",SUM($BG431:$BI431)),"")</f>
        <v/>
      </c>
      <c r="AI431" s="131" t="n"/>
      <c r="AJ431" s="132" t="n"/>
      <c r="AK431" s="132" t="n"/>
      <c r="AL431" s="132" t="n"/>
      <c r="AM431" s="132" t="n"/>
      <c r="AN431" s="132" t="n"/>
      <c r="AO431" s="132" t="n"/>
      <c r="AP431" s="132" t="n"/>
      <c r="AQ431" s="132" t="n"/>
      <c r="AR431" s="132" t="n"/>
      <c r="AS431" s="132" t="n"/>
      <c r="AT431" s="132" t="n"/>
      <c r="AU431" s="132" t="n"/>
      <c r="AV431" s="132" t="n"/>
      <c r="AW431" s="132" t="n"/>
      <c r="AX431" s="132" t="n"/>
      <c r="AY431" s="132" t="n"/>
      <c r="AZ431" s="133" t="n"/>
      <c r="BA431" s="131" t="n"/>
      <c r="BB431" s="132" t="n"/>
      <c r="BC431" s="133" t="n"/>
      <c r="BD431" s="131" t="n"/>
      <c r="BE431" s="132" t="n"/>
      <c r="BF431" s="133" t="n"/>
      <c r="BG431" s="131" t="n"/>
      <c r="BH431" s="132" t="n"/>
      <c r="BI431" s="132" t="n"/>
      <c r="BJ431" s="128">
        <f>iferror(SUM($BK431,($BL431*1.2),($BM431*1.35),($BN431*0.74)),)</f>
        <v/>
      </c>
      <c r="BK431" s="128">
        <f>IFERROR(SUM($BT431:$CK431),)</f>
        <v/>
      </c>
      <c r="BL431" s="129">
        <f>IFERROR(SUM($CL431:$CN431),)</f>
        <v/>
      </c>
      <c r="BM431" s="130">
        <f>IFERROR(SUM($CO431:$CQ431),)</f>
        <v/>
      </c>
      <c r="BN431" s="128">
        <f>IFERROR(SUM($CR431:$CT431),)</f>
        <v/>
      </c>
      <c r="BO431" s="128">
        <f>iferror(SUM($BP431,($BQ431*1.2),($BR431*1.35),($BS431*0.74)),)</f>
        <v/>
      </c>
      <c r="BP431" s="128">
        <f>IFERROR(SUM($CU431:$DL431),)</f>
        <v/>
      </c>
      <c r="BQ431" s="128">
        <f>IFERROR(SUM($DM431:$DO431),)</f>
        <v/>
      </c>
      <c r="BR431" s="128">
        <f>IFERROR(SUM($DP431:$DR431),)</f>
        <v/>
      </c>
      <c r="BS431" s="128">
        <f>IFERROR(SUM($DS431:$DU431),)</f>
        <v/>
      </c>
      <c r="BT431" s="128">
        <f>IFERROR(AI431*$W431,)</f>
        <v/>
      </c>
      <c r="BU431" s="128">
        <f>IFERROR(AJ431*$W431,)</f>
        <v/>
      </c>
      <c r="BV431" s="128">
        <f>IFERROR(AK431*$W431,)</f>
        <v/>
      </c>
      <c r="BW431" s="128">
        <f>IFERROR(AL431*$W431,)</f>
        <v/>
      </c>
      <c r="BX431" s="128">
        <f>IFERROR(AM431*$W431,)</f>
        <v/>
      </c>
      <c r="BY431" s="128">
        <f>IFERROR(AN431*$W431,)</f>
        <v/>
      </c>
      <c r="BZ431" s="128">
        <f>IFERROR(AO431*$W431,)</f>
        <v/>
      </c>
      <c r="CA431" s="128">
        <f>IFERROR(AP431*$W431,)</f>
        <v/>
      </c>
      <c r="CB431" s="128">
        <f>IFERROR(AQ431*$W431,)</f>
        <v/>
      </c>
      <c r="CC431" s="128">
        <f>IFERROR(AR431*$W431,)</f>
        <v/>
      </c>
      <c r="CD431" s="128">
        <f>IFERROR(AS431*$W431,)</f>
        <v/>
      </c>
      <c r="CE431" s="128">
        <f>IFERROR(AT431*$W431,)</f>
        <v/>
      </c>
      <c r="CF431" s="128">
        <f>IFERROR(AU431*$W431,)</f>
        <v/>
      </c>
      <c r="CG431" s="128">
        <f>IFERROR(AV431*$W431,)</f>
        <v/>
      </c>
      <c r="CH431" s="128">
        <f>IFERROR(AW431*$W431,)</f>
        <v/>
      </c>
      <c r="CI431" s="128">
        <f>IFERROR(AX431*$W431,)</f>
        <v/>
      </c>
      <c r="CJ431" s="128">
        <f>IFERROR(AY431*$W431,)</f>
        <v/>
      </c>
      <c r="CK431" s="128">
        <f>IFERROR(AZ431*$W431,)</f>
        <v/>
      </c>
      <c r="CL431" s="129">
        <f>IFERROR(if($Y431=0,BA431*($W431/1.2),BA431*$Y431),"")</f>
        <v/>
      </c>
      <c r="CM431" s="129">
        <f>IFERROR(if($Y431=0,BB431*($W431/1.2),BB431*$Y431),"")</f>
        <v/>
      </c>
      <c r="CN431" s="129">
        <f>IFERROR(if($Y431=0,BC431*($W431/1.2),BC431*$Y431),"")</f>
        <v/>
      </c>
      <c r="CO431" s="130">
        <f>IFERROR(if($AA431=0,($W431/1.35)*BD431,BD431*$AA431),)</f>
        <v/>
      </c>
      <c r="CP431" s="130">
        <f>IFERROR(if($AA431=0,($W431/1.35)*BE431,BE431*$AA431),)</f>
        <v/>
      </c>
      <c r="CQ431" s="130">
        <f>IFERROR(if($AA431=0,($W431/1.35)*BF431,BF431*$AA431),)</f>
        <v/>
      </c>
      <c r="CR431" s="128">
        <f>IFERROR(if($AC431=0,($W431/0.74)*BG431,
BG431*$AC431),)</f>
        <v/>
      </c>
      <c r="CS431" s="128">
        <f>IFERROR(if($AC431=0,($W431/0.74)*BH431,
BH431*$AC431),)</f>
        <v/>
      </c>
      <c r="CT431" s="128">
        <f>IFERROR(if($AC431=0,($W431/0.74)*BI431,
BI431*$AC431),)</f>
        <v/>
      </c>
      <c r="CU431" s="128">
        <f>IFERROR(AI431*$V431,)</f>
        <v/>
      </c>
      <c r="CV431" s="128">
        <f>IFERROR(AJ431*$V431,)</f>
        <v/>
      </c>
      <c r="CW431" s="128">
        <f>IFERROR(AK431*$V431,)</f>
        <v/>
      </c>
      <c r="CX431" s="128">
        <f>IFERROR(AL431*$V431,)</f>
        <v/>
      </c>
      <c r="CY431" s="128">
        <f>IFERROR(AM431*$V431,)</f>
        <v/>
      </c>
      <c r="CZ431" s="128">
        <f>IFERROR(AN431*$V431,)</f>
        <v/>
      </c>
      <c r="DA431" s="128">
        <f>IFERROR(AO431*$V431,)</f>
        <v/>
      </c>
      <c r="DB431" s="128">
        <f>IFERROR(AP431*$V431,)</f>
        <v/>
      </c>
      <c r="DC431" s="128">
        <f>IFERROR(AQ431*$V431,)</f>
        <v/>
      </c>
      <c r="DD431" s="128">
        <f>IFERROR(AR431*$V431,)</f>
        <v/>
      </c>
      <c r="DE431" s="128">
        <f>IFERROR(AS431*$V431,)</f>
        <v/>
      </c>
      <c r="DF431" s="128">
        <f>IFERROR(AT431*$V431,)</f>
        <v/>
      </c>
      <c r="DG431" s="128">
        <f>IFERROR(AU431*$V431,)</f>
        <v/>
      </c>
      <c r="DH431" s="128">
        <f>IFERROR(AV431*$V431,)</f>
        <v/>
      </c>
      <c r="DI431" s="128">
        <f>IFERROR(AW431*$V431,)</f>
        <v/>
      </c>
      <c r="DJ431" s="128">
        <f>IFERROR(AX431*$V431,)</f>
        <v/>
      </c>
      <c r="DK431" s="128">
        <f>IFERROR(AY431*$V431,)</f>
        <v/>
      </c>
      <c r="DL431" s="128">
        <f>IFERROR(AZ431*$V431,)</f>
        <v/>
      </c>
      <c r="DM431" s="129">
        <f>IFERROR(if($X431=0,($V431/1.2)*BA431,
BA431*$X431),)</f>
        <v/>
      </c>
      <c r="DN431" s="129">
        <f>IFERROR(if($X431=0,($V431/1.2)*BB431,
BB431*$X431),)</f>
        <v/>
      </c>
      <c r="DO431" s="129">
        <f>IFERROR(if($X431=0,($V431/1.2)*BC431,
BC431*$X431),)</f>
        <v/>
      </c>
      <c r="DP431" s="130">
        <f>IFERROR(if($Z431=0,($V431/1.35)*BD431,
BD431*$Z431),)</f>
        <v/>
      </c>
      <c r="DQ431" s="130">
        <f>IFERROR(if($Z431=0,($V431/1.35)*BE431,
BE431*$Z431),)</f>
        <v/>
      </c>
      <c r="DR431" s="130">
        <f>IFERROR(if($Z431=0,($V431/1.35)*BF431,
BF431*$Z431),)</f>
        <v/>
      </c>
      <c r="DS431" s="128">
        <f>IFERROR(IF($AB431=0,($V431/0.74)*BG431,
BG431*$AB431),)</f>
        <v/>
      </c>
      <c r="DT431" s="128">
        <f>IFERROR(IF($AB431=0,($V431/0.74)*BH431,
BH431*$AB431),)</f>
        <v/>
      </c>
      <c r="DU431" s="128">
        <f>IFERROR(IF($AB431=0,($V431/0.74)*BI431,
BI431*$AB431),)</f>
        <v/>
      </c>
    </row>
    <row r="432" ht="131.25" customHeight="1" s="162">
      <c r="A432" s="115" t="n"/>
      <c r="B432" s="115" t="n"/>
      <c r="C432" s="115" t="n"/>
      <c r="D432" s="115" t="n"/>
      <c r="E432" s="115" t="n"/>
      <c r="F432" s="115" t="n"/>
      <c r="G432" s="115" t="n"/>
      <c r="H432" s="115" t="n"/>
      <c r="I432" s="115" t="n"/>
      <c r="J432" s="115" t="n"/>
      <c r="K432" s="115" t="n"/>
      <c r="L432" s="115" t="n"/>
      <c r="M432" s="115" t="n"/>
      <c r="N432" s="115" t="n"/>
      <c r="O432" s="115" t="n"/>
      <c r="P432" s="115" t="n"/>
      <c r="Q432" s="115" t="n"/>
      <c r="R432" s="115" t="n"/>
      <c r="S432" s="115" t="n"/>
      <c r="T432" s="115" t="n"/>
      <c r="U432" s="116" t="n"/>
      <c r="V432" s="116" t="n"/>
      <c r="W432" s="117" t="n"/>
      <c r="X432" s="118" t="n"/>
      <c r="Y432" s="119" t="n"/>
      <c r="Z432" s="120" t="n"/>
      <c r="AA432" s="121" t="n"/>
      <c r="AB432" s="122" t="n"/>
      <c r="AC432" s="117" t="n"/>
      <c r="AD432" s="123">
        <f>IF(SUM($AE432:$AH432)=0,"",SUM($AE432:$AH432))</f>
        <v/>
      </c>
      <c r="AE432" s="123">
        <f>iferror(IF(SUM($AI432:$AZ432)=0,"",SUM($AI432:$AZ432)),"")</f>
        <v/>
      </c>
      <c r="AF432" s="123">
        <f>iferror(IF(SUM($BA432:$BC432)=0,"",SUM($BA432:$BC432)),"")</f>
        <v/>
      </c>
      <c r="AG432" s="123">
        <f>iferror(IF(SUM($BD432:$BF432)=0,"",SUM($BD432:$BF432)),"")</f>
        <v/>
      </c>
      <c r="AH432" s="124">
        <f>iferror(IF(SUM($BG432:$BI432)=0,"",SUM($BG432:$BI432)),"")</f>
        <v/>
      </c>
      <c r="AI432" s="131" t="n"/>
      <c r="AJ432" s="132" t="n"/>
      <c r="AK432" s="132" t="n"/>
      <c r="AL432" s="132" t="n"/>
      <c r="AM432" s="132" t="n"/>
      <c r="AN432" s="132" t="n"/>
      <c r="AO432" s="132" t="n"/>
      <c r="AP432" s="132" t="n"/>
      <c r="AQ432" s="132" t="n"/>
      <c r="AR432" s="132" t="n"/>
      <c r="AS432" s="132" t="n"/>
      <c r="AT432" s="132" t="n"/>
      <c r="AU432" s="132" t="n"/>
      <c r="AV432" s="132" t="n"/>
      <c r="AW432" s="132" t="n"/>
      <c r="AX432" s="132" t="n"/>
      <c r="AY432" s="132" t="n"/>
      <c r="AZ432" s="133" t="n"/>
      <c r="BA432" s="131" t="n"/>
      <c r="BB432" s="132" t="n"/>
      <c r="BC432" s="133" t="n"/>
      <c r="BD432" s="131" t="n"/>
      <c r="BE432" s="132" t="n"/>
      <c r="BF432" s="133" t="n"/>
      <c r="BG432" s="131" t="n"/>
      <c r="BH432" s="132" t="n"/>
      <c r="BI432" s="132" t="n"/>
      <c r="BJ432" s="128">
        <f>iferror(SUM($BK432,($BL432*1.2),($BM432*1.35),($BN432*0.74)),)</f>
        <v/>
      </c>
      <c r="BK432" s="128">
        <f>IFERROR(SUM($BT432:$CK432),)</f>
        <v/>
      </c>
      <c r="BL432" s="129">
        <f>IFERROR(SUM($CL432:$CN432),)</f>
        <v/>
      </c>
      <c r="BM432" s="130">
        <f>IFERROR(SUM($CO432:$CQ432),)</f>
        <v/>
      </c>
      <c r="BN432" s="128">
        <f>IFERROR(SUM($CR432:$CT432),)</f>
        <v/>
      </c>
      <c r="BO432" s="128">
        <f>iferror(SUM($BP432,($BQ432*1.2),($BR432*1.35),($BS432*0.74)),)</f>
        <v/>
      </c>
      <c r="BP432" s="128">
        <f>IFERROR(SUM($CU432:$DL432),)</f>
        <v/>
      </c>
      <c r="BQ432" s="128">
        <f>IFERROR(SUM($DM432:$DO432),)</f>
        <v/>
      </c>
      <c r="BR432" s="128">
        <f>IFERROR(SUM($DP432:$DR432),)</f>
        <v/>
      </c>
      <c r="BS432" s="128">
        <f>IFERROR(SUM($DS432:$DU432),)</f>
        <v/>
      </c>
      <c r="BT432" s="128">
        <f>IFERROR(AI432*$W432,)</f>
        <v/>
      </c>
      <c r="BU432" s="128">
        <f>IFERROR(AJ432*$W432,)</f>
        <v/>
      </c>
      <c r="BV432" s="128">
        <f>IFERROR(AK432*$W432,)</f>
        <v/>
      </c>
      <c r="BW432" s="128">
        <f>IFERROR(AL432*$W432,)</f>
        <v/>
      </c>
      <c r="BX432" s="128">
        <f>IFERROR(AM432*$W432,)</f>
        <v/>
      </c>
      <c r="BY432" s="128">
        <f>IFERROR(AN432*$W432,)</f>
        <v/>
      </c>
      <c r="BZ432" s="128">
        <f>IFERROR(AO432*$W432,)</f>
        <v/>
      </c>
      <c r="CA432" s="128">
        <f>IFERROR(AP432*$W432,)</f>
        <v/>
      </c>
      <c r="CB432" s="128">
        <f>IFERROR(AQ432*$W432,)</f>
        <v/>
      </c>
      <c r="CC432" s="128">
        <f>IFERROR(AR432*$W432,)</f>
        <v/>
      </c>
      <c r="CD432" s="128">
        <f>IFERROR(AS432*$W432,)</f>
        <v/>
      </c>
      <c r="CE432" s="128">
        <f>IFERROR(AT432*$W432,)</f>
        <v/>
      </c>
      <c r="CF432" s="128">
        <f>IFERROR(AU432*$W432,)</f>
        <v/>
      </c>
      <c r="CG432" s="128">
        <f>IFERROR(AV432*$W432,)</f>
        <v/>
      </c>
      <c r="CH432" s="128">
        <f>IFERROR(AW432*$W432,)</f>
        <v/>
      </c>
      <c r="CI432" s="128">
        <f>IFERROR(AX432*$W432,)</f>
        <v/>
      </c>
      <c r="CJ432" s="128">
        <f>IFERROR(AY432*$W432,)</f>
        <v/>
      </c>
      <c r="CK432" s="128">
        <f>IFERROR(AZ432*$W432,)</f>
        <v/>
      </c>
      <c r="CL432" s="129">
        <f>IFERROR(if($Y432=0,BA432*($W432/1.2),BA432*$Y432),"")</f>
        <v/>
      </c>
      <c r="CM432" s="129">
        <f>IFERROR(if($Y432=0,BB432*($W432/1.2),BB432*$Y432),"")</f>
        <v/>
      </c>
      <c r="CN432" s="129">
        <f>IFERROR(if($Y432=0,BC432*($W432/1.2),BC432*$Y432),"")</f>
        <v/>
      </c>
      <c r="CO432" s="130">
        <f>IFERROR(if($AA432=0,($W432/1.35)*BD432,BD432*$AA432),)</f>
        <v/>
      </c>
      <c r="CP432" s="130">
        <f>IFERROR(if($AA432=0,($W432/1.35)*BE432,BE432*$AA432),)</f>
        <v/>
      </c>
      <c r="CQ432" s="130">
        <f>IFERROR(if($AA432=0,($W432/1.35)*BF432,BF432*$AA432),)</f>
        <v/>
      </c>
      <c r="CR432" s="128">
        <f>IFERROR(if($AC432=0,($W432/0.74)*BG432,
BG432*$AC432),)</f>
        <v/>
      </c>
      <c r="CS432" s="128">
        <f>IFERROR(if($AC432=0,($W432/0.74)*BH432,
BH432*$AC432),)</f>
        <v/>
      </c>
      <c r="CT432" s="128">
        <f>IFERROR(if($AC432=0,($W432/0.74)*BI432,
BI432*$AC432),)</f>
        <v/>
      </c>
      <c r="CU432" s="128">
        <f>IFERROR(AI432*$V432,)</f>
        <v/>
      </c>
      <c r="CV432" s="128">
        <f>IFERROR(AJ432*$V432,)</f>
        <v/>
      </c>
      <c r="CW432" s="128">
        <f>IFERROR(AK432*$V432,)</f>
        <v/>
      </c>
      <c r="CX432" s="128">
        <f>IFERROR(AL432*$V432,)</f>
        <v/>
      </c>
      <c r="CY432" s="128">
        <f>IFERROR(AM432*$V432,)</f>
        <v/>
      </c>
      <c r="CZ432" s="128">
        <f>IFERROR(AN432*$V432,)</f>
        <v/>
      </c>
      <c r="DA432" s="128">
        <f>IFERROR(AO432*$V432,)</f>
        <v/>
      </c>
      <c r="DB432" s="128">
        <f>IFERROR(AP432*$V432,)</f>
        <v/>
      </c>
      <c r="DC432" s="128">
        <f>IFERROR(AQ432*$V432,)</f>
        <v/>
      </c>
      <c r="DD432" s="128">
        <f>IFERROR(AR432*$V432,)</f>
        <v/>
      </c>
      <c r="DE432" s="128">
        <f>IFERROR(AS432*$V432,)</f>
        <v/>
      </c>
      <c r="DF432" s="128">
        <f>IFERROR(AT432*$V432,)</f>
        <v/>
      </c>
      <c r="DG432" s="128">
        <f>IFERROR(AU432*$V432,)</f>
        <v/>
      </c>
      <c r="DH432" s="128">
        <f>IFERROR(AV432*$V432,)</f>
        <v/>
      </c>
      <c r="DI432" s="128">
        <f>IFERROR(AW432*$V432,)</f>
        <v/>
      </c>
      <c r="DJ432" s="128">
        <f>IFERROR(AX432*$V432,)</f>
        <v/>
      </c>
      <c r="DK432" s="128">
        <f>IFERROR(AY432*$V432,)</f>
        <v/>
      </c>
      <c r="DL432" s="128">
        <f>IFERROR(AZ432*$V432,)</f>
        <v/>
      </c>
      <c r="DM432" s="129">
        <f>IFERROR(if($X432=0,($V432/1.2)*BA432,
BA432*$X432),)</f>
        <v/>
      </c>
      <c r="DN432" s="129">
        <f>IFERROR(if($X432=0,($V432/1.2)*BB432,
BB432*$X432),)</f>
        <v/>
      </c>
      <c r="DO432" s="129">
        <f>IFERROR(if($X432=0,($V432/1.2)*BC432,
BC432*$X432),)</f>
        <v/>
      </c>
      <c r="DP432" s="130">
        <f>IFERROR(if($Z432=0,($V432/1.35)*BD432,
BD432*$Z432),)</f>
        <v/>
      </c>
      <c r="DQ432" s="130">
        <f>IFERROR(if($Z432=0,($V432/1.35)*BE432,
BE432*$Z432),)</f>
        <v/>
      </c>
      <c r="DR432" s="130">
        <f>IFERROR(if($Z432=0,($V432/1.35)*BF432,
BF432*$Z432),)</f>
        <v/>
      </c>
      <c r="DS432" s="128">
        <f>IFERROR(IF($AB432=0,($V432/0.74)*BG432,
BG432*$AB432),)</f>
        <v/>
      </c>
      <c r="DT432" s="128">
        <f>IFERROR(IF($AB432=0,($V432/0.74)*BH432,
BH432*$AB432),)</f>
        <v/>
      </c>
      <c r="DU432" s="128">
        <f>IFERROR(IF($AB432=0,($V432/0.74)*BI432,
BI432*$AB432),)</f>
        <v/>
      </c>
    </row>
    <row r="433" ht="131.25" customHeight="1" s="162">
      <c r="A433" s="115" t="n"/>
      <c r="B433" s="115" t="n"/>
      <c r="C433" s="115" t="n"/>
      <c r="D433" s="115" t="n"/>
      <c r="E433" s="115" t="n"/>
      <c r="F433" s="115" t="n"/>
      <c r="G433" s="115" t="n"/>
      <c r="H433" s="115" t="n"/>
      <c r="I433" s="115" t="n"/>
      <c r="J433" s="115" t="n"/>
      <c r="K433" s="115" t="n"/>
      <c r="L433" s="115" t="n"/>
      <c r="M433" s="115" t="n"/>
      <c r="N433" s="115" t="n"/>
      <c r="O433" s="115" t="n"/>
      <c r="P433" s="115" t="n"/>
      <c r="Q433" s="115" t="n"/>
      <c r="R433" s="115" t="n"/>
      <c r="S433" s="115" t="n"/>
      <c r="T433" s="115" t="n"/>
      <c r="U433" s="116" t="n"/>
      <c r="V433" s="116" t="n"/>
      <c r="W433" s="117" t="n"/>
      <c r="X433" s="118" t="n"/>
      <c r="Y433" s="119" t="n"/>
      <c r="Z433" s="120" t="n"/>
      <c r="AA433" s="121" t="n"/>
      <c r="AB433" s="122" t="n"/>
      <c r="AC433" s="117" t="n"/>
      <c r="AD433" s="123">
        <f>IF(SUM($AE433:$AH433)=0,"",SUM($AE433:$AH433))</f>
        <v/>
      </c>
      <c r="AE433" s="123">
        <f>iferror(IF(SUM($AI433:$AZ433)=0,"",SUM($AI433:$AZ433)),"")</f>
        <v/>
      </c>
      <c r="AF433" s="123">
        <f>iferror(IF(SUM($BA433:$BC433)=0,"",SUM($BA433:$BC433)),"")</f>
        <v/>
      </c>
      <c r="AG433" s="123">
        <f>iferror(IF(SUM($BD433:$BF433)=0,"",SUM($BD433:$BF433)),"")</f>
        <v/>
      </c>
      <c r="AH433" s="124">
        <f>iferror(IF(SUM($BG433:$BI433)=0,"",SUM($BG433:$BI433)),"")</f>
        <v/>
      </c>
      <c r="AI433" s="131" t="n"/>
      <c r="AJ433" s="132" t="n"/>
      <c r="AK433" s="132" t="n"/>
      <c r="AL433" s="132" t="n"/>
      <c r="AM433" s="132" t="n"/>
      <c r="AN433" s="132" t="n"/>
      <c r="AO433" s="132" t="n"/>
      <c r="AP433" s="132" t="n"/>
      <c r="AQ433" s="132" t="n"/>
      <c r="AR433" s="132" t="n"/>
      <c r="AS433" s="132" t="n"/>
      <c r="AT433" s="132" t="n"/>
      <c r="AU433" s="132" t="n"/>
      <c r="AV433" s="132" t="n"/>
      <c r="AW433" s="132" t="n"/>
      <c r="AX433" s="132" t="n"/>
      <c r="AY433" s="132" t="n"/>
      <c r="AZ433" s="133" t="n"/>
      <c r="BA433" s="131" t="n"/>
      <c r="BB433" s="132" t="n"/>
      <c r="BC433" s="133" t="n"/>
      <c r="BD433" s="131" t="n"/>
      <c r="BE433" s="132" t="n"/>
      <c r="BF433" s="133" t="n"/>
      <c r="BG433" s="131" t="n"/>
      <c r="BH433" s="132" t="n"/>
      <c r="BI433" s="132" t="n"/>
      <c r="BJ433" s="128">
        <f>iferror(SUM($BK433,($BL433*1.2),($BM433*1.35),($BN433*0.74)),)</f>
        <v/>
      </c>
      <c r="BK433" s="128">
        <f>IFERROR(SUM($BT433:$CK433),)</f>
        <v/>
      </c>
      <c r="BL433" s="129">
        <f>IFERROR(SUM($CL433:$CN433),)</f>
        <v/>
      </c>
      <c r="BM433" s="130">
        <f>IFERROR(SUM($CO433:$CQ433),)</f>
        <v/>
      </c>
      <c r="BN433" s="128">
        <f>IFERROR(SUM($CR433:$CT433),)</f>
        <v/>
      </c>
      <c r="BO433" s="128">
        <f>iferror(SUM($BP433,($BQ433*1.2),($BR433*1.35),($BS433*0.74)),)</f>
        <v/>
      </c>
      <c r="BP433" s="128">
        <f>IFERROR(SUM($CU433:$DL433),)</f>
        <v/>
      </c>
      <c r="BQ433" s="128">
        <f>IFERROR(SUM($DM433:$DO433),)</f>
        <v/>
      </c>
      <c r="BR433" s="128">
        <f>IFERROR(SUM($DP433:$DR433),)</f>
        <v/>
      </c>
      <c r="BS433" s="128">
        <f>IFERROR(SUM($DS433:$DU433),)</f>
        <v/>
      </c>
      <c r="BT433" s="128">
        <f>IFERROR(AI433*$W433,)</f>
        <v/>
      </c>
      <c r="BU433" s="128">
        <f>IFERROR(AJ433*$W433,)</f>
        <v/>
      </c>
      <c r="BV433" s="128">
        <f>IFERROR(AK433*$W433,)</f>
        <v/>
      </c>
      <c r="BW433" s="128">
        <f>IFERROR(AL433*$W433,)</f>
        <v/>
      </c>
      <c r="BX433" s="128">
        <f>IFERROR(AM433*$W433,)</f>
        <v/>
      </c>
      <c r="BY433" s="128">
        <f>IFERROR(AN433*$W433,)</f>
        <v/>
      </c>
      <c r="BZ433" s="128">
        <f>IFERROR(AO433*$W433,)</f>
        <v/>
      </c>
      <c r="CA433" s="128">
        <f>IFERROR(AP433*$W433,)</f>
        <v/>
      </c>
      <c r="CB433" s="128">
        <f>IFERROR(AQ433*$W433,)</f>
        <v/>
      </c>
      <c r="CC433" s="128">
        <f>IFERROR(AR433*$W433,)</f>
        <v/>
      </c>
      <c r="CD433" s="128">
        <f>IFERROR(AS433*$W433,)</f>
        <v/>
      </c>
      <c r="CE433" s="128">
        <f>IFERROR(AT433*$W433,)</f>
        <v/>
      </c>
      <c r="CF433" s="128">
        <f>IFERROR(AU433*$W433,)</f>
        <v/>
      </c>
      <c r="CG433" s="128">
        <f>IFERROR(AV433*$W433,)</f>
        <v/>
      </c>
      <c r="CH433" s="128">
        <f>IFERROR(AW433*$W433,)</f>
        <v/>
      </c>
      <c r="CI433" s="128">
        <f>IFERROR(AX433*$W433,)</f>
        <v/>
      </c>
      <c r="CJ433" s="128">
        <f>IFERROR(AY433*$W433,)</f>
        <v/>
      </c>
      <c r="CK433" s="128">
        <f>IFERROR(AZ433*$W433,)</f>
        <v/>
      </c>
      <c r="CL433" s="129">
        <f>IFERROR(if($Y433=0,BA433*($W433/1.2),BA433*$Y433),"")</f>
        <v/>
      </c>
      <c r="CM433" s="129">
        <f>IFERROR(if($Y433=0,BB433*($W433/1.2),BB433*$Y433),"")</f>
        <v/>
      </c>
      <c r="CN433" s="129">
        <f>IFERROR(if($Y433=0,BC433*($W433/1.2),BC433*$Y433),"")</f>
        <v/>
      </c>
      <c r="CO433" s="130">
        <f>IFERROR(if($AA433=0,($W433/1.35)*BD433,BD433*$AA433),)</f>
        <v/>
      </c>
      <c r="CP433" s="130">
        <f>IFERROR(if($AA433=0,($W433/1.35)*BE433,BE433*$AA433),)</f>
        <v/>
      </c>
      <c r="CQ433" s="130">
        <f>IFERROR(if($AA433=0,($W433/1.35)*BF433,BF433*$AA433),)</f>
        <v/>
      </c>
      <c r="CR433" s="128">
        <f>IFERROR(if($AC433=0,($W433/0.74)*BG433,
BG433*$AC433),)</f>
        <v/>
      </c>
      <c r="CS433" s="128">
        <f>IFERROR(if($AC433=0,($W433/0.74)*BH433,
BH433*$AC433),)</f>
        <v/>
      </c>
      <c r="CT433" s="128">
        <f>IFERROR(if($AC433=0,($W433/0.74)*BI433,
BI433*$AC433),)</f>
        <v/>
      </c>
      <c r="CU433" s="128">
        <f>IFERROR(AI433*$V433,)</f>
        <v/>
      </c>
      <c r="CV433" s="128">
        <f>IFERROR(AJ433*$V433,)</f>
        <v/>
      </c>
      <c r="CW433" s="128">
        <f>IFERROR(AK433*$V433,)</f>
        <v/>
      </c>
      <c r="CX433" s="128">
        <f>IFERROR(AL433*$V433,)</f>
        <v/>
      </c>
      <c r="CY433" s="128">
        <f>IFERROR(AM433*$V433,)</f>
        <v/>
      </c>
      <c r="CZ433" s="128">
        <f>IFERROR(AN433*$V433,)</f>
        <v/>
      </c>
      <c r="DA433" s="128">
        <f>IFERROR(AO433*$V433,)</f>
        <v/>
      </c>
      <c r="DB433" s="128">
        <f>IFERROR(AP433*$V433,)</f>
        <v/>
      </c>
      <c r="DC433" s="128">
        <f>IFERROR(AQ433*$V433,)</f>
        <v/>
      </c>
      <c r="DD433" s="128">
        <f>IFERROR(AR433*$V433,)</f>
        <v/>
      </c>
      <c r="DE433" s="128">
        <f>IFERROR(AS433*$V433,)</f>
        <v/>
      </c>
      <c r="DF433" s="128">
        <f>IFERROR(AT433*$V433,)</f>
        <v/>
      </c>
      <c r="DG433" s="128">
        <f>IFERROR(AU433*$V433,)</f>
        <v/>
      </c>
      <c r="DH433" s="128">
        <f>IFERROR(AV433*$V433,)</f>
        <v/>
      </c>
      <c r="DI433" s="128">
        <f>IFERROR(AW433*$V433,)</f>
        <v/>
      </c>
      <c r="DJ433" s="128">
        <f>IFERROR(AX433*$V433,)</f>
        <v/>
      </c>
      <c r="DK433" s="128">
        <f>IFERROR(AY433*$V433,)</f>
        <v/>
      </c>
      <c r="DL433" s="128">
        <f>IFERROR(AZ433*$V433,)</f>
        <v/>
      </c>
      <c r="DM433" s="129">
        <f>IFERROR(if($X433=0,($V433/1.2)*BA433,
BA433*$X433),)</f>
        <v/>
      </c>
      <c r="DN433" s="129">
        <f>IFERROR(if($X433=0,($V433/1.2)*BB433,
BB433*$X433),)</f>
        <v/>
      </c>
      <c r="DO433" s="129">
        <f>IFERROR(if($X433=0,($V433/1.2)*BC433,
BC433*$X433),)</f>
        <v/>
      </c>
      <c r="DP433" s="130">
        <f>IFERROR(if($Z433=0,($V433/1.35)*BD433,
BD433*$Z433),)</f>
        <v/>
      </c>
      <c r="DQ433" s="130">
        <f>IFERROR(if($Z433=0,($V433/1.35)*BE433,
BE433*$Z433),)</f>
        <v/>
      </c>
      <c r="DR433" s="130">
        <f>IFERROR(if($Z433=0,($V433/1.35)*BF433,
BF433*$Z433),)</f>
        <v/>
      </c>
      <c r="DS433" s="128">
        <f>IFERROR(IF($AB433=0,($V433/0.74)*BG433,
BG433*$AB433),)</f>
        <v/>
      </c>
      <c r="DT433" s="128">
        <f>IFERROR(IF($AB433=0,($V433/0.74)*BH433,
BH433*$AB433),)</f>
        <v/>
      </c>
      <c r="DU433" s="128">
        <f>IFERROR(IF($AB433=0,($V433/0.74)*BI433,
BI433*$AB433),)</f>
        <v/>
      </c>
    </row>
    <row r="434" ht="131.25" customHeight="1" s="162">
      <c r="A434" s="115" t="n"/>
      <c r="B434" s="115" t="n"/>
      <c r="C434" s="115" t="n"/>
      <c r="D434" s="115" t="n"/>
      <c r="E434" s="115" t="n"/>
      <c r="F434" s="115" t="n"/>
      <c r="G434" s="115" t="n"/>
      <c r="H434" s="115" t="n"/>
      <c r="I434" s="115" t="n"/>
      <c r="J434" s="115" t="n"/>
      <c r="K434" s="115" t="n"/>
      <c r="L434" s="115" t="n"/>
      <c r="M434" s="115" t="n"/>
      <c r="N434" s="115" t="n"/>
      <c r="O434" s="115" t="n"/>
      <c r="P434" s="115" t="n"/>
      <c r="Q434" s="115" t="n"/>
      <c r="R434" s="115" t="n"/>
      <c r="S434" s="115" t="n"/>
      <c r="T434" s="115" t="n"/>
      <c r="U434" s="116" t="n"/>
      <c r="V434" s="116" t="n"/>
      <c r="W434" s="117" t="n"/>
      <c r="X434" s="118" t="n"/>
      <c r="Y434" s="119" t="n"/>
      <c r="Z434" s="120" t="n"/>
      <c r="AA434" s="121" t="n"/>
      <c r="AB434" s="122" t="n"/>
      <c r="AC434" s="117" t="n"/>
      <c r="AD434" s="123">
        <f>IF(SUM($AE434:$AH434)=0,"",SUM($AE434:$AH434))</f>
        <v/>
      </c>
      <c r="AE434" s="123">
        <f>iferror(IF(SUM($AI434:$AZ434)=0,"",SUM($AI434:$AZ434)),"")</f>
        <v/>
      </c>
      <c r="AF434" s="123">
        <f>iferror(IF(SUM($BA434:$BC434)=0,"",SUM($BA434:$BC434)),"")</f>
        <v/>
      </c>
      <c r="AG434" s="123">
        <f>iferror(IF(SUM($BD434:$BF434)=0,"",SUM($BD434:$BF434)),"")</f>
        <v/>
      </c>
      <c r="AH434" s="124">
        <f>iferror(IF(SUM($BG434:$BI434)=0,"",SUM($BG434:$BI434)),"")</f>
        <v/>
      </c>
      <c r="AI434" s="131" t="n"/>
      <c r="AJ434" s="132" t="n"/>
      <c r="AK434" s="132" t="n"/>
      <c r="AL434" s="132" t="n"/>
      <c r="AM434" s="132" t="n"/>
      <c r="AN434" s="132" t="n"/>
      <c r="AO434" s="132" t="n"/>
      <c r="AP434" s="132" t="n"/>
      <c r="AQ434" s="132" t="n"/>
      <c r="AR434" s="132" t="n"/>
      <c r="AS434" s="132" t="n"/>
      <c r="AT434" s="132" t="n"/>
      <c r="AU434" s="132" t="n"/>
      <c r="AV434" s="132" t="n"/>
      <c r="AW434" s="132" t="n"/>
      <c r="AX434" s="132" t="n"/>
      <c r="AY434" s="132" t="n"/>
      <c r="AZ434" s="133" t="n"/>
      <c r="BA434" s="131" t="n"/>
      <c r="BB434" s="132" t="n"/>
      <c r="BC434" s="133" t="n"/>
      <c r="BD434" s="131" t="n"/>
      <c r="BE434" s="132" t="n"/>
      <c r="BF434" s="133" t="n"/>
      <c r="BG434" s="131" t="n"/>
      <c r="BH434" s="132" t="n"/>
      <c r="BI434" s="132" t="n"/>
      <c r="BJ434" s="128">
        <f>iferror(SUM($BK434,($BL434*1.2),($BM434*1.35),($BN434*0.74)),)</f>
        <v/>
      </c>
      <c r="BK434" s="128">
        <f>IFERROR(SUM($BT434:$CK434),)</f>
        <v/>
      </c>
      <c r="BL434" s="129">
        <f>IFERROR(SUM($CL434:$CN434),)</f>
        <v/>
      </c>
      <c r="BM434" s="130">
        <f>IFERROR(SUM($CO434:$CQ434),)</f>
        <v/>
      </c>
      <c r="BN434" s="128">
        <f>IFERROR(SUM($CR434:$CT434),)</f>
        <v/>
      </c>
      <c r="BO434" s="128">
        <f>iferror(SUM($BP434,($BQ434*1.2),($BR434*1.35),($BS434*0.74)),)</f>
        <v/>
      </c>
      <c r="BP434" s="128">
        <f>IFERROR(SUM($CU434:$DL434),)</f>
        <v/>
      </c>
      <c r="BQ434" s="128">
        <f>IFERROR(SUM($DM434:$DO434),)</f>
        <v/>
      </c>
      <c r="BR434" s="128">
        <f>IFERROR(SUM($DP434:$DR434),)</f>
        <v/>
      </c>
      <c r="BS434" s="128">
        <f>IFERROR(SUM($DS434:$DU434),)</f>
        <v/>
      </c>
      <c r="BT434" s="128">
        <f>IFERROR(AI434*$W434,)</f>
        <v/>
      </c>
      <c r="BU434" s="128">
        <f>IFERROR(AJ434*$W434,)</f>
        <v/>
      </c>
      <c r="BV434" s="128">
        <f>IFERROR(AK434*$W434,)</f>
        <v/>
      </c>
      <c r="BW434" s="128">
        <f>IFERROR(AL434*$W434,)</f>
        <v/>
      </c>
      <c r="BX434" s="128">
        <f>IFERROR(AM434*$W434,)</f>
        <v/>
      </c>
      <c r="BY434" s="128">
        <f>IFERROR(AN434*$W434,)</f>
        <v/>
      </c>
      <c r="BZ434" s="128">
        <f>IFERROR(AO434*$W434,)</f>
        <v/>
      </c>
      <c r="CA434" s="128">
        <f>IFERROR(AP434*$W434,)</f>
        <v/>
      </c>
      <c r="CB434" s="128">
        <f>IFERROR(AQ434*$W434,)</f>
        <v/>
      </c>
      <c r="CC434" s="128">
        <f>IFERROR(AR434*$W434,)</f>
        <v/>
      </c>
      <c r="CD434" s="128">
        <f>IFERROR(AS434*$W434,)</f>
        <v/>
      </c>
      <c r="CE434" s="128">
        <f>IFERROR(AT434*$W434,)</f>
        <v/>
      </c>
      <c r="CF434" s="128">
        <f>IFERROR(AU434*$W434,)</f>
        <v/>
      </c>
      <c r="CG434" s="128">
        <f>IFERROR(AV434*$W434,)</f>
        <v/>
      </c>
      <c r="CH434" s="128">
        <f>IFERROR(AW434*$W434,)</f>
        <v/>
      </c>
      <c r="CI434" s="128">
        <f>IFERROR(AX434*$W434,)</f>
        <v/>
      </c>
      <c r="CJ434" s="128">
        <f>IFERROR(AY434*$W434,)</f>
        <v/>
      </c>
      <c r="CK434" s="128">
        <f>IFERROR(AZ434*$W434,)</f>
        <v/>
      </c>
      <c r="CL434" s="129">
        <f>IFERROR(if($Y434=0,BA434*($W434/1.2),BA434*$Y434),"")</f>
        <v/>
      </c>
      <c r="CM434" s="129">
        <f>IFERROR(if($Y434=0,BB434*($W434/1.2),BB434*$Y434),"")</f>
        <v/>
      </c>
      <c r="CN434" s="129">
        <f>IFERROR(if($Y434=0,BC434*($W434/1.2),BC434*$Y434),"")</f>
        <v/>
      </c>
      <c r="CO434" s="130">
        <f>IFERROR(if($AA434=0,($W434/1.35)*BD434,BD434*$AA434),)</f>
        <v/>
      </c>
      <c r="CP434" s="130">
        <f>IFERROR(if($AA434=0,($W434/1.35)*BE434,BE434*$AA434),)</f>
        <v/>
      </c>
      <c r="CQ434" s="130">
        <f>IFERROR(if($AA434=0,($W434/1.35)*BF434,BF434*$AA434),)</f>
        <v/>
      </c>
      <c r="CR434" s="128">
        <f>IFERROR(if($AC434=0,($W434/0.74)*BG434,
BG434*$AC434),)</f>
        <v/>
      </c>
      <c r="CS434" s="128">
        <f>IFERROR(if($AC434=0,($W434/0.74)*BH434,
BH434*$AC434),)</f>
        <v/>
      </c>
      <c r="CT434" s="128">
        <f>IFERROR(if($AC434=0,($W434/0.74)*BI434,
BI434*$AC434),)</f>
        <v/>
      </c>
      <c r="CU434" s="128">
        <f>IFERROR(AI434*$V434,)</f>
        <v/>
      </c>
      <c r="CV434" s="128">
        <f>IFERROR(AJ434*$V434,)</f>
        <v/>
      </c>
      <c r="CW434" s="128">
        <f>IFERROR(AK434*$V434,)</f>
        <v/>
      </c>
      <c r="CX434" s="128">
        <f>IFERROR(AL434*$V434,)</f>
        <v/>
      </c>
      <c r="CY434" s="128">
        <f>IFERROR(AM434*$V434,)</f>
        <v/>
      </c>
      <c r="CZ434" s="128">
        <f>IFERROR(AN434*$V434,)</f>
        <v/>
      </c>
      <c r="DA434" s="128">
        <f>IFERROR(AO434*$V434,)</f>
        <v/>
      </c>
      <c r="DB434" s="128">
        <f>IFERROR(AP434*$V434,)</f>
        <v/>
      </c>
      <c r="DC434" s="128">
        <f>IFERROR(AQ434*$V434,)</f>
        <v/>
      </c>
      <c r="DD434" s="128">
        <f>IFERROR(AR434*$V434,)</f>
        <v/>
      </c>
      <c r="DE434" s="128">
        <f>IFERROR(AS434*$V434,)</f>
        <v/>
      </c>
      <c r="DF434" s="128">
        <f>IFERROR(AT434*$V434,)</f>
        <v/>
      </c>
      <c r="DG434" s="128">
        <f>IFERROR(AU434*$V434,)</f>
        <v/>
      </c>
      <c r="DH434" s="128">
        <f>IFERROR(AV434*$V434,)</f>
        <v/>
      </c>
      <c r="DI434" s="128">
        <f>IFERROR(AW434*$V434,)</f>
        <v/>
      </c>
      <c r="DJ434" s="128">
        <f>IFERROR(AX434*$V434,)</f>
        <v/>
      </c>
      <c r="DK434" s="128">
        <f>IFERROR(AY434*$V434,)</f>
        <v/>
      </c>
      <c r="DL434" s="128">
        <f>IFERROR(AZ434*$V434,)</f>
        <v/>
      </c>
      <c r="DM434" s="129">
        <f>IFERROR(if($X434=0,($V434/1.2)*BA434,
BA434*$X434),)</f>
        <v/>
      </c>
      <c r="DN434" s="129">
        <f>IFERROR(if($X434=0,($V434/1.2)*BB434,
BB434*$X434),)</f>
        <v/>
      </c>
      <c r="DO434" s="129">
        <f>IFERROR(if($X434=0,($V434/1.2)*BC434,
BC434*$X434),)</f>
        <v/>
      </c>
      <c r="DP434" s="130">
        <f>IFERROR(if($Z434=0,($V434/1.35)*BD434,
BD434*$Z434),)</f>
        <v/>
      </c>
      <c r="DQ434" s="130">
        <f>IFERROR(if($Z434=0,($V434/1.35)*BE434,
BE434*$Z434),)</f>
        <v/>
      </c>
      <c r="DR434" s="130">
        <f>IFERROR(if($Z434=0,($V434/1.35)*BF434,
BF434*$Z434),)</f>
        <v/>
      </c>
      <c r="DS434" s="128">
        <f>IFERROR(IF($AB434=0,($V434/0.74)*BG434,
BG434*$AB434),)</f>
        <v/>
      </c>
      <c r="DT434" s="128">
        <f>IFERROR(IF($AB434=0,($V434/0.74)*BH434,
BH434*$AB434),)</f>
        <v/>
      </c>
      <c r="DU434" s="128">
        <f>IFERROR(IF($AB434=0,($V434/0.74)*BI434,
BI434*$AB434),)</f>
        <v/>
      </c>
    </row>
    <row r="435" ht="131.25" customHeight="1" s="162">
      <c r="A435" s="115" t="n"/>
      <c r="B435" s="115" t="n"/>
      <c r="C435" s="115" t="n"/>
      <c r="D435" s="115" t="n"/>
      <c r="E435" s="115" t="n"/>
      <c r="F435" s="115" t="n"/>
      <c r="G435" s="115" t="n"/>
      <c r="H435" s="115" t="n"/>
      <c r="I435" s="115" t="n"/>
      <c r="J435" s="115" t="n"/>
      <c r="K435" s="115" t="n"/>
      <c r="L435" s="115" t="n"/>
      <c r="M435" s="115" t="n"/>
      <c r="N435" s="115" t="n"/>
      <c r="O435" s="115" t="n"/>
      <c r="P435" s="115" t="n"/>
      <c r="Q435" s="115" t="n"/>
      <c r="R435" s="115" t="n"/>
      <c r="S435" s="115" t="n"/>
      <c r="T435" s="115" t="n"/>
      <c r="U435" s="116" t="n"/>
      <c r="V435" s="116" t="n"/>
      <c r="W435" s="117" t="n"/>
      <c r="X435" s="118" t="n"/>
      <c r="Y435" s="119" t="n"/>
      <c r="Z435" s="120" t="n"/>
      <c r="AA435" s="121" t="n"/>
      <c r="AB435" s="122" t="n"/>
      <c r="AC435" s="117" t="n"/>
      <c r="AD435" s="123">
        <f>IF(SUM($AE435:$AH435)=0,"",SUM($AE435:$AH435))</f>
        <v/>
      </c>
      <c r="AE435" s="123">
        <f>iferror(IF(SUM($AI435:$AZ435)=0,"",SUM($AI435:$AZ435)),"")</f>
        <v/>
      </c>
      <c r="AF435" s="123">
        <f>iferror(IF(SUM($BA435:$BC435)=0,"",SUM($BA435:$BC435)),"")</f>
        <v/>
      </c>
      <c r="AG435" s="123">
        <f>iferror(IF(SUM($BD435:$BF435)=0,"",SUM($BD435:$BF435)),"")</f>
        <v/>
      </c>
      <c r="AH435" s="124">
        <f>iferror(IF(SUM($BG435:$BI435)=0,"",SUM($BG435:$BI435)),"")</f>
        <v/>
      </c>
      <c r="AI435" s="131" t="n"/>
      <c r="AJ435" s="132" t="n"/>
      <c r="AK435" s="132" t="n"/>
      <c r="AL435" s="132" t="n"/>
      <c r="AM435" s="132" t="n"/>
      <c r="AN435" s="132" t="n"/>
      <c r="AO435" s="132" t="n"/>
      <c r="AP435" s="132" t="n"/>
      <c r="AQ435" s="132" t="n"/>
      <c r="AR435" s="132" t="n"/>
      <c r="AS435" s="132" t="n"/>
      <c r="AT435" s="132" t="n"/>
      <c r="AU435" s="132" t="n"/>
      <c r="AV435" s="132" t="n"/>
      <c r="AW435" s="132" t="n"/>
      <c r="AX435" s="132" t="n"/>
      <c r="AY435" s="132" t="n"/>
      <c r="AZ435" s="133" t="n"/>
      <c r="BA435" s="131" t="n"/>
      <c r="BB435" s="132" t="n"/>
      <c r="BC435" s="133" t="n"/>
      <c r="BD435" s="131" t="n"/>
      <c r="BE435" s="132" t="n"/>
      <c r="BF435" s="133" t="n"/>
      <c r="BG435" s="131" t="n"/>
      <c r="BH435" s="132" t="n"/>
      <c r="BI435" s="132" t="n"/>
      <c r="BJ435" s="128">
        <f>iferror(SUM($BK435,($BL435*1.2),($BM435*1.35),($BN435*0.74)),)</f>
        <v/>
      </c>
      <c r="BK435" s="128">
        <f>IFERROR(SUM($BT435:$CK435),)</f>
        <v/>
      </c>
      <c r="BL435" s="129">
        <f>IFERROR(SUM($CL435:$CN435),)</f>
        <v/>
      </c>
      <c r="BM435" s="130">
        <f>IFERROR(SUM($CO435:$CQ435),)</f>
        <v/>
      </c>
      <c r="BN435" s="128">
        <f>IFERROR(SUM($CR435:$CT435),)</f>
        <v/>
      </c>
      <c r="BO435" s="128">
        <f>iferror(SUM($BP435,($BQ435*1.2),($BR435*1.35),($BS435*0.74)),)</f>
        <v/>
      </c>
      <c r="BP435" s="128">
        <f>IFERROR(SUM($CU435:$DL435),)</f>
        <v/>
      </c>
      <c r="BQ435" s="128">
        <f>IFERROR(SUM($DM435:$DO435),)</f>
        <v/>
      </c>
      <c r="BR435" s="128">
        <f>IFERROR(SUM($DP435:$DR435),)</f>
        <v/>
      </c>
      <c r="BS435" s="128">
        <f>IFERROR(SUM($DS435:$DU435),)</f>
        <v/>
      </c>
      <c r="BT435" s="128">
        <f>IFERROR(AI435*$W435,)</f>
        <v/>
      </c>
      <c r="BU435" s="128">
        <f>IFERROR(AJ435*$W435,)</f>
        <v/>
      </c>
      <c r="BV435" s="128">
        <f>IFERROR(AK435*$W435,)</f>
        <v/>
      </c>
      <c r="BW435" s="128">
        <f>IFERROR(AL435*$W435,)</f>
        <v/>
      </c>
      <c r="BX435" s="128">
        <f>IFERROR(AM435*$W435,)</f>
        <v/>
      </c>
      <c r="BY435" s="128">
        <f>IFERROR(AN435*$W435,)</f>
        <v/>
      </c>
      <c r="BZ435" s="128">
        <f>IFERROR(AO435*$W435,)</f>
        <v/>
      </c>
      <c r="CA435" s="128">
        <f>IFERROR(AP435*$W435,)</f>
        <v/>
      </c>
      <c r="CB435" s="128">
        <f>IFERROR(AQ435*$W435,)</f>
        <v/>
      </c>
      <c r="CC435" s="128">
        <f>IFERROR(AR435*$W435,)</f>
        <v/>
      </c>
      <c r="CD435" s="128">
        <f>IFERROR(AS435*$W435,)</f>
        <v/>
      </c>
      <c r="CE435" s="128">
        <f>IFERROR(AT435*$W435,)</f>
        <v/>
      </c>
      <c r="CF435" s="128">
        <f>IFERROR(AU435*$W435,)</f>
        <v/>
      </c>
      <c r="CG435" s="128">
        <f>IFERROR(AV435*$W435,)</f>
        <v/>
      </c>
      <c r="CH435" s="128">
        <f>IFERROR(AW435*$W435,)</f>
        <v/>
      </c>
      <c r="CI435" s="128">
        <f>IFERROR(AX435*$W435,)</f>
        <v/>
      </c>
      <c r="CJ435" s="128">
        <f>IFERROR(AY435*$W435,)</f>
        <v/>
      </c>
      <c r="CK435" s="128">
        <f>IFERROR(AZ435*$W435,)</f>
        <v/>
      </c>
      <c r="CL435" s="129">
        <f>IFERROR(if($Y435=0,BA435*($W435/1.2),BA435*$Y435),"")</f>
        <v/>
      </c>
      <c r="CM435" s="129">
        <f>IFERROR(if($Y435=0,BB435*($W435/1.2),BB435*$Y435),"")</f>
        <v/>
      </c>
      <c r="CN435" s="129">
        <f>IFERROR(if($Y435=0,BC435*($W435/1.2),BC435*$Y435),"")</f>
        <v/>
      </c>
      <c r="CO435" s="130">
        <f>IFERROR(if($AA435=0,($W435/1.35)*BD435,BD435*$AA435),)</f>
        <v/>
      </c>
      <c r="CP435" s="130">
        <f>IFERROR(if($AA435=0,($W435/1.35)*BE435,BE435*$AA435),)</f>
        <v/>
      </c>
      <c r="CQ435" s="130">
        <f>IFERROR(if($AA435=0,($W435/1.35)*BF435,BF435*$AA435),)</f>
        <v/>
      </c>
      <c r="CR435" s="128">
        <f>IFERROR(if($AC435=0,($W435/0.74)*BG435,
BG435*$AC435),)</f>
        <v/>
      </c>
      <c r="CS435" s="128">
        <f>IFERROR(if($AC435=0,($W435/0.74)*BH435,
BH435*$AC435),)</f>
        <v/>
      </c>
      <c r="CT435" s="128">
        <f>IFERROR(if($AC435=0,($W435/0.74)*BI435,
BI435*$AC435),)</f>
        <v/>
      </c>
      <c r="CU435" s="128">
        <f>IFERROR(AI435*$V435,)</f>
        <v/>
      </c>
      <c r="CV435" s="128">
        <f>IFERROR(AJ435*$V435,)</f>
        <v/>
      </c>
      <c r="CW435" s="128">
        <f>IFERROR(AK435*$V435,)</f>
        <v/>
      </c>
      <c r="CX435" s="128">
        <f>IFERROR(AL435*$V435,)</f>
        <v/>
      </c>
      <c r="CY435" s="128">
        <f>IFERROR(AM435*$V435,)</f>
        <v/>
      </c>
      <c r="CZ435" s="128">
        <f>IFERROR(AN435*$V435,)</f>
        <v/>
      </c>
      <c r="DA435" s="128">
        <f>IFERROR(AO435*$V435,)</f>
        <v/>
      </c>
      <c r="DB435" s="128">
        <f>IFERROR(AP435*$V435,)</f>
        <v/>
      </c>
      <c r="DC435" s="128">
        <f>IFERROR(AQ435*$V435,)</f>
        <v/>
      </c>
      <c r="DD435" s="128">
        <f>IFERROR(AR435*$V435,)</f>
        <v/>
      </c>
      <c r="DE435" s="128">
        <f>IFERROR(AS435*$V435,)</f>
        <v/>
      </c>
      <c r="DF435" s="128">
        <f>IFERROR(AT435*$V435,)</f>
        <v/>
      </c>
      <c r="DG435" s="128">
        <f>IFERROR(AU435*$V435,)</f>
        <v/>
      </c>
      <c r="DH435" s="128">
        <f>IFERROR(AV435*$V435,)</f>
        <v/>
      </c>
      <c r="DI435" s="128">
        <f>IFERROR(AW435*$V435,)</f>
        <v/>
      </c>
      <c r="DJ435" s="128">
        <f>IFERROR(AX435*$V435,)</f>
        <v/>
      </c>
      <c r="DK435" s="128">
        <f>IFERROR(AY435*$V435,)</f>
        <v/>
      </c>
      <c r="DL435" s="128">
        <f>IFERROR(AZ435*$V435,)</f>
        <v/>
      </c>
      <c r="DM435" s="129">
        <f>IFERROR(if($X435=0,($V435/1.2)*BA435,
BA435*$X435),)</f>
        <v/>
      </c>
      <c r="DN435" s="129">
        <f>IFERROR(if($X435=0,($V435/1.2)*BB435,
BB435*$X435),)</f>
        <v/>
      </c>
      <c r="DO435" s="129">
        <f>IFERROR(if($X435=0,($V435/1.2)*BC435,
BC435*$X435),)</f>
        <v/>
      </c>
      <c r="DP435" s="130">
        <f>IFERROR(if($Z435=0,($V435/1.35)*BD435,
BD435*$Z435),)</f>
        <v/>
      </c>
      <c r="DQ435" s="130">
        <f>IFERROR(if($Z435=0,($V435/1.35)*BE435,
BE435*$Z435),)</f>
        <v/>
      </c>
      <c r="DR435" s="130">
        <f>IFERROR(if($Z435=0,($V435/1.35)*BF435,
BF435*$Z435),)</f>
        <v/>
      </c>
      <c r="DS435" s="128">
        <f>IFERROR(IF($AB435=0,($V435/0.74)*BG435,
BG435*$AB435),)</f>
        <v/>
      </c>
      <c r="DT435" s="128">
        <f>IFERROR(IF($AB435=0,($V435/0.74)*BH435,
BH435*$AB435),)</f>
        <v/>
      </c>
      <c r="DU435" s="128">
        <f>IFERROR(IF($AB435=0,($V435/0.74)*BI435,
BI435*$AB435),)</f>
        <v/>
      </c>
    </row>
    <row r="436" ht="131.25" customHeight="1" s="162">
      <c r="A436" s="115" t="n"/>
      <c r="B436" s="115" t="n"/>
      <c r="C436" s="115" t="n"/>
      <c r="D436" s="115" t="n"/>
      <c r="E436" s="115" t="n"/>
      <c r="F436" s="115" t="n"/>
      <c r="G436" s="115" t="n"/>
      <c r="H436" s="115" t="n"/>
      <c r="I436" s="115" t="n"/>
      <c r="J436" s="115" t="n"/>
      <c r="K436" s="115" t="n"/>
      <c r="L436" s="115" t="n"/>
      <c r="M436" s="115" t="n"/>
      <c r="N436" s="115" t="n"/>
      <c r="O436" s="115" t="n"/>
      <c r="P436" s="115" t="n"/>
      <c r="Q436" s="115" t="n"/>
      <c r="R436" s="115" t="n"/>
      <c r="S436" s="115" t="n"/>
      <c r="T436" s="115" t="n"/>
      <c r="U436" s="116" t="n"/>
      <c r="V436" s="116" t="n"/>
      <c r="W436" s="117" t="n"/>
      <c r="X436" s="118" t="n"/>
      <c r="Y436" s="119" t="n"/>
      <c r="Z436" s="120" t="n"/>
      <c r="AA436" s="121" t="n"/>
      <c r="AB436" s="122" t="n"/>
      <c r="AC436" s="117" t="n"/>
      <c r="AD436" s="123">
        <f>IF(SUM($AE436:$AH436)=0,"",SUM($AE436:$AH436))</f>
        <v/>
      </c>
      <c r="AE436" s="123">
        <f>iferror(IF(SUM($AI436:$AZ436)=0,"",SUM($AI436:$AZ436)),"")</f>
        <v/>
      </c>
      <c r="AF436" s="123">
        <f>iferror(IF(SUM($BA436:$BC436)=0,"",SUM($BA436:$BC436)),"")</f>
        <v/>
      </c>
      <c r="AG436" s="123">
        <f>iferror(IF(SUM($BD436:$BF436)=0,"",SUM($BD436:$BF436)),"")</f>
        <v/>
      </c>
      <c r="AH436" s="124">
        <f>iferror(IF(SUM($BG436:$BI436)=0,"",SUM($BG436:$BI436)),"")</f>
        <v/>
      </c>
      <c r="AI436" s="131" t="n"/>
      <c r="AJ436" s="132" t="n"/>
      <c r="AK436" s="132" t="n"/>
      <c r="AL436" s="132" t="n"/>
      <c r="AM436" s="132" t="n"/>
      <c r="AN436" s="132" t="n"/>
      <c r="AO436" s="132" t="n"/>
      <c r="AP436" s="132" t="n"/>
      <c r="AQ436" s="132" t="n"/>
      <c r="AR436" s="132" t="n"/>
      <c r="AS436" s="132" t="n"/>
      <c r="AT436" s="132" t="n"/>
      <c r="AU436" s="132" t="n"/>
      <c r="AV436" s="132" t="n"/>
      <c r="AW436" s="132" t="n"/>
      <c r="AX436" s="132" t="n"/>
      <c r="AY436" s="132" t="n"/>
      <c r="AZ436" s="133" t="n"/>
      <c r="BA436" s="131" t="n"/>
      <c r="BB436" s="132" t="n"/>
      <c r="BC436" s="133" t="n"/>
      <c r="BD436" s="131" t="n"/>
      <c r="BE436" s="132" t="n"/>
      <c r="BF436" s="133" t="n"/>
      <c r="BG436" s="131" t="n"/>
      <c r="BH436" s="132" t="n"/>
      <c r="BI436" s="132" t="n"/>
      <c r="BJ436" s="128">
        <f>iferror(SUM($BK436,($BL436*1.2),($BM436*1.35),($BN436*0.74)),)</f>
        <v/>
      </c>
      <c r="BK436" s="128">
        <f>IFERROR(SUM($BT436:$CK436),)</f>
        <v/>
      </c>
      <c r="BL436" s="129">
        <f>IFERROR(SUM($CL436:$CN436),)</f>
        <v/>
      </c>
      <c r="BM436" s="130">
        <f>IFERROR(SUM($CO436:$CQ436),)</f>
        <v/>
      </c>
      <c r="BN436" s="128">
        <f>IFERROR(SUM($CR436:$CT436),)</f>
        <v/>
      </c>
      <c r="BO436" s="128">
        <f>iferror(SUM($BP436,($BQ436*1.2),($BR436*1.35),($BS436*0.74)),)</f>
        <v/>
      </c>
      <c r="BP436" s="128">
        <f>IFERROR(SUM($CU436:$DL436),)</f>
        <v/>
      </c>
      <c r="BQ436" s="128">
        <f>IFERROR(SUM($DM436:$DO436),)</f>
        <v/>
      </c>
      <c r="BR436" s="128">
        <f>IFERROR(SUM($DP436:$DR436),)</f>
        <v/>
      </c>
      <c r="BS436" s="128">
        <f>IFERROR(SUM($DS436:$DU436),)</f>
        <v/>
      </c>
      <c r="BT436" s="128">
        <f>IFERROR(AI436*$W436,)</f>
        <v/>
      </c>
      <c r="BU436" s="128">
        <f>IFERROR(AJ436*$W436,)</f>
        <v/>
      </c>
      <c r="BV436" s="128">
        <f>IFERROR(AK436*$W436,)</f>
        <v/>
      </c>
      <c r="BW436" s="128">
        <f>IFERROR(AL436*$W436,)</f>
        <v/>
      </c>
      <c r="BX436" s="128">
        <f>IFERROR(AM436*$W436,)</f>
        <v/>
      </c>
      <c r="BY436" s="128">
        <f>IFERROR(AN436*$W436,)</f>
        <v/>
      </c>
      <c r="BZ436" s="128">
        <f>IFERROR(AO436*$W436,)</f>
        <v/>
      </c>
      <c r="CA436" s="128">
        <f>IFERROR(AP436*$W436,)</f>
        <v/>
      </c>
      <c r="CB436" s="128">
        <f>IFERROR(AQ436*$W436,)</f>
        <v/>
      </c>
      <c r="CC436" s="128">
        <f>IFERROR(AR436*$W436,)</f>
        <v/>
      </c>
      <c r="CD436" s="128">
        <f>IFERROR(AS436*$W436,)</f>
        <v/>
      </c>
      <c r="CE436" s="128">
        <f>IFERROR(AT436*$W436,)</f>
        <v/>
      </c>
      <c r="CF436" s="128">
        <f>IFERROR(AU436*$W436,)</f>
        <v/>
      </c>
      <c r="CG436" s="128">
        <f>IFERROR(AV436*$W436,)</f>
        <v/>
      </c>
      <c r="CH436" s="128">
        <f>IFERROR(AW436*$W436,)</f>
        <v/>
      </c>
      <c r="CI436" s="128">
        <f>IFERROR(AX436*$W436,)</f>
        <v/>
      </c>
      <c r="CJ436" s="128">
        <f>IFERROR(AY436*$W436,)</f>
        <v/>
      </c>
      <c r="CK436" s="128">
        <f>IFERROR(AZ436*$W436,)</f>
        <v/>
      </c>
      <c r="CL436" s="129">
        <f>IFERROR(if($Y436=0,BA436*($W436/1.2),BA436*$Y436),"")</f>
        <v/>
      </c>
      <c r="CM436" s="129">
        <f>IFERROR(if($Y436=0,BB436*($W436/1.2),BB436*$Y436),"")</f>
        <v/>
      </c>
      <c r="CN436" s="129">
        <f>IFERROR(if($Y436=0,BC436*($W436/1.2),BC436*$Y436),"")</f>
        <v/>
      </c>
      <c r="CO436" s="130">
        <f>IFERROR(if($AA436=0,($W436/1.35)*BD436,BD436*$AA436),)</f>
        <v/>
      </c>
      <c r="CP436" s="130">
        <f>IFERROR(if($AA436=0,($W436/1.35)*BE436,BE436*$AA436),)</f>
        <v/>
      </c>
      <c r="CQ436" s="130">
        <f>IFERROR(if($AA436=0,($W436/1.35)*BF436,BF436*$AA436),)</f>
        <v/>
      </c>
      <c r="CR436" s="128">
        <f>IFERROR(if($AC436=0,($W436/0.74)*BG436,
BG436*$AC436),)</f>
        <v/>
      </c>
      <c r="CS436" s="128">
        <f>IFERROR(if($AC436=0,($W436/0.74)*BH436,
BH436*$AC436),)</f>
        <v/>
      </c>
      <c r="CT436" s="128">
        <f>IFERROR(if($AC436=0,($W436/0.74)*BI436,
BI436*$AC436),)</f>
        <v/>
      </c>
      <c r="CU436" s="128">
        <f>IFERROR(AI436*$V436,)</f>
        <v/>
      </c>
      <c r="CV436" s="128">
        <f>IFERROR(AJ436*$V436,)</f>
        <v/>
      </c>
      <c r="CW436" s="128">
        <f>IFERROR(AK436*$V436,)</f>
        <v/>
      </c>
      <c r="CX436" s="128">
        <f>IFERROR(AL436*$V436,)</f>
        <v/>
      </c>
      <c r="CY436" s="128">
        <f>IFERROR(AM436*$V436,)</f>
        <v/>
      </c>
      <c r="CZ436" s="128">
        <f>IFERROR(AN436*$V436,)</f>
        <v/>
      </c>
      <c r="DA436" s="128">
        <f>IFERROR(AO436*$V436,)</f>
        <v/>
      </c>
      <c r="DB436" s="128">
        <f>IFERROR(AP436*$V436,)</f>
        <v/>
      </c>
      <c r="DC436" s="128">
        <f>IFERROR(AQ436*$V436,)</f>
        <v/>
      </c>
      <c r="DD436" s="128">
        <f>IFERROR(AR436*$V436,)</f>
        <v/>
      </c>
      <c r="DE436" s="128">
        <f>IFERROR(AS436*$V436,)</f>
        <v/>
      </c>
      <c r="DF436" s="128">
        <f>IFERROR(AT436*$V436,)</f>
        <v/>
      </c>
      <c r="DG436" s="128">
        <f>IFERROR(AU436*$V436,)</f>
        <v/>
      </c>
      <c r="DH436" s="128">
        <f>IFERROR(AV436*$V436,)</f>
        <v/>
      </c>
      <c r="DI436" s="128">
        <f>IFERROR(AW436*$V436,)</f>
        <v/>
      </c>
      <c r="DJ436" s="128">
        <f>IFERROR(AX436*$V436,)</f>
        <v/>
      </c>
      <c r="DK436" s="128">
        <f>IFERROR(AY436*$V436,)</f>
        <v/>
      </c>
      <c r="DL436" s="128">
        <f>IFERROR(AZ436*$V436,)</f>
        <v/>
      </c>
      <c r="DM436" s="129">
        <f>IFERROR(if($X436=0,($V436/1.2)*BA436,
BA436*$X436),)</f>
        <v/>
      </c>
      <c r="DN436" s="129">
        <f>IFERROR(if($X436=0,($V436/1.2)*BB436,
BB436*$X436),)</f>
        <v/>
      </c>
      <c r="DO436" s="129">
        <f>IFERROR(if($X436=0,($V436/1.2)*BC436,
BC436*$X436),)</f>
        <v/>
      </c>
      <c r="DP436" s="130">
        <f>IFERROR(if($Z436=0,($V436/1.35)*BD436,
BD436*$Z436),)</f>
        <v/>
      </c>
      <c r="DQ436" s="130">
        <f>IFERROR(if($Z436=0,($V436/1.35)*BE436,
BE436*$Z436),)</f>
        <v/>
      </c>
      <c r="DR436" s="130">
        <f>IFERROR(if($Z436=0,($V436/1.35)*BF436,
BF436*$Z436),)</f>
        <v/>
      </c>
      <c r="DS436" s="128">
        <f>IFERROR(IF($AB436=0,($V436/0.74)*BG436,
BG436*$AB436),)</f>
        <v/>
      </c>
      <c r="DT436" s="128">
        <f>IFERROR(IF($AB436=0,($V436/0.74)*BH436,
BH436*$AB436),)</f>
        <v/>
      </c>
      <c r="DU436" s="128">
        <f>IFERROR(IF($AB436=0,($V436/0.74)*BI436,
BI436*$AB436),)</f>
        <v/>
      </c>
    </row>
    <row r="437" ht="131.25" customHeight="1" s="162">
      <c r="A437" s="115" t="n"/>
      <c r="B437" s="115" t="n"/>
      <c r="C437" s="115" t="n"/>
      <c r="D437" s="115" t="n"/>
      <c r="E437" s="115" t="n"/>
      <c r="F437" s="115" t="n"/>
      <c r="G437" s="115" t="n"/>
      <c r="H437" s="115" t="n"/>
      <c r="I437" s="115" t="n"/>
      <c r="J437" s="115" t="n"/>
      <c r="K437" s="115" t="n"/>
      <c r="L437" s="115" t="n"/>
      <c r="M437" s="115" t="n"/>
      <c r="N437" s="115" t="n"/>
      <c r="O437" s="115" t="n"/>
      <c r="P437" s="115" t="n"/>
      <c r="Q437" s="115" t="n"/>
      <c r="R437" s="115" t="n"/>
      <c r="S437" s="115" t="n"/>
      <c r="T437" s="115" t="n"/>
      <c r="U437" s="116" t="n"/>
      <c r="V437" s="116" t="n"/>
      <c r="W437" s="117" t="n"/>
      <c r="X437" s="118" t="n"/>
      <c r="Y437" s="119" t="n"/>
      <c r="Z437" s="120" t="n"/>
      <c r="AA437" s="121" t="n"/>
      <c r="AB437" s="122" t="n"/>
      <c r="AC437" s="117" t="n"/>
      <c r="AD437" s="123">
        <f>IF(SUM($AE437:$AH437)=0,"",SUM($AE437:$AH437))</f>
        <v/>
      </c>
      <c r="AE437" s="123">
        <f>iferror(IF(SUM($AI437:$AZ437)=0,"",SUM($AI437:$AZ437)),"")</f>
        <v/>
      </c>
      <c r="AF437" s="123">
        <f>iferror(IF(SUM($BA437:$BC437)=0,"",SUM($BA437:$BC437)),"")</f>
        <v/>
      </c>
      <c r="AG437" s="123">
        <f>iferror(IF(SUM($BD437:$BF437)=0,"",SUM($BD437:$BF437)),"")</f>
        <v/>
      </c>
      <c r="AH437" s="124">
        <f>iferror(IF(SUM($BG437:$BI437)=0,"",SUM($BG437:$BI437)),"")</f>
        <v/>
      </c>
      <c r="AI437" s="131" t="n"/>
      <c r="AJ437" s="132" t="n"/>
      <c r="AK437" s="132" t="n"/>
      <c r="AL437" s="132" t="n"/>
      <c r="AM437" s="132" t="n"/>
      <c r="AN437" s="132" t="n"/>
      <c r="AO437" s="132" t="n"/>
      <c r="AP437" s="132" t="n"/>
      <c r="AQ437" s="132" t="n"/>
      <c r="AR437" s="132" t="n"/>
      <c r="AS437" s="132" t="n"/>
      <c r="AT437" s="132" t="n"/>
      <c r="AU437" s="132" t="n"/>
      <c r="AV437" s="132" t="n"/>
      <c r="AW437" s="132" t="n"/>
      <c r="AX437" s="132" t="n"/>
      <c r="AY437" s="132" t="n"/>
      <c r="AZ437" s="133" t="n"/>
      <c r="BA437" s="131" t="n"/>
      <c r="BB437" s="132" t="n"/>
      <c r="BC437" s="133" t="n"/>
      <c r="BD437" s="131" t="n"/>
      <c r="BE437" s="132" t="n"/>
      <c r="BF437" s="133" t="n"/>
      <c r="BG437" s="131" t="n"/>
      <c r="BH437" s="132" t="n"/>
      <c r="BI437" s="132" t="n"/>
      <c r="BJ437" s="128">
        <f>iferror(SUM($BK437,($BL437*1.2),($BM437*1.35),($BN437*0.74)),)</f>
        <v/>
      </c>
      <c r="BK437" s="128">
        <f>IFERROR(SUM($BT437:$CK437),)</f>
        <v/>
      </c>
      <c r="BL437" s="129">
        <f>IFERROR(SUM($CL437:$CN437),)</f>
        <v/>
      </c>
      <c r="BM437" s="130">
        <f>IFERROR(SUM($CO437:$CQ437),)</f>
        <v/>
      </c>
      <c r="BN437" s="128">
        <f>IFERROR(SUM($CR437:$CT437),)</f>
        <v/>
      </c>
      <c r="BO437" s="128">
        <f>iferror(SUM($BP437,($BQ437*1.2),($BR437*1.35),($BS437*0.74)),)</f>
        <v/>
      </c>
      <c r="BP437" s="128">
        <f>IFERROR(SUM($CU437:$DL437),)</f>
        <v/>
      </c>
      <c r="BQ437" s="128">
        <f>IFERROR(SUM($DM437:$DO437),)</f>
        <v/>
      </c>
      <c r="BR437" s="128">
        <f>IFERROR(SUM($DP437:$DR437),)</f>
        <v/>
      </c>
      <c r="BS437" s="128">
        <f>IFERROR(SUM($DS437:$DU437),)</f>
        <v/>
      </c>
      <c r="BT437" s="128">
        <f>IFERROR(AI437*$W437,)</f>
        <v/>
      </c>
      <c r="BU437" s="128">
        <f>IFERROR(AJ437*$W437,)</f>
        <v/>
      </c>
      <c r="BV437" s="128">
        <f>IFERROR(AK437*$W437,)</f>
        <v/>
      </c>
      <c r="BW437" s="128">
        <f>IFERROR(AL437*$W437,)</f>
        <v/>
      </c>
      <c r="BX437" s="128">
        <f>IFERROR(AM437*$W437,)</f>
        <v/>
      </c>
      <c r="BY437" s="128">
        <f>IFERROR(AN437*$W437,)</f>
        <v/>
      </c>
      <c r="BZ437" s="128">
        <f>IFERROR(AO437*$W437,)</f>
        <v/>
      </c>
      <c r="CA437" s="128">
        <f>IFERROR(AP437*$W437,)</f>
        <v/>
      </c>
      <c r="CB437" s="128">
        <f>IFERROR(AQ437*$W437,)</f>
        <v/>
      </c>
      <c r="CC437" s="128">
        <f>IFERROR(AR437*$W437,)</f>
        <v/>
      </c>
      <c r="CD437" s="128">
        <f>IFERROR(AS437*$W437,)</f>
        <v/>
      </c>
      <c r="CE437" s="128">
        <f>IFERROR(AT437*$W437,)</f>
        <v/>
      </c>
      <c r="CF437" s="128">
        <f>IFERROR(AU437*$W437,)</f>
        <v/>
      </c>
      <c r="CG437" s="128">
        <f>IFERROR(AV437*$W437,)</f>
        <v/>
      </c>
      <c r="CH437" s="128">
        <f>IFERROR(AW437*$W437,)</f>
        <v/>
      </c>
      <c r="CI437" s="128">
        <f>IFERROR(AX437*$W437,)</f>
        <v/>
      </c>
      <c r="CJ437" s="128">
        <f>IFERROR(AY437*$W437,)</f>
        <v/>
      </c>
      <c r="CK437" s="128">
        <f>IFERROR(AZ437*$W437,)</f>
        <v/>
      </c>
      <c r="CL437" s="129">
        <f>IFERROR(if($Y437=0,BA437*($W437/1.2),BA437*$Y437),"")</f>
        <v/>
      </c>
      <c r="CM437" s="129">
        <f>IFERROR(if($Y437=0,BB437*($W437/1.2),BB437*$Y437),"")</f>
        <v/>
      </c>
      <c r="CN437" s="129">
        <f>IFERROR(if($Y437=0,BC437*($W437/1.2),BC437*$Y437),"")</f>
        <v/>
      </c>
      <c r="CO437" s="130">
        <f>IFERROR(if($AA437=0,($W437/1.35)*BD437,BD437*$AA437),)</f>
        <v/>
      </c>
      <c r="CP437" s="130">
        <f>IFERROR(if($AA437=0,($W437/1.35)*BE437,BE437*$AA437),)</f>
        <v/>
      </c>
      <c r="CQ437" s="130">
        <f>IFERROR(if($AA437=0,($W437/1.35)*BF437,BF437*$AA437),)</f>
        <v/>
      </c>
      <c r="CR437" s="128">
        <f>IFERROR(if($AC437=0,($W437/0.74)*BG437,
BG437*$AC437),)</f>
        <v/>
      </c>
      <c r="CS437" s="128">
        <f>IFERROR(if($AC437=0,($W437/0.74)*BH437,
BH437*$AC437),)</f>
        <v/>
      </c>
      <c r="CT437" s="128">
        <f>IFERROR(if($AC437=0,($W437/0.74)*BI437,
BI437*$AC437),)</f>
        <v/>
      </c>
      <c r="CU437" s="128">
        <f>IFERROR(AI437*$V437,)</f>
        <v/>
      </c>
      <c r="CV437" s="128">
        <f>IFERROR(AJ437*$V437,)</f>
        <v/>
      </c>
      <c r="CW437" s="128">
        <f>IFERROR(AK437*$V437,)</f>
        <v/>
      </c>
      <c r="CX437" s="128">
        <f>IFERROR(AL437*$V437,)</f>
        <v/>
      </c>
      <c r="CY437" s="128">
        <f>IFERROR(AM437*$V437,)</f>
        <v/>
      </c>
      <c r="CZ437" s="128">
        <f>IFERROR(AN437*$V437,)</f>
        <v/>
      </c>
      <c r="DA437" s="128">
        <f>IFERROR(AO437*$V437,)</f>
        <v/>
      </c>
      <c r="DB437" s="128">
        <f>IFERROR(AP437*$V437,)</f>
        <v/>
      </c>
      <c r="DC437" s="128">
        <f>IFERROR(AQ437*$V437,)</f>
        <v/>
      </c>
      <c r="DD437" s="128">
        <f>IFERROR(AR437*$V437,)</f>
        <v/>
      </c>
      <c r="DE437" s="128">
        <f>IFERROR(AS437*$V437,)</f>
        <v/>
      </c>
      <c r="DF437" s="128">
        <f>IFERROR(AT437*$V437,)</f>
        <v/>
      </c>
      <c r="DG437" s="128">
        <f>IFERROR(AU437*$V437,)</f>
        <v/>
      </c>
      <c r="DH437" s="128">
        <f>IFERROR(AV437*$V437,)</f>
        <v/>
      </c>
      <c r="DI437" s="128">
        <f>IFERROR(AW437*$V437,)</f>
        <v/>
      </c>
      <c r="DJ437" s="128">
        <f>IFERROR(AX437*$V437,)</f>
        <v/>
      </c>
      <c r="DK437" s="128">
        <f>IFERROR(AY437*$V437,)</f>
        <v/>
      </c>
      <c r="DL437" s="128">
        <f>IFERROR(AZ437*$V437,)</f>
        <v/>
      </c>
      <c r="DM437" s="129">
        <f>IFERROR(if($X437=0,($V437/1.2)*BA437,
BA437*$X437),)</f>
        <v/>
      </c>
      <c r="DN437" s="129">
        <f>IFERROR(if($X437=0,($V437/1.2)*BB437,
BB437*$X437),)</f>
        <v/>
      </c>
      <c r="DO437" s="129">
        <f>IFERROR(if($X437=0,($V437/1.2)*BC437,
BC437*$X437),)</f>
        <v/>
      </c>
      <c r="DP437" s="130">
        <f>IFERROR(if($Z437=0,($V437/1.35)*BD437,
BD437*$Z437),)</f>
        <v/>
      </c>
      <c r="DQ437" s="130">
        <f>IFERROR(if($Z437=0,($V437/1.35)*BE437,
BE437*$Z437),)</f>
        <v/>
      </c>
      <c r="DR437" s="130">
        <f>IFERROR(if($Z437=0,($V437/1.35)*BF437,
BF437*$Z437),)</f>
        <v/>
      </c>
      <c r="DS437" s="128">
        <f>IFERROR(IF($AB437=0,($V437/0.74)*BG437,
BG437*$AB437),)</f>
        <v/>
      </c>
      <c r="DT437" s="128">
        <f>IFERROR(IF($AB437=0,($V437/0.74)*BH437,
BH437*$AB437),)</f>
        <v/>
      </c>
      <c r="DU437" s="128">
        <f>IFERROR(IF($AB437=0,($V437/0.74)*BI437,
BI437*$AB437),)</f>
        <v/>
      </c>
    </row>
    <row r="438" ht="131.25" customHeight="1" s="162">
      <c r="A438" s="115" t="n"/>
      <c r="B438" s="115" t="n"/>
      <c r="C438" s="115" t="n"/>
      <c r="D438" s="115" t="n"/>
      <c r="E438" s="115" t="n"/>
      <c r="F438" s="115" t="n"/>
      <c r="G438" s="115" t="n"/>
      <c r="H438" s="115" t="n"/>
      <c r="I438" s="115" t="n"/>
      <c r="J438" s="115" t="n"/>
      <c r="K438" s="115" t="n"/>
      <c r="L438" s="115" t="n"/>
      <c r="M438" s="115" t="n"/>
      <c r="N438" s="115" t="n"/>
      <c r="O438" s="115" t="n"/>
      <c r="P438" s="115" t="n"/>
      <c r="Q438" s="115" t="n"/>
      <c r="R438" s="115" t="n"/>
      <c r="S438" s="115" t="n"/>
      <c r="T438" s="115" t="n"/>
      <c r="U438" s="116" t="n"/>
      <c r="V438" s="116" t="n"/>
      <c r="W438" s="117" t="n"/>
      <c r="X438" s="118" t="n"/>
      <c r="Y438" s="119" t="n"/>
      <c r="Z438" s="120" t="n"/>
      <c r="AA438" s="121" t="n"/>
      <c r="AB438" s="122" t="n"/>
      <c r="AC438" s="117" t="n"/>
      <c r="AD438" s="123">
        <f>IF(SUM($AE438:$AH438)=0,"",SUM($AE438:$AH438))</f>
        <v/>
      </c>
      <c r="AE438" s="123">
        <f>iferror(IF(SUM($AI438:$AZ438)=0,"",SUM($AI438:$AZ438)),"")</f>
        <v/>
      </c>
      <c r="AF438" s="123">
        <f>iferror(IF(SUM($BA438:$BC438)=0,"",SUM($BA438:$BC438)),"")</f>
        <v/>
      </c>
      <c r="AG438" s="123">
        <f>iferror(IF(SUM($BD438:$BF438)=0,"",SUM($BD438:$BF438)),"")</f>
        <v/>
      </c>
      <c r="AH438" s="124">
        <f>iferror(IF(SUM($BG438:$BI438)=0,"",SUM($BG438:$BI438)),"")</f>
        <v/>
      </c>
      <c r="AI438" s="131" t="n"/>
      <c r="AJ438" s="132" t="n"/>
      <c r="AK438" s="132" t="n"/>
      <c r="AL438" s="132" t="n"/>
      <c r="AM438" s="132" t="n"/>
      <c r="AN438" s="132" t="n"/>
      <c r="AO438" s="132" t="n"/>
      <c r="AP438" s="132" t="n"/>
      <c r="AQ438" s="132" t="n"/>
      <c r="AR438" s="132" t="n"/>
      <c r="AS438" s="132" t="n"/>
      <c r="AT438" s="132" t="n"/>
      <c r="AU438" s="132" t="n"/>
      <c r="AV438" s="132" t="n"/>
      <c r="AW438" s="132" t="n"/>
      <c r="AX438" s="132" t="n"/>
      <c r="AY438" s="132" t="n"/>
      <c r="AZ438" s="133" t="n"/>
      <c r="BA438" s="131" t="n"/>
      <c r="BB438" s="132" t="n"/>
      <c r="BC438" s="133" t="n"/>
      <c r="BD438" s="131" t="n"/>
      <c r="BE438" s="132" t="n"/>
      <c r="BF438" s="133" t="n"/>
      <c r="BG438" s="131" t="n"/>
      <c r="BH438" s="132" t="n"/>
      <c r="BI438" s="132" t="n"/>
      <c r="BJ438" s="128">
        <f>iferror(SUM($BK438,($BL438*1.2),($BM438*1.35),($BN438*0.74)),)</f>
        <v/>
      </c>
      <c r="BK438" s="128">
        <f>IFERROR(SUM($BT438:$CK438),)</f>
        <v/>
      </c>
      <c r="BL438" s="129">
        <f>IFERROR(SUM($CL438:$CN438),)</f>
        <v/>
      </c>
      <c r="BM438" s="130">
        <f>IFERROR(SUM($CO438:$CQ438),)</f>
        <v/>
      </c>
      <c r="BN438" s="128">
        <f>IFERROR(SUM($CR438:$CT438),)</f>
        <v/>
      </c>
      <c r="BO438" s="128">
        <f>iferror(SUM($BP438,($BQ438*1.2),($BR438*1.35),($BS438*0.74)),)</f>
        <v/>
      </c>
      <c r="BP438" s="128">
        <f>IFERROR(SUM($CU438:$DL438),)</f>
        <v/>
      </c>
      <c r="BQ438" s="128">
        <f>IFERROR(SUM($DM438:$DO438),)</f>
        <v/>
      </c>
      <c r="BR438" s="128">
        <f>IFERROR(SUM($DP438:$DR438),)</f>
        <v/>
      </c>
      <c r="BS438" s="128">
        <f>IFERROR(SUM($DS438:$DU438),)</f>
        <v/>
      </c>
      <c r="BT438" s="128">
        <f>IFERROR(AI438*$W438,)</f>
        <v/>
      </c>
      <c r="BU438" s="128">
        <f>IFERROR(AJ438*$W438,)</f>
        <v/>
      </c>
      <c r="BV438" s="128">
        <f>IFERROR(AK438*$W438,)</f>
        <v/>
      </c>
      <c r="BW438" s="128">
        <f>IFERROR(AL438*$W438,)</f>
        <v/>
      </c>
      <c r="BX438" s="128">
        <f>IFERROR(AM438*$W438,)</f>
        <v/>
      </c>
      <c r="BY438" s="128">
        <f>IFERROR(AN438*$W438,)</f>
        <v/>
      </c>
      <c r="BZ438" s="128">
        <f>IFERROR(AO438*$W438,)</f>
        <v/>
      </c>
      <c r="CA438" s="128">
        <f>IFERROR(AP438*$W438,)</f>
        <v/>
      </c>
      <c r="CB438" s="128">
        <f>IFERROR(AQ438*$W438,)</f>
        <v/>
      </c>
      <c r="CC438" s="128">
        <f>IFERROR(AR438*$W438,)</f>
        <v/>
      </c>
      <c r="CD438" s="128">
        <f>IFERROR(AS438*$W438,)</f>
        <v/>
      </c>
      <c r="CE438" s="128">
        <f>IFERROR(AT438*$W438,)</f>
        <v/>
      </c>
      <c r="CF438" s="128">
        <f>IFERROR(AU438*$W438,)</f>
        <v/>
      </c>
      <c r="CG438" s="128">
        <f>IFERROR(AV438*$W438,)</f>
        <v/>
      </c>
      <c r="CH438" s="128">
        <f>IFERROR(AW438*$W438,)</f>
        <v/>
      </c>
      <c r="CI438" s="128">
        <f>IFERROR(AX438*$W438,)</f>
        <v/>
      </c>
      <c r="CJ438" s="128">
        <f>IFERROR(AY438*$W438,)</f>
        <v/>
      </c>
      <c r="CK438" s="128">
        <f>IFERROR(AZ438*$W438,)</f>
        <v/>
      </c>
      <c r="CL438" s="129">
        <f>IFERROR(if($Y438=0,BA438*($W438/1.2),BA438*$Y438),"")</f>
        <v/>
      </c>
      <c r="CM438" s="129">
        <f>IFERROR(if($Y438=0,BB438*($W438/1.2),BB438*$Y438),"")</f>
        <v/>
      </c>
      <c r="CN438" s="129">
        <f>IFERROR(if($Y438=0,BC438*($W438/1.2),BC438*$Y438),"")</f>
        <v/>
      </c>
      <c r="CO438" s="130">
        <f>IFERROR(if($AA438=0,($W438/1.35)*BD438,BD438*$AA438),)</f>
        <v/>
      </c>
      <c r="CP438" s="130">
        <f>IFERROR(if($AA438=0,($W438/1.35)*BE438,BE438*$AA438),)</f>
        <v/>
      </c>
      <c r="CQ438" s="130">
        <f>IFERROR(if($AA438=0,($W438/1.35)*BF438,BF438*$AA438),)</f>
        <v/>
      </c>
      <c r="CR438" s="128">
        <f>IFERROR(if($AC438=0,($W438/0.74)*BG438,
BG438*$AC438),)</f>
        <v/>
      </c>
      <c r="CS438" s="128">
        <f>IFERROR(if($AC438=0,($W438/0.74)*BH438,
BH438*$AC438),)</f>
        <v/>
      </c>
      <c r="CT438" s="128">
        <f>IFERROR(if($AC438=0,($W438/0.74)*BI438,
BI438*$AC438),)</f>
        <v/>
      </c>
      <c r="CU438" s="128">
        <f>IFERROR(AI438*$V438,)</f>
        <v/>
      </c>
      <c r="CV438" s="128">
        <f>IFERROR(AJ438*$V438,)</f>
        <v/>
      </c>
      <c r="CW438" s="128">
        <f>IFERROR(AK438*$V438,)</f>
        <v/>
      </c>
      <c r="CX438" s="128">
        <f>IFERROR(AL438*$V438,)</f>
        <v/>
      </c>
      <c r="CY438" s="128">
        <f>IFERROR(AM438*$V438,)</f>
        <v/>
      </c>
      <c r="CZ438" s="128">
        <f>IFERROR(AN438*$V438,)</f>
        <v/>
      </c>
      <c r="DA438" s="128">
        <f>IFERROR(AO438*$V438,)</f>
        <v/>
      </c>
      <c r="DB438" s="128">
        <f>IFERROR(AP438*$V438,)</f>
        <v/>
      </c>
      <c r="DC438" s="128">
        <f>IFERROR(AQ438*$V438,)</f>
        <v/>
      </c>
      <c r="DD438" s="128">
        <f>IFERROR(AR438*$V438,)</f>
        <v/>
      </c>
      <c r="DE438" s="128">
        <f>IFERROR(AS438*$V438,)</f>
        <v/>
      </c>
      <c r="DF438" s="128">
        <f>IFERROR(AT438*$V438,)</f>
        <v/>
      </c>
      <c r="DG438" s="128">
        <f>IFERROR(AU438*$V438,)</f>
        <v/>
      </c>
      <c r="DH438" s="128">
        <f>IFERROR(AV438*$V438,)</f>
        <v/>
      </c>
      <c r="DI438" s="128">
        <f>IFERROR(AW438*$V438,)</f>
        <v/>
      </c>
      <c r="DJ438" s="128">
        <f>IFERROR(AX438*$V438,)</f>
        <v/>
      </c>
      <c r="DK438" s="128">
        <f>IFERROR(AY438*$V438,)</f>
        <v/>
      </c>
      <c r="DL438" s="128">
        <f>IFERROR(AZ438*$V438,)</f>
        <v/>
      </c>
      <c r="DM438" s="129">
        <f>IFERROR(if($X438=0,($V438/1.2)*BA438,
BA438*$X438),)</f>
        <v/>
      </c>
      <c r="DN438" s="129">
        <f>IFERROR(if($X438=0,($V438/1.2)*BB438,
BB438*$X438),)</f>
        <v/>
      </c>
      <c r="DO438" s="129">
        <f>IFERROR(if($X438=0,($V438/1.2)*BC438,
BC438*$X438),)</f>
        <v/>
      </c>
      <c r="DP438" s="130">
        <f>IFERROR(if($Z438=0,($V438/1.35)*BD438,
BD438*$Z438),)</f>
        <v/>
      </c>
      <c r="DQ438" s="130">
        <f>IFERROR(if($Z438=0,($V438/1.35)*BE438,
BE438*$Z438),)</f>
        <v/>
      </c>
      <c r="DR438" s="130">
        <f>IFERROR(if($Z438=0,($V438/1.35)*BF438,
BF438*$Z438),)</f>
        <v/>
      </c>
      <c r="DS438" s="128">
        <f>IFERROR(IF($AB438=0,($V438/0.74)*BG438,
BG438*$AB438),)</f>
        <v/>
      </c>
      <c r="DT438" s="128">
        <f>IFERROR(IF($AB438=0,($V438/0.74)*BH438,
BH438*$AB438),)</f>
        <v/>
      </c>
      <c r="DU438" s="128">
        <f>IFERROR(IF($AB438=0,($V438/0.74)*BI438,
BI438*$AB438),)</f>
        <v/>
      </c>
    </row>
    <row r="439" ht="131.25" customHeight="1" s="162">
      <c r="A439" s="115" t="n"/>
      <c r="B439" s="115" t="n"/>
      <c r="C439" s="115" t="n"/>
      <c r="D439" s="115" t="n"/>
      <c r="E439" s="115" t="n"/>
      <c r="F439" s="115" t="n"/>
      <c r="G439" s="115" t="n"/>
      <c r="H439" s="115" t="n"/>
      <c r="I439" s="115" t="n"/>
      <c r="J439" s="115" t="n"/>
      <c r="K439" s="115" t="n"/>
      <c r="L439" s="115" t="n"/>
      <c r="M439" s="115" t="n"/>
      <c r="N439" s="115" t="n"/>
      <c r="O439" s="115" t="n"/>
      <c r="P439" s="115" t="n"/>
      <c r="Q439" s="115" t="n"/>
      <c r="R439" s="115" t="n"/>
      <c r="S439" s="115" t="n"/>
      <c r="T439" s="115" t="n"/>
      <c r="U439" s="116" t="n"/>
      <c r="V439" s="116" t="n"/>
      <c r="W439" s="117" t="n"/>
      <c r="X439" s="118" t="n"/>
      <c r="Y439" s="119" t="n"/>
      <c r="Z439" s="120" t="n"/>
      <c r="AA439" s="121" t="n"/>
      <c r="AB439" s="122" t="n"/>
      <c r="AC439" s="117" t="n"/>
      <c r="AD439" s="123">
        <f>IF(SUM($AE439:$AH439)=0,"",SUM($AE439:$AH439))</f>
        <v/>
      </c>
      <c r="AE439" s="123">
        <f>iferror(IF(SUM($AI439:$AZ439)=0,"",SUM($AI439:$AZ439)),"")</f>
        <v/>
      </c>
      <c r="AF439" s="123">
        <f>iferror(IF(SUM($BA439:$BC439)=0,"",SUM($BA439:$BC439)),"")</f>
        <v/>
      </c>
      <c r="AG439" s="123">
        <f>iferror(IF(SUM($BD439:$BF439)=0,"",SUM($BD439:$BF439)),"")</f>
        <v/>
      </c>
      <c r="AH439" s="124">
        <f>iferror(IF(SUM($BG439:$BI439)=0,"",SUM($BG439:$BI439)),"")</f>
        <v/>
      </c>
      <c r="AI439" s="131" t="n"/>
      <c r="AJ439" s="132" t="n"/>
      <c r="AK439" s="132" t="n"/>
      <c r="AL439" s="132" t="n"/>
      <c r="AM439" s="132" t="n"/>
      <c r="AN439" s="132" t="n"/>
      <c r="AO439" s="132" t="n"/>
      <c r="AP439" s="132" t="n"/>
      <c r="AQ439" s="132" t="n"/>
      <c r="AR439" s="132" t="n"/>
      <c r="AS439" s="132" t="n"/>
      <c r="AT439" s="132" t="n"/>
      <c r="AU439" s="132" t="n"/>
      <c r="AV439" s="132" t="n"/>
      <c r="AW439" s="132" t="n"/>
      <c r="AX439" s="132" t="n"/>
      <c r="AY439" s="132" t="n"/>
      <c r="AZ439" s="133" t="n"/>
      <c r="BA439" s="131" t="n"/>
      <c r="BB439" s="132" t="n"/>
      <c r="BC439" s="133" t="n"/>
      <c r="BD439" s="131" t="n"/>
      <c r="BE439" s="132" t="n"/>
      <c r="BF439" s="133" t="n"/>
      <c r="BG439" s="131" t="n"/>
      <c r="BH439" s="132" t="n"/>
      <c r="BI439" s="132" t="n"/>
      <c r="BJ439" s="128">
        <f>iferror(SUM($BK439,($BL439*1.2),($BM439*1.35),($BN439*0.74)),)</f>
        <v/>
      </c>
      <c r="BK439" s="128">
        <f>IFERROR(SUM($BT439:$CK439),)</f>
        <v/>
      </c>
      <c r="BL439" s="129">
        <f>IFERROR(SUM($CL439:$CN439),)</f>
        <v/>
      </c>
      <c r="BM439" s="130">
        <f>IFERROR(SUM($CO439:$CQ439),)</f>
        <v/>
      </c>
      <c r="BN439" s="128">
        <f>IFERROR(SUM($CR439:$CT439),)</f>
        <v/>
      </c>
      <c r="BO439" s="128">
        <f>iferror(SUM($BP439,($BQ439*1.2),($BR439*1.35),($BS439*0.74)),)</f>
        <v/>
      </c>
      <c r="BP439" s="128">
        <f>IFERROR(SUM($CU439:$DL439),)</f>
        <v/>
      </c>
      <c r="BQ439" s="128">
        <f>IFERROR(SUM($DM439:$DO439),)</f>
        <v/>
      </c>
      <c r="BR439" s="128">
        <f>IFERROR(SUM($DP439:$DR439),)</f>
        <v/>
      </c>
      <c r="BS439" s="128">
        <f>IFERROR(SUM($DS439:$DU439),)</f>
        <v/>
      </c>
      <c r="BT439" s="128">
        <f>IFERROR(AI439*$W439,)</f>
        <v/>
      </c>
      <c r="BU439" s="128">
        <f>IFERROR(AJ439*$W439,)</f>
        <v/>
      </c>
      <c r="BV439" s="128">
        <f>IFERROR(AK439*$W439,)</f>
        <v/>
      </c>
      <c r="BW439" s="128">
        <f>IFERROR(AL439*$W439,)</f>
        <v/>
      </c>
      <c r="BX439" s="128">
        <f>IFERROR(AM439*$W439,)</f>
        <v/>
      </c>
      <c r="BY439" s="128">
        <f>IFERROR(AN439*$W439,)</f>
        <v/>
      </c>
      <c r="BZ439" s="128">
        <f>IFERROR(AO439*$W439,)</f>
        <v/>
      </c>
      <c r="CA439" s="128">
        <f>IFERROR(AP439*$W439,)</f>
        <v/>
      </c>
      <c r="CB439" s="128">
        <f>IFERROR(AQ439*$W439,)</f>
        <v/>
      </c>
      <c r="CC439" s="128">
        <f>IFERROR(AR439*$W439,)</f>
        <v/>
      </c>
      <c r="CD439" s="128">
        <f>IFERROR(AS439*$W439,)</f>
        <v/>
      </c>
      <c r="CE439" s="128">
        <f>IFERROR(AT439*$W439,)</f>
        <v/>
      </c>
      <c r="CF439" s="128">
        <f>IFERROR(AU439*$W439,)</f>
        <v/>
      </c>
      <c r="CG439" s="128">
        <f>IFERROR(AV439*$W439,)</f>
        <v/>
      </c>
      <c r="CH439" s="128">
        <f>IFERROR(AW439*$W439,)</f>
        <v/>
      </c>
      <c r="CI439" s="128">
        <f>IFERROR(AX439*$W439,)</f>
        <v/>
      </c>
      <c r="CJ439" s="128">
        <f>IFERROR(AY439*$W439,)</f>
        <v/>
      </c>
      <c r="CK439" s="128">
        <f>IFERROR(AZ439*$W439,)</f>
        <v/>
      </c>
      <c r="CL439" s="129">
        <f>IFERROR(if($Y439=0,BA439*($W439/1.2),BA439*$Y439),"")</f>
        <v/>
      </c>
      <c r="CM439" s="129">
        <f>IFERROR(if($Y439=0,BB439*($W439/1.2),BB439*$Y439),"")</f>
        <v/>
      </c>
      <c r="CN439" s="129">
        <f>IFERROR(if($Y439=0,BC439*($W439/1.2),BC439*$Y439),"")</f>
        <v/>
      </c>
      <c r="CO439" s="130">
        <f>IFERROR(if($AA439=0,($W439/1.35)*BD439,BD439*$AA439),)</f>
        <v/>
      </c>
      <c r="CP439" s="130">
        <f>IFERROR(if($AA439=0,($W439/1.35)*BE439,BE439*$AA439),)</f>
        <v/>
      </c>
      <c r="CQ439" s="130">
        <f>IFERROR(if($AA439=0,($W439/1.35)*BF439,BF439*$AA439),)</f>
        <v/>
      </c>
      <c r="CR439" s="128">
        <f>IFERROR(if($AC439=0,($W439/0.74)*BG439,
BG439*$AC439),)</f>
        <v/>
      </c>
      <c r="CS439" s="128">
        <f>IFERROR(if($AC439=0,($W439/0.74)*BH439,
BH439*$AC439),)</f>
        <v/>
      </c>
      <c r="CT439" s="128">
        <f>IFERROR(if($AC439=0,($W439/0.74)*BI439,
BI439*$AC439),)</f>
        <v/>
      </c>
      <c r="CU439" s="128">
        <f>IFERROR(AI439*$V439,)</f>
        <v/>
      </c>
      <c r="CV439" s="128">
        <f>IFERROR(AJ439*$V439,)</f>
        <v/>
      </c>
      <c r="CW439" s="128">
        <f>IFERROR(AK439*$V439,)</f>
        <v/>
      </c>
      <c r="CX439" s="128">
        <f>IFERROR(AL439*$V439,)</f>
        <v/>
      </c>
      <c r="CY439" s="128">
        <f>IFERROR(AM439*$V439,)</f>
        <v/>
      </c>
      <c r="CZ439" s="128">
        <f>IFERROR(AN439*$V439,)</f>
        <v/>
      </c>
      <c r="DA439" s="128">
        <f>IFERROR(AO439*$V439,)</f>
        <v/>
      </c>
      <c r="DB439" s="128">
        <f>IFERROR(AP439*$V439,)</f>
        <v/>
      </c>
      <c r="DC439" s="128">
        <f>IFERROR(AQ439*$V439,)</f>
        <v/>
      </c>
      <c r="DD439" s="128">
        <f>IFERROR(AR439*$V439,)</f>
        <v/>
      </c>
      <c r="DE439" s="128">
        <f>IFERROR(AS439*$V439,)</f>
        <v/>
      </c>
      <c r="DF439" s="128">
        <f>IFERROR(AT439*$V439,)</f>
        <v/>
      </c>
      <c r="DG439" s="128">
        <f>IFERROR(AU439*$V439,)</f>
        <v/>
      </c>
      <c r="DH439" s="128">
        <f>IFERROR(AV439*$V439,)</f>
        <v/>
      </c>
      <c r="DI439" s="128">
        <f>IFERROR(AW439*$V439,)</f>
        <v/>
      </c>
      <c r="DJ439" s="128">
        <f>IFERROR(AX439*$V439,)</f>
        <v/>
      </c>
      <c r="DK439" s="128">
        <f>IFERROR(AY439*$V439,)</f>
        <v/>
      </c>
      <c r="DL439" s="128">
        <f>IFERROR(AZ439*$V439,)</f>
        <v/>
      </c>
      <c r="DM439" s="129">
        <f>IFERROR(if($X439=0,($V439/1.2)*BA439,
BA439*$X439),)</f>
        <v/>
      </c>
      <c r="DN439" s="129">
        <f>IFERROR(if($X439=0,($V439/1.2)*BB439,
BB439*$X439),)</f>
        <v/>
      </c>
      <c r="DO439" s="129">
        <f>IFERROR(if($X439=0,($V439/1.2)*BC439,
BC439*$X439),)</f>
        <v/>
      </c>
      <c r="DP439" s="130">
        <f>IFERROR(if($Z439=0,($V439/1.35)*BD439,
BD439*$Z439),)</f>
        <v/>
      </c>
      <c r="DQ439" s="130">
        <f>IFERROR(if($Z439=0,($V439/1.35)*BE439,
BE439*$Z439),)</f>
        <v/>
      </c>
      <c r="DR439" s="130">
        <f>IFERROR(if($Z439=0,($V439/1.35)*BF439,
BF439*$Z439),)</f>
        <v/>
      </c>
      <c r="DS439" s="128">
        <f>IFERROR(IF($AB439=0,($V439/0.74)*BG439,
BG439*$AB439),)</f>
        <v/>
      </c>
      <c r="DT439" s="128">
        <f>IFERROR(IF($AB439=0,($V439/0.74)*BH439,
BH439*$AB439),)</f>
        <v/>
      </c>
      <c r="DU439" s="128">
        <f>IFERROR(IF($AB439=0,($V439/0.74)*BI439,
BI439*$AB439),)</f>
        <v/>
      </c>
    </row>
    <row r="440" ht="131.25" customHeight="1" s="162">
      <c r="A440" s="115" t="n"/>
      <c r="B440" s="115" t="n"/>
      <c r="C440" s="115" t="n"/>
      <c r="D440" s="115" t="n"/>
      <c r="E440" s="115" t="n"/>
      <c r="F440" s="115" t="n"/>
      <c r="G440" s="115" t="n"/>
      <c r="H440" s="115" t="n"/>
      <c r="I440" s="115" t="n"/>
      <c r="J440" s="115" t="n"/>
      <c r="K440" s="115" t="n"/>
      <c r="L440" s="115" t="n"/>
      <c r="M440" s="115" t="n"/>
      <c r="N440" s="115" t="n"/>
      <c r="O440" s="115" t="n"/>
      <c r="P440" s="115" t="n"/>
      <c r="Q440" s="115" t="n"/>
      <c r="R440" s="115" t="n"/>
      <c r="S440" s="115" t="n"/>
      <c r="T440" s="115" t="n"/>
      <c r="U440" s="116" t="n"/>
      <c r="V440" s="116" t="n"/>
      <c r="W440" s="117" t="n"/>
      <c r="X440" s="118" t="n"/>
      <c r="Y440" s="119" t="n"/>
      <c r="Z440" s="120" t="n"/>
      <c r="AA440" s="121" t="n"/>
      <c r="AB440" s="122" t="n"/>
      <c r="AC440" s="117" t="n"/>
      <c r="AD440" s="123">
        <f>IF(SUM($AE440:$AH440)=0,"",SUM($AE440:$AH440))</f>
        <v/>
      </c>
      <c r="AE440" s="123">
        <f>iferror(IF(SUM($AI440:$AZ440)=0,"",SUM($AI440:$AZ440)),"")</f>
        <v/>
      </c>
      <c r="AF440" s="123">
        <f>iferror(IF(SUM($BA440:$BC440)=0,"",SUM($BA440:$BC440)),"")</f>
        <v/>
      </c>
      <c r="AG440" s="123">
        <f>iferror(IF(SUM($BD440:$BF440)=0,"",SUM($BD440:$BF440)),"")</f>
        <v/>
      </c>
      <c r="AH440" s="124">
        <f>iferror(IF(SUM($BG440:$BI440)=0,"",SUM($BG440:$BI440)),"")</f>
        <v/>
      </c>
      <c r="AI440" s="131" t="n"/>
      <c r="AJ440" s="132" t="n"/>
      <c r="AK440" s="132" t="n"/>
      <c r="AL440" s="132" t="n"/>
      <c r="AM440" s="132" t="n"/>
      <c r="AN440" s="132" t="n"/>
      <c r="AO440" s="132" t="n"/>
      <c r="AP440" s="132" t="n"/>
      <c r="AQ440" s="132" t="n"/>
      <c r="AR440" s="132" t="n"/>
      <c r="AS440" s="132" t="n"/>
      <c r="AT440" s="132" t="n"/>
      <c r="AU440" s="132" t="n"/>
      <c r="AV440" s="132" t="n"/>
      <c r="AW440" s="132" t="n"/>
      <c r="AX440" s="132" t="n"/>
      <c r="AY440" s="132" t="n"/>
      <c r="AZ440" s="133" t="n"/>
      <c r="BA440" s="131" t="n"/>
      <c r="BB440" s="132" t="n"/>
      <c r="BC440" s="133" t="n"/>
      <c r="BD440" s="131" t="n"/>
      <c r="BE440" s="132" t="n"/>
      <c r="BF440" s="133" t="n"/>
      <c r="BG440" s="131" t="n"/>
      <c r="BH440" s="132" t="n"/>
      <c r="BI440" s="132" t="n"/>
      <c r="BJ440" s="128">
        <f>iferror(SUM($BK440,($BL440*1.2),($BM440*1.35),($BN440*0.74)),)</f>
        <v/>
      </c>
      <c r="BK440" s="128">
        <f>IFERROR(SUM($BT440:$CK440),)</f>
        <v/>
      </c>
      <c r="BL440" s="129">
        <f>IFERROR(SUM($CL440:$CN440),)</f>
        <v/>
      </c>
      <c r="BM440" s="130">
        <f>IFERROR(SUM($CO440:$CQ440),)</f>
        <v/>
      </c>
      <c r="BN440" s="128">
        <f>IFERROR(SUM($CR440:$CT440),)</f>
        <v/>
      </c>
      <c r="BO440" s="128">
        <f>iferror(SUM($BP440,($BQ440*1.2),($BR440*1.35),($BS440*0.74)),)</f>
        <v/>
      </c>
      <c r="BP440" s="128">
        <f>IFERROR(SUM($CU440:$DL440),)</f>
        <v/>
      </c>
      <c r="BQ440" s="128">
        <f>IFERROR(SUM($DM440:$DO440),)</f>
        <v/>
      </c>
      <c r="BR440" s="128">
        <f>IFERROR(SUM($DP440:$DR440),)</f>
        <v/>
      </c>
      <c r="BS440" s="128">
        <f>IFERROR(SUM($DS440:$DU440),)</f>
        <v/>
      </c>
      <c r="BT440" s="128">
        <f>IFERROR(AI440*$W440,)</f>
        <v/>
      </c>
      <c r="BU440" s="128">
        <f>IFERROR(AJ440*$W440,)</f>
        <v/>
      </c>
      <c r="BV440" s="128">
        <f>IFERROR(AK440*$W440,)</f>
        <v/>
      </c>
      <c r="BW440" s="128">
        <f>IFERROR(AL440*$W440,)</f>
        <v/>
      </c>
      <c r="BX440" s="128">
        <f>IFERROR(AM440*$W440,)</f>
        <v/>
      </c>
      <c r="BY440" s="128">
        <f>IFERROR(AN440*$W440,)</f>
        <v/>
      </c>
      <c r="BZ440" s="128">
        <f>IFERROR(AO440*$W440,)</f>
        <v/>
      </c>
      <c r="CA440" s="128">
        <f>IFERROR(AP440*$W440,)</f>
        <v/>
      </c>
      <c r="CB440" s="128">
        <f>IFERROR(AQ440*$W440,)</f>
        <v/>
      </c>
      <c r="CC440" s="128">
        <f>IFERROR(AR440*$W440,)</f>
        <v/>
      </c>
      <c r="CD440" s="128">
        <f>IFERROR(AS440*$W440,)</f>
        <v/>
      </c>
      <c r="CE440" s="128">
        <f>IFERROR(AT440*$W440,)</f>
        <v/>
      </c>
      <c r="CF440" s="128">
        <f>IFERROR(AU440*$W440,)</f>
        <v/>
      </c>
      <c r="CG440" s="128">
        <f>IFERROR(AV440*$W440,)</f>
        <v/>
      </c>
      <c r="CH440" s="128">
        <f>IFERROR(AW440*$W440,)</f>
        <v/>
      </c>
      <c r="CI440" s="128">
        <f>IFERROR(AX440*$W440,)</f>
        <v/>
      </c>
      <c r="CJ440" s="128">
        <f>IFERROR(AY440*$W440,)</f>
        <v/>
      </c>
      <c r="CK440" s="128">
        <f>IFERROR(AZ440*$W440,)</f>
        <v/>
      </c>
      <c r="CL440" s="129">
        <f>IFERROR(if($Y440=0,BA440*($W440/1.2),BA440*$Y440),"")</f>
        <v/>
      </c>
      <c r="CM440" s="129">
        <f>IFERROR(if($Y440=0,BB440*($W440/1.2),BB440*$Y440),"")</f>
        <v/>
      </c>
      <c r="CN440" s="129">
        <f>IFERROR(if($Y440=0,BC440*($W440/1.2),BC440*$Y440),"")</f>
        <v/>
      </c>
      <c r="CO440" s="130">
        <f>IFERROR(if($AA440=0,($W440/1.35)*BD440,BD440*$AA440),)</f>
        <v/>
      </c>
      <c r="CP440" s="130">
        <f>IFERROR(if($AA440=0,($W440/1.35)*BE440,BE440*$AA440),)</f>
        <v/>
      </c>
      <c r="CQ440" s="130">
        <f>IFERROR(if($AA440=0,($W440/1.35)*BF440,BF440*$AA440),)</f>
        <v/>
      </c>
      <c r="CR440" s="128">
        <f>IFERROR(if($AC440=0,($W440/0.74)*BG440,
BG440*$AC440),)</f>
        <v/>
      </c>
      <c r="CS440" s="128">
        <f>IFERROR(if($AC440=0,($W440/0.74)*BH440,
BH440*$AC440),)</f>
        <v/>
      </c>
      <c r="CT440" s="128">
        <f>IFERROR(if($AC440=0,($W440/0.74)*BI440,
BI440*$AC440),)</f>
        <v/>
      </c>
      <c r="CU440" s="128">
        <f>IFERROR(AI440*$V440,)</f>
        <v/>
      </c>
      <c r="CV440" s="128">
        <f>IFERROR(AJ440*$V440,)</f>
        <v/>
      </c>
      <c r="CW440" s="128">
        <f>IFERROR(AK440*$V440,)</f>
        <v/>
      </c>
      <c r="CX440" s="128">
        <f>IFERROR(AL440*$V440,)</f>
        <v/>
      </c>
      <c r="CY440" s="128">
        <f>IFERROR(AM440*$V440,)</f>
        <v/>
      </c>
      <c r="CZ440" s="128">
        <f>IFERROR(AN440*$V440,)</f>
        <v/>
      </c>
      <c r="DA440" s="128">
        <f>IFERROR(AO440*$V440,)</f>
        <v/>
      </c>
      <c r="DB440" s="128">
        <f>IFERROR(AP440*$V440,)</f>
        <v/>
      </c>
      <c r="DC440" s="128">
        <f>IFERROR(AQ440*$V440,)</f>
        <v/>
      </c>
      <c r="DD440" s="128">
        <f>IFERROR(AR440*$V440,)</f>
        <v/>
      </c>
      <c r="DE440" s="128">
        <f>IFERROR(AS440*$V440,)</f>
        <v/>
      </c>
      <c r="DF440" s="128">
        <f>IFERROR(AT440*$V440,)</f>
        <v/>
      </c>
      <c r="DG440" s="128">
        <f>IFERROR(AU440*$V440,)</f>
        <v/>
      </c>
      <c r="DH440" s="128">
        <f>IFERROR(AV440*$V440,)</f>
        <v/>
      </c>
      <c r="DI440" s="128">
        <f>IFERROR(AW440*$V440,)</f>
        <v/>
      </c>
      <c r="DJ440" s="128">
        <f>IFERROR(AX440*$V440,)</f>
        <v/>
      </c>
      <c r="DK440" s="128">
        <f>IFERROR(AY440*$V440,)</f>
        <v/>
      </c>
      <c r="DL440" s="128">
        <f>IFERROR(AZ440*$V440,)</f>
        <v/>
      </c>
      <c r="DM440" s="129">
        <f>IFERROR(if($X440=0,($V440/1.2)*BA440,
BA440*$X440),)</f>
        <v/>
      </c>
      <c r="DN440" s="129">
        <f>IFERROR(if($X440=0,($V440/1.2)*BB440,
BB440*$X440),)</f>
        <v/>
      </c>
      <c r="DO440" s="129">
        <f>IFERROR(if($X440=0,($V440/1.2)*BC440,
BC440*$X440),)</f>
        <v/>
      </c>
      <c r="DP440" s="130">
        <f>IFERROR(if($Z440=0,($V440/1.35)*BD440,
BD440*$Z440),)</f>
        <v/>
      </c>
      <c r="DQ440" s="130">
        <f>IFERROR(if($Z440=0,($V440/1.35)*BE440,
BE440*$Z440),)</f>
        <v/>
      </c>
      <c r="DR440" s="130">
        <f>IFERROR(if($Z440=0,($V440/1.35)*BF440,
BF440*$Z440),)</f>
        <v/>
      </c>
      <c r="DS440" s="128">
        <f>IFERROR(IF($AB440=0,($V440/0.74)*BG440,
BG440*$AB440),)</f>
        <v/>
      </c>
      <c r="DT440" s="128">
        <f>IFERROR(IF($AB440=0,($V440/0.74)*BH440,
BH440*$AB440),)</f>
        <v/>
      </c>
      <c r="DU440" s="128">
        <f>IFERROR(IF($AB440=0,($V440/0.74)*BI440,
BI440*$AB440),)</f>
        <v/>
      </c>
    </row>
    <row r="441" ht="131.25" customHeight="1" s="162">
      <c r="A441" s="115" t="n"/>
      <c r="B441" s="115" t="n"/>
      <c r="C441" s="115" t="n"/>
      <c r="D441" s="115" t="n"/>
      <c r="E441" s="115" t="n"/>
      <c r="F441" s="115" t="n"/>
      <c r="G441" s="115" t="n"/>
      <c r="H441" s="115" t="n"/>
      <c r="I441" s="115" t="n"/>
      <c r="J441" s="115" t="n"/>
      <c r="K441" s="115" t="n"/>
      <c r="L441" s="115" t="n"/>
      <c r="M441" s="115" t="n"/>
      <c r="N441" s="115" t="n"/>
      <c r="O441" s="115" t="n"/>
      <c r="P441" s="115" t="n"/>
      <c r="Q441" s="115" t="n"/>
      <c r="R441" s="115" t="n"/>
      <c r="S441" s="115" t="n"/>
      <c r="T441" s="115" t="n"/>
      <c r="U441" s="116" t="n"/>
      <c r="V441" s="116" t="n"/>
      <c r="W441" s="117" t="n"/>
      <c r="X441" s="118" t="n"/>
      <c r="Y441" s="119" t="n"/>
      <c r="Z441" s="120" t="n"/>
      <c r="AA441" s="121" t="n"/>
      <c r="AB441" s="122" t="n"/>
      <c r="AC441" s="117" t="n"/>
      <c r="AD441" s="123">
        <f>IF(SUM($AE441:$AH441)=0,"",SUM($AE441:$AH441))</f>
        <v/>
      </c>
      <c r="AE441" s="123">
        <f>iferror(IF(SUM($AI441:$AZ441)=0,"",SUM($AI441:$AZ441)),"")</f>
        <v/>
      </c>
      <c r="AF441" s="123">
        <f>iferror(IF(SUM($BA441:$BC441)=0,"",SUM($BA441:$BC441)),"")</f>
        <v/>
      </c>
      <c r="AG441" s="123">
        <f>iferror(IF(SUM($BD441:$BF441)=0,"",SUM($BD441:$BF441)),"")</f>
        <v/>
      </c>
      <c r="AH441" s="124">
        <f>iferror(IF(SUM($BG441:$BI441)=0,"",SUM($BG441:$BI441)),"")</f>
        <v/>
      </c>
      <c r="AI441" s="131" t="n"/>
      <c r="AJ441" s="132" t="n"/>
      <c r="AK441" s="132" t="n"/>
      <c r="AL441" s="132" t="n"/>
      <c r="AM441" s="132" t="n"/>
      <c r="AN441" s="132" t="n"/>
      <c r="AO441" s="132" t="n"/>
      <c r="AP441" s="132" t="n"/>
      <c r="AQ441" s="132" t="n"/>
      <c r="AR441" s="132" t="n"/>
      <c r="AS441" s="132" t="n"/>
      <c r="AT441" s="132" t="n"/>
      <c r="AU441" s="132" t="n"/>
      <c r="AV441" s="132" t="n"/>
      <c r="AW441" s="132" t="n"/>
      <c r="AX441" s="132" t="n"/>
      <c r="AY441" s="132" t="n"/>
      <c r="AZ441" s="133" t="n"/>
      <c r="BA441" s="131" t="n"/>
      <c r="BB441" s="132" t="n"/>
      <c r="BC441" s="133" t="n"/>
      <c r="BD441" s="131" t="n"/>
      <c r="BE441" s="132" t="n"/>
      <c r="BF441" s="133" t="n"/>
      <c r="BG441" s="131" t="n"/>
      <c r="BH441" s="132" t="n"/>
      <c r="BI441" s="132" t="n"/>
      <c r="BJ441" s="128">
        <f>iferror(SUM($BK441,($BL441*1.2),($BM441*1.35),($BN441*0.74)),)</f>
        <v/>
      </c>
      <c r="BK441" s="128">
        <f>IFERROR(SUM($BT441:$CK441),)</f>
        <v/>
      </c>
      <c r="BL441" s="129">
        <f>IFERROR(SUM($CL441:$CN441),)</f>
        <v/>
      </c>
      <c r="BM441" s="130">
        <f>IFERROR(SUM($CO441:$CQ441),)</f>
        <v/>
      </c>
      <c r="BN441" s="128">
        <f>IFERROR(SUM($CR441:$CT441),)</f>
        <v/>
      </c>
      <c r="BO441" s="128">
        <f>iferror(SUM($BP441,($BQ441*1.2),($BR441*1.35),($BS441*0.74)),)</f>
        <v/>
      </c>
      <c r="BP441" s="128">
        <f>IFERROR(SUM($CU441:$DL441),)</f>
        <v/>
      </c>
      <c r="BQ441" s="128">
        <f>IFERROR(SUM($DM441:$DO441),)</f>
        <v/>
      </c>
      <c r="BR441" s="128">
        <f>IFERROR(SUM($DP441:$DR441),)</f>
        <v/>
      </c>
      <c r="BS441" s="128">
        <f>IFERROR(SUM($DS441:$DU441),)</f>
        <v/>
      </c>
      <c r="BT441" s="128">
        <f>IFERROR(AI441*$W441,)</f>
        <v/>
      </c>
      <c r="BU441" s="128">
        <f>IFERROR(AJ441*$W441,)</f>
        <v/>
      </c>
      <c r="BV441" s="128">
        <f>IFERROR(AK441*$W441,)</f>
        <v/>
      </c>
      <c r="BW441" s="128">
        <f>IFERROR(AL441*$W441,)</f>
        <v/>
      </c>
      <c r="BX441" s="128">
        <f>IFERROR(AM441*$W441,)</f>
        <v/>
      </c>
      <c r="BY441" s="128">
        <f>IFERROR(AN441*$W441,)</f>
        <v/>
      </c>
      <c r="BZ441" s="128">
        <f>IFERROR(AO441*$W441,)</f>
        <v/>
      </c>
      <c r="CA441" s="128">
        <f>IFERROR(AP441*$W441,)</f>
        <v/>
      </c>
      <c r="CB441" s="128">
        <f>IFERROR(AQ441*$W441,)</f>
        <v/>
      </c>
      <c r="CC441" s="128">
        <f>IFERROR(AR441*$W441,)</f>
        <v/>
      </c>
      <c r="CD441" s="128">
        <f>IFERROR(AS441*$W441,)</f>
        <v/>
      </c>
      <c r="CE441" s="128">
        <f>IFERROR(AT441*$W441,)</f>
        <v/>
      </c>
      <c r="CF441" s="128">
        <f>IFERROR(AU441*$W441,)</f>
        <v/>
      </c>
      <c r="CG441" s="128">
        <f>IFERROR(AV441*$W441,)</f>
        <v/>
      </c>
      <c r="CH441" s="128">
        <f>IFERROR(AW441*$W441,)</f>
        <v/>
      </c>
      <c r="CI441" s="128">
        <f>IFERROR(AX441*$W441,)</f>
        <v/>
      </c>
      <c r="CJ441" s="128">
        <f>IFERROR(AY441*$W441,)</f>
        <v/>
      </c>
      <c r="CK441" s="128">
        <f>IFERROR(AZ441*$W441,)</f>
        <v/>
      </c>
      <c r="CL441" s="129">
        <f>IFERROR(if($Y441=0,BA441*($W441/1.2),BA441*$Y441),"")</f>
        <v/>
      </c>
      <c r="CM441" s="129">
        <f>IFERROR(if($Y441=0,BB441*($W441/1.2),BB441*$Y441),"")</f>
        <v/>
      </c>
      <c r="CN441" s="129">
        <f>IFERROR(if($Y441=0,BC441*($W441/1.2),BC441*$Y441),"")</f>
        <v/>
      </c>
      <c r="CO441" s="130">
        <f>IFERROR(if($AA441=0,($W441/1.35)*BD441,BD441*$AA441),)</f>
        <v/>
      </c>
      <c r="CP441" s="130">
        <f>IFERROR(if($AA441=0,($W441/1.35)*BE441,BE441*$AA441),)</f>
        <v/>
      </c>
      <c r="CQ441" s="130">
        <f>IFERROR(if($AA441=0,($W441/1.35)*BF441,BF441*$AA441),)</f>
        <v/>
      </c>
      <c r="CR441" s="128">
        <f>IFERROR(if($AC441=0,($W441/0.74)*BG441,
BG441*$AC441),)</f>
        <v/>
      </c>
      <c r="CS441" s="128">
        <f>IFERROR(if($AC441=0,($W441/0.74)*BH441,
BH441*$AC441),)</f>
        <v/>
      </c>
      <c r="CT441" s="128">
        <f>IFERROR(if($AC441=0,($W441/0.74)*BI441,
BI441*$AC441),)</f>
        <v/>
      </c>
      <c r="CU441" s="128">
        <f>IFERROR(AI441*$V441,)</f>
        <v/>
      </c>
      <c r="CV441" s="128">
        <f>IFERROR(AJ441*$V441,)</f>
        <v/>
      </c>
      <c r="CW441" s="128">
        <f>IFERROR(AK441*$V441,)</f>
        <v/>
      </c>
      <c r="CX441" s="128">
        <f>IFERROR(AL441*$V441,)</f>
        <v/>
      </c>
      <c r="CY441" s="128">
        <f>IFERROR(AM441*$V441,)</f>
        <v/>
      </c>
      <c r="CZ441" s="128">
        <f>IFERROR(AN441*$V441,)</f>
        <v/>
      </c>
      <c r="DA441" s="128">
        <f>IFERROR(AO441*$V441,)</f>
        <v/>
      </c>
      <c r="DB441" s="128">
        <f>IFERROR(AP441*$V441,)</f>
        <v/>
      </c>
      <c r="DC441" s="128">
        <f>IFERROR(AQ441*$V441,)</f>
        <v/>
      </c>
      <c r="DD441" s="128">
        <f>IFERROR(AR441*$V441,)</f>
        <v/>
      </c>
      <c r="DE441" s="128">
        <f>IFERROR(AS441*$V441,)</f>
        <v/>
      </c>
      <c r="DF441" s="128">
        <f>IFERROR(AT441*$V441,)</f>
        <v/>
      </c>
      <c r="DG441" s="128">
        <f>IFERROR(AU441*$V441,)</f>
        <v/>
      </c>
      <c r="DH441" s="128">
        <f>IFERROR(AV441*$V441,)</f>
        <v/>
      </c>
      <c r="DI441" s="128">
        <f>IFERROR(AW441*$V441,)</f>
        <v/>
      </c>
      <c r="DJ441" s="128">
        <f>IFERROR(AX441*$V441,)</f>
        <v/>
      </c>
      <c r="DK441" s="128">
        <f>IFERROR(AY441*$V441,)</f>
        <v/>
      </c>
      <c r="DL441" s="128">
        <f>IFERROR(AZ441*$V441,)</f>
        <v/>
      </c>
      <c r="DM441" s="129">
        <f>IFERROR(if($X441=0,($V441/1.2)*BA441,
BA441*$X441),)</f>
        <v/>
      </c>
      <c r="DN441" s="129">
        <f>IFERROR(if($X441=0,($V441/1.2)*BB441,
BB441*$X441),)</f>
        <v/>
      </c>
      <c r="DO441" s="129">
        <f>IFERROR(if($X441=0,($V441/1.2)*BC441,
BC441*$X441),)</f>
        <v/>
      </c>
      <c r="DP441" s="130">
        <f>IFERROR(if($Z441=0,($V441/1.35)*BD441,
BD441*$Z441),)</f>
        <v/>
      </c>
      <c r="DQ441" s="130">
        <f>IFERROR(if($Z441=0,($V441/1.35)*BE441,
BE441*$Z441),)</f>
        <v/>
      </c>
      <c r="DR441" s="130">
        <f>IFERROR(if($Z441=0,($V441/1.35)*BF441,
BF441*$Z441),)</f>
        <v/>
      </c>
      <c r="DS441" s="128">
        <f>IFERROR(IF($AB441=0,($V441/0.74)*BG441,
BG441*$AB441),)</f>
        <v/>
      </c>
      <c r="DT441" s="128">
        <f>IFERROR(IF($AB441=0,($V441/0.74)*BH441,
BH441*$AB441),)</f>
        <v/>
      </c>
      <c r="DU441" s="128">
        <f>IFERROR(IF($AB441=0,($V441/0.74)*BI441,
BI441*$AB441),)</f>
        <v/>
      </c>
    </row>
    <row r="442" ht="131.25" customHeight="1" s="162">
      <c r="A442" s="115" t="n"/>
      <c r="B442" s="115" t="n"/>
      <c r="C442" s="115" t="n"/>
      <c r="D442" s="115" t="n"/>
      <c r="E442" s="115" t="n"/>
      <c r="F442" s="115" t="n"/>
      <c r="G442" s="115" t="n"/>
      <c r="H442" s="115" t="n"/>
      <c r="I442" s="115" t="n"/>
      <c r="J442" s="115" t="n"/>
      <c r="K442" s="115" t="n"/>
      <c r="L442" s="115" t="n"/>
      <c r="M442" s="115" t="n"/>
      <c r="N442" s="115" t="n"/>
      <c r="O442" s="115" t="n"/>
      <c r="P442" s="115" t="n"/>
      <c r="Q442" s="115" t="n"/>
      <c r="R442" s="115" t="n"/>
      <c r="S442" s="115" t="n"/>
      <c r="T442" s="115" t="n"/>
      <c r="U442" s="116" t="n"/>
      <c r="V442" s="116" t="n"/>
      <c r="W442" s="117" t="n"/>
      <c r="X442" s="118" t="n"/>
      <c r="Y442" s="119" t="n"/>
      <c r="Z442" s="120" t="n"/>
      <c r="AA442" s="121" t="n"/>
      <c r="AB442" s="122" t="n"/>
      <c r="AC442" s="117" t="n"/>
      <c r="AD442" s="123">
        <f>IF(SUM($AE442:$AH442)=0,"",SUM($AE442:$AH442))</f>
        <v/>
      </c>
      <c r="AE442" s="123">
        <f>iferror(IF(SUM($AI442:$AZ442)=0,"",SUM($AI442:$AZ442)),"")</f>
        <v/>
      </c>
      <c r="AF442" s="123">
        <f>iferror(IF(SUM($BA442:$BC442)=0,"",SUM($BA442:$BC442)),"")</f>
        <v/>
      </c>
      <c r="AG442" s="123">
        <f>iferror(IF(SUM($BD442:$BF442)=0,"",SUM($BD442:$BF442)),"")</f>
        <v/>
      </c>
      <c r="AH442" s="124">
        <f>iferror(IF(SUM($BG442:$BI442)=0,"",SUM($BG442:$BI442)),"")</f>
        <v/>
      </c>
      <c r="AI442" s="131" t="n"/>
      <c r="AJ442" s="132" t="n"/>
      <c r="AK442" s="132" t="n"/>
      <c r="AL442" s="132" t="n"/>
      <c r="AM442" s="132" t="n"/>
      <c r="AN442" s="132" t="n"/>
      <c r="AO442" s="132" t="n"/>
      <c r="AP442" s="132" t="n"/>
      <c r="AQ442" s="132" t="n"/>
      <c r="AR442" s="132" t="n"/>
      <c r="AS442" s="132" t="n"/>
      <c r="AT442" s="132" t="n"/>
      <c r="AU442" s="132" t="n"/>
      <c r="AV442" s="132" t="n"/>
      <c r="AW442" s="132" t="n"/>
      <c r="AX442" s="132" t="n"/>
      <c r="AY442" s="132" t="n"/>
      <c r="AZ442" s="133" t="n"/>
      <c r="BA442" s="131" t="n"/>
      <c r="BB442" s="132" t="n"/>
      <c r="BC442" s="133" t="n"/>
      <c r="BD442" s="131" t="n"/>
      <c r="BE442" s="132" t="n"/>
      <c r="BF442" s="133" t="n"/>
      <c r="BG442" s="131" t="n"/>
      <c r="BH442" s="132" t="n"/>
      <c r="BI442" s="132" t="n"/>
      <c r="BJ442" s="128">
        <f>iferror(SUM($BK442,($BL442*1.2),($BM442*1.35),($BN442*0.74)),)</f>
        <v/>
      </c>
      <c r="BK442" s="128">
        <f>IFERROR(SUM($BT442:$CK442),)</f>
        <v/>
      </c>
      <c r="BL442" s="129">
        <f>IFERROR(SUM($CL442:$CN442),)</f>
        <v/>
      </c>
      <c r="BM442" s="130">
        <f>IFERROR(SUM($CO442:$CQ442),)</f>
        <v/>
      </c>
      <c r="BN442" s="128">
        <f>IFERROR(SUM($CR442:$CT442),)</f>
        <v/>
      </c>
      <c r="BO442" s="128">
        <f>iferror(SUM($BP442,($BQ442*1.2),($BR442*1.35),($BS442*0.74)),)</f>
        <v/>
      </c>
      <c r="BP442" s="128">
        <f>IFERROR(SUM($CU442:$DL442),)</f>
        <v/>
      </c>
      <c r="BQ442" s="128">
        <f>IFERROR(SUM($DM442:$DO442),)</f>
        <v/>
      </c>
      <c r="BR442" s="128">
        <f>IFERROR(SUM($DP442:$DR442),)</f>
        <v/>
      </c>
      <c r="BS442" s="128">
        <f>IFERROR(SUM($DS442:$DU442),)</f>
        <v/>
      </c>
      <c r="BT442" s="128">
        <f>IFERROR(AI442*$W442,)</f>
        <v/>
      </c>
      <c r="BU442" s="128">
        <f>IFERROR(AJ442*$W442,)</f>
        <v/>
      </c>
      <c r="BV442" s="128">
        <f>IFERROR(AK442*$W442,)</f>
        <v/>
      </c>
      <c r="BW442" s="128">
        <f>IFERROR(AL442*$W442,)</f>
        <v/>
      </c>
      <c r="BX442" s="128">
        <f>IFERROR(AM442*$W442,)</f>
        <v/>
      </c>
      <c r="BY442" s="128">
        <f>IFERROR(AN442*$W442,)</f>
        <v/>
      </c>
      <c r="BZ442" s="128">
        <f>IFERROR(AO442*$W442,)</f>
        <v/>
      </c>
      <c r="CA442" s="128">
        <f>IFERROR(AP442*$W442,)</f>
        <v/>
      </c>
      <c r="CB442" s="128">
        <f>IFERROR(AQ442*$W442,)</f>
        <v/>
      </c>
      <c r="CC442" s="128">
        <f>IFERROR(AR442*$W442,)</f>
        <v/>
      </c>
      <c r="CD442" s="128">
        <f>IFERROR(AS442*$W442,)</f>
        <v/>
      </c>
      <c r="CE442" s="128">
        <f>IFERROR(AT442*$W442,)</f>
        <v/>
      </c>
      <c r="CF442" s="128">
        <f>IFERROR(AU442*$W442,)</f>
        <v/>
      </c>
      <c r="CG442" s="128">
        <f>IFERROR(AV442*$W442,)</f>
        <v/>
      </c>
      <c r="CH442" s="128">
        <f>IFERROR(AW442*$W442,)</f>
        <v/>
      </c>
      <c r="CI442" s="128">
        <f>IFERROR(AX442*$W442,)</f>
        <v/>
      </c>
      <c r="CJ442" s="128">
        <f>IFERROR(AY442*$W442,)</f>
        <v/>
      </c>
      <c r="CK442" s="128">
        <f>IFERROR(AZ442*$W442,)</f>
        <v/>
      </c>
      <c r="CL442" s="129">
        <f>IFERROR(if($Y442=0,BA442*($W442/1.2),BA442*$Y442),"")</f>
        <v/>
      </c>
      <c r="CM442" s="129">
        <f>IFERROR(if($Y442=0,BB442*($W442/1.2),BB442*$Y442),"")</f>
        <v/>
      </c>
      <c r="CN442" s="129">
        <f>IFERROR(if($Y442=0,BC442*($W442/1.2),BC442*$Y442),"")</f>
        <v/>
      </c>
      <c r="CO442" s="130">
        <f>IFERROR(if($AA442=0,($W442/1.35)*BD442,BD442*$AA442),)</f>
        <v/>
      </c>
      <c r="CP442" s="130">
        <f>IFERROR(if($AA442=0,($W442/1.35)*BE442,BE442*$AA442),)</f>
        <v/>
      </c>
      <c r="CQ442" s="130">
        <f>IFERROR(if($AA442=0,($W442/1.35)*BF442,BF442*$AA442),)</f>
        <v/>
      </c>
      <c r="CR442" s="128">
        <f>IFERROR(if($AC442=0,($W442/0.74)*BG442,
BG442*$AC442),)</f>
        <v/>
      </c>
      <c r="CS442" s="128">
        <f>IFERROR(if($AC442=0,($W442/0.74)*BH442,
BH442*$AC442),)</f>
        <v/>
      </c>
      <c r="CT442" s="128">
        <f>IFERROR(if($AC442=0,($W442/0.74)*BI442,
BI442*$AC442),)</f>
        <v/>
      </c>
      <c r="CU442" s="128">
        <f>IFERROR(AI442*$V442,)</f>
        <v/>
      </c>
      <c r="CV442" s="128">
        <f>IFERROR(AJ442*$V442,)</f>
        <v/>
      </c>
      <c r="CW442" s="128">
        <f>IFERROR(AK442*$V442,)</f>
        <v/>
      </c>
      <c r="CX442" s="128">
        <f>IFERROR(AL442*$V442,)</f>
        <v/>
      </c>
      <c r="CY442" s="128">
        <f>IFERROR(AM442*$V442,)</f>
        <v/>
      </c>
      <c r="CZ442" s="128">
        <f>IFERROR(AN442*$V442,)</f>
        <v/>
      </c>
      <c r="DA442" s="128">
        <f>IFERROR(AO442*$V442,)</f>
        <v/>
      </c>
      <c r="DB442" s="128">
        <f>IFERROR(AP442*$V442,)</f>
        <v/>
      </c>
      <c r="DC442" s="128">
        <f>IFERROR(AQ442*$V442,)</f>
        <v/>
      </c>
      <c r="DD442" s="128">
        <f>IFERROR(AR442*$V442,)</f>
        <v/>
      </c>
      <c r="DE442" s="128">
        <f>IFERROR(AS442*$V442,)</f>
        <v/>
      </c>
      <c r="DF442" s="128">
        <f>IFERROR(AT442*$V442,)</f>
        <v/>
      </c>
      <c r="DG442" s="128">
        <f>IFERROR(AU442*$V442,)</f>
        <v/>
      </c>
      <c r="DH442" s="128">
        <f>IFERROR(AV442*$V442,)</f>
        <v/>
      </c>
      <c r="DI442" s="128">
        <f>IFERROR(AW442*$V442,)</f>
        <v/>
      </c>
      <c r="DJ442" s="128">
        <f>IFERROR(AX442*$V442,)</f>
        <v/>
      </c>
      <c r="DK442" s="128">
        <f>IFERROR(AY442*$V442,)</f>
        <v/>
      </c>
      <c r="DL442" s="128">
        <f>IFERROR(AZ442*$V442,)</f>
        <v/>
      </c>
      <c r="DM442" s="129">
        <f>IFERROR(if($X442=0,($V442/1.2)*BA442,
BA442*$X442),)</f>
        <v/>
      </c>
      <c r="DN442" s="129">
        <f>IFERROR(if($X442=0,($V442/1.2)*BB442,
BB442*$X442),)</f>
        <v/>
      </c>
      <c r="DO442" s="129">
        <f>IFERROR(if($X442=0,($V442/1.2)*BC442,
BC442*$X442),)</f>
        <v/>
      </c>
      <c r="DP442" s="130">
        <f>IFERROR(if($Z442=0,($V442/1.35)*BD442,
BD442*$Z442),)</f>
        <v/>
      </c>
      <c r="DQ442" s="130">
        <f>IFERROR(if($Z442=0,($V442/1.35)*BE442,
BE442*$Z442),)</f>
        <v/>
      </c>
      <c r="DR442" s="130">
        <f>IFERROR(if($Z442=0,($V442/1.35)*BF442,
BF442*$Z442),)</f>
        <v/>
      </c>
      <c r="DS442" s="128">
        <f>IFERROR(IF($AB442=0,($V442/0.74)*BG442,
BG442*$AB442),)</f>
        <v/>
      </c>
      <c r="DT442" s="128">
        <f>IFERROR(IF($AB442=0,($V442/0.74)*BH442,
BH442*$AB442),)</f>
        <v/>
      </c>
      <c r="DU442" s="128">
        <f>IFERROR(IF($AB442=0,($V442/0.74)*BI442,
BI442*$AB442),)</f>
        <v/>
      </c>
    </row>
    <row r="443" ht="131.25" customHeight="1" s="162">
      <c r="A443" s="115" t="n"/>
      <c r="B443" s="115" t="n"/>
      <c r="C443" s="115" t="n"/>
      <c r="D443" s="115" t="n"/>
      <c r="E443" s="115" t="n"/>
      <c r="F443" s="115" t="n"/>
      <c r="G443" s="115" t="n"/>
      <c r="H443" s="115" t="n"/>
      <c r="I443" s="115" t="n"/>
      <c r="J443" s="115" t="n"/>
      <c r="K443" s="115" t="n"/>
      <c r="L443" s="115" t="n"/>
      <c r="M443" s="115" t="n"/>
      <c r="N443" s="115" t="n"/>
      <c r="O443" s="115" t="n"/>
      <c r="P443" s="115" t="n"/>
      <c r="Q443" s="115" t="n"/>
      <c r="R443" s="115" t="n"/>
      <c r="S443" s="115" t="n"/>
      <c r="T443" s="115" t="n"/>
      <c r="U443" s="116" t="n"/>
      <c r="V443" s="116" t="n"/>
      <c r="W443" s="117" t="n"/>
      <c r="X443" s="118" t="n"/>
      <c r="Y443" s="119" t="n"/>
      <c r="Z443" s="120" t="n"/>
      <c r="AA443" s="121" t="n"/>
      <c r="AB443" s="122" t="n"/>
      <c r="AC443" s="117" t="n"/>
      <c r="AD443" s="123">
        <f>IF(SUM($AE443:$AH443)=0,"",SUM($AE443:$AH443))</f>
        <v/>
      </c>
      <c r="AE443" s="123">
        <f>iferror(IF(SUM($AI443:$AZ443)=0,"",SUM($AI443:$AZ443)),"")</f>
        <v/>
      </c>
      <c r="AF443" s="123">
        <f>iferror(IF(SUM($BA443:$BC443)=0,"",SUM($BA443:$BC443)),"")</f>
        <v/>
      </c>
      <c r="AG443" s="123">
        <f>iferror(IF(SUM($BD443:$BF443)=0,"",SUM($BD443:$BF443)),"")</f>
        <v/>
      </c>
      <c r="AH443" s="124">
        <f>iferror(IF(SUM($BG443:$BI443)=0,"",SUM($BG443:$BI443)),"")</f>
        <v/>
      </c>
      <c r="AI443" s="131" t="n"/>
      <c r="AJ443" s="132" t="n"/>
      <c r="AK443" s="132" t="n"/>
      <c r="AL443" s="132" t="n"/>
      <c r="AM443" s="132" t="n"/>
      <c r="AN443" s="132" t="n"/>
      <c r="AO443" s="132" t="n"/>
      <c r="AP443" s="132" t="n"/>
      <c r="AQ443" s="132" t="n"/>
      <c r="AR443" s="132" t="n"/>
      <c r="AS443" s="132" t="n"/>
      <c r="AT443" s="132" t="n"/>
      <c r="AU443" s="132" t="n"/>
      <c r="AV443" s="132" t="n"/>
      <c r="AW443" s="132" t="n"/>
      <c r="AX443" s="132" t="n"/>
      <c r="AY443" s="132" t="n"/>
      <c r="AZ443" s="133" t="n"/>
      <c r="BA443" s="131" t="n"/>
      <c r="BB443" s="132" t="n"/>
      <c r="BC443" s="133" t="n"/>
      <c r="BD443" s="131" t="n"/>
      <c r="BE443" s="132" t="n"/>
      <c r="BF443" s="133" t="n"/>
      <c r="BG443" s="131" t="n"/>
      <c r="BH443" s="132" t="n"/>
      <c r="BI443" s="132" t="n"/>
      <c r="BJ443" s="128">
        <f>iferror(SUM($BK443,($BL443*1.2),($BM443*1.35),($BN443*0.74)),)</f>
        <v/>
      </c>
      <c r="BK443" s="128">
        <f>IFERROR(SUM($BT443:$CK443),)</f>
        <v/>
      </c>
      <c r="BL443" s="129">
        <f>IFERROR(SUM($CL443:$CN443),)</f>
        <v/>
      </c>
      <c r="BM443" s="130">
        <f>IFERROR(SUM($CO443:$CQ443),)</f>
        <v/>
      </c>
      <c r="BN443" s="128">
        <f>IFERROR(SUM($CR443:$CT443),)</f>
        <v/>
      </c>
      <c r="BO443" s="128">
        <f>iferror(SUM($BP443,($BQ443*1.2),($BR443*1.35),($BS443*0.74)),)</f>
        <v/>
      </c>
      <c r="BP443" s="128">
        <f>IFERROR(SUM($CU443:$DL443),)</f>
        <v/>
      </c>
      <c r="BQ443" s="128">
        <f>IFERROR(SUM($DM443:$DO443),)</f>
        <v/>
      </c>
      <c r="BR443" s="128">
        <f>IFERROR(SUM($DP443:$DR443),)</f>
        <v/>
      </c>
      <c r="BS443" s="128">
        <f>IFERROR(SUM($DS443:$DU443),)</f>
        <v/>
      </c>
      <c r="BT443" s="128">
        <f>IFERROR(AI443*$W443,)</f>
        <v/>
      </c>
      <c r="BU443" s="128">
        <f>IFERROR(AJ443*$W443,)</f>
        <v/>
      </c>
      <c r="BV443" s="128">
        <f>IFERROR(AK443*$W443,)</f>
        <v/>
      </c>
      <c r="BW443" s="128">
        <f>IFERROR(AL443*$W443,)</f>
        <v/>
      </c>
      <c r="BX443" s="128">
        <f>IFERROR(AM443*$W443,)</f>
        <v/>
      </c>
      <c r="BY443" s="128">
        <f>IFERROR(AN443*$W443,)</f>
        <v/>
      </c>
      <c r="BZ443" s="128">
        <f>IFERROR(AO443*$W443,)</f>
        <v/>
      </c>
      <c r="CA443" s="128">
        <f>IFERROR(AP443*$W443,)</f>
        <v/>
      </c>
      <c r="CB443" s="128">
        <f>IFERROR(AQ443*$W443,)</f>
        <v/>
      </c>
      <c r="CC443" s="128">
        <f>IFERROR(AR443*$W443,)</f>
        <v/>
      </c>
      <c r="CD443" s="128">
        <f>IFERROR(AS443*$W443,)</f>
        <v/>
      </c>
      <c r="CE443" s="128">
        <f>IFERROR(AT443*$W443,)</f>
        <v/>
      </c>
      <c r="CF443" s="128">
        <f>IFERROR(AU443*$W443,)</f>
        <v/>
      </c>
      <c r="CG443" s="128">
        <f>IFERROR(AV443*$W443,)</f>
        <v/>
      </c>
      <c r="CH443" s="128">
        <f>IFERROR(AW443*$W443,)</f>
        <v/>
      </c>
      <c r="CI443" s="128">
        <f>IFERROR(AX443*$W443,)</f>
        <v/>
      </c>
      <c r="CJ443" s="128">
        <f>IFERROR(AY443*$W443,)</f>
        <v/>
      </c>
      <c r="CK443" s="128">
        <f>IFERROR(AZ443*$W443,)</f>
        <v/>
      </c>
      <c r="CL443" s="129">
        <f>IFERROR(if($Y443=0,BA443*($W443/1.2),BA443*$Y443),"")</f>
        <v/>
      </c>
      <c r="CM443" s="129">
        <f>IFERROR(if($Y443=0,BB443*($W443/1.2),BB443*$Y443),"")</f>
        <v/>
      </c>
      <c r="CN443" s="129">
        <f>IFERROR(if($Y443=0,BC443*($W443/1.2),BC443*$Y443),"")</f>
        <v/>
      </c>
      <c r="CO443" s="130">
        <f>IFERROR(if($AA443=0,($W443/1.35)*BD443,BD443*$AA443),)</f>
        <v/>
      </c>
      <c r="CP443" s="130">
        <f>IFERROR(if($AA443=0,($W443/1.35)*BE443,BE443*$AA443),)</f>
        <v/>
      </c>
      <c r="CQ443" s="130">
        <f>IFERROR(if($AA443=0,($W443/1.35)*BF443,BF443*$AA443),)</f>
        <v/>
      </c>
      <c r="CR443" s="128">
        <f>IFERROR(if($AC443=0,($W443/0.74)*BG443,
BG443*$AC443),)</f>
        <v/>
      </c>
      <c r="CS443" s="128">
        <f>IFERROR(if($AC443=0,($W443/0.74)*BH443,
BH443*$AC443),)</f>
        <v/>
      </c>
      <c r="CT443" s="128">
        <f>IFERROR(if($AC443=0,($W443/0.74)*BI443,
BI443*$AC443),)</f>
        <v/>
      </c>
      <c r="CU443" s="128">
        <f>IFERROR(AI443*$V443,)</f>
        <v/>
      </c>
      <c r="CV443" s="128">
        <f>IFERROR(AJ443*$V443,)</f>
        <v/>
      </c>
      <c r="CW443" s="128">
        <f>IFERROR(AK443*$V443,)</f>
        <v/>
      </c>
      <c r="CX443" s="128">
        <f>IFERROR(AL443*$V443,)</f>
        <v/>
      </c>
      <c r="CY443" s="128">
        <f>IFERROR(AM443*$V443,)</f>
        <v/>
      </c>
      <c r="CZ443" s="128">
        <f>IFERROR(AN443*$V443,)</f>
        <v/>
      </c>
      <c r="DA443" s="128">
        <f>IFERROR(AO443*$V443,)</f>
        <v/>
      </c>
      <c r="DB443" s="128">
        <f>IFERROR(AP443*$V443,)</f>
        <v/>
      </c>
      <c r="DC443" s="128">
        <f>IFERROR(AQ443*$V443,)</f>
        <v/>
      </c>
      <c r="DD443" s="128">
        <f>IFERROR(AR443*$V443,)</f>
        <v/>
      </c>
      <c r="DE443" s="128">
        <f>IFERROR(AS443*$V443,)</f>
        <v/>
      </c>
      <c r="DF443" s="128">
        <f>IFERROR(AT443*$V443,)</f>
        <v/>
      </c>
      <c r="DG443" s="128">
        <f>IFERROR(AU443*$V443,)</f>
        <v/>
      </c>
      <c r="DH443" s="128">
        <f>IFERROR(AV443*$V443,)</f>
        <v/>
      </c>
      <c r="DI443" s="128">
        <f>IFERROR(AW443*$V443,)</f>
        <v/>
      </c>
      <c r="DJ443" s="128">
        <f>IFERROR(AX443*$V443,)</f>
        <v/>
      </c>
      <c r="DK443" s="128">
        <f>IFERROR(AY443*$V443,)</f>
        <v/>
      </c>
      <c r="DL443" s="128">
        <f>IFERROR(AZ443*$V443,)</f>
        <v/>
      </c>
      <c r="DM443" s="129">
        <f>IFERROR(if($X443=0,($V443/1.2)*BA443,
BA443*$X443),)</f>
        <v/>
      </c>
      <c r="DN443" s="129">
        <f>IFERROR(if($X443=0,($V443/1.2)*BB443,
BB443*$X443),)</f>
        <v/>
      </c>
      <c r="DO443" s="129">
        <f>IFERROR(if($X443=0,($V443/1.2)*BC443,
BC443*$X443),)</f>
        <v/>
      </c>
      <c r="DP443" s="130">
        <f>IFERROR(if($Z443=0,($V443/1.35)*BD443,
BD443*$Z443),)</f>
        <v/>
      </c>
      <c r="DQ443" s="130">
        <f>IFERROR(if($Z443=0,($V443/1.35)*BE443,
BE443*$Z443),)</f>
        <v/>
      </c>
      <c r="DR443" s="130">
        <f>IFERROR(if($Z443=0,($V443/1.35)*BF443,
BF443*$Z443),)</f>
        <v/>
      </c>
      <c r="DS443" s="128">
        <f>IFERROR(IF($AB443=0,($V443/0.74)*BG443,
BG443*$AB443),)</f>
        <v/>
      </c>
      <c r="DT443" s="128">
        <f>IFERROR(IF($AB443=0,($V443/0.74)*BH443,
BH443*$AB443),)</f>
        <v/>
      </c>
      <c r="DU443" s="128">
        <f>IFERROR(IF($AB443=0,($V443/0.74)*BI443,
BI443*$AB443),)</f>
        <v/>
      </c>
    </row>
    <row r="444" ht="131.25" customHeight="1" s="162">
      <c r="A444" s="115" t="n"/>
      <c r="B444" s="115" t="n"/>
      <c r="C444" s="115" t="n"/>
      <c r="D444" s="115" t="n"/>
      <c r="E444" s="115" t="n"/>
      <c r="F444" s="115" t="n"/>
      <c r="G444" s="115" t="n"/>
      <c r="H444" s="115" t="n"/>
      <c r="I444" s="115" t="n"/>
      <c r="J444" s="115" t="n"/>
      <c r="K444" s="115" t="n"/>
      <c r="L444" s="115" t="n"/>
      <c r="M444" s="115" t="n"/>
      <c r="N444" s="115" t="n"/>
      <c r="O444" s="115" t="n"/>
      <c r="P444" s="115" t="n"/>
      <c r="Q444" s="115" t="n"/>
      <c r="R444" s="115" t="n"/>
      <c r="S444" s="115" t="n"/>
      <c r="T444" s="115" t="n"/>
      <c r="U444" s="116" t="n"/>
      <c r="V444" s="116" t="n"/>
      <c r="W444" s="117" t="n"/>
      <c r="X444" s="118" t="n"/>
      <c r="Y444" s="119" t="n"/>
      <c r="Z444" s="120" t="n"/>
      <c r="AA444" s="121" t="n"/>
      <c r="AB444" s="122" t="n"/>
      <c r="AC444" s="117" t="n"/>
      <c r="AD444" s="123">
        <f>IF(SUM($AE444:$AH444)=0,"",SUM($AE444:$AH444))</f>
        <v/>
      </c>
      <c r="AE444" s="123">
        <f>iferror(IF(SUM($AI444:$AZ444)=0,"",SUM($AI444:$AZ444)),"")</f>
        <v/>
      </c>
      <c r="AF444" s="123">
        <f>iferror(IF(SUM($BA444:$BC444)=0,"",SUM($BA444:$BC444)),"")</f>
        <v/>
      </c>
      <c r="AG444" s="123">
        <f>iferror(IF(SUM($BD444:$BF444)=0,"",SUM($BD444:$BF444)),"")</f>
        <v/>
      </c>
      <c r="AH444" s="124">
        <f>iferror(IF(SUM($BG444:$BI444)=0,"",SUM($BG444:$BI444)),"")</f>
        <v/>
      </c>
      <c r="AI444" s="131" t="n"/>
      <c r="AJ444" s="132" t="n"/>
      <c r="AK444" s="132" t="n"/>
      <c r="AL444" s="132" t="n"/>
      <c r="AM444" s="132" t="n"/>
      <c r="AN444" s="132" t="n"/>
      <c r="AO444" s="132" t="n"/>
      <c r="AP444" s="132" t="n"/>
      <c r="AQ444" s="132" t="n"/>
      <c r="AR444" s="132" t="n"/>
      <c r="AS444" s="132" t="n"/>
      <c r="AT444" s="132" t="n"/>
      <c r="AU444" s="132" t="n"/>
      <c r="AV444" s="132" t="n"/>
      <c r="AW444" s="132" t="n"/>
      <c r="AX444" s="132" t="n"/>
      <c r="AY444" s="132" t="n"/>
      <c r="AZ444" s="133" t="n"/>
      <c r="BA444" s="131" t="n"/>
      <c r="BB444" s="132" t="n"/>
      <c r="BC444" s="133" t="n"/>
      <c r="BD444" s="131" t="n"/>
      <c r="BE444" s="132" t="n"/>
      <c r="BF444" s="133" t="n"/>
      <c r="BG444" s="131" t="n"/>
      <c r="BH444" s="132" t="n"/>
      <c r="BI444" s="132" t="n"/>
      <c r="BJ444" s="128">
        <f>iferror(SUM($BK444,($BL444*1.2),($BM444*1.35),($BN444*0.74)),)</f>
        <v/>
      </c>
      <c r="BK444" s="128">
        <f>IFERROR(SUM($BT444:$CK444),)</f>
        <v/>
      </c>
      <c r="BL444" s="129">
        <f>IFERROR(SUM($CL444:$CN444),)</f>
        <v/>
      </c>
      <c r="BM444" s="130">
        <f>IFERROR(SUM($CO444:$CQ444),)</f>
        <v/>
      </c>
      <c r="BN444" s="128">
        <f>IFERROR(SUM($CR444:$CT444),)</f>
        <v/>
      </c>
      <c r="BO444" s="128">
        <f>iferror(SUM($BP444,($BQ444*1.2),($BR444*1.35),($BS444*0.74)),)</f>
        <v/>
      </c>
      <c r="BP444" s="128">
        <f>IFERROR(SUM($CU444:$DL444),)</f>
        <v/>
      </c>
      <c r="BQ444" s="128">
        <f>IFERROR(SUM($DM444:$DO444),)</f>
        <v/>
      </c>
      <c r="BR444" s="128">
        <f>IFERROR(SUM($DP444:$DR444),)</f>
        <v/>
      </c>
      <c r="BS444" s="128">
        <f>IFERROR(SUM($DS444:$DU444),)</f>
        <v/>
      </c>
      <c r="BT444" s="128">
        <f>IFERROR(AI444*$W444,)</f>
        <v/>
      </c>
      <c r="BU444" s="128">
        <f>IFERROR(AJ444*$W444,)</f>
        <v/>
      </c>
      <c r="BV444" s="128">
        <f>IFERROR(AK444*$W444,)</f>
        <v/>
      </c>
      <c r="BW444" s="128">
        <f>IFERROR(AL444*$W444,)</f>
        <v/>
      </c>
      <c r="BX444" s="128">
        <f>IFERROR(AM444*$W444,)</f>
        <v/>
      </c>
      <c r="BY444" s="128">
        <f>IFERROR(AN444*$W444,)</f>
        <v/>
      </c>
      <c r="BZ444" s="128">
        <f>IFERROR(AO444*$W444,)</f>
        <v/>
      </c>
      <c r="CA444" s="128">
        <f>IFERROR(AP444*$W444,)</f>
        <v/>
      </c>
      <c r="CB444" s="128">
        <f>IFERROR(AQ444*$W444,)</f>
        <v/>
      </c>
      <c r="CC444" s="128">
        <f>IFERROR(AR444*$W444,)</f>
        <v/>
      </c>
      <c r="CD444" s="128">
        <f>IFERROR(AS444*$W444,)</f>
        <v/>
      </c>
      <c r="CE444" s="128">
        <f>IFERROR(AT444*$W444,)</f>
        <v/>
      </c>
      <c r="CF444" s="128">
        <f>IFERROR(AU444*$W444,)</f>
        <v/>
      </c>
      <c r="CG444" s="128">
        <f>IFERROR(AV444*$W444,)</f>
        <v/>
      </c>
      <c r="CH444" s="128">
        <f>IFERROR(AW444*$W444,)</f>
        <v/>
      </c>
      <c r="CI444" s="128">
        <f>IFERROR(AX444*$W444,)</f>
        <v/>
      </c>
      <c r="CJ444" s="128">
        <f>IFERROR(AY444*$W444,)</f>
        <v/>
      </c>
      <c r="CK444" s="128">
        <f>IFERROR(AZ444*$W444,)</f>
        <v/>
      </c>
      <c r="CL444" s="129">
        <f>IFERROR(if($Y444=0,BA444*($W444/1.2),BA444*$Y444),"")</f>
        <v/>
      </c>
      <c r="CM444" s="129">
        <f>IFERROR(if($Y444=0,BB444*($W444/1.2),BB444*$Y444),"")</f>
        <v/>
      </c>
      <c r="CN444" s="129">
        <f>IFERROR(if($Y444=0,BC444*($W444/1.2),BC444*$Y444),"")</f>
        <v/>
      </c>
      <c r="CO444" s="130">
        <f>IFERROR(if($AA444=0,($W444/1.35)*BD444,BD444*$AA444),)</f>
        <v/>
      </c>
      <c r="CP444" s="130">
        <f>IFERROR(if($AA444=0,($W444/1.35)*BE444,BE444*$AA444),)</f>
        <v/>
      </c>
      <c r="CQ444" s="130">
        <f>IFERROR(if($AA444=0,($W444/1.35)*BF444,BF444*$AA444),)</f>
        <v/>
      </c>
      <c r="CR444" s="128">
        <f>IFERROR(if($AC444=0,($W444/0.74)*BG444,
BG444*$AC444),)</f>
        <v/>
      </c>
      <c r="CS444" s="128">
        <f>IFERROR(if($AC444=0,($W444/0.74)*BH444,
BH444*$AC444),)</f>
        <v/>
      </c>
      <c r="CT444" s="128">
        <f>IFERROR(if($AC444=0,($W444/0.74)*BI444,
BI444*$AC444),)</f>
        <v/>
      </c>
      <c r="CU444" s="128">
        <f>IFERROR(AI444*$V444,)</f>
        <v/>
      </c>
      <c r="CV444" s="128">
        <f>IFERROR(AJ444*$V444,)</f>
        <v/>
      </c>
      <c r="CW444" s="128">
        <f>IFERROR(AK444*$V444,)</f>
        <v/>
      </c>
      <c r="CX444" s="128">
        <f>IFERROR(AL444*$V444,)</f>
        <v/>
      </c>
      <c r="CY444" s="128">
        <f>IFERROR(AM444*$V444,)</f>
        <v/>
      </c>
      <c r="CZ444" s="128">
        <f>IFERROR(AN444*$V444,)</f>
        <v/>
      </c>
      <c r="DA444" s="128">
        <f>IFERROR(AO444*$V444,)</f>
        <v/>
      </c>
      <c r="DB444" s="128">
        <f>IFERROR(AP444*$V444,)</f>
        <v/>
      </c>
      <c r="DC444" s="128">
        <f>IFERROR(AQ444*$V444,)</f>
        <v/>
      </c>
      <c r="DD444" s="128">
        <f>IFERROR(AR444*$V444,)</f>
        <v/>
      </c>
      <c r="DE444" s="128">
        <f>IFERROR(AS444*$V444,)</f>
        <v/>
      </c>
      <c r="DF444" s="128">
        <f>IFERROR(AT444*$V444,)</f>
        <v/>
      </c>
      <c r="DG444" s="128">
        <f>IFERROR(AU444*$V444,)</f>
        <v/>
      </c>
      <c r="DH444" s="128">
        <f>IFERROR(AV444*$V444,)</f>
        <v/>
      </c>
      <c r="DI444" s="128">
        <f>IFERROR(AW444*$V444,)</f>
        <v/>
      </c>
      <c r="DJ444" s="128">
        <f>IFERROR(AX444*$V444,)</f>
        <v/>
      </c>
      <c r="DK444" s="128">
        <f>IFERROR(AY444*$V444,)</f>
        <v/>
      </c>
      <c r="DL444" s="128">
        <f>IFERROR(AZ444*$V444,)</f>
        <v/>
      </c>
      <c r="DM444" s="129">
        <f>IFERROR(if($X444=0,($V444/1.2)*BA444,
BA444*$X444),)</f>
        <v/>
      </c>
      <c r="DN444" s="129">
        <f>IFERROR(if($X444=0,($V444/1.2)*BB444,
BB444*$X444),)</f>
        <v/>
      </c>
      <c r="DO444" s="129">
        <f>IFERROR(if($X444=0,($V444/1.2)*BC444,
BC444*$X444),)</f>
        <v/>
      </c>
      <c r="DP444" s="130">
        <f>IFERROR(if($Z444=0,($V444/1.35)*BD444,
BD444*$Z444),)</f>
        <v/>
      </c>
      <c r="DQ444" s="130">
        <f>IFERROR(if($Z444=0,($V444/1.35)*BE444,
BE444*$Z444),)</f>
        <v/>
      </c>
      <c r="DR444" s="130">
        <f>IFERROR(if($Z444=0,($V444/1.35)*BF444,
BF444*$Z444),)</f>
        <v/>
      </c>
      <c r="DS444" s="128">
        <f>IFERROR(IF($AB444=0,($V444/0.74)*BG444,
BG444*$AB444),)</f>
        <v/>
      </c>
      <c r="DT444" s="128">
        <f>IFERROR(IF($AB444=0,($V444/0.74)*BH444,
BH444*$AB444),)</f>
        <v/>
      </c>
      <c r="DU444" s="128">
        <f>IFERROR(IF($AB444=0,($V444/0.74)*BI444,
BI444*$AB444),)</f>
        <v/>
      </c>
    </row>
    <row r="445" ht="131.25" customHeight="1" s="162">
      <c r="A445" s="115" t="n"/>
      <c r="B445" s="115" t="n"/>
      <c r="C445" s="115" t="n"/>
      <c r="D445" s="115" t="n"/>
      <c r="E445" s="115" t="n"/>
      <c r="F445" s="115" t="n"/>
      <c r="G445" s="115" t="n"/>
      <c r="H445" s="115" t="n"/>
      <c r="I445" s="115" t="n"/>
      <c r="J445" s="115" t="n"/>
      <c r="K445" s="115" t="n"/>
      <c r="L445" s="115" t="n"/>
      <c r="M445" s="115" t="n"/>
      <c r="N445" s="115" t="n"/>
      <c r="O445" s="115" t="n"/>
      <c r="P445" s="115" t="n"/>
      <c r="Q445" s="115" t="n"/>
      <c r="R445" s="115" t="n"/>
      <c r="S445" s="115" t="n"/>
      <c r="T445" s="115" t="n"/>
      <c r="U445" s="116" t="n"/>
      <c r="V445" s="116" t="n"/>
      <c r="W445" s="117" t="n"/>
      <c r="X445" s="118" t="n"/>
      <c r="Y445" s="119" t="n"/>
      <c r="Z445" s="120" t="n"/>
      <c r="AA445" s="121" t="n"/>
      <c r="AB445" s="122" t="n"/>
      <c r="AC445" s="117" t="n"/>
      <c r="AD445" s="123">
        <f>IF(SUM($AE445:$AH445)=0,"",SUM($AE445:$AH445))</f>
        <v/>
      </c>
      <c r="AE445" s="123">
        <f>iferror(IF(SUM($AI445:$AZ445)=0,"",SUM($AI445:$AZ445)),"")</f>
        <v/>
      </c>
      <c r="AF445" s="123">
        <f>iferror(IF(SUM($BA445:$BC445)=0,"",SUM($BA445:$BC445)),"")</f>
        <v/>
      </c>
      <c r="AG445" s="123">
        <f>iferror(IF(SUM($BD445:$BF445)=0,"",SUM($BD445:$BF445)),"")</f>
        <v/>
      </c>
      <c r="AH445" s="124">
        <f>iferror(IF(SUM($BG445:$BI445)=0,"",SUM($BG445:$BI445)),"")</f>
        <v/>
      </c>
      <c r="AI445" s="131" t="n"/>
      <c r="AJ445" s="132" t="n"/>
      <c r="AK445" s="132" t="n"/>
      <c r="AL445" s="132" t="n"/>
      <c r="AM445" s="132" t="n"/>
      <c r="AN445" s="132" t="n"/>
      <c r="AO445" s="132" t="n"/>
      <c r="AP445" s="132" t="n"/>
      <c r="AQ445" s="132" t="n"/>
      <c r="AR445" s="132" t="n"/>
      <c r="AS445" s="132" t="n"/>
      <c r="AT445" s="132" t="n"/>
      <c r="AU445" s="132" t="n"/>
      <c r="AV445" s="132" t="n"/>
      <c r="AW445" s="132" t="n"/>
      <c r="AX445" s="132" t="n"/>
      <c r="AY445" s="132" t="n"/>
      <c r="AZ445" s="133" t="n"/>
      <c r="BA445" s="131" t="n"/>
      <c r="BB445" s="132" t="n"/>
      <c r="BC445" s="133" t="n"/>
      <c r="BD445" s="131" t="n"/>
      <c r="BE445" s="132" t="n"/>
      <c r="BF445" s="133" t="n"/>
      <c r="BG445" s="131" t="n"/>
      <c r="BH445" s="132" t="n"/>
      <c r="BI445" s="132" t="n"/>
      <c r="BJ445" s="128">
        <f>iferror(SUM($BK445,($BL445*1.2),($BM445*1.35),($BN445*0.74)),)</f>
        <v/>
      </c>
      <c r="BK445" s="128">
        <f>IFERROR(SUM($BT445:$CK445),)</f>
        <v/>
      </c>
      <c r="BL445" s="129">
        <f>IFERROR(SUM($CL445:$CN445),)</f>
        <v/>
      </c>
      <c r="BM445" s="130">
        <f>IFERROR(SUM($CO445:$CQ445),)</f>
        <v/>
      </c>
      <c r="BN445" s="128">
        <f>IFERROR(SUM($CR445:$CT445),)</f>
        <v/>
      </c>
      <c r="BO445" s="128">
        <f>iferror(SUM($BP445,($BQ445*1.2),($BR445*1.35),($BS445*0.74)),)</f>
        <v/>
      </c>
      <c r="BP445" s="128">
        <f>IFERROR(SUM($CU445:$DL445),)</f>
        <v/>
      </c>
      <c r="BQ445" s="128">
        <f>IFERROR(SUM($DM445:$DO445),)</f>
        <v/>
      </c>
      <c r="BR445" s="128">
        <f>IFERROR(SUM($DP445:$DR445),)</f>
        <v/>
      </c>
      <c r="BS445" s="128">
        <f>IFERROR(SUM($DS445:$DU445),)</f>
        <v/>
      </c>
      <c r="BT445" s="128">
        <f>IFERROR(AI445*$W445,)</f>
        <v/>
      </c>
      <c r="BU445" s="128">
        <f>IFERROR(AJ445*$W445,)</f>
        <v/>
      </c>
      <c r="BV445" s="128">
        <f>IFERROR(AK445*$W445,)</f>
        <v/>
      </c>
      <c r="BW445" s="128">
        <f>IFERROR(AL445*$W445,)</f>
        <v/>
      </c>
      <c r="BX445" s="128">
        <f>IFERROR(AM445*$W445,)</f>
        <v/>
      </c>
      <c r="BY445" s="128">
        <f>IFERROR(AN445*$W445,)</f>
        <v/>
      </c>
      <c r="BZ445" s="128">
        <f>IFERROR(AO445*$W445,)</f>
        <v/>
      </c>
      <c r="CA445" s="128">
        <f>IFERROR(AP445*$W445,)</f>
        <v/>
      </c>
      <c r="CB445" s="128">
        <f>IFERROR(AQ445*$W445,)</f>
        <v/>
      </c>
      <c r="CC445" s="128">
        <f>IFERROR(AR445*$W445,)</f>
        <v/>
      </c>
      <c r="CD445" s="128">
        <f>IFERROR(AS445*$W445,)</f>
        <v/>
      </c>
      <c r="CE445" s="128">
        <f>IFERROR(AT445*$W445,)</f>
        <v/>
      </c>
      <c r="CF445" s="128">
        <f>IFERROR(AU445*$W445,)</f>
        <v/>
      </c>
      <c r="CG445" s="128">
        <f>IFERROR(AV445*$W445,)</f>
        <v/>
      </c>
      <c r="CH445" s="128">
        <f>IFERROR(AW445*$W445,)</f>
        <v/>
      </c>
      <c r="CI445" s="128">
        <f>IFERROR(AX445*$W445,)</f>
        <v/>
      </c>
      <c r="CJ445" s="128">
        <f>IFERROR(AY445*$W445,)</f>
        <v/>
      </c>
      <c r="CK445" s="128">
        <f>IFERROR(AZ445*$W445,)</f>
        <v/>
      </c>
      <c r="CL445" s="129">
        <f>IFERROR(if($Y445=0,BA445*($W445/1.2),BA445*$Y445),"")</f>
        <v/>
      </c>
      <c r="CM445" s="129">
        <f>IFERROR(if($Y445=0,BB445*($W445/1.2),BB445*$Y445),"")</f>
        <v/>
      </c>
      <c r="CN445" s="129">
        <f>IFERROR(if($Y445=0,BC445*($W445/1.2),BC445*$Y445),"")</f>
        <v/>
      </c>
      <c r="CO445" s="130">
        <f>IFERROR(if($AA445=0,($W445/1.35)*BD445,BD445*$AA445),)</f>
        <v/>
      </c>
      <c r="CP445" s="130">
        <f>IFERROR(if($AA445=0,($W445/1.35)*BE445,BE445*$AA445),)</f>
        <v/>
      </c>
      <c r="CQ445" s="130">
        <f>IFERROR(if($AA445=0,($W445/1.35)*BF445,BF445*$AA445),)</f>
        <v/>
      </c>
      <c r="CR445" s="128">
        <f>IFERROR(if($AC445=0,($W445/0.74)*BG445,
BG445*$AC445),)</f>
        <v/>
      </c>
      <c r="CS445" s="128">
        <f>IFERROR(if($AC445=0,($W445/0.74)*BH445,
BH445*$AC445),)</f>
        <v/>
      </c>
      <c r="CT445" s="128">
        <f>IFERROR(if($AC445=0,($W445/0.74)*BI445,
BI445*$AC445),)</f>
        <v/>
      </c>
      <c r="CU445" s="128">
        <f>IFERROR(AI445*$V445,)</f>
        <v/>
      </c>
      <c r="CV445" s="128">
        <f>IFERROR(AJ445*$V445,)</f>
        <v/>
      </c>
      <c r="CW445" s="128">
        <f>IFERROR(AK445*$V445,)</f>
        <v/>
      </c>
      <c r="CX445" s="128">
        <f>IFERROR(AL445*$V445,)</f>
        <v/>
      </c>
      <c r="CY445" s="128">
        <f>IFERROR(AM445*$V445,)</f>
        <v/>
      </c>
      <c r="CZ445" s="128">
        <f>IFERROR(AN445*$V445,)</f>
        <v/>
      </c>
      <c r="DA445" s="128">
        <f>IFERROR(AO445*$V445,)</f>
        <v/>
      </c>
      <c r="DB445" s="128">
        <f>IFERROR(AP445*$V445,)</f>
        <v/>
      </c>
      <c r="DC445" s="128">
        <f>IFERROR(AQ445*$V445,)</f>
        <v/>
      </c>
      <c r="DD445" s="128">
        <f>IFERROR(AR445*$V445,)</f>
        <v/>
      </c>
      <c r="DE445" s="128">
        <f>IFERROR(AS445*$V445,)</f>
        <v/>
      </c>
      <c r="DF445" s="128">
        <f>IFERROR(AT445*$V445,)</f>
        <v/>
      </c>
      <c r="DG445" s="128">
        <f>IFERROR(AU445*$V445,)</f>
        <v/>
      </c>
      <c r="DH445" s="128">
        <f>IFERROR(AV445*$V445,)</f>
        <v/>
      </c>
      <c r="DI445" s="128">
        <f>IFERROR(AW445*$V445,)</f>
        <v/>
      </c>
      <c r="DJ445" s="128">
        <f>IFERROR(AX445*$V445,)</f>
        <v/>
      </c>
      <c r="DK445" s="128">
        <f>IFERROR(AY445*$V445,)</f>
        <v/>
      </c>
      <c r="DL445" s="128">
        <f>IFERROR(AZ445*$V445,)</f>
        <v/>
      </c>
      <c r="DM445" s="129">
        <f>IFERROR(if($X445=0,($V445/1.2)*BA445,
BA445*$X445),)</f>
        <v/>
      </c>
      <c r="DN445" s="129">
        <f>IFERROR(if($X445=0,($V445/1.2)*BB445,
BB445*$X445),)</f>
        <v/>
      </c>
      <c r="DO445" s="129">
        <f>IFERROR(if($X445=0,($V445/1.2)*BC445,
BC445*$X445),)</f>
        <v/>
      </c>
      <c r="DP445" s="130">
        <f>IFERROR(if($Z445=0,($V445/1.35)*BD445,
BD445*$Z445),)</f>
        <v/>
      </c>
      <c r="DQ445" s="130">
        <f>IFERROR(if($Z445=0,($V445/1.35)*BE445,
BE445*$Z445),)</f>
        <v/>
      </c>
      <c r="DR445" s="130">
        <f>IFERROR(if($Z445=0,($V445/1.35)*BF445,
BF445*$Z445),)</f>
        <v/>
      </c>
      <c r="DS445" s="128">
        <f>IFERROR(IF($AB445=0,($V445/0.74)*BG445,
BG445*$AB445),)</f>
        <v/>
      </c>
      <c r="DT445" s="128">
        <f>IFERROR(IF($AB445=0,($V445/0.74)*BH445,
BH445*$AB445),)</f>
        <v/>
      </c>
      <c r="DU445" s="128">
        <f>IFERROR(IF($AB445=0,($V445/0.74)*BI445,
BI445*$AB445),)</f>
        <v/>
      </c>
    </row>
    <row r="446" ht="131.25" customHeight="1" s="162">
      <c r="A446" s="115" t="n"/>
      <c r="B446" s="115" t="n"/>
      <c r="C446" s="115" t="n"/>
      <c r="D446" s="115" t="n"/>
      <c r="E446" s="115" t="n"/>
      <c r="F446" s="115" t="n"/>
      <c r="G446" s="115" t="n"/>
      <c r="H446" s="115" t="n"/>
      <c r="I446" s="115" t="n"/>
      <c r="J446" s="115" t="n"/>
      <c r="K446" s="115" t="n"/>
      <c r="L446" s="115" t="n"/>
      <c r="M446" s="115" t="n"/>
      <c r="N446" s="115" t="n"/>
      <c r="O446" s="115" t="n"/>
      <c r="P446" s="115" t="n"/>
      <c r="Q446" s="115" t="n"/>
      <c r="R446" s="115" t="n"/>
      <c r="S446" s="115" t="n"/>
      <c r="T446" s="115" t="n"/>
      <c r="U446" s="116" t="n"/>
      <c r="V446" s="116" t="n"/>
      <c r="W446" s="117" t="n"/>
      <c r="X446" s="118" t="n"/>
      <c r="Y446" s="119" t="n"/>
      <c r="Z446" s="120" t="n"/>
      <c r="AA446" s="121" t="n"/>
      <c r="AB446" s="122" t="n"/>
      <c r="AC446" s="117" t="n"/>
      <c r="AD446" s="123">
        <f>IF(SUM($AE446:$AH446)=0,"",SUM($AE446:$AH446))</f>
        <v/>
      </c>
      <c r="AE446" s="123">
        <f>iferror(IF(SUM($AI446:$AZ446)=0,"",SUM($AI446:$AZ446)),"")</f>
        <v/>
      </c>
      <c r="AF446" s="123">
        <f>iferror(IF(SUM($BA446:$BC446)=0,"",SUM($BA446:$BC446)),"")</f>
        <v/>
      </c>
      <c r="AG446" s="123">
        <f>iferror(IF(SUM($BD446:$BF446)=0,"",SUM($BD446:$BF446)),"")</f>
        <v/>
      </c>
      <c r="AH446" s="124">
        <f>iferror(IF(SUM($BG446:$BI446)=0,"",SUM($BG446:$BI446)),"")</f>
        <v/>
      </c>
      <c r="AI446" s="131" t="n"/>
      <c r="AJ446" s="132" t="n"/>
      <c r="AK446" s="132" t="n"/>
      <c r="AL446" s="132" t="n"/>
      <c r="AM446" s="132" t="n"/>
      <c r="AN446" s="132" t="n"/>
      <c r="AO446" s="132" t="n"/>
      <c r="AP446" s="132" t="n"/>
      <c r="AQ446" s="132" t="n"/>
      <c r="AR446" s="132" t="n"/>
      <c r="AS446" s="132" t="n"/>
      <c r="AT446" s="132" t="n"/>
      <c r="AU446" s="132" t="n"/>
      <c r="AV446" s="132" t="n"/>
      <c r="AW446" s="132" t="n"/>
      <c r="AX446" s="132" t="n"/>
      <c r="AY446" s="132" t="n"/>
      <c r="AZ446" s="133" t="n"/>
      <c r="BA446" s="131" t="n"/>
      <c r="BB446" s="132" t="n"/>
      <c r="BC446" s="133" t="n"/>
      <c r="BD446" s="131" t="n"/>
      <c r="BE446" s="132" t="n"/>
      <c r="BF446" s="133" t="n"/>
      <c r="BG446" s="131" t="n"/>
      <c r="BH446" s="132" t="n"/>
      <c r="BI446" s="132" t="n"/>
      <c r="BJ446" s="128">
        <f>iferror(SUM($BK446,($BL446*1.2),($BM446*1.35),($BN446*0.74)),)</f>
        <v/>
      </c>
      <c r="BK446" s="128">
        <f>IFERROR(SUM($BT446:$CK446),)</f>
        <v/>
      </c>
      <c r="BL446" s="129">
        <f>IFERROR(SUM($CL446:$CN446),)</f>
        <v/>
      </c>
      <c r="BM446" s="130">
        <f>IFERROR(SUM($CO446:$CQ446),)</f>
        <v/>
      </c>
      <c r="BN446" s="128">
        <f>IFERROR(SUM($CR446:$CT446),)</f>
        <v/>
      </c>
      <c r="BO446" s="128">
        <f>iferror(SUM($BP446,($BQ446*1.2),($BR446*1.35),($BS446*0.74)),)</f>
        <v/>
      </c>
      <c r="BP446" s="128">
        <f>IFERROR(SUM($CU446:$DL446),)</f>
        <v/>
      </c>
      <c r="BQ446" s="128">
        <f>IFERROR(SUM($DM446:$DO446),)</f>
        <v/>
      </c>
      <c r="BR446" s="128">
        <f>IFERROR(SUM($DP446:$DR446),)</f>
        <v/>
      </c>
      <c r="BS446" s="128">
        <f>IFERROR(SUM($DS446:$DU446),)</f>
        <v/>
      </c>
      <c r="BT446" s="128">
        <f>IFERROR(AI446*$W446,)</f>
        <v/>
      </c>
      <c r="BU446" s="128">
        <f>IFERROR(AJ446*$W446,)</f>
        <v/>
      </c>
      <c r="BV446" s="128">
        <f>IFERROR(AK446*$W446,)</f>
        <v/>
      </c>
      <c r="BW446" s="128">
        <f>IFERROR(AL446*$W446,)</f>
        <v/>
      </c>
      <c r="BX446" s="128">
        <f>IFERROR(AM446*$W446,)</f>
        <v/>
      </c>
      <c r="BY446" s="128">
        <f>IFERROR(AN446*$W446,)</f>
        <v/>
      </c>
      <c r="BZ446" s="128">
        <f>IFERROR(AO446*$W446,)</f>
        <v/>
      </c>
      <c r="CA446" s="128">
        <f>IFERROR(AP446*$W446,)</f>
        <v/>
      </c>
      <c r="CB446" s="128">
        <f>IFERROR(AQ446*$W446,)</f>
        <v/>
      </c>
      <c r="CC446" s="128">
        <f>IFERROR(AR446*$W446,)</f>
        <v/>
      </c>
      <c r="CD446" s="128">
        <f>IFERROR(AS446*$W446,)</f>
        <v/>
      </c>
      <c r="CE446" s="128">
        <f>IFERROR(AT446*$W446,)</f>
        <v/>
      </c>
      <c r="CF446" s="128">
        <f>IFERROR(AU446*$W446,)</f>
        <v/>
      </c>
      <c r="CG446" s="128">
        <f>IFERROR(AV446*$W446,)</f>
        <v/>
      </c>
      <c r="CH446" s="128">
        <f>IFERROR(AW446*$W446,)</f>
        <v/>
      </c>
      <c r="CI446" s="128">
        <f>IFERROR(AX446*$W446,)</f>
        <v/>
      </c>
      <c r="CJ446" s="128">
        <f>IFERROR(AY446*$W446,)</f>
        <v/>
      </c>
      <c r="CK446" s="128">
        <f>IFERROR(AZ446*$W446,)</f>
        <v/>
      </c>
      <c r="CL446" s="129">
        <f>IFERROR(if($Y446=0,BA446*($W446/1.2),BA446*$Y446),"")</f>
        <v/>
      </c>
      <c r="CM446" s="129">
        <f>IFERROR(if($Y446=0,BB446*($W446/1.2),BB446*$Y446),"")</f>
        <v/>
      </c>
      <c r="CN446" s="129">
        <f>IFERROR(if($Y446=0,BC446*($W446/1.2),BC446*$Y446),"")</f>
        <v/>
      </c>
      <c r="CO446" s="130">
        <f>IFERROR(if($AA446=0,($W446/1.35)*BD446,BD446*$AA446),)</f>
        <v/>
      </c>
      <c r="CP446" s="130">
        <f>IFERROR(if($AA446=0,($W446/1.35)*BE446,BE446*$AA446),)</f>
        <v/>
      </c>
      <c r="CQ446" s="130">
        <f>IFERROR(if($AA446=0,($W446/1.35)*BF446,BF446*$AA446),)</f>
        <v/>
      </c>
      <c r="CR446" s="128">
        <f>IFERROR(if($AC446=0,($W446/0.74)*BG446,
BG446*$AC446),)</f>
        <v/>
      </c>
      <c r="CS446" s="128">
        <f>IFERROR(if($AC446=0,($W446/0.74)*BH446,
BH446*$AC446),)</f>
        <v/>
      </c>
      <c r="CT446" s="128">
        <f>IFERROR(if($AC446=0,($W446/0.74)*BI446,
BI446*$AC446),)</f>
        <v/>
      </c>
      <c r="CU446" s="128">
        <f>IFERROR(AI446*$V446,)</f>
        <v/>
      </c>
      <c r="CV446" s="128">
        <f>IFERROR(AJ446*$V446,)</f>
        <v/>
      </c>
      <c r="CW446" s="128">
        <f>IFERROR(AK446*$V446,)</f>
        <v/>
      </c>
      <c r="CX446" s="128">
        <f>IFERROR(AL446*$V446,)</f>
        <v/>
      </c>
      <c r="CY446" s="128">
        <f>IFERROR(AM446*$V446,)</f>
        <v/>
      </c>
      <c r="CZ446" s="128">
        <f>IFERROR(AN446*$V446,)</f>
        <v/>
      </c>
      <c r="DA446" s="128">
        <f>IFERROR(AO446*$V446,)</f>
        <v/>
      </c>
      <c r="DB446" s="128">
        <f>IFERROR(AP446*$V446,)</f>
        <v/>
      </c>
      <c r="DC446" s="128">
        <f>IFERROR(AQ446*$V446,)</f>
        <v/>
      </c>
      <c r="DD446" s="128">
        <f>IFERROR(AR446*$V446,)</f>
        <v/>
      </c>
      <c r="DE446" s="128">
        <f>IFERROR(AS446*$V446,)</f>
        <v/>
      </c>
      <c r="DF446" s="128">
        <f>IFERROR(AT446*$V446,)</f>
        <v/>
      </c>
      <c r="DG446" s="128">
        <f>IFERROR(AU446*$V446,)</f>
        <v/>
      </c>
      <c r="DH446" s="128">
        <f>IFERROR(AV446*$V446,)</f>
        <v/>
      </c>
      <c r="DI446" s="128">
        <f>IFERROR(AW446*$V446,)</f>
        <v/>
      </c>
      <c r="DJ446" s="128">
        <f>IFERROR(AX446*$V446,)</f>
        <v/>
      </c>
      <c r="DK446" s="128">
        <f>IFERROR(AY446*$V446,)</f>
        <v/>
      </c>
      <c r="DL446" s="128">
        <f>IFERROR(AZ446*$V446,)</f>
        <v/>
      </c>
      <c r="DM446" s="129">
        <f>IFERROR(if($X446=0,($V446/1.2)*BA446,
BA446*$X446),)</f>
        <v/>
      </c>
      <c r="DN446" s="129">
        <f>IFERROR(if($X446=0,($V446/1.2)*BB446,
BB446*$X446),)</f>
        <v/>
      </c>
      <c r="DO446" s="129">
        <f>IFERROR(if($X446=0,($V446/1.2)*BC446,
BC446*$X446),)</f>
        <v/>
      </c>
      <c r="DP446" s="130">
        <f>IFERROR(if($Z446=0,($V446/1.35)*BD446,
BD446*$Z446),)</f>
        <v/>
      </c>
      <c r="DQ446" s="130">
        <f>IFERROR(if($Z446=0,($V446/1.35)*BE446,
BE446*$Z446),)</f>
        <v/>
      </c>
      <c r="DR446" s="130">
        <f>IFERROR(if($Z446=0,($V446/1.35)*BF446,
BF446*$Z446),)</f>
        <v/>
      </c>
      <c r="DS446" s="128">
        <f>IFERROR(IF($AB446=0,($V446/0.74)*BG446,
BG446*$AB446),)</f>
        <v/>
      </c>
      <c r="DT446" s="128">
        <f>IFERROR(IF($AB446=0,($V446/0.74)*BH446,
BH446*$AB446),)</f>
        <v/>
      </c>
      <c r="DU446" s="128">
        <f>IFERROR(IF($AB446=0,($V446/0.74)*BI446,
BI446*$AB446),)</f>
        <v/>
      </c>
    </row>
    <row r="447" ht="131.25" customHeight="1" s="162">
      <c r="A447" s="115" t="n"/>
      <c r="B447" s="115" t="n"/>
      <c r="C447" s="115" t="n"/>
      <c r="D447" s="115" t="n"/>
      <c r="E447" s="115" t="n"/>
      <c r="F447" s="115" t="n"/>
      <c r="G447" s="115" t="n"/>
      <c r="H447" s="115" t="n"/>
      <c r="I447" s="115" t="n"/>
      <c r="J447" s="115" t="n"/>
      <c r="K447" s="115" t="n"/>
      <c r="L447" s="115" t="n"/>
      <c r="M447" s="115" t="n"/>
      <c r="N447" s="115" t="n"/>
      <c r="O447" s="115" t="n"/>
      <c r="P447" s="115" t="n"/>
      <c r="Q447" s="115" t="n"/>
      <c r="R447" s="115" t="n"/>
      <c r="S447" s="115" t="n"/>
      <c r="T447" s="115" t="n"/>
      <c r="U447" s="116" t="n"/>
      <c r="V447" s="116" t="n"/>
      <c r="W447" s="117" t="n"/>
      <c r="X447" s="118" t="n"/>
      <c r="Y447" s="119" t="n"/>
      <c r="Z447" s="120" t="n"/>
      <c r="AA447" s="121" t="n"/>
      <c r="AB447" s="122" t="n"/>
      <c r="AC447" s="117" t="n"/>
      <c r="AD447" s="123">
        <f>IF(SUM($AE447:$AH447)=0,"",SUM($AE447:$AH447))</f>
        <v/>
      </c>
      <c r="AE447" s="123">
        <f>iferror(IF(SUM($AI447:$AZ447)=0,"",SUM($AI447:$AZ447)),"")</f>
        <v/>
      </c>
      <c r="AF447" s="123">
        <f>iferror(IF(SUM($BA447:$BC447)=0,"",SUM($BA447:$BC447)),"")</f>
        <v/>
      </c>
      <c r="AG447" s="123">
        <f>iferror(IF(SUM($BD447:$BF447)=0,"",SUM($BD447:$BF447)),"")</f>
        <v/>
      </c>
      <c r="AH447" s="124">
        <f>iferror(IF(SUM($BG447:$BI447)=0,"",SUM($BG447:$BI447)),"")</f>
        <v/>
      </c>
      <c r="AI447" s="131" t="n"/>
      <c r="AJ447" s="132" t="n"/>
      <c r="AK447" s="132" t="n"/>
      <c r="AL447" s="132" t="n"/>
      <c r="AM447" s="132" t="n"/>
      <c r="AN447" s="132" t="n"/>
      <c r="AO447" s="132" t="n"/>
      <c r="AP447" s="132" t="n"/>
      <c r="AQ447" s="132" t="n"/>
      <c r="AR447" s="132" t="n"/>
      <c r="AS447" s="132" t="n"/>
      <c r="AT447" s="132" t="n"/>
      <c r="AU447" s="132" t="n"/>
      <c r="AV447" s="132" t="n"/>
      <c r="AW447" s="132" t="n"/>
      <c r="AX447" s="132" t="n"/>
      <c r="AY447" s="132" t="n"/>
      <c r="AZ447" s="133" t="n"/>
      <c r="BA447" s="131" t="n"/>
      <c r="BB447" s="132" t="n"/>
      <c r="BC447" s="133" t="n"/>
      <c r="BD447" s="131" t="n"/>
      <c r="BE447" s="132" t="n"/>
      <c r="BF447" s="133" t="n"/>
      <c r="BG447" s="131" t="n"/>
      <c r="BH447" s="132" t="n"/>
      <c r="BI447" s="132" t="n"/>
      <c r="BJ447" s="128">
        <f>iferror(SUM($BK447,($BL447*1.2),($BM447*1.35),($BN447*0.74)),)</f>
        <v/>
      </c>
      <c r="BK447" s="128">
        <f>IFERROR(SUM($BT447:$CK447),)</f>
        <v/>
      </c>
      <c r="BL447" s="129">
        <f>IFERROR(SUM($CL447:$CN447),)</f>
        <v/>
      </c>
      <c r="BM447" s="130">
        <f>IFERROR(SUM($CO447:$CQ447),)</f>
        <v/>
      </c>
      <c r="BN447" s="128">
        <f>IFERROR(SUM($CR447:$CT447),)</f>
        <v/>
      </c>
      <c r="BO447" s="128">
        <f>iferror(SUM($BP447,($BQ447*1.2),($BR447*1.35),($BS447*0.74)),)</f>
        <v/>
      </c>
      <c r="BP447" s="128">
        <f>IFERROR(SUM($CU447:$DL447),)</f>
        <v/>
      </c>
      <c r="BQ447" s="128">
        <f>IFERROR(SUM($DM447:$DO447),)</f>
        <v/>
      </c>
      <c r="BR447" s="128">
        <f>IFERROR(SUM($DP447:$DR447),)</f>
        <v/>
      </c>
      <c r="BS447" s="128">
        <f>IFERROR(SUM($DS447:$DU447),)</f>
        <v/>
      </c>
      <c r="BT447" s="128">
        <f>IFERROR(AI447*$W447,)</f>
        <v/>
      </c>
      <c r="BU447" s="128">
        <f>IFERROR(AJ447*$W447,)</f>
        <v/>
      </c>
      <c r="BV447" s="128">
        <f>IFERROR(AK447*$W447,)</f>
        <v/>
      </c>
      <c r="BW447" s="128">
        <f>IFERROR(AL447*$W447,)</f>
        <v/>
      </c>
      <c r="BX447" s="128">
        <f>IFERROR(AM447*$W447,)</f>
        <v/>
      </c>
      <c r="BY447" s="128">
        <f>IFERROR(AN447*$W447,)</f>
        <v/>
      </c>
      <c r="BZ447" s="128">
        <f>IFERROR(AO447*$W447,)</f>
        <v/>
      </c>
      <c r="CA447" s="128">
        <f>IFERROR(AP447*$W447,)</f>
        <v/>
      </c>
      <c r="CB447" s="128">
        <f>IFERROR(AQ447*$W447,)</f>
        <v/>
      </c>
      <c r="CC447" s="128">
        <f>IFERROR(AR447*$W447,)</f>
        <v/>
      </c>
      <c r="CD447" s="128">
        <f>IFERROR(AS447*$W447,)</f>
        <v/>
      </c>
      <c r="CE447" s="128">
        <f>IFERROR(AT447*$W447,)</f>
        <v/>
      </c>
      <c r="CF447" s="128">
        <f>IFERROR(AU447*$W447,)</f>
        <v/>
      </c>
      <c r="CG447" s="128">
        <f>IFERROR(AV447*$W447,)</f>
        <v/>
      </c>
      <c r="CH447" s="128">
        <f>IFERROR(AW447*$W447,)</f>
        <v/>
      </c>
      <c r="CI447" s="128">
        <f>IFERROR(AX447*$W447,)</f>
        <v/>
      </c>
      <c r="CJ447" s="128">
        <f>IFERROR(AY447*$W447,)</f>
        <v/>
      </c>
      <c r="CK447" s="128">
        <f>IFERROR(AZ447*$W447,)</f>
        <v/>
      </c>
      <c r="CL447" s="129">
        <f>IFERROR(if($Y447=0,BA447*($W447/1.2),BA447*$Y447),"")</f>
        <v/>
      </c>
      <c r="CM447" s="129">
        <f>IFERROR(if($Y447=0,BB447*($W447/1.2),BB447*$Y447),"")</f>
        <v/>
      </c>
      <c r="CN447" s="129">
        <f>IFERROR(if($Y447=0,BC447*($W447/1.2),BC447*$Y447),"")</f>
        <v/>
      </c>
      <c r="CO447" s="130">
        <f>IFERROR(if($AA447=0,($W447/1.35)*BD447,BD447*$AA447),)</f>
        <v/>
      </c>
      <c r="CP447" s="130">
        <f>IFERROR(if($AA447=0,($W447/1.35)*BE447,BE447*$AA447),)</f>
        <v/>
      </c>
      <c r="CQ447" s="130">
        <f>IFERROR(if($AA447=0,($W447/1.35)*BF447,BF447*$AA447),)</f>
        <v/>
      </c>
      <c r="CR447" s="128">
        <f>IFERROR(if($AC447=0,($W447/0.74)*BG447,
BG447*$AC447),)</f>
        <v/>
      </c>
      <c r="CS447" s="128">
        <f>IFERROR(if($AC447=0,($W447/0.74)*BH447,
BH447*$AC447),)</f>
        <v/>
      </c>
      <c r="CT447" s="128">
        <f>IFERROR(if($AC447=0,($W447/0.74)*BI447,
BI447*$AC447),)</f>
        <v/>
      </c>
      <c r="CU447" s="128">
        <f>IFERROR(AI447*$V447,)</f>
        <v/>
      </c>
      <c r="CV447" s="128">
        <f>IFERROR(AJ447*$V447,)</f>
        <v/>
      </c>
      <c r="CW447" s="128">
        <f>IFERROR(AK447*$V447,)</f>
        <v/>
      </c>
      <c r="CX447" s="128">
        <f>IFERROR(AL447*$V447,)</f>
        <v/>
      </c>
      <c r="CY447" s="128">
        <f>IFERROR(AM447*$V447,)</f>
        <v/>
      </c>
      <c r="CZ447" s="128">
        <f>IFERROR(AN447*$V447,)</f>
        <v/>
      </c>
      <c r="DA447" s="128">
        <f>IFERROR(AO447*$V447,)</f>
        <v/>
      </c>
      <c r="DB447" s="128">
        <f>IFERROR(AP447*$V447,)</f>
        <v/>
      </c>
      <c r="DC447" s="128">
        <f>IFERROR(AQ447*$V447,)</f>
        <v/>
      </c>
      <c r="DD447" s="128">
        <f>IFERROR(AR447*$V447,)</f>
        <v/>
      </c>
      <c r="DE447" s="128">
        <f>IFERROR(AS447*$V447,)</f>
        <v/>
      </c>
      <c r="DF447" s="128">
        <f>IFERROR(AT447*$V447,)</f>
        <v/>
      </c>
      <c r="DG447" s="128">
        <f>IFERROR(AU447*$V447,)</f>
        <v/>
      </c>
      <c r="DH447" s="128">
        <f>IFERROR(AV447*$V447,)</f>
        <v/>
      </c>
      <c r="DI447" s="128">
        <f>IFERROR(AW447*$V447,)</f>
        <v/>
      </c>
      <c r="DJ447" s="128">
        <f>IFERROR(AX447*$V447,)</f>
        <v/>
      </c>
      <c r="DK447" s="128">
        <f>IFERROR(AY447*$V447,)</f>
        <v/>
      </c>
      <c r="DL447" s="128">
        <f>IFERROR(AZ447*$V447,)</f>
        <v/>
      </c>
      <c r="DM447" s="129">
        <f>IFERROR(if($X447=0,($V447/1.2)*BA447,
BA447*$X447),)</f>
        <v/>
      </c>
      <c r="DN447" s="129">
        <f>IFERROR(if($X447=0,($V447/1.2)*BB447,
BB447*$X447),)</f>
        <v/>
      </c>
      <c r="DO447" s="129">
        <f>IFERROR(if($X447=0,($V447/1.2)*BC447,
BC447*$X447),)</f>
        <v/>
      </c>
      <c r="DP447" s="130">
        <f>IFERROR(if($Z447=0,($V447/1.35)*BD447,
BD447*$Z447),)</f>
        <v/>
      </c>
      <c r="DQ447" s="130">
        <f>IFERROR(if($Z447=0,($V447/1.35)*BE447,
BE447*$Z447),)</f>
        <v/>
      </c>
      <c r="DR447" s="130">
        <f>IFERROR(if($Z447=0,($V447/1.35)*BF447,
BF447*$Z447),)</f>
        <v/>
      </c>
      <c r="DS447" s="128">
        <f>IFERROR(IF($AB447=0,($V447/0.74)*BG447,
BG447*$AB447),)</f>
        <v/>
      </c>
      <c r="DT447" s="128">
        <f>IFERROR(IF($AB447=0,($V447/0.74)*BH447,
BH447*$AB447),)</f>
        <v/>
      </c>
      <c r="DU447" s="128">
        <f>IFERROR(IF($AB447=0,($V447/0.74)*BI447,
BI447*$AB447),)</f>
        <v/>
      </c>
    </row>
    <row r="448" ht="131.25" customHeight="1" s="162">
      <c r="A448" s="115" t="n"/>
      <c r="B448" s="115" t="n"/>
      <c r="C448" s="115" t="n"/>
      <c r="D448" s="115" t="n"/>
      <c r="E448" s="115" t="n"/>
      <c r="F448" s="115" t="n"/>
      <c r="G448" s="115" t="n"/>
      <c r="H448" s="115" t="n"/>
      <c r="I448" s="115" t="n"/>
      <c r="J448" s="115" t="n"/>
      <c r="K448" s="115" t="n"/>
      <c r="L448" s="115" t="n"/>
      <c r="M448" s="115" t="n"/>
      <c r="N448" s="115" t="n"/>
      <c r="O448" s="115" t="n"/>
      <c r="P448" s="115" t="n"/>
      <c r="Q448" s="115" t="n"/>
      <c r="R448" s="115" t="n"/>
      <c r="S448" s="115" t="n"/>
      <c r="T448" s="115" t="n"/>
      <c r="U448" s="116" t="n"/>
      <c r="V448" s="116" t="n"/>
      <c r="W448" s="117" t="n"/>
      <c r="X448" s="118" t="n"/>
      <c r="Y448" s="119" t="n"/>
      <c r="Z448" s="120" t="n"/>
      <c r="AA448" s="121" t="n"/>
      <c r="AB448" s="122" t="n"/>
      <c r="AC448" s="117" t="n"/>
      <c r="AD448" s="123">
        <f>IF(SUM($AE448:$AH448)=0,"",SUM($AE448:$AH448))</f>
        <v/>
      </c>
      <c r="AE448" s="123">
        <f>iferror(IF(SUM($AI448:$AZ448)=0,"",SUM($AI448:$AZ448)),"")</f>
        <v/>
      </c>
      <c r="AF448" s="123">
        <f>iferror(IF(SUM($BA448:$BC448)=0,"",SUM($BA448:$BC448)),"")</f>
        <v/>
      </c>
      <c r="AG448" s="123">
        <f>iferror(IF(SUM($BD448:$BF448)=0,"",SUM($BD448:$BF448)),"")</f>
        <v/>
      </c>
      <c r="AH448" s="124">
        <f>iferror(IF(SUM($BG448:$BI448)=0,"",SUM($BG448:$BI448)),"")</f>
        <v/>
      </c>
      <c r="AI448" s="131" t="n"/>
      <c r="AJ448" s="132" t="n"/>
      <c r="AK448" s="132" t="n"/>
      <c r="AL448" s="132" t="n"/>
      <c r="AM448" s="132" t="n"/>
      <c r="AN448" s="132" t="n"/>
      <c r="AO448" s="132" t="n"/>
      <c r="AP448" s="132" t="n"/>
      <c r="AQ448" s="132" t="n"/>
      <c r="AR448" s="132" t="n"/>
      <c r="AS448" s="132" t="n"/>
      <c r="AT448" s="132" t="n"/>
      <c r="AU448" s="132" t="n"/>
      <c r="AV448" s="132" t="n"/>
      <c r="AW448" s="132" t="n"/>
      <c r="AX448" s="132" t="n"/>
      <c r="AY448" s="132" t="n"/>
      <c r="AZ448" s="133" t="n"/>
      <c r="BA448" s="131" t="n"/>
      <c r="BB448" s="132" t="n"/>
      <c r="BC448" s="133" t="n"/>
      <c r="BD448" s="131" t="n"/>
      <c r="BE448" s="132" t="n"/>
      <c r="BF448" s="133" t="n"/>
      <c r="BG448" s="131" t="n"/>
      <c r="BH448" s="132" t="n"/>
      <c r="BI448" s="132" t="n"/>
      <c r="BJ448" s="128">
        <f>iferror(SUM($BK448,($BL448*1.2),($BM448*1.35),($BN448*0.74)),)</f>
        <v/>
      </c>
      <c r="BK448" s="128">
        <f>IFERROR(SUM($BT448:$CK448),)</f>
        <v/>
      </c>
      <c r="BL448" s="129">
        <f>IFERROR(SUM($CL448:$CN448),)</f>
        <v/>
      </c>
      <c r="BM448" s="130">
        <f>IFERROR(SUM($CO448:$CQ448),)</f>
        <v/>
      </c>
      <c r="BN448" s="128">
        <f>IFERROR(SUM($CR448:$CT448),)</f>
        <v/>
      </c>
      <c r="BO448" s="128">
        <f>iferror(SUM($BP448,($BQ448*1.2),($BR448*1.35),($BS448*0.74)),)</f>
        <v/>
      </c>
      <c r="BP448" s="128">
        <f>IFERROR(SUM($CU448:$DL448),)</f>
        <v/>
      </c>
      <c r="BQ448" s="128">
        <f>IFERROR(SUM($DM448:$DO448),)</f>
        <v/>
      </c>
      <c r="BR448" s="128">
        <f>IFERROR(SUM($DP448:$DR448),)</f>
        <v/>
      </c>
      <c r="BS448" s="128">
        <f>IFERROR(SUM($DS448:$DU448),)</f>
        <v/>
      </c>
      <c r="BT448" s="128">
        <f>IFERROR(AI448*$W448,)</f>
        <v/>
      </c>
      <c r="BU448" s="128">
        <f>IFERROR(AJ448*$W448,)</f>
        <v/>
      </c>
      <c r="BV448" s="128">
        <f>IFERROR(AK448*$W448,)</f>
        <v/>
      </c>
      <c r="BW448" s="128">
        <f>IFERROR(AL448*$W448,)</f>
        <v/>
      </c>
      <c r="BX448" s="128">
        <f>IFERROR(AM448*$W448,)</f>
        <v/>
      </c>
      <c r="BY448" s="128">
        <f>IFERROR(AN448*$W448,)</f>
        <v/>
      </c>
      <c r="BZ448" s="128">
        <f>IFERROR(AO448*$W448,)</f>
        <v/>
      </c>
      <c r="CA448" s="128">
        <f>IFERROR(AP448*$W448,)</f>
        <v/>
      </c>
      <c r="CB448" s="128">
        <f>IFERROR(AQ448*$W448,)</f>
        <v/>
      </c>
      <c r="CC448" s="128">
        <f>IFERROR(AR448*$W448,)</f>
        <v/>
      </c>
      <c r="CD448" s="128">
        <f>IFERROR(AS448*$W448,)</f>
        <v/>
      </c>
      <c r="CE448" s="128">
        <f>IFERROR(AT448*$W448,)</f>
        <v/>
      </c>
      <c r="CF448" s="128">
        <f>IFERROR(AU448*$W448,)</f>
        <v/>
      </c>
      <c r="CG448" s="128">
        <f>IFERROR(AV448*$W448,)</f>
        <v/>
      </c>
      <c r="CH448" s="128">
        <f>IFERROR(AW448*$W448,)</f>
        <v/>
      </c>
      <c r="CI448" s="128">
        <f>IFERROR(AX448*$W448,)</f>
        <v/>
      </c>
      <c r="CJ448" s="128">
        <f>IFERROR(AY448*$W448,)</f>
        <v/>
      </c>
      <c r="CK448" s="128">
        <f>IFERROR(AZ448*$W448,)</f>
        <v/>
      </c>
      <c r="CL448" s="129">
        <f>IFERROR(if($Y448=0,BA448*($W448/1.2),BA448*$Y448),"")</f>
        <v/>
      </c>
      <c r="CM448" s="129">
        <f>IFERROR(if($Y448=0,BB448*($W448/1.2),BB448*$Y448),"")</f>
        <v/>
      </c>
      <c r="CN448" s="129">
        <f>IFERROR(if($Y448=0,BC448*($W448/1.2),BC448*$Y448),"")</f>
        <v/>
      </c>
      <c r="CO448" s="130">
        <f>IFERROR(if($AA448=0,($W448/1.35)*BD448,BD448*$AA448),)</f>
        <v/>
      </c>
      <c r="CP448" s="130">
        <f>IFERROR(if($AA448=0,($W448/1.35)*BE448,BE448*$AA448),)</f>
        <v/>
      </c>
      <c r="CQ448" s="130">
        <f>IFERROR(if($AA448=0,($W448/1.35)*BF448,BF448*$AA448),)</f>
        <v/>
      </c>
      <c r="CR448" s="128">
        <f>IFERROR(if($AC448=0,($W448/0.74)*BG448,
BG448*$AC448),)</f>
        <v/>
      </c>
      <c r="CS448" s="128">
        <f>IFERROR(if($AC448=0,($W448/0.74)*BH448,
BH448*$AC448),)</f>
        <v/>
      </c>
      <c r="CT448" s="128">
        <f>IFERROR(if($AC448=0,($W448/0.74)*BI448,
BI448*$AC448),)</f>
        <v/>
      </c>
      <c r="CU448" s="128">
        <f>IFERROR(AI448*$V448,)</f>
        <v/>
      </c>
      <c r="CV448" s="128">
        <f>IFERROR(AJ448*$V448,)</f>
        <v/>
      </c>
      <c r="CW448" s="128">
        <f>IFERROR(AK448*$V448,)</f>
        <v/>
      </c>
      <c r="CX448" s="128">
        <f>IFERROR(AL448*$V448,)</f>
        <v/>
      </c>
      <c r="CY448" s="128">
        <f>IFERROR(AM448*$V448,)</f>
        <v/>
      </c>
      <c r="CZ448" s="128">
        <f>IFERROR(AN448*$V448,)</f>
        <v/>
      </c>
      <c r="DA448" s="128">
        <f>IFERROR(AO448*$V448,)</f>
        <v/>
      </c>
      <c r="DB448" s="128">
        <f>IFERROR(AP448*$V448,)</f>
        <v/>
      </c>
      <c r="DC448" s="128">
        <f>IFERROR(AQ448*$V448,)</f>
        <v/>
      </c>
      <c r="DD448" s="128">
        <f>IFERROR(AR448*$V448,)</f>
        <v/>
      </c>
      <c r="DE448" s="128">
        <f>IFERROR(AS448*$V448,)</f>
        <v/>
      </c>
      <c r="DF448" s="128">
        <f>IFERROR(AT448*$V448,)</f>
        <v/>
      </c>
      <c r="DG448" s="128">
        <f>IFERROR(AU448*$V448,)</f>
        <v/>
      </c>
      <c r="DH448" s="128">
        <f>IFERROR(AV448*$V448,)</f>
        <v/>
      </c>
      <c r="DI448" s="128">
        <f>IFERROR(AW448*$V448,)</f>
        <v/>
      </c>
      <c r="DJ448" s="128">
        <f>IFERROR(AX448*$V448,)</f>
        <v/>
      </c>
      <c r="DK448" s="128">
        <f>IFERROR(AY448*$V448,)</f>
        <v/>
      </c>
      <c r="DL448" s="128">
        <f>IFERROR(AZ448*$V448,)</f>
        <v/>
      </c>
      <c r="DM448" s="129">
        <f>IFERROR(if($X448=0,($V448/1.2)*BA448,
BA448*$X448),)</f>
        <v/>
      </c>
      <c r="DN448" s="129">
        <f>IFERROR(if($X448=0,($V448/1.2)*BB448,
BB448*$X448),)</f>
        <v/>
      </c>
      <c r="DO448" s="129">
        <f>IFERROR(if($X448=0,($V448/1.2)*BC448,
BC448*$X448),)</f>
        <v/>
      </c>
      <c r="DP448" s="130">
        <f>IFERROR(if($Z448=0,($V448/1.35)*BD448,
BD448*$Z448),)</f>
        <v/>
      </c>
      <c r="DQ448" s="130">
        <f>IFERROR(if($Z448=0,($V448/1.35)*BE448,
BE448*$Z448),)</f>
        <v/>
      </c>
      <c r="DR448" s="130">
        <f>IFERROR(if($Z448=0,($V448/1.35)*BF448,
BF448*$Z448),)</f>
        <v/>
      </c>
      <c r="DS448" s="128">
        <f>IFERROR(IF($AB448=0,($V448/0.74)*BG448,
BG448*$AB448),)</f>
        <v/>
      </c>
      <c r="DT448" s="128">
        <f>IFERROR(IF($AB448=0,($V448/0.74)*BH448,
BH448*$AB448),)</f>
        <v/>
      </c>
      <c r="DU448" s="128">
        <f>IFERROR(IF($AB448=0,($V448/0.74)*BI448,
BI448*$AB448),)</f>
        <v/>
      </c>
    </row>
    <row r="449" ht="131.25" customHeight="1" s="162">
      <c r="A449" s="115" t="n"/>
      <c r="B449" s="115" t="n"/>
      <c r="C449" s="115" t="n"/>
      <c r="D449" s="115" t="n"/>
      <c r="E449" s="115" t="n"/>
      <c r="F449" s="115" t="n"/>
      <c r="G449" s="115" t="n"/>
      <c r="H449" s="115" t="n"/>
      <c r="I449" s="115" t="n"/>
      <c r="J449" s="115" t="n"/>
      <c r="K449" s="115" t="n"/>
      <c r="L449" s="115" t="n"/>
      <c r="M449" s="115" t="n"/>
      <c r="N449" s="115" t="n"/>
      <c r="O449" s="115" t="n"/>
      <c r="P449" s="115" t="n"/>
      <c r="Q449" s="115" t="n"/>
      <c r="R449" s="115" t="n"/>
      <c r="S449" s="115" t="n"/>
      <c r="T449" s="115" t="n"/>
      <c r="U449" s="116" t="n"/>
      <c r="V449" s="116" t="n"/>
      <c r="W449" s="117" t="n"/>
      <c r="X449" s="118" t="n"/>
      <c r="Y449" s="119" t="n"/>
      <c r="Z449" s="120" t="n"/>
      <c r="AA449" s="121" t="n"/>
      <c r="AB449" s="122" t="n"/>
      <c r="AC449" s="117" t="n"/>
      <c r="AD449" s="123">
        <f>IF(SUM($AE449:$AH449)=0,"",SUM($AE449:$AH449))</f>
        <v/>
      </c>
      <c r="AE449" s="123">
        <f>iferror(IF(SUM($AI449:$AZ449)=0,"",SUM($AI449:$AZ449)),"")</f>
        <v/>
      </c>
      <c r="AF449" s="123">
        <f>iferror(IF(SUM($BA449:$BC449)=0,"",SUM($BA449:$BC449)),"")</f>
        <v/>
      </c>
      <c r="AG449" s="123">
        <f>iferror(IF(SUM($BD449:$BF449)=0,"",SUM($BD449:$BF449)),"")</f>
        <v/>
      </c>
      <c r="AH449" s="124">
        <f>iferror(IF(SUM($BG449:$BI449)=0,"",SUM($BG449:$BI449)),"")</f>
        <v/>
      </c>
      <c r="AI449" s="131" t="n"/>
      <c r="AJ449" s="132" t="n"/>
      <c r="AK449" s="132" t="n"/>
      <c r="AL449" s="132" t="n"/>
      <c r="AM449" s="132" t="n"/>
      <c r="AN449" s="132" t="n"/>
      <c r="AO449" s="132" t="n"/>
      <c r="AP449" s="132" t="n"/>
      <c r="AQ449" s="132" t="n"/>
      <c r="AR449" s="132" t="n"/>
      <c r="AS449" s="132" t="n"/>
      <c r="AT449" s="132" t="n"/>
      <c r="AU449" s="132" t="n"/>
      <c r="AV449" s="132" t="n"/>
      <c r="AW449" s="132" t="n"/>
      <c r="AX449" s="132" t="n"/>
      <c r="AY449" s="132" t="n"/>
      <c r="AZ449" s="133" t="n"/>
      <c r="BA449" s="131" t="n"/>
      <c r="BB449" s="132" t="n"/>
      <c r="BC449" s="133" t="n"/>
      <c r="BD449" s="131" t="n"/>
      <c r="BE449" s="132" t="n"/>
      <c r="BF449" s="133" t="n"/>
      <c r="BG449" s="131" t="n"/>
      <c r="BH449" s="132" t="n"/>
      <c r="BI449" s="132" t="n"/>
      <c r="BJ449" s="128">
        <f>iferror(SUM($BK449,($BL449*1.2),($BM449*1.35),($BN449*0.74)),)</f>
        <v/>
      </c>
      <c r="BK449" s="128">
        <f>IFERROR(SUM($BT449:$CK449),)</f>
        <v/>
      </c>
      <c r="BL449" s="129">
        <f>IFERROR(SUM($CL449:$CN449),)</f>
        <v/>
      </c>
      <c r="BM449" s="130">
        <f>IFERROR(SUM($CO449:$CQ449),)</f>
        <v/>
      </c>
      <c r="BN449" s="128">
        <f>IFERROR(SUM($CR449:$CT449),)</f>
        <v/>
      </c>
      <c r="BO449" s="128">
        <f>iferror(SUM($BP449,($BQ449*1.2),($BR449*1.35),($BS449*0.74)),)</f>
        <v/>
      </c>
      <c r="BP449" s="128">
        <f>IFERROR(SUM($CU449:$DL449),)</f>
        <v/>
      </c>
      <c r="BQ449" s="128">
        <f>IFERROR(SUM($DM449:$DO449),)</f>
        <v/>
      </c>
      <c r="BR449" s="128">
        <f>IFERROR(SUM($DP449:$DR449),)</f>
        <v/>
      </c>
      <c r="BS449" s="128">
        <f>IFERROR(SUM($DS449:$DU449),)</f>
        <v/>
      </c>
      <c r="BT449" s="128">
        <f>IFERROR(AI449*$W449,)</f>
        <v/>
      </c>
      <c r="BU449" s="128">
        <f>IFERROR(AJ449*$W449,)</f>
        <v/>
      </c>
      <c r="BV449" s="128">
        <f>IFERROR(AK449*$W449,)</f>
        <v/>
      </c>
      <c r="BW449" s="128">
        <f>IFERROR(AL449*$W449,)</f>
        <v/>
      </c>
      <c r="BX449" s="128">
        <f>IFERROR(AM449*$W449,)</f>
        <v/>
      </c>
      <c r="BY449" s="128">
        <f>IFERROR(AN449*$W449,)</f>
        <v/>
      </c>
      <c r="BZ449" s="128">
        <f>IFERROR(AO449*$W449,)</f>
        <v/>
      </c>
      <c r="CA449" s="128">
        <f>IFERROR(AP449*$W449,)</f>
        <v/>
      </c>
      <c r="CB449" s="128">
        <f>IFERROR(AQ449*$W449,)</f>
        <v/>
      </c>
      <c r="CC449" s="128">
        <f>IFERROR(AR449*$W449,)</f>
        <v/>
      </c>
      <c r="CD449" s="128">
        <f>IFERROR(AS449*$W449,)</f>
        <v/>
      </c>
      <c r="CE449" s="128">
        <f>IFERROR(AT449*$W449,)</f>
        <v/>
      </c>
      <c r="CF449" s="128">
        <f>IFERROR(AU449*$W449,)</f>
        <v/>
      </c>
      <c r="CG449" s="128">
        <f>IFERROR(AV449*$W449,)</f>
        <v/>
      </c>
      <c r="CH449" s="128">
        <f>IFERROR(AW449*$W449,)</f>
        <v/>
      </c>
      <c r="CI449" s="128">
        <f>IFERROR(AX449*$W449,)</f>
        <v/>
      </c>
      <c r="CJ449" s="128">
        <f>IFERROR(AY449*$W449,)</f>
        <v/>
      </c>
      <c r="CK449" s="128">
        <f>IFERROR(AZ449*$W449,)</f>
        <v/>
      </c>
      <c r="CL449" s="129">
        <f>IFERROR(if($Y449=0,BA449*($W449/1.2),BA449*$Y449),"")</f>
        <v/>
      </c>
      <c r="CM449" s="129">
        <f>IFERROR(if($Y449=0,BB449*($W449/1.2),BB449*$Y449),"")</f>
        <v/>
      </c>
      <c r="CN449" s="129">
        <f>IFERROR(if($Y449=0,BC449*($W449/1.2),BC449*$Y449),"")</f>
        <v/>
      </c>
      <c r="CO449" s="130">
        <f>IFERROR(if($AA449=0,($W449/1.35)*BD449,BD449*$AA449),)</f>
        <v/>
      </c>
      <c r="CP449" s="130">
        <f>IFERROR(if($AA449=0,($W449/1.35)*BE449,BE449*$AA449),)</f>
        <v/>
      </c>
      <c r="CQ449" s="130">
        <f>IFERROR(if($AA449=0,($W449/1.35)*BF449,BF449*$AA449),)</f>
        <v/>
      </c>
      <c r="CR449" s="128">
        <f>IFERROR(if($AC449=0,($W449/0.74)*BG449,
BG449*$AC449),)</f>
        <v/>
      </c>
      <c r="CS449" s="128">
        <f>IFERROR(if($AC449=0,($W449/0.74)*BH449,
BH449*$AC449),)</f>
        <v/>
      </c>
      <c r="CT449" s="128">
        <f>IFERROR(if($AC449=0,($W449/0.74)*BI449,
BI449*$AC449),)</f>
        <v/>
      </c>
      <c r="CU449" s="128">
        <f>IFERROR(AI449*$V449,)</f>
        <v/>
      </c>
      <c r="CV449" s="128">
        <f>IFERROR(AJ449*$V449,)</f>
        <v/>
      </c>
      <c r="CW449" s="128">
        <f>IFERROR(AK449*$V449,)</f>
        <v/>
      </c>
      <c r="CX449" s="128">
        <f>IFERROR(AL449*$V449,)</f>
        <v/>
      </c>
      <c r="CY449" s="128">
        <f>IFERROR(AM449*$V449,)</f>
        <v/>
      </c>
      <c r="CZ449" s="128">
        <f>IFERROR(AN449*$V449,)</f>
        <v/>
      </c>
      <c r="DA449" s="128">
        <f>IFERROR(AO449*$V449,)</f>
        <v/>
      </c>
      <c r="DB449" s="128">
        <f>IFERROR(AP449*$V449,)</f>
        <v/>
      </c>
      <c r="DC449" s="128">
        <f>IFERROR(AQ449*$V449,)</f>
        <v/>
      </c>
      <c r="DD449" s="128">
        <f>IFERROR(AR449*$V449,)</f>
        <v/>
      </c>
      <c r="DE449" s="128">
        <f>IFERROR(AS449*$V449,)</f>
        <v/>
      </c>
      <c r="DF449" s="128">
        <f>IFERROR(AT449*$V449,)</f>
        <v/>
      </c>
      <c r="DG449" s="128">
        <f>IFERROR(AU449*$V449,)</f>
        <v/>
      </c>
      <c r="DH449" s="128">
        <f>IFERROR(AV449*$V449,)</f>
        <v/>
      </c>
      <c r="DI449" s="128">
        <f>IFERROR(AW449*$V449,)</f>
        <v/>
      </c>
      <c r="DJ449" s="128">
        <f>IFERROR(AX449*$V449,)</f>
        <v/>
      </c>
      <c r="DK449" s="128">
        <f>IFERROR(AY449*$V449,)</f>
        <v/>
      </c>
      <c r="DL449" s="128">
        <f>IFERROR(AZ449*$V449,)</f>
        <v/>
      </c>
      <c r="DM449" s="129">
        <f>IFERROR(if($X449=0,($V449/1.2)*BA449,
BA449*$X449),)</f>
        <v/>
      </c>
      <c r="DN449" s="129">
        <f>IFERROR(if($X449=0,($V449/1.2)*BB449,
BB449*$X449),)</f>
        <v/>
      </c>
      <c r="DO449" s="129">
        <f>IFERROR(if($X449=0,($V449/1.2)*BC449,
BC449*$X449),)</f>
        <v/>
      </c>
      <c r="DP449" s="130">
        <f>IFERROR(if($Z449=0,($V449/1.35)*BD449,
BD449*$Z449),)</f>
        <v/>
      </c>
      <c r="DQ449" s="130">
        <f>IFERROR(if($Z449=0,($V449/1.35)*BE449,
BE449*$Z449),)</f>
        <v/>
      </c>
      <c r="DR449" s="130">
        <f>IFERROR(if($Z449=0,($V449/1.35)*BF449,
BF449*$Z449),)</f>
        <v/>
      </c>
      <c r="DS449" s="128">
        <f>IFERROR(IF($AB449=0,($V449/0.74)*BG449,
BG449*$AB449),)</f>
        <v/>
      </c>
      <c r="DT449" s="128">
        <f>IFERROR(IF($AB449=0,($V449/0.74)*BH449,
BH449*$AB449),)</f>
        <v/>
      </c>
      <c r="DU449" s="128">
        <f>IFERROR(IF($AB449=0,($V449/0.74)*BI449,
BI449*$AB449),)</f>
        <v/>
      </c>
    </row>
    <row r="450" ht="131.25" customHeight="1" s="162">
      <c r="A450" s="115" t="n"/>
      <c r="B450" s="115" t="n"/>
      <c r="C450" s="115" t="n"/>
      <c r="D450" s="115" t="n"/>
      <c r="E450" s="115" t="n"/>
      <c r="F450" s="115" t="n"/>
      <c r="G450" s="115" t="n"/>
      <c r="H450" s="115" t="n"/>
      <c r="I450" s="115" t="n"/>
      <c r="J450" s="115" t="n"/>
      <c r="K450" s="115" t="n"/>
      <c r="L450" s="115" t="n"/>
      <c r="M450" s="115" t="n"/>
      <c r="N450" s="115" t="n"/>
      <c r="O450" s="115" t="n"/>
      <c r="P450" s="115" t="n"/>
      <c r="Q450" s="115" t="n"/>
      <c r="R450" s="115" t="n"/>
      <c r="S450" s="115" t="n"/>
      <c r="T450" s="115" t="n"/>
      <c r="U450" s="116" t="n"/>
      <c r="V450" s="116" t="n"/>
      <c r="W450" s="117" t="n"/>
      <c r="X450" s="118" t="n"/>
      <c r="Y450" s="119" t="n"/>
      <c r="Z450" s="120" t="n"/>
      <c r="AA450" s="121" t="n"/>
      <c r="AB450" s="122" t="n"/>
      <c r="AC450" s="117" t="n"/>
      <c r="AD450" s="123">
        <f>IF(SUM($AE450:$AH450)=0,"",SUM($AE450:$AH450))</f>
        <v/>
      </c>
      <c r="AE450" s="123">
        <f>iferror(IF(SUM($AI450:$AZ450)=0,"",SUM($AI450:$AZ450)),"")</f>
        <v/>
      </c>
      <c r="AF450" s="123">
        <f>iferror(IF(SUM($BA450:$BC450)=0,"",SUM($BA450:$BC450)),"")</f>
        <v/>
      </c>
      <c r="AG450" s="123">
        <f>iferror(IF(SUM($BD450:$BF450)=0,"",SUM($BD450:$BF450)),"")</f>
        <v/>
      </c>
      <c r="AH450" s="124">
        <f>iferror(IF(SUM($BG450:$BI450)=0,"",SUM($BG450:$BI450)),"")</f>
        <v/>
      </c>
      <c r="AI450" s="131" t="n"/>
      <c r="AJ450" s="132" t="n"/>
      <c r="AK450" s="132" t="n"/>
      <c r="AL450" s="132" t="n"/>
      <c r="AM450" s="132" t="n"/>
      <c r="AN450" s="132" t="n"/>
      <c r="AO450" s="132" t="n"/>
      <c r="AP450" s="132" t="n"/>
      <c r="AQ450" s="132" t="n"/>
      <c r="AR450" s="132" t="n"/>
      <c r="AS450" s="132" t="n"/>
      <c r="AT450" s="132" t="n"/>
      <c r="AU450" s="132" t="n"/>
      <c r="AV450" s="132" t="n"/>
      <c r="AW450" s="132" t="n"/>
      <c r="AX450" s="132" t="n"/>
      <c r="AY450" s="132" t="n"/>
      <c r="AZ450" s="133" t="n"/>
      <c r="BA450" s="131" t="n"/>
      <c r="BB450" s="132" t="n"/>
      <c r="BC450" s="133" t="n"/>
      <c r="BD450" s="131" t="n"/>
      <c r="BE450" s="132" t="n"/>
      <c r="BF450" s="133" t="n"/>
      <c r="BG450" s="131" t="n"/>
      <c r="BH450" s="132" t="n"/>
      <c r="BI450" s="132" t="n"/>
      <c r="BJ450" s="128">
        <f>iferror(SUM($BK450,($BL450*1.2),($BM450*1.35),($BN450*0.74)),)</f>
        <v/>
      </c>
      <c r="BK450" s="128">
        <f>IFERROR(SUM($BT450:$CK450),)</f>
        <v/>
      </c>
      <c r="BL450" s="129">
        <f>IFERROR(SUM($CL450:$CN450),)</f>
        <v/>
      </c>
      <c r="BM450" s="130">
        <f>IFERROR(SUM($CO450:$CQ450),)</f>
        <v/>
      </c>
      <c r="BN450" s="128">
        <f>IFERROR(SUM($CR450:$CT450),)</f>
        <v/>
      </c>
      <c r="BO450" s="128">
        <f>iferror(SUM($BP450,($BQ450*1.2),($BR450*1.35),($BS450*0.74)),)</f>
        <v/>
      </c>
      <c r="BP450" s="128">
        <f>IFERROR(SUM($CU450:$DL450),)</f>
        <v/>
      </c>
      <c r="BQ450" s="128">
        <f>IFERROR(SUM($DM450:$DO450),)</f>
        <v/>
      </c>
      <c r="BR450" s="128">
        <f>IFERROR(SUM($DP450:$DR450),)</f>
        <v/>
      </c>
      <c r="BS450" s="128">
        <f>IFERROR(SUM($DS450:$DU450),)</f>
        <v/>
      </c>
      <c r="BT450" s="128">
        <f>IFERROR(AI450*$W450,)</f>
        <v/>
      </c>
      <c r="BU450" s="128">
        <f>IFERROR(AJ450*$W450,)</f>
        <v/>
      </c>
      <c r="BV450" s="128">
        <f>IFERROR(AK450*$W450,)</f>
        <v/>
      </c>
      <c r="BW450" s="128">
        <f>IFERROR(AL450*$W450,)</f>
        <v/>
      </c>
      <c r="BX450" s="128">
        <f>IFERROR(AM450*$W450,)</f>
        <v/>
      </c>
      <c r="BY450" s="128">
        <f>IFERROR(AN450*$W450,)</f>
        <v/>
      </c>
      <c r="BZ450" s="128">
        <f>IFERROR(AO450*$W450,)</f>
        <v/>
      </c>
      <c r="CA450" s="128">
        <f>IFERROR(AP450*$W450,)</f>
        <v/>
      </c>
      <c r="CB450" s="128">
        <f>IFERROR(AQ450*$W450,)</f>
        <v/>
      </c>
      <c r="CC450" s="128">
        <f>IFERROR(AR450*$W450,)</f>
        <v/>
      </c>
      <c r="CD450" s="128">
        <f>IFERROR(AS450*$W450,)</f>
        <v/>
      </c>
      <c r="CE450" s="128">
        <f>IFERROR(AT450*$W450,)</f>
        <v/>
      </c>
      <c r="CF450" s="128">
        <f>IFERROR(AU450*$W450,)</f>
        <v/>
      </c>
      <c r="CG450" s="128">
        <f>IFERROR(AV450*$W450,)</f>
        <v/>
      </c>
      <c r="CH450" s="128">
        <f>IFERROR(AW450*$W450,)</f>
        <v/>
      </c>
      <c r="CI450" s="128">
        <f>IFERROR(AX450*$W450,)</f>
        <v/>
      </c>
      <c r="CJ450" s="128">
        <f>IFERROR(AY450*$W450,)</f>
        <v/>
      </c>
      <c r="CK450" s="128">
        <f>IFERROR(AZ450*$W450,)</f>
        <v/>
      </c>
      <c r="CL450" s="129">
        <f>IFERROR(if($Y450=0,BA450*($W450/1.2),BA450*$Y450),"")</f>
        <v/>
      </c>
      <c r="CM450" s="129">
        <f>IFERROR(if($Y450=0,BB450*($W450/1.2),BB450*$Y450),"")</f>
        <v/>
      </c>
      <c r="CN450" s="129">
        <f>IFERROR(if($Y450=0,BC450*($W450/1.2),BC450*$Y450),"")</f>
        <v/>
      </c>
      <c r="CO450" s="130">
        <f>IFERROR(if($AA450=0,($W450/1.35)*BD450,BD450*$AA450),)</f>
        <v/>
      </c>
      <c r="CP450" s="130">
        <f>IFERROR(if($AA450=0,($W450/1.35)*BE450,BE450*$AA450),)</f>
        <v/>
      </c>
      <c r="CQ450" s="130">
        <f>IFERROR(if($AA450=0,($W450/1.35)*BF450,BF450*$AA450),)</f>
        <v/>
      </c>
      <c r="CR450" s="128">
        <f>IFERROR(if($AC450=0,($W450/0.74)*BG450,
BG450*$AC450),)</f>
        <v/>
      </c>
      <c r="CS450" s="128">
        <f>IFERROR(if($AC450=0,($W450/0.74)*BH450,
BH450*$AC450),)</f>
        <v/>
      </c>
      <c r="CT450" s="128">
        <f>IFERROR(if($AC450=0,($W450/0.74)*BI450,
BI450*$AC450),)</f>
        <v/>
      </c>
      <c r="CU450" s="128">
        <f>IFERROR(AI450*$V450,)</f>
        <v/>
      </c>
      <c r="CV450" s="128">
        <f>IFERROR(AJ450*$V450,)</f>
        <v/>
      </c>
      <c r="CW450" s="128">
        <f>IFERROR(AK450*$V450,)</f>
        <v/>
      </c>
      <c r="CX450" s="128">
        <f>IFERROR(AL450*$V450,)</f>
        <v/>
      </c>
      <c r="CY450" s="128">
        <f>IFERROR(AM450*$V450,)</f>
        <v/>
      </c>
      <c r="CZ450" s="128">
        <f>IFERROR(AN450*$V450,)</f>
        <v/>
      </c>
      <c r="DA450" s="128">
        <f>IFERROR(AO450*$V450,)</f>
        <v/>
      </c>
      <c r="DB450" s="128">
        <f>IFERROR(AP450*$V450,)</f>
        <v/>
      </c>
      <c r="DC450" s="128">
        <f>IFERROR(AQ450*$V450,)</f>
        <v/>
      </c>
      <c r="DD450" s="128">
        <f>IFERROR(AR450*$V450,)</f>
        <v/>
      </c>
      <c r="DE450" s="128">
        <f>IFERROR(AS450*$V450,)</f>
        <v/>
      </c>
      <c r="DF450" s="128">
        <f>IFERROR(AT450*$V450,)</f>
        <v/>
      </c>
      <c r="DG450" s="128">
        <f>IFERROR(AU450*$V450,)</f>
        <v/>
      </c>
      <c r="DH450" s="128">
        <f>IFERROR(AV450*$V450,)</f>
        <v/>
      </c>
      <c r="DI450" s="128">
        <f>IFERROR(AW450*$V450,)</f>
        <v/>
      </c>
      <c r="DJ450" s="128">
        <f>IFERROR(AX450*$V450,)</f>
        <v/>
      </c>
      <c r="DK450" s="128">
        <f>IFERROR(AY450*$V450,)</f>
        <v/>
      </c>
      <c r="DL450" s="128">
        <f>IFERROR(AZ450*$V450,)</f>
        <v/>
      </c>
      <c r="DM450" s="129">
        <f>IFERROR(if($X450=0,($V450/1.2)*BA450,
BA450*$X450),)</f>
        <v/>
      </c>
      <c r="DN450" s="129">
        <f>IFERROR(if($X450=0,($V450/1.2)*BB450,
BB450*$X450),)</f>
        <v/>
      </c>
      <c r="DO450" s="129">
        <f>IFERROR(if($X450=0,($V450/1.2)*BC450,
BC450*$X450),)</f>
        <v/>
      </c>
      <c r="DP450" s="130">
        <f>IFERROR(if($Z450=0,($V450/1.35)*BD450,
BD450*$Z450),)</f>
        <v/>
      </c>
      <c r="DQ450" s="130">
        <f>IFERROR(if($Z450=0,($V450/1.35)*BE450,
BE450*$Z450),)</f>
        <v/>
      </c>
      <c r="DR450" s="130">
        <f>IFERROR(if($Z450=0,($V450/1.35)*BF450,
BF450*$Z450),)</f>
        <v/>
      </c>
      <c r="DS450" s="128">
        <f>IFERROR(IF($AB450=0,($V450/0.74)*BG450,
BG450*$AB450),)</f>
        <v/>
      </c>
      <c r="DT450" s="128">
        <f>IFERROR(IF($AB450=0,($V450/0.74)*BH450,
BH450*$AB450),)</f>
        <v/>
      </c>
      <c r="DU450" s="128">
        <f>IFERROR(IF($AB450=0,($V450/0.74)*BI450,
BI450*$AB450),)</f>
        <v/>
      </c>
    </row>
    <row r="451" ht="131.25" customHeight="1" s="162">
      <c r="A451" s="115" t="n"/>
      <c r="B451" s="115" t="n"/>
      <c r="C451" s="115" t="n"/>
      <c r="D451" s="115" t="n"/>
      <c r="E451" s="115" t="n"/>
      <c r="F451" s="115" t="n"/>
      <c r="G451" s="115" t="n"/>
      <c r="H451" s="115" t="n"/>
      <c r="I451" s="115" t="n"/>
      <c r="J451" s="115" t="n"/>
      <c r="K451" s="115" t="n"/>
      <c r="L451" s="115" t="n"/>
      <c r="M451" s="115" t="n"/>
      <c r="N451" s="115" t="n"/>
      <c r="O451" s="115" t="n"/>
      <c r="P451" s="115" t="n"/>
      <c r="Q451" s="115" t="n"/>
      <c r="R451" s="115" t="n"/>
      <c r="S451" s="115" t="n"/>
      <c r="T451" s="115" t="n"/>
      <c r="U451" s="116" t="n"/>
      <c r="V451" s="116" t="n"/>
      <c r="W451" s="117" t="n"/>
      <c r="X451" s="118" t="n"/>
      <c r="Y451" s="119" t="n"/>
      <c r="Z451" s="120" t="n"/>
      <c r="AA451" s="121" t="n"/>
      <c r="AB451" s="122" t="n"/>
      <c r="AC451" s="117" t="n"/>
      <c r="AD451" s="123">
        <f>IF(SUM($AE451:$AH451)=0,"",SUM($AE451:$AH451))</f>
        <v/>
      </c>
      <c r="AE451" s="123">
        <f>iferror(IF(SUM($AI451:$AZ451)=0,"",SUM($AI451:$AZ451)),"")</f>
        <v/>
      </c>
      <c r="AF451" s="123">
        <f>iferror(IF(SUM($BA451:$BC451)=0,"",SUM($BA451:$BC451)),"")</f>
        <v/>
      </c>
      <c r="AG451" s="123">
        <f>iferror(IF(SUM($BD451:$BF451)=0,"",SUM($BD451:$BF451)),"")</f>
        <v/>
      </c>
      <c r="AH451" s="124">
        <f>iferror(IF(SUM($BG451:$BI451)=0,"",SUM($BG451:$BI451)),"")</f>
        <v/>
      </c>
      <c r="AI451" s="131" t="n"/>
      <c r="AJ451" s="132" t="n"/>
      <c r="AK451" s="132" t="n"/>
      <c r="AL451" s="132" t="n"/>
      <c r="AM451" s="132" t="n"/>
      <c r="AN451" s="132" t="n"/>
      <c r="AO451" s="132" t="n"/>
      <c r="AP451" s="132" t="n"/>
      <c r="AQ451" s="132" t="n"/>
      <c r="AR451" s="132" t="n"/>
      <c r="AS451" s="132" t="n"/>
      <c r="AT451" s="132" t="n"/>
      <c r="AU451" s="132" t="n"/>
      <c r="AV451" s="132" t="n"/>
      <c r="AW451" s="132" t="n"/>
      <c r="AX451" s="132" t="n"/>
      <c r="AY451" s="132" t="n"/>
      <c r="AZ451" s="133" t="n"/>
      <c r="BA451" s="131" t="n"/>
      <c r="BB451" s="132" t="n"/>
      <c r="BC451" s="133" t="n"/>
      <c r="BD451" s="131" t="n"/>
      <c r="BE451" s="132" t="n"/>
      <c r="BF451" s="133" t="n"/>
      <c r="BG451" s="131" t="n"/>
      <c r="BH451" s="132" t="n"/>
      <c r="BI451" s="132" t="n"/>
      <c r="BJ451" s="128">
        <f>iferror(SUM($BK451,($BL451*1.2),($BM451*1.35),($BN451*0.74)),)</f>
        <v/>
      </c>
      <c r="BK451" s="128">
        <f>IFERROR(SUM($BT451:$CK451),)</f>
        <v/>
      </c>
      <c r="BL451" s="129">
        <f>IFERROR(SUM($CL451:$CN451),)</f>
        <v/>
      </c>
      <c r="BM451" s="130">
        <f>IFERROR(SUM($CO451:$CQ451),)</f>
        <v/>
      </c>
      <c r="BN451" s="128">
        <f>IFERROR(SUM($CR451:$CT451),)</f>
        <v/>
      </c>
      <c r="BO451" s="128">
        <f>iferror(SUM($BP451,($BQ451*1.2),($BR451*1.35),($BS451*0.74)),)</f>
        <v/>
      </c>
      <c r="BP451" s="128">
        <f>IFERROR(SUM($CU451:$DL451),)</f>
        <v/>
      </c>
      <c r="BQ451" s="128">
        <f>IFERROR(SUM($DM451:$DO451),)</f>
        <v/>
      </c>
      <c r="BR451" s="128">
        <f>IFERROR(SUM($DP451:$DR451),)</f>
        <v/>
      </c>
      <c r="BS451" s="128">
        <f>IFERROR(SUM($DS451:$DU451),)</f>
        <v/>
      </c>
      <c r="BT451" s="128">
        <f>IFERROR(AI451*$W451,)</f>
        <v/>
      </c>
      <c r="BU451" s="128">
        <f>IFERROR(AJ451*$W451,)</f>
        <v/>
      </c>
      <c r="BV451" s="128">
        <f>IFERROR(AK451*$W451,)</f>
        <v/>
      </c>
      <c r="BW451" s="128">
        <f>IFERROR(AL451*$W451,)</f>
        <v/>
      </c>
      <c r="BX451" s="128">
        <f>IFERROR(AM451*$W451,)</f>
        <v/>
      </c>
      <c r="BY451" s="128">
        <f>IFERROR(AN451*$W451,)</f>
        <v/>
      </c>
      <c r="BZ451" s="128">
        <f>IFERROR(AO451*$W451,)</f>
        <v/>
      </c>
      <c r="CA451" s="128">
        <f>IFERROR(AP451*$W451,)</f>
        <v/>
      </c>
      <c r="CB451" s="128">
        <f>IFERROR(AQ451*$W451,)</f>
        <v/>
      </c>
      <c r="CC451" s="128">
        <f>IFERROR(AR451*$W451,)</f>
        <v/>
      </c>
      <c r="CD451" s="128">
        <f>IFERROR(AS451*$W451,)</f>
        <v/>
      </c>
      <c r="CE451" s="128">
        <f>IFERROR(AT451*$W451,)</f>
        <v/>
      </c>
      <c r="CF451" s="128">
        <f>IFERROR(AU451*$W451,)</f>
        <v/>
      </c>
      <c r="CG451" s="128">
        <f>IFERROR(AV451*$W451,)</f>
        <v/>
      </c>
      <c r="CH451" s="128">
        <f>IFERROR(AW451*$W451,)</f>
        <v/>
      </c>
      <c r="CI451" s="128">
        <f>IFERROR(AX451*$W451,)</f>
        <v/>
      </c>
      <c r="CJ451" s="128">
        <f>IFERROR(AY451*$W451,)</f>
        <v/>
      </c>
      <c r="CK451" s="128">
        <f>IFERROR(AZ451*$W451,)</f>
        <v/>
      </c>
      <c r="CL451" s="129">
        <f>IFERROR(if($Y451=0,BA451*($W451/1.2),BA451*$Y451),"")</f>
        <v/>
      </c>
      <c r="CM451" s="129">
        <f>IFERROR(if($Y451=0,BB451*($W451/1.2),BB451*$Y451),"")</f>
        <v/>
      </c>
      <c r="CN451" s="129">
        <f>IFERROR(if($Y451=0,BC451*($W451/1.2),BC451*$Y451),"")</f>
        <v/>
      </c>
      <c r="CO451" s="130">
        <f>IFERROR(if($AA451=0,($W451/1.35)*BD451,BD451*$AA451),)</f>
        <v/>
      </c>
      <c r="CP451" s="130">
        <f>IFERROR(if($AA451=0,($W451/1.35)*BE451,BE451*$AA451),)</f>
        <v/>
      </c>
      <c r="CQ451" s="130">
        <f>IFERROR(if($AA451=0,($W451/1.35)*BF451,BF451*$AA451),)</f>
        <v/>
      </c>
      <c r="CR451" s="128">
        <f>IFERROR(if($AC451=0,($W451/0.74)*BG451,
BG451*$AC451),)</f>
        <v/>
      </c>
      <c r="CS451" s="128">
        <f>IFERROR(if($AC451=0,($W451/0.74)*BH451,
BH451*$AC451),)</f>
        <v/>
      </c>
      <c r="CT451" s="128">
        <f>IFERROR(if($AC451=0,($W451/0.74)*BI451,
BI451*$AC451),)</f>
        <v/>
      </c>
      <c r="CU451" s="128">
        <f>IFERROR(AI451*$V451,)</f>
        <v/>
      </c>
      <c r="CV451" s="128">
        <f>IFERROR(AJ451*$V451,)</f>
        <v/>
      </c>
      <c r="CW451" s="128">
        <f>IFERROR(AK451*$V451,)</f>
        <v/>
      </c>
      <c r="CX451" s="128">
        <f>IFERROR(AL451*$V451,)</f>
        <v/>
      </c>
      <c r="CY451" s="128">
        <f>IFERROR(AM451*$V451,)</f>
        <v/>
      </c>
      <c r="CZ451" s="128">
        <f>IFERROR(AN451*$V451,)</f>
        <v/>
      </c>
      <c r="DA451" s="128">
        <f>IFERROR(AO451*$V451,)</f>
        <v/>
      </c>
      <c r="DB451" s="128">
        <f>IFERROR(AP451*$V451,)</f>
        <v/>
      </c>
      <c r="DC451" s="128">
        <f>IFERROR(AQ451*$V451,)</f>
        <v/>
      </c>
      <c r="DD451" s="128">
        <f>IFERROR(AR451*$V451,)</f>
        <v/>
      </c>
      <c r="DE451" s="128">
        <f>IFERROR(AS451*$V451,)</f>
        <v/>
      </c>
      <c r="DF451" s="128">
        <f>IFERROR(AT451*$V451,)</f>
        <v/>
      </c>
      <c r="DG451" s="128">
        <f>IFERROR(AU451*$V451,)</f>
        <v/>
      </c>
      <c r="DH451" s="128">
        <f>IFERROR(AV451*$V451,)</f>
        <v/>
      </c>
      <c r="DI451" s="128">
        <f>IFERROR(AW451*$V451,)</f>
        <v/>
      </c>
      <c r="DJ451" s="128">
        <f>IFERROR(AX451*$V451,)</f>
        <v/>
      </c>
      <c r="DK451" s="128">
        <f>IFERROR(AY451*$V451,)</f>
        <v/>
      </c>
      <c r="DL451" s="128">
        <f>IFERROR(AZ451*$V451,)</f>
        <v/>
      </c>
      <c r="DM451" s="129">
        <f>IFERROR(if($X451=0,($V451/1.2)*BA451,
BA451*$X451),)</f>
        <v/>
      </c>
      <c r="DN451" s="129">
        <f>IFERROR(if($X451=0,($V451/1.2)*BB451,
BB451*$X451),)</f>
        <v/>
      </c>
      <c r="DO451" s="129">
        <f>IFERROR(if($X451=0,($V451/1.2)*BC451,
BC451*$X451),)</f>
        <v/>
      </c>
      <c r="DP451" s="130">
        <f>IFERROR(if($Z451=0,($V451/1.35)*BD451,
BD451*$Z451),)</f>
        <v/>
      </c>
      <c r="DQ451" s="130">
        <f>IFERROR(if($Z451=0,($V451/1.35)*BE451,
BE451*$Z451),)</f>
        <v/>
      </c>
      <c r="DR451" s="130">
        <f>IFERROR(if($Z451=0,($V451/1.35)*BF451,
BF451*$Z451),)</f>
        <v/>
      </c>
      <c r="DS451" s="128">
        <f>IFERROR(IF($AB451=0,($V451/0.74)*BG451,
BG451*$AB451),)</f>
        <v/>
      </c>
      <c r="DT451" s="128">
        <f>IFERROR(IF($AB451=0,($V451/0.74)*BH451,
BH451*$AB451),)</f>
        <v/>
      </c>
      <c r="DU451" s="128">
        <f>IFERROR(IF($AB451=0,($V451/0.74)*BI451,
BI451*$AB451),)</f>
        <v/>
      </c>
    </row>
    <row r="452" ht="131.25" customHeight="1" s="162">
      <c r="A452" s="115" t="n"/>
      <c r="B452" s="115" t="n"/>
      <c r="C452" s="115" t="n"/>
      <c r="D452" s="115" t="n"/>
      <c r="E452" s="115" t="n"/>
      <c r="F452" s="115" t="n"/>
      <c r="G452" s="115" t="n"/>
      <c r="H452" s="115" t="n"/>
      <c r="I452" s="115" t="n"/>
      <c r="J452" s="115" t="n"/>
      <c r="K452" s="115" t="n"/>
      <c r="L452" s="115" t="n"/>
      <c r="M452" s="115" t="n"/>
      <c r="N452" s="115" t="n"/>
      <c r="O452" s="115" t="n"/>
      <c r="P452" s="115" t="n"/>
      <c r="Q452" s="115" t="n"/>
      <c r="R452" s="115" t="n"/>
      <c r="S452" s="115" t="n"/>
      <c r="T452" s="115" t="n"/>
      <c r="U452" s="116" t="n"/>
      <c r="V452" s="116" t="n"/>
      <c r="W452" s="117" t="n"/>
      <c r="X452" s="118" t="n"/>
      <c r="Y452" s="119" t="n"/>
      <c r="Z452" s="120" t="n"/>
      <c r="AA452" s="121" t="n"/>
      <c r="AB452" s="122" t="n"/>
      <c r="AC452" s="117" t="n"/>
      <c r="AD452" s="123">
        <f>IF(SUM($AE452:$AH452)=0,"",SUM($AE452:$AH452))</f>
        <v/>
      </c>
      <c r="AE452" s="123">
        <f>iferror(IF(SUM($AI452:$AZ452)=0,"",SUM($AI452:$AZ452)),"")</f>
        <v/>
      </c>
      <c r="AF452" s="123">
        <f>iferror(IF(SUM($BA452:$BC452)=0,"",SUM($BA452:$BC452)),"")</f>
        <v/>
      </c>
      <c r="AG452" s="123">
        <f>iferror(IF(SUM($BD452:$BF452)=0,"",SUM($BD452:$BF452)),"")</f>
        <v/>
      </c>
      <c r="AH452" s="124">
        <f>iferror(IF(SUM($BG452:$BI452)=0,"",SUM($BG452:$BI452)),"")</f>
        <v/>
      </c>
      <c r="AI452" s="131" t="n"/>
      <c r="AJ452" s="132" t="n"/>
      <c r="AK452" s="132" t="n"/>
      <c r="AL452" s="132" t="n"/>
      <c r="AM452" s="132" t="n"/>
      <c r="AN452" s="132" t="n"/>
      <c r="AO452" s="132" t="n"/>
      <c r="AP452" s="132" t="n"/>
      <c r="AQ452" s="132" t="n"/>
      <c r="AR452" s="132" t="n"/>
      <c r="AS452" s="132" t="n"/>
      <c r="AT452" s="132" t="n"/>
      <c r="AU452" s="132" t="n"/>
      <c r="AV452" s="132" t="n"/>
      <c r="AW452" s="132" t="n"/>
      <c r="AX452" s="132" t="n"/>
      <c r="AY452" s="132" t="n"/>
      <c r="AZ452" s="133" t="n"/>
      <c r="BA452" s="131" t="n"/>
      <c r="BB452" s="132" t="n"/>
      <c r="BC452" s="133" t="n"/>
      <c r="BD452" s="131" t="n"/>
      <c r="BE452" s="132" t="n"/>
      <c r="BF452" s="133" t="n"/>
      <c r="BG452" s="131" t="n"/>
      <c r="BH452" s="132" t="n"/>
      <c r="BI452" s="132" t="n"/>
      <c r="BJ452" s="128">
        <f>iferror(SUM($BK452,($BL452*1.2),($BM452*1.35),($BN452*0.74)),)</f>
        <v/>
      </c>
      <c r="BK452" s="128">
        <f>IFERROR(SUM($BT452:$CK452),)</f>
        <v/>
      </c>
      <c r="BL452" s="129">
        <f>IFERROR(SUM($CL452:$CN452),)</f>
        <v/>
      </c>
      <c r="BM452" s="130">
        <f>IFERROR(SUM($CO452:$CQ452),)</f>
        <v/>
      </c>
      <c r="BN452" s="128">
        <f>IFERROR(SUM($CR452:$CT452),)</f>
        <v/>
      </c>
      <c r="BO452" s="128">
        <f>iferror(SUM($BP452,($BQ452*1.2),($BR452*1.35),($BS452*0.74)),)</f>
        <v/>
      </c>
      <c r="BP452" s="128">
        <f>IFERROR(SUM($CU452:$DL452),)</f>
        <v/>
      </c>
      <c r="BQ452" s="128">
        <f>IFERROR(SUM($DM452:$DO452),)</f>
        <v/>
      </c>
      <c r="BR452" s="128">
        <f>IFERROR(SUM($DP452:$DR452),)</f>
        <v/>
      </c>
      <c r="BS452" s="128">
        <f>IFERROR(SUM($DS452:$DU452),)</f>
        <v/>
      </c>
      <c r="BT452" s="128">
        <f>IFERROR(AI452*$W452,)</f>
        <v/>
      </c>
      <c r="BU452" s="128">
        <f>IFERROR(AJ452*$W452,)</f>
        <v/>
      </c>
      <c r="BV452" s="128">
        <f>IFERROR(AK452*$W452,)</f>
        <v/>
      </c>
      <c r="BW452" s="128">
        <f>IFERROR(AL452*$W452,)</f>
        <v/>
      </c>
      <c r="BX452" s="128">
        <f>IFERROR(AM452*$W452,)</f>
        <v/>
      </c>
      <c r="BY452" s="128">
        <f>IFERROR(AN452*$W452,)</f>
        <v/>
      </c>
      <c r="BZ452" s="128">
        <f>IFERROR(AO452*$W452,)</f>
        <v/>
      </c>
      <c r="CA452" s="128">
        <f>IFERROR(AP452*$W452,)</f>
        <v/>
      </c>
      <c r="CB452" s="128">
        <f>IFERROR(AQ452*$W452,)</f>
        <v/>
      </c>
      <c r="CC452" s="128">
        <f>IFERROR(AR452*$W452,)</f>
        <v/>
      </c>
      <c r="CD452" s="128">
        <f>IFERROR(AS452*$W452,)</f>
        <v/>
      </c>
      <c r="CE452" s="128">
        <f>IFERROR(AT452*$W452,)</f>
        <v/>
      </c>
      <c r="CF452" s="128">
        <f>IFERROR(AU452*$W452,)</f>
        <v/>
      </c>
      <c r="CG452" s="128">
        <f>IFERROR(AV452*$W452,)</f>
        <v/>
      </c>
      <c r="CH452" s="128">
        <f>IFERROR(AW452*$W452,)</f>
        <v/>
      </c>
      <c r="CI452" s="128">
        <f>IFERROR(AX452*$W452,)</f>
        <v/>
      </c>
      <c r="CJ452" s="128">
        <f>IFERROR(AY452*$W452,)</f>
        <v/>
      </c>
      <c r="CK452" s="128">
        <f>IFERROR(AZ452*$W452,)</f>
        <v/>
      </c>
      <c r="CL452" s="129">
        <f>IFERROR(if($Y452=0,BA452*($W452/1.2),BA452*$Y452),"")</f>
        <v/>
      </c>
      <c r="CM452" s="129">
        <f>IFERROR(if($Y452=0,BB452*($W452/1.2),BB452*$Y452),"")</f>
        <v/>
      </c>
      <c r="CN452" s="129">
        <f>IFERROR(if($Y452=0,BC452*($W452/1.2),BC452*$Y452),"")</f>
        <v/>
      </c>
      <c r="CO452" s="130">
        <f>IFERROR(if($AA452=0,($W452/1.35)*BD452,BD452*$AA452),)</f>
        <v/>
      </c>
      <c r="CP452" s="130">
        <f>IFERROR(if($AA452=0,($W452/1.35)*BE452,BE452*$AA452),)</f>
        <v/>
      </c>
      <c r="CQ452" s="130">
        <f>IFERROR(if($AA452=0,($W452/1.35)*BF452,BF452*$AA452),)</f>
        <v/>
      </c>
      <c r="CR452" s="128">
        <f>IFERROR(if($AC452=0,($W452/0.74)*BG452,
BG452*$AC452),)</f>
        <v/>
      </c>
      <c r="CS452" s="128">
        <f>IFERROR(if($AC452=0,($W452/0.74)*BH452,
BH452*$AC452),)</f>
        <v/>
      </c>
      <c r="CT452" s="128">
        <f>IFERROR(if($AC452=0,($W452/0.74)*BI452,
BI452*$AC452),)</f>
        <v/>
      </c>
      <c r="CU452" s="128">
        <f>IFERROR(AI452*$V452,)</f>
        <v/>
      </c>
      <c r="CV452" s="128">
        <f>IFERROR(AJ452*$V452,)</f>
        <v/>
      </c>
      <c r="CW452" s="128">
        <f>IFERROR(AK452*$V452,)</f>
        <v/>
      </c>
      <c r="CX452" s="128">
        <f>IFERROR(AL452*$V452,)</f>
        <v/>
      </c>
      <c r="CY452" s="128">
        <f>IFERROR(AM452*$V452,)</f>
        <v/>
      </c>
      <c r="CZ452" s="128">
        <f>IFERROR(AN452*$V452,)</f>
        <v/>
      </c>
      <c r="DA452" s="128">
        <f>IFERROR(AO452*$V452,)</f>
        <v/>
      </c>
      <c r="DB452" s="128">
        <f>IFERROR(AP452*$V452,)</f>
        <v/>
      </c>
      <c r="DC452" s="128">
        <f>IFERROR(AQ452*$V452,)</f>
        <v/>
      </c>
      <c r="DD452" s="128">
        <f>IFERROR(AR452*$V452,)</f>
        <v/>
      </c>
      <c r="DE452" s="128">
        <f>IFERROR(AS452*$V452,)</f>
        <v/>
      </c>
      <c r="DF452" s="128">
        <f>IFERROR(AT452*$V452,)</f>
        <v/>
      </c>
      <c r="DG452" s="128">
        <f>IFERROR(AU452*$V452,)</f>
        <v/>
      </c>
      <c r="DH452" s="128">
        <f>IFERROR(AV452*$V452,)</f>
        <v/>
      </c>
      <c r="DI452" s="128">
        <f>IFERROR(AW452*$V452,)</f>
        <v/>
      </c>
      <c r="DJ452" s="128">
        <f>IFERROR(AX452*$V452,)</f>
        <v/>
      </c>
      <c r="DK452" s="128">
        <f>IFERROR(AY452*$V452,)</f>
        <v/>
      </c>
      <c r="DL452" s="128">
        <f>IFERROR(AZ452*$V452,)</f>
        <v/>
      </c>
      <c r="DM452" s="129">
        <f>IFERROR(if($X452=0,($V452/1.2)*BA452,
BA452*$X452),)</f>
        <v/>
      </c>
      <c r="DN452" s="129">
        <f>IFERROR(if($X452=0,($V452/1.2)*BB452,
BB452*$X452),)</f>
        <v/>
      </c>
      <c r="DO452" s="129">
        <f>IFERROR(if($X452=0,($V452/1.2)*BC452,
BC452*$X452),)</f>
        <v/>
      </c>
      <c r="DP452" s="130">
        <f>IFERROR(if($Z452=0,($V452/1.35)*BD452,
BD452*$Z452),)</f>
        <v/>
      </c>
      <c r="DQ452" s="130">
        <f>IFERROR(if($Z452=0,($V452/1.35)*BE452,
BE452*$Z452),)</f>
        <v/>
      </c>
      <c r="DR452" s="130">
        <f>IFERROR(if($Z452=0,($V452/1.35)*BF452,
BF452*$Z452),)</f>
        <v/>
      </c>
      <c r="DS452" s="128">
        <f>IFERROR(IF($AB452=0,($V452/0.74)*BG452,
BG452*$AB452),)</f>
        <v/>
      </c>
      <c r="DT452" s="128">
        <f>IFERROR(IF($AB452=0,($V452/0.74)*BH452,
BH452*$AB452),)</f>
        <v/>
      </c>
      <c r="DU452" s="128">
        <f>IFERROR(IF($AB452=0,($V452/0.74)*BI452,
BI452*$AB452),)</f>
        <v/>
      </c>
    </row>
    <row r="453" ht="131.25" customHeight="1" s="162">
      <c r="A453" s="115" t="n"/>
      <c r="B453" s="115" t="n"/>
      <c r="C453" s="115" t="n"/>
      <c r="D453" s="115" t="n"/>
      <c r="E453" s="115" t="n"/>
      <c r="F453" s="115" t="n"/>
      <c r="G453" s="115" t="n"/>
      <c r="H453" s="115" t="n"/>
      <c r="I453" s="115" t="n"/>
      <c r="J453" s="115" t="n"/>
      <c r="K453" s="115" t="n"/>
      <c r="L453" s="115" t="n"/>
      <c r="M453" s="115" t="n"/>
      <c r="N453" s="115" t="n"/>
      <c r="O453" s="115" t="n"/>
      <c r="P453" s="115" t="n"/>
      <c r="Q453" s="115" t="n"/>
      <c r="R453" s="115" t="n"/>
      <c r="S453" s="115" t="n"/>
      <c r="T453" s="115" t="n"/>
      <c r="U453" s="116" t="n"/>
      <c r="V453" s="116" t="n"/>
      <c r="W453" s="117" t="n"/>
      <c r="X453" s="118" t="n"/>
      <c r="Y453" s="119" t="n"/>
      <c r="Z453" s="120" t="n"/>
      <c r="AA453" s="121" t="n"/>
      <c r="AB453" s="122" t="n"/>
      <c r="AC453" s="117" t="n"/>
      <c r="AD453" s="123">
        <f>IF(SUM($AE453:$AH453)=0,"",SUM($AE453:$AH453))</f>
        <v/>
      </c>
      <c r="AE453" s="123">
        <f>iferror(IF(SUM($AI453:$AZ453)=0,"",SUM($AI453:$AZ453)),"")</f>
        <v/>
      </c>
      <c r="AF453" s="123">
        <f>iferror(IF(SUM($BA453:$BC453)=0,"",SUM($BA453:$BC453)),"")</f>
        <v/>
      </c>
      <c r="AG453" s="123">
        <f>iferror(IF(SUM($BD453:$BF453)=0,"",SUM($BD453:$BF453)),"")</f>
        <v/>
      </c>
      <c r="AH453" s="124">
        <f>iferror(IF(SUM($BG453:$BI453)=0,"",SUM($BG453:$BI453)),"")</f>
        <v/>
      </c>
      <c r="AI453" s="131" t="n"/>
      <c r="AJ453" s="132" t="n"/>
      <c r="AK453" s="132" t="n"/>
      <c r="AL453" s="132" t="n"/>
      <c r="AM453" s="132" t="n"/>
      <c r="AN453" s="132" t="n"/>
      <c r="AO453" s="132" t="n"/>
      <c r="AP453" s="132" t="n"/>
      <c r="AQ453" s="132" t="n"/>
      <c r="AR453" s="132" t="n"/>
      <c r="AS453" s="132" t="n"/>
      <c r="AT453" s="132" t="n"/>
      <c r="AU453" s="132" t="n"/>
      <c r="AV453" s="132" t="n"/>
      <c r="AW453" s="132" t="n"/>
      <c r="AX453" s="132" t="n"/>
      <c r="AY453" s="132" t="n"/>
      <c r="AZ453" s="133" t="n"/>
      <c r="BA453" s="131" t="n"/>
      <c r="BB453" s="132" t="n"/>
      <c r="BC453" s="133" t="n"/>
      <c r="BD453" s="131" t="n"/>
      <c r="BE453" s="132" t="n"/>
      <c r="BF453" s="133" t="n"/>
      <c r="BG453" s="131" t="n"/>
      <c r="BH453" s="132" t="n"/>
      <c r="BI453" s="132" t="n"/>
      <c r="BJ453" s="128">
        <f>iferror(SUM($BK453,($BL453*1.2),($BM453*1.35),($BN453*0.74)),)</f>
        <v/>
      </c>
      <c r="BK453" s="128">
        <f>IFERROR(SUM($BT453:$CK453),)</f>
        <v/>
      </c>
      <c r="BL453" s="129">
        <f>IFERROR(SUM($CL453:$CN453),)</f>
        <v/>
      </c>
      <c r="BM453" s="130">
        <f>IFERROR(SUM($CO453:$CQ453),)</f>
        <v/>
      </c>
      <c r="BN453" s="128">
        <f>IFERROR(SUM($CR453:$CT453),)</f>
        <v/>
      </c>
      <c r="BO453" s="128">
        <f>iferror(SUM($BP453,($BQ453*1.2),($BR453*1.35),($BS453*0.74)),)</f>
        <v/>
      </c>
      <c r="BP453" s="128">
        <f>IFERROR(SUM($CU453:$DL453),)</f>
        <v/>
      </c>
      <c r="BQ453" s="128">
        <f>IFERROR(SUM($DM453:$DO453),)</f>
        <v/>
      </c>
      <c r="BR453" s="128">
        <f>IFERROR(SUM($DP453:$DR453),)</f>
        <v/>
      </c>
      <c r="BS453" s="128">
        <f>IFERROR(SUM($DS453:$DU453),)</f>
        <v/>
      </c>
      <c r="BT453" s="128">
        <f>IFERROR(AI453*$W453,)</f>
        <v/>
      </c>
      <c r="BU453" s="128">
        <f>IFERROR(AJ453*$W453,)</f>
        <v/>
      </c>
      <c r="BV453" s="128">
        <f>IFERROR(AK453*$W453,)</f>
        <v/>
      </c>
      <c r="BW453" s="128">
        <f>IFERROR(AL453*$W453,)</f>
        <v/>
      </c>
      <c r="BX453" s="128">
        <f>IFERROR(AM453*$W453,)</f>
        <v/>
      </c>
      <c r="BY453" s="128">
        <f>IFERROR(AN453*$W453,)</f>
        <v/>
      </c>
      <c r="BZ453" s="128">
        <f>IFERROR(AO453*$W453,)</f>
        <v/>
      </c>
      <c r="CA453" s="128">
        <f>IFERROR(AP453*$W453,)</f>
        <v/>
      </c>
      <c r="CB453" s="128">
        <f>IFERROR(AQ453*$W453,)</f>
        <v/>
      </c>
      <c r="CC453" s="128">
        <f>IFERROR(AR453*$W453,)</f>
        <v/>
      </c>
      <c r="CD453" s="128">
        <f>IFERROR(AS453*$W453,)</f>
        <v/>
      </c>
      <c r="CE453" s="128">
        <f>IFERROR(AT453*$W453,)</f>
        <v/>
      </c>
      <c r="CF453" s="128">
        <f>IFERROR(AU453*$W453,)</f>
        <v/>
      </c>
      <c r="CG453" s="128">
        <f>IFERROR(AV453*$W453,)</f>
        <v/>
      </c>
      <c r="CH453" s="128">
        <f>IFERROR(AW453*$W453,)</f>
        <v/>
      </c>
      <c r="CI453" s="128">
        <f>IFERROR(AX453*$W453,)</f>
        <v/>
      </c>
      <c r="CJ453" s="128">
        <f>IFERROR(AY453*$W453,)</f>
        <v/>
      </c>
      <c r="CK453" s="128">
        <f>IFERROR(AZ453*$W453,)</f>
        <v/>
      </c>
      <c r="CL453" s="129">
        <f>IFERROR(if($Y453=0,BA453*($W453/1.2),BA453*$Y453),"")</f>
        <v/>
      </c>
      <c r="CM453" s="129">
        <f>IFERROR(if($Y453=0,BB453*($W453/1.2),BB453*$Y453),"")</f>
        <v/>
      </c>
      <c r="CN453" s="129">
        <f>IFERROR(if($Y453=0,BC453*($W453/1.2),BC453*$Y453),"")</f>
        <v/>
      </c>
      <c r="CO453" s="130">
        <f>IFERROR(if($AA453=0,($W453/1.35)*BD453,BD453*$AA453),)</f>
        <v/>
      </c>
      <c r="CP453" s="130">
        <f>IFERROR(if($AA453=0,($W453/1.35)*BE453,BE453*$AA453),)</f>
        <v/>
      </c>
      <c r="CQ453" s="130">
        <f>IFERROR(if($AA453=0,($W453/1.35)*BF453,BF453*$AA453),)</f>
        <v/>
      </c>
      <c r="CR453" s="128">
        <f>IFERROR(if($AC453=0,($W453/0.74)*BG453,
BG453*$AC453),)</f>
        <v/>
      </c>
      <c r="CS453" s="128">
        <f>IFERROR(if($AC453=0,($W453/0.74)*BH453,
BH453*$AC453),)</f>
        <v/>
      </c>
      <c r="CT453" s="128">
        <f>IFERROR(if($AC453=0,($W453/0.74)*BI453,
BI453*$AC453),)</f>
        <v/>
      </c>
      <c r="CU453" s="128">
        <f>IFERROR(AI453*$V453,)</f>
        <v/>
      </c>
      <c r="CV453" s="128">
        <f>IFERROR(AJ453*$V453,)</f>
        <v/>
      </c>
      <c r="CW453" s="128">
        <f>IFERROR(AK453*$V453,)</f>
        <v/>
      </c>
      <c r="CX453" s="128">
        <f>IFERROR(AL453*$V453,)</f>
        <v/>
      </c>
      <c r="CY453" s="128">
        <f>IFERROR(AM453*$V453,)</f>
        <v/>
      </c>
      <c r="CZ453" s="128">
        <f>IFERROR(AN453*$V453,)</f>
        <v/>
      </c>
      <c r="DA453" s="128">
        <f>IFERROR(AO453*$V453,)</f>
        <v/>
      </c>
      <c r="DB453" s="128">
        <f>IFERROR(AP453*$V453,)</f>
        <v/>
      </c>
      <c r="DC453" s="128">
        <f>IFERROR(AQ453*$V453,)</f>
        <v/>
      </c>
      <c r="DD453" s="128">
        <f>IFERROR(AR453*$V453,)</f>
        <v/>
      </c>
      <c r="DE453" s="128">
        <f>IFERROR(AS453*$V453,)</f>
        <v/>
      </c>
      <c r="DF453" s="128">
        <f>IFERROR(AT453*$V453,)</f>
        <v/>
      </c>
      <c r="DG453" s="128">
        <f>IFERROR(AU453*$V453,)</f>
        <v/>
      </c>
      <c r="DH453" s="128">
        <f>IFERROR(AV453*$V453,)</f>
        <v/>
      </c>
      <c r="DI453" s="128">
        <f>IFERROR(AW453*$V453,)</f>
        <v/>
      </c>
      <c r="DJ453" s="128">
        <f>IFERROR(AX453*$V453,)</f>
        <v/>
      </c>
      <c r="DK453" s="128">
        <f>IFERROR(AY453*$V453,)</f>
        <v/>
      </c>
      <c r="DL453" s="128">
        <f>IFERROR(AZ453*$V453,)</f>
        <v/>
      </c>
      <c r="DM453" s="129">
        <f>IFERROR(if($X453=0,($V453/1.2)*BA453,
BA453*$X453),)</f>
        <v/>
      </c>
      <c r="DN453" s="129">
        <f>IFERROR(if($X453=0,($V453/1.2)*BB453,
BB453*$X453),)</f>
        <v/>
      </c>
      <c r="DO453" s="129">
        <f>IFERROR(if($X453=0,($V453/1.2)*BC453,
BC453*$X453),)</f>
        <v/>
      </c>
      <c r="DP453" s="130">
        <f>IFERROR(if($Z453=0,($V453/1.35)*BD453,
BD453*$Z453),)</f>
        <v/>
      </c>
      <c r="DQ453" s="130">
        <f>IFERROR(if($Z453=0,($V453/1.35)*BE453,
BE453*$Z453),)</f>
        <v/>
      </c>
      <c r="DR453" s="130">
        <f>IFERROR(if($Z453=0,($V453/1.35)*BF453,
BF453*$Z453),)</f>
        <v/>
      </c>
      <c r="DS453" s="128">
        <f>IFERROR(IF($AB453=0,($V453/0.74)*BG453,
BG453*$AB453),)</f>
        <v/>
      </c>
      <c r="DT453" s="128">
        <f>IFERROR(IF($AB453=0,($V453/0.74)*BH453,
BH453*$AB453),)</f>
        <v/>
      </c>
      <c r="DU453" s="128">
        <f>IFERROR(IF($AB453=0,($V453/0.74)*BI453,
BI453*$AB453),)</f>
        <v/>
      </c>
    </row>
    <row r="454" ht="131.25" customHeight="1" s="162">
      <c r="A454" s="115" t="n"/>
      <c r="B454" s="115" t="n"/>
      <c r="C454" s="115" t="n"/>
      <c r="D454" s="115" t="n"/>
      <c r="E454" s="115" t="n"/>
      <c r="F454" s="115" t="n"/>
      <c r="G454" s="115" t="n"/>
      <c r="H454" s="115" t="n"/>
      <c r="I454" s="115" t="n"/>
      <c r="J454" s="115" t="n"/>
      <c r="K454" s="115" t="n"/>
      <c r="L454" s="115" t="n"/>
      <c r="M454" s="115" t="n"/>
      <c r="N454" s="115" t="n"/>
      <c r="O454" s="115" t="n"/>
      <c r="P454" s="115" t="n"/>
      <c r="Q454" s="115" t="n"/>
      <c r="R454" s="115" t="n"/>
      <c r="S454" s="115" t="n"/>
      <c r="T454" s="115" t="n"/>
      <c r="U454" s="116" t="n"/>
      <c r="V454" s="116" t="n"/>
      <c r="W454" s="117" t="n"/>
      <c r="X454" s="118" t="n"/>
      <c r="Y454" s="119" t="n"/>
      <c r="Z454" s="120" t="n"/>
      <c r="AA454" s="121" t="n"/>
      <c r="AB454" s="122" t="n"/>
      <c r="AC454" s="117" t="n"/>
      <c r="AD454" s="123">
        <f>IF(SUM($AE454:$AH454)=0,"",SUM($AE454:$AH454))</f>
        <v/>
      </c>
      <c r="AE454" s="123">
        <f>iferror(IF(SUM($AI454:$AZ454)=0,"",SUM($AI454:$AZ454)),"")</f>
        <v/>
      </c>
      <c r="AF454" s="123">
        <f>iferror(IF(SUM($BA454:$BC454)=0,"",SUM($BA454:$BC454)),"")</f>
        <v/>
      </c>
      <c r="AG454" s="123">
        <f>iferror(IF(SUM($BD454:$BF454)=0,"",SUM($BD454:$BF454)),"")</f>
        <v/>
      </c>
      <c r="AH454" s="124">
        <f>iferror(IF(SUM($BG454:$BI454)=0,"",SUM($BG454:$BI454)),"")</f>
        <v/>
      </c>
      <c r="AI454" s="131" t="n"/>
      <c r="AJ454" s="132" t="n"/>
      <c r="AK454" s="132" t="n"/>
      <c r="AL454" s="132" t="n"/>
      <c r="AM454" s="132" t="n"/>
      <c r="AN454" s="132" t="n"/>
      <c r="AO454" s="132" t="n"/>
      <c r="AP454" s="132" t="n"/>
      <c r="AQ454" s="132" t="n"/>
      <c r="AR454" s="132" t="n"/>
      <c r="AS454" s="132" t="n"/>
      <c r="AT454" s="132" t="n"/>
      <c r="AU454" s="132" t="n"/>
      <c r="AV454" s="132" t="n"/>
      <c r="AW454" s="132" t="n"/>
      <c r="AX454" s="132" t="n"/>
      <c r="AY454" s="132" t="n"/>
      <c r="AZ454" s="133" t="n"/>
      <c r="BA454" s="131" t="n"/>
      <c r="BB454" s="132" t="n"/>
      <c r="BC454" s="133" t="n"/>
      <c r="BD454" s="131" t="n"/>
      <c r="BE454" s="132" t="n"/>
      <c r="BF454" s="133" t="n"/>
      <c r="BG454" s="131" t="n"/>
      <c r="BH454" s="132" t="n"/>
      <c r="BI454" s="132" t="n"/>
      <c r="BJ454" s="128">
        <f>iferror(SUM($BK454,($BL454*1.2),($BM454*1.35),($BN454*0.74)),)</f>
        <v/>
      </c>
      <c r="BK454" s="128">
        <f>IFERROR(SUM($BT454:$CK454),)</f>
        <v/>
      </c>
      <c r="BL454" s="129">
        <f>IFERROR(SUM($CL454:$CN454),)</f>
        <v/>
      </c>
      <c r="BM454" s="130">
        <f>IFERROR(SUM($CO454:$CQ454),)</f>
        <v/>
      </c>
      <c r="BN454" s="128">
        <f>IFERROR(SUM($CR454:$CT454),)</f>
        <v/>
      </c>
      <c r="BO454" s="128">
        <f>iferror(SUM($BP454,($BQ454*1.2),($BR454*1.35),($BS454*0.74)),)</f>
        <v/>
      </c>
      <c r="BP454" s="128">
        <f>IFERROR(SUM($CU454:$DL454),)</f>
        <v/>
      </c>
      <c r="BQ454" s="128">
        <f>IFERROR(SUM($DM454:$DO454),)</f>
        <v/>
      </c>
      <c r="BR454" s="128">
        <f>IFERROR(SUM($DP454:$DR454),)</f>
        <v/>
      </c>
      <c r="BS454" s="128">
        <f>IFERROR(SUM($DS454:$DU454),)</f>
        <v/>
      </c>
      <c r="BT454" s="128">
        <f>IFERROR(AI454*$W454,)</f>
        <v/>
      </c>
      <c r="BU454" s="128">
        <f>IFERROR(AJ454*$W454,)</f>
        <v/>
      </c>
      <c r="BV454" s="128">
        <f>IFERROR(AK454*$W454,)</f>
        <v/>
      </c>
      <c r="BW454" s="128">
        <f>IFERROR(AL454*$W454,)</f>
        <v/>
      </c>
      <c r="BX454" s="128">
        <f>IFERROR(AM454*$W454,)</f>
        <v/>
      </c>
      <c r="BY454" s="128">
        <f>IFERROR(AN454*$W454,)</f>
        <v/>
      </c>
      <c r="BZ454" s="128">
        <f>IFERROR(AO454*$W454,)</f>
        <v/>
      </c>
      <c r="CA454" s="128">
        <f>IFERROR(AP454*$W454,)</f>
        <v/>
      </c>
      <c r="CB454" s="128">
        <f>IFERROR(AQ454*$W454,)</f>
        <v/>
      </c>
      <c r="CC454" s="128">
        <f>IFERROR(AR454*$W454,)</f>
        <v/>
      </c>
      <c r="CD454" s="128">
        <f>IFERROR(AS454*$W454,)</f>
        <v/>
      </c>
      <c r="CE454" s="128">
        <f>IFERROR(AT454*$W454,)</f>
        <v/>
      </c>
      <c r="CF454" s="128">
        <f>IFERROR(AU454*$W454,)</f>
        <v/>
      </c>
      <c r="CG454" s="128">
        <f>IFERROR(AV454*$W454,)</f>
        <v/>
      </c>
      <c r="CH454" s="128">
        <f>IFERROR(AW454*$W454,)</f>
        <v/>
      </c>
      <c r="CI454" s="128">
        <f>IFERROR(AX454*$W454,)</f>
        <v/>
      </c>
      <c r="CJ454" s="128">
        <f>IFERROR(AY454*$W454,)</f>
        <v/>
      </c>
      <c r="CK454" s="128">
        <f>IFERROR(AZ454*$W454,)</f>
        <v/>
      </c>
      <c r="CL454" s="129">
        <f>IFERROR(if($Y454=0,BA454*($W454/1.2),BA454*$Y454),"")</f>
        <v/>
      </c>
      <c r="CM454" s="129">
        <f>IFERROR(if($Y454=0,BB454*($W454/1.2),BB454*$Y454),"")</f>
        <v/>
      </c>
      <c r="CN454" s="129">
        <f>IFERROR(if($Y454=0,BC454*($W454/1.2),BC454*$Y454),"")</f>
        <v/>
      </c>
      <c r="CO454" s="130">
        <f>IFERROR(if($AA454=0,($W454/1.35)*BD454,BD454*$AA454),)</f>
        <v/>
      </c>
      <c r="CP454" s="130">
        <f>IFERROR(if($AA454=0,($W454/1.35)*BE454,BE454*$AA454),)</f>
        <v/>
      </c>
      <c r="CQ454" s="130">
        <f>IFERROR(if($AA454=0,($W454/1.35)*BF454,BF454*$AA454),)</f>
        <v/>
      </c>
      <c r="CR454" s="128">
        <f>IFERROR(if($AC454=0,($W454/0.74)*BG454,
BG454*$AC454),)</f>
        <v/>
      </c>
      <c r="CS454" s="128">
        <f>IFERROR(if($AC454=0,($W454/0.74)*BH454,
BH454*$AC454),)</f>
        <v/>
      </c>
      <c r="CT454" s="128">
        <f>IFERROR(if($AC454=0,($W454/0.74)*BI454,
BI454*$AC454),)</f>
        <v/>
      </c>
      <c r="CU454" s="128">
        <f>IFERROR(AI454*$V454,)</f>
        <v/>
      </c>
      <c r="CV454" s="128">
        <f>IFERROR(AJ454*$V454,)</f>
        <v/>
      </c>
      <c r="CW454" s="128">
        <f>IFERROR(AK454*$V454,)</f>
        <v/>
      </c>
      <c r="CX454" s="128">
        <f>IFERROR(AL454*$V454,)</f>
        <v/>
      </c>
      <c r="CY454" s="128">
        <f>IFERROR(AM454*$V454,)</f>
        <v/>
      </c>
      <c r="CZ454" s="128">
        <f>IFERROR(AN454*$V454,)</f>
        <v/>
      </c>
      <c r="DA454" s="128">
        <f>IFERROR(AO454*$V454,)</f>
        <v/>
      </c>
      <c r="DB454" s="128">
        <f>IFERROR(AP454*$V454,)</f>
        <v/>
      </c>
      <c r="DC454" s="128">
        <f>IFERROR(AQ454*$V454,)</f>
        <v/>
      </c>
      <c r="DD454" s="128">
        <f>IFERROR(AR454*$V454,)</f>
        <v/>
      </c>
      <c r="DE454" s="128">
        <f>IFERROR(AS454*$V454,)</f>
        <v/>
      </c>
      <c r="DF454" s="128">
        <f>IFERROR(AT454*$V454,)</f>
        <v/>
      </c>
      <c r="DG454" s="128">
        <f>IFERROR(AU454*$V454,)</f>
        <v/>
      </c>
      <c r="DH454" s="128">
        <f>IFERROR(AV454*$V454,)</f>
        <v/>
      </c>
      <c r="DI454" s="128">
        <f>IFERROR(AW454*$V454,)</f>
        <v/>
      </c>
      <c r="DJ454" s="128">
        <f>IFERROR(AX454*$V454,)</f>
        <v/>
      </c>
      <c r="DK454" s="128">
        <f>IFERROR(AY454*$V454,)</f>
        <v/>
      </c>
      <c r="DL454" s="128">
        <f>IFERROR(AZ454*$V454,)</f>
        <v/>
      </c>
      <c r="DM454" s="129">
        <f>IFERROR(if($X454=0,($V454/1.2)*BA454,
BA454*$X454),)</f>
        <v/>
      </c>
      <c r="DN454" s="129">
        <f>IFERROR(if($X454=0,($V454/1.2)*BB454,
BB454*$X454),)</f>
        <v/>
      </c>
      <c r="DO454" s="129">
        <f>IFERROR(if($X454=0,($V454/1.2)*BC454,
BC454*$X454),)</f>
        <v/>
      </c>
      <c r="DP454" s="130">
        <f>IFERROR(if($Z454=0,($V454/1.35)*BD454,
BD454*$Z454),)</f>
        <v/>
      </c>
      <c r="DQ454" s="130">
        <f>IFERROR(if($Z454=0,($V454/1.35)*BE454,
BE454*$Z454),)</f>
        <v/>
      </c>
      <c r="DR454" s="130">
        <f>IFERROR(if($Z454=0,($V454/1.35)*BF454,
BF454*$Z454),)</f>
        <v/>
      </c>
      <c r="DS454" s="128">
        <f>IFERROR(IF($AB454=0,($V454/0.74)*BG454,
BG454*$AB454),)</f>
        <v/>
      </c>
      <c r="DT454" s="128">
        <f>IFERROR(IF($AB454=0,($V454/0.74)*BH454,
BH454*$AB454),)</f>
        <v/>
      </c>
      <c r="DU454" s="128">
        <f>IFERROR(IF($AB454=0,($V454/0.74)*BI454,
BI454*$AB454),)</f>
        <v/>
      </c>
    </row>
    <row r="455" ht="131.25" customHeight="1" s="162">
      <c r="A455" s="115" t="n"/>
      <c r="B455" s="115" t="n"/>
      <c r="C455" s="115" t="n"/>
      <c r="D455" s="115" t="n"/>
      <c r="E455" s="115" t="n"/>
      <c r="F455" s="115" t="n"/>
      <c r="G455" s="115" t="n"/>
      <c r="H455" s="115" t="n"/>
      <c r="I455" s="115" t="n"/>
      <c r="J455" s="115" t="n"/>
      <c r="K455" s="115" t="n"/>
      <c r="L455" s="115" t="n"/>
      <c r="M455" s="115" t="n"/>
      <c r="N455" s="115" t="n"/>
      <c r="O455" s="115" t="n"/>
      <c r="P455" s="115" t="n"/>
      <c r="Q455" s="115" t="n"/>
      <c r="R455" s="115" t="n"/>
      <c r="S455" s="115" t="n"/>
      <c r="T455" s="115" t="n"/>
      <c r="U455" s="116" t="n"/>
      <c r="V455" s="116" t="n"/>
      <c r="W455" s="117" t="n"/>
      <c r="X455" s="118" t="n"/>
      <c r="Y455" s="119" t="n"/>
      <c r="Z455" s="120" t="n"/>
      <c r="AA455" s="121" t="n"/>
      <c r="AB455" s="122" t="n"/>
      <c r="AC455" s="117" t="n"/>
      <c r="AD455" s="123">
        <f>IF(SUM($AE455:$AH455)=0,"",SUM($AE455:$AH455))</f>
        <v/>
      </c>
      <c r="AE455" s="123">
        <f>iferror(IF(SUM($AI455:$AZ455)=0,"",SUM($AI455:$AZ455)),"")</f>
        <v/>
      </c>
      <c r="AF455" s="123">
        <f>iferror(IF(SUM($BA455:$BC455)=0,"",SUM($BA455:$BC455)),"")</f>
        <v/>
      </c>
      <c r="AG455" s="123">
        <f>iferror(IF(SUM($BD455:$BF455)=0,"",SUM($BD455:$BF455)),"")</f>
        <v/>
      </c>
      <c r="AH455" s="124">
        <f>iferror(IF(SUM($BG455:$BI455)=0,"",SUM($BG455:$BI455)),"")</f>
        <v/>
      </c>
      <c r="AI455" s="131" t="n"/>
      <c r="AJ455" s="132" t="n"/>
      <c r="AK455" s="132" t="n"/>
      <c r="AL455" s="132" t="n"/>
      <c r="AM455" s="132" t="n"/>
      <c r="AN455" s="132" t="n"/>
      <c r="AO455" s="132" t="n"/>
      <c r="AP455" s="132" t="n"/>
      <c r="AQ455" s="132" t="n"/>
      <c r="AR455" s="132" t="n"/>
      <c r="AS455" s="132" t="n"/>
      <c r="AT455" s="132" t="n"/>
      <c r="AU455" s="132" t="n"/>
      <c r="AV455" s="132" t="n"/>
      <c r="AW455" s="132" t="n"/>
      <c r="AX455" s="132" t="n"/>
      <c r="AY455" s="132" t="n"/>
      <c r="AZ455" s="133" t="n"/>
      <c r="BA455" s="131" t="n"/>
      <c r="BB455" s="132" t="n"/>
      <c r="BC455" s="133" t="n"/>
      <c r="BD455" s="131" t="n"/>
      <c r="BE455" s="132" t="n"/>
      <c r="BF455" s="133" t="n"/>
      <c r="BG455" s="131" t="n"/>
      <c r="BH455" s="132" t="n"/>
      <c r="BI455" s="132" t="n"/>
      <c r="BJ455" s="128">
        <f>iferror(SUM($BK455,($BL455*1.2),($BM455*1.35),($BN455*0.74)),)</f>
        <v/>
      </c>
      <c r="BK455" s="128">
        <f>IFERROR(SUM($BT455:$CK455),)</f>
        <v/>
      </c>
      <c r="BL455" s="129">
        <f>IFERROR(SUM($CL455:$CN455),)</f>
        <v/>
      </c>
      <c r="BM455" s="130">
        <f>IFERROR(SUM($CO455:$CQ455),)</f>
        <v/>
      </c>
      <c r="BN455" s="128">
        <f>IFERROR(SUM($CR455:$CT455),)</f>
        <v/>
      </c>
      <c r="BO455" s="128">
        <f>iferror(SUM($BP455,($BQ455*1.2),($BR455*1.35),($BS455*0.74)),)</f>
        <v/>
      </c>
      <c r="BP455" s="128">
        <f>IFERROR(SUM($CU455:$DL455),)</f>
        <v/>
      </c>
      <c r="BQ455" s="128">
        <f>IFERROR(SUM($DM455:$DO455),)</f>
        <v/>
      </c>
      <c r="BR455" s="128">
        <f>IFERROR(SUM($DP455:$DR455),)</f>
        <v/>
      </c>
      <c r="BS455" s="128">
        <f>IFERROR(SUM($DS455:$DU455),)</f>
        <v/>
      </c>
      <c r="BT455" s="128">
        <f>IFERROR(AI455*$W455,)</f>
        <v/>
      </c>
      <c r="BU455" s="128">
        <f>IFERROR(AJ455*$W455,)</f>
        <v/>
      </c>
      <c r="BV455" s="128">
        <f>IFERROR(AK455*$W455,)</f>
        <v/>
      </c>
      <c r="BW455" s="128">
        <f>IFERROR(AL455*$W455,)</f>
        <v/>
      </c>
      <c r="BX455" s="128">
        <f>IFERROR(AM455*$W455,)</f>
        <v/>
      </c>
      <c r="BY455" s="128">
        <f>IFERROR(AN455*$W455,)</f>
        <v/>
      </c>
      <c r="BZ455" s="128">
        <f>IFERROR(AO455*$W455,)</f>
        <v/>
      </c>
      <c r="CA455" s="128">
        <f>IFERROR(AP455*$W455,)</f>
        <v/>
      </c>
      <c r="CB455" s="128">
        <f>IFERROR(AQ455*$W455,)</f>
        <v/>
      </c>
      <c r="CC455" s="128">
        <f>IFERROR(AR455*$W455,)</f>
        <v/>
      </c>
      <c r="CD455" s="128">
        <f>IFERROR(AS455*$W455,)</f>
        <v/>
      </c>
      <c r="CE455" s="128">
        <f>IFERROR(AT455*$W455,)</f>
        <v/>
      </c>
      <c r="CF455" s="128">
        <f>IFERROR(AU455*$W455,)</f>
        <v/>
      </c>
      <c r="CG455" s="128">
        <f>IFERROR(AV455*$W455,)</f>
        <v/>
      </c>
      <c r="CH455" s="128">
        <f>IFERROR(AW455*$W455,)</f>
        <v/>
      </c>
      <c r="CI455" s="128">
        <f>IFERROR(AX455*$W455,)</f>
        <v/>
      </c>
      <c r="CJ455" s="128">
        <f>IFERROR(AY455*$W455,)</f>
        <v/>
      </c>
      <c r="CK455" s="128">
        <f>IFERROR(AZ455*$W455,)</f>
        <v/>
      </c>
      <c r="CL455" s="129">
        <f>IFERROR(if($Y455=0,BA455*($W455/1.2),BA455*$Y455),"")</f>
        <v/>
      </c>
      <c r="CM455" s="129">
        <f>IFERROR(if($Y455=0,BB455*($W455/1.2),BB455*$Y455),"")</f>
        <v/>
      </c>
      <c r="CN455" s="129">
        <f>IFERROR(if($Y455=0,BC455*($W455/1.2),BC455*$Y455),"")</f>
        <v/>
      </c>
      <c r="CO455" s="130">
        <f>IFERROR(if($AA455=0,($W455/1.35)*BD455,BD455*$AA455),)</f>
        <v/>
      </c>
      <c r="CP455" s="130">
        <f>IFERROR(if($AA455=0,($W455/1.35)*BE455,BE455*$AA455),)</f>
        <v/>
      </c>
      <c r="CQ455" s="130">
        <f>IFERROR(if($AA455=0,($W455/1.35)*BF455,BF455*$AA455),)</f>
        <v/>
      </c>
      <c r="CR455" s="128">
        <f>IFERROR(if($AC455=0,($W455/0.74)*BG455,
BG455*$AC455),)</f>
        <v/>
      </c>
      <c r="CS455" s="128">
        <f>IFERROR(if($AC455=0,($W455/0.74)*BH455,
BH455*$AC455),)</f>
        <v/>
      </c>
      <c r="CT455" s="128">
        <f>IFERROR(if($AC455=0,($W455/0.74)*BI455,
BI455*$AC455),)</f>
        <v/>
      </c>
      <c r="CU455" s="128">
        <f>IFERROR(AI455*$V455,)</f>
        <v/>
      </c>
      <c r="CV455" s="128">
        <f>IFERROR(AJ455*$V455,)</f>
        <v/>
      </c>
      <c r="CW455" s="128">
        <f>IFERROR(AK455*$V455,)</f>
        <v/>
      </c>
      <c r="CX455" s="128">
        <f>IFERROR(AL455*$V455,)</f>
        <v/>
      </c>
      <c r="CY455" s="128">
        <f>IFERROR(AM455*$V455,)</f>
        <v/>
      </c>
      <c r="CZ455" s="128">
        <f>IFERROR(AN455*$V455,)</f>
        <v/>
      </c>
      <c r="DA455" s="128">
        <f>IFERROR(AO455*$V455,)</f>
        <v/>
      </c>
      <c r="DB455" s="128">
        <f>IFERROR(AP455*$V455,)</f>
        <v/>
      </c>
      <c r="DC455" s="128">
        <f>IFERROR(AQ455*$V455,)</f>
        <v/>
      </c>
      <c r="DD455" s="128">
        <f>IFERROR(AR455*$V455,)</f>
        <v/>
      </c>
      <c r="DE455" s="128">
        <f>IFERROR(AS455*$V455,)</f>
        <v/>
      </c>
      <c r="DF455" s="128">
        <f>IFERROR(AT455*$V455,)</f>
        <v/>
      </c>
      <c r="DG455" s="128">
        <f>IFERROR(AU455*$V455,)</f>
        <v/>
      </c>
      <c r="DH455" s="128">
        <f>IFERROR(AV455*$V455,)</f>
        <v/>
      </c>
      <c r="DI455" s="128">
        <f>IFERROR(AW455*$V455,)</f>
        <v/>
      </c>
      <c r="DJ455" s="128">
        <f>IFERROR(AX455*$V455,)</f>
        <v/>
      </c>
      <c r="DK455" s="128">
        <f>IFERROR(AY455*$V455,)</f>
        <v/>
      </c>
      <c r="DL455" s="128">
        <f>IFERROR(AZ455*$V455,)</f>
        <v/>
      </c>
      <c r="DM455" s="129">
        <f>IFERROR(if($X455=0,($V455/1.2)*BA455,
BA455*$X455),)</f>
        <v/>
      </c>
      <c r="DN455" s="129">
        <f>IFERROR(if($X455=0,($V455/1.2)*BB455,
BB455*$X455),)</f>
        <v/>
      </c>
      <c r="DO455" s="129">
        <f>IFERROR(if($X455=0,($V455/1.2)*BC455,
BC455*$X455),)</f>
        <v/>
      </c>
      <c r="DP455" s="130">
        <f>IFERROR(if($Z455=0,($V455/1.35)*BD455,
BD455*$Z455),)</f>
        <v/>
      </c>
      <c r="DQ455" s="130">
        <f>IFERROR(if($Z455=0,($V455/1.35)*BE455,
BE455*$Z455),)</f>
        <v/>
      </c>
      <c r="DR455" s="130">
        <f>IFERROR(if($Z455=0,($V455/1.35)*BF455,
BF455*$Z455),)</f>
        <v/>
      </c>
      <c r="DS455" s="128">
        <f>IFERROR(IF($AB455=0,($V455/0.74)*BG455,
BG455*$AB455),)</f>
        <v/>
      </c>
      <c r="DT455" s="128">
        <f>IFERROR(IF($AB455=0,($V455/0.74)*BH455,
BH455*$AB455),)</f>
        <v/>
      </c>
      <c r="DU455" s="128">
        <f>IFERROR(IF($AB455=0,($V455/0.74)*BI455,
BI455*$AB455),)</f>
        <v/>
      </c>
    </row>
    <row r="456" ht="131.25" customHeight="1" s="162">
      <c r="A456" s="115" t="n"/>
      <c r="B456" s="115" t="n"/>
      <c r="C456" s="115" t="n"/>
      <c r="D456" s="115" t="n"/>
      <c r="E456" s="115" t="n"/>
      <c r="F456" s="115" t="n"/>
      <c r="G456" s="115" t="n"/>
      <c r="H456" s="115" t="n"/>
      <c r="I456" s="115" t="n"/>
      <c r="J456" s="115" t="n"/>
      <c r="K456" s="115" t="n"/>
      <c r="L456" s="115" t="n"/>
      <c r="M456" s="115" t="n"/>
      <c r="N456" s="115" t="n"/>
      <c r="O456" s="115" t="n"/>
      <c r="P456" s="115" t="n"/>
      <c r="Q456" s="115" t="n"/>
      <c r="R456" s="115" t="n"/>
      <c r="S456" s="115" t="n"/>
      <c r="T456" s="115" t="n"/>
      <c r="U456" s="116" t="n"/>
      <c r="V456" s="116" t="n"/>
      <c r="W456" s="117" t="n"/>
      <c r="X456" s="118" t="n"/>
      <c r="Y456" s="119" t="n"/>
      <c r="Z456" s="120" t="n"/>
      <c r="AA456" s="121" t="n"/>
      <c r="AB456" s="122" t="n"/>
      <c r="AC456" s="117" t="n"/>
      <c r="AD456" s="123">
        <f>IF(SUM($AE456:$AH456)=0,"",SUM($AE456:$AH456))</f>
        <v/>
      </c>
      <c r="AE456" s="123">
        <f>iferror(IF(SUM($AI456:$AZ456)=0,"",SUM($AI456:$AZ456)),"")</f>
        <v/>
      </c>
      <c r="AF456" s="123">
        <f>iferror(IF(SUM($BA456:$BC456)=0,"",SUM($BA456:$BC456)),"")</f>
        <v/>
      </c>
      <c r="AG456" s="123">
        <f>iferror(IF(SUM($BD456:$BF456)=0,"",SUM($BD456:$BF456)),"")</f>
        <v/>
      </c>
      <c r="AH456" s="124">
        <f>iferror(IF(SUM($BG456:$BI456)=0,"",SUM($BG456:$BI456)),"")</f>
        <v/>
      </c>
      <c r="AI456" s="131" t="n"/>
      <c r="AJ456" s="132" t="n"/>
      <c r="AK456" s="132" t="n"/>
      <c r="AL456" s="132" t="n"/>
      <c r="AM456" s="132" t="n"/>
      <c r="AN456" s="132" t="n"/>
      <c r="AO456" s="132" t="n"/>
      <c r="AP456" s="132" t="n"/>
      <c r="AQ456" s="132" t="n"/>
      <c r="AR456" s="132" t="n"/>
      <c r="AS456" s="132" t="n"/>
      <c r="AT456" s="132" t="n"/>
      <c r="AU456" s="132" t="n"/>
      <c r="AV456" s="132" t="n"/>
      <c r="AW456" s="132" t="n"/>
      <c r="AX456" s="132" t="n"/>
      <c r="AY456" s="132" t="n"/>
      <c r="AZ456" s="133" t="n"/>
      <c r="BA456" s="131" t="n"/>
      <c r="BB456" s="132" t="n"/>
      <c r="BC456" s="133" t="n"/>
      <c r="BD456" s="131" t="n"/>
      <c r="BE456" s="132" t="n"/>
      <c r="BF456" s="133" t="n"/>
      <c r="BG456" s="131" t="n"/>
      <c r="BH456" s="132" t="n"/>
      <c r="BI456" s="132" t="n"/>
      <c r="BJ456" s="128">
        <f>iferror(SUM($BK456,($BL456*1.2),($BM456*1.35),($BN456*0.74)),)</f>
        <v/>
      </c>
      <c r="BK456" s="128">
        <f>IFERROR(SUM($BT456:$CK456),)</f>
        <v/>
      </c>
      <c r="BL456" s="129">
        <f>IFERROR(SUM($CL456:$CN456),)</f>
        <v/>
      </c>
      <c r="BM456" s="130">
        <f>IFERROR(SUM($CO456:$CQ456),)</f>
        <v/>
      </c>
      <c r="BN456" s="128">
        <f>IFERROR(SUM($CR456:$CT456),)</f>
        <v/>
      </c>
      <c r="BO456" s="128">
        <f>iferror(SUM($BP456,($BQ456*1.2),($BR456*1.35),($BS456*0.74)),)</f>
        <v/>
      </c>
      <c r="BP456" s="128">
        <f>IFERROR(SUM($CU456:$DL456),)</f>
        <v/>
      </c>
      <c r="BQ456" s="128">
        <f>IFERROR(SUM($DM456:$DO456),)</f>
        <v/>
      </c>
      <c r="BR456" s="128">
        <f>IFERROR(SUM($DP456:$DR456),)</f>
        <v/>
      </c>
      <c r="BS456" s="128">
        <f>IFERROR(SUM($DS456:$DU456),)</f>
        <v/>
      </c>
      <c r="BT456" s="128">
        <f>IFERROR(AI456*$W456,)</f>
        <v/>
      </c>
      <c r="BU456" s="128">
        <f>IFERROR(AJ456*$W456,)</f>
        <v/>
      </c>
      <c r="BV456" s="128">
        <f>IFERROR(AK456*$W456,)</f>
        <v/>
      </c>
      <c r="BW456" s="128">
        <f>IFERROR(AL456*$W456,)</f>
        <v/>
      </c>
      <c r="BX456" s="128">
        <f>IFERROR(AM456*$W456,)</f>
        <v/>
      </c>
      <c r="BY456" s="128">
        <f>IFERROR(AN456*$W456,)</f>
        <v/>
      </c>
      <c r="BZ456" s="128">
        <f>IFERROR(AO456*$W456,)</f>
        <v/>
      </c>
      <c r="CA456" s="128">
        <f>IFERROR(AP456*$W456,)</f>
        <v/>
      </c>
      <c r="CB456" s="128">
        <f>IFERROR(AQ456*$W456,)</f>
        <v/>
      </c>
      <c r="CC456" s="128">
        <f>IFERROR(AR456*$W456,)</f>
        <v/>
      </c>
      <c r="CD456" s="128">
        <f>IFERROR(AS456*$W456,)</f>
        <v/>
      </c>
      <c r="CE456" s="128">
        <f>IFERROR(AT456*$W456,)</f>
        <v/>
      </c>
      <c r="CF456" s="128">
        <f>IFERROR(AU456*$W456,)</f>
        <v/>
      </c>
      <c r="CG456" s="128">
        <f>IFERROR(AV456*$W456,)</f>
        <v/>
      </c>
      <c r="CH456" s="128">
        <f>IFERROR(AW456*$W456,)</f>
        <v/>
      </c>
      <c r="CI456" s="128">
        <f>IFERROR(AX456*$W456,)</f>
        <v/>
      </c>
      <c r="CJ456" s="128">
        <f>IFERROR(AY456*$W456,)</f>
        <v/>
      </c>
      <c r="CK456" s="128">
        <f>IFERROR(AZ456*$W456,)</f>
        <v/>
      </c>
      <c r="CL456" s="129">
        <f>IFERROR(if($Y456=0,BA456*($W456/1.2),BA456*$Y456),"")</f>
        <v/>
      </c>
      <c r="CM456" s="129">
        <f>IFERROR(if($Y456=0,BB456*($W456/1.2),BB456*$Y456),"")</f>
        <v/>
      </c>
      <c r="CN456" s="129">
        <f>IFERROR(if($Y456=0,BC456*($W456/1.2),BC456*$Y456),"")</f>
        <v/>
      </c>
      <c r="CO456" s="130">
        <f>IFERROR(if($AA456=0,($W456/1.35)*BD456,BD456*$AA456),)</f>
        <v/>
      </c>
      <c r="CP456" s="130">
        <f>IFERROR(if($AA456=0,($W456/1.35)*BE456,BE456*$AA456),)</f>
        <v/>
      </c>
      <c r="CQ456" s="130">
        <f>IFERROR(if($AA456=0,($W456/1.35)*BF456,BF456*$AA456),)</f>
        <v/>
      </c>
      <c r="CR456" s="128">
        <f>IFERROR(if($AC456=0,($W456/0.74)*BG456,
BG456*$AC456),)</f>
        <v/>
      </c>
      <c r="CS456" s="128">
        <f>IFERROR(if($AC456=0,($W456/0.74)*BH456,
BH456*$AC456),)</f>
        <v/>
      </c>
      <c r="CT456" s="128">
        <f>IFERROR(if($AC456=0,($W456/0.74)*BI456,
BI456*$AC456),)</f>
        <v/>
      </c>
      <c r="CU456" s="128">
        <f>IFERROR(AI456*$V456,)</f>
        <v/>
      </c>
      <c r="CV456" s="128">
        <f>IFERROR(AJ456*$V456,)</f>
        <v/>
      </c>
      <c r="CW456" s="128">
        <f>IFERROR(AK456*$V456,)</f>
        <v/>
      </c>
      <c r="CX456" s="128">
        <f>IFERROR(AL456*$V456,)</f>
        <v/>
      </c>
      <c r="CY456" s="128">
        <f>IFERROR(AM456*$V456,)</f>
        <v/>
      </c>
      <c r="CZ456" s="128">
        <f>IFERROR(AN456*$V456,)</f>
        <v/>
      </c>
      <c r="DA456" s="128">
        <f>IFERROR(AO456*$V456,)</f>
        <v/>
      </c>
      <c r="DB456" s="128">
        <f>IFERROR(AP456*$V456,)</f>
        <v/>
      </c>
      <c r="DC456" s="128">
        <f>IFERROR(AQ456*$V456,)</f>
        <v/>
      </c>
      <c r="DD456" s="128">
        <f>IFERROR(AR456*$V456,)</f>
        <v/>
      </c>
      <c r="DE456" s="128">
        <f>IFERROR(AS456*$V456,)</f>
        <v/>
      </c>
      <c r="DF456" s="128">
        <f>IFERROR(AT456*$V456,)</f>
        <v/>
      </c>
      <c r="DG456" s="128">
        <f>IFERROR(AU456*$V456,)</f>
        <v/>
      </c>
      <c r="DH456" s="128">
        <f>IFERROR(AV456*$V456,)</f>
        <v/>
      </c>
      <c r="DI456" s="128">
        <f>IFERROR(AW456*$V456,)</f>
        <v/>
      </c>
      <c r="DJ456" s="128">
        <f>IFERROR(AX456*$V456,)</f>
        <v/>
      </c>
      <c r="DK456" s="128">
        <f>IFERROR(AY456*$V456,)</f>
        <v/>
      </c>
      <c r="DL456" s="128">
        <f>IFERROR(AZ456*$V456,)</f>
        <v/>
      </c>
      <c r="DM456" s="129">
        <f>IFERROR(if($X456=0,($V456/1.2)*BA456,
BA456*$X456),)</f>
        <v/>
      </c>
      <c r="DN456" s="129">
        <f>IFERROR(if($X456=0,($V456/1.2)*BB456,
BB456*$X456),)</f>
        <v/>
      </c>
      <c r="DO456" s="129">
        <f>IFERROR(if($X456=0,($V456/1.2)*BC456,
BC456*$X456),)</f>
        <v/>
      </c>
      <c r="DP456" s="130">
        <f>IFERROR(if($Z456=0,($V456/1.35)*BD456,
BD456*$Z456),)</f>
        <v/>
      </c>
      <c r="DQ456" s="130">
        <f>IFERROR(if($Z456=0,($V456/1.35)*BE456,
BE456*$Z456),)</f>
        <v/>
      </c>
      <c r="DR456" s="130">
        <f>IFERROR(if($Z456=0,($V456/1.35)*BF456,
BF456*$Z456),)</f>
        <v/>
      </c>
      <c r="DS456" s="128">
        <f>IFERROR(IF($AB456=0,($V456/0.74)*BG456,
BG456*$AB456),)</f>
        <v/>
      </c>
      <c r="DT456" s="128">
        <f>IFERROR(IF($AB456=0,($V456/0.74)*BH456,
BH456*$AB456),)</f>
        <v/>
      </c>
      <c r="DU456" s="128">
        <f>IFERROR(IF($AB456=0,($V456/0.74)*BI456,
BI456*$AB456),)</f>
        <v/>
      </c>
    </row>
    <row r="457" ht="131.25" customHeight="1" s="162">
      <c r="A457" s="115" t="n"/>
      <c r="B457" s="115" t="n"/>
      <c r="C457" s="115" t="n"/>
      <c r="D457" s="115" t="n"/>
      <c r="E457" s="115" t="n"/>
      <c r="F457" s="115" t="n"/>
      <c r="G457" s="115" t="n"/>
      <c r="H457" s="115" t="n"/>
      <c r="I457" s="115" t="n"/>
      <c r="J457" s="115" t="n"/>
      <c r="K457" s="115" t="n"/>
      <c r="L457" s="115" t="n"/>
      <c r="M457" s="115" t="n"/>
      <c r="N457" s="115" t="n"/>
      <c r="O457" s="115" t="n"/>
      <c r="P457" s="115" t="n"/>
      <c r="Q457" s="115" t="n"/>
      <c r="R457" s="115" t="n"/>
      <c r="S457" s="115" t="n"/>
      <c r="T457" s="115" t="n"/>
      <c r="U457" s="116" t="n"/>
      <c r="V457" s="116" t="n"/>
      <c r="W457" s="117" t="n"/>
      <c r="X457" s="118" t="n"/>
      <c r="Y457" s="119" t="n"/>
      <c r="Z457" s="120" t="n"/>
      <c r="AA457" s="121" t="n"/>
      <c r="AB457" s="122" t="n"/>
      <c r="AC457" s="117" t="n"/>
      <c r="AD457" s="123">
        <f>IF(SUM($AE457:$AH457)=0,"",SUM($AE457:$AH457))</f>
        <v/>
      </c>
      <c r="AE457" s="123">
        <f>iferror(IF(SUM($AI457:$AZ457)=0,"",SUM($AI457:$AZ457)),"")</f>
        <v/>
      </c>
      <c r="AF457" s="123">
        <f>iferror(IF(SUM($BA457:$BC457)=0,"",SUM($BA457:$BC457)),"")</f>
        <v/>
      </c>
      <c r="AG457" s="123">
        <f>iferror(IF(SUM($BD457:$BF457)=0,"",SUM($BD457:$BF457)),"")</f>
        <v/>
      </c>
      <c r="AH457" s="124">
        <f>iferror(IF(SUM($BG457:$BI457)=0,"",SUM($BG457:$BI457)),"")</f>
        <v/>
      </c>
      <c r="AI457" s="131" t="n"/>
      <c r="AJ457" s="132" t="n"/>
      <c r="AK457" s="132" t="n"/>
      <c r="AL457" s="132" t="n"/>
      <c r="AM457" s="132" t="n"/>
      <c r="AN457" s="132" t="n"/>
      <c r="AO457" s="132" t="n"/>
      <c r="AP457" s="132" t="n"/>
      <c r="AQ457" s="132" t="n"/>
      <c r="AR457" s="132" t="n"/>
      <c r="AS457" s="132" t="n"/>
      <c r="AT457" s="132" t="n"/>
      <c r="AU457" s="132" t="n"/>
      <c r="AV457" s="132" t="n"/>
      <c r="AW457" s="132" t="n"/>
      <c r="AX457" s="132" t="n"/>
      <c r="AY457" s="132" t="n"/>
      <c r="AZ457" s="133" t="n"/>
      <c r="BA457" s="131" t="n"/>
      <c r="BB457" s="132" t="n"/>
      <c r="BC457" s="133" t="n"/>
      <c r="BD457" s="131" t="n"/>
      <c r="BE457" s="132" t="n"/>
      <c r="BF457" s="133" t="n"/>
      <c r="BG457" s="131" t="n"/>
      <c r="BH457" s="132" t="n"/>
      <c r="BI457" s="132" t="n"/>
      <c r="BJ457" s="128">
        <f>iferror(SUM($BK457,($BL457*1.2),($BM457*1.35),($BN457*0.74)),)</f>
        <v/>
      </c>
      <c r="BK457" s="128">
        <f>IFERROR(SUM($BT457:$CK457),)</f>
        <v/>
      </c>
      <c r="BL457" s="129">
        <f>IFERROR(SUM($CL457:$CN457),)</f>
        <v/>
      </c>
      <c r="BM457" s="130">
        <f>IFERROR(SUM($CO457:$CQ457),)</f>
        <v/>
      </c>
      <c r="BN457" s="128">
        <f>IFERROR(SUM($CR457:$CT457),)</f>
        <v/>
      </c>
      <c r="BO457" s="128">
        <f>iferror(SUM($BP457,($BQ457*1.2),($BR457*1.35),($BS457*0.74)),)</f>
        <v/>
      </c>
      <c r="BP457" s="128">
        <f>IFERROR(SUM($CU457:$DL457),)</f>
        <v/>
      </c>
      <c r="BQ457" s="128">
        <f>IFERROR(SUM($DM457:$DO457),)</f>
        <v/>
      </c>
      <c r="BR457" s="128">
        <f>IFERROR(SUM($DP457:$DR457),)</f>
        <v/>
      </c>
      <c r="BS457" s="128">
        <f>IFERROR(SUM($DS457:$DU457),)</f>
        <v/>
      </c>
      <c r="BT457" s="128">
        <f>IFERROR(AI457*$W457,)</f>
        <v/>
      </c>
      <c r="BU457" s="128">
        <f>IFERROR(AJ457*$W457,)</f>
        <v/>
      </c>
      <c r="BV457" s="128">
        <f>IFERROR(AK457*$W457,)</f>
        <v/>
      </c>
      <c r="BW457" s="128">
        <f>IFERROR(AL457*$W457,)</f>
        <v/>
      </c>
      <c r="BX457" s="128">
        <f>IFERROR(AM457*$W457,)</f>
        <v/>
      </c>
      <c r="BY457" s="128">
        <f>IFERROR(AN457*$W457,)</f>
        <v/>
      </c>
      <c r="BZ457" s="128">
        <f>IFERROR(AO457*$W457,)</f>
        <v/>
      </c>
      <c r="CA457" s="128">
        <f>IFERROR(AP457*$W457,)</f>
        <v/>
      </c>
      <c r="CB457" s="128">
        <f>IFERROR(AQ457*$W457,)</f>
        <v/>
      </c>
      <c r="CC457" s="128">
        <f>IFERROR(AR457*$W457,)</f>
        <v/>
      </c>
      <c r="CD457" s="128">
        <f>IFERROR(AS457*$W457,)</f>
        <v/>
      </c>
      <c r="CE457" s="128">
        <f>IFERROR(AT457*$W457,)</f>
        <v/>
      </c>
      <c r="CF457" s="128">
        <f>IFERROR(AU457*$W457,)</f>
        <v/>
      </c>
      <c r="CG457" s="128">
        <f>IFERROR(AV457*$W457,)</f>
        <v/>
      </c>
      <c r="CH457" s="128">
        <f>IFERROR(AW457*$W457,)</f>
        <v/>
      </c>
      <c r="CI457" s="128">
        <f>IFERROR(AX457*$W457,)</f>
        <v/>
      </c>
      <c r="CJ457" s="128">
        <f>IFERROR(AY457*$W457,)</f>
        <v/>
      </c>
      <c r="CK457" s="128">
        <f>IFERROR(AZ457*$W457,)</f>
        <v/>
      </c>
      <c r="CL457" s="129">
        <f>IFERROR(if($Y457=0,BA457*($W457/1.2),BA457*$Y457),"")</f>
        <v/>
      </c>
      <c r="CM457" s="129">
        <f>IFERROR(if($Y457=0,BB457*($W457/1.2),BB457*$Y457),"")</f>
        <v/>
      </c>
      <c r="CN457" s="129">
        <f>IFERROR(if($Y457=0,BC457*($W457/1.2),BC457*$Y457),"")</f>
        <v/>
      </c>
      <c r="CO457" s="130">
        <f>IFERROR(if($AA457=0,($W457/1.35)*BD457,BD457*$AA457),)</f>
        <v/>
      </c>
      <c r="CP457" s="130">
        <f>IFERROR(if($AA457=0,($W457/1.35)*BE457,BE457*$AA457),)</f>
        <v/>
      </c>
      <c r="CQ457" s="130">
        <f>IFERROR(if($AA457=0,($W457/1.35)*BF457,BF457*$AA457),)</f>
        <v/>
      </c>
      <c r="CR457" s="128">
        <f>IFERROR(if($AC457=0,($W457/0.74)*BG457,
BG457*$AC457),)</f>
        <v/>
      </c>
      <c r="CS457" s="128">
        <f>IFERROR(if($AC457=0,($W457/0.74)*BH457,
BH457*$AC457),)</f>
        <v/>
      </c>
      <c r="CT457" s="128">
        <f>IFERROR(if($AC457=0,($W457/0.74)*BI457,
BI457*$AC457),)</f>
        <v/>
      </c>
      <c r="CU457" s="128">
        <f>IFERROR(AI457*$V457,)</f>
        <v/>
      </c>
      <c r="CV457" s="128">
        <f>IFERROR(AJ457*$V457,)</f>
        <v/>
      </c>
      <c r="CW457" s="128">
        <f>IFERROR(AK457*$V457,)</f>
        <v/>
      </c>
      <c r="CX457" s="128">
        <f>IFERROR(AL457*$V457,)</f>
        <v/>
      </c>
      <c r="CY457" s="128">
        <f>IFERROR(AM457*$V457,)</f>
        <v/>
      </c>
      <c r="CZ457" s="128">
        <f>IFERROR(AN457*$V457,)</f>
        <v/>
      </c>
      <c r="DA457" s="128">
        <f>IFERROR(AO457*$V457,)</f>
        <v/>
      </c>
      <c r="DB457" s="128">
        <f>IFERROR(AP457*$V457,)</f>
        <v/>
      </c>
      <c r="DC457" s="128">
        <f>IFERROR(AQ457*$V457,)</f>
        <v/>
      </c>
      <c r="DD457" s="128">
        <f>IFERROR(AR457*$V457,)</f>
        <v/>
      </c>
      <c r="DE457" s="128">
        <f>IFERROR(AS457*$V457,)</f>
        <v/>
      </c>
      <c r="DF457" s="128">
        <f>IFERROR(AT457*$V457,)</f>
        <v/>
      </c>
      <c r="DG457" s="128">
        <f>IFERROR(AU457*$V457,)</f>
        <v/>
      </c>
      <c r="DH457" s="128">
        <f>IFERROR(AV457*$V457,)</f>
        <v/>
      </c>
      <c r="DI457" s="128">
        <f>IFERROR(AW457*$V457,)</f>
        <v/>
      </c>
      <c r="DJ457" s="128">
        <f>IFERROR(AX457*$V457,)</f>
        <v/>
      </c>
      <c r="DK457" s="128">
        <f>IFERROR(AY457*$V457,)</f>
        <v/>
      </c>
      <c r="DL457" s="128">
        <f>IFERROR(AZ457*$V457,)</f>
        <v/>
      </c>
      <c r="DM457" s="129">
        <f>IFERROR(if($X457=0,($V457/1.2)*BA457,
BA457*$X457),)</f>
        <v/>
      </c>
      <c r="DN457" s="129">
        <f>IFERROR(if($X457=0,($V457/1.2)*BB457,
BB457*$X457),)</f>
        <v/>
      </c>
      <c r="DO457" s="129">
        <f>IFERROR(if($X457=0,($V457/1.2)*BC457,
BC457*$X457),)</f>
        <v/>
      </c>
      <c r="DP457" s="130">
        <f>IFERROR(if($Z457=0,($V457/1.35)*BD457,
BD457*$Z457),)</f>
        <v/>
      </c>
      <c r="DQ457" s="130">
        <f>IFERROR(if($Z457=0,($V457/1.35)*BE457,
BE457*$Z457),)</f>
        <v/>
      </c>
      <c r="DR457" s="130">
        <f>IFERROR(if($Z457=0,($V457/1.35)*BF457,
BF457*$Z457),)</f>
        <v/>
      </c>
      <c r="DS457" s="128">
        <f>IFERROR(IF($AB457=0,($V457/0.74)*BG457,
BG457*$AB457),)</f>
        <v/>
      </c>
      <c r="DT457" s="128">
        <f>IFERROR(IF($AB457=0,($V457/0.74)*BH457,
BH457*$AB457),)</f>
        <v/>
      </c>
      <c r="DU457" s="128">
        <f>IFERROR(IF($AB457=0,($V457/0.74)*BI457,
BI457*$AB457),)</f>
        <v/>
      </c>
    </row>
    <row r="458" ht="131.25" customHeight="1" s="162">
      <c r="A458" s="115" t="n"/>
      <c r="B458" s="115" t="n"/>
      <c r="C458" s="115" t="n"/>
      <c r="D458" s="115" t="n"/>
      <c r="E458" s="115" t="n"/>
      <c r="F458" s="115" t="n"/>
      <c r="G458" s="115" t="n"/>
      <c r="H458" s="115" t="n"/>
      <c r="I458" s="115" t="n"/>
      <c r="J458" s="115" t="n"/>
      <c r="K458" s="115" t="n"/>
      <c r="L458" s="115" t="n"/>
      <c r="M458" s="115" t="n"/>
      <c r="N458" s="115" t="n"/>
      <c r="O458" s="115" t="n"/>
      <c r="P458" s="115" t="n"/>
      <c r="Q458" s="115" t="n"/>
      <c r="R458" s="115" t="n"/>
      <c r="S458" s="115" t="n"/>
      <c r="T458" s="115" t="n"/>
      <c r="U458" s="116" t="n"/>
      <c r="V458" s="116" t="n"/>
      <c r="W458" s="117" t="n"/>
      <c r="X458" s="118" t="n"/>
      <c r="Y458" s="119" t="n"/>
      <c r="Z458" s="120" t="n"/>
      <c r="AA458" s="121" t="n"/>
      <c r="AB458" s="122" t="n"/>
      <c r="AC458" s="117" t="n"/>
      <c r="AD458" s="123">
        <f>IF(SUM($AE458:$AH458)=0,"",SUM($AE458:$AH458))</f>
        <v/>
      </c>
      <c r="AE458" s="123">
        <f>iferror(IF(SUM($AI458:$AZ458)=0,"",SUM($AI458:$AZ458)),"")</f>
        <v/>
      </c>
      <c r="AF458" s="123">
        <f>iferror(IF(SUM($BA458:$BC458)=0,"",SUM($BA458:$BC458)),"")</f>
        <v/>
      </c>
      <c r="AG458" s="123">
        <f>iferror(IF(SUM($BD458:$BF458)=0,"",SUM($BD458:$BF458)),"")</f>
        <v/>
      </c>
      <c r="AH458" s="124">
        <f>iferror(IF(SUM($BG458:$BI458)=0,"",SUM($BG458:$BI458)),"")</f>
        <v/>
      </c>
      <c r="AI458" s="131" t="n"/>
      <c r="AJ458" s="132" t="n"/>
      <c r="AK458" s="132" t="n"/>
      <c r="AL458" s="132" t="n"/>
      <c r="AM458" s="132" t="n"/>
      <c r="AN458" s="132" t="n"/>
      <c r="AO458" s="132" t="n"/>
      <c r="AP458" s="132" t="n"/>
      <c r="AQ458" s="132" t="n"/>
      <c r="AR458" s="132" t="n"/>
      <c r="AS458" s="132" t="n"/>
      <c r="AT458" s="132" t="n"/>
      <c r="AU458" s="132" t="n"/>
      <c r="AV458" s="132" t="n"/>
      <c r="AW458" s="132" t="n"/>
      <c r="AX458" s="132" t="n"/>
      <c r="AY458" s="132" t="n"/>
      <c r="AZ458" s="133" t="n"/>
      <c r="BA458" s="131" t="n"/>
      <c r="BB458" s="132" t="n"/>
      <c r="BC458" s="133" t="n"/>
      <c r="BD458" s="131" t="n"/>
      <c r="BE458" s="132" t="n"/>
      <c r="BF458" s="133" t="n"/>
      <c r="BG458" s="131" t="n"/>
      <c r="BH458" s="132" t="n"/>
      <c r="BI458" s="132" t="n"/>
      <c r="BJ458" s="128">
        <f>iferror(SUM($BK458,($BL458*1.2),($BM458*1.35),($BN458*0.74)),)</f>
        <v/>
      </c>
      <c r="BK458" s="128">
        <f>IFERROR(SUM($BT458:$CK458),)</f>
        <v/>
      </c>
      <c r="BL458" s="129">
        <f>IFERROR(SUM($CL458:$CN458),)</f>
        <v/>
      </c>
      <c r="BM458" s="130">
        <f>IFERROR(SUM($CO458:$CQ458),)</f>
        <v/>
      </c>
      <c r="BN458" s="128">
        <f>IFERROR(SUM($CR458:$CT458),)</f>
        <v/>
      </c>
      <c r="BO458" s="128">
        <f>iferror(SUM($BP458,($BQ458*1.2),($BR458*1.35),($BS458*0.74)),)</f>
        <v/>
      </c>
      <c r="BP458" s="128">
        <f>IFERROR(SUM($CU458:$DL458),)</f>
        <v/>
      </c>
      <c r="BQ458" s="128">
        <f>IFERROR(SUM($DM458:$DO458),)</f>
        <v/>
      </c>
      <c r="BR458" s="128">
        <f>IFERROR(SUM($DP458:$DR458),)</f>
        <v/>
      </c>
      <c r="BS458" s="128">
        <f>IFERROR(SUM($DS458:$DU458),)</f>
        <v/>
      </c>
      <c r="BT458" s="128">
        <f>IFERROR(AI458*$W458,)</f>
        <v/>
      </c>
      <c r="BU458" s="128">
        <f>IFERROR(AJ458*$W458,)</f>
        <v/>
      </c>
      <c r="BV458" s="128">
        <f>IFERROR(AK458*$W458,)</f>
        <v/>
      </c>
      <c r="BW458" s="128">
        <f>IFERROR(AL458*$W458,)</f>
        <v/>
      </c>
      <c r="BX458" s="128">
        <f>IFERROR(AM458*$W458,)</f>
        <v/>
      </c>
      <c r="BY458" s="128">
        <f>IFERROR(AN458*$W458,)</f>
        <v/>
      </c>
      <c r="BZ458" s="128">
        <f>IFERROR(AO458*$W458,)</f>
        <v/>
      </c>
      <c r="CA458" s="128">
        <f>IFERROR(AP458*$W458,)</f>
        <v/>
      </c>
      <c r="CB458" s="128">
        <f>IFERROR(AQ458*$W458,)</f>
        <v/>
      </c>
      <c r="CC458" s="128">
        <f>IFERROR(AR458*$W458,)</f>
        <v/>
      </c>
      <c r="CD458" s="128">
        <f>IFERROR(AS458*$W458,)</f>
        <v/>
      </c>
      <c r="CE458" s="128">
        <f>IFERROR(AT458*$W458,)</f>
        <v/>
      </c>
      <c r="CF458" s="128">
        <f>IFERROR(AU458*$W458,)</f>
        <v/>
      </c>
      <c r="CG458" s="128">
        <f>IFERROR(AV458*$W458,)</f>
        <v/>
      </c>
      <c r="CH458" s="128">
        <f>IFERROR(AW458*$W458,)</f>
        <v/>
      </c>
      <c r="CI458" s="128">
        <f>IFERROR(AX458*$W458,)</f>
        <v/>
      </c>
      <c r="CJ458" s="128">
        <f>IFERROR(AY458*$W458,)</f>
        <v/>
      </c>
      <c r="CK458" s="128">
        <f>IFERROR(AZ458*$W458,)</f>
        <v/>
      </c>
      <c r="CL458" s="129">
        <f>IFERROR(if($Y458=0,BA458*($W458/1.2),BA458*$Y458),"")</f>
        <v/>
      </c>
      <c r="CM458" s="129">
        <f>IFERROR(if($Y458=0,BB458*($W458/1.2),BB458*$Y458),"")</f>
        <v/>
      </c>
      <c r="CN458" s="129">
        <f>IFERROR(if($Y458=0,BC458*($W458/1.2),BC458*$Y458),"")</f>
        <v/>
      </c>
      <c r="CO458" s="130">
        <f>IFERROR(if($AA458=0,($W458/1.35)*BD458,BD458*$AA458),)</f>
        <v/>
      </c>
      <c r="CP458" s="130">
        <f>IFERROR(if($AA458=0,($W458/1.35)*BE458,BE458*$AA458),)</f>
        <v/>
      </c>
      <c r="CQ458" s="130">
        <f>IFERROR(if($AA458=0,($W458/1.35)*BF458,BF458*$AA458),)</f>
        <v/>
      </c>
      <c r="CR458" s="128">
        <f>IFERROR(if($AC458=0,($W458/0.74)*BG458,
BG458*$AC458),)</f>
        <v/>
      </c>
      <c r="CS458" s="128">
        <f>IFERROR(if($AC458=0,($W458/0.74)*BH458,
BH458*$AC458),)</f>
        <v/>
      </c>
      <c r="CT458" s="128">
        <f>IFERROR(if($AC458=0,($W458/0.74)*BI458,
BI458*$AC458),)</f>
        <v/>
      </c>
      <c r="CU458" s="128">
        <f>IFERROR(AI458*$V458,)</f>
        <v/>
      </c>
      <c r="CV458" s="128">
        <f>IFERROR(AJ458*$V458,)</f>
        <v/>
      </c>
      <c r="CW458" s="128">
        <f>IFERROR(AK458*$V458,)</f>
        <v/>
      </c>
      <c r="CX458" s="128">
        <f>IFERROR(AL458*$V458,)</f>
        <v/>
      </c>
      <c r="CY458" s="128">
        <f>IFERROR(AM458*$V458,)</f>
        <v/>
      </c>
      <c r="CZ458" s="128">
        <f>IFERROR(AN458*$V458,)</f>
        <v/>
      </c>
      <c r="DA458" s="128">
        <f>IFERROR(AO458*$V458,)</f>
        <v/>
      </c>
      <c r="DB458" s="128">
        <f>IFERROR(AP458*$V458,)</f>
        <v/>
      </c>
      <c r="DC458" s="128">
        <f>IFERROR(AQ458*$V458,)</f>
        <v/>
      </c>
      <c r="DD458" s="128">
        <f>IFERROR(AR458*$V458,)</f>
        <v/>
      </c>
      <c r="DE458" s="128">
        <f>IFERROR(AS458*$V458,)</f>
        <v/>
      </c>
      <c r="DF458" s="128">
        <f>IFERROR(AT458*$V458,)</f>
        <v/>
      </c>
      <c r="DG458" s="128">
        <f>IFERROR(AU458*$V458,)</f>
        <v/>
      </c>
      <c r="DH458" s="128">
        <f>IFERROR(AV458*$V458,)</f>
        <v/>
      </c>
      <c r="DI458" s="128">
        <f>IFERROR(AW458*$V458,)</f>
        <v/>
      </c>
      <c r="DJ458" s="128">
        <f>IFERROR(AX458*$V458,)</f>
        <v/>
      </c>
      <c r="DK458" s="128">
        <f>IFERROR(AY458*$V458,)</f>
        <v/>
      </c>
      <c r="DL458" s="128">
        <f>IFERROR(AZ458*$V458,)</f>
        <v/>
      </c>
      <c r="DM458" s="129">
        <f>IFERROR(if($X458=0,($V458/1.2)*BA458,
BA458*$X458),)</f>
        <v/>
      </c>
      <c r="DN458" s="129">
        <f>IFERROR(if($X458=0,($V458/1.2)*BB458,
BB458*$X458),)</f>
        <v/>
      </c>
      <c r="DO458" s="129">
        <f>IFERROR(if($X458=0,($V458/1.2)*BC458,
BC458*$X458),)</f>
        <v/>
      </c>
      <c r="DP458" s="130">
        <f>IFERROR(if($Z458=0,($V458/1.35)*BD458,
BD458*$Z458),)</f>
        <v/>
      </c>
      <c r="DQ458" s="130">
        <f>IFERROR(if($Z458=0,($V458/1.35)*BE458,
BE458*$Z458),)</f>
        <v/>
      </c>
      <c r="DR458" s="130">
        <f>IFERROR(if($Z458=0,($V458/1.35)*BF458,
BF458*$Z458),)</f>
        <v/>
      </c>
      <c r="DS458" s="128">
        <f>IFERROR(IF($AB458=0,($V458/0.74)*BG458,
BG458*$AB458),)</f>
        <v/>
      </c>
      <c r="DT458" s="128">
        <f>IFERROR(IF($AB458=0,($V458/0.74)*BH458,
BH458*$AB458),)</f>
        <v/>
      </c>
      <c r="DU458" s="128">
        <f>IFERROR(IF($AB458=0,($V458/0.74)*BI458,
BI458*$AB458),)</f>
        <v/>
      </c>
    </row>
    <row r="459" ht="131.25" customHeight="1" s="162">
      <c r="A459" s="115" t="n"/>
      <c r="B459" s="115" t="n"/>
      <c r="C459" s="115" t="n"/>
      <c r="D459" s="115" t="n"/>
      <c r="E459" s="115" t="n"/>
      <c r="F459" s="115" t="n"/>
      <c r="G459" s="115" t="n"/>
      <c r="H459" s="115" t="n"/>
      <c r="I459" s="115" t="n"/>
      <c r="J459" s="115" t="n"/>
      <c r="K459" s="115" t="n"/>
      <c r="L459" s="115" t="n"/>
      <c r="M459" s="115" t="n"/>
      <c r="N459" s="115" t="n"/>
      <c r="O459" s="115" t="n"/>
      <c r="P459" s="115" t="n"/>
      <c r="Q459" s="115" t="n"/>
      <c r="R459" s="115" t="n"/>
      <c r="S459" s="115" t="n"/>
      <c r="T459" s="115" t="n"/>
      <c r="U459" s="116" t="n"/>
      <c r="V459" s="116" t="n"/>
      <c r="W459" s="117" t="n"/>
      <c r="X459" s="118" t="n"/>
      <c r="Y459" s="119" t="n"/>
      <c r="Z459" s="120" t="n"/>
      <c r="AA459" s="121" t="n"/>
      <c r="AB459" s="122" t="n"/>
      <c r="AC459" s="117" t="n"/>
      <c r="AD459" s="123">
        <f>IF(SUM($AE459:$AH459)=0,"",SUM($AE459:$AH459))</f>
        <v/>
      </c>
      <c r="AE459" s="123">
        <f>iferror(IF(SUM($AI459:$AZ459)=0,"",SUM($AI459:$AZ459)),"")</f>
        <v/>
      </c>
      <c r="AF459" s="123">
        <f>iferror(IF(SUM($BA459:$BC459)=0,"",SUM($BA459:$BC459)),"")</f>
        <v/>
      </c>
      <c r="AG459" s="123">
        <f>iferror(IF(SUM($BD459:$BF459)=0,"",SUM($BD459:$BF459)),"")</f>
        <v/>
      </c>
      <c r="AH459" s="124">
        <f>iferror(IF(SUM($BG459:$BI459)=0,"",SUM($BG459:$BI459)),"")</f>
        <v/>
      </c>
      <c r="AI459" s="131" t="n"/>
      <c r="AJ459" s="132" t="n"/>
      <c r="AK459" s="132" t="n"/>
      <c r="AL459" s="132" t="n"/>
      <c r="AM459" s="132" t="n"/>
      <c r="AN459" s="132" t="n"/>
      <c r="AO459" s="132" t="n"/>
      <c r="AP459" s="132" t="n"/>
      <c r="AQ459" s="132" t="n"/>
      <c r="AR459" s="132" t="n"/>
      <c r="AS459" s="132" t="n"/>
      <c r="AT459" s="132" t="n"/>
      <c r="AU459" s="132" t="n"/>
      <c r="AV459" s="132" t="n"/>
      <c r="AW459" s="132" t="n"/>
      <c r="AX459" s="132" t="n"/>
      <c r="AY459" s="132" t="n"/>
      <c r="AZ459" s="133" t="n"/>
      <c r="BA459" s="131" t="n"/>
      <c r="BB459" s="132" t="n"/>
      <c r="BC459" s="133" t="n"/>
      <c r="BD459" s="131" t="n"/>
      <c r="BE459" s="132" t="n"/>
      <c r="BF459" s="133" t="n"/>
      <c r="BG459" s="131" t="n"/>
      <c r="BH459" s="132" t="n"/>
      <c r="BI459" s="132" t="n"/>
      <c r="BJ459" s="128">
        <f>iferror(SUM($BK459,($BL459*1.2),($BM459*1.35),($BN459*0.74)),)</f>
        <v/>
      </c>
      <c r="BK459" s="128">
        <f>IFERROR(SUM($BT459:$CK459),)</f>
        <v/>
      </c>
      <c r="BL459" s="129">
        <f>IFERROR(SUM($CL459:$CN459),)</f>
        <v/>
      </c>
      <c r="BM459" s="130">
        <f>IFERROR(SUM($CO459:$CQ459),)</f>
        <v/>
      </c>
      <c r="BN459" s="128">
        <f>IFERROR(SUM($CR459:$CT459),)</f>
        <v/>
      </c>
      <c r="BO459" s="128">
        <f>iferror(SUM($BP459,($BQ459*1.2),($BR459*1.35),($BS459*0.74)),)</f>
        <v/>
      </c>
      <c r="BP459" s="128">
        <f>IFERROR(SUM($CU459:$DL459),)</f>
        <v/>
      </c>
      <c r="BQ459" s="128">
        <f>IFERROR(SUM($DM459:$DO459),)</f>
        <v/>
      </c>
      <c r="BR459" s="128">
        <f>IFERROR(SUM($DP459:$DR459),)</f>
        <v/>
      </c>
      <c r="BS459" s="128">
        <f>IFERROR(SUM($DS459:$DU459),)</f>
        <v/>
      </c>
      <c r="BT459" s="128">
        <f>IFERROR(AI459*$W459,)</f>
        <v/>
      </c>
      <c r="BU459" s="128">
        <f>IFERROR(AJ459*$W459,)</f>
        <v/>
      </c>
      <c r="BV459" s="128">
        <f>IFERROR(AK459*$W459,)</f>
        <v/>
      </c>
      <c r="BW459" s="128">
        <f>IFERROR(AL459*$W459,)</f>
        <v/>
      </c>
      <c r="BX459" s="128">
        <f>IFERROR(AM459*$W459,)</f>
        <v/>
      </c>
      <c r="BY459" s="128">
        <f>IFERROR(AN459*$W459,)</f>
        <v/>
      </c>
      <c r="BZ459" s="128">
        <f>IFERROR(AO459*$W459,)</f>
        <v/>
      </c>
      <c r="CA459" s="128">
        <f>IFERROR(AP459*$W459,)</f>
        <v/>
      </c>
      <c r="CB459" s="128">
        <f>IFERROR(AQ459*$W459,)</f>
        <v/>
      </c>
      <c r="CC459" s="128">
        <f>IFERROR(AR459*$W459,)</f>
        <v/>
      </c>
      <c r="CD459" s="128">
        <f>IFERROR(AS459*$W459,)</f>
        <v/>
      </c>
      <c r="CE459" s="128">
        <f>IFERROR(AT459*$W459,)</f>
        <v/>
      </c>
      <c r="CF459" s="128">
        <f>IFERROR(AU459*$W459,)</f>
        <v/>
      </c>
      <c r="CG459" s="128">
        <f>IFERROR(AV459*$W459,)</f>
        <v/>
      </c>
      <c r="CH459" s="128">
        <f>IFERROR(AW459*$W459,)</f>
        <v/>
      </c>
      <c r="CI459" s="128">
        <f>IFERROR(AX459*$W459,)</f>
        <v/>
      </c>
      <c r="CJ459" s="128">
        <f>IFERROR(AY459*$W459,)</f>
        <v/>
      </c>
      <c r="CK459" s="128">
        <f>IFERROR(AZ459*$W459,)</f>
        <v/>
      </c>
      <c r="CL459" s="129">
        <f>IFERROR(if($Y459=0,BA459*($W459/1.2),BA459*$Y459),"")</f>
        <v/>
      </c>
      <c r="CM459" s="129">
        <f>IFERROR(if($Y459=0,BB459*($W459/1.2),BB459*$Y459),"")</f>
        <v/>
      </c>
      <c r="CN459" s="129">
        <f>IFERROR(if($Y459=0,BC459*($W459/1.2),BC459*$Y459),"")</f>
        <v/>
      </c>
      <c r="CO459" s="130">
        <f>IFERROR(if($AA459=0,($W459/1.35)*BD459,BD459*$AA459),)</f>
        <v/>
      </c>
      <c r="CP459" s="130">
        <f>IFERROR(if($AA459=0,($W459/1.35)*BE459,BE459*$AA459),)</f>
        <v/>
      </c>
      <c r="CQ459" s="130">
        <f>IFERROR(if($AA459=0,($W459/1.35)*BF459,BF459*$AA459),)</f>
        <v/>
      </c>
      <c r="CR459" s="128">
        <f>IFERROR(if($AC459=0,($W459/0.74)*BG459,
BG459*$AC459),)</f>
        <v/>
      </c>
      <c r="CS459" s="128">
        <f>IFERROR(if($AC459=0,($W459/0.74)*BH459,
BH459*$AC459),)</f>
        <v/>
      </c>
      <c r="CT459" s="128">
        <f>IFERROR(if($AC459=0,($W459/0.74)*BI459,
BI459*$AC459),)</f>
        <v/>
      </c>
      <c r="CU459" s="128">
        <f>IFERROR(AI459*$V459,)</f>
        <v/>
      </c>
      <c r="CV459" s="128">
        <f>IFERROR(AJ459*$V459,)</f>
        <v/>
      </c>
      <c r="CW459" s="128">
        <f>IFERROR(AK459*$V459,)</f>
        <v/>
      </c>
      <c r="CX459" s="128">
        <f>IFERROR(AL459*$V459,)</f>
        <v/>
      </c>
      <c r="CY459" s="128">
        <f>IFERROR(AM459*$V459,)</f>
        <v/>
      </c>
      <c r="CZ459" s="128">
        <f>IFERROR(AN459*$V459,)</f>
        <v/>
      </c>
      <c r="DA459" s="128">
        <f>IFERROR(AO459*$V459,)</f>
        <v/>
      </c>
      <c r="DB459" s="128">
        <f>IFERROR(AP459*$V459,)</f>
        <v/>
      </c>
      <c r="DC459" s="128">
        <f>IFERROR(AQ459*$V459,)</f>
        <v/>
      </c>
      <c r="DD459" s="128">
        <f>IFERROR(AR459*$V459,)</f>
        <v/>
      </c>
      <c r="DE459" s="128">
        <f>IFERROR(AS459*$V459,)</f>
        <v/>
      </c>
      <c r="DF459" s="128">
        <f>IFERROR(AT459*$V459,)</f>
        <v/>
      </c>
      <c r="DG459" s="128">
        <f>IFERROR(AU459*$V459,)</f>
        <v/>
      </c>
      <c r="DH459" s="128">
        <f>IFERROR(AV459*$V459,)</f>
        <v/>
      </c>
      <c r="DI459" s="128">
        <f>IFERROR(AW459*$V459,)</f>
        <v/>
      </c>
      <c r="DJ459" s="128">
        <f>IFERROR(AX459*$V459,)</f>
        <v/>
      </c>
      <c r="DK459" s="128">
        <f>IFERROR(AY459*$V459,)</f>
        <v/>
      </c>
      <c r="DL459" s="128">
        <f>IFERROR(AZ459*$V459,)</f>
        <v/>
      </c>
      <c r="DM459" s="129">
        <f>IFERROR(if($X459=0,($V459/1.2)*BA459,
BA459*$X459),)</f>
        <v/>
      </c>
      <c r="DN459" s="129">
        <f>IFERROR(if($X459=0,($V459/1.2)*BB459,
BB459*$X459),)</f>
        <v/>
      </c>
      <c r="DO459" s="129">
        <f>IFERROR(if($X459=0,($V459/1.2)*BC459,
BC459*$X459),)</f>
        <v/>
      </c>
      <c r="DP459" s="130">
        <f>IFERROR(if($Z459=0,($V459/1.35)*BD459,
BD459*$Z459),)</f>
        <v/>
      </c>
      <c r="DQ459" s="130">
        <f>IFERROR(if($Z459=0,($V459/1.35)*BE459,
BE459*$Z459),)</f>
        <v/>
      </c>
      <c r="DR459" s="130">
        <f>IFERROR(if($Z459=0,($V459/1.35)*BF459,
BF459*$Z459),)</f>
        <v/>
      </c>
      <c r="DS459" s="128">
        <f>IFERROR(IF($AB459=0,($V459/0.74)*BG459,
BG459*$AB459),)</f>
        <v/>
      </c>
      <c r="DT459" s="128">
        <f>IFERROR(IF($AB459=0,($V459/0.74)*BH459,
BH459*$AB459),)</f>
        <v/>
      </c>
      <c r="DU459" s="128">
        <f>IFERROR(IF($AB459=0,($V459/0.74)*BI459,
BI459*$AB459),)</f>
        <v/>
      </c>
    </row>
    <row r="460" ht="131.25" customHeight="1" s="162">
      <c r="A460" s="115" t="n"/>
      <c r="B460" s="115" t="n"/>
      <c r="C460" s="115" t="n"/>
      <c r="D460" s="115" t="n"/>
      <c r="E460" s="115" t="n"/>
      <c r="F460" s="115" t="n"/>
      <c r="G460" s="115" t="n"/>
      <c r="H460" s="115" t="n"/>
      <c r="I460" s="115" t="n"/>
      <c r="J460" s="115" t="n"/>
      <c r="K460" s="115" t="n"/>
      <c r="L460" s="115" t="n"/>
      <c r="M460" s="115" t="n"/>
      <c r="N460" s="115" t="n"/>
      <c r="O460" s="115" t="n"/>
      <c r="P460" s="115" t="n"/>
      <c r="Q460" s="115" t="n"/>
      <c r="R460" s="115" t="n"/>
      <c r="S460" s="115" t="n"/>
      <c r="T460" s="115" t="n"/>
      <c r="U460" s="116" t="n"/>
      <c r="V460" s="116" t="n"/>
      <c r="W460" s="117" t="n"/>
      <c r="X460" s="118" t="n"/>
      <c r="Y460" s="119" t="n"/>
      <c r="Z460" s="120" t="n"/>
      <c r="AA460" s="121" t="n"/>
      <c r="AB460" s="122" t="n"/>
      <c r="AC460" s="117" t="n"/>
      <c r="AD460" s="123">
        <f>IF(SUM($AE460:$AH460)=0,"",SUM($AE460:$AH460))</f>
        <v/>
      </c>
      <c r="AE460" s="123">
        <f>iferror(IF(SUM($AI460:$AZ460)=0,"",SUM($AI460:$AZ460)),"")</f>
        <v/>
      </c>
      <c r="AF460" s="123">
        <f>iferror(IF(SUM($BA460:$BC460)=0,"",SUM($BA460:$BC460)),"")</f>
        <v/>
      </c>
      <c r="AG460" s="123">
        <f>iferror(IF(SUM($BD460:$BF460)=0,"",SUM($BD460:$BF460)),"")</f>
        <v/>
      </c>
      <c r="AH460" s="124">
        <f>iferror(IF(SUM($BG460:$BI460)=0,"",SUM($BG460:$BI460)),"")</f>
        <v/>
      </c>
      <c r="AI460" s="131" t="n"/>
      <c r="AJ460" s="132" t="n"/>
      <c r="AK460" s="132" t="n"/>
      <c r="AL460" s="132" t="n"/>
      <c r="AM460" s="132" t="n"/>
      <c r="AN460" s="132" t="n"/>
      <c r="AO460" s="132" t="n"/>
      <c r="AP460" s="132" t="n"/>
      <c r="AQ460" s="132" t="n"/>
      <c r="AR460" s="132" t="n"/>
      <c r="AS460" s="132" t="n"/>
      <c r="AT460" s="132" t="n"/>
      <c r="AU460" s="132" t="n"/>
      <c r="AV460" s="132" t="n"/>
      <c r="AW460" s="132" t="n"/>
      <c r="AX460" s="132" t="n"/>
      <c r="AY460" s="132" t="n"/>
      <c r="AZ460" s="133" t="n"/>
      <c r="BA460" s="131" t="n"/>
      <c r="BB460" s="132" t="n"/>
      <c r="BC460" s="133" t="n"/>
      <c r="BD460" s="131" t="n"/>
      <c r="BE460" s="132" t="n"/>
      <c r="BF460" s="133" t="n"/>
      <c r="BG460" s="131" t="n"/>
      <c r="BH460" s="132" t="n"/>
      <c r="BI460" s="132" t="n"/>
      <c r="BJ460" s="128">
        <f>iferror(SUM($BK460,($BL460*1.2),($BM460*1.35),($BN460*0.74)),)</f>
        <v/>
      </c>
      <c r="BK460" s="128">
        <f>IFERROR(SUM($BT460:$CK460),)</f>
        <v/>
      </c>
      <c r="BL460" s="129">
        <f>IFERROR(SUM($CL460:$CN460),)</f>
        <v/>
      </c>
      <c r="BM460" s="130">
        <f>IFERROR(SUM($CO460:$CQ460),)</f>
        <v/>
      </c>
      <c r="BN460" s="128">
        <f>IFERROR(SUM($CR460:$CT460),)</f>
        <v/>
      </c>
      <c r="BO460" s="128">
        <f>iferror(SUM($BP460,($BQ460*1.2),($BR460*1.35),($BS460*0.74)),)</f>
        <v/>
      </c>
      <c r="BP460" s="128">
        <f>IFERROR(SUM($CU460:$DL460),)</f>
        <v/>
      </c>
      <c r="BQ460" s="128">
        <f>IFERROR(SUM($DM460:$DO460),)</f>
        <v/>
      </c>
      <c r="BR460" s="128">
        <f>IFERROR(SUM($DP460:$DR460),)</f>
        <v/>
      </c>
      <c r="BS460" s="128">
        <f>IFERROR(SUM($DS460:$DU460),)</f>
        <v/>
      </c>
      <c r="BT460" s="128">
        <f>IFERROR(AI460*$W460,)</f>
        <v/>
      </c>
      <c r="BU460" s="128">
        <f>IFERROR(AJ460*$W460,)</f>
        <v/>
      </c>
      <c r="BV460" s="128">
        <f>IFERROR(AK460*$W460,)</f>
        <v/>
      </c>
      <c r="BW460" s="128">
        <f>IFERROR(AL460*$W460,)</f>
        <v/>
      </c>
      <c r="BX460" s="128">
        <f>IFERROR(AM460*$W460,)</f>
        <v/>
      </c>
      <c r="BY460" s="128">
        <f>IFERROR(AN460*$W460,)</f>
        <v/>
      </c>
      <c r="BZ460" s="128">
        <f>IFERROR(AO460*$W460,)</f>
        <v/>
      </c>
      <c r="CA460" s="128">
        <f>IFERROR(AP460*$W460,)</f>
        <v/>
      </c>
      <c r="CB460" s="128">
        <f>IFERROR(AQ460*$W460,)</f>
        <v/>
      </c>
      <c r="CC460" s="128">
        <f>IFERROR(AR460*$W460,)</f>
        <v/>
      </c>
      <c r="CD460" s="128">
        <f>IFERROR(AS460*$W460,)</f>
        <v/>
      </c>
      <c r="CE460" s="128">
        <f>IFERROR(AT460*$W460,)</f>
        <v/>
      </c>
      <c r="CF460" s="128">
        <f>IFERROR(AU460*$W460,)</f>
        <v/>
      </c>
      <c r="CG460" s="128">
        <f>IFERROR(AV460*$W460,)</f>
        <v/>
      </c>
      <c r="CH460" s="128">
        <f>IFERROR(AW460*$W460,)</f>
        <v/>
      </c>
      <c r="CI460" s="128">
        <f>IFERROR(AX460*$W460,)</f>
        <v/>
      </c>
      <c r="CJ460" s="128">
        <f>IFERROR(AY460*$W460,)</f>
        <v/>
      </c>
      <c r="CK460" s="128">
        <f>IFERROR(AZ460*$W460,)</f>
        <v/>
      </c>
      <c r="CL460" s="129">
        <f>IFERROR(if($Y460=0,BA460*($W460/1.2),BA460*$Y460),"")</f>
        <v/>
      </c>
      <c r="CM460" s="129">
        <f>IFERROR(if($Y460=0,BB460*($W460/1.2),BB460*$Y460),"")</f>
        <v/>
      </c>
      <c r="CN460" s="129">
        <f>IFERROR(if($Y460=0,BC460*($W460/1.2),BC460*$Y460),"")</f>
        <v/>
      </c>
      <c r="CO460" s="130">
        <f>IFERROR(if($AA460=0,($W460/1.35)*BD460,BD460*$AA460),)</f>
        <v/>
      </c>
      <c r="CP460" s="130">
        <f>IFERROR(if($AA460=0,($W460/1.35)*BE460,BE460*$AA460),)</f>
        <v/>
      </c>
      <c r="CQ460" s="130">
        <f>IFERROR(if($AA460=0,($W460/1.35)*BF460,BF460*$AA460),)</f>
        <v/>
      </c>
      <c r="CR460" s="128">
        <f>IFERROR(if($AC460=0,($W460/0.74)*BG460,
BG460*$AC460),)</f>
        <v/>
      </c>
      <c r="CS460" s="128">
        <f>IFERROR(if($AC460=0,($W460/0.74)*BH460,
BH460*$AC460),)</f>
        <v/>
      </c>
      <c r="CT460" s="128">
        <f>IFERROR(if($AC460=0,($W460/0.74)*BI460,
BI460*$AC460),)</f>
        <v/>
      </c>
      <c r="CU460" s="128">
        <f>IFERROR(AI460*$V460,)</f>
        <v/>
      </c>
      <c r="CV460" s="128">
        <f>IFERROR(AJ460*$V460,)</f>
        <v/>
      </c>
      <c r="CW460" s="128">
        <f>IFERROR(AK460*$V460,)</f>
        <v/>
      </c>
      <c r="CX460" s="128">
        <f>IFERROR(AL460*$V460,)</f>
        <v/>
      </c>
      <c r="CY460" s="128">
        <f>IFERROR(AM460*$V460,)</f>
        <v/>
      </c>
      <c r="CZ460" s="128">
        <f>IFERROR(AN460*$V460,)</f>
        <v/>
      </c>
      <c r="DA460" s="128">
        <f>IFERROR(AO460*$V460,)</f>
        <v/>
      </c>
      <c r="DB460" s="128">
        <f>IFERROR(AP460*$V460,)</f>
        <v/>
      </c>
      <c r="DC460" s="128">
        <f>IFERROR(AQ460*$V460,)</f>
        <v/>
      </c>
      <c r="DD460" s="128">
        <f>IFERROR(AR460*$V460,)</f>
        <v/>
      </c>
      <c r="DE460" s="128">
        <f>IFERROR(AS460*$V460,)</f>
        <v/>
      </c>
      <c r="DF460" s="128">
        <f>IFERROR(AT460*$V460,)</f>
        <v/>
      </c>
      <c r="DG460" s="128">
        <f>IFERROR(AU460*$V460,)</f>
        <v/>
      </c>
      <c r="DH460" s="128">
        <f>IFERROR(AV460*$V460,)</f>
        <v/>
      </c>
      <c r="DI460" s="128">
        <f>IFERROR(AW460*$V460,)</f>
        <v/>
      </c>
      <c r="DJ460" s="128">
        <f>IFERROR(AX460*$V460,)</f>
        <v/>
      </c>
      <c r="DK460" s="128">
        <f>IFERROR(AY460*$V460,)</f>
        <v/>
      </c>
      <c r="DL460" s="128">
        <f>IFERROR(AZ460*$V460,)</f>
        <v/>
      </c>
      <c r="DM460" s="129">
        <f>IFERROR(if($X460=0,($V460/1.2)*BA460,
BA460*$X460),)</f>
        <v/>
      </c>
      <c r="DN460" s="129">
        <f>IFERROR(if($X460=0,($V460/1.2)*BB460,
BB460*$X460),)</f>
        <v/>
      </c>
      <c r="DO460" s="129">
        <f>IFERROR(if($X460=0,($V460/1.2)*BC460,
BC460*$X460),)</f>
        <v/>
      </c>
      <c r="DP460" s="130">
        <f>IFERROR(if($Z460=0,($V460/1.35)*BD460,
BD460*$Z460),)</f>
        <v/>
      </c>
      <c r="DQ460" s="130">
        <f>IFERROR(if($Z460=0,($V460/1.35)*BE460,
BE460*$Z460),)</f>
        <v/>
      </c>
      <c r="DR460" s="130">
        <f>IFERROR(if($Z460=0,($V460/1.35)*BF460,
BF460*$Z460),)</f>
        <v/>
      </c>
      <c r="DS460" s="128">
        <f>IFERROR(IF($AB460=0,($V460/0.74)*BG460,
BG460*$AB460),)</f>
        <v/>
      </c>
      <c r="DT460" s="128">
        <f>IFERROR(IF($AB460=0,($V460/0.74)*BH460,
BH460*$AB460),)</f>
        <v/>
      </c>
      <c r="DU460" s="128">
        <f>IFERROR(IF($AB460=0,($V460/0.74)*BI460,
BI460*$AB460),)</f>
        <v/>
      </c>
    </row>
    <row r="461" ht="131.25" customHeight="1" s="162">
      <c r="A461" s="115" t="n"/>
      <c r="B461" s="115" t="n"/>
      <c r="C461" s="115" t="n"/>
      <c r="D461" s="115" t="n"/>
      <c r="E461" s="115" t="n"/>
      <c r="F461" s="115" t="n"/>
      <c r="G461" s="115" t="n"/>
      <c r="H461" s="115" t="n"/>
      <c r="I461" s="115" t="n"/>
      <c r="J461" s="115" t="n"/>
      <c r="K461" s="115" t="n"/>
      <c r="L461" s="115" t="n"/>
      <c r="M461" s="115" t="n"/>
      <c r="N461" s="115" t="n"/>
      <c r="O461" s="115" t="n"/>
      <c r="P461" s="115" t="n"/>
      <c r="Q461" s="115" t="n"/>
      <c r="R461" s="115" t="n"/>
      <c r="S461" s="115" t="n"/>
      <c r="T461" s="115" t="n"/>
      <c r="U461" s="116" t="n"/>
      <c r="V461" s="116" t="n"/>
      <c r="W461" s="117" t="n"/>
      <c r="X461" s="118" t="n"/>
      <c r="Y461" s="119" t="n"/>
      <c r="Z461" s="120" t="n"/>
      <c r="AA461" s="121" t="n"/>
      <c r="AB461" s="122" t="n"/>
      <c r="AC461" s="117" t="n"/>
      <c r="AD461" s="123">
        <f>IF(SUM($AE461:$AH461)=0,"",SUM($AE461:$AH461))</f>
        <v/>
      </c>
      <c r="AE461" s="123">
        <f>iferror(IF(SUM($AI461:$AZ461)=0,"",SUM($AI461:$AZ461)),"")</f>
        <v/>
      </c>
      <c r="AF461" s="123">
        <f>iferror(IF(SUM($BA461:$BC461)=0,"",SUM($BA461:$BC461)),"")</f>
        <v/>
      </c>
      <c r="AG461" s="123">
        <f>iferror(IF(SUM($BD461:$BF461)=0,"",SUM($BD461:$BF461)),"")</f>
        <v/>
      </c>
      <c r="AH461" s="124">
        <f>iferror(IF(SUM($BG461:$BI461)=0,"",SUM($BG461:$BI461)),"")</f>
        <v/>
      </c>
      <c r="AI461" s="131" t="n"/>
      <c r="AJ461" s="132" t="n"/>
      <c r="AK461" s="132" t="n"/>
      <c r="AL461" s="132" t="n"/>
      <c r="AM461" s="132" t="n"/>
      <c r="AN461" s="132" t="n"/>
      <c r="AO461" s="132" t="n"/>
      <c r="AP461" s="132" t="n"/>
      <c r="AQ461" s="132" t="n"/>
      <c r="AR461" s="132" t="n"/>
      <c r="AS461" s="132" t="n"/>
      <c r="AT461" s="132" t="n"/>
      <c r="AU461" s="132" t="n"/>
      <c r="AV461" s="132" t="n"/>
      <c r="AW461" s="132" t="n"/>
      <c r="AX461" s="132" t="n"/>
      <c r="AY461" s="132" t="n"/>
      <c r="AZ461" s="133" t="n"/>
      <c r="BA461" s="131" t="n"/>
      <c r="BB461" s="132" t="n"/>
      <c r="BC461" s="133" t="n"/>
      <c r="BD461" s="131" t="n"/>
      <c r="BE461" s="132" t="n"/>
      <c r="BF461" s="133" t="n"/>
      <c r="BG461" s="131" t="n"/>
      <c r="BH461" s="132" t="n"/>
      <c r="BI461" s="132" t="n"/>
      <c r="BJ461" s="128">
        <f>iferror(SUM($BK461,($BL461*1.2),($BM461*1.35),($BN461*0.74)),)</f>
        <v/>
      </c>
      <c r="BK461" s="128">
        <f>IFERROR(SUM($BT461:$CK461),)</f>
        <v/>
      </c>
      <c r="BL461" s="129">
        <f>IFERROR(SUM($CL461:$CN461),)</f>
        <v/>
      </c>
      <c r="BM461" s="130">
        <f>IFERROR(SUM($CO461:$CQ461),)</f>
        <v/>
      </c>
      <c r="BN461" s="128">
        <f>IFERROR(SUM($CR461:$CT461),)</f>
        <v/>
      </c>
      <c r="BO461" s="128">
        <f>iferror(SUM($BP461,($BQ461*1.2),($BR461*1.35),($BS461*0.74)),)</f>
        <v/>
      </c>
      <c r="BP461" s="128">
        <f>IFERROR(SUM($CU461:$DL461),)</f>
        <v/>
      </c>
      <c r="BQ461" s="128">
        <f>IFERROR(SUM($DM461:$DO461),)</f>
        <v/>
      </c>
      <c r="BR461" s="128">
        <f>IFERROR(SUM($DP461:$DR461),)</f>
        <v/>
      </c>
      <c r="BS461" s="128">
        <f>IFERROR(SUM($DS461:$DU461),)</f>
        <v/>
      </c>
      <c r="BT461" s="128">
        <f>IFERROR(AI461*$W461,)</f>
        <v/>
      </c>
      <c r="BU461" s="128">
        <f>IFERROR(AJ461*$W461,)</f>
        <v/>
      </c>
      <c r="BV461" s="128">
        <f>IFERROR(AK461*$W461,)</f>
        <v/>
      </c>
      <c r="BW461" s="128">
        <f>IFERROR(AL461*$W461,)</f>
        <v/>
      </c>
      <c r="BX461" s="128">
        <f>IFERROR(AM461*$W461,)</f>
        <v/>
      </c>
      <c r="BY461" s="128">
        <f>IFERROR(AN461*$W461,)</f>
        <v/>
      </c>
      <c r="BZ461" s="128">
        <f>IFERROR(AO461*$W461,)</f>
        <v/>
      </c>
      <c r="CA461" s="128">
        <f>IFERROR(AP461*$W461,)</f>
        <v/>
      </c>
      <c r="CB461" s="128">
        <f>IFERROR(AQ461*$W461,)</f>
        <v/>
      </c>
      <c r="CC461" s="128">
        <f>IFERROR(AR461*$W461,)</f>
        <v/>
      </c>
      <c r="CD461" s="128">
        <f>IFERROR(AS461*$W461,)</f>
        <v/>
      </c>
      <c r="CE461" s="128">
        <f>IFERROR(AT461*$W461,)</f>
        <v/>
      </c>
      <c r="CF461" s="128">
        <f>IFERROR(AU461*$W461,)</f>
        <v/>
      </c>
      <c r="CG461" s="128">
        <f>IFERROR(AV461*$W461,)</f>
        <v/>
      </c>
      <c r="CH461" s="128">
        <f>IFERROR(AW461*$W461,)</f>
        <v/>
      </c>
      <c r="CI461" s="128">
        <f>IFERROR(AX461*$W461,)</f>
        <v/>
      </c>
      <c r="CJ461" s="128">
        <f>IFERROR(AY461*$W461,)</f>
        <v/>
      </c>
      <c r="CK461" s="128">
        <f>IFERROR(AZ461*$W461,)</f>
        <v/>
      </c>
      <c r="CL461" s="129">
        <f>IFERROR(if($Y461=0,BA461*($W461/1.2),BA461*$Y461),"")</f>
        <v/>
      </c>
      <c r="CM461" s="129">
        <f>IFERROR(if($Y461=0,BB461*($W461/1.2),BB461*$Y461),"")</f>
        <v/>
      </c>
      <c r="CN461" s="129">
        <f>IFERROR(if($Y461=0,BC461*($W461/1.2),BC461*$Y461),"")</f>
        <v/>
      </c>
      <c r="CO461" s="130">
        <f>IFERROR(if($AA461=0,($W461/1.35)*BD461,BD461*$AA461),)</f>
        <v/>
      </c>
      <c r="CP461" s="130">
        <f>IFERROR(if($AA461=0,($W461/1.35)*BE461,BE461*$AA461),)</f>
        <v/>
      </c>
      <c r="CQ461" s="130">
        <f>IFERROR(if($AA461=0,($W461/1.35)*BF461,BF461*$AA461),)</f>
        <v/>
      </c>
      <c r="CR461" s="128">
        <f>IFERROR(if($AC461=0,($W461/0.74)*BG461,
BG461*$AC461),)</f>
        <v/>
      </c>
      <c r="CS461" s="128">
        <f>IFERROR(if($AC461=0,($W461/0.74)*BH461,
BH461*$AC461),)</f>
        <v/>
      </c>
      <c r="CT461" s="128">
        <f>IFERROR(if($AC461=0,($W461/0.74)*BI461,
BI461*$AC461),)</f>
        <v/>
      </c>
      <c r="CU461" s="128">
        <f>IFERROR(AI461*$V461,)</f>
        <v/>
      </c>
      <c r="CV461" s="128">
        <f>IFERROR(AJ461*$V461,)</f>
        <v/>
      </c>
      <c r="CW461" s="128">
        <f>IFERROR(AK461*$V461,)</f>
        <v/>
      </c>
      <c r="CX461" s="128">
        <f>IFERROR(AL461*$V461,)</f>
        <v/>
      </c>
      <c r="CY461" s="128">
        <f>IFERROR(AM461*$V461,)</f>
        <v/>
      </c>
      <c r="CZ461" s="128">
        <f>IFERROR(AN461*$V461,)</f>
        <v/>
      </c>
      <c r="DA461" s="128">
        <f>IFERROR(AO461*$V461,)</f>
        <v/>
      </c>
      <c r="DB461" s="128">
        <f>IFERROR(AP461*$V461,)</f>
        <v/>
      </c>
      <c r="DC461" s="128">
        <f>IFERROR(AQ461*$V461,)</f>
        <v/>
      </c>
      <c r="DD461" s="128">
        <f>IFERROR(AR461*$V461,)</f>
        <v/>
      </c>
      <c r="DE461" s="128">
        <f>IFERROR(AS461*$V461,)</f>
        <v/>
      </c>
      <c r="DF461" s="128">
        <f>IFERROR(AT461*$V461,)</f>
        <v/>
      </c>
      <c r="DG461" s="128">
        <f>IFERROR(AU461*$V461,)</f>
        <v/>
      </c>
      <c r="DH461" s="128">
        <f>IFERROR(AV461*$V461,)</f>
        <v/>
      </c>
      <c r="DI461" s="128">
        <f>IFERROR(AW461*$V461,)</f>
        <v/>
      </c>
      <c r="DJ461" s="128">
        <f>IFERROR(AX461*$V461,)</f>
        <v/>
      </c>
      <c r="DK461" s="128">
        <f>IFERROR(AY461*$V461,)</f>
        <v/>
      </c>
      <c r="DL461" s="128">
        <f>IFERROR(AZ461*$V461,)</f>
        <v/>
      </c>
      <c r="DM461" s="129">
        <f>IFERROR(if($X461=0,($V461/1.2)*BA461,
BA461*$X461),)</f>
        <v/>
      </c>
      <c r="DN461" s="129">
        <f>IFERROR(if($X461=0,($V461/1.2)*BB461,
BB461*$X461),)</f>
        <v/>
      </c>
      <c r="DO461" s="129">
        <f>IFERROR(if($X461=0,($V461/1.2)*BC461,
BC461*$X461),)</f>
        <v/>
      </c>
      <c r="DP461" s="130">
        <f>IFERROR(if($Z461=0,($V461/1.35)*BD461,
BD461*$Z461),)</f>
        <v/>
      </c>
      <c r="DQ461" s="130">
        <f>IFERROR(if($Z461=0,($V461/1.35)*BE461,
BE461*$Z461),)</f>
        <v/>
      </c>
      <c r="DR461" s="130">
        <f>IFERROR(if($Z461=0,($V461/1.35)*BF461,
BF461*$Z461),)</f>
        <v/>
      </c>
      <c r="DS461" s="128">
        <f>IFERROR(IF($AB461=0,($V461/0.74)*BG461,
BG461*$AB461),)</f>
        <v/>
      </c>
      <c r="DT461" s="128">
        <f>IFERROR(IF($AB461=0,($V461/0.74)*BH461,
BH461*$AB461),)</f>
        <v/>
      </c>
      <c r="DU461" s="128">
        <f>IFERROR(IF($AB461=0,($V461/0.74)*BI461,
BI461*$AB461),)</f>
        <v/>
      </c>
    </row>
    <row r="462" ht="131.25" customHeight="1" s="162">
      <c r="A462" s="115" t="n"/>
      <c r="B462" s="115" t="n"/>
      <c r="C462" s="115" t="n"/>
      <c r="D462" s="115" t="n"/>
      <c r="E462" s="115" t="n"/>
      <c r="F462" s="115" t="n"/>
      <c r="G462" s="115" t="n"/>
      <c r="H462" s="115" t="n"/>
      <c r="I462" s="115" t="n"/>
      <c r="J462" s="115" t="n"/>
      <c r="K462" s="115" t="n"/>
      <c r="L462" s="115" t="n"/>
      <c r="M462" s="115" t="n"/>
      <c r="N462" s="115" t="n"/>
      <c r="O462" s="115" t="n"/>
      <c r="P462" s="115" t="n"/>
      <c r="Q462" s="115" t="n"/>
      <c r="R462" s="115" t="n"/>
      <c r="S462" s="115" t="n"/>
      <c r="T462" s="115" t="n"/>
      <c r="U462" s="116" t="n"/>
      <c r="V462" s="116" t="n"/>
      <c r="W462" s="117" t="n"/>
      <c r="X462" s="118" t="n"/>
      <c r="Y462" s="119" t="n"/>
      <c r="Z462" s="120" t="n"/>
      <c r="AA462" s="121" t="n"/>
      <c r="AB462" s="122" t="n"/>
      <c r="AC462" s="117" t="n"/>
      <c r="AD462" s="123">
        <f>IF(SUM($AE462:$AH462)=0,"",SUM($AE462:$AH462))</f>
        <v/>
      </c>
      <c r="AE462" s="123">
        <f>iferror(IF(SUM($AI462:$AZ462)=0,"",SUM($AI462:$AZ462)),"")</f>
        <v/>
      </c>
      <c r="AF462" s="123">
        <f>iferror(IF(SUM($BA462:$BC462)=0,"",SUM($BA462:$BC462)),"")</f>
        <v/>
      </c>
      <c r="AG462" s="123">
        <f>iferror(IF(SUM($BD462:$BF462)=0,"",SUM($BD462:$BF462)),"")</f>
        <v/>
      </c>
      <c r="AH462" s="124">
        <f>iferror(IF(SUM($BG462:$BI462)=0,"",SUM($BG462:$BI462)),"")</f>
        <v/>
      </c>
      <c r="AI462" s="131" t="n"/>
      <c r="AJ462" s="132" t="n"/>
      <c r="AK462" s="132" t="n"/>
      <c r="AL462" s="132" t="n"/>
      <c r="AM462" s="132" t="n"/>
      <c r="AN462" s="132" t="n"/>
      <c r="AO462" s="132" t="n"/>
      <c r="AP462" s="132" t="n"/>
      <c r="AQ462" s="132" t="n"/>
      <c r="AR462" s="132" t="n"/>
      <c r="AS462" s="132" t="n"/>
      <c r="AT462" s="132" t="n"/>
      <c r="AU462" s="132" t="n"/>
      <c r="AV462" s="132" t="n"/>
      <c r="AW462" s="132" t="n"/>
      <c r="AX462" s="132" t="n"/>
      <c r="AY462" s="132" t="n"/>
      <c r="AZ462" s="133" t="n"/>
      <c r="BA462" s="131" t="n"/>
      <c r="BB462" s="132" t="n"/>
      <c r="BC462" s="133" t="n"/>
      <c r="BD462" s="131" t="n"/>
      <c r="BE462" s="132" t="n"/>
      <c r="BF462" s="133" t="n"/>
      <c r="BG462" s="131" t="n"/>
      <c r="BH462" s="132" t="n"/>
      <c r="BI462" s="132" t="n"/>
      <c r="BJ462" s="128">
        <f>iferror(SUM($BK462,($BL462*1.2),($BM462*1.35),($BN462*0.74)),)</f>
        <v/>
      </c>
      <c r="BK462" s="128">
        <f>IFERROR(SUM($BT462:$CK462),)</f>
        <v/>
      </c>
      <c r="BL462" s="129">
        <f>IFERROR(SUM($CL462:$CN462),)</f>
        <v/>
      </c>
      <c r="BM462" s="130">
        <f>IFERROR(SUM($CO462:$CQ462),)</f>
        <v/>
      </c>
      <c r="BN462" s="128">
        <f>IFERROR(SUM($CR462:$CT462),)</f>
        <v/>
      </c>
      <c r="BO462" s="128">
        <f>iferror(SUM($BP462,($BQ462*1.2),($BR462*1.35),($BS462*0.74)),)</f>
        <v/>
      </c>
      <c r="BP462" s="128">
        <f>IFERROR(SUM($CU462:$DL462),)</f>
        <v/>
      </c>
      <c r="BQ462" s="128">
        <f>IFERROR(SUM($DM462:$DO462),)</f>
        <v/>
      </c>
      <c r="BR462" s="128">
        <f>IFERROR(SUM($DP462:$DR462),)</f>
        <v/>
      </c>
      <c r="BS462" s="128">
        <f>IFERROR(SUM($DS462:$DU462),)</f>
        <v/>
      </c>
      <c r="BT462" s="128">
        <f>IFERROR(AI462*$W462,)</f>
        <v/>
      </c>
      <c r="BU462" s="128">
        <f>IFERROR(AJ462*$W462,)</f>
        <v/>
      </c>
      <c r="BV462" s="128">
        <f>IFERROR(AK462*$W462,)</f>
        <v/>
      </c>
      <c r="BW462" s="128">
        <f>IFERROR(AL462*$W462,)</f>
        <v/>
      </c>
      <c r="BX462" s="128">
        <f>IFERROR(AM462*$W462,)</f>
        <v/>
      </c>
      <c r="BY462" s="128">
        <f>IFERROR(AN462*$W462,)</f>
        <v/>
      </c>
      <c r="BZ462" s="128">
        <f>IFERROR(AO462*$W462,)</f>
        <v/>
      </c>
      <c r="CA462" s="128">
        <f>IFERROR(AP462*$W462,)</f>
        <v/>
      </c>
      <c r="CB462" s="128">
        <f>IFERROR(AQ462*$W462,)</f>
        <v/>
      </c>
      <c r="CC462" s="128">
        <f>IFERROR(AR462*$W462,)</f>
        <v/>
      </c>
      <c r="CD462" s="128">
        <f>IFERROR(AS462*$W462,)</f>
        <v/>
      </c>
      <c r="CE462" s="128">
        <f>IFERROR(AT462*$W462,)</f>
        <v/>
      </c>
      <c r="CF462" s="128">
        <f>IFERROR(AU462*$W462,)</f>
        <v/>
      </c>
      <c r="CG462" s="128">
        <f>IFERROR(AV462*$W462,)</f>
        <v/>
      </c>
      <c r="CH462" s="128">
        <f>IFERROR(AW462*$W462,)</f>
        <v/>
      </c>
      <c r="CI462" s="128">
        <f>IFERROR(AX462*$W462,)</f>
        <v/>
      </c>
      <c r="CJ462" s="128">
        <f>IFERROR(AY462*$W462,)</f>
        <v/>
      </c>
      <c r="CK462" s="128">
        <f>IFERROR(AZ462*$W462,)</f>
        <v/>
      </c>
      <c r="CL462" s="129">
        <f>IFERROR(if($Y462=0,BA462*($W462/1.2),BA462*$Y462),"")</f>
        <v/>
      </c>
      <c r="CM462" s="129">
        <f>IFERROR(if($Y462=0,BB462*($W462/1.2),BB462*$Y462),"")</f>
        <v/>
      </c>
      <c r="CN462" s="129">
        <f>IFERROR(if($Y462=0,BC462*($W462/1.2),BC462*$Y462),"")</f>
        <v/>
      </c>
      <c r="CO462" s="130">
        <f>IFERROR(if($AA462=0,($W462/1.35)*BD462,BD462*$AA462),)</f>
        <v/>
      </c>
      <c r="CP462" s="130">
        <f>IFERROR(if($AA462=0,($W462/1.35)*BE462,BE462*$AA462),)</f>
        <v/>
      </c>
      <c r="CQ462" s="130">
        <f>IFERROR(if($AA462=0,($W462/1.35)*BF462,BF462*$AA462),)</f>
        <v/>
      </c>
      <c r="CR462" s="128">
        <f>IFERROR(if($AC462=0,($W462/0.74)*BG462,
BG462*$AC462),)</f>
        <v/>
      </c>
      <c r="CS462" s="128">
        <f>IFERROR(if($AC462=0,($W462/0.74)*BH462,
BH462*$AC462),)</f>
        <v/>
      </c>
      <c r="CT462" s="128">
        <f>IFERROR(if($AC462=0,($W462/0.74)*BI462,
BI462*$AC462),)</f>
        <v/>
      </c>
      <c r="CU462" s="128">
        <f>IFERROR(AI462*$V462,)</f>
        <v/>
      </c>
      <c r="CV462" s="128">
        <f>IFERROR(AJ462*$V462,)</f>
        <v/>
      </c>
      <c r="CW462" s="128">
        <f>IFERROR(AK462*$V462,)</f>
        <v/>
      </c>
      <c r="CX462" s="128">
        <f>IFERROR(AL462*$V462,)</f>
        <v/>
      </c>
      <c r="CY462" s="128">
        <f>IFERROR(AM462*$V462,)</f>
        <v/>
      </c>
      <c r="CZ462" s="128">
        <f>IFERROR(AN462*$V462,)</f>
        <v/>
      </c>
      <c r="DA462" s="128">
        <f>IFERROR(AO462*$V462,)</f>
        <v/>
      </c>
      <c r="DB462" s="128">
        <f>IFERROR(AP462*$V462,)</f>
        <v/>
      </c>
      <c r="DC462" s="128">
        <f>IFERROR(AQ462*$V462,)</f>
        <v/>
      </c>
      <c r="DD462" s="128">
        <f>IFERROR(AR462*$V462,)</f>
        <v/>
      </c>
      <c r="DE462" s="128">
        <f>IFERROR(AS462*$V462,)</f>
        <v/>
      </c>
      <c r="DF462" s="128">
        <f>IFERROR(AT462*$V462,)</f>
        <v/>
      </c>
      <c r="DG462" s="128">
        <f>IFERROR(AU462*$V462,)</f>
        <v/>
      </c>
      <c r="DH462" s="128">
        <f>IFERROR(AV462*$V462,)</f>
        <v/>
      </c>
      <c r="DI462" s="128">
        <f>IFERROR(AW462*$V462,)</f>
        <v/>
      </c>
      <c r="DJ462" s="128">
        <f>IFERROR(AX462*$V462,)</f>
        <v/>
      </c>
      <c r="DK462" s="128">
        <f>IFERROR(AY462*$V462,)</f>
        <v/>
      </c>
      <c r="DL462" s="128">
        <f>IFERROR(AZ462*$V462,)</f>
        <v/>
      </c>
      <c r="DM462" s="129">
        <f>IFERROR(if($X462=0,($V462/1.2)*BA462,
BA462*$X462),)</f>
        <v/>
      </c>
      <c r="DN462" s="129">
        <f>IFERROR(if($X462=0,($V462/1.2)*BB462,
BB462*$X462),)</f>
        <v/>
      </c>
      <c r="DO462" s="129">
        <f>IFERROR(if($X462=0,($V462/1.2)*BC462,
BC462*$X462),)</f>
        <v/>
      </c>
      <c r="DP462" s="130">
        <f>IFERROR(if($Z462=0,($V462/1.35)*BD462,
BD462*$Z462),)</f>
        <v/>
      </c>
      <c r="DQ462" s="130">
        <f>IFERROR(if($Z462=0,($V462/1.35)*BE462,
BE462*$Z462),)</f>
        <v/>
      </c>
      <c r="DR462" s="130">
        <f>IFERROR(if($Z462=0,($V462/1.35)*BF462,
BF462*$Z462),)</f>
        <v/>
      </c>
      <c r="DS462" s="128">
        <f>IFERROR(IF($AB462=0,($V462/0.74)*BG462,
BG462*$AB462),)</f>
        <v/>
      </c>
      <c r="DT462" s="128">
        <f>IFERROR(IF($AB462=0,($V462/0.74)*BH462,
BH462*$AB462),)</f>
        <v/>
      </c>
      <c r="DU462" s="128">
        <f>IFERROR(IF($AB462=0,($V462/0.74)*BI462,
BI462*$AB462),)</f>
        <v/>
      </c>
    </row>
    <row r="463" ht="131.25" customHeight="1" s="162">
      <c r="A463" s="115" t="n"/>
      <c r="B463" s="115" t="n"/>
      <c r="C463" s="115" t="n"/>
      <c r="D463" s="115" t="n"/>
      <c r="E463" s="115" t="n"/>
      <c r="F463" s="115" t="n"/>
      <c r="G463" s="115" t="n"/>
      <c r="H463" s="115" t="n"/>
      <c r="I463" s="115" t="n"/>
      <c r="J463" s="115" t="n"/>
      <c r="K463" s="115" t="n"/>
      <c r="L463" s="115" t="n"/>
      <c r="M463" s="115" t="n"/>
      <c r="N463" s="115" t="n"/>
      <c r="O463" s="115" t="n"/>
      <c r="P463" s="115" t="n"/>
      <c r="Q463" s="115" t="n"/>
      <c r="R463" s="115" t="n"/>
      <c r="S463" s="115" t="n"/>
      <c r="T463" s="115" t="n"/>
      <c r="U463" s="116" t="n"/>
      <c r="V463" s="116" t="n"/>
      <c r="W463" s="117" t="n"/>
      <c r="X463" s="118" t="n"/>
      <c r="Y463" s="119" t="n"/>
      <c r="Z463" s="120" t="n"/>
      <c r="AA463" s="121" t="n"/>
      <c r="AB463" s="122" t="n"/>
      <c r="AC463" s="117" t="n"/>
      <c r="AD463" s="123">
        <f>IF(SUM($AE463:$AH463)=0,"",SUM($AE463:$AH463))</f>
        <v/>
      </c>
      <c r="AE463" s="123">
        <f>iferror(IF(SUM($AI463:$AZ463)=0,"",SUM($AI463:$AZ463)),"")</f>
        <v/>
      </c>
      <c r="AF463" s="123">
        <f>iferror(IF(SUM($BA463:$BC463)=0,"",SUM($BA463:$BC463)),"")</f>
        <v/>
      </c>
      <c r="AG463" s="123">
        <f>iferror(IF(SUM($BD463:$BF463)=0,"",SUM($BD463:$BF463)),"")</f>
        <v/>
      </c>
      <c r="AH463" s="124">
        <f>iferror(IF(SUM($BG463:$BI463)=0,"",SUM($BG463:$BI463)),"")</f>
        <v/>
      </c>
      <c r="AI463" s="131" t="n"/>
      <c r="AJ463" s="132" t="n"/>
      <c r="AK463" s="132" t="n"/>
      <c r="AL463" s="132" t="n"/>
      <c r="AM463" s="132" t="n"/>
      <c r="AN463" s="132" t="n"/>
      <c r="AO463" s="132" t="n"/>
      <c r="AP463" s="132" t="n"/>
      <c r="AQ463" s="132" t="n"/>
      <c r="AR463" s="132" t="n"/>
      <c r="AS463" s="132" t="n"/>
      <c r="AT463" s="132" t="n"/>
      <c r="AU463" s="132" t="n"/>
      <c r="AV463" s="132" t="n"/>
      <c r="AW463" s="132" t="n"/>
      <c r="AX463" s="132" t="n"/>
      <c r="AY463" s="132" t="n"/>
      <c r="AZ463" s="133" t="n"/>
      <c r="BA463" s="131" t="n"/>
      <c r="BB463" s="132" t="n"/>
      <c r="BC463" s="133" t="n"/>
      <c r="BD463" s="131" t="n"/>
      <c r="BE463" s="132" t="n"/>
      <c r="BF463" s="133" t="n"/>
      <c r="BG463" s="131" t="n"/>
      <c r="BH463" s="132" t="n"/>
      <c r="BI463" s="132" t="n"/>
      <c r="BJ463" s="128">
        <f>iferror(SUM($BK463,($BL463*1.2),($BM463*1.35),($BN463*0.74)),)</f>
        <v/>
      </c>
      <c r="BK463" s="128">
        <f>IFERROR(SUM($BT463:$CK463),)</f>
        <v/>
      </c>
      <c r="BL463" s="129">
        <f>IFERROR(SUM($CL463:$CN463),)</f>
        <v/>
      </c>
      <c r="BM463" s="130">
        <f>IFERROR(SUM($CO463:$CQ463),)</f>
        <v/>
      </c>
      <c r="BN463" s="128">
        <f>IFERROR(SUM($CR463:$CT463),)</f>
        <v/>
      </c>
      <c r="BO463" s="128">
        <f>iferror(SUM($BP463,($BQ463*1.2),($BR463*1.35),($BS463*0.74)),)</f>
        <v/>
      </c>
      <c r="BP463" s="128">
        <f>IFERROR(SUM($CU463:$DL463),)</f>
        <v/>
      </c>
      <c r="BQ463" s="128">
        <f>IFERROR(SUM($DM463:$DO463),)</f>
        <v/>
      </c>
      <c r="BR463" s="128">
        <f>IFERROR(SUM($DP463:$DR463),)</f>
        <v/>
      </c>
      <c r="BS463" s="128">
        <f>IFERROR(SUM($DS463:$DU463),)</f>
        <v/>
      </c>
      <c r="BT463" s="128">
        <f>IFERROR(AI463*$W463,)</f>
        <v/>
      </c>
      <c r="BU463" s="128">
        <f>IFERROR(AJ463*$W463,)</f>
        <v/>
      </c>
      <c r="BV463" s="128">
        <f>IFERROR(AK463*$W463,)</f>
        <v/>
      </c>
      <c r="BW463" s="128">
        <f>IFERROR(AL463*$W463,)</f>
        <v/>
      </c>
      <c r="BX463" s="128">
        <f>IFERROR(AM463*$W463,)</f>
        <v/>
      </c>
      <c r="BY463" s="128">
        <f>IFERROR(AN463*$W463,)</f>
        <v/>
      </c>
      <c r="BZ463" s="128">
        <f>IFERROR(AO463*$W463,)</f>
        <v/>
      </c>
      <c r="CA463" s="128">
        <f>IFERROR(AP463*$W463,)</f>
        <v/>
      </c>
      <c r="CB463" s="128">
        <f>IFERROR(AQ463*$W463,)</f>
        <v/>
      </c>
      <c r="CC463" s="128">
        <f>IFERROR(AR463*$W463,)</f>
        <v/>
      </c>
      <c r="CD463" s="128">
        <f>IFERROR(AS463*$W463,)</f>
        <v/>
      </c>
      <c r="CE463" s="128">
        <f>IFERROR(AT463*$W463,)</f>
        <v/>
      </c>
      <c r="CF463" s="128">
        <f>IFERROR(AU463*$W463,)</f>
        <v/>
      </c>
      <c r="CG463" s="128">
        <f>IFERROR(AV463*$W463,)</f>
        <v/>
      </c>
      <c r="CH463" s="128">
        <f>IFERROR(AW463*$W463,)</f>
        <v/>
      </c>
      <c r="CI463" s="128">
        <f>IFERROR(AX463*$W463,)</f>
        <v/>
      </c>
      <c r="CJ463" s="128">
        <f>IFERROR(AY463*$W463,)</f>
        <v/>
      </c>
      <c r="CK463" s="128">
        <f>IFERROR(AZ463*$W463,)</f>
        <v/>
      </c>
      <c r="CL463" s="129">
        <f>IFERROR(if($Y463=0,BA463*($W463/1.2),BA463*$Y463),"")</f>
        <v/>
      </c>
      <c r="CM463" s="129">
        <f>IFERROR(if($Y463=0,BB463*($W463/1.2),BB463*$Y463),"")</f>
        <v/>
      </c>
      <c r="CN463" s="129">
        <f>IFERROR(if($Y463=0,BC463*($W463/1.2),BC463*$Y463),"")</f>
        <v/>
      </c>
      <c r="CO463" s="130">
        <f>IFERROR(if($AA463=0,($W463/1.35)*BD463,BD463*$AA463),)</f>
        <v/>
      </c>
      <c r="CP463" s="130">
        <f>IFERROR(if($AA463=0,($W463/1.35)*BE463,BE463*$AA463),)</f>
        <v/>
      </c>
      <c r="CQ463" s="130">
        <f>IFERROR(if($AA463=0,($W463/1.35)*BF463,BF463*$AA463),)</f>
        <v/>
      </c>
      <c r="CR463" s="128">
        <f>IFERROR(if($AC463=0,($W463/0.74)*BG463,
BG463*$AC463),)</f>
        <v/>
      </c>
      <c r="CS463" s="128">
        <f>IFERROR(if($AC463=0,($W463/0.74)*BH463,
BH463*$AC463),)</f>
        <v/>
      </c>
      <c r="CT463" s="128">
        <f>IFERROR(if($AC463=0,($W463/0.74)*BI463,
BI463*$AC463),)</f>
        <v/>
      </c>
      <c r="CU463" s="128">
        <f>IFERROR(AI463*$V463,)</f>
        <v/>
      </c>
      <c r="CV463" s="128">
        <f>IFERROR(AJ463*$V463,)</f>
        <v/>
      </c>
      <c r="CW463" s="128">
        <f>IFERROR(AK463*$V463,)</f>
        <v/>
      </c>
      <c r="CX463" s="128">
        <f>IFERROR(AL463*$V463,)</f>
        <v/>
      </c>
      <c r="CY463" s="128">
        <f>IFERROR(AM463*$V463,)</f>
        <v/>
      </c>
      <c r="CZ463" s="128">
        <f>IFERROR(AN463*$V463,)</f>
        <v/>
      </c>
      <c r="DA463" s="128">
        <f>IFERROR(AO463*$V463,)</f>
        <v/>
      </c>
      <c r="DB463" s="128">
        <f>IFERROR(AP463*$V463,)</f>
        <v/>
      </c>
      <c r="DC463" s="128">
        <f>IFERROR(AQ463*$V463,)</f>
        <v/>
      </c>
      <c r="DD463" s="128">
        <f>IFERROR(AR463*$V463,)</f>
        <v/>
      </c>
      <c r="DE463" s="128">
        <f>IFERROR(AS463*$V463,)</f>
        <v/>
      </c>
      <c r="DF463" s="128">
        <f>IFERROR(AT463*$V463,)</f>
        <v/>
      </c>
      <c r="DG463" s="128">
        <f>IFERROR(AU463*$V463,)</f>
        <v/>
      </c>
      <c r="DH463" s="128">
        <f>IFERROR(AV463*$V463,)</f>
        <v/>
      </c>
      <c r="DI463" s="128">
        <f>IFERROR(AW463*$V463,)</f>
        <v/>
      </c>
      <c r="DJ463" s="128">
        <f>IFERROR(AX463*$V463,)</f>
        <v/>
      </c>
      <c r="DK463" s="128">
        <f>IFERROR(AY463*$V463,)</f>
        <v/>
      </c>
      <c r="DL463" s="128">
        <f>IFERROR(AZ463*$V463,)</f>
        <v/>
      </c>
      <c r="DM463" s="129">
        <f>IFERROR(if($X463=0,($V463/1.2)*BA463,
BA463*$X463),)</f>
        <v/>
      </c>
      <c r="DN463" s="129">
        <f>IFERROR(if($X463=0,($V463/1.2)*BB463,
BB463*$X463),)</f>
        <v/>
      </c>
      <c r="DO463" s="129">
        <f>IFERROR(if($X463=0,($V463/1.2)*BC463,
BC463*$X463),)</f>
        <v/>
      </c>
      <c r="DP463" s="130">
        <f>IFERROR(if($Z463=0,($V463/1.35)*BD463,
BD463*$Z463),)</f>
        <v/>
      </c>
      <c r="DQ463" s="130">
        <f>IFERROR(if($Z463=0,($V463/1.35)*BE463,
BE463*$Z463),)</f>
        <v/>
      </c>
      <c r="DR463" s="130">
        <f>IFERROR(if($Z463=0,($V463/1.35)*BF463,
BF463*$Z463),)</f>
        <v/>
      </c>
      <c r="DS463" s="128">
        <f>IFERROR(IF($AB463=0,($V463/0.74)*BG463,
BG463*$AB463),)</f>
        <v/>
      </c>
      <c r="DT463" s="128">
        <f>IFERROR(IF($AB463=0,($V463/0.74)*BH463,
BH463*$AB463),)</f>
        <v/>
      </c>
      <c r="DU463" s="128">
        <f>IFERROR(IF($AB463=0,($V463/0.74)*BI463,
BI463*$AB463),)</f>
        <v/>
      </c>
    </row>
    <row r="464" ht="131.25" customHeight="1" s="162">
      <c r="A464" s="115" t="n"/>
      <c r="B464" s="115" t="n"/>
      <c r="C464" s="115" t="n"/>
      <c r="D464" s="115" t="n"/>
      <c r="E464" s="115" t="n"/>
      <c r="F464" s="115" t="n"/>
      <c r="G464" s="115" t="n"/>
      <c r="H464" s="115" t="n"/>
      <c r="I464" s="115" t="n"/>
      <c r="J464" s="115" t="n"/>
      <c r="K464" s="115" t="n"/>
      <c r="L464" s="115" t="n"/>
      <c r="M464" s="115" t="n"/>
      <c r="N464" s="115" t="n"/>
      <c r="O464" s="115" t="n"/>
      <c r="P464" s="115" t="n"/>
      <c r="Q464" s="115" t="n"/>
      <c r="R464" s="115" t="n"/>
      <c r="S464" s="115" t="n"/>
      <c r="T464" s="115" t="n"/>
      <c r="U464" s="116" t="n"/>
      <c r="V464" s="116" t="n"/>
      <c r="W464" s="117" t="n"/>
      <c r="X464" s="118" t="n"/>
      <c r="Y464" s="119" t="n"/>
      <c r="Z464" s="120" t="n"/>
      <c r="AA464" s="121" t="n"/>
      <c r="AB464" s="122" t="n"/>
      <c r="AC464" s="117" t="n"/>
      <c r="AD464" s="123">
        <f>IF(SUM($AE464:$AH464)=0,"",SUM($AE464:$AH464))</f>
        <v/>
      </c>
      <c r="AE464" s="123">
        <f>iferror(IF(SUM($AI464:$AZ464)=0,"",SUM($AI464:$AZ464)),"")</f>
        <v/>
      </c>
      <c r="AF464" s="123">
        <f>iferror(IF(SUM($BA464:$BC464)=0,"",SUM($BA464:$BC464)),"")</f>
        <v/>
      </c>
      <c r="AG464" s="123">
        <f>iferror(IF(SUM($BD464:$BF464)=0,"",SUM($BD464:$BF464)),"")</f>
        <v/>
      </c>
      <c r="AH464" s="124">
        <f>iferror(IF(SUM($BG464:$BI464)=0,"",SUM($BG464:$BI464)),"")</f>
        <v/>
      </c>
      <c r="AI464" s="131" t="n"/>
      <c r="AJ464" s="132" t="n"/>
      <c r="AK464" s="132" t="n"/>
      <c r="AL464" s="132" t="n"/>
      <c r="AM464" s="132" t="n"/>
      <c r="AN464" s="132" t="n"/>
      <c r="AO464" s="132" t="n"/>
      <c r="AP464" s="132" t="n"/>
      <c r="AQ464" s="132" t="n"/>
      <c r="AR464" s="132" t="n"/>
      <c r="AS464" s="132" t="n"/>
      <c r="AT464" s="132" t="n"/>
      <c r="AU464" s="132" t="n"/>
      <c r="AV464" s="132" t="n"/>
      <c r="AW464" s="132" t="n"/>
      <c r="AX464" s="132" t="n"/>
      <c r="AY464" s="132" t="n"/>
      <c r="AZ464" s="133" t="n"/>
      <c r="BA464" s="131" t="n"/>
      <c r="BB464" s="132" t="n"/>
      <c r="BC464" s="133" t="n"/>
      <c r="BD464" s="131" t="n"/>
      <c r="BE464" s="132" t="n"/>
      <c r="BF464" s="133" t="n"/>
      <c r="BG464" s="131" t="n"/>
      <c r="BH464" s="132" t="n"/>
      <c r="BI464" s="132" t="n"/>
      <c r="BJ464" s="128">
        <f>iferror(SUM($BK464,($BL464*1.2),($BM464*1.35),($BN464*0.74)),)</f>
        <v/>
      </c>
      <c r="BK464" s="128">
        <f>IFERROR(SUM($BT464:$CK464),)</f>
        <v/>
      </c>
      <c r="BL464" s="129">
        <f>IFERROR(SUM($CL464:$CN464),)</f>
        <v/>
      </c>
      <c r="BM464" s="130">
        <f>IFERROR(SUM($CO464:$CQ464),)</f>
        <v/>
      </c>
      <c r="BN464" s="128">
        <f>IFERROR(SUM($CR464:$CT464),)</f>
        <v/>
      </c>
      <c r="BO464" s="128">
        <f>iferror(SUM($BP464,($BQ464*1.2),($BR464*1.35),($BS464*0.74)),)</f>
        <v/>
      </c>
      <c r="BP464" s="128">
        <f>IFERROR(SUM($CU464:$DL464),)</f>
        <v/>
      </c>
      <c r="BQ464" s="128">
        <f>IFERROR(SUM($DM464:$DO464),)</f>
        <v/>
      </c>
      <c r="BR464" s="128">
        <f>IFERROR(SUM($DP464:$DR464),)</f>
        <v/>
      </c>
      <c r="BS464" s="128">
        <f>IFERROR(SUM($DS464:$DU464),)</f>
        <v/>
      </c>
      <c r="BT464" s="128">
        <f>IFERROR(AI464*$W464,)</f>
        <v/>
      </c>
      <c r="BU464" s="128">
        <f>IFERROR(AJ464*$W464,)</f>
        <v/>
      </c>
      <c r="BV464" s="128">
        <f>IFERROR(AK464*$W464,)</f>
        <v/>
      </c>
      <c r="BW464" s="128">
        <f>IFERROR(AL464*$W464,)</f>
        <v/>
      </c>
      <c r="BX464" s="128">
        <f>IFERROR(AM464*$W464,)</f>
        <v/>
      </c>
      <c r="BY464" s="128">
        <f>IFERROR(AN464*$W464,)</f>
        <v/>
      </c>
      <c r="BZ464" s="128">
        <f>IFERROR(AO464*$W464,)</f>
        <v/>
      </c>
      <c r="CA464" s="128">
        <f>IFERROR(AP464*$W464,)</f>
        <v/>
      </c>
      <c r="CB464" s="128">
        <f>IFERROR(AQ464*$W464,)</f>
        <v/>
      </c>
      <c r="CC464" s="128">
        <f>IFERROR(AR464*$W464,)</f>
        <v/>
      </c>
      <c r="CD464" s="128">
        <f>IFERROR(AS464*$W464,)</f>
        <v/>
      </c>
      <c r="CE464" s="128">
        <f>IFERROR(AT464*$W464,)</f>
        <v/>
      </c>
      <c r="CF464" s="128">
        <f>IFERROR(AU464*$W464,)</f>
        <v/>
      </c>
      <c r="CG464" s="128">
        <f>IFERROR(AV464*$W464,)</f>
        <v/>
      </c>
      <c r="CH464" s="128">
        <f>IFERROR(AW464*$W464,)</f>
        <v/>
      </c>
      <c r="CI464" s="128">
        <f>IFERROR(AX464*$W464,)</f>
        <v/>
      </c>
      <c r="CJ464" s="128">
        <f>IFERROR(AY464*$W464,)</f>
        <v/>
      </c>
      <c r="CK464" s="128">
        <f>IFERROR(AZ464*$W464,)</f>
        <v/>
      </c>
      <c r="CL464" s="129">
        <f>IFERROR(if($Y464=0,BA464*($W464/1.2),BA464*$Y464),"")</f>
        <v/>
      </c>
      <c r="CM464" s="129">
        <f>IFERROR(if($Y464=0,BB464*($W464/1.2),BB464*$Y464),"")</f>
        <v/>
      </c>
      <c r="CN464" s="129">
        <f>IFERROR(if($Y464=0,BC464*($W464/1.2),BC464*$Y464),"")</f>
        <v/>
      </c>
      <c r="CO464" s="130">
        <f>IFERROR(if($AA464=0,($W464/1.35)*BD464,BD464*$AA464),)</f>
        <v/>
      </c>
      <c r="CP464" s="130">
        <f>IFERROR(if($AA464=0,($W464/1.35)*BE464,BE464*$AA464),)</f>
        <v/>
      </c>
      <c r="CQ464" s="130">
        <f>IFERROR(if($AA464=0,($W464/1.35)*BF464,BF464*$AA464),)</f>
        <v/>
      </c>
      <c r="CR464" s="128">
        <f>IFERROR(if($AC464=0,($W464/0.74)*BG464,
BG464*$AC464),)</f>
        <v/>
      </c>
      <c r="CS464" s="128">
        <f>IFERROR(if($AC464=0,($W464/0.74)*BH464,
BH464*$AC464),)</f>
        <v/>
      </c>
      <c r="CT464" s="128">
        <f>IFERROR(if($AC464=0,($W464/0.74)*BI464,
BI464*$AC464),)</f>
        <v/>
      </c>
      <c r="CU464" s="128">
        <f>IFERROR(AI464*$V464,)</f>
        <v/>
      </c>
      <c r="CV464" s="128">
        <f>IFERROR(AJ464*$V464,)</f>
        <v/>
      </c>
      <c r="CW464" s="128">
        <f>IFERROR(AK464*$V464,)</f>
        <v/>
      </c>
      <c r="CX464" s="128">
        <f>IFERROR(AL464*$V464,)</f>
        <v/>
      </c>
      <c r="CY464" s="128">
        <f>IFERROR(AM464*$V464,)</f>
        <v/>
      </c>
      <c r="CZ464" s="128">
        <f>IFERROR(AN464*$V464,)</f>
        <v/>
      </c>
      <c r="DA464" s="128">
        <f>IFERROR(AO464*$V464,)</f>
        <v/>
      </c>
      <c r="DB464" s="128">
        <f>IFERROR(AP464*$V464,)</f>
        <v/>
      </c>
      <c r="DC464" s="128">
        <f>IFERROR(AQ464*$V464,)</f>
        <v/>
      </c>
      <c r="DD464" s="128">
        <f>IFERROR(AR464*$V464,)</f>
        <v/>
      </c>
      <c r="DE464" s="128">
        <f>IFERROR(AS464*$V464,)</f>
        <v/>
      </c>
      <c r="DF464" s="128">
        <f>IFERROR(AT464*$V464,)</f>
        <v/>
      </c>
      <c r="DG464" s="128">
        <f>IFERROR(AU464*$V464,)</f>
        <v/>
      </c>
      <c r="DH464" s="128">
        <f>IFERROR(AV464*$V464,)</f>
        <v/>
      </c>
      <c r="DI464" s="128">
        <f>IFERROR(AW464*$V464,)</f>
        <v/>
      </c>
      <c r="DJ464" s="128">
        <f>IFERROR(AX464*$V464,)</f>
        <v/>
      </c>
      <c r="DK464" s="128">
        <f>IFERROR(AY464*$V464,)</f>
        <v/>
      </c>
      <c r="DL464" s="128">
        <f>IFERROR(AZ464*$V464,)</f>
        <v/>
      </c>
      <c r="DM464" s="129">
        <f>IFERROR(if($X464=0,($V464/1.2)*BA464,
BA464*$X464),)</f>
        <v/>
      </c>
      <c r="DN464" s="129">
        <f>IFERROR(if($X464=0,($V464/1.2)*BB464,
BB464*$X464),)</f>
        <v/>
      </c>
      <c r="DO464" s="129">
        <f>IFERROR(if($X464=0,($V464/1.2)*BC464,
BC464*$X464),)</f>
        <v/>
      </c>
      <c r="DP464" s="130">
        <f>IFERROR(if($Z464=0,($V464/1.35)*BD464,
BD464*$Z464),)</f>
        <v/>
      </c>
      <c r="DQ464" s="130">
        <f>IFERROR(if($Z464=0,($V464/1.35)*BE464,
BE464*$Z464),)</f>
        <v/>
      </c>
      <c r="DR464" s="130">
        <f>IFERROR(if($Z464=0,($V464/1.35)*BF464,
BF464*$Z464),)</f>
        <v/>
      </c>
      <c r="DS464" s="128">
        <f>IFERROR(IF($AB464=0,($V464/0.74)*BG464,
BG464*$AB464),)</f>
        <v/>
      </c>
      <c r="DT464" s="128">
        <f>IFERROR(IF($AB464=0,($V464/0.74)*BH464,
BH464*$AB464),)</f>
        <v/>
      </c>
      <c r="DU464" s="128">
        <f>IFERROR(IF($AB464=0,($V464/0.74)*BI464,
BI464*$AB464),)</f>
        <v/>
      </c>
    </row>
    <row r="465" ht="131.25" customHeight="1" s="162">
      <c r="A465" s="115" t="n"/>
      <c r="B465" s="115" t="n"/>
      <c r="C465" s="115" t="n"/>
      <c r="D465" s="115" t="n"/>
      <c r="E465" s="115" t="n"/>
      <c r="F465" s="115" t="n"/>
      <c r="G465" s="115" t="n"/>
      <c r="H465" s="115" t="n"/>
      <c r="I465" s="115" t="n"/>
      <c r="J465" s="115" t="n"/>
      <c r="K465" s="115" t="n"/>
      <c r="L465" s="115" t="n"/>
      <c r="M465" s="115" t="n"/>
      <c r="N465" s="115" t="n"/>
      <c r="O465" s="115" t="n"/>
      <c r="P465" s="115" t="n"/>
      <c r="Q465" s="115" t="n"/>
      <c r="R465" s="115" t="n"/>
      <c r="S465" s="115" t="n"/>
      <c r="T465" s="115" t="n"/>
      <c r="U465" s="116" t="n"/>
      <c r="V465" s="116" t="n"/>
      <c r="W465" s="117" t="n"/>
      <c r="X465" s="118" t="n"/>
      <c r="Y465" s="119" t="n"/>
      <c r="Z465" s="120" t="n"/>
      <c r="AA465" s="121" t="n"/>
      <c r="AB465" s="122" t="n"/>
      <c r="AC465" s="117" t="n"/>
      <c r="AD465" s="123">
        <f>IF(SUM($AE465:$AH465)=0,"",SUM($AE465:$AH465))</f>
        <v/>
      </c>
      <c r="AE465" s="123">
        <f>iferror(IF(SUM($AI465:$AZ465)=0,"",SUM($AI465:$AZ465)),"")</f>
        <v/>
      </c>
      <c r="AF465" s="123">
        <f>iferror(IF(SUM($BA465:$BC465)=0,"",SUM($BA465:$BC465)),"")</f>
        <v/>
      </c>
      <c r="AG465" s="123">
        <f>iferror(IF(SUM($BD465:$BF465)=0,"",SUM($BD465:$BF465)),"")</f>
        <v/>
      </c>
      <c r="AH465" s="124">
        <f>iferror(IF(SUM($BG465:$BI465)=0,"",SUM($BG465:$BI465)),"")</f>
        <v/>
      </c>
      <c r="AI465" s="131" t="n"/>
      <c r="AJ465" s="132" t="n"/>
      <c r="AK465" s="132" t="n"/>
      <c r="AL465" s="132" t="n"/>
      <c r="AM465" s="132" t="n"/>
      <c r="AN465" s="132" t="n"/>
      <c r="AO465" s="132" t="n"/>
      <c r="AP465" s="132" t="n"/>
      <c r="AQ465" s="132" t="n"/>
      <c r="AR465" s="132" t="n"/>
      <c r="AS465" s="132" t="n"/>
      <c r="AT465" s="132" t="n"/>
      <c r="AU465" s="132" t="n"/>
      <c r="AV465" s="132" t="n"/>
      <c r="AW465" s="132" t="n"/>
      <c r="AX465" s="132" t="n"/>
      <c r="AY465" s="132" t="n"/>
      <c r="AZ465" s="133" t="n"/>
      <c r="BA465" s="131" t="n"/>
      <c r="BB465" s="132" t="n"/>
      <c r="BC465" s="133" t="n"/>
      <c r="BD465" s="131" t="n"/>
      <c r="BE465" s="132" t="n"/>
      <c r="BF465" s="133" t="n"/>
      <c r="BG465" s="131" t="n"/>
      <c r="BH465" s="132" t="n"/>
      <c r="BI465" s="132" t="n"/>
      <c r="BJ465" s="128">
        <f>iferror(SUM($BK465,($BL465*1.2),($BM465*1.35),($BN465*0.74)),)</f>
        <v/>
      </c>
      <c r="BK465" s="128">
        <f>IFERROR(SUM($BT465:$CK465),)</f>
        <v/>
      </c>
      <c r="BL465" s="129">
        <f>IFERROR(SUM($CL465:$CN465),)</f>
        <v/>
      </c>
      <c r="BM465" s="130">
        <f>IFERROR(SUM($CO465:$CQ465),)</f>
        <v/>
      </c>
      <c r="BN465" s="128">
        <f>IFERROR(SUM($CR465:$CT465),)</f>
        <v/>
      </c>
      <c r="BO465" s="128">
        <f>iferror(SUM($BP465,($BQ465*1.2),($BR465*1.35),($BS465*0.74)),)</f>
        <v/>
      </c>
      <c r="BP465" s="128">
        <f>IFERROR(SUM($CU465:$DL465),)</f>
        <v/>
      </c>
      <c r="BQ465" s="128">
        <f>IFERROR(SUM($DM465:$DO465),)</f>
        <v/>
      </c>
      <c r="BR465" s="128">
        <f>IFERROR(SUM($DP465:$DR465),)</f>
        <v/>
      </c>
      <c r="BS465" s="128">
        <f>IFERROR(SUM($DS465:$DU465),)</f>
        <v/>
      </c>
      <c r="BT465" s="128">
        <f>IFERROR(AI465*$W465,)</f>
        <v/>
      </c>
      <c r="BU465" s="128">
        <f>IFERROR(AJ465*$W465,)</f>
        <v/>
      </c>
      <c r="BV465" s="128">
        <f>IFERROR(AK465*$W465,)</f>
        <v/>
      </c>
      <c r="BW465" s="128">
        <f>IFERROR(AL465*$W465,)</f>
        <v/>
      </c>
      <c r="BX465" s="128">
        <f>IFERROR(AM465*$W465,)</f>
        <v/>
      </c>
      <c r="BY465" s="128">
        <f>IFERROR(AN465*$W465,)</f>
        <v/>
      </c>
      <c r="BZ465" s="128">
        <f>IFERROR(AO465*$W465,)</f>
        <v/>
      </c>
      <c r="CA465" s="128">
        <f>IFERROR(AP465*$W465,)</f>
        <v/>
      </c>
      <c r="CB465" s="128">
        <f>IFERROR(AQ465*$W465,)</f>
        <v/>
      </c>
      <c r="CC465" s="128">
        <f>IFERROR(AR465*$W465,)</f>
        <v/>
      </c>
      <c r="CD465" s="128">
        <f>IFERROR(AS465*$W465,)</f>
        <v/>
      </c>
      <c r="CE465" s="128">
        <f>IFERROR(AT465*$W465,)</f>
        <v/>
      </c>
      <c r="CF465" s="128">
        <f>IFERROR(AU465*$W465,)</f>
        <v/>
      </c>
      <c r="CG465" s="128">
        <f>IFERROR(AV465*$W465,)</f>
        <v/>
      </c>
      <c r="CH465" s="128">
        <f>IFERROR(AW465*$W465,)</f>
        <v/>
      </c>
      <c r="CI465" s="128">
        <f>IFERROR(AX465*$W465,)</f>
        <v/>
      </c>
      <c r="CJ465" s="128">
        <f>IFERROR(AY465*$W465,)</f>
        <v/>
      </c>
      <c r="CK465" s="128">
        <f>IFERROR(AZ465*$W465,)</f>
        <v/>
      </c>
      <c r="CL465" s="129">
        <f>IFERROR(if($Y465=0,BA465*($W465/1.2),BA465*$Y465),"")</f>
        <v/>
      </c>
      <c r="CM465" s="129">
        <f>IFERROR(if($Y465=0,BB465*($W465/1.2),BB465*$Y465),"")</f>
        <v/>
      </c>
      <c r="CN465" s="129">
        <f>IFERROR(if($Y465=0,BC465*($W465/1.2),BC465*$Y465),"")</f>
        <v/>
      </c>
      <c r="CO465" s="130">
        <f>IFERROR(if($AA465=0,($W465/1.35)*BD465,BD465*$AA465),)</f>
        <v/>
      </c>
      <c r="CP465" s="130">
        <f>IFERROR(if($AA465=0,($W465/1.35)*BE465,BE465*$AA465),)</f>
        <v/>
      </c>
      <c r="CQ465" s="130">
        <f>IFERROR(if($AA465=0,($W465/1.35)*BF465,BF465*$AA465),)</f>
        <v/>
      </c>
      <c r="CR465" s="128">
        <f>IFERROR(if($AC465=0,($W465/0.74)*BG465,
BG465*$AC465),)</f>
        <v/>
      </c>
      <c r="CS465" s="128">
        <f>IFERROR(if($AC465=0,($W465/0.74)*BH465,
BH465*$AC465),)</f>
        <v/>
      </c>
      <c r="CT465" s="128">
        <f>IFERROR(if($AC465=0,($W465/0.74)*BI465,
BI465*$AC465),)</f>
        <v/>
      </c>
      <c r="CU465" s="128">
        <f>IFERROR(AI465*$V465,)</f>
        <v/>
      </c>
      <c r="CV465" s="128">
        <f>IFERROR(AJ465*$V465,)</f>
        <v/>
      </c>
      <c r="CW465" s="128">
        <f>IFERROR(AK465*$V465,)</f>
        <v/>
      </c>
      <c r="CX465" s="128">
        <f>IFERROR(AL465*$V465,)</f>
        <v/>
      </c>
      <c r="CY465" s="128">
        <f>IFERROR(AM465*$V465,)</f>
        <v/>
      </c>
      <c r="CZ465" s="128">
        <f>IFERROR(AN465*$V465,)</f>
        <v/>
      </c>
      <c r="DA465" s="128">
        <f>IFERROR(AO465*$V465,)</f>
        <v/>
      </c>
      <c r="DB465" s="128">
        <f>IFERROR(AP465*$V465,)</f>
        <v/>
      </c>
      <c r="DC465" s="128">
        <f>IFERROR(AQ465*$V465,)</f>
        <v/>
      </c>
      <c r="DD465" s="128">
        <f>IFERROR(AR465*$V465,)</f>
        <v/>
      </c>
      <c r="DE465" s="128">
        <f>IFERROR(AS465*$V465,)</f>
        <v/>
      </c>
      <c r="DF465" s="128">
        <f>IFERROR(AT465*$V465,)</f>
        <v/>
      </c>
      <c r="DG465" s="128">
        <f>IFERROR(AU465*$V465,)</f>
        <v/>
      </c>
      <c r="DH465" s="128">
        <f>IFERROR(AV465*$V465,)</f>
        <v/>
      </c>
      <c r="DI465" s="128">
        <f>IFERROR(AW465*$V465,)</f>
        <v/>
      </c>
      <c r="DJ465" s="128">
        <f>IFERROR(AX465*$V465,)</f>
        <v/>
      </c>
      <c r="DK465" s="128">
        <f>IFERROR(AY465*$V465,)</f>
        <v/>
      </c>
      <c r="DL465" s="128">
        <f>IFERROR(AZ465*$V465,)</f>
        <v/>
      </c>
      <c r="DM465" s="129">
        <f>IFERROR(if($X465=0,($V465/1.2)*BA465,
BA465*$X465),)</f>
        <v/>
      </c>
      <c r="DN465" s="129">
        <f>IFERROR(if($X465=0,($V465/1.2)*BB465,
BB465*$X465),)</f>
        <v/>
      </c>
      <c r="DO465" s="129">
        <f>IFERROR(if($X465=0,($V465/1.2)*BC465,
BC465*$X465),)</f>
        <v/>
      </c>
      <c r="DP465" s="130">
        <f>IFERROR(if($Z465=0,($V465/1.35)*BD465,
BD465*$Z465),)</f>
        <v/>
      </c>
      <c r="DQ465" s="130">
        <f>IFERROR(if($Z465=0,($V465/1.35)*BE465,
BE465*$Z465),)</f>
        <v/>
      </c>
      <c r="DR465" s="130">
        <f>IFERROR(if($Z465=0,($V465/1.35)*BF465,
BF465*$Z465),)</f>
        <v/>
      </c>
      <c r="DS465" s="128">
        <f>IFERROR(IF($AB465=0,($V465/0.74)*BG465,
BG465*$AB465),)</f>
        <v/>
      </c>
      <c r="DT465" s="128">
        <f>IFERROR(IF($AB465=0,($V465/0.74)*BH465,
BH465*$AB465),)</f>
        <v/>
      </c>
      <c r="DU465" s="128">
        <f>IFERROR(IF($AB465=0,($V465/0.74)*BI465,
BI465*$AB465),)</f>
        <v/>
      </c>
    </row>
    <row r="466" ht="131.25" customHeight="1" s="162">
      <c r="A466" s="115" t="n"/>
      <c r="B466" s="115" t="n"/>
      <c r="C466" s="115" t="n"/>
      <c r="D466" s="115" t="n"/>
      <c r="E466" s="115" t="n"/>
      <c r="F466" s="115" t="n"/>
      <c r="G466" s="115" t="n"/>
      <c r="H466" s="115" t="n"/>
      <c r="I466" s="115" t="n"/>
      <c r="J466" s="115" t="n"/>
      <c r="K466" s="115" t="n"/>
      <c r="L466" s="115" t="n"/>
      <c r="M466" s="115" t="n"/>
      <c r="N466" s="115" t="n"/>
      <c r="O466" s="115" t="n"/>
      <c r="P466" s="115" t="n"/>
      <c r="Q466" s="115" t="n"/>
      <c r="R466" s="115" t="n"/>
      <c r="S466" s="115" t="n"/>
      <c r="T466" s="115" t="n"/>
      <c r="U466" s="116" t="n"/>
      <c r="V466" s="116" t="n"/>
      <c r="W466" s="117" t="n"/>
      <c r="X466" s="118" t="n"/>
      <c r="Y466" s="119" t="n"/>
      <c r="Z466" s="120" t="n"/>
      <c r="AA466" s="121" t="n"/>
      <c r="AB466" s="122" t="n"/>
      <c r="AC466" s="117" t="n"/>
      <c r="AD466" s="123">
        <f>IF(SUM($AE466:$AH466)=0,"",SUM($AE466:$AH466))</f>
        <v/>
      </c>
      <c r="AE466" s="123">
        <f>iferror(IF(SUM($AI466:$AZ466)=0,"",SUM($AI466:$AZ466)),"")</f>
        <v/>
      </c>
      <c r="AF466" s="123">
        <f>iferror(IF(SUM($BA466:$BC466)=0,"",SUM($BA466:$BC466)),"")</f>
        <v/>
      </c>
      <c r="AG466" s="123">
        <f>iferror(IF(SUM($BD466:$BF466)=0,"",SUM($BD466:$BF466)),"")</f>
        <v/>
      </c>
      <c r="AH466" s="124">
        <f>iferror(IF(SUM($BG466:$BI466)=0,"",SUM($BG466:$BI466)),"")</f>
        <v/>
      </c>
      <c r="AI466" s="131" t="n"/>
      <c r="AJ466" s="132" t="n"/>
      <c r="AK466" s="132" t="n"/>
      <c r="AL466" s="132" t="n"/>
      <c r="AM466" s="132" t="n"/>
      <c r="AN466" s="132" t="n"/>
      <c r="AO466" s="132" t="n"/>
      <c r="AP466" s="132" t="n"/>
      <c r="AQ466" s="132" t="n"/>
      <c r="AR466" s="132" t="n"/>
      <c r="AS466" s="132" t="n"/>
      <c r="AT466" s="132" t="n"/>
      <c r="AU466" s="132" t="n"/>
      <c r="AV466" s="132" t="n"/>
      <c r="AW466" s="132" t="n"/>
      <c r="AX466" s="132" t="n"/>
      <c r="AY466" s="132" t="n"/>
      <c r="AZ466" s="133" t="n"/>
      <c r="BA466" s="131" t="n"/>
      <c r="BB466" s="132" t="n"/>
      <c r="BC466" s="133" t="n"/>
      <c r="BD466" s="131" t="n"/>
      <c r="BE466" s="132" t="n"/>
      <c r="BF466" s="133" t="n"/>
      <c r="BG466" s="131" t="n"/>
      <c r="BH466" s="132" t="n"/>
      <c r="BI466" s="132" t="n"/>
      <c r="BJ466" s="128">
        <f>iferror(SUM($BK466,($BL466*1.2),($BM466*1.35),($BN466*0.74)),)</f>
        <v/>
      </c>
      <c r="BK466" s="128">
        <f>IFERROR(SUM($BT466:$CK466),)</f>
        <v/>
      </c>
      <c r="BL466" s="129">
        <f>IFERROR(SUM($CL466:$CN466),)</f>
        <v/>
      </c>
      <c r="BM466" s="130">
        <f>IFERROR(SUM($CO466:$CQ466),)</f>
        <v/>
      </c>
      <c r="BN466" s="128">
        <f>IFERROR(SUM($CR466:$CT466),)</f>
        <v/>
      </c>
      <c r="BO466" s="128">
        <f>iferror(SUM($BP466,($BQ466*1.2),($BR466*1.35),($BS466*0.74)),)</f>
        <v/>
      </c>
      <c r="BP466" s="128">
        <f>IFERROR(SUM($CU466:$DL466),)</f>
        <v/>
      </c>
      <c r="BQ466" s="128">
        <f>IFERROR(SUM($DM466:$DO466),)</f>
        <v/>
      </c>
      <c r="BR466" s="128">
        <f>IFERROR(SUM($DP466:$DR466),)</f>
        <v/>
      </c>
      <c r="BS466" s="128">
        <f>IFERROR(SUM($DS466:$DU466),)</f>
        <v/>
      </c>
      <c r="BT466" s="128">
        <f>IFERROR(AI466*$W466,)</f>
        <v/>
      </c>
      <c r="BU466" s="128">
        <f>IFERROR(AJ466*$W466,)</f>
        <v/>
      </c>
      <c r="BV466" s="128">
        <f>IFERROR(AK466*$W466,)</f>
        <v/>
      </c>
      <c r="BW466" s="128">
        <f>IFERROR(AL466*$W466,)</f>
        <v/>
      </c>
      <c r="BX466" s="128">
        <f>IFERROR(AM466*$W466,)</f>
        <v/>
      </c>
      <c r="BY466" s="128">
        <f>IFERROR(AN466*$W466,)</f>
        <v/>
      </c>
      <c r="BZ466" s="128">
        <f>IFERROR(AO466*$W466,)</f>
        <v/>
      </c>
      <c r="CA466" s="128">
        <f>IFERROR(AP466*$W466,)</f>
        <v/>
      </c>
      <c r="CB466" s="128">
        <f>IFERROR(AQ466*$W466,)</f>
        <v/>
      </c>
      <c r="CC466" s="128">
        <f>IFERROR(AR466*$W466,)</f>
        <v/>
      </c>
      <c r="CD466" s="128">
        <f>IFERROR(AS466*$W466,)</f>
        <v/>
      </c>
      <c r="CE466" s="128">
        <f>IFERROR(AT466*$W466,)</f>
        <v/>
      </c>
      <c r="CF466" s="128">
        <f>IFERROR(AU466*$W466,)</f>
        <v/>
      </c>
      <c r="CG466" s="128">
        <f>IFERROR(AV466*$W466,)</f>
        <v/>
      </c>
      <c r="CH466" s="128">
        <f>IFERROR(AW466*$W466,)</f>
        <v/>
      </c>
      <c r="CI466" s="128">
        <f>IFERROR(AX466*$W466,)</f>
        <v/>
      </c>
      <c r="CJ466" s="128">
        <f>IFERROR(AY466*$W466,)</f>
        <v/>
      </c>
      <c r="CK466" s="128">
        <f>IFERROR(AZ466*$W466,)</f>
        <v/>
      </c>
      <c r="CL466" s="129">
        <f>IFERROR(if($Y466=0,BA466*($W466/1.2),BA466*$Y466),"")</f>
        <v/>
      </c>
      <c r="CM466" s="129">
        <f>IFERROR(if($Y466=0,BB466*($W466/1.2),BB466*$Y466),"")</f>
        <v/>
      </c>
      <c r="CN466" s="129">
        <f>IFERROR(if($Y466=0,BC466*($W466/1.2),BC466*$Y466),"")</f>
        <v/>
      </c>
      <c r="CO466" s="130">
        <f>IFERROR(if($AA466=0,($W466/1.35)*BD466,BD466*$AA466),)</f>
        <v/>
      </c>
      <c r="CP466" s="130">
        <f>IFERROR(if($AA466=0,($W466/1.35)*BE466,BE466*$AA466),)</f>
        <v/>
      </c>
      <c r="CQ466" s="130">
        <f>IFERROR(if($AA466=0,($W466/1.35)*BF466,BF466*$AA466),)</f>
        <v/>
      </c>
      <c r="CR466" s="128">
        <f>IFERROR(if($AC466=0,($W466/0.74)*BG466,
BG466*$AC466),)</f>
        <v/>
      </c>
      <c r="CS466" s="128">
        <f>IFERROR(if($AC466=0,($W466/0.74)*BH466,
BH466*$AC466),)</f>
        <v/>
      </c>
      <c r="CT466" s="128">
        <f>IFERROR(if($AC466=0,($W466/0.74)*BI466,
BI466*$AC466),)</f>
        <v/>
      </c>
      <c r="CU466" s="128">
        <f>IFERROR(AI466*$V466,)</f>
        <v/>
      </c>
      <c r="CV466" s="128">
        <f>IFERROR(AJ466*$V466,)</f>
        <v/>
      </c>
      <c r="CW466" s="128">
        <f>IFERROR(AK466*$V466,)</f>
        <v/>
      </c>
      <c r="CX466" s="128">
        <f>IFERROR(AL466*$V466,)</f>
        <v/>
      </c>
      <c r="CY466" s="128">
        <f>IFERROR(AM466*$V466,)</f>
        <v/>
      </c>
      <c r="CZ466" s="128">
        <f>IFERROR(AN466*$V466,)</f>
        <v/>
      </c>
      <c r="DA466" s="128">
        <f>IFERROR(AO466*$V466,)</f>
        <v/>
      </c>
      <c r="DB466" s="128">
        <f>IFERROR(AP466*$V466,)</f>
        <v/>
      </c>
      <c r="DC466" s="128">
        <f>IFERROR(AQ466*$V466,)</f>
        <v/>
      </c>
      <c r="DD466" s="128">
        <f>IFERROR(AR466*$V466,)</f>
        <v/>
      </c>
      <c r="DE466" s="128">
        <f>IFERROR(AS466*$V466,)</f>
        <v/>
      </c>
      <c r="DF466" s="128">
        <f>IFERROR(AT466*$V466,)</f>
        <v/>
      </c>
      <c r="DG466" s="128">
        <f>IFERROR(AU466*$V466,)</f>
        <v/>
      </c>
      <c r="DH466" s="128">
        <f>IFERROR(AV466*$V466,)</f>
        <v/>
      </c>
      <c r="DI466" s="128">
        <f>IFERROR(AW466*$V466,)</f>
        <v/>
      </c>
      <c r="DJ466" s="128">
        <f>IFERROR(AX466*$V466,)</f>
        <v/>
      </c>
      <c r="DK466" s="128">
        <f>IFERROR(AY466*$V466,)</f>
        <v/>
      </c>
      <c r="DL466" s="128">
        <f>IFERROR(AZ466*$V466,)</f>
        <v/>
      </c>
      <c r="DM466" s="129">
        <f>IFERROR(if($X466=0,($V466/1.2)*BA466,
BA466*$X466),)</f>
        <v/>
      </c>
      <c r="DN466" s="129">
        <f>IFERROR(if($X466=0,($V466/1.2)*BB466,
BB466*$X466),)</f>
        <v/>
      </c>
      <c r="DO466" s="129">
        <f>IFERROR(if($X466=0,($V466/1.2)*BC466,
BC466*$X466),)</f>
        <v/>
      </c>
      <c r="DP466" s="130">
        <f>IFERROR(if($Z466=0,($V466/1.35)*BD466,
BD466*$Z466),)</f>
        <v/>
      </c>
      <c r="DQ466" s="130">
        <f>IFERROR(if($Z466=0,($V466/1.35)*BE466,
BE466*$Z466),)</f>
        <v/>
      </c>
      <c r="DR466" s="130">
        <f>IFERROR(if($Z466=0,($V466/1.35)*BF466,
BF466*$Z466),)</f>
        <v/>
      </c>
      <c r="DS466" s="128">
        <f>IFERROR(IF($AB466=0,($V466/0.74)*BG466,
BG466*$AB466),)</f>
        <v/>
      </c>
      <c r="DT466" s="128">
        <f>IFERROR(IF($AB466=0,($V466/0.74)*BH466,
BH466*$AB466),)</f>
        <v/>
      </c>
      <c r="DU466" s="128">
        <f>IFERROR(IF($AB466=0,($V466/0.74)*BI466,
BI466*$AB466),)</f>
        <v/>
      </c>
    </row>
    <row r="467" ht="131.25" customHeight="1" s="162">
      <c r="A467" s="115" t="n"/>
      <c r="B467" s="115" t="n"/>
      <c r="C467" s="115" t="n"/>
      <c r="D467" s="115" t="n"/>
      <c r="E467" s="115" t="n"/>
      <c r="F467" s="115" t="n"/>
      <c r="G467" s="115" t="n"/>
      <c r="H467" s="115" t="n"/>
      <c r="I467" s="115" t="n"/>
      <c r="J467" s="115" t="n"/>
      <c r="K467" s="115" t="n"/>
      <c r="L467" s="115" t="n"/>
      <c r="M467" s="115" t="n"/>
      <c r="N467" s="115" t="n"/>
      <c r="O467" s="115" t="n"/>
      <c r="P467" s="115" t="n"/>
      <c r="Q467" s="115" t="n"/>
      <c r="R467" s="115" t="n"/>
      <c r="S467" s="115" t="n"/>
      <c r="T467" s="115" t="n"/>
      <c r="U467" s="116" t="n"/>
      <c r="V467" s="116" t="n"/>
      <c r="W467" s="117" t="n"/>
      <c r="X467" s="118" t="n"/>
      <c r="Y467" s="119" t="n"/>
      <c r="Z467" s="120" t="n"/>
      <c r="AA467" s="121" t="n"/>
      <c r="AB467" s="122" t="n"/>
      <c r="AC467" s="117" t="n"/>
      <c r="AD467" s="123">
        <f>IF(SUM($AE467:$AH467)=0,"",SUM($AE467:$AH467))</f>
        <v/>
      </c>
      <c r="AE467" s="123">
        <f>iferror(IF(SUM($AI467:$AZ467)=0,"",SUM($AI467:$AZ467)),"")</f>
        <v/>
      </c>
      <c r="AF467" s="123">
        <f>iferror(IF(SUM($BA467:$BC467)=0,"",SUM($BA467:$BC467)),"")</f>
        <v/>
      </c>
      <c r="AG467" s="123">
        <f>iferror(IF(SUM($BD467:$BF467)=0,"",SUM($BD467:$BF467)),"")</f>
        <v/>
      </c>
      <c r="AH467" s="124">
        <f>iferror(IF(SUM($BG467:$BI467)=0,"",SUM($BG467:$BI467)),"")</f>
        <v/>
      </c>
      <c r="AI467" s="131" t="n"/>
      <c r="AJ467" s="132" t="n"/>
      <c r="AK467" s="132" t="n"/>
      <c r="AL467" s="132" t="n"/>
      <c r="AM467" s="132" t="n"/>
      <c r="AN467" s="132" t="n"/>
      <c r="AO467" s="132" t="n"/>
      <c r="AP467" s="132" t="n"/>
      <c r="AQ467" s="132" t="n"/>
      <c r="AR467" s="132" t="n"/>
      <c r="AS467" s="132" t="n"/>
      <c r="AT467" s="132" t="n"/>
      <c r="AU467" s="132" t="n"/>
      <c r="AV467" s="132" t="n"/>
      <c r="AW467" s="132" t="n"/>
      <c r="AX467" s="132" t="n"/>
      <c r="AY467" s="132" t="n"/>
      <c r="AZ467" s="133" t="n"/>
      <c r="BA467" s="131" t="n"/>
      <c r="BB467" s="132" t="n"/>
      <c r="BC467" s="133" t="n"/>
      <c r="BD467" s="131" t="n"/>
      <c r="BE467" s="132" t="n"/>
      <c r="BF467" s="133" t="n"/>
      <c r="BG467" s="131" t="n"/>
      <c r="BH467" s="132" t="n"/>
      <c r="BI467" s="132" t="n"/>
      <c r="BJ467" s="128">
        <f>iferror(SUM($BK467,($BL467*1.2),($BM467*1.35),($BN467*0.74)),)</f>
        <v/>
      </c>
      <c r="BK467" s="128">
        <f>IFERROR(SUM($BT467:$CK467),)</f>
        <v/>
      </c>
      <c r="BL467" s="129">
        <f>IFERROR(SUM($CL467:$CN467),)</f>
        <v/>
      </c>
      <c r="BM467" s="130">
        <f>IFERROR(SUM($CO467:$CQ467),)</f>
        <v/>
      </c>
      <c r="BN467" s="128">
        <f>IFERROR(SUM($CR467:$CT467),)</f>
        <v/>
      </c>
      <c r="BO467" s="128">
        <f>iferror(SUM($BP467,($BQ467*1.2),($BR467*1.35),($BS467*0.74)),)</f>
        <v/>
      </c>
      <c r="BP467" s="128">
        <f>IFERROR(SUM($CU467:$DL467),)</f>
        <v/>
      </c>
      <c r="BQ467" s="128">
        <f>IFERROR(SUM($DM467:$DO467),)</f>
        <v/>
      </c>
      <c r="BR467" s="128">
        <f>IFERROR(SUM($DP467:$DR467),)</f>
        <v/>
      </c>
      <c r="BS467" s="128">
        <f>IFERROR(SUM($DS467:$DU467),)</f>
        <v/>
      </c>
      <c r="BT467" s="128">
        <f>IFERROR(AI467*$W467,)</f>
        <v/>
      </c>
      <c r="BU467" s="128">
        <f>IFERROR(AJ467*$W467,)</f>
        <v/>
      </c>
      <c r="BV467" s="128">
        <f>IFERROR(AK467*$W467,)</f>
        <v/>
      </c>
      <c r="BW467" s="128">
        <f>IFERROR(AL467*$W467,)</f>
        <v/>
      </c>
      <c r="BX467" s="128">
        <f>IFERROR(AM467*$W467,)</f>
        <v/>
      </c>
      <c r="BY467" s="128">
        <f>IFERROR(AN467*$W467,)</f>
        <v/>
      </c>
      <c r="BZ467" s="128">
        <f>IFERROR(AO467*$W467,)</f>
        <v/>
      </c>
      <c r="CA467" s="128">
        <f>IFERROR(AP467*$W467,)</f>
        <v/>
      </c>
      <c r="CB467" s="128">
        <f>IFERROR(AQ467*$W467,)</f>
        <v/>
      </c>
      <c r="CC467" s="128">
        <f>IFERROR(AR467*$W467,)</f>
        <v/>
      </c>
      <c r="CD467" s="128">
        <f>IFERROR(AS467*$W467,)</f>
        <v/>
      </c>
      <c r="CE467" s="128">
        <f>IFERROR(AT467*$W467,)</f>
        <v/>
      </c>
      <c r="CF467" s="128">
        <f>IFERROR(AU467*$W467,)</f>
        <v/>
      </c>
      <c r="CG467" s="128">
        <f>IFERROR(AV467*$W467,)</f>
        <v/>
      </c>
      <c r="CH467" s="128">
        <f>IFERROR(AW467*$W467,)</f>
        <v/>
      </c>
      <c r="CI467" s="128">
        <f>IFERROR(AX467*$W467,)</f>
        <v/>
      </c>
      <c r="CJ467" s="128">
        <f>IFERROR(AY467*$W467,)</f>
        <v/>
      </c>
      <c r="CK467" s="128">
        <f>IFERROR(AZ467*$W467,)</f>
        <v/>
      </c>
      <c r="CL467" s="129">
        <f>IFERROR(if($Y467=0,BA467*($W467/1.2),BA467*$Y467),"")</f>
        <v/>
      </c>
      <c r="CM467" s="129">
        <f>IFERROR(if($Y467=0,BB467*($W467/1.2),BB467*$Y467),"")</f>
        <v/>
      </c>
      <c r="CN467" s="129">
        <f>IFERROR(if($Y467=0,BC467*($W467/1.2),BC467*$Y467),"")</f>
        <v/>
      </c>
      <c r="CO467" s="130">
        <f>IFERROR(if($AA467=0,($W467/1.35)*BD467,BD467*$AA467),)</f>
        <v/>
      </c>
      <c r="CP467" s="130">
        <f>IFERROR(if($AA467=0,($W467/1.35)*BE467,BE467*$AA467),)</f>
        <v/>
      </c>
      <c r="CQ467" s="130">
        <f>IFERROR(if($AA467=0,($W467/1.35)*BF467,BF467*$AA467),)</f>
        <v/>
      </c>
      <c r="CR467" s="128">
        <f>IFERROR(if($AC467=0,($W467/0.74)*BG467,
BG467*$AC467),)</f>
        <v/>
      </c>
      <c r="CS467" s="128">
        <f>IFERROR(if($AC467=0,($W467/0.74)*BH467,
BH467*$AC467),)</f>
        <v/>
      </c>
      <c r="CT467" s="128">
        <f>IFERROR(if($AC467=0,($W467/0.74)*BI467,
BI467*$AC467),)</f>
        <v/>
      </c>
      <c r="CU467" s="128">
        <f>IFERROR(AI467*$V467,)</f>
        <v/>
      </c>
      <c r="CV467" s="128">
        <f>IFERROR(AJ467*$V467,)</f>
        <v/>
      </c>
      <c r="CW467" s="128">
        <f>IFERROR(AK467*$V467,)</f>
        <v/>
      </c>
      <c r="CX467" s="128">
        <f>IFERROR(AL467*$V467,)</f>
        <v/>
      </c>
      <c r="CY467" s="128">
        <f>IFERROR(AM467*$V467,)</f>
        <v/>
      </c>
      <c r="CZ467" s="128">
        <f>IFERROR(AN467*$V467,)</f>
        <v/>
      </c>
      <c r="DA467" s="128">
        <f>IFERROR(AO467*$V467,)</f>
        <v/>
      </c>
      <c r="DB467" s="128">
        <f>IFERROR(AP467*$V467,)</f>
        <v/>
      </c>
      <c r="DC467" s="128">
        <f>IFERROR(AQ467*$V467,)</f>
        <v/>
      </c>
      <c r="DD467" s="128">
        <f>IFERROR(AR467*$V467,)</f>
        <v/>
      </c>
      <c r="DE467" s="128">
        <f>IFERROR(AS467*$V467,)</f>
        <v/>
      </c>
      <c r="DF467" s="128">
        <f>IFERROR(AT467*$V467,)</f>
        <v/>
      </c>
      <c r="DG467" s="128">
        <f>IFERROR(AU467*$V467,)</f>
        <v/>
      </c>
      <c r="DH467" s="128">
        <f>IFERROR(AV467*$V467,)</f>
        <v/>
      </c>
      <c r="DI467" s="128">
        <f>IFERROR(AW467*$V467,)</f>
        <v/>
      </c>
      <c r="DJ467" s="128">
        <f>IFERROR(AX467*$V467,)</f>
        <v/>
      </c>
      <c r="DK467" s="128">
        <f>IFERROR(AY467*$V467,)</f>
        <v/>
      </c>
      <c r="DL467" s="128">
        <f>IFERROR(AZ467*$V467,)</f>
        <v/>
      </c>
      <c r="DM467" s="129">
        <f>IFERROR(if($X467=0,($V467/1.2)*BA467,
BA467*$X467),)</f>
        <v/>
      </c>
      <c r="DN467" s="129">
        <f>IFERROR(if($X467=0,($V467/1.2)*BB467,
BB467*$X467),)</f>
        <v/>
      </c>
      <c r="DO467" s="129">
        <f>IFERROR(if($X467=0,($V467/1.2)*BC467,
BC467*$X467),)</f>
        <v/>
      </c>
      <c r="DP467" s="130">
        <f>IFERROR(if($Z467=0,($V467/1.35)*BD467,
BD467*$Z467),)</f>
        <v/>
      </c>
      <c r="DQ467" s="130">
        <f>IFERROR(if($Z467=0,($V467/1.35)*BE467,
BE467*$Z467),)</f>
        <v/>
      </c>
      <c r="DR467" s="130">
        <f>IFERROR(if($Z467=0,($V467/1.35)*BF467,
BF467*$Z467),)</f>
        <v/>
      </c>
      <c r="DS467" s="128">
        <f>IFERROR(IF($AB467=0,($V467/0.74)*BG467,
BG467*$AB467),)</f>
        <v/>
      </c>
      <c r="DT467" s="128">
        <f>IFERROR(IF($AB467=0,($V467/0.74)*BH467,
BH467*$AB467),)</f>
        <v/>
      </c>
      <c r="DU467" s="128">
        <f>IFERROR(IF($AB467=0,($V467/0.74)*BI467,
BI467*$AB467),)</f>
        <v/>
      </c>
    </row>
    <row r="468" ht="131.25" customHeight="1" s="162">
      <c r="A468" s="115" t="n"/>
      <c r="B468" s="115" t="n"/>
      <c r="C468" s="115" t="n"/>
      <c r="D468" s="115" t="n"/>
      <c r="E468" s="115" t="n"/>
      <c r="F468" s="115" t="n"/>
      <c r="G468" s="115" t="n"/>
      <c r="H468" s="115" t="n"/>
      <c r="I468" s="115" t="n"/>
      <c r="J468" s="115" t="n"/>
      <c r="K468" s="115" t="n"/>
      <c r="L468" s="115" t="n"/>
      <c r="M468" s="115" t="n"/>
      <c r="N468" s="115" t="n"/>
      <c r="O468" s="115" t="n"/>
      <c r="P468" s="115" t="n"/>
      <c r="Q468" s="115" t="n"/>
      <c r="R468" s="115" t="n"/>
      <c r="S468" s="115" t="n"/>
      <c r="T468" s="115" t="n"/>
      <c r="U468" s="116" t="n"/>
      <c r="V468" s="116" t="n"/>
      <c r="W468" s="117" t="n"/>
      <c r="X468" s="118" t="n"/>
      <c r="Y468" s="119" t="n"/>
      <c r="Z468" s="120" t="n"/>
      <c r="AA468" s="121" t="n"/>
      <c r="AB468" s="122" t="n"/>
      <c r="AC468" s="117" t="n"/>
      <c r="AD468" s="123">
        <f>IF(SUM($AE468:$AH468)=0,"",SUM($AE468:$AH468))</f>
        <v/>
      </c>
      <c r="AE468" s="123">
        <f>iferror(IF(SUM($AI468:$AZ468)=0,"",SUM($AI468:$AZ468)),"")</f>
        <v/>
      </c>
      <c r="AF468" s="123">
        <f>iferror(IF(SUM($BA468:$BC468)=0,"",SUM($BA468:$BC468)),"")</f>
        <v/>
      </c>
      <c r="AG468" s="123">
        <f>iferror(IF(SUM($BD468:$BF468)=0,"",SUM($BD468:$BF468)),"")</f>
        <v/>
      </c>
      <c r="AH468" s="124">
        <f>iferror(IF(SUM($BG468:$BI468)=0,"",SUM($BG468:$BI468)),"")</f>
        <v/>
      </c>
      <c r="AI468" s="131" t="n"/>
      <c r="AJ468" s="132" t="n"/>
      <c r="AK468" s="132" t="n"/>
      <c r="AL468" s="132" t="n"/>
      <c r="AM468" s="132" t="n"/>
      <c r="AN468" s="132" t="n"/>
      <c r="AO468" s="132" t="n"/>
      <c r="AP468" s="132" t="n"/>
      <c r="AQ468" s="132" t="n"/>
      <c r="AR468" s="132" t="n"/>
      <c r="AS468" s="132" t="n"/>
      <c r="AT468" s="132" t="n"/>
      <c r="AU468" s="132" t="n"/>
      <c r="AV468" s="132" t="n"/>
      <c r="AW468" s="132" t="n"/>
      <c r="AX468" s="132" t="n"/>
      <c r="AY468" s="132" t="n"/>
      <c r="AZ468" s="133" t="n"/>
      <c r="BA468" s="131" t="n"/>
      <c r="BB468" s="132" t="n"/>
      <c r="BC468" s="133" t="n"/>
      <c r="BD468" s="131" t="n"/>
      <c r="BE468" s="132" t="n"/>
      <c r="BF468" s="133" t="n"/>
      <c r="BG468" s="131" t="n"/>
      <c r="BH468" s="132" t="n"/>
      <c r="BI468" s="132" t="n"/>
      <c r="BJ468" s="128">
        <f>iferror(SUM($BK468,($BL468*1.2),($BM468*1.35),($BN468*0.74)),)</f>
        <v/>
      </c>
      <c r="BK468" s="128">
        <f>IFERROR(SUM($BT468:$CK468),)</f>
        <v/>
      </c>
      <c r="BL468" s="129">
        <f>IFERROR(SUM($CL468:$CN468),)</f>
        <v/>
      </c>
      <c r="BM468" s="130">
        <f>IFERROR(SUM($CO468:$CQ468),)</f>
        <v/>
      </c>
      <c r="BN468" s="128">
        <f>IFERROR(SUM($CR468:$CT468),)</f>
        <v/>
      </c>
      <c r="BO468" s="128">
        <f>iferror(SUM($BP468,($BQ468*1.2),($BR468*1.35),($BS468*0.74)),)</f>
        <v/>
      </c>
      <c r="BP468" s="128">
        <f>IFERROR(SUM($CU468:$DL468),)</f>
        <v/>
      </c>
      <c r="BQ468" s="128">
        <f>IFERROR(SUM($DM468:$DO468),)</f>
        <v/>
      </c>
      <c r="BR468" s="128">
        <f>IFERROR(SUM($DP468:$DR468),)</f>
        <v/>
      </c>
      <c r="BS468" s="128">
        <f>IFERROR(SUM($DS468:$DU468),)</f>
        <v/>
      </c>
      <c r="BT468" s="128">
        <f>IFERROR(AI468*$W468,)</f>
        <v/>
      </c>
      <c r="BU468" s="128">
        <f>IFERROR(AJ468*$W468,)</f>
        <v/>
      </c>
      <c r="BV468" s="128">
        <f>IFERROR(AK468*$W468,)</f>
        <v/>
      </c>
      <c r="BW468" s="128">
        <f>IFERROR(AL468*$W468,)</f>
        <v/>
      </c>
      <c r="BX468" s="128">
        <f>IFERROR(AM468*$W468,)</f>
        <v/>
      </c>
      <c r="BY468" s="128">
        <f>IFERROR(AN468*$W468,)</f>
        <v/>
      </c>
      <c r="BZ468" s="128">
        <f>IFERROR(AO468*$W468,)</f>
        <v/>
      </c>
      <c r="CA468" s="128">
        <f>IFERROR(AP468*$W468,)</f>
        <v/>
      </c>
      <c r="CB468" s="128">
        <f>IFERROR(AQ468*$W468,)</f>
        <v/>
      </c>
      <c r="CC468" s="128">
        <f>IFERROR(AR468*$W468,)</f>
        <v/>
      </c>
      <c r="CD468" s="128">
        <f>IFERROR(AS468*$W468,)</f>
        <v/>
      </c>
      <c r="CE468" s="128">
        <f>IFERROR(AT468*$W468,)</f>
        <v/>
      </c>
      <c r="CF468" s="128">
        <f>IFERROR(AU468*$W468,)</f>
        <v/>
      </c>
      <c r="CG468" s="128">
        <f>IFERROR(AV468*$W468,)</f>
        <v/>
      </c>
      <c r="CH468" s="128">
        <f>IFERROR(AW468*$W468,)</f>
        <v/>
      </c>
      <c r="CI468" s="128">
        <f>IFERROR(AX468*$W468,)</f>
        <v/>
      </c>
      <c r="CJ468" s="128">
        <f>IFERROR(AY468*$W468,)</f>
        <v/>
      </c>
      <c r="CK468" s="128">
        <f>IFERROR(AZ468*$W468,)</f>
        <v/>
      </c>
      <c r="CL468" s="129">
        <f>IFERROR(if($Y468=0,BA468*($W468/1.2),BA468*$Y468),"")</f>
        <v/>
      </c>
      <c r="CM468" s="129">
        <f>IFERROR(if($Y468=0,BB468*($W468/1.2),BB468*$Y468),"")</f>
        <v/>
      </c>
      <c r="CN468" s="129">
        <f>IFERROR(if($Y468=0,BC468*($W468/1.2),BC468*$Y468),"")</f>
        <v/>
      </c>
      <c r="CO468" s="130">
        <f>IFERROR(if($AA468=0,($W468/1.35)*BD468,BD468*$AA468),)</f>
        <v/>
      </c>
      <c r="CP468" s="130">
        <f>IFERROR(if($AA468=0,($W468/1.35)*BE468,BE468*$AA468),)</f>
        <v/>
      </c>
      <c r="CQ468" s="130">
        <f>IFERROR(if($AA468=0,($W468/1.35)*BF468,BF468*$AA468),)</f>
        <v/>
      </c>
      <c r="CR468" s="128">
        <f>IFERROR(if($AC468=0,($W468/0.74)*BG468,
BG468*$AC468),)</f>
        <v/>
      </c>
      <c r="CS468" s="128">
        <f>IFERROR(if($AC468=0,($W468/0.74)*BH468,
BH468*$AC468),)</f>
        <v/>
      </c>
      <c r="CT468" s="128">
        <f>IFERROR(if($AC468=0,($W468/0.74)*BI468,
BI468*$AC468),)</f>
        <v/>
      </c>
      <c r="CU468" s="128">
        <f>IFERROR(AI468*$V468,)</f>
        <v/>
      </c>
      <c r="CV468" s="128">
        <f>IFERROR(AJ468*$V468,)</f>
        <v/>
      </c>
      <c r="CW468" s="128">
        <f>IFERROR(AK468*$V468,)</f>
        <v/>
      </c>
      <c r="CX468" s="128">
        <f>IFERROR(AL468*$V468,)</f>
        <v/>
      </c>
      <c r="CY468" s="128">
        <f>IFERROR(AM468*$V468,)</f>
        <v/>
      </c>
      <c r="CZ468" s="128">
        <f>IFERROR(AN468*$V468,)</f>
        <v/>
      </c>
      <c r="DA468" s="128">
        <f>IFERROR(AO468*$V468,)</f>
        <v/>
      </c>
      <c r="DB468" s="128">
        <f>IFERROR(AP468*$V468,)</f>
        <v/>
      </c>
      <c r="DC468" s="128">
        <f>IFERROR(AQ468*$V468,)</f>
        <v/>
      </c>
      <c r="DD468" s="128">
        <f>IFERROR(AR468*$V468,)</f>
        <v/>
      </c>
      <c r="DE468" s="128">
        <f>IFERROR(AS468*$V468,)</f>
        <v/>
      </c>
      <c r="DF468" s="128">
        <f>IFERROR(AT468*$V468,)</f>
        <v/>
      </c>
      <c r="DG468" s="128">
        <f>IFERROR(AU468*$V468,)</f>
        <v/>
      </c>
      <c r="DH468" s="128">
        <f>IFERROR(AV468*$V468,)</f>
        <v/>
      </c>
      <c r="DI468" s="128">
        <f>IFERROR(AW468*$V468,)</f>
        <v/>
      </c>
      <c r="DJ468" s="128">
        <f>IFERROR(AX468*$V468,)</f>
        <v/>
      </c>
      <c r="DK468" s="128">
        <f>IFERROR(AY468*$V468,)</f>
        <v/>
      </c>
      <c r="DL468" s="128">
        <f>IFERROR(AZ468*$V468,)</f>
        <v/>
      </c>
      <c r="DM468" s="129">
        <f>IFERROR(if($X468=0,($V468/1.2)*BA468,
BA468*$X468),)</f>
        <v/>
      </c>
      <c r="DN468" s="129">
        <f>IFERROR(if($X468=0,($V468/1.2)*BB468,
BB468*$X468),)</f>
        <v/>
      </c>
      <c r="DO468" s="129">
        <f>IFERROR(if($X468=0,($V468/1.2)*BC468,
BC468*$X468),)</f>
        <v/>
      </c>
      <c r="DP468" s="130">
        <f>IFERROR(if($Z468=0,($V468/1.35)*BD468,
BD468*$Z468),)</f>
        <v/>
      </c>
      <c r="DQ468" s="130">
        <f>IFERROR(if($Z468=0,($V468/1.35)*BE468,
BE468*$Z468),)</f>
        <v/>
      </c>
      <c r="DR468" s="130">
        <f>IFERROR(if($Z468=0,($V468/1.35)*BF468,
BF468*$Z468),)</f>
        <v/>
      </c>
      <c r="DS468" s="128">
        <f>IFERROR(IF($AB468=0,($V468/0.74)*BG468,
BG468*$AB468),)</f>
        <v/>
      </c>
      <c r="DT468" s="128">
        <f>IFERROR(IF($AB468=0,($V468/0.74)*BH468,
BH468*$AB468),)</f>
        <v/>
      </c>
      <c r="DU468" s="128">
        <f>IFERROR(IF($AB468=0,($V468/0.74)*BI468,
BI468*$AB468),)</f>
        <v/>
      </c>
    </row>
    <row r="469" ht="131.25" customHeight="1" s="162">
      <c r="A469" s="115" t="n"/>
      <c r="B469" s="115" t="n"/>
      <c r="C469" s="115" t="n"/>
      <c r="D469" s="115" t="n"/>
      <c r="E469" s="115" t="n"/>
      <c r="F469" s="115" t="n"/>
      <c r="G469" s="115" t="n"/>
      <c r="H469" s="115" t="n"/>
      <c r="I469" s="115" t="n"/>
      <c r="J469" s="115" t="n"/>
      <c r="K469" s="115" t="n"/>
      <c r="L469" s="115" t="n"/>
      <c r="M469" s="115" t="n"/>
      <c r="N469" s="115" t="n"/>
      <c r="O469" s="115" t="n"/>
      <c r="P469" s="115" t="n"/>
      <c r="Q469" s="115" t="n"/>
      <c r="R469" s="115" t="n"/>
      <c r="S469" s="115" t="n"/>
      <c r="T469" s="115" t="n"/>
      <c r="U469" s="116" t="n"/>
      <c r="V469" s="116" t="n"/>
      <c r="W469" s="117" t="n"/>
      <c r="X469" s="118" t="n"/>
      <c r="Y469" s="119" t="n"/>
      <c r="Z469" s="120" t="n"/>
      <c r="AA469" s="121" t="n"/>
      <c r="AB469" s="122" t="n"/>
      <c r="AC469" s="117" t="n"/>
      <c r="AD469" s="123">
        <f>IF(SUM($AE469:$AH469)=0,"",SUM($AE469:$AH469))</f>
        <v/>
      </c>
      <c r="AE469" s="123">
        <f>iferror(IF(SUM($AI469:$AZ469)=0,"",SUM($AI469:$AZ469)),"")</f>
        <v/>
      </c>
      <c r="AF469" s="123">
        <f>iferror(IF(SUM($BA469:$BC469)=0,"",SUM($BA469:$BC469)),"")</f>
        <v/>
      </c>
      <c r="AG469" s="123">
        <f>iferror(IF(SUM($BD469:$BF469)=0,"",SUM($BD469:$BF469)),"")</f>
        <v/>
      </c>
      <c r="AH469" s="124">
        <f>iferror(IF(SUM($BG469:$BI469)=0,"",SUM($BG469:$BI469)),"")</f>
        <v/>
      </c>
      <c r="AI469" s="131" t="n"/>
      <c r="AJ469" s="132" t="n"/>
      <c r="AK469" s="132" t="n"/>
      <c r="AL469" s="132" t="n"/>
      <c r="AM469" s="132" t="n"/>
      <c r="AN469" s="132" t="n"/>
      <c r="AO469" s="132" t="n"/>
      <c r="AP469" s="132" t="n"/>
      <c r="AQ469" s="132" t="n"/>
      <c r="AR469" s="132" t="n"/>
      <c r="AS469" s="132" t="n"/>
      <c r="AT469" s="132" t="n"/>
      <c r="AU469" s="132" t="n"/>
      <c r="AV469" s="132" t="n"/>
      <c r="AW469" s="132" t="n"/>
      <c r="AX469" s="132" t="n"/>
      <c r="AY469" s="132" t="n"/>
      <c r="AZ469" s="133" t="n"/>
      <c r="BA469" s="131" t="n"/>
      <c r="BB469" s="132" t="n"/>
      <c r="BC469" s="133" t="n"/>
      <c r="BD469" s="131" t="n"/>
      <c r="BE469" s="132" t="n"/>
      <c r="BF469" s="133" t="n"/>
      <c r="BG469" s="131" t="n"/>
      <c r="BH469" s="132" t="n"/>
      <c r="BI469" s="132" t="n"/>
      <c r="BJ469" s="128">
        <f>iferror(SUM($BK469,($BL469*1.2),($BM469*1.35),($BN469*0.74)),)</f>
        <v/>
      </c>
      <c r="BK469" s="128">
        <f>IFERROR(SUM($BT469:$CK469),)</f>
        <v/>
      </c>
      <c r="BL469" s="129">
        <f>IFERROR(SUM($CL469:$CN469),)</f>
        <v/>
      </c>
      <c r="BM469" s="130">
        <f>IFERROR(SUM($CO469:$CQ469),)</f>
        <v/>
      </c>
      <c r="BN469" s="128">
        <f>IFERROR(SUM($CR469:$CT469),)</f>
        <v/>
      </c>
      <c r="BO469" s="128">
        <f>iferror(SUM($BP469,($BQ469*1.2),($BR469*1.35),($BS469*0.74)),)</f>
        <v/>
      </c>
      <c r="BP469" s="128">
        <f>IFERROR(SUM($CU469:$DL469),)</f>
        <v/>
      </c>
      <c r="BQ469" s="128">
        <f>IFERROR(SUM($DM469:$DO469),)</f>
        <v/>
      </c>
      <c r="BR469" s="128">
        <f>IFERROR(SUM($DP469:$DR469),)</f>
        <v/>
      </c>
      <c r="BS469" s="128">
        <f>IFERROR(SUM($DS469:$DU469),)</f>
        <v/>
      </c>
      <c r="BT469" s="128">
        <f>IFERROR(AI469*$W469,)</f>
        <v/>
      </c>
      <c r="BU469" s="128">
        <f>IFERROR(AJ469*$W469,)</f>
        <v/>
      </c>
      <c r="BV469" s="128">
        <f>IFERROR(AK469*$W469,)</f>
        <v/>
      </c>
      <c r="BW469" s="128">
        <f>IFERROR(AL469*$W469,)</f>
        <v/>
      </c>
      <c r="BX469" s="128">
        <f>IFERROR(AM469*$W469,)</f>
        <v/>
      </c>
      <c r="BY469" s="128">
        <f>IFERROR(AN469*$W469,)</f>
        <v/>
      </c>
      <c r="BZ469" s="128">
        <f>IFERROR(AO469*$W469,)</f>
        <v/>
      </c>
      <c r="CA469" s="128">
        <f>IFERROR(AP469*$W469,)</f>
        <v/>
      </c>
      <c r="CB469" s="128">
        <f>IFERROR(AQ469*$W469,)</f>
        <v/>
      </c>
      <c r="CC469" s="128">
        <f>IFERROR(AR469*$W469,)</f>
        <v/>
      </c>
      <c r="CD469" s="128">
        <f>IFERROR(AS469*$W469,)</f>
        <v/>
      </c>
      <c r="CE469" s="128">
        <f>IFERROR(AT469*$W469,)</f>
        <v/>
      </c>
      <c r="CF469" s="128">
        <f>IFERROR(AU469*$W469,)</f>
        <v/>
      </c>
      <c r="CG469" s="128">
        <f>IFERROR(AV469*$W469,)</f>
        <v/>
      </c>
      <c r="CH469" s="128">
        <f>IFERROR(AW469*$W469,)</f>
        <v/>
      </c>
      <c r="CI469" s="128">
        <f>IFERROR(AX469*$W469,)</f>
        <v/>
      </c>
      <c r="CJ469" s="128">
        <f>IFERROR(AY469*$W469,)</f>
        <v/>
      </c>
      <c r="CK469" s="128">
        <f>IFERROR(AZ469*$W469,)</f>
        <v/>
      </c>
      <c r="CL469" s="129">
        <f>IFERROR(if($Y469=0,BA469*($W469/1.2),BA469*$Y469),"")</f>
        <v/>
      </c>
      <c r="CM469" s="129">
        <f>IFERROR(if($Y469=0,BB469*($W469/1.2),BB469*$Y469),"")</f>
        <v/>
      </c>
      <c r="CN469" s="129">
        <f>IFERROR(if($Y469=0,BC469*($W469/1.2),BC469*$Y469),"")</f>
        <v/>
      </c>
      <c r="CO469" s="130">
        <f>IFERROR(if($AA469=0,($W469/1.35)*BD469,BD469*$AA469),)</f>
        <v/>
      </c>
      <c r="CP469" s="130">
        <f>IFERROR(if($AA469=0,($W469/1.35)*BE469,BE469*$AA469),)</f>
        <v/>
      </c>
      <c r="CQ469" s="130">
        <f>IFERROR(if($AA469=0,($W469/1.35)*BF469,BF469*$AA469),)</f>
        <v/>
      </c>
      <c r="CR469" s="128">
        <f>IFERROR(if($AC469=0,($W469/0.74)*BG469,
BG469*$AC469),)</f>
        <v/>
      </c>
      <c r="CS469" s="128">
        <f>IFERROR(if($AC469=0,($W469/0.74)*BH469,
BH469*$AC469),)</f>
        <v/>
      </c>
      <c r="CT469" s="128">
        <f>IFERROR(if($AC469=0,($W469/0.74)*BI469,
BI469*$AC469),)</f>
        <v/>
      </c>
      <c r="CU469" s="128">
        <f>IFERROR(AI469*$V469,)</f>
        <v/>
      </c>
      <c r="CV469" s="128">
        <f>IFERROR(AJ469*$V469,)</f>
        <v/>
      </c>
      <c r="CW469" s="128">
        <f>IFERROR(AK469*$V469,)</f>
        <v/>
      </c>
      <c r="CX469" s="128">
        <f>IFERROR(AL469*$V469,)</f>
        <v/>
      </c>
      <c r="CY469" s="128">
        <f>IFERROR(AM469*$V469,)</f>
        <v/>
      </c>
      <c r="CZ469" s="128">
        <f>IFERROR(AN469*$V469,)</f>
        <v/>
      </c>
      <c r="DA469" s="128">
        <f>IFERROR(AO469*$V469,)</f>
        <v/>
      </c>
      <c r="DB469" s="128">
        <f>IFERROR(AP469*$V469,)</f>
        <v/>
      </c>
      <c r="DC469" s="128">
        <f>IFERROR(AQ469*$V469,)</f>
        <v/>
      </c>
      <c r="DD469" s="128">
        <f>IFERROR(AR469*$V469,)</f>
        <v/>
      </c>
      <c r="DE469" s="128">
        <f>IFERROR(AS469*$V469,)</f>
        <v/>
      </c>
      <c r="DF469" s="128">
        <f>IFERROR(AT469*$V469,)</f>
        <v/>
      </c>
      <c r="DG469" s="128">
        <f>IFERROR(AU469*$V469,)</f>
        <v/>
      </c>
      <c r="DH469" s="128">
        <f>IFERROR(AV469*$V469,)</f>
        <v/>
      </c>
      <c r="DI469" s="128">
        <f>IFERROR(AW469*$V469,)</f>
        <v/>
      </c>
      <c r="DJ469" s="128">
        <f>IFERROR(AX469*$V469,)</f>
        <v/>
      </c>
      <c r="DK469" s="128">
        <f>IFERROR(AY469*$V469,)</f>
        <v/>
      </c>
      <c r="DL469" s="128">
        <f>IFERROR(AZ469*$V469,)</f>
        <v/>
      </c>
      <c r="DM469" s="129">
        <f>IFERROR(if($X469=0,($V469/1.2)*BA469,
BA469*$X469),)</f>
        <v/>
      </c>
      <c r="DN469" s="129">
        <f>IFERROR(if($X469=0,($V469/1.2)*BB469,
BB469*$X469),)</f>
        <v/>
      </c>
      <c r="DO469" s="129">
        <f>IFERROR(if($X469=0,($V469/1.2)*BC469,
BC469*$X469),)</f>
        <v/>
      </c>
      <c r="DP469" s="130">
        <f>IFERROR(if($Z469=0,($V469/1.35)*BD469,
BD469*$Z469),)</f>
        <v/>
      </c>
      <c r="DQ469" s="130">
        <f>IFERROR(if($Z469=0,($V469/1.35)*BE469,
BE469*$Z469),)</f>
        <v/>
      </c>
      <c r="DR469" s="130">
        <f>IFERROR(if($Z469=0,($V469/1.35)*BF469,
BF469*$Z469),)</f>
        <v/>
      </c>
      <c r="DS469" s="128">
        <f>IFERROR(IF($AB469=0,($V469/0.74)*BG469,
BG469*$AB469),)</f>
        <v/>
      </c>
      <c r="DT469" s="128">
        <f>IFERROR(IF($AB469=0,($V469/0.74)*BH469,
BH469*$AB469),)</f>
        <v/>
      </c>
      <c r="DU469" s="128">
        <f>IFERROR(IF($AB469=0,($V469/0.74)*BI469,
BI469*$AB469),)</f>
        <v/>
      </c>
    </row>
    <row r="470" ht="131.25" customHeight="1" s="162">
      <c r="A470" s="115" t="n"/>
      <c r="B470" s="115" t="n"/>
      <c r="C470" s="115" t="n"/>
      <c r="D470" s="115" t="n"/>
      <c r="E470" s="115" t="n"/>
      <c r="F470" s="115" t="n"/>
      <c r="G470" s="115" t="n"/>
      <c r="H470" s="115" t="n"/>
      <c r="I470" s="115" t="n"/>
      <c r="J470" s="115" t="n"/>
      <c r="K470" s="115" t="n"/>
      <c r="L470" s="115" t="n"/>
      <c r="M470" s="115" t="n"/>
      <c r="N470" s="115" t="n"/>
      <c r="O470" s="115" t="n"/>
      <c r="P470" s="115" t="n"/>
      <c r="Q470" s="115" t="n"/>
      <c r="R470" s="115" t="n"/>
      <c r="S470" s="115" t="n"/>
      <c r="T470" s="115" t="n"/>
      <c r="U470" s="116" t="n"/>
      <c r="V470" s="116" t="n"/>
      <c r="W470" s="117" t="n"/>
      <c r="X470" s="118" t="n"/>
      <c r="Y470" s="119" t="n"/>
      <c r="Z470" s="120" t="n"/>
      <c r="AA470" s="121" t="n"/>
      <c r="AB470" s="122" t="n"/>
      <c r="AC470" s="117" t="n"/>
      <c r="AD470" s="123">
        <f>IF(SUM($AE470:$AH470)=0,"",SUM($AE470:$AH470))</f>
        <v/>
      </c>
      <c r="AE470" s="123">
        <f>iferror(IF(SUM($AI470:$AZ470)=0,"",SUM($AI470:$AZ470)),"")</f>
        <v/>
      </c>
      <c r="AF470" s="123">
        <f>iferror(IF(SUM($BA470:$BC470)=0,"",SUM($BA470:$BC470)),"")</f>
        <v/>
      </c>
      <c r="AG470" s="123">
        <f>iferror(IF(SUM($BD470:$BF470)=0,"",SUM($BD470:$BF470)),"")</f>
        <v/>
      </c>
      <c r="AH470" s="124">
        <f>iferror(IF(SUM($BG470:$BI470)=0,"",SUM($BG470:$BI470)),"")</f>
        <v/>
      </c>
      <c r="AI470" s="131" t="n"/>
      <c r="AJ470" s="132" t="n"/>
      <c r="AK470" s="132" t="n"/>
      <c r="AL470" s="132" t="n"/>
      <c r="AM470" s="132" t="n"/>
      <c r="AN470" s="132" t="n"/>
      <c r="AO470" s="132" t="n"/>
      <c r="AP470" s="132" t="n"/>
      <c r="AQ470" s="132" t="n"/>
      <c r="AR470" s="132" t="n"/>
      <c r="AS470" s="132" t="n"/>
      <c r="AT470" s="132" t="n"/>
      <c r="AU470" s="132" t="n"/>
      <c r="AV470" s="132" t="n"/>
      <c r="AW470" s="132" t="n"/>
      <c r="AX470" s="132" t="n"/>
      <c r="AY470" s="132" t="n"/>
      <c r="AZ470" s="133" t="n"/>
      <c r="BA470" s="131" t="n"/>
      <c r="BB470" s="132" t="n"/>
      <c r="BC470" s="133" t="n"/>
      <c r="BD470" s="131" t="n"/>
      <c r="BE470" s="132" t="n"/>
      <c r="BF470" s="133" t="n"/>
      <c r="BG470" s="131" t="n"/>
      <c r="BH470" s="132" t="n"/>
      <c r="BI470" s="132" t="n"/>
      <c r="BJ470" s="128">
        <f>iferror(SUM($BK470,($BL470*1.2),($BM470*1.35),($BN470*0.74)),)</f>
        <v/>
      </c>
      <c r="BK470" s="128">
        <f>IFERROR(SUM($BT470:$CK470),)</f>
        <v/>
      </c>
      <c r="BL470" s="129">
        <f>IFERROR(SUM($CL470:$CN470),)</f>
        <v/>
      </c>
      <c r="BM470" s="130">
        <f>IFERROR(SUM($CO470:$CQ470),)</f>
        <v/>
      </c>
      <c r="BN470" s="128">
        <f>IFERROR(SUM($CR470:$CT470),)</f>
        <v/>
      </c>
      <c r="BO470" s="128">
        <f>iferror(SUM($BP470,($BQ470*1.2),($BR470*1.35),($BS470*0.74)),)</f>
        <v/>
      </c>
      <c r="BP470" s="128">
        <f>IFERROR(SUM($CU470:$DL470),)</f>
        <v/>
      </c>
      <c r="BQ470" s="128">
        <f>IFERROR(SUM($DM470:$DO470),)</f>
        <v/>
      </c>
      <c r="BR470" s="128">
        <f>IFERROR(SUM($DP470:$DR470),)</f>
        <v/>
      </c>
      <c r="BS470" s="128">
        <f>IFERROR(SUM($DS470:$DU470),)</f>
        <v/>
      </c>
      <c r="BT470" s="128">
        <f>IFERROR(AI470*$W470,)</f>
        <v/>
      </c>
      <c r="BU470" s="128">
        <f>IFERROR(AJ470*$W470,)</f>
        <v/>
      </c>
      <c r="BV470" s="128">
        <f>IFERROR(AK470*$W470,)</f>
        <v/>
      </c>
      <c r="BW470" s="128">
        <f>IFERROR(AL470*$W470,)</f>
        <v/>
      </c>
      <c r="BX470" s="128">
        <f>IFERROR(AM470*$W470,)</f>
        <v/>
      </c>
      <c r="BY470" s="128">
        <f>IFERROR(AN470*$W470,)</f>
        <v/>
      </c>
      <c r="BZ470" s="128">
        <f>IFERROR(AO470*$W470,)</f>
        <v/>
      </c>
      <c r="CA470" s="128">
        <f>IFERROR(AP470*$W470,)</f>
        <v/>
      </c>
      <c r="CB470" s="128">
        <f>IFERROR(AQ470*$W470,)</f>
        <v/>
      </c>
      <c r="CC470" s="128">
        <f>IFERROR(AR470*$W470,)</f>
        <v/>
      </c>
      <c r="CD470" s="128">
        <f>IFERROR(AS470*$W470,)</f>
        <v/>
      </c>
      <c r="CE470" s="128">
        <f>IFERROR(AT470*$W470,)</f>
        <v/>
      </c>
      <c r="CF470" s="128">
        <f>IFERROR(AU470*$W470,)</f>
        <v/>
      </c>
      <c r="CG470" s="128">
        <f>IFERROR(AV470*$W470,)</f>
        <v/>
      </c>
      <c r="CH470" s="128">
        <f>IFERROR(AW470*$W470,)</f>
        <v/>
      </c>
      <c r="CI470" s="128">
        <f>IFERROR(AX470*$W470,)</f>
        <v/>
      </c>
      <c r="CJ470" s="128">
        <f>IFERROR(AY470*$W470,)</f>
        <v/>
      </c>
      <c r="CK470" s="128">
        <f>IFERROR(AZ470*$W470,)</f>
        <v/>
      </c>
      <c r="CL470" s="129">
        <f>IFERROR(if($Y470=0,BA470*($W470/1.2),BA470*$Y470),"")</f>
        <v/>
      </c>
      <c r="CM470" s="129">
        <f>IFERROR(if($Y470=0,BB470*($W470/1.2),BB470*$Y470),"")</f>
        <v/>
      </c>
      <c r="CN470" s="129">
        <f>IFERROR(if($Y470=0,BC470*($W470/1.2),BC470*$Y470),"")</f>
        <v/>
      </c>
      <c r="CO470" s="130">
        <f>IFERROR(if($AA470=0,($W470/1.35)*BD470,BD470*$AA470),)</f>
        <v/>
      </c>
      <c r="CP470" s="130">
        <f>IFERROR(if($AA470=0,($W470/1.35)*BE470,BE470*$AA470),)</f>
        <v/>
      </c>
      <c r="CQ470" s="130">
        <f>IFERROR(if($AA470=0,($W470/1.35)*BF470,BF470*$AA470),)</f>
        <v/>
      </c>
      <c r="CR470" s="128">
        <f>IFERROR(if($AC470=0,($W470/0.74)*BG470,
BG470*$AC470),)</f>
        <v/>
      </c>
      <c r="CS470" s="128">
        <f>IFERROR(if($AC470=0,($W470/0.74)*BH470,
BH470*$AC470),)</f>
        <v/>
      </c>
      <c r="CT470" s="128">
        <f>IFERROR(if($AC470=0,($W470/0.74)*BI470,
BI470*$AC470),)</f>
        <v/>
      </c>
      <c r="CU470" s="128">
        <f>IFERROR(AI470*$V470,)</f>
        <v/>
      </c>
      <c r="CV470" s="128">
        <f>IFERROR(AJ470*$V470,)</f>
        <v/>
      </c>
      <c r="CW470" s="128">
        <f>IFERROR(AK470*$V470,)</f>
        <v/>
      </c>
      <c r="CX470" s="128">
        <f>IFERROR(AL470*$V470,)</f>
        <v/>
      </c>
      <c r="CY470" s="128">
        <f>IFERROR(AM470*$V470,)</f>
        <v/>
      </c>
      <c r="CZ470" s="128">
        <f>IFERROR(AN470*$V470,)</f>
        <v/>
      </c>
      <c r="DA470" s="128">
        <f>IFERROR(AO470*$V470,)</f>
        <v/>
      </c>
      <c r="DB470" s="128">
        <f>IFERROR(AP470*$V470,)</f>
        <v/>
      </c>
      <c r="DC470" s="128">
        <f>IFERROR(AQ470*$V470,)</f>
        <v/>
      </c>
      <c r="DD470" s="128">
        <f>IFERROR(AR470*$V470,)</f>
        <v/>
      </c>
      <c r="DE470" s="128">
        <f>IFERROR(AS470*$V470,)</f>
        <v/>
      </c>
      <c r="DF470" s="128">
        <f>IFERROR(AT470*$V470,)</f>
        <v/>
      </c>
      <c r="DG470" s="128">
        <f>IFERROR(AU470*$V470,)</f>
        <v/>
      </c>
      <c r="DH470" s="128">
        <f>IFERROR(AV470*$V470,)</f>
        <v/>
      </c>
      <c r="DI470" s="128">
        <f>IFERROR(AW470*$V470,)</f>
        <v/>
      </c>
      <c r="DJ470" s="128">
        <f>IFERROR(AX470*$V470,)</f>
        <v/>
      </c>
      <c r="DK470" s="128">
        <f>IFERROR(AY470*$V470,)</f>
        <v/>
      </c>
      <c r="DL470" s="128">
        <f>IFERROR(AZ470*$V470,)</f>
        <v/>
      </c>
      <c r="DM470" s="129">
        <f>IFERROR(if($X470=0,($V470/1.2)*BA470,
BA470*$X470),)</f>
        <v/>
      </c>
      <c r="DN470" s="129">
        <f>IFERROR(if($X470=0,($V470/1.2)*BB470,
BB470*$X470),)</f>
        <v/>
      </c>
      <c r="DO470" s="129">
        <f>IFERROR(if($X470=0,($V470/1.2)*BC470,
BC470*$X470),)</f>
        <v/>
      </c>
      <c r="DP470" s="130">
        <f>IFERROR(if($Z470=0,($V470/1.35)*BD470,
BD470*$Z470),)</f>
        <v/>
      </c>
      <c r="DQ470" s="130">
        <f>IFERROR(if($Z470=0,($V470/1.35)*BE470,
BE470*$Z470),)</f>
        <v/>
      </c>
      <c r="DR470" s="130">
        <f>IFERROR(if($Z470=0,($V470/1.35)*BF470,
BF470*$Z470),)</f>
        <v/>
      </c>
      <c r="DS470" s="128">
        <f>IFERROR(IF($AB470=0,($V470/0.74)*BG470,
BG470*$AB470),)</f>
        <v/>
      </c>
      <c r="DT470" s="128">
        <f>IFERROR(IF($AB470=0,($V470/0.74)*BH470,
BH470*$AB470),)</f>
        <v/>
      </c>
      <c r="DU470" s="128">
        <f>IFERROR(IF($AB470=0,($V470/0.74)*BI470,
BI470*$AB470),)</f>
        <v/>
      </c>
    </row>
    <row r="471" ht="131.25" customHeight="1" s="162">
      <c r="A471" s="115" t="n"/>
      <c r="B471" s="115" t="n"/>
      <c r="C471" s="115" t="n"/>
      <c r="D471" s="115" t="n"/>
      <c r="E471" s="115" t="n"/>
      <c r="F471" s="115" t="n"/>
      <c r="G471" s="115" t="n"/>
      <c r="H471" s="115" t="n"/>
      <c r="I471" s="115" t="n"/>
      <c r="J471" s="115" t="n"/>
      <c r="K471" s="115" t="n"/>
      <c r="L471" s="115" t="n"/>
      <c r="M471" s="115" t="n"/>
      <c r="N471" s="115" t="n"/>
      <c r="O471" s="115" t="n"/>
      <c r="P471" s="115" t="n"/>
      <c r="Q471" s="115" t="n"/>
      <c r="R471" s="115" t="n"/>
      <c r="S471" s="115" t="n"/>
      <c r="T471" s="115" t="n"/>
      <c r="U471" s="116" t="n"/>
      <c r="V471" s="116" t="n"/>
      <c r="W471" s="117" t="n"/>
      <c r="X471" s="118" t="n"/>
      <c r="Y471" s="119" t="n"/>
      <c r="Z471" s="120" t="n"/>
      <c r="AA471" s="121" t="n"/>
      <c r="AB471" s="122" t="n"/>
      <c r="AC471" s="117" t="n"/>
      <c r="AD471" s="123">
        <f>IF(SUM($AE471:$AH471)=0,"",SUM($AE471:$AH471))</f>
        <v/>
      </c>
      <c r="AE471" s="123">
        <f>iferror(IF(SUM($AI471:$AZ471)=0,"",SUM($AI471:$AZ471)),"")</f>
        <v/>
      </c>
      <c r="AF471" s="123">
        <f>iferror(IF(SUM($BA471:$BC471)=0,"",SUM($BA471:$BC471)),"")</f>
        <v/>
      </c>
      <c r="AG471" s="123">
        <f>iferror(IF(SUM($BD471:$BF471)=0,"",SUM($BD471:$BF471)),"")</f>
        <v/>
      </c>
      <c r="AH471" s="124">
        <f>iferror(IF(SUM($BG471:$BI471)=0,"",SUM($BG471:$BI471)),"")</f>
        <v/>
      </c>
      <c r="AI471" s="131" t="n"/>
      <c r="AJ471" s="132" t="n"/>
      <c r="AK471" s="132" t="n"/>
      <c r="AL471" s="132" t="n"/>
      <c r="AM471" s="132" t="n"/>
      <c r="AN471" s="132" t="n"/>
      <c r="AO471" s="132" t="n"/>
      <c r="AP471" s="132" t="n"/>
      <c r="AQ471" s="132" t="n"/>
      <c r="AR471" s="132" t="n"/>
      <c r="AS471" s="132" t="n"/>
      <c r="AT471" s="132" t="n"/>
      <c r="AU471" s="132" t="n"/>
      <c r="AV471" s="132" t="n"/>
      <c r="AW471" s="132" t="n"/>
      <c r="AX471" s="132" t="n"/>
      <c r="AY471" s="132" t="n"/>
      <c r="AZ471" s="133" t="n"/>
      <c r="BA471" s="131" t="n"/>
      <c r="BB471" s="132" t="n"/>
      <c r="BC471" s="133" t="n"/>
      <c r="BD471" s="131" t="n"/>
      <c r="BE471" s="132" t="n"/>
      <c r="BF471" s="133" t="n"/>
      <c r="BG471" s="131" t="n"/>
      <c r="BH471" s="132" t="n"/>
      <c r="BI471" s="132" t="n"/>
      <c r="BJ471" s="128">
        <f>iferror(SUM($BK471,($BL471*1.2),($BM471*1.35),($BN471*0.74)),)</f>
        <v/>
      </c>
      <c r="BK471" s="128">
        <f>IFERROR(SUM($BT471:$CK471),)</f>
        <v/>
      </c>
      <c r="BL471" s="129">
        <f>IFERROR(SUM($CL471:$CN471),)</f>
        <v/>
      </c>
      <c r="BM471" s="130">
        <f>IFERROR(SUM($CO471:$CQ471),)</f>
        <v/>
      </c>
      <c r="BN471" s="128">
        <f>IFERROR(SUM($CR471:$CT471),)</f>
        <v/>
      </c>
      <c r="BO471" s="128">
        <f>iferror(SUM($BP471,($BQ471*1.2),($BR471*1.35),($BS471*0.74)),)</f>
        <v/>
      </c>
      <c r="BP471" s="128">
        <f>IFERROR(SUM($CU471:$DL471),)</f>
        <v/>
      </c>
      <c r="BQ471" s="128">
        <f>IFERROR(SUM($DM471:$DO471),)</f>
        <v/>
      </c>
      <c r="BR471" s="128">
        <f>IFERROR(SUM($DP471:$DR471),)</f>
        <v/>
      </c>
      <c r="BS471" s="128">
        <f>IFERROR(SUM($DS471:$DU471),)</f>
        <v/>
      </c>
      <c r="BT471" s="128">
        <f>IFERROR(AI471*$W471,)</f>
        <v/>
      </c>
      <c r="BU471" s="128">
        <f>IFERROR(AJ471*$W471,)</f>
        <v/>
      </c>
      <c r="BV471" s="128">
        <f>IFERROR(AK471*$W471,)</f>
        <v/>
      </c>
      <c r="BW471" s="128">
        <f>IFERROR(AL471*$W471,)</f>
        <v/>
      </c>
      <c r="BX471" s="128">
        <f>IFERROR(AM471*$W471,)</f>
        <v/>
      </c>
      <c r="BY471" s="128">
        <f>IFERROR(AN471*$W471,)</f>
        <v/>
      </c>
      <c r="BZ471" s="128">
        <f>IFERROR(AO471*$W471,)</f>
        <v/>
      </c>
      <c r="CA471" s="128">
        <f>IFERROR(AP471*$W471,)</f>
        <v/>
      </c>
      <c r="CB471" s="128">
        <f>IFERROR(AQ471*$W471,)</f>
        <v/>
      </c>
      <c r="CC471" s="128">
        <f>IFERROR(AR471*$W471,)</f>
        <v/>
      </c>
      <c r="CD471" s="128">
        <f>IFERROR(AS471*$W471,)</f>
        <v/>
      </c>
      <c r="CE471" s="128">
        <f>IFERROR(AT471*$W471,)</f>
        <v/>
      </c>
      <c r="CF471" s="128">
        <f>IFERROR(AU471*$W471,)</f>
        <v/>
      </c>
      <c r="CG471" s="128">
        <f>IFERROR(AV471*$W471,)</f>
        <v/>
      </c>
      <c r="CH471" s="128">
        <f>IFERROR(AW471*$W471,)</f>
        <v/>
      </c>
      <c r="CI471" s="128">
        <f>IFERROR(AX471*$W471,)</f>
        <v/>
      </c>
      <c r="CJ471" s="128">
        <f>IFERROR(AY471*$W471,)</f>
        <v/>
      </c>
      <c r="CK471" s="128">
        <f>IFERROR(AZ471*$W471,)</f>
        <v/>
      </c>
      <c r="CL471" s="129">
        <f>IFERROR(if($Y471=0,BA471*($W471/1.2),BA471*$Y471),"")</f>
        <v/>
      </c>
      <c r="CM471" s="129">
        <f>IFERROR(if($Y471=0,BB471*($W471/1.2),BB471*$Y471),"")</f>
        <v/>
      </c>
      <c r="CN471" s="129">
        <f>IFERROR(if($Y471=0,BC471*($W471/1.2),BC471*$Y471),"")</f>
        <v/>
      </c>
      <c r="CO471" s="130">
        <f>IFERROR(if($AA471=0,($W471/1.35)*BD471,BD471*$AA471),)</f>
        <v/>
      </c>
      <c r="CP471" s="130">
        <f>IFERROR(if($AA471=0,($W471/1.35)*BE471,BE471*$AA471),)</f>
        <v/>
      </c>
      <c r="CQ471" s="130">
        <f>IFERROR(if($AA471=0,($W471/1.35)*BF471,BF471*$AA471),)</f>
        <v/>
      </c>
      <c r="CR471" s="128">
        <f>IFERROR(if($AC471=0,($W471/0.74)*BG471,
BG471*$AC471),)</f>
        <v/>
      </c>
      <c r="CS471" s="128">
        <f>IFERROR(if($AC471=0,($W471/0.74)*BH471,
BH471*$AC471),)</f>
        <v/>
      </c>
      <c r="CT471" s="128">
        <f>IFERROR(if($AC471=0,($W471/0.74)*BI471,
BI471*$AC471),)</f>
        <v/>
      </c>
      <c r="CU471" s="128">
        <f>IFERROR(AI471*$V471,)</f>
        <v/>
      </c>
      <c r="CV471" s="128">
        <f>IFERROR(AJ471*$V471,)</f>
        <v/>
      </c>
      <c r="CW471" s="128">
        <f>IFERROR(AK471*$V471,)</f>
        <v/>
      </c>
      <c r="CX471" s="128">
        <f>IFERROR(AL471*$V471,)</f>
        <v/>
      </c>
      <c r="CY471" s="128">
        <f>IFERROR(AM471*$V471,)</f>
        <v/>
      </c>
      <c r="CZ471" s="128">
        <f>IFERROR(AN471*$V471,)</f>
        <v/>
      </c>
      <c r="DA471" s="128">
        <f>IFERROR(AO471*$V471,)</f>
        <v/>
      </c>
      <c r="DB471" s="128">
        <f>IFERROR(AP471*$V471,)</f>
        <v/>
      </c>
      <c r="DC471" s="128">
        <f>IFERROR(AQ471*$V471,)</f>
        <v/>
      </c>
      <c r="DD471" s="128">
        <f>IFERROR(AR471*$V471,)</f>
        <v/>
      </c>
      <c r="DE471" s="128">
        <f>IFERROR(AS471*$V471,)</f>
        <v/>
      </c>
      <c r="DF471" s="128">
        <f>IFERROR(AT471*$V471,)</f>
        <v/>
      </c>
      <c r="DG471" s="128">
        <f>IFERROR(AU471*$V471,)</f>
        <v/>
      </c>
      <c r="DH471" s="128">
        <f>IFERROR(AV471*$V471,)</f>
        <v/>
      </c>
      <c r="DI471" s="128">
        <f>IFERROR(AW471*$V471,)</f>
        <v/>
      </c>
      <c r="DJ471" s="128">
        <f>IFERROR(AX471*$V471,)</f>
        <v/>
      </c>
      <c r="DK471" s="128">
        <f>IFERROR(AY471*$V471,)</f>
        <v/>
      </c>
      <c r="DL471" s="128">
        <f>IFERROR(AZ471*$V471,)</f>
        <v/>
      </c>
      <c r="DM471" s="129">
        <f>IFERROR(if($X471=0,($V471/1.2)*BA471,
BA471*$X471),)</f>
        <v/>
      </c>
      <c r="DN471" s="129">
        <f>IFERROR(if($X471=0,($V471/1.2)*BB471,
BB471*$X471),)</f>
        <v/>
      </c>
      <c r="DO471" s="129">
        <f>IFERROR(if($X471=0,($V471/1.2)*BC471,
BC471*$X471),)</f>
        <v/>
      </c>
      <c r="DP471" s="130">
        <f>IFERROR(if($Z471=0,($V471/1.35)*BD471,
BD471*$Z471),)</f>
        <v/>
      </c>
      <c r="DQ471" s="130">
        <f>IFERROR(if($Z471=0,($V471/1.35)*BE471,
BE471*$Z471),)</f>
        <v/>
      </c>
      <c r="DR471" s="130">
        <f>IFERROR(if($Z471=0,($V471/1.35)*BF471,
BF471*$Z471),)</f>
        <v/>
      </c>
      <c r="DS471" s="128">
        <f>IFERROR(IF($AB471=0,($V471/0.74)*BG471,
BG471*$AB471),)</f>
        <v/>
      </c>
      <c r="DT471" s="128">
        <f>IFERROR(IF($AB471=0,($V471/0.74)*BH471,
BH471*$AB471),)</f>
        <v/>
      </c>
      <c r="DU471" s="128">
        <f>IFERROR(IF($AB471=0,($V471/0.74)*BI471,
BI471*$AB471),)</f>
        <v/>
      </c>
    </row>
    <row r="472" ht="131.25" customHeight="1" s="162">
      <c r="A472" s="115" t="n"/>
      <c r="B472" s="115" t="n"/>
      <c r="C472" s="115" t="n"/>
      <c r="D472" s="115" t="n"/>
      <c r="E472" s="115" t="n"/>
      <c r="F472" s="115" t="n"/>
      <c r="G472" s="115" t="n"/>
      <c r="H472" s="115" t="n"/>
      <c r="I472" s="115" t="n"/>
      <c r="J472" s="115" t="n"/>
      <c r="K472" s="115" t="n"/>
      <c r="L472" s="115" t="n"/>
      <c r="M472" s="115" t="n"/>
      <c r="N472" s="115" t="n"/>
      <c r="O472" s="115" t="n"/>
      <c r="P472" s="115" t="n"/>
      <c r="Q472" s="115" t="n"/>
      <c r="R472" s="115" t="n"/>
      <c r="S472" s="115" t="n"/>
      <c r="T472" s="115" t="n"/>
      <c r="U472" s="116" t="n"/>
      <c r="V472" s="116" t="n"/>
      <c r="W472" s="117" t="n"/>
      <c r="X472" s="118" t="n"/>
      <c r="Y472" s="119" t="n"/>
      <c r="Z472" s="120" t="n"/>
      <c r="AA472" s="121" t="n"/>
      <c r="AB472" s="122" t="n"/>
      <c r="AC472" s="117" t="n"/>
      <c r="AD472" s="123">
        <f>IF(SUM($AE472:$AH472)=0,"",SUM($AE472:$AH472))</f>
        <v/>
      </c>
      <c r="AE472" s="123">
        <f>iferror(IF(SUM($AI472:$AZ472)=0,"",SUM($AI472:$AZ472)),"")</f>
        <v/>
      </c>
      <c r="AF472" s="123">
        <f>iferror(IF(SUM($BA472:$BC472)=0,"",SUM($BA472:$BC472)),"")</f>
        <v/>
      </c>
      <c r="AG472" s="123">
        <f>iferror(IF(SUM($BD472:$BF472)=0,"",SUM($BD472:$BF472)),"")</f>
        <v/>
      </c>
      <c r="AH472" s="124">
        <f>iferror(IF(SUM($BG472:$BI472)=0,"",SUM($BG472:$BI472)),"")</f>
        <v/>
      </c>
      <c r="AI472" s="131" t="n"/>
      <c r="AJ472" s="132" t="n"/>
      <c r="AK472" s="132" t="n"/>
      <c r="AL472" s="132" t="n"/>
      <c r="AM472" s="132" t="n"/>
      <c r="AN472" s="132" t="n"/>
      <c r="AO472" s="132" t="n"/>
      <c r="AP472" s="132" t="n"/>
      <c r="AQ472" s="132" t="n"/>
      <c r="AR472" s="132" t="n"/>
      <c r="AS472" s="132" t="n"/>
      <c r="AT472" s="132" t="n"/>
      <c r="AU472" s="132" t="n"/>
      <c r="AV472" s="132" t="n"/>
      <c r="AW472" s="132" t="n"/>
      <c r="AX472" s="132" t="n"/>
      <c r="AY472" s="132" t="n"/>
      <c r="AZ472" s="133" t="n"/>
      <c r="BA472" s="131" t="n"/>
      <c r="BB472" s="132" t="n"/>
      <c r="BC472" s="133" t="n"/>
      <c r="BD472" s="131" t="n"/>
      <c r="BE472" s="132" t="n"/>
      <c r="BF472" s="133" t="n"/>
      <c r="BG472" s="131" t="n"/>
      <c r="BH472" s="132" t="n"/>
      <c r="BI472" s="132" t="n"/>
      <c r="BJ472" s="128">
        <f>iferror(SUM($BK472,($BL472*1.2),($BM472*1.35),($BN472*0.74)),)</f>
        <v/>
      </c>
      <c r="BK472" s="128">
        <f>IFERROR(SUM($BT472:$CK472),)</f>
        <v/>
      </c>
      <c r="BL472" s="129">
        <f>IFERROR(SUM($CL472:$CN472),)</f>
        <v/>
      </c>
      <c r="BM472" s="130">
        <f>IFERROR(SUM($CO472:$CQ472),)</f>
        <v/>
      </c>
      <c r="BN472" s="128">
        <f>IFERROR(SUM($CR472:$CT472),)</f>
        <v/>
      </c>
      <c r="BO472" s="128">
        <f>iferror(SUM($BP472,($BQ472*1.2),($BR472*1.35),($BS472*0.74)),)</f>
        <v/>
      </c>
      <c r="BP472" s="128">
        <f>IFERROR(SUM($CU472:$DL472),)</f>
        <v/>
      </c>
      <c r="BQ472" s="128">
        <f>IFERROR(SUM($DM472:$DO472),)</f>
        <v/>
      </c>
      <c r="BR472" s="128">
        <f>IFERROR(SUM($DP472:$DR472),)</f>
        <v/>
      </c>
      <c r="BS472" s="128">
        <f>IFERROR(SUM($DS472:$DU472),)</f>
        <v/>
      </c>
      <c r="BT472" s="128">
        <f>IFERROR(AI472*$W472,)</f>
        <v/>
      </c>
      <c r="BU472" s="128">
        <f>IFERROR(AJ472*$W472,)</f>
        <v/>
      </c>
      <c r="BV472" s="128">
        <f>IFERROR(AK472*$W472,)</f>
        <v/>
      </c>
      <c r="BW472" s="128">
        <f>IFERROR(AL472*$W472,)</f>
        <v/>
      </c>
      <c r="BX472" s="128">
        <f>IFERROR(AM472*$W472,)</f>
        <v/>
      </c>
      <c r="BY472" s="128">
        <f>IFERROR(AN472*$W472,)</f>
        <v/>
      </c>
      <c r="BZ472" s="128">
        <f>IFERROR(AO472*$W472,)</f>
        <v/>
      </c>
      <c r="CA472" s="128">
        <f>IFERROR(AP472*$W472,)</f>
        <v/>
      </c>
      <c r="CB472" s="128">
        <f>IFERROR(AQ472*$W472,)</f>
        <v/>
      </c>
      <c r="CC472" s="128">
        <f>IFERROR(AR472*$W472,)</f>
        <v/>
      </c>
      <c r="CD472" s="128">
        <f>IFERROR(AS472*$W472,)</f>
        <v/>
      </c>
      <c r="CE472" s="128">
        <f>IFERROR(AT472*$W472,)</f>
        <v/>
      </c>
      <c r="CF472" s="128">
        <f>IFERROR(AU472*$W472,)</f>
        <v/>
      </c>
      <c r="CG472" s="128">
        <f>IFERROR(AV472*$W472,)</f>
        <v/>
      </c>
      <c r="CH472" s="128">
        <f>IFERROR(AW472*$W472,)</f>
        <v/>
      </c>
      <c r="CI472" s="128">
        <f>IFERROR(AX472*$W472,)</f>
        <v/>
      </c>
      <c r="CJ472" s="128">
        <f>IFERROR(AY472*$W472,)</f>
        <v/>
      </c>
      <c r="CK472" s="128">
        <f>IFERROR(AZ472*$W472,)</f>
        <v/>
      </c>
      <c r="CL472" s="129">
        <f>IFERROR(if($Y472=0,BA472*($W472/1.2),BA472*$Y472),"")</f>
        <v/>
      </c>
      <c r="CM472" s="129">
        <f>IFERROR(if($Y472=0,BB472*($W472/1.2),BB472*$Y472),"")</f>
        <v/>
      </c>
      <c r="CN472" s="129">
        <f>IFERROR(if($Y472=0,BC472*($W472/1.2),BC472*$Y472),"")</f>
        <v/>
      </c>
      <c r="CO472" s="130">
        <f>IFERROR(if($AA472=0,($W472/1.35)*BD472,BD472*$AA472),)</f>
        <v/>
      </c>
      <c r="CP472" s="130">
        <f>IFERROR(if($AA472=0,($W472/1.35)*BE472,BE472*$AA472),)</f>
        <v/>
      </c>
      <c r="CQ472" s="130">
        <f>IFERROR(if($AA472=0,($W472/1.35)*BF472,BF472*$AA472),)</f>
        <v/>
      </c>
      <c r="CR472" s="128">
        <f>IFERROR(if($AC472=0,($W472/0.74)*BG472,
BG472*$AC472),)</f>
        <v/>
      </c>
      <c r="CS472" s="128">
        <f>IFERROR(if($AC472=0,($W472/0.74)*BH472,
BH472*$AC472),)</f>
        <v/>
      </c>
      <c r="CT472" s="128">
        <f>IFERROR(if($AC472=0,($W472/0.74)*BI472,
BI472*$AC472),)</f>
        <v/>
      </c>
      <c r="CU472" s="128">
        <f>IFERROR(AI472*$V472,)</f>
        <v/>
      </c>
      <c r="CV472" s="128">
        <f>IFERROR(AJ472*$V472,)</f>
        <v/>
      </c>
      <c r="CW472" s="128">
        <f>IFERROR(AK472*$V472,)</f>
        <v/>
      </c>
      <c r="CX472" s="128">
        <f>IFERROR(AL472*$V472,)</f>
        <v/>
      </c>
      <c r="CY472" s="128">
        <f>IFERROR(AM472*$V472,)</f>
        <v/>
      </c>
      <c r="CZ472" s="128">
        <f>IFERROR(AN472*$V472,)</f>
        <v/>
      </c>
      <c r="DA472" s="128">
        <f>IFERROR(AO472*$V472,)</f>
        <v/>
      </c>
      <c r="DB472" s="128">
        <f>IFERROR(AP472*$V472,)</f>
        <v/>
      </c>
      <c r="DC472" s="128">
        <f>IFERROR(AQ472*$V472,)</f>
        <v/>
      </c>
      <c r="DD472" s="128">
        <f>IFERROR(AR472*$V472,)</f>
        <v/>
      </c>
      <c r="DE472" s="128">
        <f>IFERROR(AS472*$V472,)</f>
        <v/>
      </c>
      <c r="DF472" s="128">
        <f>IFERROR(AT472*$V472,)</f>
        <v/>
      </c>
      <c r="DG472" s="128">
        <f>IFERROR(AU472*$V472,)</f>
        <v/>
      </c>
      <c r="DH472" s="128">
        <f>IFERROR(AV472*$V472,)</f>
        <v/>
      </c>
      <c r="DI472" s="128">
        <f>IFERROR(AW472*$V472,)</f>
        <v/>
      </c>
      <c r="DJ472" s="128">
        <f>IFERROR(AX472*$V472,)</f>
        <v/>
      </c>
      <c r="DK472" s="128">
        <f>IFERROR(AY472*$V472,)</f>
        <v/>
      </c>
      <c r="DL472" s="128">
        <f>IFERROR(AZ472*$V472,)</f>
        <v/>
      </c>
      <c r="DM472" s="129">
        <f>IFERROR(if($X472=0,($V472/1.2)*BA472,
BA472*$X472),)</f>
        <v/>
      </c>
      <c r="DN472" s="129">
        <f>IFERROR(if($X472=0,($V472/1.2)*BB472,
BB472*$X472),)</f>
        <v/>
      </c>
      <c r="DO472" s="129">
        <f>IFERROR(if($X472=0,($V472/1.2)*BC472,
BC472*$X472),)</f>
        <v/>
      </c>
      <c r="DP472" s="130">
        <f>IFERROR(if($Z472=0,($V472/1.35)*BD472,
BD472*$Z472),)</f>
        <v/>
      </c>
      <c r="DQ472" s="130">
        <f>IFERROR(if($Z472=0,($V472/1.35)*BE472,
BE472*$Z472),)</f>
        <v/>
      </c>
      <c r="DR472" s="130">
        <f>IFERROR(if($Z472=0,($V472/1.35)*BF472,
BF472*$Z472),)</f>
        <v/>
      </c>
      <c r="DS472" s="128">
        <f>IFERROR(IF($AB472=0,($V472/0.74)*BG472,
BG472*$AB472),)</f>
        <v/>
      </c>
      <c r="DT472" s="128">
        <f>IFERROR(IF($AB472=0,($V472/0.74)*BH472,
BH472*$AB472),)</f>
        <v/>
      </c>
      <c r="DU472" s="128">
        <f>IFERROR(IF($AB472=0,($V472/0.74)*BI472,
BI472*$AB472),)</f>
        <v/>
      </c>
    </row>
    <row r="473" ht="131.25" customHeight="1" s="162">
      <c r="A473" s="115" t="n"/>
      <c r="B473" s="115" t="n"/>
      <c r="C473" s="115" t="n"/>
      <c r="D473" s="115" t="n"/>
      <c r="E473" s="115" t="n"/>
      <c r="F473" s="115" t="n"/>
      <c r="G473" s="115" t="n"/>
      <c r="H473" s="115" t="n"/>
      <c r="I473" s="115" t="n"/>
      <c r="J473" s="115" t="n"/>
      <c r="K473" s="115" t="n"/>
      <c r="L473" s="115" t="n"/>
      <c r="M473" s="115" t="n"/>
      <c r="N473" s="115" t="n"/>
      <c r="O473" s="115" t="n"/>
      <c r="P473" s="115" t="n"/>
      <c r="Q473" s="115" t="n"/>
      <c r="R473" s="115" t="n"/>
      <c r="S473" s="115" t="n"/>
      <c r="T473" s="115" t="n"/>
      <c r="U473" s="116" t="n"/>
      <c r="V473" s="116" t="n"/>
      <c r="W473" s="117" t="n"/>
      <c r="X473" s="118" t="n"/>
      <c r="Y473" s="119" t="n"/>
      <c r="Z473" s="120" t="n"/>
      <c r="AA473" s="121" t="n"/>
      <c r="AB473" s="122" t="n"/>
      <c r="AC473" s="117" t="n"/>
      <c r="AD473" s="123">
        <f>IF(SUM($AE473:$AH473)=0,"",SUM($AE473:$AH473))</f>
        <v/>
      </c>
      <c r="AE473" s="123">
        <f>iferror(IF(SUM($AI473:$AZ473)=0,"",SUM($AI473:$AZ473)),"")</f>
        <v/>
      </c>
      <c r="AF473" s="123">
        <f>iferror(IF(SUM($BA473:$BC473)=0,"",SUM($BA473:$BC473)),"")</f>
        <v/>
      </c>
      <c r="AG473" s="123">
        <f>iferror(IF(SUM($BD473:$BF473)=0,"",SUM($BD473:$BF473)),"")</f>
        <v/>
      </c>
      <c r="AH473" s="124">
        <f>iferror(IF(SUM($BG473:$BI473)=0,"",SUM($BG473:$BI473)),"")</f>
        <v/>
      </c>
      <c r="AI473" s="131" t="n"/>
      <c r="AJ473" s="132" t="n"/>
      <c r="AK473" s="132" t="n"/>
      <c r="AL473" s="132" t="n"/>
      <c r="AM473" s="132" t="n"/>
      <c r="AN473" s="132" t="n"/>
      <c r="AO473" s="132" t="n"/>
      <c r="AP473" s="132" t="n"/>
      <c r="AQ473" s="132" t="n"/>
      <c r="AR473" s="132" t="n"/>
      <c r="AS473" s="132" t="n"/>
      <c r="AT473" s="132" t="n"/>
      <c r="AU473" s="132" t="n"/>
      <c r="AV473" s="132" t="n"/>
      <c r="AW473" s="132" t="n"/>
      <c r="AX473" s="132" t="n"/>
      <c r="AY473" s="132" t="n"/>
      <c r="AZ473" s="133" t="n"/>
      <c r="BA473" s="131" t="n"/>
      <c r="BB473" s="132" t="n"/>
      <c r="BC473" s="133" t="n"/>
      <c r="BD473" s="131" t="n"/>
      <c r="BE473" s="132" t="n"/>
      <c r="BF473" s="133" t="n"/>
      <c r="BG473" s="131" t="n"/>
      <c r="BH473" s="132" t="n"/>
      <c r="BI473" s="132" t="n"/>
      <c r="BJ473" s="128">
        <f>iferror(SUM($BK473,($BL473*1.2),($BM473*1.35),($BN473*0.74)),)</f>
        <v/>
      </c>
      <c r="BK473" s="128">
        <f>IFERROR(SUM($BT473:$CK473),)</f>
        <v/>
      </c>
      <c r="BL473" s="129">
        <f>IFERROR(SUM($CL473:$CN473),)</f>
        <v/>
      </c>
      <c r="BM473" s="130">
        <f>IFERROR(SUM($CO473:$CQ473),)</f>
        <v/>
      </c>
      <c r="BN473" s="128">
        <f>IFERROR(SUM($CR473:$CT473),)</f>
        <v/>
      </c>
      <c r="BO473" s="128">
        <f>iferror(SUM($BP473,($BQ473*1.2),($BR473*1.35),($BS473*0.74)),)</f>
        <v/>
      </c>
      <c r="BP473" s="128">
        <f>IFERROR(SUM($CU473:$DL473),)</f>
        <v/>
      </c>
      <c r="BQ473" s="128">
        <f>IFERROR(SUM($DM473:$DO473),)</f>
        <v/>
      </c>
      <c r="BR473" s="128">
        <f>IFERROR(SUM($DP473:$DR473),)</f>
        <v/>
      </c>
      <c r="BS473" s="128">
        <f>IFERROR(SUM($DS473:$DU473),)</f>
        <v/>
      </c>
      <c r="BT473" s="128">
        <f>IFERROR(AI473*$W473,)</f>
        <v/>
      </c>
      <c r="BU473" s="128">
        <f>IFERROR(AJ473*$W473,)</f>
        <v/>
      </c>
      <c r="BV473" s="128">
        <f>IFERROR(AK473*$W473,)</f>
        <v/>
      </c>
      <c r="BW473" s="128">
        <f>IFERROR(AL473*$W473,)</f>
        <v/>
      </c>
      <c r="BX473" s="128">
        <f>IFERROR(AM473*$W473,)</f>
        <v/>
      </c>
      <c r="BY473" s="128">
        <f>IFERROR(AN473*$W473,)</f>
        <v/>
      </c>
      <c r="BZ473" s="128">
        <f>IFERROR(AO473*$W473,)</f>
        <v/>
      </c>
      <c r="CA473" s="128">
        <f>IFERROR(AP473*$W473,)</f>
        <v/>
      </c>
      <c r="CB473" s="128">
        <f>IFERROR(AQ473*$W473,)</f>
        <v/>
      </c>
      <c r="CC473" s="128">
        <f>IFERROR(AR473*$W473,)</f>
        <v/>
      </c>
      <c r="CD473" s="128">
        <f>IFERROR(AS473*$W473,)</f>
        <v/>
      </c>
      <c r="CE473" s="128">
        <f>IFERROR(AT473*$W473,)</f>
        <v/>
      </c>
      <c r="CF473" s="128">
        <f>IFERROR(AU473*$W473,)</f>
        <v/>
      </c>
      <c r="CG473" s="128">
        <f>IFERROR(AV473*$W473,)</f>
        <v/>
      </c>
      <c r="CH473" s="128">
        <f>IFERROR(AW473*$W473,)</f>
        <v/>
      </c>
      <c r="CI473" s="128">
        <f>IFERROR(AX473*$W473,)</f>
        <v/>
      </c>
      <c r="CJ473" s="128">
        <f>IFERROR(AY473*$W473,)</f>
        <v/>
      </c>
      <c r="CK473" s="128">
        <f>IFERROR(AZ473*$W473,)</f>
        <v/>
      </c>
      <c r="CL473" s="129">
        <f>IFERROR(if($Y473=0,BA473*($W473/1.2),BA473*$Y473),"")</f>
        <v/>
      </c>
      <c r="CM473" s="129">
        <f>IFERROR(if($Y473=0,BB473*($W473/1.2),BB473*$Y473),"")</f>
        <v/>
      </c>
      <c r="CN473" s="129">
        <f>IFERROR(if($Y473=0,BC473*($W473/1.2),BC473*$Y473),"")</f>
        <v/>
      </c>
      <c r="CO473" s="130">
        <f>IFERROR(if($AA473=0,($W473/1.35)*BD473,BD473*$AA473),)</f>
        <v/>
      </c>
      <c r="CP473" s="130">
        <f>IFERROR(if($AA473=0,($W473/1.35)*BE473,BE473*$AA473),)</f>
        <v/>
      </c>
      <c r="CQ473" s="130">
        <f>IFERROR(if($AA473=0,($W473/1.35)*BF473,BF473*$AA473),)</f>
        <v/>
      </c>
      <c r="CR473" s="128">
        <f>IFERROR(if($AC473=0,($W473/0.74)*BG473,
BG473*$AC473),)</f>
        <v/>
      </c>
      <c r="CS473" s="128">
        <f>IFERROR(if($AC473=0,($W473/0.74)*BH473,
BH473*$AC473),)</f>
        <v/>
      </c>
      <c r="CT473" s="128">
        <f>IFERROR(if($AC473=0,($W473/0.74)*BI473,
BI473*$AC473),)</f>
        <v/>
      </c>
      <c r="CU473" s="128">
        <f>IFERROR(AI473*$V473,)</f>
        <v/>
      </c>
      <c r="CV473" s="128">
        <f>IFERROR(AJ473*$V473,)</f>
        <v/>
      </c>
      <c r="CW473" s="128">
        <f>IFERROR(AK473*$V473,)</f>
        <v/>
      </c>
      <c r="CX473" s="128">
        <f>IFERROR(AL473*$V473,)</f>
        <v/>
      </c>
      <c r="CY473" s="128">
        <f>IFERROR(AM473*$V473,)</f>
        <v/>
      </c>
      <c r="CZ473" s="128">
        <f>IFERROR(AN473*$V473,)</f>
        <v/>
      </c>
      <c r="DA473" s="128">
        <f>IFERROR(AO473*$V473,)</f>
        <v/>
      </c>
      <c r="DB473" s="128">
        <f>IFERROR(AP473*$V473,)</f>
        <v/>
      </c>
      <c r="DC473" s="128">
        <f>IFERROR(AQ473*$V473,)</f>
        <v/>
      </c>
      <c r="DD473" s="128">
        <f>IFERROR(AR473*$V473,)</f>
        <v/>
      </c>
      <c r="DE473" s="128">
        <f>IFERROR(AS473*$V473,)</f>
        <v/>
      </c>
      <c r="DF473" s="128">
        <f>IFERROR(AT473*$V473,)</f>
        <v/>
      </c>
      <c r="DG473" s="128">
        <f>IFERROR(AU473*$V473,)</f>
        <v/>
      </c>
      <c r="DH473" s="128">
        <f>IFERROR(AV473*$V473,)</f>
        <v/>
      </c>
      <c r="DI473" s="128">
        <f>IFERROR(AW473*$V473,)</f>
        <v/>
      </c>
      <c r="DJ473" s="128">
        <f>IFERROR(AX473*$V473,)</f>
        <v/>
      </c>
      <c r="DK473" s="128">
        <f>IFERROR(AY473*$V473,)</f>
        <v/>
      </c>
      <c r="DL473" s="128">
        <f>IFERROR(AZ473*$V473,)</f>
        <v/>
      </c>
      <c r="DM473" s="129">
        <f>IFERROR(if($X473=0,($V473/1.2)*BA473,
BA473*$X473),)</f>
        <v/>
      </c>
      <c r="DN473" s="129">
        <f>IFERROR(if($X473=0,($V473/1.2)*BB473,
BB473*$X473),)</f>
        <v/>
      </c>
      <c r="DO473" s="129">
        <f>IFERROR(if($X473=0,($V473/1.2)*BC473,
BC473*$X473),)</f>
        <v/>
      </c>
      <c r="DP473" s="130">
        <f>IFERROR(if($Z473=0,($V473/1.35)*BD473,
BD473*$Z473),)</f>
        <v/>
      </c>
      <c r="DQ473" s="130">
        <f>IFERROR(if($Z473=0,($V473/1.35)*BE473,
BE473*$Z473),)</f>
        <v/>
      </c>
      <c r="DR473" s="130">
        <f>IFERROR(if($Z473=0,($V473/1.35)*BF473,
BF473*$Z473),)</f>
        <v/>
      </c>
      <c r="DS473" s="128">
        <f>IFERROR(IF($AB473=0,($V473/0.74)*BG473,
BG473*$AB473),)</f>
        <v/>
      </c>
      <c r="DT473" s="128">
        <f>IFERROR(IF($AB473=0,($V473/0.74)*BH473,
BH473*$AB473),)</f>
        <v/>
      </c>
      <c r="DU473" s="128">
        <f>IFERROR(IF($AB473=0,($V473/0.74)*BI473,
BI473*$AB473),)</f>
        <v/>
      </c>
    </row>
    <row r="474" ht="131.25" customHeight="1" s="162">
      <c r="A474" s="115" t="n"/>
      <c r="B474" s="115" t="n"/>
      <c r="C474" s="115" t="n"/>
      <c r="D474" s="115" t="n"/>
      <c r="E474" s="115" t="n"/>
      <c r="F474" s="115" t="n"/>
      <c r="G474" s="115" t="n"/>
      <c r="H474" s="115" t="n"/>
      <c r="I474" s="115" t="n"/>
      <c r="J474" s="115" t="n"/>
      <c r="K474" s="115" t="n"/>
      <c r="L474" s="115" t="n"/>
      <c r="M474" s="115" t="n"/>
      <c r="N474" s="115" t="n"/>
      <c r="O474" s="115" t="n"/>
      <c r="P474" s="115" t="n"/>
      <c r="Q474" s="115" t="n"/>
      <c r="R474" s="115" t="n"/>
      <c r="S474" s="115" t="n"/>
      <c r="T474" s="115" t="n"/>
      <c r="U474" s="116" t="n"/>
      <c r="V474" s="116" t="n"/>
      <c r="W474" s="117" t="n"/>
      <c r="X474" s="118" t="n"/>
      <c r="Y474" s="119" t="n"/>
      <c r="Z474" s="120" t="n"/>
      <c r="AA474" s="121" t="n"/>
      <c r="AB474" s="122" t="n"/>
      <c r="AC474" s="117" t="n"/>
      <c r="AD474" s="123">
        <f>IF(SUM($AE474:$AH474)=0,"",SUM($AE474:$AH474))</f>
        <v/>
      </c>
      <c r="AE474" s="123">
        <f>iferror(IF(SUM($AI474:$AZ474)=0,"",SUM($AI474:$AZ474)),"")</f>
        <v/>
      </c>
      <c r="AF474" s="123">
        <f>iferror(IF(SUM($BA474:$BC474)=0,"",SUM($BA474:$BC474)),"")</f>
        <v/>
      </c>
      <c r="AG474" s="123">
        <f>iferror(IF(SUM($BD474:$BF474)=0,"",SUM($BD474:$BF474)),"")</f>
        <v/>
      </c>
      <c r="AH474" s="124">
        <f>iferror(IF(SUM($BG474:$BI474)=0,"",SUM($BG474:$BI474)),"")</f>
        <v/>
      </c>
      <c r="AI474" s="131" t="n"/>
      <c r="AJ474" s="132" t="n"/>
      <c r="AK474" s="132" t="n"/>
      <c r="AL474" s="132" t="n"/>
      <c r="AM474" s="132" t="n"/>
      <c r="AN474" s="132" t="n"/>
      <c r="AO474" s="132" t="n"/>
      <c r="AP474" s="132" t="n"/>
      <c r="AQ474" s="132" t="n"/>
      <c r="AR474" s="132" t="n"/>
      <c r="AS474" s="132" t="n"/>
      <c r="AT474" s="132" t="n"/>
      <c r="AU474" s="132" t="n"/>
      <c r="AV474" s="132" t="n"/>
      <c r="AW474" s="132" t="n"/>
      <c r="AX474" s="132" t="n"/>
      <c r="AY474" s="132" t="n"/>
      <c r="AZ474" s="133" t="n"/>
      <c r="BA474" s="131" t="n"/>
      <c r="BB474" s="132" t="n"/>
      <c r="BC474" s="133" t="n"/>
      <c r="BD474" s="131" t="n"/>
      <c r="BE474" s="132" t="n"/>
      <c r="BF474" s="133" t="n"/>
      <c r="BG474" s="131" t="n"/>
      <c r="BH474" s="132" t="n"/>
      <c r="BI474" s="132" t="n"/>
      <c r="BJ474" s="128">
        <f>iferror(SUM($BK474,($BL474*1.2),($BM474*1.35),($BN474*0.74)),)</f>
        <v/>
      </c>
      <c r="BK474" s="128">
        <f>IFERROR(SUM($BT474:$CK474),)</f>
        <v/>
      </c>
      <c r="BL474" s="129">
        <f>IFERROR(SUM($CL474:$CN474),)</f>
        <v/>
      </c>
      <c r="BM474" s="130">
        <f>IFERROR(SUM($CO474:$CQ474),)</f>
        <v/>
      </c>
      <c r="BN474" s="128">
        <f>IFERROR(SUM($CR474:$CT474),)</f>
        <v/>
      </c>
      <c r="BO474" s="128">
        <f>iferror(SUM($BP474,($BQ474*1.2),($BR474*1.35),($BS474*0.74)),)</f>
        <v/>
      </c>
      <c r="BP474" s="128">
        <f>IFERROR(SUM($CU474:$DL474),)</f>
        <v/>
      </c>
      <c r="BQ474" s="128">
        <f>IFERROR(SUM($DM474:$DO474),)</f>
        <v/>
      </c>
      <c r="BR474" s="128">
        <f>IFERROR(SUM($DP474:$DR474),)</f>
        <v/>
      </c>
      <c r="BS474" s="128">
        <f>IFERROR(SUM($DS474:$DU474),)</f>
        <v/>
      </c>
      <c r="BT474" s="128">
        <f>IFERROR(AI474*$W474,)</f>
        <v/>
      </c>
      <c r="BU474" s="128">
        <f>IFERROR(AJ474*$W474,)</f>
        <v/>
      </c>
      <c r="BV474" s="128">
        <f>IFERROR(AK474*$W474,)</f>
        <v/>
      </c>
      <c r="BW474" s="128">
        <f>IFERROR(AL474*$W474,)</f>
        <v/>
      </c>
      <c r="BX474" s="128">
        <f>IFERROR(AM474*$W474,)</f>
        <v/>
      </c>
      <c r="BY474" s="128">
        <f>IFERROR(AN474*$W474,)</f>
        <v/>
      </c>
      <c r="BZ474" s="128">
        <f>IFERROR(AO474*$W474,)</f>
        <v/>
      </c>
      <c r="CA474" s="128">
        <f>IFERROR(AP474*$W474,)</f>
        <v/>
      </c>
      <c r="CB474" s="128">
        <f>IFERROR(AQ474*$W474,)</f>
        <v/>
      </c>
      <c r="CC474" s="128">
        <f>IFERROR(AR474*$W474,)</f>
        <v/>
      </c>
      <c r="CD474" s="128">
        <f>IFERROR(AS474*$W474,)</f>
        <v/>
      </c>
      <c r="CE474" s="128">
        <f>IFERROR(AT474*$W474,)</f>
        <v/>
      </c>
      <c r="CF474" s="128">
        <f>IFERROR(AU474*$W474,)</f>
        <v/>
      </c>
      <c r="CG474" s="128">
        <f>IFERROR(AV474*$W474,)</f>
        <v/>
      </c>
      <c r="CH474" s="128">
        <f>IFERROR(AW474*$W474,)</f>
        <v/>
      </c>
      <c r="CI474" s="128">
        <f>IFERROR(AX474*$W474,)</f>
        <v/>
      </c>
      <c r="CJ474" s="128">
        <f>IFERROR(AY474*$W474,)</f>
        <v/>
      </c>
      <c r="CK474" s="128">
        <f>IFERROR(AZ474*$W474,)</f>
        <v/>
      </c>
      <c r="CL474" s="129">
        <f>IFERROR(if($Y474=0,BA474*($W474/1.2),BA474*$Y474),"")</f>
        <v/>
      </c>
      <c r="CM474" s="129">
        <f>IFERROR(if($Y474=0,BB474*($W474/1.2),BB474*$Y474),"")</f>
        <v/>
      </c>
      <c r="CN474" s="129">
        <f>IFERROR(if($Y474=0,BC474*($W474/1.2),BC474*$Y474),"")</f>
        <v/>
      </c>
      <c r="CO474" s="130">
        <f>IFERROR(if($AA474=0,($W474/1.35)*BD474,BD474*$AA474),)</f>
        <v/>
      </c>
      <c r="CP474" s="130">
        <f>IFERROR(if($AA474=0,($W474/1.35)*BE474,BE474*$AA474),)</f>
        <v/>
      </c>
      <c r="CQ474" s="130">
        <f>IFERROR(if($AA474=0,($W474/1.35)*BF474,BF474*$AA474),)</f>
        <v/>
      </c>
      <c r="CR474" s="128">
        <f>IFERROR(if($AC474=0,($W474/0.74)*BG474,
BG474*$AC474),)</f>
        <v/>
      </c>
      <c r="CS474" s="128">
        <f>IFERROR(if($AC474=0,($W474/0.74)*BH474,
BH474*$AC474),)</f>
        <v/>
      </c>
      <c r="CT474" s="128">
        <f>IFERROR(if($AC474=0,($W474/0.74)*BI474,
BI474*$AC474),)</f>
        <v/>
      </c>
      <c r="CU474" s="128">
        <f>IFERROR(AI474*$V474,)</f>
        <v/>
      </c>
      <c r="CV474" s="128">
        <f>IFERROR(AJ474*$V474,)</f>
        <v/>
      </c>
      <c r="CW474" s="128">
        <f>IFERROR(AK474*$V474,)</f>
        <v/>
      </c>
      <c r="CX474" s="128">
        <f>IFERROR(AL474*$V474,)</f>
        <v/>
      </c>
      <c r="CY474" s="128">
        <f>IFERROR(AM474*$V474,)</f>
        <v/>
      </c>
      <c r="CZ474" s="128">
        <f>IFERROR(AN474*$V474,)</f>
        <v/>
      </c>
      <c r="DA474" s="128">
        <f>IFERROR(AO474*$V474,)</f>
        <v/>
      </c>
      <c r="DB474" s="128">
        <f>IFERROR(AP474*$V474,)</f>
        <v/>
      </c>
      <c r="DC474" s="128">
        <f>IFERROR(AQ474*$V474,)</f>
        <v/>
      </c>
      <c r="DD474" s="128">
        <f>IFERROR(AR474*$V474,)</f>
        <v/>
      </c>
      <c r="DE474" s="128">
        <f>IFERROR(AS474*$V474,)</f>
        <v/>
      </c>
      <c r="DF474" s="128">
        <f>IFERROR(AT474*$V474,)</f>
        <v/>
      </c>
      <c r="DG474" s="128">
        <f>IFERROR(AU474*$V474,)</f>
        <v/>
      </c>
      <c r="DH474" s="128">
        <f>IFERROR(AV474*$V474,)</f>
        <v/>
      </c>
      <c r="DI474" s="128">
        <f>IFERROR(AW474*$V474,)</f>
        <v/>
      </c>
      <c r="DJ474" s="128">
        <f>IFERROR(AX474*$V474,)</f>
        <v/>
      </c>
      <c r="DK474" s="128">
        <f>IFERROR(AY474*$V474,)</f>
        <v/>
      </c>
      <c r="DL474" s="128">
        <f>IFERROR(AZ474*$V474,)</f>
        <v/>
      </c>
      <c r="DM474" s="129">
        <f>IFERROR(if($X474=0,($V474/1.2)*BA474,
BA474*$X474),)</f>
        <v/>
      </c>
      <c r="DN474" s="129">
        <f>IFERROR(if($X474=0,($V474/1.2)*BB474,
BB474*$X474),)</f>
        <v/>
      </c>
      <c r="DO474" s="129">
        <f>IFERROR(if($X474=0,($V474/1.2)*BC474,
BC474*$X474),)</f>
        <v/>
      </c>
      <c r="DP474" s="130">
        <f>IFERROR(if($Z474=0,($V474/1.35)*BD474,
BD474*$Z474),)</f>
        <v/>
      </c>
      <c r="DQ474" s="130">
        <f>IFERROR(if($Z474=0,($V474/1.35)*BE474,
BE474*$Z474),)</f>
        <v/>
      </c>
      <c r="DR474" s="130">
        <f>IFERROR(if($Z474=0,($V474/1.35)*BF474,
BF474*$Z474),)</f>
        <v/>
      </c>
      <c r="DS474" s="128">
        <f>IFERROR(IF($AB474=0,($V474/0.74)*BG474,
BG474*$AB474),)</f>
        <v/>
      </c>
      <c r="DT474" s="128">
        <f>IFERROR(IF($AB474=0,($V474/0.74)*BH474,
BH474*$AB474),)</f>
        <v/>
      </c>
      <c r="DU474" s="128">
        <f>IFERROR(IF($AB474=0,($V474/0.74)*BI474,
BI474*$AB474),)</f>
        <v/>
      </c>
    </row>
    <row r="475" ht="131.25" customHeight="1" s="162">
      <c r="A475" s="115" t="n"/>
      <c r="B475" s="115" t="n"/>
      <c r="C475" s="115" t="n"/>
      <c r="D475" s="115" t="n"/>
      <c r="E475" s="115" t="n"/>
      <c r="F475" s="115" t="n"/>
      <c r="G475" s="115" t="n"/>
      <c r="H475" s="115" t="n"/>
      <c r="I475" s="115" t="n"/>
      <c r="J475" s="115" t="n"/>
      <c r="K475" s="115" t="n"/>
      <c r="L475" s="115" t="n"/>
      <c r="M475" s="115" t="n"/>
      <c r="N475" s="115" t="n"/>
      <c r="O475" s="115" t="n"/>
      <c r="P475" s="115" t="n"/>
      <c r="Q475" s="115" t="n"/>
      <c r="R475" s="115" t="n"/>
      <c r="S475" s="115" t="n"/>
      <c r="T475" s="115" t="n"/>
      <c r="U475" s="116" t="n"/>
      <c r="V475" s="116" t="n"/>
      <c r="W475" s="117" t="n"/>
      <c r="X475" s="118" t="n"/>
      <c r="Y475" s="119" t="n"/>
      <c r="Z475" s="120" t="n"/>
      <c r="AA475" s="121" t="n"/>
      <c r="AB475" s="122" t="n"/>
      <c r="AC475" s="117" t="n"/>
      <c r="AD475" s="123">
        <f>IF(SUM($AE475:$AH475)=0,"",SUM($AE475:$AH475))</f>
        <v/>
      </c>
      <c r="AE475" s="123">
        <f>iferror(IF(SUM($AI475:$AZ475)=0,"",SUM($AI475:$AZ475)),"")</f>
        <v/>
      </c>
      <c r="AF475" s="123">
        <f>iferror(IF(SUM($BA475:$BC475)=0,"",SUM($BA475:$BC475)),"")</f>
        <v/>
      </c>
      <c r="AG475" s="123">
        <f>iferror(IF(SUM($BD475:$BF475)=0,"",SUM($BD475:$BF475)),"")</f>
        <v/>
      </c>
      <c r="AH475" s="124">
        <f>iferror(IF(SUM($BG475:$BI475)=0,"",SUM($BG475:$BI475)),"")</f>
        <v/>
      </c>
      <c r="AI475" s="131" t="n"/>
      <c r="AJ475" s="132" t="n"/>
      <c r="AK475" s="132" t="n"/>
      <c r="AL475" s="132" t="n"/>
      <c r="AM475" s="132" t="n"/>
      <c r="AN475" s="132" t="n"/>
      <c r="AO475" s="132" t="n"/>
      <c r="AP475" s="132" t="n"/>
      <c r="AQ475" s="132" t="n"/>
      <c r="AR475" s="132" t="n"/>
      <c r="AS475" s="132" t="n"/>
      <c r="AT475" s="132" t="n"/>
      <c r="AU475" s="132" t="n"/>
      <c r="AV475" s="132" t="n"/>
      <c r="AW475" s="132" t="n"/>
      <c r="AX475" s="132" t="n"/>
      <c r="AY475" s="132" t="n"/>
      <c r="AZ475" s="133" t="n"/>
      <c r="BA475" s="131" t="n"/>
      <c r="BB475" s="132" t="n"/>
      <c r="BC475" s="133" t="n"/>
      <c r="BD475" s="131" t="n"/>
      <c r="BE475" s="132" t="n"/>
      <c r="BF475" s="133" t="n"/>
      <c r="BG475" s="131" t="n"/>
      <c r="BH475" s="132" t="n"/>
      <c r="BI475" s="132" t="n"/>
      <c r="BJ475" s="128">
        <f>iferror(SUM($BK475,($BL475*1.2),($BM475*1.35),($BN475*0.74)),)</f>
        <v/>
      </c>
      <c r="BK475" s="128">
        <f>IFERROR(SUM($BT475:$CK475),)</f>
        <v/>
      </c>
      <c r="BL475" s="129">
        <f>IFERROR(SUM($CL475:$CN475),)</f>
        <v/>
      </c>
      <c r="BM475" s="130">
        <f>IFERROR(SUM($CO475:$CQ475),)</f>
        <v/>
      </c>
      <c r="BN475" s="128">
        <f>IFERROR(SUM($CR475:$CT475),)</f>
        <v/>
      </c>
      <c r="BO475" s="128">
        <f>iferror(SUM($BP475,($BQ475*1.2),($BR475*1.35),($BS475*0.74)),)</f>
        <v/>
      </c>
      <c r="BP475" s="128">
        <f>IFERROR(SUM($CU475:$DL475),)</f>
        <v/>
      </c>
      <c r="BQ475" s="128">
        <f>IFERROR(SUM($DM475:$DO475),)</f>
        <v/>
      </c>
      <c r="BR475" s="128">
        <f>IFERROR(SUM($DP475:$DR475),)</f>
        <v/>
      </c>
      <c r="BS475" s="128">
        <f>IFERROR(SUM($DS475:$DU475),)</f>
        <v/>
      </c>
      <c r="BT475" s="128">
        <f>IFERROR(AI475*$W475,)</f>
        <v/>
      </c>
      <c r="BU475" s="128">
        <f>IFERROR(AJ475*$W475,)</f>
        <v/>
      </c>
      <c r="BV475" s="128">
        <f>IFERROR(AK475*$W475,)</f>
        <v/>
      </c>
      <c r="BW475" s="128">
        <f>IFERROR(AL475*$W475,)</f>
        <v/>
      </c>
      <c r="BX475" s="128">
        <f>IFERROR(AM475*$W475,)</f>
        <v/>
      </c>
      <c r="BY475" s="128">
        <f>IFERROR(AN475*$W475,)</f>
        <v/>
      </c>
      <c r="BZ475" s="128">
        <f>IFERROR(AO475*$W475,)</f>
        <v/>
      </c>
      <c r="CA475" s="128">
        <f>IFERROR(AP475*$W475,)</f>
        <v/>
      </c>
      <c r="CB475" s="128">
        <f>IFERROR(AQ475*$W475,)</f>
        <v/>
      </c>
      <c r="CC475" s="128">
        <f>IFERROR(AR475*$W475,)</f>
        <v/>
      </c>
      <c r="CD475" s="128">
        <f>IFERROR(AS475*$W475,)</f>
        <v/>
      </c>
      <c r="CE475" s="128">
        <f>IFERROR(AT475*$W475,)</f>
        <v/>
      </c>
      <c r="CF475" s="128">
        <f>IFERROR(AU475*$W475,)</f>
        <v/>
      </c>
      <c r="CG475" s="128">
        <f>IFERROR(AV475*$W475,)</f>
        <v/>
      </c>
      <c r="CH475" s="128">
        <f>IFERROR(AW475*$W475,)</f>
        <v/>
      </c>
      <c r="CI475" s="128">
        <f>IFERROR(AX475*$W475,)</f>
        <v/>
      </c>
      <c r="CJ475" s="128">
        <f>IFERROR(AY475*$W475,)</f>
        <v/>
      </c>
      <c r="CK475" s="128">
        <f>IFERROR(AZ475*$W475,)</f>
        <v/>
      </c>
      <c r="CL475" s="129">
        <f>IFERROR(if($Y475=0,BA475*($W475/1.2),BA475*$Y475),"")</f>
        <v/>
      </c>
      <c r="CM475" s="129">
        <f>IFERROR(if($Y475=0,BB475*($W475/1.2),BB475*$Y475),"")</f>
        <v/>
      </c>
      <c r="CN475" s="129">
        <f>IFERROR(if($Y475=0,BC475*($W475/1.2),BC475*$Y475),"")</f>
        <v/>
      </c>
      <c r="CO475" s="130">
        <f>IFERROR(if($AA475=0,($W475/1.35)*BD475,BD475*$AA475),)</f>
        <v/>
      </c>
      <c r="CP475" s="130">
        <f>IFERROR(if($AA475=0,($W475/1.35)*BE475,BE475*$AA475),)</f>
        <v/>
      </c>
      <c r="CQ475" s="130">
        <f>IFERROR(if($AA475=0,($W475/1.35)*BF475,BF475*$AA475),)</f>
        <v/>
      </c>
      <c r="CR475" s="128">
        <f>IFERROR(if($AC475=0,($W475/0.74)*BG475,
BG475*$AC475),)</f>
        <v/>
      </c>
      <c r="CS475" s="128">
        <f>IFERROR(if($AC475=0,($W475/0.74)*BH475,
BH475*$AC475),)</f>
        <v/>
      </c>
      <c r="CT475" s="128">
        <f>IFERROR(if($AC475=0,($W475/0.74)*BI475,
BI475*$AC475),)</f>
        <v/>
      </c>
      <c r="CU475" s="128">
        <f>IFERROR(AI475*$V475,)</f>
        <v/>
      </c>
      <c r="CV475" s="128">
        <f>IFERROR(AJ475*$V475,)</f>
        <v/>
      </c>
      <c r="CW475" s="128">
        <f>IFERROR(AK475*$V475,)</f>
        <v/>
      </c>
      <c r="CX475" s="128">
        <f>IFERROR(AL475*$V475,)</f>
        <v/>
      </c>
      <c r="CY475" s="128">
        <f>IFERROR(AM475*$V475,)</f>
        <v/>
      </c>
      <c r="CZ475" s="128">
        <f>IFERROR(AN475*$V475,)</f>
        <v/>
      </c>
      <c r="DA475" s="128">
        <f>IFERROR(AO475*$V475,)</f>
        <v/>
      </c>
      <c r="DB475" s="128">
        <f>IFERROR(AP475*$V475,)</f>
        <v/>
      </c>
      <c r="DC475" s="128">
        <f>IFERROR(AQ475*$V475,)</f>
        <v/>
      </c>
      <c r="DD475" s="128">
        <f>IFERROR(AR475*$V475,)</f>
        <v/>
      </c>
      <c r="DE475" s="128">
        <f>IFERROR(AS475*$V475,)</f>
        <v/>
      </c>
      <c r="DF475" s="128">
        <f>IFERROR(AT475*$V475,)</f>
        <v/>
      </c>
      <c r="DG475" s="128">
        <f>IFERROR(AU475*$V475,)</f>
        <v/>
      </c>
      <c r="DH475" s="128">
        <f>IFERROR(AV475*$V475,)</f>
        <v/>
      </c>
      <c r="DI475" s="128">
        <f>IFERROR(AW475*$V475,)</f>
        <v/>
      </c>
      <c r="DJ475" s="128">
        <f>IFERROR(AX475*$V475,)</f>
        <v/>
      </c>
      <c r="DK475" s="128">
        <f>IFERROR(AY475*$V475,)</f>
        <v/>
      </c>
      <c r="DL475" s="128">
        <f>IFERROR(AZ475*$V475,)</f>
        <v/>
      </c>
      <c r="DM475" s="129">
        <f>IFERROR(if($X475=0,($V475/1.2)*BA475,
BA475*$X475),)</f>
        <v/>
      </c>
      <c r="DN475" s="129">
        <f>IFERROR(if($X475=0,($V475/1.2)*BB475,
BB475*$X475),)</f>
        <v/>
      </c>
      <c r="DO475" s="129">
        <f>IFERROR(if($X475=0,($V475/1.2)*BC475,
BC475*$X475),)</f>
        <v/>
      </c>
      <c r="DP475" s="130">
        <f>IFERROR(if($Z475=0,($V475/1.35)*BD475,
BD475*$Z475),)</f>
        <v/>
      </c>
      <c r="DQ475" s="130">
        <f>IFERROR(if($Z475=0,($V475/1.35)*BE475,
BE475*$Z475),)</f>
        <v/>
      </c>
      <c r="DR475" s="130">
        <f>IFERROR(if($Z475=0,($V475/1.35)*BF475,
BF475*$Z475),)</f>
        <v/>
      </c>
      <c r="DS475" s="128">
        <f>IFERROR(IF($AB475=0,($V475/0.74)*BG475,
BG475*$AB475),)</f>
        <v/>
      </c>
      <c r="DT475" s="128">
        <f>IFERROR(IF($AB475=0,($V475/0.74)*BH475,
BH475*$AB475),)</f>
        <v/>
      </c>
      <c r="DU475" s="128">
        <f>IFERROR(IF($AB475=0,($V475/0.74)*BI475,
BI475*$AB475),)</f>
        <v/>
      </c>
    </row>
    <row r="476" ht="131.25" customHeight="1" s="162">
      <c r="A476" s="115" t="n"/>
      <c r="B476" s="115" t="n"/>
      <c r="C476" s="115" t="n"/>
      <c r="D476" s="115" t="n"/>
      <c r="E476" s="115" t="n"/>
      <c r="F476" s="115" t="n"/>
      <c r="G476" s="115" t="n"/>
      <c r="H476" s="115" t="n"/>
      <c r="I476" s="115" t="n"/>
      <c r="J476" s="115" t="n"/>
      <c r="K476" s="115" t="n"/>
      <c r="L476" s="115" t="n"/>
      <c r="M476" s="115" t="n"/>
      <c r="N476" s="115" t="n"/>
      <c r="O476" s="115" t="n"/>
      <c r="P476" s="115" t="n"/>
      <c r="Q476" s="115" t="n"/>
      <c r="R476" s="115" t="n"/>
      <c r="S476" s="115" t="n"/>
      <c r="T476" s="115" t="n"/>
      <c r="U476" s="116" t="n"/>
      <c r="V476" s="116" t="n"/>
      <c r="W476" s="117" t="n"/>
      <c r="X476" s="118" t="n"/>
      <c r="Y476" s="119" t="n"/>
      <c r="Z476" s="120" t="n"/>
      <c r="AA476" s="121" t="n"/>
      <c r="AB476" s="122" t="n"/>
      <c r="AC476" s="117" t="n"/>
      <c r="AD476" s="123">
        <f>IF(SUM($AE476:$AH476)=0,"",SUM($AE476:$AH476))</f>
        <v/>
      </c>
      <c r="AE476" s="123">
        <f>iferror(IF(SUM($AI476:$AZ476)=0,"",SUM($AI476:$AZ476)),"")</f>
        <v/>
      </c>
      <c r="AF476" s="123">
        <f>iferror(IF(SUM($BA476:$BC476)=0,"",SUM($BA476:$BC476)),"")</f>
        <v/>
      </c>
      <c r="AG476" s="123">
        <f>iferror(IF(SUM($BD476:$BF476)=0,"",SUM($BD476:$BF476)),"")</f>
        <v/>
      </c>
      <c r="AH476" s="124">
        <f>iferror(IF(SUM($BG476:$BI476)=0,"",SUM($BG476:$BI476)),"")</f>
        <v/>
      </c>
      <c r="AI476" s="131" t="n"/>
      <c r="AJ476" s="132" t="n"/>
      <c r="AK476" s="132" t="n"/>
      <c r="AL476" s="132" t="n"/>
      <c r="AM476" s="132" t="n"/>
      <c r="AN476" s="132" t="n"/>
      <c r="AO476" s="132" t="n"/>
      <c r="AP476" s="132" t="n"/>
      <c r="AQ476" s="132" t="n"/>
      <c r="AR476" s="132" t="n"/>
      <c r="AS476" s="132" t="n"/>
      <c r="AT476" s="132" t="n"/>
      <c r="AU476" s="132" t="n"/>
      <c r="AV476" s="132" t="n"/>
      <c r="AW476" s="132" t="n"/>
      <c r="AX476" s="132" t="n"/>
      <c r="AY476" s="132" t="n"/>
      <c r="AZ476" s="133" t="n"/>
      <c r="BA476" s="131" t="n"/>
      <c r="BB476" s="132" t="n"/>
      <c r="BC476" s="133" t="n"/>
      <c r="BD476" s="131" t="n"/>
      <c r="BE476" s="132" t="n"/>
      <c r="BF476" s="133" t="n"/>
      <c r="BG476" s="131" t="n"/>
      <c r="BH476" s="132" t="n"/>
      <c r="BI476" s="132" t="n"/>
      <c r="BJ476" s="128">
        <f>iferror(SUM($BK476,($BL476*1.2),($BM476*1.35),($BN476*0.74)),)</f>
        <v/>
      </c>
      <c r="BK476" s="128">
        <f>IFERROR(SUM($BT476:$CK476),)</f>
        <v/>
      </c>
      <c r="BL476" s="129">
        <f>IFERROR(SUM($CL476:$CN476),)</f>
        <v/>
      </c>
      <c r="BM476" s="130">
        <f>IFERROR(SUM($CO476:$CQ476),)</f>
        <v/>
      </c>
      <c r="BN476" s="128">
        <f>IFERROR(SUM($CR476:$CT476),)</f>
        <v/>
      </c>
      <c r="BO476" s="128">
        <f>iferror(SUM($BP476,($BQ476*1.2),($BR476*1.35),($BS476*0.74)),)</f>
        <v/>
      </c>
      <c r="BP476" s="128">
        <f>IFERROR(SUM($CU476:$DL476),)</f>
        <v/>
      </c>
      <c r="BQ476" s="128">
        <f>IFERROR(SUM($DM476:$DO476),)</f>
        <v/>
      </c>
      <c r="BR476" s="128">
        <f>IFERROR(SUM($DP476:$DR476),)</f>
        <v/>
      </c>
      <c r="BS476" s="128">
        <f>IFERROR(SUM($DS476:$DU476),)</f>
        <v/>
      </c>
      <c r="BT476" s="128">
        <f>IFERROR(AI476*$W476,)</f>
        <v/>
      </c>
      <c r="BU476" s="128">
        <f>IFERROR(AJ476*$W476,)</f>
        <v/>
      </c>
      <c r="BV476" s="128">
        <f>IFERROR(AK476*$W476,)</f>
        <v/>
      </c>
      <c r="BW476" s="128">
        <f>IFERROR(AL476*$W476,)</f>
        <v/>
      </c>
      <c r="BX476" s="128">
        <f>IFERROR(AM476*$W476,)</f>
        <v/>
      </c>
      <c r="BY476" s="128">
        <f>IFERROR(AN476*$W476,)</f>
        <v/>
      </c>
      <c r="BZ476" s="128">
        <f>IFERROR(AO476*$W476,)</f>
        <v/>
      </c>
      <c r="CA476" s="128">
        <f>IFERROR(AP476*$W476,)</f>
        <v/>
      </c>
      <c r="CB476" s="128">
        <f>IFERROR(AQ476*$W476,)</f>
        <v/>
      </c>
      <c r="CC476" s="128">
        <f>IFERROR(AR476*$W476,)</f>
        <v/>
      </c>
      <c r="CD476" s="128">
        <f>IFERROR(AS476*$W476,)</f>
        <v/>
      </c>
      <c r="CE476" s="128">
        <f>IFERROR(AT476*$W476,)</f>
        <v/>
      </c>
      <c r="CF476" s="128">
        <f>IFERROR(AU476*$W476,)</f>
        <v/>
      </c>
      <c r="CG476" s="128">
        <f>IFERROR(AV476*$W476,)</f>
        <v/>
      </c>
      <c r="CH476" s="128">
        <f>IFERROR(AW476*$W476,)</f>
        <v/>
      </c>
      <c r="CI476" s="128">
        <f>IFERROR(AX476*$W476,)</f>
        <v/>
      </c>
      <c r="CJ476" s="128">
        <f>IFERROR(AY476*$W476,)</f>
        <v/>
      </c>
      <c r="CK476" s="128">
        <f>IFERROR(AZ476*$W476,)</f>
        <v/>
      </c>
      <c r="CL476" s="129">
        <f>IFERROR(if($Y476=0,BA476*($W476/1.2),BA476*$Y476),"")</f>
        <v/>
      </c>
      <c r="CM476" s="129">
        <f>IFERROR(if($Y476=0,BB476*($W476/1.2),BB476*$Y476),"")</f>
        <v/>
      </c>
      <c r="CN476" s="129">
        <f>IFERROR(if($Y476=0,BC476*($W476/1.2),BC476*$Y476),"")</f>
        <v/>
      </c>
      <c r="CO476" s="130">
        <f>IFERROR(if($AA476=0,($W476/1.35)*BD476,BD476*$AA476),)</f>
        <v/>
      </c>
      <c r="CP476" s="130">
        <f>IFERROR(if($AA476=0,($W476/1.35)*BE476,BE476*$AA476),)</f>
        <v/>
      </c>
      <c r="CQ476" s="130">
        <f>IFERROR(if($AA476=0,($W476/1.35)*BF476,BF476*$AA476),)</f>
        <v/>
      </c>
      <c r="CR476" s="128">
        <f>IFERROR(if($AC476=0,($W476/0.74)*BG476,
BG476*$AC476),)</f>
        <v/>
      </c>
      <c r="CS476" s="128">
        <f>IFERROR(if($AC476=0,($W476/0.74)*BH476,
BH476*$AC476),)</f>
        <v/>
      </c>
      <c r="CT476" s="128">
        <f>IFERROR(if($AC476=0,($W476/0.74)*BI476,
BI476*$AC476),)</f>
        <v/>
      </c>
      <c r="CU476" s="128">
        <f>IFERROR(AI476*$V476,)</f>
        <v/>
      </c>
      <c r="CV476" s="128">
        <f>IFERROR(AJ476*$V476,)</f>
        <v/>
      </c>
      <c r="CW476" s="128">
        <f>IFERROR(AK476*$V476,)</f>
        <v/>
      </c>
      <c r="CX476" s="128">
        <f>IFERROR(AL476*$V476,)</f>
        <v/>
      </c>
      <c r="CY476" s="128">
        <f>IFERROR(AM476*$V476,)</f>
        <v/>
      </c>
      <c r="CZ476" s="128">
        <f>IFERROR(AN476*$V476,)</f>
        <v/>
      </c>
      <c r="DA476" s="128">
        <f>IFERROR(AO476*$V476,)</f>
        <v/>
      </c>
      <c r="DB476" s="128">
        <f>IFERROR(AP476*$V476,)</f>
        <v/>
      </c>
      <c r="DC476" s="128">
        <f>IFERROR(AQ476*$V476,)</f>
        <v/>
      </c>
      <c r="DD476" s="128">
        <f>IFERROR(AR476*$V476,)</f>
        <v/>
      </c>
      <c r="DE476" s="128">
        <f>IFERROR(AS476*$V476,)</f>
        <v/>
      </c>
      <c r="DF476" s="128">
        <f>IFERROR(AT476*$V476,)</f>
        <v/>
      </c>
      <c r="DG476" s="128">
        <f>IFERROR(AU476*$V476,)</f>
        <v/>
      </c>
      <c r="DH476" s="128">
        <f>IFERROR(AV476*$V476,)</f>
        <v/>
      </c>
      <c r="DI476" s="128">
        <f>IFERROR(AW476*$V476,)</f>
        <v/>
      </c>
      <c r="DJ476" s="128">
        <f>IFERROR(AX476*$V476,)</f>
        <v/>
      </c>
      <c r="DK476" s="128">
        <f>IFERROR(AY476*$V476,)</f>
        <v/>
      </c>
      <c r="DL476" s="128">
        <f>IFERROR(AZ476*$V476,)</f>
        <v/>
      </c>
      <c r="DM476" s="129">
        <f>IFERROR(if($X476=0,($V476/1.2)*BA476,
BA476*$X476),)</f>
        <v/>
      </c>
      <c r="DN476" s="129">
        <f>IFERROR(if($X476=0,($V476/1.2)*BB476,
BB476*$X476),)</f>
        <v/>
      </c>
      <c r="DO476" s="129">
        <f>IFERROR(if($X476=0,($V476/1.2)*BC476,
BC476*$X476),)</f>
        <v/>
      </c>
      <c r="DP476" s="130">
        <f>IFERROR(if($Z476=0,($V476/1.35)*BD476,
BD476*$Z476),)</f>
        <v/>
      </c>
      <c r="DQ476" s="130">
        <f>IFERROR(if($Z476=0,($V476/1.35)*BE476,
BE476*$Z476),)</f>
        <v/>
      </c>
      <c r="DR476" s="130">
        <f>IFERROR(if($Z476=0,($V476/1.35)*BF476,
BF476*$Z476),)</f>
        <v/>
      </c>
      <c r="DS476" s="128">
        <f>IFERROR(IF($AB476=0,($V476/0.74)*BG476,
BG476*$AB476),)</f>
        <v/>
      </c>
      <c r="DT476" s="128">
        <f>IFERROR(IF($AB476=0,($V476/0.74)*BH476,
BH476*$AB476),)</f>
        <v/>
      </c>
      <c r="DU476" s="128">
        <f>IFERROR(IF($AB476=0,($V476/0.74)*BI476,
BI476*$AB476),)</f>
        <v/>
      </c>
    </row>
    <row r="477" ht="131.25" customHeight="1" s="162">
      <c r="A477" s="115" t="n"/>
      <c r="B477" s="115" t="n"/>
      <c r="C477" s="115" t="n"/>
      <c r="D477" s="115" t="n"/>
      <c r="E477" s="115" t="n"/>
      <c r="F477" s="115" t="n"/>
      <c r="G477" s="115" t="n"/>
      <c r="H477" s="115" t="n"/>
      <c r="I477" s="115" t="n"/>
      <c r="J477" s="115" t="n"/>
      <c r="K477" s="115" t="n"/>
      <c r="L477" s="115" t="n"/>
      <c r="M477" s="115" t="n"/>
      <c r="N477" s="115" t="n"/>
      <c r="O477" s="115" t="n"/>
      <c r="P477" s="115" t="n"/>
      <c r="Q477" s="115" t="n"/>
      <c r="R477" s="115" t="n"/>
      <c r="S477" s="115" t="n"/>
      <c r="T477" s="115" t="n"/>
      <c r="U477" s="116" t="n"/>
      <c r="V477" s="116" t="n"/>
      <c r="W477" s="117" t="n"/>
      <c r="X477" s="118" t="n"/>
      <c r="Y477" s="119" t="n"/>
      <c r="Z477" s="120" t="n"/>
      <c r="AA477" s="121" t="n"/>
      <c r="AB477" s="122" t="n"/>
      <c r="AC477" s="117" t="n"/>
      <c r="AD477" s="123">
        <f>IF(SUM($AE477:$AH477)=0,"",SUM($AE477:$AH477))</f>
        <v/>
      </c>
      <c r="AE477" s="123">
        <f>iferror(IF(SUM($AI477:$AZ477)=0,"",SUM($AI477:$AZ477)),"")</f>
        <v/>
      </c>
      <c r="AF477" s="123">
        <f>iferror(IF(SUM($BA477:$BC477)=0,"",SUM($BA477:$BC477)),"")</f>
        <v/>
      </c>
      <c r="AG477" s="123">
        <f>iferror(IF(SUM($BD477:$BF477)=0,"",SUM($BD477:$BF477)),"")</f>
        <v/>
      </c>
      <c r="AH477" s="124">
        <f>iferror(IF(SUM($BG477:$BI477)=0,"",SUM($BG477:$BI477)),"")</f>
        <v/>
      </c>
      <c r="AI477" s="131" t="n"/>
      <c r="AJ477" s="132" t="n"/>
      <c r="AK477" s="132" t="n"/>
      <c r="AL477" s="132" t="n"/>
      <c r="AM477" s="132" t="n"/>
      <c r="AN477" s="132" t="n"/>
      <c r="AO477" s="132" t="n"/>
      <c r="AP477" s="132" t="n"/>
      <c r="AQ477" s="132" t="n"/>
      <c r="AR477" s="132" t="n"/>
      <c r="AS477" s="132" t="n"/>
      <c r="AT477" s="132" t="n"/>
      <c r="AU477" s="132" t="n"/>
      <c r="AV477" s="132" t="n"/>
      <c r="AW477" s="132" t="n"/>
      <c r="AX477" s="132" t="n"/>
      <c r="AY477" s="132" t="n"/>
      <c r="AZ477" s="133" t="n"/>
      <c r="BA477" s="131" t="n"/>
      <c r="BB477" s="132" t="n"/>
      <c r="BC477" s="133" t="n"/>
      <c r="BD477" s="131" t="n"/>
      <c r="BE477" s="132" t="n"/>
      <c r="BF477" s="133" t="n"/>
      <c r="BG477" s="131" t="n"/>
      <c r="BH477" s="132" t="n"/>
      <c r="BI477" s="132" t="n"/>
      <c r="BJ477" s="128">
        <f>iferror(SUM($BK477,($BL477*1.2),($BM477*1.35),($BN477*0.74)),)</f>
        <v/>
      </c>
      <c r="BK477" s="128">
        <f>IFERROR(SUM($BT477:$CK477),)</f>
        <v/>
      </c>
      <c r="BL477" s="129">
        <f>IFERROR(SUM($CL477:$CN477),)</f>
        <v/>
      </c>
      <c r="BM477" s="130">
        <f>IFERROR(SUM($CO477:$CQ477),)</f>
        <v/>
      </c>
      <c r="BN477" s="128">
        <f>IFERROR(SUM($CR477:$CT477),)</f>
        <v/>
      </c>
      <c r="BO477" s="128">
        <f>iferror(SUM($BP477,($BQ477*1.2),($BR477*1.35),($BS477*0.74)),)</f>
        <v/>
      </c>
      <c r="BP477" s="128">
        <f>IFERROR(SUM($CU477:$DL477),)</f>
        <v/>
      </c>
      <c r="BQ477" s="128">
        <f>IFERROR(SUM($DM477:$DO477),)</f>
        <v/>
      </c>
      <c r="BR477" s="128">
        <f>IFERROR(SUM($DP477:$DR477),)</f>
        <v/>
      </c>
      <c r="BS477" s="128">
        <f>IFERROR(SUM($DS477:$DU477),)</f>
        <v/>
      </c>
      <c r="BT477" s="128">
        <f>IFERROR(AI477*$W477,)</f>
        <v/>
      </c>
      <c r="BU477" s="128">
        <f>IFERROR(AJ477*$W477,)</f>
        <v/>
      </c>
      <c r="BV477" s="128">
        <f>IFERROR(AK477*$W477,)</f>
        <v/>
      </c>
      <c r="BW477" s="128">
        <f>IFERROR(AL477*$W477,)</f>
        <v/>
      </c>
      <c r="BX477" s="128">
        <f>IFERROR(AM477*$W477,)</f>
        <v/>
      </c>
      <c r="BY477" s="128">
        <f>IFERROR(AN477*$W477,)</f>
        <v/>
      </c>
      <c r="BZ477" s="128">
        <f>IFERROR(AO477*$W477,)</f>
        <v/>
      </c>
      <c r="CA477" s="128">
        <f>IFERROR(AP477*$W477,)</f>
        <v/>
      </c>
      <c r="CB477" s="128">
        <f>IFERROR(AQ477*$W477,)</f>
        <v/>
      </c>
      <c r="CC477" s="128">
        <f>IFERROR(AR477*$W477,)</f>
        <v/>
      </c>
      <c r="CD477" s="128">
        <f>IFERROR(AS477*$W477,)</f>
        <v/>
      </c>
      <c r="CE477" s="128">
        <f>IFERROR(AT477*$W477,)</f>
        <v/>
      </c>
      <c r="CF477" s="128">
        <f>IFERROR(AU477*$W477,)</f>
        <v/>
      </c>
      <c r="CG477" s="128">
        <f>IFERROR(AV477*$W477,)</f>
        <v/>
      </c>
      <c r="CH477" s="128">
        <f>IFERROR(AW477*$W477,)</f>
        <v/>
      </c>
      <c r="CI477" s="128">
        <f>IFERROR(AX477*$W477,)</f>
        <v/>
      </c>
      <c r="CJ477" s="128">
        <f>IFERROR(AY477*$W477,)</f>
        <v/>
      </c>
      <c r="CK477" s="128">
        <f>IFERROR(AZ477*$W477,)</f>
        <v/>
      </c>
      <c r="CL477" s="129">
        <f>IFERROR(if($Y477=0,BA477*($W477/1.2),BA477*$Y477),"")</f>
        <v/>
      </c>
      <c r="CM477" s="129">
        <f>IFERROR(if($Y477=0,BB477*($W477/1.2),BB477*$Y477),"")</f>
        <v/>
      </c>
      <c r="CN477" s="129">
        <f>IFERROR(if($Y477=0,BC477*($W477/1.2),BC477*$Y477),"")</f>
        <v/>
      </c>
      <c r="CO477" s="130">
        <f>IFERROR(if($AA477=0,($W477/1.35)*BD477,BD477*$AA477),)</f>
        <v/>
      </c>
      <c r="CP477" s="130">
        <f>IFERROR(if($AA477=0,($W477/1.35)*BE477,BE477*$AA477),)</f>
        <v/>
      </c>
      <c r="CQ477" s="130">
        <f>IFERROR(if($AA477=0,($W477/1.35)*BF477,BF477*$AA477),)</f>
        <v/>
      </c>
      <c r="CR477" s="128">
        <f>IFERROR(if($AC477=0,($W477/0.74)*BG477,
BG477*$AC477),)</f>
        <v/>
      </c>
      <c r="CS477" s="128">
        <f>IFERROR(if($AC477=0,($W477/0.74)*BH477,
BH477*$AC477),)</f>
        <v/>
      </c>
      <c r="CT477" s="128">
        <f>IFERROR(if($AC477=0,($W477/0.74)*BI477,
BI477*$AC477),)</f>
        <v/>
      </c>
      <c r="CU477" s="128">
        <f>IFERROR(AI477*$V477,)</f>
        <v/>
      </c>
      <c r="CV477" s="128">
        <f>IFERROR(AJ477*$V477,)</f>
        <v/>
      </c>
      <c r="CW477" s="128">
        <f>IFERROR(AK477*$V477,)</f>
        <v/>
      </c>
      <c r="CX477" s="128">
        <f>IFERROR(AL477*$V477,)</f>
        <v/>
      </c>
      <c r="CY477" s="128">
        <f>IFERROR(AM477*$V477,)</f>
        <v/>
      </c>
      <c r="CZ477" s="128">
        <f>IFERROR(AN477*$V477,)</f>
        <v/>
      </c>
      <c r="DA477" s="128">
        <f>IFERROR(AO477*$V477,)</f>
        <v/>
      </c>
      <c r="DB477" s="128">
        <f>IFERROR(AP477*$V477,)</f>
        <v/>
      </c>
      <c r="DC477" s="128">
        <f>IFERROR(AQ477*$V477,)</f>
        <v/>
      </c>
      <c r="DD477" s="128">
        <f>IFERROR(AR477*$V477,)</f>
        <v/>
      </c>
      <c r="DE477" s="128">
        <f>IFERROR(AS477*$V477,)</f>
        <v/>
      </c>
      <c r="DF477" s="128">
        <f>IFERROR(AT477*$V477,)</f>
        <v/>
      </c>
      <c r="DG477" s="128">
        <f>IFERROR(AU477*$V477,)</f>
        <v/>
      </c>
      <c r="DH477" s="128">
        <f>IFERROR(AV477*$V477,)</f>
        <v/>
      </c>
      <c r="DI477" s="128">
        <f>IFERROR(AW477*$V477,)</f>
        <v/>
      </c>
      <c r="DJ477" s="128">
        <f>IFERROR(AX477*$V477,)</f>
        <v/>
      </c>
      <c r="DK477" s="128">
        <f>IFERROR(AY477*$V477,)</f>
        <v/>
      </c>
      <c r="DL477" s="128">
        <f>IFERROR(AZ477*$V477,)</f>
        <v/>
      </c>
      <c r="DM477" s="129">
        <f>IFERROR(if($X477=0,($V477/1.2)*BA477,
BA477*$X477),)</f>
        <v/>
      </c>
      <c r="DN477" s="129">
        <f>IFERROR(if($X477=0,($V477/1.2)*BB477,
BB477*$X477),)</f>
        <v/>
      </c>
      <c r="DO477" s="129">
        <f>IFERROR(if($X477=0,($V477/1.2)*BC477,
BC477*$X477),)</f>
        <v/>
      </c>
      <c r="DP477" s="130">
        <f>IFERROR(if($Z477=0,($V477/1.35)*BD477,
BD477*$Z477),)</f>
        <v/>
      </c>
      <c r="DQ477" s="130">
        <f>IFERROR(if($Z477=0,($V477/1.35)*BE477,
BE477*$Z477),)</f>
        <v/>
      </c>
      <c r="DR477" s="130">
        <f>IFERROR(if($Z477=0,($V477/1.35)*BF477,
BF477*$Z477),)</f>
        <v/>
      </c>
      <c r="DS477" s="128">
        <f>IFERROR(IF($AB477=0,($V477/0.74)*BG477,
BG477*$AB477),)</f>
        <v/>
      </c>
      <c r="DT477" s="128">
        <f>IFERROR(IF($AB477=0,($V477/0.74)*BH477,
BH477*$AB477),)</f>
        <v/>
      </c>
      <c r="DU477" s="128">
        <f>IFERROR(IF($AB477=0,($V477/0.74)*BI477,
BI477*$AB477),)</f>
        <v/>
      </c>
    </row>
    <row r="478" ht="131.25" customHeight="1" s="162">
      <c r="A478" s="115" t="n"/>
      <c r="B478" s="115" t="n"/>
      <c r="C478" s="115" t="n"/>
      <c r="D478" s="115" t="n"/>
      <c r="E478" s="115" t="n"/>
      <c r="F478" s="115" t="n"/>
      <c r="G478" s="115" t="n"/>
      <c r="H478" s="115" t="n"/>
      <c r="I478" s="115" t="n"/>
      <c r="J478" s="115" t="n"/>
      <c r="K478" s="115" t="n"/>
      <c r="L478" s="115" t="n"/>
      <c r="M478" s="115" t="n"/>
      <c r="N478" s="115" t="n"/>
      <c r="O478" s="115" t="n"/>
      <c r="P478" s="115" t="n"/>
      <c r="Q478" s="115" t="n"/>
      <c r="R478" s="115" t="n"/>
      <c r="S478" s="115" t="n"/>
      <c r="T478" s="115" t="n"/>
      <c r="U478" s="116" t="n"/>
      <c r="V478" s="116" t="n"/>
      <c r="W478" s="117" t="n"/>
      <c r="X478" s="118" t="n"/>
      <c r="Y478" s="119" t="n"/>
      <c r="Z478" s="120" t="n"/>
      <c r="AA478" s="121" t="n"/>
      <c r="AB478" s="122" t="n"/>
      <c r="AC478" s="117" t="n"/>
      <c r="AD478" s="123">
        <f>IF(SUM($AE478:$AH478)=0,"",SUM($AE478:$AH478))</f>
        <v/>
      </c>
      <c r="AE478" s="123">
        <f>iferror(IF(SUM($AI478:$AZ478)=0,"",SUM($AI478:$AZ478)),"")</f>
        <v/>
      </c>
      <c r="AF478" s="123">
        <f>iferror(IF(SUM($BA478:$BC478)=0,"",SUM($BA478:$BC478)),"")</f>
        <v/>
      </c>
      <c r="AG478" s="123">
        <f>iferror(IF(SUM($BD478:$BF478)=0,"",SUM($BD478:$BF478)),"")</f>
        <v/>
      </c>
      <c r="AH478" s="124">
        <f>iferror(IF(SUM($BG478:$BI478)=0,"",SUM($BG478:$BI478)),"")</f>
        <v/>
      </c>
      <c r="AI478" s="131" t="n"/>
      <c r="AJ478" s="132" t="n"/>
      <c r="AK478" s="132" t="n"/>
      <c r="AL478" s="132" t="n"/>
      <c r="AM478" s="132" t="n"/>
      <c r="AN478" s="132" t="n"/>
      <c r="AO478" s="132" t="n"/>
      <c r="AP478" s="132" t="n"/>
      <c r="AQ478" s="132" t="n"/>
      <c r="AR478" s="132" t="n"/>
      <c r="AS478" s="132" t="n"/>
      <c r="AT478" s="132" t="n"/>
      <c r="AU478" s="132" t="n"/>
      <c r="AV478" s="132" t="n"/>
      <c r="AW478" s="132" t="n"/>
      <c r="AX478" s="132" t="n"/>
      <c r="AY478" s="132" t="n"/>
      <c r="AZ478" s="133" t="n"/>
      <c r="BA478" s="131" t="n"/>
      <c r="BB478" s="132" t="n"/>
      <c r="BC478" s="133" t="n"/>
      <c r="BD478" s="131" t="n"/>
      <c r="BE478" s="132" t="n"/>
      <c r="BF478" s="133" t="n"/>
      <c r="BG478" s="131" t="n"/>
      <c r="BH478" s="132" t="n"/>
      <c r="BI478" s="132" t="n"/>
      <c r="BJ478" s="128">
        <f>iferror(SUM($BK478,($BL478*1.2),($BM478*1.35),($BN478*0.74)),)</f>
        <v/>
      </c>
      <c r="BK478" s="128">
        <f>IFERROR(SUM($BT478:$CK478),)</f>
        <v/>
      </c>
      <c r="BL478" s="129">
        <f>IFERROR(SUM($CL478:$CN478),)</f>
        <v/>
      </c>
      <c r="BM478" s="130">
        <f>IFERROR(SUM($CO478:$CQ478),)</f>
        <v/>
      </c>
      <c r="BN478" s="128">
        <f>IFERROR(SUM($CR478:$CT478),)</f>
        <v/>
      </c>
      <c r="BO478" s="128">
        <f>iferror(SUM($BP478,($BQ478*1.2),($BR478*1.35),($BS478*0.74)),)</f>
        <v/>
      </c>
      <c r="BP478" s="128">
        <f>IFERROR(SUM($CU478:$DL478),)</f>
        <v/>
      </c>
      <c r="BQ478" s="128">
        <f>IFERROR(SUM($DM478:$DO478),)</f>
        <v/>
      </c>
      <c r="BR478" s="128">
        <f>IFERROR(SUM($DP478:$DR478),)</f>
        <v/>
      </c>
      <c r="BS478" s="128">
        <f>IFERROR(SUM($DS478:$DU478),)</f>
        <v/>
      </c>
      <c r="BT478" s="128">
        <f>IFERROR(AI478*$W478,)</f>
        <v/>
      </c>
      <c r="BU478" s="128">
        <f>IFERROR(AJ478*$W478,)</f>
        <v/>
      </c>
      <c r="BV478" s="128">
        <f>IFERROR(AK478*$W478,)</f>
        <v/>
      </c>
      <c r="BW478" s="128">
        <f>IFERROR(AL478*$W478,)</f>
        <v/>
      </c>
      <c r="BX478" s="128">
        <f>IFERROR(AM478*$W478,)</f>
        <v/>
      </c>
      <c r="BY478" s="128">
        <f>IFERROR(AN478*$W478,)</f>
        <v/>
      </c>
      <c r="BZ478" s="128">
        <f>IFERROR(AO478*$W478,)</f>
        <v/>
      </c>
      <c r="CA478" s="128">
        <f>IFERROR(AP478*$W478,)</f>
        <v/>
      </c>
      <c r="CB478" s="128">
        <f>IFERROR(AQ478*$W478,)</f>
        <v/>
      </c>
      <c r="CC478" s="128">
        <f>IFERROR(AR478*$W478,)</f>
        <v/>
      </c>
      <c r="CD478" s="128">
        <f>IFERROR(AS478*$W478,)</f>
        <v/>
      </c>
      <c r="CE478" s="128">
        <f>IFERROR(AT478*$W478,)</f>
        <v/>
      </c>
      <c r="CF478" s="128">
        <f>IFERROR(AU478*$W478,)</f>
        <v/>
      </c>
      <c r="CG478" s="128">
        <f>IFERROR(AV478*$W478,)</f>
        <v/>
      </c>
      <c r="CH478" s="128">
        <f>IFERROR(AW478*$W478,)</f>
        <v/>
      </c>
      <c r="CI478" s="128">
        <f>IFERROR(AX478*$W478,)</f>
        <v/>
      </c>
      <c r="CJ478" s="128">
        <f>IFERROR(AY478*$W478,)</f>
        <v/>
      </c>
      <c r="CK478" s="128">
        <f>IFERROR(AZ478*$W478,)</f>
        <v/>
      </c>
      <c r="CL478" s="129">
        <f>IFERROR(if($Y478=0,BA478*($W478/1.2),BA478*$Y478),"")</f>
        <v/>
      </c>
      <c r="CM478" s="129">
        <f>IFERROR(if($Y478=0,BB478*($W478/1.2),BB478*$Y478),"")</f>
        <v/>
      </c>
      <c r="CN478" s="129">
        <f>IFERROR(if($Y478=0,BC478*($W478/1.2),BC478*$Y478),"")</f>
        <v/>
      </c>
      <c r="CO478" s="130">
        <f>IFERROR(if($AA478=0,($W478/1.35)*BD478,BD478*$AA478),)</f>
        <v/>
      </c>
      <c r="CP478" s="130">
        <f>IFERROR(if($AA478=0,($W478/1.35)*BE478,BE478*$AA478),)</f>
        <v/>
      </c>
      <c r="CQ478" s="130">
        <f>IFERROR(if($AA478=0,($W478/1.35)*BF478,BF478*$AA478),)</f>
        <v/>
      </c>
      <c r="CR478" s="128">
        <f>IFERROR(if($AC478=0,($W478/0.74)*BG478,
BG478*$AC478),)</f>
        <v/>
      </c>
      <c r="CS478" s="128">
        <f>IFERROR(if($AC478=0,($W478/0.74)*BH478,
BH478*$AC478),)</f>
        <v/>
      </c>
      <c r="CT478" s="128">
        <f>IFERROR(if($AC478=0,($W478/0.74)*BI478,
BI478*$AC478),)</f>
        <v/>
      </c>
      <c r="CU478" s="128">
        <f>IFERROR(AI478*$V478,)</f>
        <v/>
      </c>
      <c r="CV478" s="128">
        <f>IFERROR(AJ478*$V478,)</f>
        <v/>
      </c>
      <c r="CW478" s="128">
        <f>IFERROR(AK478*$V478,)</f>
        <v/>
      </c>
      <c r="CX478" s="128">
        <f>IFERROR(AL478*$V478,)</f>
        <v/>
      </c>
      <c r="CY478" s="128">
        <f>IFERROR(AM478*$V478,)</f>
        <v/>
      </c>
      <c r="CZ478" s="128">
        <f>IFERROR(AN478*$V478,)</f>
        <v/>
      </c>
      <c r="DA478" s="128">
        <f>IFERROR(AO478*$V478,)</f>
        <v/>
      </c>
      <c r="DB478" s="128">
        <f>IFERROR(AP478*$V478,)</f>
        <v/>
      </c>
      <c r="DC478" s="128">
        <f>IFERROR(AQ478*$V478,)</f>
        <v/>
      </c>
      <c r="DD478" s="128">
        <f>IFERROR(AR478*$V478,)</f>
        <v/>
      </c>
      <c r="DE478" s="128">
        <f>IFERROR(AS478*$V478,)</f>
        <v/>
      </c>
      <c r="DF478" s="128">
        <f>IFERROR(AT478*$V478,)</f>
        <v/>
      </c>
      <c r="DG478" s="128">
        <f>IFERROR(AU478*$V478,)</f>
        <v/>
      </c>
      <c r="DH478" s="128">
        <f>IFERROR(AV478*$V478,)</f>
        <v/>
      </c>
      <c r="DI478" s="128">
        <f>IFERROR(AW478*$V478,)</f>
        <v/>
      </c>
      <c r="DJ478" s="128">
        <f>IFERROR(AX478*$V478,)</f>
        <v/>
      </c>
      <c r="DK478" s="128">
        <f>IFERROR(AY478*$V478,)</f>
        <v/>
      </c>
      <c r="DL478" s="128">
        <f>IFERROR(AZ478*$V478,)</f>
        <v/>
      </c>
      <c r="DM478" s="129">
        <f>IFERROR(if($X478=0,($V478/1.2)*BA478,
BA478*$X478),)</f>
        <v/>
      </c>
      <c r="DN478" s="129">
        <f>IFERROR(if($X478=0,($V478/1.2)*BB478,
BB478*$X478),)</f>
        <v/>
      </c>
      <c r="DO478" s="129">
        <f>IFERROR(if($X478=0,($V478/1.2)*BC478,
BC478*$X478),)</f>
        <v/>
      </c>
      <c r="DP478" s="130">
        <f>IFERROR(if($Z478=0,($V478/1.35)*BD478,
BD478*$Z478),)</f>
        <v/>
      </c>
      <c r="DQ478" s="130">
        <f>IFERROR(if($Z478=0,($V478/1.35)*BE478,
BE478*$Z478),)</f>
        <v/>
      </c>
      <c r="DR478" s="130">
        <f>IFERROR(if($Z478=0,($V478/1.35)*BF478,
BF478*$Z478),)</f>
        <v/>
      </c>
      <c r="DS478" s="128">
        <f>IFERROR(IF($AB478=0,($V478/0.74)*BG478,
BG478*$AB478),)</f>
        <v/>
      </c>
      <c r="DT478" s="128">
        <f>IFERROR(IF($AB478=0,($V478/0.74)*BH478,
BH478*$AB478),)</f>
        <v/>
      </c>
      <c r="DU478" s="128">
        <f>IFERROR(IF($AB478=0,($V478/0.74)*BI478,
BI478*$AB478),)</f>
        <v/>
      </c>
    </row>
    <row r="479" ht="131.25" customHeight="1" s="162">
      <c r="A479" s="115" t="n"/>
      <c r="B479" s="115" t="n"/>
      <c r="C479" s="115" t="n"/>
      <c r="D479" s="115" t="n"/>
      <c r="E479" s="115" t="n"/>
      <c r="F479" s="115" t="n"/>
      <c r="G479" s="115" t="n"/>
      <c r="H479" s="115" t="n"/>
      <c r="I479" s="115" t="n"/>
      <c r="J479" s="115" t="n"/>
      <c r="K479" s="115" t="n"/>
      <c r="L479" s="115" t="n"/>
      <c r="M479" s="115" t="n"/>
      <c r="N479" s="115" t="n"/>
      <c r="O479" s="115" t="n"/>
      <c r="P479" s="115" t="n"/>
      <c r="Q479" s="115" t="n"/>
      <c r="R479" s="115" t="n"/>
      <c r="S479" s="115" t="n"/>
      <c r="T479" s="115" t="n"/>
      <c r="U479" s="116" t="n"/>
      <c r="V479" s="116" t="n"/>
      <c r="W479" s="117" t="n"/>
      <c r="X479" s="118" t="n"/>
      <c r="Y479" s="119" t="n"/>
      <c r="Z479" s="120" t="n"/>
      <c r="AA479" s="121" t="n"/>
      <c r="AB479" s="122" t="n"/>
      <c r="AC479" s="117" t="n"/>
      <c r="AD479" s="123">
        <f>IF(SUM($AE479:$AH479)=0,"",SUM($AE479:$AH479))</f>
        <v/>
      </c>
      <c r="AE479" s="123">
        <f>iferror(IF(SUM($AI479:$AZ479)=0,"",SUM($AI479:$AZ479)),"")</f>
        <v/>
      </c>
      <c r="AF479" s="123">
        <f>iferror(IF(SUM($BA479:$BC479)=0,"",SUM($BA479:$BC479)),"")</f>
        <v/>
      </c>
      <c r="AG479" s="123">
        <f>iferror(IF(SUM($BD479:$BF479)=0,"",SUM($BD479:$BF479)),"")</f>
        <v/>
      </c>
      <c r="AH479" s="124">
        <f>iferror(IF(SUM($BG479:$BI479)=0,"",SUM($BG479:$BI479)),"")</f>
        <v/>
      </c>
      <c r="AI479" s="131" t="n"/>
      <c r="AJ479" s="132" t="n"/>
      <c r="AK479" s="132" t="n"/>
      <c r="AL479" s="132" t="n"/>
      <c r="AM479" s="132" t="n"/>
      <c r="AN479" s="132" t="n"/>
      <c r="AO479" s="132" t="n"/>
      <c r="AP479" s="132" t="n"/>
      <c r="AQ479" s="132" t="n"/>
      <c r="AR479" s="132" t="n"/>
      <c r="AS479" s="132" t="n"/>
      <c r="AT479" s="132" t="n"/>
      <c r="AU479" s="132" t="n"/>
      <c r="AV479" s="132" t="n"/>
      <c r="AW479" s="132" t="n"/>
      <c r="AX479" s="132" t="n"/>
      <c r="AY479" s="132" t="n"/>
      <c r="AZ479" s="133" t="n"/>
      <c r="BA479" s="131" t="n"/>
      <c r="BB479" s="132" t="n"/>
      <c r="BC479" s="133" t="n"/>
      <c r="BD479" s="131" t="n"/>
      <c r="BE479" s="132" t="n"/>
      <c r="BF479" s="133" t="n"/>
      <c r="BG479" s="131" t="n"/>
      <c r="BH479" s="132" t="n"/>
      <c r="BI479" s="132" t="n"/>
      <c r="BJ479" s="128">
        <f>iferror(SUM($BK479,($BL479*1.2),($BM479*1.35),($BN479*0.74)),)</f>
        <v/>
      </c>
      <c r="BK479" s="128">
        <f>IFERROR(SUM($BT479:$CK479),)</f>
        <v/>
      </c>
      <c r="BL479" s="129">
        <f>IFERROR(SUM($CL479:$CN479),)</f>
        <v/>
      </c>
      <c r="BM479" s="130">
        <f>IFERROR(SUM($CO479:$CQ479),)</f>
        <v/>
      </c>
      <c r="BN479" s="128">
        <f>IFERROR(SUM($CR479:$CT479),)</f>
        <v/>
      </c>
      <c r="BO479" s="128">
        <f>iferror(SUM($BP479,($BQ479*1.2),($BR479*1.35),($BS479*0.74)),)</f>
        <v/>
      </c>
      <c r="BP479" s="128">
        <f>IFERROR(SUM($CU479:$DL479),)</f>
        <v/>
      </c>
      <c r="BQ479" s="128">
        <f>IFERROR(SUM($DM479:$DO479),)</f>
        <v/>
      </c>
      <c r="BR479" s="128">
        <f>IFERROR(SUM($DP479:$DR479),)</f>
        <v/>
      </c>
      <c r="BS479" s="128">
        <f>IFERROR(SUM($DS479:$DU479),)</f>
        <v/>
      </c>
      <c r="BT479" s="128">
        <f>IFERROR(AI479*$W479,)</f>
        <v/>
      </c>
      <c r="BU479" s="128">
        <f>IFERROR(AJ479*$W479,)</f>
        <v/>
      </c>
      <c r="BV479" s="128">
        <f>IFERROR(AK479*$W479,)</f>
        <v/>
      </c>
      <c r="BW479" s="128">
        <f>IFERROR(AL479*$W479,)</f>
        <v/>
      </c>
      <c r="BX479" s="128">
        <f>IFERROR(AM479*$W479,)</f>
        <v/>
      </c>
      <c r="BY479" s="128">
        <f>IFERROR(AN479*$W479,)</f>
        <v/>
      </c>
      <c r="BZ479" s="128">
        <f>IFERROR(AO479*$W479,)</f>
        <v/>
      </c>
      <c r="CA479" s="128">
        <f>IFERROR(AP479*$W479,)</f>
        <v/>
      </c>
      <c r="CB479" s="128">
        <f>IFERROR(AQ479*$W479,)</f>
        <v/>
      </c>
      <c r="CC479" s="128">
        <f>IFERROR(AR479*$W479,)</f>
        <v/>
      </c>
      <c r="CD479" s="128">
        <f>IFERROR(AS479*$W479,)</f>
        <v/>
      </c>
      <c r="CE479" s="128">
        <f>IFERROR(AT479*$W479,)</f>
        <v/>
      </c>
      <c r="CF479" s="128">
        <f>IFERROR(AU479*$W479,)</f>
        <v/>
      </c>
      <c r="CG479" s="128">
        <f>IFERROR(AV479*$W479,)</f>
        <v/>
      </c>
      <c r="CH479" s="128">
        <f>IFERROR(AW479*$W479,)</f>
        <v/>
      </c>
      <c r="CI479" s="128">
        <f>IFERROR(AX479*$W479,)</f>
        <v/>
      </c>
      <c r="CJ479" s="128">
        <f>IFERROR(AY479*$W479,)</f>
        <v/>
      </c>
      <c r="CK479" s="128">
        <f>IFERROR(AZ479*$W479,)</f>
        <v/>
      </c>
      <c r="CL479" s="129">
        <f>IFERROR(if($Y479=0,BA479*($W479/1.2),BA479*$Y479),"")</f>
        <v/>
      </c>
      <c r="CM479" s="129">
        <f>IFERROR(if($Y479=0,BB479*($W479/1.2),BB479*$Y479),"")</f>
        <v/>
      </c>
      <c r="CN479" s="129">
        <f>IFERROR(if($Y479=0,BC479*($W479/1.2),BC479*$Y479),"")</f>
        <v/>
      </c>
      <c r="CO479" s="130">
        <f>IFERROR(if($AA479=0,($W479/1.35)*BD479,BD479*$AA479),)</f>
        <v/>
      </c>
      <c r="CP479" s="130">
        <f>IFERROR(if($AA479=0,($W479/1.35)*BE479,BE479*$AA479),)</f>
        <v/>
      </c>
      <c r="CQ479" s="130">
        <f>IFERROR(if($AA479=0,($W479/1.35)*BF479,BF479*$AA479),)</f>
        <v/>
      </c>
      <c r="CR479" s="128">
        <f>IFERROR(if($AC479=0,($W479/0.74)*BG479,
BG479*$AC479),)</f>
        <v/>
      </c>
      <c r="CS479" s="128">
        <f>IFERROR(if($AC479=0,($W479/0.74)*BH479,
BH479*$AC479),)</f>
        <v/>
      </c>
      <c r="CT479" s="128">
        <f>IFERROR(if($AC479=0,($W479/0.74)*BI479,
BI479*$AC479),)</f>
        <v/>
      </c>
      <c r="CU479" s="128">
        <f>IFERROR(AI479*$V479,)</f>
        <v/>
      </c>
      <c r="CV479" s="128">
        <f>IFERROR(AJ479*$V479,)</f>
        <v/>
      </c>
      <c r="CW479" s="128">
        <f>IFERROR(AK479*$V479,)</f>
        <v/>
      </c>
      <c r="CX479" s="128">
        <f>IFERROR(AL479*$V479,)</f>
        <v/>
      </c>
      <c r="CY479" s="128">
        <f>IFERROR(AM479*$V479,)</f>
        <v/>
      </c>
      <c r="CZ479" s="128">
        <f>IFERROR(AN479*$V479,)</f>
        <v/>
      </c>
      <c r="DA479" s="128">
        <f>IFERROR(AO479*$V479,)</f>
        <v/>
      </c>
      <c r="DB479" s="128">
        <f>IFERROR(AP479*$V479,)</f>
        <v/>
      </c>
      <c r="DC479" s="128">
        <f>IFERROR(AQ479*$V479,)</f>
        <v/>
      </c>
      <c r="DD479" s="128">
        <f>IFERROR(AR479*$V479,)</f>
        <v/>
      </c>
      <c r="DE479" s="128">
        <f>IFERROR(AS479*$V479,)</f>
        <v/>
      </c>
      <c r="DF479" s="128">
        <f>IFERROR(AT479*$V479,)</f>
        <v/>
      </c>
      <c r="DG479" s="128">
        <f>IFERROR(AU479*$V479,)</f>
        <v/>
      </c>
      <c r="DH479" s="128">
        <f>IFERROR(AV479*$V479,)</f>
        <v/>
      </c>
      <c r="DI479" s="128">
        <f>IFERROR(AW479*$V479,)</f>
        <v/>
      </c>
      <c r="DJ479" s="128">
        <f>IFERROR(AX479*$V479,)</f>
        <v/>
      </c>
      <c r="DK479" s="128">
        <f>IFERROR(AY479*$V479,)</f>
        <v/>
      </c>
      <c r="DL479" s="128">
        <f>IFERROR(AZ479*$V479,)</f>
        <v/>
      </c>
      <c r="DM479" s="129">
        <f>IFERROR(if($X479=0,($V479/1.2)*BA479,
BA479*$X479),)</f>
        <v/>
      </c>
      <c r="DN479" s="129">
        <f>IFERROR(if($X479=0,($V479/1.2)*BB479,
BB479*$X479),)</f>
        <v/>
      </c>
      <c r="DO479" s="129">
        <f>IFERROR(if($X479=0,($V479/1.2)*BC479,
BC479*$X479),)</f>
        <v/>
      </c>
      <c r="DP479" s="130">
        <f>IFERROR(if($Z479=0,($V479/1.35)*BD479,
BD479*$Z479),)</f>
        <v/>
      </c>
      <c r="DQ479" s="130">
        <f>IFERROR(if($Z479=0,($V479/1.35)*BE479,
BE479*$Z479),)</f>
        <v/>
      </c>
      <c r="DR479" s="130">
        <f>IFERROR(if($Z479=0,($V479/1.35)*BF479,
BF479*$Z479),)</f>
        <v/>
      </c>
      <c r="DS479" s="128">
        <f>IFERROR(IF($AB479=0,($V479/0.74)*BG479,
BG479*$AB479),)</f>
        <v/>
      </c>
      <c r="DT479" s="128">
        <f>IFERROR(IF($AB479=0,($V479/0.74)*BH479,
BH479*$AB479),)</f>
        <v/>
      </c>
      <c r="DU479" s="128">
        <f>IFERROR(IF($AB479=0,($V479/0.74)*BI479,
BI479*$AB479),)</f>
        <v/>
      </c>
    </row>
    <row r="480" ht="131.25" customHeight="1" s="162">
      <c r="A480" s="115" t="n"/>
      <c r="B480" s="115" t="n"/>
      <c r="C480" s="115" t="n"/>
      <c r="D480" s="115" t="n"/>
      <c r="E480" s="115" t="n"/>
      <c r="F480" s="115" t="n"/>
      <c r="G480" s="115" t="n"/>
      <c r="H480" s="115" t="n"/>
      <c r="I480" s="115" t="n"/>
      <c r="J480" s="115" t="n"/>
      <c r="K480" s="115" t="n"/>
      <c r="L480" s="115" t="n"/>
      <c r="M480" s="115" t="n"/>
      <c r="N480" s="115" t="n"/>
      <c r="O480" s="115" t="n"/>
      <c r="P480" s="115" t="n"/>
      <c r="Q480" s="115" t="n"/>
      <c r="R480" s="115" t="n"/>
      <c r="S480" s="115" t="n"/>
      <c r="T480" s="115" t="n"/>
      <c r="U480" s="116" t="n"/>
      <c r="V480" s="116" t="n"/>
      <c r="W480" s="117" t="n"/>
      <c r="X480" s="118" t="n"/>
      <c r="Y480" s="119" t="n"/>
      <c r="Z480" s="120" t="n"/>
      <c r="AA480" s="121" t="n"/>
      <c r="AB480" s="122" t="n"/>
      <c r="AC480" s="117" t="n"/>
      <c r="AD480" s="123">
        <f>IF(SUM($AE480:$AH480)=0,"",SUM($AE480:$AH480))</f>
        <v/>
      </c>
      <c r="AE480" s="123">
        <f>iferror(IF(SUM($AI480:$AZ480)=0,"",SUM($AI480:$AZ480)),"")</f>
        <v/>
      </c>
      <c r="AF480" s="123">
        <f>iferror(IF(SUM($BA480:$BC480)=0,"",SUM($BA480:$BC480)),"")</f>
        <v/>
      </c>
      <c r="AG480" s="123">
        <f>iferror(IF(SUM($BD480:$BF480)=0,"",SUM($BD480:$BF480)),"")</f>
        <v/>
      </c>
      <c r="AH480" s="124">
        <f>iferror(IF(SUM($BG480:$BI480)=0,"",SUM($BG480:$BI480)),"")</f>
        <v/>
      </c>
      <c r="AI480" s="131" t="n"/>
      <c r="AJ480" s="132" t="n"/>
      <c r="AK480" s="132" t="n"/>
      <c r="AL480" s="132" t="n"/>
      <c r="AM480" s="132" t="n"/>
      <c r="AN480" s="132" t="n"/>
      <c r="AO480" s="132" t="n"/>
      <c r="AP480" s="132" t="n"/>
      <c r="AQ480" s="132" t="n"/>
      <c r="AR480" s="132" t="n"/>
      <c r="AS480" s="132" t="n"/>
      <c r="AT480" s="132" t="n"/>
      <c r="AU480" s="132" t="n"/>
      <c r="AV480" s="132" t="n"/>
      <c r="AW480" s="132" t="n"/>
      <c r="AX480" s="132" t="n"/>
      <c r="AY480" s="132" t="n"/>
      <c r="AZ480" s="133" t="n"/>
      <c r="BA480" s="131" t="n"/>
      <c r="BB480" s="132" t="n"/>
      <c r="BC480" s="133" t="n"/>
      <c r="BD480" s="131" t="n"/>
      <c r="BE480" s="132" t="n"/>
      <c r="BF480" s="133" t="n"/>
      <c r="BG480" s="131" t="n"/>
      <c r="BH480" s="132" t="n"/>
      <c r="BI480" s="132" t="n"/>
      <c r="BJ480" s="128">
        <f>iferror(SUM($BK480,($BL480*1.2),($BM480*1.35),($BN480*0.74)),)</f>
        <v/>
      </c>
      <c r="BK480" s="128">
        <f>IFERROR(SUM($BT480:$CK480),)</f>
        <v/>
      </c>
      <c r="BL480" s="129">
        <f>IFERROR(SUM($CL480:$CN480),)</f>
        <v/>
      </c>
      <c r="BM480" s="130">
        <f>IFERROR(SUM($CO480:$CQ480),)</f>
        <v/>
      </c>
      <c r="BN480" s="128">
        <f>IFERROR(SUM($CR480:$CT480),)</f>
        <v/>
      </c>
      <c r="BO480" s="128">
        <f>iferror(SUM($BP480,($BQ480*1.2),($BR480*1.35),($BS480*0.74)),)</f>
        <v/>
      </c>
      <c r="BP480" s="128">
        <f>IFERROR(SUM($CU480:$DL480),)</f>
        <v/>
      </c>
      <c r="BQ480" s="128">
        <f>IFERROR(SUM($DM480:$DO480),)</f>
        <v/>
      </c>
      <c r="BR480" s="128">
        <f>IFERROR(SUM($DP480:$DR480),)</f>
        <v/>
      </c>
      <c r="BS480" s="128">
        <f>IFERROR(SUM($DS480:$DU480),)</f>
        <v/>
      </c>
      <c r="BT480" s="128">
        <f>IFERROR(AI480*$W480,)</f>
        <v/>
      </c>
      <c r="BU480" s="128">
        <f>IFERROR(AJ480*$W480,)</f>
        <v/>
      </c>
      <c r="BV480" s="128">
        <f>IFERROR(AK480*$W480,)</f>
        <v/>
      </c>
      <c r="BW480" s="128">
        <f>IFERROR(AL480*$W480,)</f>
        <v/>
      </c>
      <c r="BX480" s="128">
        <f>IFERROR(AM480*$W480,)</f>
        <v/>
      </c>
      <c r="BY480" s="128">
        <f>IFERROR(AN480*$W480,)</f>
        <v/>
      </c>
      <c r="BZ480" s="128">
        <f>IFERROR(AO480*$W480,)</f>
        <v/>
      </c>
      <c r="CA480" s="128">
        <f>IFERROR(AP480*$W480,)</f>
        <v/>
      </c>
      <c r="CB480" s="128">
        <f>IFERROR(AQ480*$W480,)</f>
        <v/>
      </c>
      <c r="CC480" s="128">
        <f>IFERROR(AR480*$W480,)</f>
        <v/>
      </c>
      <c r="CD480" s="128">
        <f>IFERROR(AS480*$W480,)</f>
        <v/>
      </c>
      <c r="CE480" s="128">
        <f>IFERROR(AT480*$W480,)</f>
        <v/>
      </c>
      <c r="CF480" s="128">
        <f>IFERROR(AU480*$W480,)</f>
        <v/>
      </c>
      <c r="CG480" s="128">
        <f>IFERROR(AV480*$W480,)</f>
        <v/>
      </c>
      <c r="CH480" s="128">
        <f>IFERROR(AW480*$W480,)</f>
        <v/>
      </c>
      <c r="CI480" s="128">
        <f>IFERROR(AX480*$W480,)</f>
        <v/>
      </c>
      <c r="CJ480" s="128">
        <f>IFERROR(AY480*$W480,)</f>
        <v/>
      </c>
      <c r="CK480" s="128">
        <f>IFERROR(AZ480*$W480,)</f>
        <v/>
      </c>
      <c r="CL480" s="129">
        <f>IFERROR(if($Y480=0,BA480*($W480/1.2),BA480*$Y480),"")</f>
        <v/>
      </c>
      <c r="CM480" s="129">
        <f>IFERROR(if($Y480=0,BB480*($W480/1.2),BB480*$Y480),"")</f>
        <v/>
      </c>
      <c r="CN480" s="129">
        <f>IFERROR(if($Y480=0,BC480*($W480/1.2),BC480*$Y480),"")</f>
        <v/>
      </c>
      <c r="CO480" s="130">
        <f>IFERROR(if($AA480=0,($W480/1.35)*BD480,BD480*$AA480),)</f>
        <v/>
      </c>
      <c r="CP480" s="130">
        <f>IFERROR(if($AA480=0,($W480/1.35)*BE480,BE480*$AA480),)</f>
        <v/>
      </c>
      <c r="CQ480" s="130">
        <f>IFERROR(if($AA480=0,($W480/1.35)*BF480,BF480*$AA480),)</f>
        <v/>
      </c>
      <c r="CR480" s="128">
        <f>IFERROR(if($AC480=0,($W480/0.74)*BG480,
BG480*$AC480),)</f>
        <v/>
      </c>
      <c r="CS480" s="128">
        <f>IFERROR(if($AC480=0,($W480/0.74)*BH480,
BH480*$AC480),)</f>
        <v/>
      </c>
      <c r="CT480" s="128">
        <f>IFERROR(if($AC480=0,($W480/0.74)*BI480,
BI480*$AC480),)</f>
        <v/>
      </c>
      <c r="CU480" s="128">
        <f>IFERROR(AI480*$V480,)</f>
        <v/>
      </c>
      <c r="CV480" s="128">
        <f>IFERROR(AJ480*$V480,)</f>
        <v/>
      </c>
      <c r="CW480" s="128">
        <f>IFERROR(AK480*$V480,)</f>
        <v/>
      </c>
      <c r="CX480" s="128">
        <f>IFERROR(AL480*$V480,)</f>
        <v/>
      </c>
      <c r="CY480" s="128">
        <f>IFERROR(AM480*$V480,)</f>
        <v/>
      </c>
      <c r="CZ480" s="128">
        <f>IFERROR(AN480*$V480,)</f>
        <v/>
      </c>
      <c r="DA480" s="128">
        <f>IFERROR(AO480*$V480,)</f>
        <v/>
      </c>
      <c r="DB480" s="128">
        <f>IFERROR(AP480*$V480,)</f>
        <v/>
      </c>
      <c r="DC480" s="128">
        <f>IFERROR(AQ480*$V480,)</f>
        <v/>
      </c>
      <c r="DD480" s="128">
        <f>IFERROR(AR480*$V480,)</f>
        <v/>
      </c>
      <c r="DE480" s="128">
        <f>IFERROR(AS480*$V480,)</f>
        <v/>
      </c>
      <c r="DF480" s="128">
        <f>IFERROR(AT480*$V480,)</f>
        <v/>
      </c>
      <c r="DG480" s="128">
        <f>IFERROR(AU480*$V480,)</f>
        <v/>
      </c>
      <c r="DH480" s="128">
        <f>IFERROR(AV480*$V480,)</f>
        <v/>
      </c>
      <c r="DI480" s="128">
        <f>IFERROR(AW480*$V480,)</f>
        <v/>
      </c>
      <c r="DJ480" s="128">
        <f>IFERROR(AX480*$V480,)</f>
        <v/>
      </c>
      <c r="DK480" s="128">
        <f>IFERROR(AY480*$V480,)</f>
        <v/>
      </c>
      <c r="DL480" s="128">
        <f>IFERROR(AZ480*$V480,)</f>
        <v/>
      </c>
      <c r="DM480" s="129">
        <f>IFERROR(if($X480=0,($V480/1.2)*BA480,
BA480*$X480),)</f>
        <v/>
      </c>
      <c r="DN480" s="129">
        <f>IFERROR(if($X480=0,($V480/1.2)*BB480,
BB480*$X480),)</f>
        <v/>
      </c>
      <c r="DO480" s="129">
        <f>IFERROR(if($X480=0,($V480/1.2)*BC480,
BC480*$X480),)</f>
        <v/>
      </c>
      <c r="DP480" s="130">
        <f>IFERROR(if($Z480=0,($V480/1.35)*BD480,
BD480*$Z480),)</f>
        <v/>
      </c>
      <c r="DQ480" s="130">
        <f>IFERROR(if($Z480=0,($V480/1.35)*BE480,
BE480*$Z480),)</f>
        <v/>
      </c>
      <c r="DR480" s="130">
        <f>IFERROR(if($Z480=0,($V480/1.35)*BF480,
BF480*$Z480),)</f>
        <v/>
      </c>
      <c r="DS480" s="128">
        <f>IFERROR(IF($AB480=0,($V480/0.74)*BG480,
BG480*$AB480),)</f>
        <v/>
      </c>
      <c r="DT480" s="128">
        <f>IFERROR(IF($AB480=0,($V480/0.74)*BH480,
BH480*$AB480),)</f>
        <v/>
      </c>
      <c r="DU480" s="128">
        <f>IFERROR(IF($AB480=0,($V480/0.74)*BI480,
BI480*$AB480),)</f>
        <v/>
      </c>
    </row>
    <row r="481" ht="131.25" customHeight="1" s="162">
      <c r="A481" s="115" t="n"/>
      <c r="B481" s="115" t="n"/>
      <c r="C481" s="115" t="n"/>
      <c r="D481" s="115" t="n"/>
      <c r="E481" s="115" t="n"/>
      <c r="F481" s="115" t="n"/>
      <c r="G481" s="115" t="n"/>
      <c r="H481" s="115" t="n"/>
      <c r="I481" s="115" t="n"/>
      <c r="J481" s="115" t="n"/>
      <c r="K481" s="115" t="n"/>
      <c r="L481" s="115" t="n"/>
      <c r="M481" s="115" t="n"/>
      <c r="N481" s="115" t="n"/>
      <c r="O481" s="115" t="n"/>
      <c r="P481" s="115" t="n"/>
      <c r="Q481" s="115" t="n"/>
      <c r="R481" s="115" t="n"/>
      <c r="S481" s="115" t="n"/>
      <c r="T481" s="115" t="n"/>
      <c r="U481" s="116" t="n"/>
      <c r="V481" s="116" t="n"/>
      <c r="W481" s="117" t="n"/>
      <c r="X481" s="118" t="n"/>
      <c r="Y481" s="119" t="n"/>
      <c r="Z481" s="120" t="n"/>
      <c r="AA481" s="121" t="n"/>
      <c r="AB481" s="122" t="n"/>
      <c r="AC481" s="117" t="n"/>
      <c r="AD481" s="123">
        <f>IF(SUM($AE481:$AH481)=0,"",SUM($AE481:$AH481))</f>
        <v/>
      </c>
      <c r="AE481" s="123">
        <f>iferror(IF(SUM($AI481:$AZ481)=0,"",SUM($AI481:$AZ481)),"")</f>
        <v/>
      </c>
      <c r="AF481" s="123">
        <f>iferror(IF(SUM($BA481:$BC481)=0,"",SUM($BA481:$BC481)),"")</f>
        <v/>
      </c>
      <c r="AG481" s="123">
        <f>iferror(IF(SUM($BD481:$BF481)=0,"",SUM($BD481:$BF481)),"")</f>
        <v/>
      </c>
      <c r="AH481" s="124">
        <f>iferror(IF(SUM($BG481:$BI481)=0,"",SUM($BG481:$BI481)),"")</f>
        <v/>
      </c>
      <c r="AI481" s="131" t="n"/>
      <c r="AJ481" s="132" t="n"/>
      <c r="AK481" s="132" t="n"/>
      <c r="AL481" s="132" t="n"/>
      <c r="AM481" s="132" t="n"/>
      <c r="AN481" s="132" t="n"/>
      <c r="AO481" s="132" t="n"/>
      <c r="AP481" s="132" t="n"/>
      <c r="AQ481" s="132" t="n"/>
      <c r="AR481" s="132" t="n"/>
      <c r="AS481" s="132" t="n"/>
      <c r="AT481" s="132" t="n"/>
      <c r="AU481" s="132" t="n"/>
      <c r="AV481" s="132" t="n"/>
      <c r="AW481" s="132" t="n"/>
      <c r="AX481" s="132" t="n"/>
      <c r="AY481" s="132" t="n"/>
      <c r="AZ481" s="133" t="n"/>
      <c r="BA481" s="131" t="n"/>
      <c r="BB481" s="132" t="n"/>
      <c r="BC481" s="133" t="n"/>
      <c r="BD481" s="131" t="n"/>
      <c r="BE481" s="132" t="n"/>
      <c r="BF481" s="133" t="n"/>
      <c r="BG481" s="131" t="n"/>
      <c r="BH481" s="132" t="n"/>
      <c r="BI481" s="132" t="n"/>
      <c r="BJ481" s="128">
        <f>iferror(SUM($BK481,($BL481*1.2),($BM481*1.35),($BN481*0.74)),)</f>
        <v/>
      </c>
      <c r="BK481" s="128">
        <f>IFERROR(SUM($BT481:$CK481),)</f>
        <v/>
      </c>
      <c r="BL481" s="129">
        <f>IFERROR(SUM($CL481:$CN481),)</f>
        <v/>
      </c>
      <c r="BM481" s="130">
        <f>IFERROR(SUM($CO481:$CQ481),)</f>
        <v/>
      </c>
      <c r="BN481" s="128">
        <f>IFERROR(SUM($CR481:$CT481),)</f>
        <v/>
      </c>
      <c r="BO481" s="128">
        <f>iferror(SUM($BP481,($BQ481*1.2),($BR481*1.35),($BS481*0.74)),)</f>
        <v/>
      </c>
      <c r="BP481" s="128">
        <f>IFERROR(SUM($CU481:$DL481),)</f>
        <v/>
      </c>
      <c r="BQ481" s="128">
        <f>IFERROR(SUM($DM481:$DO481),)</f>
        <v/>
      </c>
      <c r="BR481" s="128">
        <f>IFERROR(SUM($DP481:$DR481),)</f>
        <v/>
      </c>
      <c r="BS481" s="128">
        <f>IFERROR(SUM($DS481:$DU481),)</f>
        <v/>
      </c>
      <c r="BT481" s="128">
        <f>IFERROR(AI481*$W481,)</f>
        <v/>
      </c>
      <c r="BU481" s="128">
        <f>IFERROR(AJ481*$W481,)</f>
        <v/>
      </c>
      <c r="BV481" s="128">
        <f>IFERROR(AK481*$W481,)</f>
        <v/>
      </c>
      <c r="BW481" s="128">
        <f>IFERROR(AL481*$W481,)</f>
        <v/>
      </c>
      <c r="BX481" s="128">
        <f>IFERROR(AM481*$W481,)</f>
        <v/>
      </c>
      <c r="BY481" s="128">
        <f>IFERROR(AN481*$W481,)</f>
        <v/>
      </c>
      <c r="BZ481" s="128">
        <f>IFERROR(AO481*$W481,)</f>
        <v/>
      </c>
      <c r="CA481" s="128">
        <f>IFERROR(AP481*$W481,)</f>
        <v/>
      </c>
      <c r="CB481" s="128">
        <f>IFERROR(AQ481*$W481,)</f>
        <v/>
      </c>
      <c r="CC481" s="128">
        <f>IFERROR(AR481*$W481,)</f>
        <v/>
      </c>
      <c r="CD481" s="128">
        <f>IFERROR(AS481*$W481,)</f>
        <v/>
      </c>
      <c r="CE481" s="128">
        <f>IFERROR(AT481*$W481,)</f>
        <v/>
      </c>
      <c r="CF481" s="128">
        <f>IFERROR(AU481*$W481,)</f>
        <v/>
      </c>
      <c r="CG481" s="128">
        <f>IFERROR(AV481*$W481,)</f>
        <v/>
      </c>
      <c r="CH481" s="128">
        <f>IFERROR(AW481*$W481,)</f>
        <v/>
      </c>
      <c r="CI481" s="128">
        <f>IFERROR(AX481*$W481,)</f>
        <v/>
      </c>
      <c r="CJ481" s="128">
        <f>IFERROR(AY481*$W481,)</f>
        <v/>
      </c>
      <c r="CK481" s="128">
        <f>IFERROR(AZ481*$W481,)</f>
        <v/>
      </c>
      <c r="CL481" s="129">
        <f>IFERROR(if($Y481=0,BA481*($W481/1.2),BA481*$Y481),"")</f>
        <v/>
      </c>
      <c r="CM481" s="129">
        <f>IFERROR(if($Y481=0,BB481*($W481/1.2),BB481*$Y481),"")</f>
        <v/>
      </c>
      <c r="CN481" s="129">
        <f>IFERROR(if($Y481=0,BC481*($W481/1.2),BC481*$Y481),"")</f>
        <v/>
      </c>
      <c r="CO481" s="130">
        <f>IFERROR(if($AA481=0,($W481/1.35)*BD481,BD481*$AA481),)</f>
        <v/>
      </c>
      <c r="CP481" s="130">
        <f>IFERROR(if($AA481=0,($W481/1.35)*BE481,BE481*$AA481),)</f>
        <v/>
      </c>
      <c r="CQ481" s="130">
        <f>IFERROR(if($AA481=0,($W481/1.35)*BF481,BF481*$AA481),)</f>
        <v/>
      </c>
      <c r="CR481" s="128">
        <f>IFERROR(if($AC481=0,($W481/0.74)*BG481,
BG481*$AC481),)</f>
        <v/>
      </c>
      <c r="CS481" s="128">
        <f>IFERROR(if($AC481=0,($W481/0.74)*BH481,
BH481*$AC481),)</f>
        <v/>
      </c>
      <c r="CT481" s="128">
        <f>IFERROR(if($AC481=0,($W481/0.74)*BI481,
BI481*$AC481),)</f>
        <v/>
      </c>
      <c r="CU481" s="128">
        <f>IFERROR(AI481*$V481,)</f>
        <v/>
      </c>
      <c r="CV481" s="128">
        <f>IFERROR(AJ481*$V481,)</f>
        <v/>
      </c>
      <c r="CW481" s="128">
        <f>IFERROR(AK481*$V481,)</f>
        <v/>
      </c>
      <c r="CX481" s="128">
        <f>IFERROR(AL481*$V481,)</f>
        <v/>
      </c>
      <c r="CY481" s="128">
        <f>IFERROR(AM481*$V481,)</f>
        <v/>
      </c>
      <c r="CZ481" s="128">
        <f>IFERROR(AN481*$V481,)</f>
        <v/>
      </c>
      <c r="DA481" s="128">
        <f>IFERROR(AO481*$V481,)</f>
        <v/>
      </c>
      <c r="DB481" s="128">
        <f>IFERROR(AP481*$V481,)</f>
        <v/>
      </c>
      <c r="DC481" s="128">
        <f>IFERROR(AQ481*$V481,)</f>
        <v/>
      </c>
      <c r="DD481" s="128">
        <f>IFERROR(AR481*$V481,)</f>
        <v/>
      </c>
      <c r="DE481" s="128">
        <f>IFERROR(AS481*$V481,)</f>
        <v/>
      </c>
      <c r="DF481" s="128">
        <f>IFERROR(AT481*$V481,)</f>
        <v/>
      </c>
      <c r="DG481" s="128">
        <f>IFERROR(AU481*$V481,)</f>
        <v/>
      </c>
      <c r="DH481" s="128">
        <f>IFERROR(AV481*$V481,)</f>
        <v/>
      </c>
      <c r="DI481" s="128">
        <f>IFERROR(AW481*$V481,)</f>
        <v/>
      </c>
      <c r="DJ481" s="128">
        <f>IFERROR(AX481*$V481,)</f>
        <v/>
      </c>
      <c r="DK481" s="128">
        <f>IFERROR(AY481*$V481,)</f>
        <v/>
      </c>
      <c r="DL481" s="128">
        <f>IFERROR(AZ481*$V481,)</f>
        <v/>
      </c>
      <c r="DM481" s="129">
        <f>IFERROR(if($X481=0,($V481/1.2)*BA481,
BA481*$X481),)</f>
        <v/>
      </c>
      <c r="DN481" s="129">
        <f>IFERROR(if($X481=0,($V481/1.2)*BB481,
BB481*$X481),)</f>
        <v/>
      </c>
      <c r="DO481" s="129">
        <f>IFERROR(if($X481=0,($V481/1.2)*BC481,
BC481*$X481),)</f>
        <v/>
      </c>
      <c r="DP481" s="130">
        <f>IFERROR(if($Z481=0,($V481/1.35)*BD481,
BD481*$Z481),)</f>
        <v/>
      </c>
      <c r="DQ481" s="130">
        <f>IFERROR(if($Z481=0,($V481/1.35)*BE481,
BE481*$Z481),)</f>
        <v/>
      </c>
      <c r="DR481" s="130">
        <f>IFERROR(if($Z481=0,($V481/1.35)*BF481,
BF481*$Z481),)</f>
        <v/>
      </c>
      <c r="DS481" s="128">
        <f>IFERROR(IF($AB481=0,($V481/0.74)*BG481,
BG481*$AB481),)</f>
        <v/>
      </c>
      <c r="DT481" s="128">
        <f>IFERROR(IF($AB481=0,($V481/0.74)*BH481,
BH481*$AB481),)</f>
        <v/>
      </c>
      <c r="DU481" s="128">
        <f>IFERROR(IF($AB481=0,($V481/0.74)*BI481,
BI481*$AB481),)</f>
        <v/>
      </c>
    </row>
    <row r="482" ht="131.25" customHeight="1" s="162">
      <c r="A482" s="115" t="n"/>
      <c r="B482" s="115" t="n"/>
      <c r="C482" s="115" t="n"/>
      <c r="D482" s="115" t="n"/>
      <c r="E482" s="115" t="n"/>
      <c r="F482" s="115" t="n"/>
      <c r="G482" s="115" t="n"/>
      <c r="H482" s="115" t="n"/>
      <c r="I482" s="115" t="n"/>
      <c r="J482" s="115" t="n"/>
      <c r="K482" s="115" t="n"/>
      <c r="L482" s="115" t="n"/>
      <c r="M482" s="115" t="n"/>
      <c r="N482" s="115" t="n"/>
      <c r="O482" s="115" t="n"/>
      <c r="P482" s="115" t="n"/>
      <c r="Q482" s="115" t="n"/>
      <c r="R482" s="115" t="n"/>
      <c r="S482" s="115" t="n"/>
      <c r="T482" s="115" t="n"/>
      <c r="U482" s="116" t="n"/>
      <c r="V482" s="116" t="n"/>
      <c r="W482" s="117" t="n"/>
      <c r="X482" s="118" t="n"/>
      <c r="Y482" s="119" t="n"/>
      <c r="Z482" s="120" t="n"/>
      <c r="AA482" s="121" t="n"/>
      <c r="AB482" s="122" t="n"/>
      <c r="AC482" s="117" t="n"/>
      <c r="AD482" s="123">
        <f>IF(SUM($AE482:$AH482)=0,"",SUM($AE482:$AH482))</f>
        <v/>
      </c>
      <c r="AE482" s="123">
        <f>iferror(IF(SUM($AI482:$AZ482)=0,"",SUM($AI482:$AZ482)),"")</f>
        <v/>
      </c>
      <c r="AF482" s="123">
        <f>iferror(IF(SUM($BA482:$BC482)=0,"",SUM($BA482:$BC482)),"")</f>
        <v/>
      </c>
      <c r="AG482" s="123">
        <f>iferror(IF(SUM($BD482:$BF482)=0,"",SUM($BD482:$BF482)),"")</f>
        <v/>
      </c>
      <c r="AH482" s="124">
        <f>iferror(IF(SUM($BG482:$BI482)=0,"",SUM($BG482:$BI482)),"")</f>
        <v/>
      </c>
      <c r="AI482" s="131" t="n"/>
      <c r="AJ482" s="132" t="n"/>
      <c r="AK482" s="132" t="n"/>
      <c r="AL482" s="132" t="n"/>
      <c r="AM482" s="132" t="n"/>
      <c r="AN482" s="132" t="n"/>
      <c r="AO482" s="132" t="n"/>
      <c r="AP482" s="132" t="n"/>
      <c r="AQ482" s="132" t="n"/>
      <c r="AR482" s="132" t="n"/>
      <c r="AS482" s="132" t="n"/>
      <c r="AT482" s="132" t="n"/>
      <c r="AU482" s="132" t="n"/>
      <c r="AV482" s="132" t="n"/>
      <c r="AW482" s="132" t="n"/>
      <c r="AX482" s="132" t="n"/>
      <c r="AY482" s="132" t="n"/>
      <c r="AZ482" s="133" t="n"/>
      <c r="BA482" s="131" t="n"/>
      <c r="BB482" s="132" t="n"/>
      <c r="BC482" s="133" t="n"/>
      <c r="BD482" s="131" t="n"/>
      <c r="BE482" s="132" t="n"/>
      <c r="BF482" s="133" t="n"/>
      <c r="BG482" s="131" t="n"/>
      <c r="BH482" s="132" t="n"/>
      <c r="BI482" s="132" t="n"/>
      <c r="BJ482" s="128">
        <f>iferror(SUM($BK482,($BL482*1.2),($BM482*1.35),($BN482*0.74)),)</f>
        <v/>
      </c>
      <c r="BK482" s="128">
        <f>IFERROR(SUM($BT482:$CK482),)</f>
        <v/>
      </c>
      <c r="BL482" s="129">
        <f>IFERROR(SUM($CL482:$CN482),)</f>
        <v/>
      </c>
      <c r="BM482" s="130">
        <f>IFERROR(SUM($CO482:$CQ482),)</f>
        <v/>
      </c>
      <c r="BN482" s="128">
        <f>IFERROR(SUM($CR482:$CT482),)</f>
        <v/>
      </c>
      <c r="BO482" s="128">
        <f>iferror(SUM($BP482,($BQ482*1.2),($BR482*1.35),($BS482*0.74)),)</f>
        <v/>
      </c>
      <c r="BP482" s="128">
        <f>IFERROR(SUM($CU482:$DL482),)</f>
        <v/>
      </c>
      <c r="BQ482" s="128">
        <f>IFERROR(SUM($DM482:$DO482),)</f>
        <v/>
      </c>
      <c r="BR482" s="128">
        <f>IFERROR(SUM($DP482:$DR482),)</f>
        <v/>
      </c>
      <c r="BS482" s="128">
        <f>IFERROR(SUM($DS482:$DU482),)</f>
        <v/>
      </c>
      <c r="BT482" s="128">
        <f>IFERROR(AI482*$W482,)</f>
        <v/>
      </c>
      <c r="BU482" s="128">
        <f>IFERROR(AJ482*$W482,)</f>
        <v/>
      </c>
      <c r="BV482" s="128">
        <f>IFERROR(AK482*$W482,)</f>
        <v/>
      </c>
      <c r="BW482" s="128">
        <f>IFERROR(AL482*$W482,)</f>
        <v/>
      </c>
      <c r="BX482" s="128">
        <f>IFERROR(AM482*$W482,)</f>
        <v/>
      </c>
      <c r="BY482" s="128">
        <f>IFERROR(AN482*$W482,)</f>
        <v/>
      </c>
      <c r="BZ482" s="128">
        <f>IFERROR(AO482*$W482,)</f>
        <v/>
      </c>
      <c r="CA482" s="128">
        <f>IFERROR(AP482*$W482,)</f>
        <v/>
      </c>
      <c r="CB482" s="128">
        <f>IFERROR(AQ482*$W482,)</f>
        <v/>
      </c>
      <c r="CC482" s="128">
        <f>IFERROR(AR482*$W482,)</f>
        <v/>
      </c>
      <c r="CD482" s="128">
        <f>IFERROR(AS482*$W482,)</f>
        <v/>
      </c>
      <c r="CE482" s="128">
        <f>IFERROR(AT482*$W482,)</f>
        <v/>
      </c>
      <c r="CF482" s="128">
        <f>IFERROR(AU482*$W482,)</f>
        <v/>
      </c>
      <c r="CG482" s="128">
        <f>IFERROR(AV482*$W482,)</f>
        <v/>
      </c>
      <c r="CH482" s="128">
        <f>IFERROR(AW482*$W482,)</f>
        <v/>
      </c>
      <c r="CI482" s="128">
        <f>IFERROR(AX482*$W482,)</f>
        <v/>
      </c>
      <c r="CJ482" s="128">
        <f>IFERROR(AY482*$W482,)</f>
        <v/>
      </c>
      <c r="CK482" s="128">
        <f>IFERROR(AZ482*$W482,)</f>
        <v/>
      </c>
      <c r="CL482" s="129">
        <f>IFERROR(if($Y482=0,BA482*($W482/1.2),BA482*$Y482),"")</f>
        <v/>
      </c>
      <c r="CM482" s="129">
        <f>IFERROR(if($Y482=0,BB482*($W482/1.2),BB482*$Y482),"")</f>
        <v/>
      </c>
      <c r="CN482" s="129">
        <f>IFERROR(if($Y482=0,BC482*($W482/1.2),BC482*$Y482),"")</f>
        <v/>
      </c>
      <c r="CO482" s="130">
        <f>IFERROR(if($AA482=0,($W482/1.35)*BD482,BD482*$AA482),)</f>
        <v/>
      </c>
      <c r="CP482" s="130">
        <f>IFERROR(if($AA482=0,($W482/1.35)*BE482,BE482*$AA482),)</f>
        <v/>
      </c>
      <c r="CQ482" s="130">
        <f>IFERROR(if($AA482=0,($W482/1.35)*BF482,BF482*$AA482),)</f>
        <v/>
      </c>
      <c r="CR482" s="128">
        <f>IFERROR(if($AC482=0,($W482/0.74)*BG482,
BG482*$AC482),)</f>
        <v/>
      </c>
      <c r="CS482" s="128">
        <f>IFERROR(if($AC482=0,($W482/0.74)*BH482,
BH482*$AC482),)</f>
        <v/>
      </c>
      <c r="CT482" s="128">
        <f>IFERROR(if($AC482=0,($W482/0.74)*BI482,
BI482*$AC482),)</f>
        <v/>
      </c>
      <c r="CU482" s="128">
        <f>IFERROR(AI482*$V482,)</f>
        <v/>
      </c>
      <c r="CV482" s="128">
        <f>IFERROR(AJ482*$V482,)</f>
        <v/>
      </c>
      <c r="CW482" s="128">
        <f>IFERROR(AK482*$V482,)</f>
        <v/>
      </c>
      <c r="CX482" s="128">
        <f>IFERROR(AL482*$V482,)</f>
        <v/>
      </c>
      <c r="CY482" s="128">
        <f>IFERROR(AM482*$V482,)</f>
        <v/>
      </c>
      <c r="CZ482" s="128">
        <f>IFERROR(AN482*$V482,)</f>
        <v/>
      </c>
      <c r="DA482" s="128">
        <f>IFERROR(AO482*$V482,)</f>
        <v/>
      </c>
      <c r="DB482" s="128">
        <f>IFERROR(AP482*$V482,)</f>
        <v/>
      </c>
      <c r="DC482" s="128">
        <f>IFERROR(AQ482*$V482,)</f>
        <v/>
      </c>
      <c r="DD482" s="128">
        <f>IFERROR(AR482*$V482,)</f>
        <v/>
      </c>
      <c r="DE482" s="128">
        <f>IFERROR(AS482*$V482,)</f>
        <v/>
      </c>
      <c r="DF482" s="128">
        <f>IFERROR(AT482*$V482,)</f>
        <v/>
      </c>
      <c r="DG482" s="128">
        <f>IFERROR(AU482*$V482,)</f>
        <v/>
      </c>
      <c r="DH482" s="128">
        <f>IFERROR(AV482*$V482,)</f>
        <v/>
      </c>
      <c r="DI482" s="128">
        <f>IFERROR(AW482*$V482,)</f>
        <v/>
      </c>
      <c r="DJ482" s="128">
        <f>IFERROR(AX482*$V482,)</f>
        <v/>
      </c>
      <c r="DK482" s="128">
        <f>IFERROR(AY482*$V482,)</f>
        <v/>
      </c>
      <c r="DL482" s="128">
        <f>IFERROR(AZ482*$V482,)</f>
        <v/>
      </c>
      <c r="DM482" s="129">
        <f>IFERROR(if($X482=0,($V482/1.2)*BA482,
BA482*$X482),)</f>
        <v/>
      </c>
      <c r="DN482" s="129">
        <f>IFERROR(if($X482=0,($V482/1.2)*BB482,
BB482*$X482),)</f>
        <v/>
      </c>
      <c r="DO482" s="129">
        <f>IFERROR(if($X482=0,($V482/1.2)*BC482,
BC482*$X482),)</f>
        <v/>
      </c>
      <c r="DP482" s="130">
        <f>IFERROR(if($Z482=0,($V482/1.35)*BD482,
BD482*$Z482),)</f>
        <v/>
      </c>
      <c r="DQ482" s="130">
        <f>IFERROR(if($Z482=0,($V482/1.35)*BE482,
BE482*$Z482),)</f>
        <v/>
      </c>
      <c r="DR482" s="130">
        <f>IFERROR(if($Z482=0,($V482/1.35)*BF482,
BF482*$Z482),)</f>
        <v/>
      </c>
      <c r="DS482" s="128">
        <f>IFERROR(IF($AB482=0,($V482/0.74)*BG482,
BG482*$AB482),)</f>
        <v/>
      </c>
      <c r="DT482" s="128">
        <f>IFERROR(IF($AB482=0,($V482/0.74)*BH482,
BH482*$AB482),)</f>
        <v/>
      </c>
      <c r="DU482" s="128">
        <f>IFERROR(IF($AB482=0,($V482/0.74)*BI482,
BI482*$AB482),)</f>
        <v/>
      </c>
    </row>
    <row r="483" ht="131.25" customHeight="1" s="162">
      <c r="A483" s="115" t="n"/>
      <c r="B483" s="115" t="n"/>
      <c r="C483" s="115" t="n"/>
      <c r="D483" s="115" t="n"/>
      <c r="E483" s="115" t="n"/>
      <c r="F483" s="115" t="n"/>
      <c r="G483" s="115" t="n"/>
      <c r="H483" s="115" t="n"/>
      <c r="I483" s="115" t="n"/>
      <c r="J483" s="115" t="n"/>
      <c r="K483" s="115" t="n"/>
      <c r="L483" s="115" t="n"/>
      <c r="M483" s="115" t="n"/>
      <c r="N483" s="115" t="n"/>
      <c r="O483" s="115" t="n"/>
      <c r="P483" s="115" t="n"/>
      <c r="Q483" s="115" t="n"/>
      <c r="R483" s="115" t="n"/>
      <c r="S483" s="115" t="n"/>
      <c r="T483" s="115" t="n"/>
      <c r="U483" s="116" t="n"/>
      <c r="V483" s="116" t="n"/>
      <c r="W483" s="117" t="n"/>
      <c r="X483" s="118" t="n"/>
      <c r="Y483" s="119" t="n"/>
      <c r="Z483" s="120" t="n"/>
      <c r="AA483" s="121" t="n"/>
      <c r="AB483" s="122" t="n"/>
      <c r="AC483" s="117" t="n"/>
      <c r="AD483" s="123">
        <f>IF(SUM($AE483:$AH483)=0,"",SUM($AE483:$AH483))</f>
        <v/>
      </c>
      <c r="AE483" s="123">
        <f>iferror(IF(SUM($AI483:$AZ483)=0,"",SUM($AI483:$AZ483)),"")</f>
        <v/>
      </c>
      <c r="AF483" s="123">
        <f>iferror(IF(SUM($BA483:$BC483)=0,"",SUM($BA483:$BC483)),"")</f>
        <v/>
      </c>
      <c r="AG483" s="123">
        <f>iferror(IF(SUM($BD483:$BF483)=0,"",SUM($BD483:$BF483)),"")</f>
        <v/>
      </c>
      <c r="AH483" s="124">
        <f>iferror(IF(SUM($BG483:$BI483)=0,"",SUM($BG483:$BI483)),"")</f>
        <v/>
      </c>
      <c r="AI483" s="131" t="n"/>
      <c r="AJ483" s="132" t="n"/>
      <c r="AK483" s="132" t="n"/>
      <c r="AL483" s="132" t="n"/>
      <c r="AM483" s="132" t="n"/>
      <c r="AN483" s="132" t="n"/>
      <c r="AO483" s="132" t="n"/>
      <c r="AP483" s="132" t="n"/>
      <c r="AQ483" s="132" t="n"/>
      <c r="AR483" s="132" t="n"/>
      <c r="AS483" s="132" t="n"/>
      <c r="AT483" s="132" t="n"/>
      <c r="AU483" s="132" t="n"/>
      <c r="AV483" s="132" t="n"/>
      <c r="AW483" s="132" t="n"/>
      <c r="AX483" s="132" t="n"/>
      <c r="AY483" s="132" t="n"/>
      <c r="AZ483" s="133" t="n"/>
      <c r="BA483" s="131" t="n"/>
      <c r="BB483" s="132" t="n"/>
      <c r="BC483" s="133" t="n"/>
      <c r="BD483" s="131" t="n"/>
      <c r="BE483" s="132" t="n"/>
      <c r="BF483" s="133" t="n"/>
      <c r="BG483" s="131" t="n"/>
      <c r="BH483" s="132" t="n"/>
      <c r="BI483" s="132" t="n"/>
      <c r="BJ483" s="128">
        <f>iferror(SUM($BK483,($BL483*1.2),($BM483*1.35),($BN483*0.74)),)</f>
        <v/>
      </c>
      <c r="BK483" s="128">
        <f>IFERROR(SUM($BT483:$CK483),)</f>
        <v/>
      </c>
      <c r="BL483" s="129">
        <f>IFERROR(SUM($CL483:$CN483),)</f>
        <v/>
      </c>
      <c r="BM483" s="130">
        <f>IFERROR(SUM($CO483:$CQ483),)</f>
        <v/>
      </c>
      <c r="BN483" s="128">
        <f>IFERROR(SUM($CR483:$CT483),)</f>
        <v/>
      </c>
      <c r="BO483" s="128">
        <f>iferror(SUM($BP483,($BQ483*1.2),($BR483*1.35),($BS483*0.74)),)</f>
        <v/>
      </c>
      <c r="BP483" s="128">
        <f>IFERROR(SUM($CU483:$DL483),)</f>
        <v/>
      </c>
      <c r="BQ483" s="128">
        <f>IFERROR(SUM($DM483:$DO483),)</f>
        <v/>
      </c>
      <c r="BR483" s="128">
        <f>IFERROR(SUM($DP483:$DR483),)</f>
        <v/>
      </c>
      <c r="BS483" s="128">
        <f>IFERROR(SUM($DS483:$DU483),)</f>
        <v/>
      </c>
      <c r="BT483" s="128">
        <f>IFERROR(AI483*$W483,)</f>
        <v/>
      </c>
      <c r="BU483" s="128">
        <f>IFERROR(AJ483*$W483,)</f>
        <v/>
      </c>
      <c r="BV483" s="128">
        <f>IFERROR(AK483*$W483,)</f>
        <v/>
      </c>
      <c r="BW483" s="128">
        <f>IFERROR(AL483*$W483,)</f>
        <v/>
      </c>
      <c r="BX483" s="128">
        <f>IFERROR(AM483*$W483,)</f>
        <v/>
      </c>
      <c r="BY483" s="128">
        <f>IFERROR(AN483*$W483,)</f>
        <v/>
      </c>
      <c r="BZ483" s="128">
        <f>IFERROR(AO483*$W483,)</f>
        <v/>
      </c>
      <c r="CA483" s="128">
        <f>IFERROR(AP483*$W483,)</f>
        <v/>
      </c>
      <c r="CB483" s="128">
        <f>IFERROR(AQ483*$W483,)</f>
        <v/>
      </c>
      <c r="CC483" s="128">
        <f>IFERROR(AR483*$W483,)</f>
        <v/>
      </c>
      <c r="CD483" s="128">
        <f>IFERROR(AS483*$W483,)</f>
        <v/>
      </c>
      <c r="CE483" s="128">
        <f>IFERROR(AT483*$W483,)</f>
        <v/>
      </c>
      <c r="CF483" s="128">
        <f>IFERROR(AU483*$W483,)</f>
        <v/>
      </c>
      <c r="CG483" s="128">
        <f>IFERROR(AV483*$W483,)</f>
        <v/>
      </c>
      <c r="CH483" s="128">
        <f>IFERROR(AW483*$W483,)</f>
        <v/>
      </c>
      <c r="CI483" s="128">
        <f>IFERROR(AX483*$W483,)</f>
        <v/>
      </c>
      <c r="CJ483" s="128">
        <f>IFERROR(AY483*$W483,)</f>
        <v/>
      </c>
      <c r="CK483" s="128">
        <f>IFERROR(AZ483*$W483,)</f>
        <v/>
      </c>
      <c r="CL483" s="129">
        <f>IFERROR(if($Y483=0,BA483*($W483/1.2),BA483*$Y483),"")</f>
        <v/>
      </c>
      <c r="CM483" s="129">
        <f>IFERROR(if($Y483=0,BB483*($W483/1.2),BB483*$Y483),"")</f>
        <v/>
      </c>
      <c r="CN483" s="129">
        <f>IFERROR(if($Y483=0,BC483*($W483/1.2),BC483*$Y483),"")</f>
        <v/>
      </c>
      <c r="CO483" s="130">
        <f>IFERROR(if($AA483=0,($W483/1.35)*BD483,BD483*$AA483),)</f>
        <v/>
      </c>
      <c r="CP483" s="130">
        <f>IFERROR(if($AA483=0,($W483/1.35)*BE483,BE483*$AA483),)</f>
        <v/>
      </c>
      <c r="CQ483" s="130">
        <f>IFERROR(if($AA483=0,($W483/1.35)*BF483,BF483*$AA483),)</f>
        <v/>
      </c>
      <c r="CR483" s="128">
        <f>IFERROR(if($AC483=0,($W483/0.74)*BG483,
BG483*$AC483),)</f>
        <v/>
      </c>
      <c r="CS483" s="128">
        <f>IFERROR(if($AC483=0,($W483/0.74)*BH483,
BH483*$AC483),)</f>
        <v/>
      </c>
      <c r="CT483" s="128">
        <f>IFERROR(if($AC483=0,($W483/0.74)*BI483,
BI483*$AC483),)</f>
        <v/>
      </c>
      <c r="CU483" s="128">
        <f>IFERROR(AI483*$V483,)</f>
        <v/>
      </c>
      <c r="CV483" s="128">
        <f>IFERROR(AJ483*$V483,)</f>
        <v/>
      </c>
      <c r="CW483" s="128">
        <f>IFERROR(AK483*$V483,)</f>
        <v/>
      </c>
      <c r="CX483" s="128">
        <f>IFERROR(AL483*$V483,)</f>
        <v/>
      </c>
      <c r="CY483" s="128">
        <f>IFERROR(AM483*$V483,)</f>
        <v/>
      </c>
      <c r="CZ483" s="128">
        <f>IFERROR(AN483*$V483,)</f>
        <v/>
      </c>
      <c r="DA483" s="128">
        <f>IFERROR(AO483*$V483,)</f>
        <v/>
      </c>
      <c r="DB483" s="128">
        <f>IFERROR(AP483*$V483,)</f>
        <v/>
      </c>
      <c r="DC483" s="128">
        <f>IFERROR(AQ483*$V483,)</f>
        <v/>
      </c>
      <c r="DD483" s="128">
        <f>IFERROR(AR483*$V483,)</f>
        <v/>
      </c>
      <c r="DE483" s="128">
        <f>IFERROR(AS483*$V483,)</f>
        <v/>
      </c>
      <c r="DF483" s="128">
        <f>IFERROR(AT483*$V483,)</f>
        <v/>
      </c>
      <c r="DG483" s="128">
        <f>IFERROR(AU483*$V483,)</f>
        <v/>
      </c>
      <c r="DH483" s="128">
        <f>IFERROR(AV483*$V483,)</f>
        <v/>
      </c>
      <c r="DI483" s="128">
        <f>IFERROR(AW483*$V483,)</f>
        <v/>
      </c>
      <c r="DJ483" s="128">
        <f>IFERROR(AX483*$V483,)</f>
        <v/>
      </c>
      <c r="DK483" s="128">
        <f>IFERROR(AY483*$V483,)</f>
        <v/>
      </c>
      <c r="DL483" s="128">
        <f>IFERROR(AZ483*$V483,)</f>
        <v/>
      </c>
      <c r="DM483" s="129">
        <f>IFERROR(if($X483=0,($V483/1.2)*BA483,
BA483*$X483),)</f>
        <v/>
      </c>
      <c r="DN483" s="129">
        <f>IFERROR(if($X483=0,($V483/1.2)*BB483,
BB483*$X483),)</f>
        <v/>
      </c>
      <c r="DO483" s="129">
        <f>IFERROR(if($X483=0,($V483/1.2)*BC483,
BC483*$X483),)</f>
        <v/>
      </c>
      <c r="DP483" s="130">
        <f>IFERROR(if($Z483=0,($V483/1.35)*BD483,
BD483*$Z483),)</f>
        <v/>
      </c>
      <c r="DQ483" s="130">
        <f>IFERROR(if($Z483=0,($V483/1.35)*BE483,
BE483*$Z483),)</f>
        <v/>
      </c>
      <c r="DR483" s="130">
        <f>IFERROR(if($Z483=0,($V483/1.35)*BF483,
BF483*$Z483),)</f>
        <v/>
      </c>
      <c r="DS483" s="128">
        <f>IFERROR(IF($AB483=0,($V483/0.74)*BG483,
BG483*$AB483),)</f>
        <v/>
      </c>
      <c r="DT483" s="128">
        <f>IFERROR(IF($AB483=0,($V483/0.74)*BH483,
BH483*$AB483),)</f>
        <v/>
      </c>
      <c r="DU483" s="128">
        <f>IFERROR(IF($AB483=0,($V483/0.74)*BI483,
BI483*$AB483),)</f>
        <v/>
      </c>
    </row>
    <row r="484" ht="131.25" customHeight="1" s="162">
      <c r="A484" s="115" t="n"/>
      <c r="B484" s="115" t="n"/>
      <c r="C484" s="115" t="n"/>
      <c r="D484" s="115" t="n"/>
      <c r="E484" s="115" t="n"/>
      <c r="F484" s="115" t="n"/>
      <c r="G484" s="115" t="n"/>
      <c r="H484" s="115" t="n"/>
      <c r="I484" s="115" t="n"/>
      <c r="J484" s="115" t="n"/>
      <c r="K484" s="115" t="n"/>
      <c r="L484" s="115" t="n"/>
      <c r="M484" s="115" t="n"/>
      <c r="N484" s="115" t="n"/>
      <c r="O484" s="115" t="n"/>
      <c r="P484" s="115" t="n"/>
      <c r="Q484" s="115" t="n"/>
      <c r="R484" s="115" t="n"/>
      <c r="S484" s="115" t="n"/>
      <c r="T484" s="115" t="n"/>
      <c r="U484" s="116" t="n"/>
      <c r="V484" s="116" t="n"/>
      <c r="W484" s="117" t="n"/>
      <c r="X484" s="118" t="n"/>
      <c r="Y484" s="119" t="n"/>
      <c r="Z484" s="120" t="n"/>
      <c r="AA484" s="121" t="n"/>
      <c r="AB484" s="122" t="n"/>
      <c r="AC484" s="117" t="n"/>
      <c r="AD484" s="123">
        <f>IF(SUM($AE484:$AH484)=0,"",SUM($AE484:$AH484))</f>
        <v/>
      </c>
      <c r="AE484" s="123">
        <f>iferror(IF(SUM($AI484:$AZ484)=0,"",SUM($AI484:$AZ484)),"")</f>
        <v/>
      </c>
      <c r="AF484" s="123">
        <f>iferror(IF(SUM($BA484:$BC484)=0,"",SUM($BA484:$BC484)),"")</f>
        <v/>
      </c>
      <c r="AG484" s="123">
        <f>iferror(IF(SUM($BD484:$BF484)=0,"",SUM($BD484:$BF484)),"")</f>
        <v/>
      </c>
      <c r="AH484" s="124">
        <f>iferror(IF(SUM($BG484:$BI484)=0,"",SUM($BG484:$BI484)),"")</f>
        <v/>
      </c>
      <c r="AI484" s="131" t="n"/>
      <c r="AJ484" s="132" t="n"/>
      <c r="AK484" s="132" t="n"/>
      <c r="AL484" s="132" t="n"/>
      <c r="AM484" s="132" t="n"/>
      <c r="AN484" s="132" t="n"/>
      <c r="AO484" s="132" t="n"/>
      <c r="AP484" s="132" t="n"/>
      <c r="AQ484" s="132" t="n"/>
      <c r="AR484" s="132" t="n"/>
      <c r="AS484" s="132" t="n"/>
      <c r="AT484" s="132" t="n"/>
      <c r="AU484" s="132" t="n"/>
      <c r="AV484" s="132" t="n"/>
      <c r="AW484" s="132" t="n"/>
      <c r="AX484" s="132" t="n"/>
      <c r="AY484" s="132" t="n"/>
      <c r="AZ484" s="133" t="n"/>
      <c r="BA484" s="131" t="n"/>
      <c r="BB484" s="132" t="n"/>
      <c r="BC484" s="133" t="n"/>
      <c r="BD484" s="131" t="n"/>
      <c r="BE484" s="132" t="n"/>
      <c r="BF484" s="133" t="n"/>
      <c r="BG484" s="131" t="n"/>
      <c r="BH484" s="132" t="n"/>
      <c r="BI484" s="132" t="n"/>
      <c r="BJ484" s="128">
        <f>iferror(SUM($BK484,($BL484*1.2),($BM484*1.35),($BN484*0.74)),)</f>
        <v/>
      </c>
      <c r="BK484" s="128">
        <f>IFERROR(SUM($BT484:$CK484),)</f>
        <v/>
      </c>
      <c r="BL484" s="129">
        <f>IFERROR(SUM($CL484:$CN484),)</f>
        <v/>
      </c>
      <c r="BM484" s="130">
        <f>IFERROR(SUM($CO484:$CQ484),)</f>
        <v/>
      </c>
      <c r="BN484" s="128">
        <f>IFERROR(SUM($CR484:$CT484),)</f>
        <v/>
      </c>
      <c r="BO484" s="128">
        <f>iferror(SUM($BP484,($BQ484*1.2),($BR484*1.35),($BS484*0.74)),)</f>
        <v/>
      </c>
      <c r="BP484" s="128">
        <f>IFERROR(SUM($CU484:$DL484),)</f>
        <v/>
      </c>
      <c r="BQ484" s="128">
        <f>IFERROR(SUM($DM484:$DO484),)</f>
        <v/>
      </c>
      <c r="BR484" s="128">
        <f>IFERROR(SUM($DP484:$DR484),)</f>
        <v/>
      </c>
      <c r="BS484" s="128">
        <f>IFERROR(SUM($DS484:$DU484),)</f>
        <v/>
      </c>
      <c r="BT484" s="128">
        <f>IFERROR(AI484*$W484,)</f>
        <v/>
      </c>
      <c r="BU484" s="128">
        <f>IFERROR(AJ484*$W484,)</f>
        <v/>
      </c>
      <c r="BV484" s="128">
        <f>IFERROR(AK484*$W484,)</f>
        <v/>
      </c>
      <c r="BW484" s="128">
        <f>IFERROR(AL484*$W484,)</f>
        <v/>
      </c>
      <c r="BX484" s="128">
        <f>IFERROR(AM484*$W484,)</f>
        <v/>
      </c>
      <c r="BY484" s="128">
        <f>IFERROR(AN484*$W484,)</f>
        <v/>
      </c>
      <c r="BZ484" s="128">
        <f>IFERROR(AO484*$W484,)</f>
        <v/>
      </c>
      <c r="CA484" s="128">
        <f>IFERROR(AP484*$W484,)</f>
        <v/>
      </c>
      <c r="CB484" s="128">
        <f>IFERROR(AQ484*$W484,)</f>
        <v/>
      </c>
      <c r="CC484" s="128">
        <f>IFERROR(AR484*$W484,)</f>
        <v/>
      </c>
      <c r="CD484" s="128">
        <f>IFERROR(AS484*$W484,)</f>
        <v/>
      </c>
      <c r="CE484" s="128">
        <f>IFERROR(AT484*$W484,)</f>
        <v/>
      </c>
      <c r="CF484" s="128">
        <f>IFERROR(AU484*$W484,)</f>
        <v/>
      </c>
      <c r="CG484" s="128">
        <f>IFERROR(AV484*$W484,)</f>
        <v/>
      </c>
      <c r="CH484" s="128">
        <f>IFERROR(AW484*$W484,)</f>
        <v/>
      </c>
      <c r="CI484" s="128">
        <f>IFERROR(AX484*$W484,)</f>
        <v/>
      </c>
      <c r="CJ484" s="128">
        <f>IFERROR(AY484*$W484,)</f>
        <v/>
      </c>
      <c r="CK484" s="128">
        <f>IFERROR(AZ484*$W484,)</f>
        <v/>
      </c>
      <c r="CL484" s="129">
        <f>IFERROR(if($Y484=0,BA484*($W484/1.2),BA484*$Y484),"")</f>
        <v/>
      </c>
      <c r="CM484" s="129">
        <f>IFERROR(if($Y484=0,BB484*($W484/1.2),BB484*$Y484),"")</f>
        <v/>
      </c>
      <c r="CN484" s="129">
        <f>IFERROR(if($Y484=0,BC484*($W484/1.2),BC484*$Y484),"")</f>
        <v/>
      </c>
      <c r="CO484" s="130">
        <f>IFERROR(if($AA484=0,($W484/1.35)*BD484,BD484*$AA484),)</f>
        <v/>
      </c>
      <c r="CP484" s="130">
        <f>IFERROR(if($AA484=0,($W484/1.35)*BE484,BE484*$AA484),)</f>
        <v/>
      </c>
      <c r="CQ484" s="130">
        <f>IFERROR(if($AA484=0,($W484/1.35)*BF484,BF484*$AA484),)</f>
        <v/>
      </c>
      <c r="CR484" s="128">
        <f>IFERROR(if($AC484=0,($W484/0.74)*BG484,
BG484*$AC484),)</f>
        <v/>
      </c>
      <c r="CS484" s="128">
        <f>IFERROR(if($AC484=0,($W484/0.74)*BH484,
BH484*$AC484),)</f>
        <v/>
      </c>
      <c r="CT484" s="128">
        <f>IFERROR(if($AC484=0,($W484/0.74)*BI484,
BI484*$AC484),)</f>
        <v/>
      </c>
      <c r="CU484" s="128">
        <f>IFERROR(AI484*$V484,)</f>
        <v/>
      </c>
      <c r="CV484" s="128">
        <f>IFERROR(AJ484*$V484,)</f>
        <v/>
      </c>
      <c r="CW484" s="128">
        <f>IFERROR(AK484*$V484,)</f>
        <v/>
      </c>
      <c r="CX484" s="128">
        <f>IFERROR(AL484*$V484,)</f>
        <v/>
      </c>
      <c r="CY484" s="128">
        <f>IFERROR(AM484*$V484,)</f>
        <v/>
      </c>
      <c r="CZ484" s="128">
        <f>IFERROR(AN484*$V484,)</f>
        <v/>
      </c>
      <c r="DA484" s="128">
        <f>IFERROR(AO484*$V484,)</f>
        <v/>
      </c>
      <c r="DB484" s="128">
        <f>IFERROR(AP484*$V484,)</f>
        <v/>
      </c>
      <c r="DC484" s="128">
        <f>IFERROR(AQ484*$V484,)</f>
        <v/>
      </c>
      <c r="DD484" s="128">
        <f>IFERROR(AR484*$V484,)</f>
        <v/>
      </c>
      <c r="DE484" s="128">
        <f>IFERROR(AS484*$V484,)</f>
        <v/>
      </c>
      <c r="DF484" s="128">
        <f>IFERROR(AT484*$V484,)</f>
        <v/>
      </c>
      <c r="DG484" s="128">
        <f>IFERROR(AU484*$V484,)</f>
        <v/>
      </c>
      <c r="DH484" s="128">
        <f>IFERROR(AV484*$V484,)</f>
        <v/>
      </c>
      <c r="DI484" s="128">
        <f>IFERROR(AW484*$V484,)</f>
        <v/>
      </c>
      <c r="DJ484" s="128">
        <f>IFERROR(AX484*$V484,)</f>
        <v/>
      </c>
      <c r="DK484" s="128">
        <f>IFERROR(AY484*$V484,)</f>
        <v/>
      </c>
      <c r="DL484" s="128">
        <f>IFERROR(AZ484*$V484,)</f>
        <v/>
      </c>
      <c r="DM484" s="129">
        <f>IFERROR(if($X484=0,($V484/1.2)*BA484,
BA484*$X484),)</f>
        <v/>
      </c>
      <c r="DN484" s="129">
        <f>IFERROR(if($X484=0,($V484/1.2)*BB484,
BB484*$X484),)</f>
        <v/>
      </c>
      <c r="DO484" s="129">
        <f>IFERROR(if($X484=0,($V484/1.2)*BC484,
BC484*$X484),)</f>
        <v/>
      </c>
      <c r="DP484" s="130">
        <f>IFERROR(if($Z484=0,($V484/1.35)*BD484,
BD484*$Z484),)</f>
        <v/>
      </c>
      <c r="DQ484" s="130">
        <f>IFERROR(if($Z484=0,($V484/1.35)*BE484,
BE484*$Z484),)</f>
        <v/>
      </c>
      <c r="DR484" s="130">
        <f>IFERROR(if($Z484=0,($V484/1.35)*BF484,
BF484*$Z484),)</f>
        <v/>
      </c>
      <c r="DS484" s="128">
        <f>IFERROR(IF($AB484=0,($V484/0.74)*BG484,
BG484*$AB484),)</f>
        <v/>
      </c>
      <c r="DT484" s="128">
        <f>IFERROR(IF($AB484=0,($V484/0.74)*BH484,
BH484*$AB484),)</f>
        <v/>
      </c>
      <c r="DU484" s="128">
        <f>IFERROR(IF($AB484=0,($V484/0.74)*BI484,
BI484*$AB484),)</f>
        <v/>
      </c>
    </row>
    <row r="485" ht="131.25" customHeight="1" s="162">
      <c r="A485" s="115" t="n"/>
      <c r="B485" s="115" t="n"/>
      <c r="C485" s="115" t="n"/>
      <c r="D485" s="115" t="n"/>
      <c r="E485" s="115" t="n"/>
      <c r="F485" s="115" t="n"/>
      <c r="G485" s="115" t="n"/>
      <c r="H485" s="115" t="n"/>
      <c r="I485" s="115" t="n"/>
      <c r="J485" s="115" t="n"/>
      <c r="K485" s="115" t="n"/>
      <c r="L485" s="115" t="n"/>
      <c r="M485" s="115" t="n"/>
      <c r="N485" s="115" t="n"/>
      <c r="O485" s="115" t="n"/>
      <c r="P485" s="115" t="n"/>
      <c r="Q485" s="115" t="n"/>
      <c r="R485" s="115" t="n"/>
      <c r="S485" s="115" t="n"/>
      <c r="T485" s="115" t="n"/>
      <c r="U485" s="116" t="n"/>
      <c r="V485" s="116" t="n"/>
      <c r="W485" s="117" t="n"/>
      <c r="X485" s="118" t="n"/>
      <c r="Y485" s="119" t="n"/>
      <c r="Z485" s="120" t="n"/>
      <c r="AA485" s="121" t="n"/>
      <c r="AB485" s="122" t="n"/>
      <c r="AC485" s="117" t="n"/>
      <c r="AD485" s="123">
        <f>IF(SUM($AE485:$AH485)=0,"",SUM($AE485:$AH485))</f>
        <v/>
      </c>
      <c r="AE485" s="123">
        <f>iferror(IF(SUM($AI485:$AZ485)=0,"",SUM($AI485:$AZ485)),"")</f>
        <v/>
      </c>
      <c r="AF485" s="123">
        <f>iferror(IF(SUM($BA485:$BC485)=0,"",SUM($BA485:$BC485)),"")</f>
        <v/>
      </c>
      <c r="AG485" s="123">
        <f>iferror(IF(SUM($BD485:$BF485)=0,"",SUM($BD485:$BF485)),"")</f>
        <v/>
      </c>
      <c r="AH485" s="124">
        <f>iferror(IF(SUM($BG485:$BI485)=0,"",SUM($BG485:$BI485)),"")</f>
        <v/>
      </c>
      <c r="AI485" s="131" t="n"/>
      <c r="AJ485" s="132" t="n"/>
      <c r="AK485" s="132" t="n"/>
      <c r="AL485" s="132" t="n"/>
      <c r="AM485" s="132" t="n"/>
      <c r="AN485" s="132" t="n"/>
      <c r="AO485" s="132" t="n"/>
      <c r="AP485" s="132" t="n"/>
      <c r="AQ485" s="132" t="n"/>
      <c r="AR485" s="132" t="n"/>
      <c r="AS485" s="132" t="n"/>
      <c r="AT485" s="132" t="n"/>
      <c r="AU485" s="132" t="n"/>
      <c r="AV485" s="132" t="n"/>
      <c r="AW485" s="132" t="n"/>
      <c r="AX485" s="132" t="n"/>
      <c r="AY485" s="132" t="n"/>
      <c r="AZ485" s="133" t="n"/>
      <c r="BA485" s="131" t="n"/>
      <c r="BB485" s="132" t="n"/>
      <c r="BC485" s="133" t="n"/>
      <c r="BD485" s="131" t="n"/>
      <c r="BE485" s="132" t="n"/>
      <c r="BF485" s="133" t="n"/>
      <c r="BG485" s="131" t="n"/>
      <c r="BH485" s="132" t="n"/>
      <c r="BI485" s="132" t="n"/>
      <c r="BJ485" s="128">
        <f>iferror(SUM($BK485,($BL485*1.2),($BM485*1.35),($BN485*0.74)),)</f>
        <v/>
      </c>
      <c r="BK485" s="128">
        <f>IFERROR(SUM($BT485:$CK485),)</f>
        <v/>
      </c>
      <c r="BL485" s="129">
        <f>IFERROR(SUM($CL485:$CN485),)</f>
        <v/>
      </c>
      <c r="BM485" s="130">
        <f>IFERROR(SUM($CO485:$CQ485),)</f>
        <v/>
      </c>
      <c r="BN485" s="128">
        <f>IFERROR(SUM($CR485:$CT485),)</f>
        <v/>
      </c>
      <c r="BO485" s="128">
        <f>iferror(SUM($BP485,($BQ485*1.2),($BR485*1.35),($BS485*0.74)),)</f>
        <v/>
      </c>
      <c r="BP485" s="128">
        <f>IFERROR(SUM($CU485:$DL485),)</f>
        <v/>
      </c>
      <c r="BQ485" s="128">
        <f>IFERROR(SUM($DM485:$DO485),)</f>
        <v/>
      </c>
      <c r="BR485" s="128">
        <f>IFERROR(SUM($DP485:$DR485),)</f>
        <v/>
      </c>
      <c r="BS485" s="128">
        <f>IFERROR(SUM($DS485:$DU485),)</f>
        <v/>
      </c>
      <c r="BT485" s="128">
        <f>IFERROR(AI485*$W485,)</f>
        <v/>
      </c>
      <c r="BU485" s="128">
        <f>IFERROR(AJ485*$W485,)</f>
        <v/>
      </c>
      <c r="BV485" s="128">
        <f>IFERROR(AK485*$W485,)</f>
        <v/>
      </c>
      <c r="BW485" s="128">
        <f>IFERROR(AL485*$W485,)</f>
        <v/>
      </c>
      <c r="BX485" s="128">
        <f>IFERROR(AM485*$W485,)</f>
        <v/>
      </c>
      <c r="BY485" s="128">
        <f>IFERROR(AN485*$W485,)</f>
        <v/>
      </c>
      <c r="BZ485" s="128">
        <f>IFERROR(AO485*$W485,)</f>
        <v/>
      </c>
      <c r="CA485" s="128">
        <f>IFERROR(AP485*$W485,)</f>
        <v/>
      </c>
      <c r="CB485" s="128">
        <f>IFERROR(AQ485*$W485,)</f>
        <v/>
      </c>
      <c r="CC485" s="128">
        <f>IFERROR(AR485*$W485,)</f>
        <v/>
      </c>
      <c r="CD485" s="128">
        <f>IFERROR(AS485*$W485,)</f>
        <v/>
      </c>
      <c r="CE485" s="128">
        <f>IFERROR(AT485*$W485,)</f>
        <v/>
      </c>
      <c r="CF485" s="128">
        <f>IFERROR(AU485*$W485,)</f>
        <v/>
      </c>
      <c r="CG485" s="128">
        <f>IFERROR(AV485*$W485,)</f>
        <v/>
      </c>
      <c r="CH485" s="128">
        <f>IFERROR(AW485*$W485,)</f>
        <v/>
      </c>
      <c r="CI485" s="128">
        <f>IFERROR(AX485*$W485,)</f>
        <v/>
      </c>
      <c r="CJ485" s="128">
        <f>IFERROR(AY485*$W485,)</f>
        <v/>
      </c>
      <c r="CK485" s="128">
        <f>IFERROR(AZ485*$W485,)</f>
        <v/>
      </c>
      <c r="CL485" s="129">
        <f>IFERROR(if($Y485=0,BA485*($W485/1.2),BA485*$Y485),"")</f>
        <v/>
      </c>
      <c r="CM485" s="129">
        <f>IFERROR(if($Y485=0,BB485*($W485/1.2),BB485*$Y485),"")</f>
        <v/>
      </c>
      <c r="CN485" s="129">
        <f>IFERROR(if($Y485=0,BC485*($W485/1.2),BC485*$Y485),"")</f>
        <v/>
      </c>
      <c r="CO485" s="130">
        <f>IFERROR(if($AA485=0,($W485/1.35)*BD485,BD485*$AA485),)</f>
        <v/>
      </c>
      <c r="CP485" s="130">
        <f>IFERROR(if($AA485=0,($W485/1.35)*BE485,BE485*$AA485),)</f>
        <v/>
      </c>
      <c r="CQ485" s="130">
        <f>IFERROR(if($AA485=0,($W485/1.35)*BF485,BF485*$AA485),)</f>
        <v/>
      </c>
      <c r="CR485" s="128">
        <f>IFERROR(if($AC485=0,($W485/0.74)*BG485,
BG485*$AC485),)</f>
        <v/>
      </c>
      <c r="CS485" s="128">
        <f>IFERROR(if($AC485=0,($W485/0.74)*BH485,
BH485*$AC485),)</f>
        <v/>
      </c>
      <c r="CT485" s="128">
        <f>IFERROR(if($AC485=0,($W485/0.74)*BI485,
BI485*$AC485),)</f>
        <v/>
      </c>
      <c r="CU485" s="128">
        <f>IFERROR(AI485*$V485,)</f>
        <v/>
      </c>
      <c r="CV485" s="128">
        <f>IFERROR(AJ485*$V485,)</f>
        <v/>
      </c>
      <c r="CW485" s="128">
        <f>IFERROR(AK485*$V485,)</f>
        <v/>
      </c>
      <c r="CX485" s="128">
        <f>IFERROR(AL485*$V485,)</f>
        <v/>
      </c>
      <c r="CY485" s="128">
        <f>IFERROR(AM485*$V485,)</f>
        <v/>
      </c>
      <c r="CZ485" s="128">
        <f>IFERROR(AN485*$V485,)</f>
        <v/>
      </c>
      <c r="DA485" s="128">
        <f>IFERROR(AO485*$V485,)</f>
        <v/>
      </c>
      <c r="DB485" s="128">
        <f>IFERROR(AP485*$V485,)</f>
        <v/>
      </c>
      <c r="DC485" s="128">
        <f>IFERROR(AQ485*$V485,)</f>
        <v/>
      </c>
      <c r="DD485" s="128">
        <f>IFERROR(AR485*$V485,)</f>
        <v/>
      </c>
      <c r="DE485" s="128">
        <f>IFERROR(AS485*$V485,)</f>
        <v/>
      </c>
      <c r="DF485" s="128">
        <f>IFERROR(AT485*$V485,)</f>
        <v/>
      </c>
      <c r="DG485" s="128">
        <f>IFERROR(AU485*$V485,)</f>
        <v/>
      </c>
      <c r="DH485" s="128">
        <f>IFERROR(AV485*$V485,)</f>
        <v/>
      </c>
      <c r="DI485" s="128">
        <f>IFERROR(AW485*$V485,)</f>
        <v/>
      </c>
      <c r="DJ485" s="128">
        <f>IFERROR(AX485*$V485,)</f>
        <v/>
      </c>
      <c r="DK485" s="128">
        <f>IFERROR(AY485*$V485,)</f>
        <v/>
      </c>
      <c r="DL485" s="128">
        <f>IFERROR(AZ485*$V485,)</f>
        <v/>
      </c>
      <c r="DM485" s="129">
        <f>IFERROR(if($X485=0,($V485/1.2)*BA485,
BA485*$X485),)</f>
        <v/>
      </c>
      <c r="DN485" s="129">
        <f>IFERROR(if($X485=0,($V485/1.2)*BB485,
BB485*$X485),)</f>
        <v/>
      </c>
      <c r="DO485" s="129">
        <f>IFERROR(if($X485=0,($V485/1.2)*BC485,
BC485*$X485),)</f>
        <v/>
      </c>
      <c r="DP485" s="130">
        <f>IFERROR(if($Z485=0,($V485/1.35)*BD485,
BD485*$Z485),)</f>
        <v/>
      </c>
      <c r="DQ485" s="130">
        <f>IFERROR(if($Z485=0,($V485/1.35)*BE485,
BE485*$Z485),)</f>
        <v/>
      </c>
      <c r="DR485" s="130">
        <f>IFERROR(if($Z485=0,($V485/1.35)*BF485,
BF485*$Z485),)</f>
        <v/>
      </c>
      <c r="DS485" s="128">
        <f>IFERROR(IF($AB485=0,($V485/0.74)*BG485,
BG485*$AB485),)</f>
        <v/>
      </c>
      <c r="DT485" s="128">
        <f>IFERROR(IF($AB485=0,($V485/0.74)*BH485,
BH485*$AB485),)</f>
        <v/>
      </c>
      <c r="DU485" s="128">
        <f>IFERROR(IF($AB485=0,($V485/0.74)*BI485,
BI485*$AB485),)</f>
        <v/>
      </c>
    </row>
    <row r="486" ht="131.25" customHeight="1" s="162">
      <c r="A486" s="115" t="n"/>
      <c r="B486" s="115" t="n"/>
      <c r="C486" s="115" t="n"/>
      <c r="D486" s="115" t="n"/>
      <c r="E486" s="115" t="n"/>
      <c r="F486" s="115" t="n"/>
      <c r="G486" s="115" t="n"/>
      <c r="H486" s="115" t="n"/>
      <c r="I486" s="115" t="n"/>
      <c r="J486" s="115" t="n"/>
      <c r="K486" s="115" t="n"/>
      <c r="L486" s="115" t="n"/>
      <c r="M486" s="115" t="n"/>
      <c r="N486" s="115" t="n"/>
      <c r="O486" s="115" t="n"/>
      <c r="P486" s="115" t="n"/>
      <c r="Q486" s="115" t="n"/>
      <c r="R486" s="115" t="n"/>
      <c r="S486" s="115" t="n"/>
      <c r="T486" s="115" t="n"/>
      <c r="U486" s="116" t="n"/>
      <c r="V486" s="116" t="n"/>
      <c r="W486" s="117" t="n"/>
      <c r="X486" s="118" t="n"/>
      <c r="Y486" s="119" t="n"/>
      <c r="Z486" s="120" t="n"/>
      <c r="AA486" s="121" t="n"/>
      <c r="AB486" s="122" t="n"/>
      <c r="AC486" s="117" t="n"/>
      <c r="AD486" s="123">
        <f>IF(SUM($AE486:$AH486)=0,"",SUM($AE486:$AH486))</f>
        <v/>
      </c>
      <c r="AE486" s="123">
        <f>iferror(IF(SUM($AI486:$AZ486)=0,"",SUM($AI486:$AZ486)),"")</f>
        <v/>
      </c>
      <c r="AF486" s="123">
        <f>iferror(IF(SUM($BA486:$BC486)=0,"",SUM($BA486:$BC486)),"")</f>
        <v/>
      </c>
      <c r="AG486" s="123">
        <f>iferror(IF(SUM($BD486:$BF486)=0,"",SUM($BD486:$BF486)),"")</f>
        <v/>
      </c>
      <c r="AH486" s="124">
        <f>iferror(IF(SUM($BG486:$BI486)=0,"",SUM($BG486:$BI486)),"")</f>
        <v/>
      </c>
      <c r="AI486" s="131" t="n"/>
      <c r="AJ486" s="132" t="n"/>
      <c r="AK486" s="132" t="n"/>
      <c r="AL486" s="132" t="n"/>
      <c r="AM486" s="132" t="n"/>
      <c r="AN486" s="132" t="n"/>
      <c r="AO486" s="132" t="n"/>
      <c r="AP486" s="132" t="n"/>
      <c r="AQ486" s="132" t="n"/>
      <c r="AR486" s="132" t="n"/>
      <c r="AS486" s="132" t="n"/>
      <c r="AT486" s="132" t="n"/>
      <c r="AU486" s="132" t="n"/>
      <c r="AV486" s="132" t="n"/>
      <c r="AW486" s="132" t="n"/>
      <c r="AX486" s="132" t="n"/>
      <c r="AY486" s="132" t="n"/>
      <c r="AZ486" s="133" t="n"/>
      <c r="BA486" s="131" t="n"/>
      <c r="BB486" s="132" t="n"/>
      <c r="BC486" s="133" t="n"/>
      <c r="BD486" s="131" t="n"/>
      <c r="BE486" s="132" t="n"/>
      <c r="BF486" s="133" t="n"/>
      <c r="BG486" s="131" t="n"/>
      <c r="BH486" s="132" t="n"/>
      <c r="BI486" s="132" t="n"/>
      <c r="BJ486" s="128">
        <f>iferror(SUM($BK486,($BL486*1.2),($BM486*1.35),($BN486*0.74)),)</f>
        <v/>
      </c>
      <c r="BK486" s="128">
        <f>IFERROR(SUM($BT486:$CK486),)</f>
        <v/>
      </c>
      <c r="BL486" s="129">
        <f>IFERROR(SUM($CL486:$CN486),)</f>
        <v/>
      </c>
      <c r="BM486" s="130">
        <f>IFERROR(SUM($CO486:$CQ486),)</f>
        <v/>
      </c>
      <c r="BN486" s="128">
        <f>IFERROR(SUM($CR486:$CT486),)</f>
        <v/>
      </c>
      <c r="BO486" s="128">
        <f>iferror(SUM($BP486,($BQ486*1.2),($BR486*1.35),($BS486*0.74)),)</f>
        <v/>
      </c>
      <c r="BP486" s="128">
        <f>IFERROR(SUM($CU486:$DL486),)</f>
        <v/>
      </c>
      <c r="BQ486" s="128">
        <f>IFERROR(SUM($DM486:$DO486),)</f>
        <v/>
      </c>
      <c r="BR486" s="128">
        <f>IFERROR(SUM($DP486:$DR486),)</f>
        <v/>
      </c>
      <c r="BS486" s="128">
        <f>IFERROR(SUM($DS486:$DU486),)</f>
        <v/>
      </c>
      <c r="BT486" s="128">
        <f>IFERROR(AI486*$W486,)</f>
        <v/>
      </c>
      <c r="BU486" s="128">
        <f>IFERROR(AJ486*$W486,)</f>
        <v/>
      </c>
      <c r="BV486" s="128">
        <f>IFERROR(AK486*$W486,)</f>
        <v/>
      </c>
      <c r="BW486" s="128">
        <f>IFERROR(AL486*$W486,)</f>
        <v/>
      </c>
      <c r="BX486" s="128">
        <f>IFERROR(AM486*$W486,)</f>
        <v/>
      </c>
      <c r="BY486" s="128">
        <f>IFERROR(AN486*$W486,)</f>
        <v/>
      </c>
      <c r="BZ486" s="128">
        <f>IFERROR(AO486*$W486,)</f>
        <v/>
      </c>
      <c r="CA486" s="128">
        <f>IFERROR(AP486*$W486,)</f>
        <v/>
      </c>
      <c r="CB486" s="128">
        <f>IFERROR(AQ486*$W486,)</f>
        <v/>
      </c>
      <c r="CC486" s="128">
        <f>IFERROR(AR486*$W486,)</f>
        <v/>
      </c>
      <c r="CD486" s="128">
        <f>IFERROR(AS486*$W486,)</f>
        <v/>
      </c>
      <c r="CE486" s="128">
        <f>IFERROR(AT486*$W486,)</f>
        <v/>
      </c>
      <c r="CF486" s="128">
        <f>IFERROR(AU486*$W486,)</f>
        <v/>
      </c>
      <c r="CG486" s="128">
        <f>IFERROR(AV486*$W486,)</f>
        <v/>
      </c>
      <c r="CH486" s="128">
        <f>IFERROR(AW486*$W486,)</f>
        <v/>
      </c>
      <c r="CI486" s="128">
        <f>IFERROR(AX486*$W486,)</f>
        <v/>
      </c>
      <c r="CJ486" s="128">
        <f>IFERROR(AY486*$W486,)</f>
        <v/>
      </c>
      <c r="CK486" s="128">
        <f>IFERROR(AZ486*$W486,)</f>
        <v/>
      </c>
      <c r="CL486" s="129">
        <f>IFERROR(if($Y486=0,BA486*($W486/1.2),BA486*$Y486),"")</f>
        <v/>
      </c>
      <c r="CM486" s="129">
        <f>IFERROR(if($Y486=0,BB486*($W486/1.2),BB486*$Y486),"")</f>
        <v/>
      </c>
      <c r="CN486" s="129">
        <f>IFERROR(if($Y486=0,BC486*($W486/1.2),BC486*$Y486),"")</f>
        <v/>
      </c>
      <c r="CO486" s="130">
        <f>IFERROR(if($AA486=0,($W486/1.35)*BD486,BD486*$AA486),)</f>
        <v/>
      </c>
      <c r="CP486" s="130">
        <f>IFERROR(if($AA486=0,($W486/1.35)*BE486,BE486*$AA486),)</f>
        <v/>
      </c>
      <c r="CQ486" s="130">
        <f>IFERROR(if($AA486=0,($W486/1.35)*BF486,BF486*$AA486),)</f>
        <v/>
      </c>
      <c r="CR486" s="128">
        <f>IFERROR(if($AC486=0,($W486/0.74)*BG486,
BG486*$AC486),)</f>
        <v/>
      </c>
      <c r="CS486" s="128">
        <f>IFERROR(if($AC486=0,($W486/0.74)*BH486,
BH486*$AC486),)</f>
        <v/>
      </c>
      <c r="CT486" s="128">
        <f>IFERROR(if($AC486=0,($W486/0.74)*BI486,
BI486*$AC486),)</f>
        <v/>
      </c>
      <c r="CU486" s="128">
        <f>IFERROR(AI486*$V486,)</f>
        <v/>
      </c>
      <c r="CV486" s="128">
        <f>IFERROR(AJ486*$V486,)</f>
        <v/>
      </c>
      <c r="CW486" s="128">
        <f>IFERROR(AK486*$V486,)</f>
        <v/>
      </c>
      <c r="CX486" s="128">
        <f>IFERROR(AL486*$V486,)</f>
        <v/>
      </c>
      <c r="CY486" s="128">
        <f>IFERROR(AM486*$V486,)</f>
        <v/>
      </c>
      <c r="CZ486" s="128">
        <f>IFERROR(AN486*$V486,)</f>
        <v/>
      </c>
      <c r="DA486" s="128">
        <f>IFERROR(AO486*$V486,)</f>
        <v/>
      </c>
      <c r="DB486" s="128">
        <f>IFERROR(AP486*$V486,)</f>
        <v/>
      </c>
      <c r="DC486" s="128">
        <f>IFERROR(AQ486*$V486,)</f>
        <v/>
      </c>
      <c r="DD486" s="128">
        <f>IFERROR(AR486*$V486,)</f>
        <v/>
      </c>
      <c r="DE486" s="128">
        <f>IFERROR(AS486*$V486,)</f>
        <v/>
      </c>
      <c r="DF486" s="128">
        <f>IFERROR(AT486*$V486,)</f>
        <v/>
      </c>
      <c r="DG486" s="128">
        <f>IFERROR(AU486*$V486,)</f>
        <v/>
      </c>
      <c r="DH486" s="128">
        <f>IFERROR(AV486*$V486,)</f>
        <v/>
      </c>
      <c r="DI486" s="128">
        <f>IFERROR(AW486*$V486,)</f>
        <v/>
      </c>
      <c r="DJ486" s="128">
        <f>IFERROR(AX486*$V486,)</f>
        <v/>
      </c>
      <c r="DK486" s="128">
        <f>IFERROR(AY486*$V486,)</f>
        <v/>
      </c>
      <c r="DL486" s="128">
        <f>IFERROR(AZ486*$V486,)</f>
        <v/>
      </c>
      <c r="DM486" s="129">
        <f>IFERROR(if($X486=0,($V486/1.2)*BA486,
BA486*$X486),)</f>
        <v/>
      </c>
      <c r="DN486" s="129">
        <f>IFERROR(if($X486=0,($V486/1.2)*BB486,
BB486*$X486),)</f>
        <v/>
      </c>
      <c r="DO486" s="129">
        <f>IFERROR(if($X486=0,($V486/1.2)*BC486,
BC486*$X486),)</f>
        <v/>
      </c>
      <c r="DP486" s="130">
        <f>IFERROR(if($Z486=0,($V486/1.35)*BD486,
BD486*$Z486),)</f>
        <v/>
      </c>
      <c r="DQ486" s="130">
        <f>IFERROR(if($Z486=0,($V486/1.35)*BE486,
BE486*$Z486),)</f>
        <v/>
      </c>
      <c r="DR486" s="130">
        <f>IFERROR(if($Z486=0,($V486/1.35)*BF486,
BF486*$Z486),)</f>
        <v/>
      </c>
      <c r="DS486" s="128">
        <f>IFERROR(IF($AB486=0,($V486/0.74)*BG486,
BG486*$AB486),)</f>
        <v/>
      </c>
      <c r="DT486" s="128">
        <f>IFERROR(IF($AB486=0,($V486/0.74)*BH486,
BH486*$AB486),)</f>
        <v/>
      </c>
      <c r="DU486" s="128">
        <f>IFERROR(IF($AB486=0,($V486/0.74)*BI486,
BI486*$AB486),)</f>
        <v/>
      </c>
    </row>
    <row r="487" ht="131.25" customHeight="1" s="162">
      <c r="A487" s="115" t="n"/>
      <c r="B487" s="115" t="n"/>
      <c r="C487" s="115" t="n"/>
      <c r="D487" s="115" t="n"/>
      <c r="E487" s="115" t="n"/>
      <c r="F487" s="115" t="n"/>
      <c r="G487" s="115" t="n"/>
      <c r="H487" s="115" t="n"/>
      <c r="I487" s="115" t="n"/>
      <c r="J487" s="115" t="n"/>
      <c r="K487" s="115" t="n"/>
      <c r="L487" s="115" t="n"/>
      <c r="M487" s="115" t="n"/>
      <c r="N487" s="115" t="n"/>
      <c r="O487" s="115" t="n"/>
      <c r="P487" s="115" t="n"/>
      <c r="Q487" s="115" t="n"/>
      <c r="R487" s="115" t="n"/>
      <c r="S487" s="115" t="n"/>
      <c r="T487" s="115" t="n"/>
      <c r="U487" s="116" t="n"/>
      <c r="V487" s="116" t="n"/>
      <c r="W487" s="117" t="n"/>
      <c r="X487" s="118" t="n"/>
      <c r="Y487" s="119" t="n"/>
      <c r="Z487" s="120" t="n"/>
      <c r="AA487" s="121" t="n"/>
      <c r="AB487" s="122" t="n"/>
      <c r="AC487" s="117" t="n"/>
      <c r="AD487" s="123">
        <f>IF(SUM($AE487:$AH487)=0,"",SUM($AE487:$AH487))</f>
        <v/>
      </c>
      <c r="AE487" s="123">
        <f>iferror(IF(SUM($AI487:$AZ487)=0,"",SUM($AI487:$AZ487)),"")</f>
        <v/>
      </c>
      <c r="AF487" s="123">
        <f>iferror(IF(SUM($BA487:$BC487)=0,"",SUM($BA487:$BC487)),"")</f>
        <v/>
      </c>
      <c r="AG487" s="123">
        <f>iferror(IF(SUM($BD487:$BF487)=0,"",SUM($BD487:$BF487)),"")</f>
        <v/>
      </c>
      <c r="AH487" s="124">
        <f>iferror(IF(SUM($BG487:$BI487)=0,"",SUM($BG487:$BI487)),"")</f>
        <v/>
      </c>
      <c r="AI487" s="131" t="n"/>
      <c r="AJ487" s="132" t="n"/>
      <c r="AK487" s="132" t="n"/>
      <c r="AL487" s="132" t="n"/>
      <c r="AM487" s="132" t="n"/>
      <c r="AN487" s="132" t="n"/>
      <c r="AO487" s="132" t="n"/>
      <c r="AP487" s="132" t="n"/>
      <c r="AQ487" s="132" t="n"/>
      <c r="AR487" s="132" t="n"/>
      <c r="AS487" s="132" t="n"/>
      <c r="AT487" s="132" t="n"/>
      <c r="AU487" s="132" t="n"/>
      <c r="AV487" s="132" t="n"/>
      <c r="AW487" s="132" t="n"/>
      <c r="AX487" s="132" t="n"/>
      <c r="AY487" s="132" t="n"/>
      <c r="AZ487" s="133" t="n"/>
      <c r="BA487" s="131" t="n"/>
      <c r="BB487" s="132" t="n"/>
      <c r="BC487" s="133" t="n"/>
      <c r="BD487" s="131" t="n"/>
      <c r="BE487" s="132" t="n"/>
      <c r="BF487" s="133" t="n"/>
      <c r="BG487" s="131" t="n"/>
      <c r="BH487" s="132" t="n"/>
      <c r="BI487" s="132" t="n"/>
      <c r="BJ487" s="128">
        <f>iferror(SUM($BK487,($BL487*1.2),($BM487*1.35),($BN487*0.74)),)</f>
        <v/>
      </c>
      <c r="BK487" s="128">
        <f>IFERROR(SUM($BT487:$CK487),)</f>
        <v/>
      </c>
      <c r="BL487" s="129">
        <f>IFERROR(SUM($CL487:$CN487),)</f>
        <v/>
      </c>
      <c r="BM487" s="130">
        <f>IFERROR(SUM($CO487:$CQ487),)</f>
        <v/>
      </c>
      <c r="BN487" s="128">
        <f>IFERROR(SUM($CR487:$CT487),)</f>
        <v/>
      </c>
      <c r="BO487" s="128">
        <f>iferror(SUM($BP487,($BQ487*1.2),($BR487*1.35),($BS487*0.74)),)</f>
        <v/>
      </c>
      <c r="BP487" s="128">
        <f>IFERROR(SUM($CU487:$DL487),)</f>
        <v/>
      </c>
      <c r="BQ487" s="128">
        <f>IFERROR(SUM($DM487:$DO487),)</f>
        <v/>
      </c>
      <c r="BR487" s="128">
        <f>IFERROR(SUM($DP487:$DR487),)</f>
        <v/>
      </c>
      <c r="BS487" s="128">
        <f>IFERROR(SUM($DS487:$DU487),)</f>
        <v/>
      </c>
      <c r="BT487" s="128">
        <f>IFERROR(AI487*$W487,)</f>
        <v/>
      </c>
      <c r="BU487" s="128">
        <f>IFERROR(AJ487*$W487,)</f>
        <v/>
      </c>
      <c r="BV487" s="128">
        <f>IFERROR(AK487*$W487,)</f>
        <v/>
      </c>
      <c r="BW487" s="128">
        <f>IFERROR(AL487*$W487,)</f>
        <v/>
      </c>
      <c r="BX487" s="128">
        <f>IFERROR(AM487*$W487,)</f>
        <v/>
      </c>
      <c r="BY487" s="128">
        <f>IFERROR(AN487*$W487,)</f>
        <v/>
      </c>
      <c r="BZ487" s="128">
        <f>IFERROR(AO487*$W487,)</f>
        <v/>
      </c>
      <c r="CA487" s="128">
        <f>IFERROR(AP487*$W487,)</f>
        <v/>
      </c>
      <c r="CB487" s="128">
        <f>IFERROR(AQ487*$W487,)</f>
        <v/>
      </c>
      <c r="CC487" s="128">
        <f>IFERROR(AR487*$W487,)</f>
        <v/>
      </c>
      <c r="CD487" s="128">
        <f>IFERROR(AS487*$W487,)</f>
        <v/>
      </c>
      <c r="CE487" s="128">
        <f>IFERROR(AT487*$W487,)</f>
        <v/>
      </c>
      <c r="CF487" s="128">
        <f>IFERROR(AU487*$W487,)</f>
        <v/>
      </c>
      <c r="CG487" s="128">
        <f>IFERROR(AV487*$W487,)</f>
        <v/>
      </c>
      <c r="CH487" s="128">
        <f>IFERROR(AW487*$W487,)</f>
        <v/>
      </c>
      <c r="CI487" s="128">
        <f>IFERROR(AX487*$W487,)</f>
        <v/>
      </c>
      <c r="CJ487" s="128">
        <f>IFERROR(AY487*$W487,)</f>
        <v/>
      </c>
      <c r="CK487" s="128">
        <f>IFERROR(AZ487*$W487,)</f>
        <v/>
      </c>
      <c r="CL487" s="129">
        <f>IFERROR(if($Y487=0,BA487*($W487/1.2),BA487*$Y487),"")</f>
        <v/>
      </c>
      <c r="CM487" s="129">
        <f>IFERROR(if($Y487=0,BB487*($W487/1.2),BB487*$Y487),"")</f>
        <v/>
      </c>
      <c r="CN487" s="129">
        <f>IFERROR(if($Y487=0,BC487*($W487/1.2),BC487*$Y487),"")</f>
        <v/>
      </c>
      <c r="CO487" s="130">
        <f>IFERROR(if($AA487=0,($W487/1.35)*BD487,BD487*$AA487),)</f>
        <v/>
      </c>
      <c r="CP487" s="130">
        <f>IFERROR(if($AA487=0,($W487/1.35)*BE487,BE487*$AA487),)</f>
        <v/>
      </c>
      <c r="CQ487" s="130">
        <f>IFERROR(if($AA487=0,($W487/1.35)*BF487,BF487*$AA487),)</f>
        <v/>
      </c>
      <c r="CR487" s="128">
        <f>IFERROR(if($AC487=0,($W487/0.74)*BG487,
BG487*$AC487),)</f>
        <v/>
      </c>
      <c r="CS487" s="128">
        <f>IFERROR(if($AC487=0,($W487/0.74)*BH487,
BH487*$AC487),)</f>
        <v/>
      </c>
      <c r="CT487" s="128">
        <f>IFERROR(if($AC487=0,($W487/0.74)*BI487,
BI487*$AC487),)</f>
        <v/>
      </c>
      <c r="CU487" s="128">
        <f>IFERROR(AI487*$V487,)</f>
        <v/>
      </c>
      <c r="CV487" s="128">
        <f>IFERROR(AJ487*$V487,)</f>
        <v/>
      </c>
      <c r="CW487" s="128">
        <f>IFERROR(AK487*$V487,)</f>
        <v/>
      </c>
      <c r="CX487" s="128">
        <f>IFERROR(AL487*$V487,)</f>
        <v/>
      </c>
      <c r="CY487" s="128">
        <f>IFERROR(AM487*$V487,)</f>
        <v/>
      </c>
      <c r="CZ487" s="128">
        <f>IFERROR(AN487*$V487,)</f>
        <v/>
      </c>
      <c r="DA487" s="128">
        <f>IFERROR(AO487*$V487,)</f>
        <v/>
      </c>
      <c r="DB487" s="128">
        <f>IFERROR(AP487*$V487,)</f>
        <v/>
      </c>
      <c r="DC487" s="128">
        <f>IFERROR(AQ487*$V487,)</f>
        <v/>
      </c>
      <c r="DD487" s="128">
        <f>IFERROR(AR487*$V487,)</f>
        <v/>
      </c>
      <c r="DE487" s="128">
        <f>IFERROR(AS487*$V487,)</f>
        <v/>
      </c>
      <c r="DF487" s="128">
        <f>IFERROR(AT487*$V487,)</f>
        <v/>
      </c>
      <c r="DG487" s="128">
        <f>IFERROR(AU487*$V487,)</f>
        <v/>
      </c>
      <c r="DH487" s="128">
        <f>IFERROR(AV487*$V487,)</f>
        <v/>
      </c>
      <c r="DI487" s="128">
        <f>IFERROR(AW487*$V487,)</f>
        <v/>
      </c>
      <c r="DJ487" s="128">
        <f>IFERROR(AX487*$V487,)</f>
        <v/>
      </c>
      <c r="DK487" s="128">
        <f>IFERROR(AY487*$V487,)</f>
        <v/>
      </c>
      <c r="DL487" s="128">
        <f>IFERROR(AZ487*$V487,)</f>
        <v/>
      </c>
      <c r="DM487" s="129">
        <f>IFERROR(if($X487=0,($V487/1.2)*BA487,
BA487*$X487),)</f>
        <v/>
      </c>
      <c r="DN487" s="129">
        <f>IFERROR(if($X487=0,($V487/1.2)*BB487,
BB487*$X487),)</f>
        <v/>
      </c>
      <c r="DO487" s="129">
        <f>IFERROR(if($X487=0,($V487/1.2)*BC487,
BC487*$X487),)</f>
        <v/>
      </c>
      <c r="DP487" s="130">
        <f>IFERROR(if($Z487=0,($V487/1.35)*BD487,
BD487*$Z487),)</f>
        <v/>
      </c>
      <c r="DQ487" s="130">
        <f>IFERROR(if($Z487=0,($V487/1.35)*BE487,
BE487*$Z487),)</f>
        <v/>
      </c>
      <c r="DR487" s="130">
        <f>IFERROR(if($Z487=0,($V487/1.35)*BF487,
BF487*$Z487),)</f>
        <v/>
      </c>
      <c r="DS487" s="128">
        <f>IFERROR(IF($AB487=0,($V487/0.74)*BG487,
BG487*$AB487),)</f>
        <v/>
      </c>
      <c r="DT487" s="128">
        <f>IFERROR(IF($AB487=0,($V487/0.74)*BH487,
BH487*$AB487),)</f>
        <v/>
      </c>
      <c r="DU487" s="128">
        <f>IFERROR(IF($AB487=0,($V487/0.74)*BI487,
BI487*$AB487),)</f>
        <v/>
      </c>
    </row>
    <row r="488" ht="131.25" customHeight="1" s="162">
      <c r="A488" s="115" t="n"/>
      <c r="B488" s="115" t="n"/>
      <c r="C488" s="115" t="n"/>
      <c r="D488" s="115" t="n"/>
      <c r="E488" s="115" t="n"/>
      <c r="F488" s="115" t="n"/>
      <c r="G488" s="115" t="n"/>
      <c r="H488" s="115" t="n"/>
      <c r="I488" s="115" t="n"/>
      <c r="J488" s="115" t="n"/>
      <c r="K488" s="115" t="n"/>
      <c r="L488" s="115" t="n"/>
      <c r="M488" s="115" t="n"/>
      <c r="N488" s="115" t="n"/>
      <c r="O488" s="115" t="n"/>
      <c r="P488" s="115" t="n"/>
      <c r="Q488" s="115" t="n"/>
      <c r="R488" s="115" t="n"/>
      <c r="S488" s="115" t="n"/>
      <c r="T488" s="115" t="n"/>
      <c r="U488" s="116" t="n"/>
      <c r="V488" s="116" t="n"/>
      <c r="W488" s="117" t="n"/>
      <c r="X488" s="118" t="n"/>
      <c r="Y488" s="119" t="n"/>
      <c r="Z488" s="120" t="n"/>
      <c r="AA488" s="121" t="n"/>
      <c r="AB488" s="122" t="n"/>
      <c r="AC488" s="117" t="n"/>
      <c r="AD488" s="123">
        <f>IF(SUM($AE488:$AH488)=0,"",SUM($AE488:$AH488))</f>
        <v/>
      </c>
      <c r="AE488" s="123">
        <f>iferror(IF(SUM($AI488:$AZ488)=0,"",SUM($AI488:$AZ488)),"")</f>
        <v/>
      </c>
      <c r="AF488" s="123">
        <f>iferror(IF(SUM($BA488:$BC488)=0,"",SUM($BA488:$BC488)),"")</f>
        <v/>
      </c>
      <c r="AG488" s="123">
        <f>iferror(IF(SUM($BD488:$BF488)=0,"",SUM($BD488:$BF488)),"")</f>
        <v/>
      </c>
      <c r="AH488" s="124">
        <f>iferror(IF(SUM($BG488:$BI488)=0,"",SUM($BG488:$BI488)),"")</f>
        <v/>
      </c>
      <c r="AI488" s="131" t="n"/>
      <c r="AJ488" s="132" t="n"/>
      <c r="AK488" s="132" t="n"/>
      <c r="AL488" s="132" t="n"/>
      <c r="AM488" s="132" t="n"/>
      <c r="AN488" s="132" t="n"/>
      <c r="AO488" s="132" t="n"/>
      <c r="AP488" s="132" t="n"/>
      <c r="AQ488" s="132" t="n"/>
      <c r="AR488" s="132" t="n"/>
      <c r="AS488" s="132" t="n"/>
      <c r="AT488" s="132" t="n"/>
      <c r="AU488" s="132" t="n"/>
      <c r="AV488" s="132" t="n"/>
      <c r="AW488" s="132" t="n"/>
      <c r="AX488" s="132" t="n"/>
      <c r="AY488" s="132" t="n"/>
      <c r="AZ488" s="133" t="n"/>
      <c r="BA488" s="131" t="n"/>
      <c r="BB488" s="132" t="n"/>
      <c r="BC488" s="133" t="n"/>
      <c r="BD488" s="131" t="n"/>
      <c r="BE488" s="132" t="n"/>
      <c r="BF488" s="133" t="n"/>
      <c r="BG488" s="131" t="n"/>
      <c r="BH488" s="132" t="n"/>
      <c r="BI488" s="132" t="n"/>
      <c r="BJ488" s="128">
        <f>iferror(SUM($BK488,($BL488*1.2),($BM488*1.35),($BN488*0.74)),)</f>
        <v/>
      </c>
      <c r="BK488" s="128">
        <f>IFERROR(SUM($BT488:$CK488),)</f>
        <v/>
      </c>
      <c r="BL488" s="129">
        <f>IFERROR(SUM($CL488:$CN488),)</f>
        <v/>
      </c>
      <c r="BM488" s="130">
        <f>IFERROR(SUM($CO488:$CQ488),)</f>
        <v/>
      </c>
      <c r="BN488" s="128">
        <f>IFERROR(SUM($CR488:$CT488),)</f>
        <v/>
      </c>
      <c r="BO488" s="128">
        <f>iferror(SUM($BP488,($BQ488*1.2),($BR488*1.35),($BS488*0.74)),)</f>
        <v/>
      </c>
      <c r="BP488" s="128">
        <f>IFERROR(SUM($CU488:$DL488),)</f>
        <v/>
      </c>
      <c r="BQ488" s="128">
        <f>IFERROR(SUM($DM488:$DO488),)</f>
        <v/>
      </c>
      <c r="BR488" s="128">
        <f>IFERROR(SUM($DP488:$DR488),)</f>
        <v/>
      </c>
      <c r="BS488" s="128">
        <f>IFERROR(SUM($DS488:$DU488),)</f>
        <v/>
      </c>
      <c r="BT488" s="128">
        <f>IFERROR(AI488*$W488,)</f>
        <v/>
      </c>
      <c r="BU488" s="128">
        <f>IFERROR(AJ488*$W488,)</f>
        <v/>
      </c>
      <c r="BV488" s="128">
        <f>IFERROR(AK488*$W488,)</f>
        <v/>
      </c>
      <c r="BW488" s="128">
        <f>IFERROR(AL488*$W488,)</f>
        <v/>
      </c>
      <c r="BX488" s="128">
        <f>IFERROR(AM488*$W488,)</f>
        <v/>
      </c>
      <c r="BY488" s="128">
        <f>IFERROR(AN488*$W488,)</f>
        <v/>
      </c>
      <c r="BZ488" s="128">
        <f>IFERROR(AO488*$W488,)</f>
        <v/>
      </c>
      <c r="CA488" s="128">
        <f>IFERROR(AP488*$W488,)</f>
        <v/>
      </c>
      <c r="CB488" s="128">
        <f>IFERROR(AQ488*$W488,)</f>
        <v/>
      </c>
      <c r="CC488" s="128">
        <f>IFERROR(AR488*$W488,)</f>
        <v/>
      </c>
      <c r="CD488" s="128">
        <f>IFERROR(AS488*$W488,)</f>
        <v/>
      </c>
      <c r="CE488" s="128">
        <f>IFERROR(AT488*$W488,)</f>
        <v/>
      </c>
      <c r="CF488" s="128">
        <f>IFERROR(AU488*$W488,)</f>
        <v/>
      </c>
      <c r="CG488" s="128">
        <f>IFERROR(AV488*$W488,)</f>
        <v/>
      </c>
      <c r="CH488" s="128">
        <f>IFERROR(AW488*$W488,)</f>
        <v/>
      </c>
      <c r="CI488" s="128">
        <f>IFERROR(AX488*$W488,)</f>
        <v/>
      </c>
      <c r="CJ488" s="128">
        <f>IFERROR(AY488*$W488,)</f>
        <v/>
      </c>
      <c r="CK488" s="128">
        <f>IFERROR(AZ488*$W488,)</f>
        <v/>
      </c>
      <c r="CL488" s="129">
        <f>IFERROR(if($Y488=0,BA488*($W488/1.2),BA488*$Y488),"")</f>
        <v/>
      </c>
      <c r="CM488" s="129">
        <f>IFERROR(if($Y488=0,BB488*($W488/1.2),BB488*$Y488),"")</f>
        <v/>
      </c>
      <c r="CN488" s="129">
        <f>IFERROR(if($Y488=0,BC488*($W488/1.2),BC488*$Y488),"")</f>
        <v/>
      </c>
      <c r="CO488" s="130">
        <f>IFERROR(if($AA488=0,($W488/1.35)*BD488,BD488*$AA488),)</f>
        <v/>
      </c>
      <c r="CP488" s="130">
        <f>IFERROR(if($AA488=0,($W488/1.35)*BE488,BE488*$AA488),)</f>
        <v/>
      </c>
      <c r="CQ488" s="130">
        <f>IFERROR(if($AA488=0,($W488/1.35)*BF488,BF488*$AA488),)</f>
        <v/>
      </c>
      <c r="CR488" s="128">
        <f>IFERROR(if($AC488=0,($W488/0.74)*BG488,
BG488*$AC488),)</f>
        <v/>
      </c>
      <c r="CS488" s="128">
        <f>IFERROR(if($AC488=0,($W488/0.74)*BH488,
BH488*$AC488),)</f>
        <v/>
      </c>
      <c r="CT488" s="128">
        <f>IFERROR(if($AC488=0,($W488/0.74)*BI488,
BI488*$AC488),)</f>
        <v/>
      </c>
      <c r="CU488" s="128">
        <f>IFERROR(AI488*$V488,)</f>
        <v/>
      </c>
      <c r="CV488" s="128">
        <f>IFERROR(AJ488*$V488,)</f>
        <v/>
      </c>
      <c r="CW488" s="128">
        <f>IFERROR(AK488*$V488,)</f>
        <v/>
      </c>
      <c r="CX488" s="128">
        <f>IFERROR(AL488*$V488,)</f>
        <v/>
      </c>
      <c r="CY488" s="128">
        <f>IFERROR(AM488*$V488,)</f>
        <v/>
      </c>
      <c r="CZ488" s="128">
        <f>IFERROR(AN488*$V488,)</f>
        <v/>
      </c>
      <c r="DA488" s="128">
        <f>IFERROR(AO488*$V488,)</f>
        <v/>
      </c>
      <c r="DB488" s="128">
        <f>IFERROR(AP488*$V488,)</f>
        <v/>
      </c>
      <c r="DC488" s="128">
        <f>IFERROR(AQ488*$V488,)</f>
        <v/>
      </c>
      <c r="DD488" s="128">
        <f>IFERROR(AR488*$V488,)</f>
        <v/>
      </c>
      <c r="DE488" s="128">
        <f>IFERROR(AS488*$V488,)</f>
        <v/>
      </c>
      <c r="DF488" s="128">
        <f>IFERROR(AT488*$V488,)</f>
        <v/>
      </c>
      <c r="DG488" s="128">
        <f>IFERROR(AU488*$V488,)</f>
        <v/>
      </c>
      <c r="DH488" s="128">
        <f>IFERROR(AV488*$V488,)</f>
        <v/>
      </c>
      <c r="DI488" s="128">
        <f>IFERROR(AW488*$V488,)</f>
        <v/>
      </c>
      <c r="DJ488" s="128">
        <f>IFERROR(AX488*$V488,)</f>
        <v/>
      </c>
      <c r="DK488" s="128">
        <f>IFERROR(AY488*$V488,)</f>
        <v/>
      </c>
      <c r="DL488" s="128">
        <f>IFERROR(AZ488*$V488,)</f>
        <v/>
      </c>
      <c r="DM488" s="129">
        <f>IFERROR(if($X488=0,($V488/1.2)*BA488,
BA488*$X488),)</f>
        <v/>
      </c>
      <c r="DN488" s="129">
        <f>IFERROR(if($X488=0,($V488/1.2)*BB488,
BB488*$X488),)</f>
        <v/>
      </c>
      <c r="DO488" s="129">
        <f>IFERROR(if($X488=0,($V488/1.2)*BC488,
BC488*$X488),)</f>
        <v/>
      </c>
      <c r="DP488" s="130">
        <f>IFERROR(if($Z488=0,($V488/1.35)*BD488,
BD488*$Z488),)</f>
        <v/>
      </c>
      <c r="DQ488" s="130">
        <f>IFERROR(if($Z488=0,($V488/1.35)*BE488,
BE488*$Z488),)</f>
        <v/>
      </c>
      <c r="DR488" s="130">
        <f>IFERROR(if($Z488=0,($V488/1.35)*BF488,
BF488*$Z488),)</f>
        <v/>
      </c>
      <c r="DS488" s="128">
        <f>IFERROR(IF($AB488=0,($V488/0.74)*BG488,
BG488*$AB488),)</f>
        <v/>
      </c>
      <c r="DT488" s="128">
        <f>IFERROR(IF($AB488=0,($V488/0.74)*BH488,
BH488*$AB488),)</f>
        <v/>
      </c>
      <c r="DU488" s="128">
        <f>IFERROR(IF($AB488=0,($V488/0.74)*BI488,
BI488*$AB488),)</f>
        <v/>
      </c>
    </row>
    <row r="489" ht="131.25" customHeight="1" s="162">
      <c r="A489" s="115" t="n"/>
      <c r="B489" s="115" t="n"/>
      <c r="C489" s="115" t="n"/>
      <c r="D489" s="115" t="n"/>
      <c r="E489" s="115" t="n"/>
      <c r="F489" s="115" t="n"/>
      <c r="G489" s="115" t="n"/>
      <c r="H489" s="115" t="n"/>
      <c r="I489" s="115" t="n"/>
      <c r="J489" s="115" t="n"/>
      <c r="K489" s="115" t="n"/>
      <c r="L489" s="115" t="n"/>
      <c r="M489" s="115" t="n"/>
      <c r="N489" s="115" t="n"/>
      <c r="O489" s="115" t="n"/>
      <c r="P489" s="115" t="n"/>
      <c r="Q489" s="115" t="n"/>
      <c r="R489" s="115" t="n"/>
      <c r="S489" s="115" t="n"/>
      <c r="T489" s="115" t="n"/>
      <c r="U489" s="116" t="n"/>
      <c r="V489" s="116" t="n"/>
      <c r="W489" s="117" t="n"/>
      <c r="X489" s="118" t="n"/>
      <c r="Y489" s="119" t="n"/>
      <c r="Z489" s="120" t="n"/>
      <c r="AA489" s="121" t="n"/>
      <c r="AB489" s="122" t="n"/>
      <c r="AC489" s="117" t="n"/>
      <c r="AD489" s="123">
        <f>IF(SUM($AE489:$AH489)=0,"",SUM($AE489:$AH489))</f>
        <v/>
      </c>
      <c r="AE489" s="123">
        <f>iferror(IF(SUM($AI489:$AZ489)=0,"",SUM($AI489:$AZ489)),"")</f>
        <v/>
      </c>
      <c r="AF489" s="123">
        <f>iferror(IF(SUM($BA489:$BC489)=0,"",SUM($BA489:$BC489)),"")</f>
        <v/>
      </c>
      <c r="AG489" s="123">
        <f>iferror(IF(SUM($BD489:$BF489)=0,"",SUM($BD489:$BF489)),"")</f>
        <v/>
      </c>
      <c r="AH489" s="124">
        <f>iferror(IF(SUM($BG489:$BI489)=0,"",SUM($BG489:$BI489)),"")</f>
        <v/>
      </c>
      <c r="AI489" s="131" t="n"/>
      <c r="AJ489" s="132" t="n"/>
      <c r="AK489" s="132" t="n"/>
      <c r="AL489" s="132" t="n"/>
      <c r="AM489" s="132" t="n"/>
      <c r="AN489" s="132" t="n"/>
      <c r="AO489" s="132" t="n"/>
      <c r="AP489" s="132" t="n"/>
      <c r="AQ489" s="132" t="n"/>
      <c r="AR489" s="132" t="n"/>
      <c r="AS489" s="132" t="n"/>
      <c r="AT489" s="132" t="n"/>
      <c r="AU489" s="132" t="n"/>
      <c r="AV489" s="132" t="n"/>
      <c r="AW489" s="132" t="n"/>
      <c r="AX489" s="132" t="n"/>
      <c r="AY489" s="132" t="n"/>
      <c r="AZ489" s="133" t="n"/>
      <c r="BA489" s="131" t="n"/>
      <c r="BB489" s="132" t="n"/>
      <c r="BC489" s="133" t="n"/>
      <c r="BD489" s="131" t="n"/>
      <c r="BE489" s="132" t="n"/>
      <c r="BF489" s="133" t="n"/>
      <c r="BG489" s="131" t="n"/>
      <c r="BH489" s="132" t="n"/>
      <c r="BI489" s="132" t="n"/>
      <c r="BJ489" s="128">
        <f>iferror(SUM($BK489,($BL489*1.2),($BM489*1.35),($BN489*0.74)),)</f>
        <v/>
      </c>
      <c r="BK489" s="128">
        <f>IFERROR(SUM($BT489:$CK489),)</f>
        <v/>
      </c>
      <c r="BL489" s="129">
        <f>IFERROR(SUM($CL489:$CN489),)</f>
        <v/>
      </c>
      <c r="BM489" s="130">
        <f>IFERROR(SUM($CO489:$CQ489),)</f>
        <v/>
      </c>
      <c r="BN489" s="128">
        <f>IFERROR(SUM($CR489:$CT489),)</f>
        <v/>
      </c>
      <c r="BO489" s="128">
        <f>iferror(SUM($BP489,($BQ489*1.2),($BR489*1.35),($BS489*0.74)),)</f>
        <v/>
      </c>
      <c r="BP489" s="128">
        <f>IFERROR(SUM($CU489:$DL489),)</f>
        <v/>
      </c>
      <c r="BQ489" s="128">
        <f>IFERROR(SUM($DM489:$DO489),)</f>
        <v/>
      </c>
      <c r="BR489" s="128">
        <f>IFERROR(SUM($DP489:$DR489),)</f>
        <v/>
      </c>
      <c r="BS489" s="128">
        <f>IFERROR(SUM($DS489:$DU489),)</f>
        <v/>
      </c>
      <c r="BT489" s="128">
        <f>IFERROR(AI489*$W489,)</f>
        <v/>
      </c>
      <c r="BU489" s="128">
        <f>IFERROR(AJ489*$W489,)</f>
        <v/>
      </c>
      <c r="BV489" s="128">
        <f>IFERROR(AK489*$W489,)</f>
        <v/>
      </c>
      <c r="BW489" s="128">
        <f>IFERROR(AL489*$W489,)</f>
        <v/>
      </c>
      <c r="BX489" s="128">
        <f>IFERROR(AM489*$W489,)</f>
        <v/>
      </c>
      <c r="BY489" s="128">
        <f>IFERROR(AN489*$W489,)</f>
        <v/>
      </c>
      <c r="BZ489" s="128">
        <f>IFERROR(AO489*$W489,)</f>
        <v/>
      </c>
      <c r="CA489" s="128">
        <f>IFERROR(AP489*$W489,)</f>
        <v/>
      </c>
      <c r="CB489" s="128">
        <f>IFERROR(AQ489*$W489,)</f>
        <v/>
      </c>
      <c r="CC489" s="128">
        <f>IFERROR(AR489*$W489,)</f>
        <v/>
      </c>
      <c r="CD489" s="128">
        <f>IFERROR(AS489*$W489,)</f>
        <v/>
      </c>
      <c r="CE489" s="128">
        <f>IFERROR(AT489*$W489,)</f>
        <v/>
      </c>
      <c r="CF489" s="128">
        <f>IFERROR(AU489*$W489,)</f>
        <v/>
      </c>
      <c r="CG489" s="128">
        <f>IFERROR(AV489*$W489,)</f>
        <v/>
      </c>
      <c r="CH489" s="128">
        <f>IFERROR(AW489*$W489,)</f>
        <v/>
      </c>
      <c r="CI489" s="128">
        <f>IFERROR(AX489*$W489,)</f>
        <v/>
      </c>
      <c r="CJ489" s="128">
        <f>IFERROR(AY489*$W489,)</f>
        <v/>
      </c>
      <c r="CK489" s="128">
        <f>IFERROR(AZ489*$W489,)</f>
        <v/>
      </c>
      <c r="CL489" s="129">
        <f>IFERROR(if($Y489=0,BA489*($W489/1.2),BA489*$Y489),"")</f>
        <v/>
      </c>
      <c r="CM489" s="129">
        <f>IFERROR(if($Y489=0,BB489*($W489/1.2),BB489*$Y489),"")</f>
        <v/>
      </c>
      <c r="CN489" s="129">
        <f>IFERROR(if($Y489=0,BC489*($W489/1.2),BC489*$Y489),"")</f>
        <v/>
      </c>
      <c r="CO489" s="130">
        <f>IFERROR(if($AA489=0,($W489/1.35)*BD489,BD489*$AA489),)</f>
        <v/>
      </c>
      <c r="CP489" s="130">
        <f>IFERROR(if($AA489=0,($W489/1.35)*BE489,BE489*$AA489),)</f>
        <v/>
      </c>
      <c r="CQ489" s="130">
        <f>IFERROR(if($AA489=0,($W489/1.35)*BF489,BF489*$AA489),)</f>
        <v/>
      </c>
      <c r="CR489" s="128">
        <f>IFERROR(if($AC489=0,($W489/0.74)*BG489,
BG489*$AC489),)</f>
        <v/>
      </c>
      <c r="CS489" s="128">
        <f>IFERROR(if($AC489=0,($W489/0.74)*BH489,
BH489*$AC489),)</f>
        <v/>
      </c>
      <c r="CT489" s="128">
        <f>IFERROR(if($AC489=0,($W489/0.74)*BI489,
BI489*$AC489),)</f>
        <v/>
      </c>
      <c r="CU489" s="128">
        <f>IFERROR(AI489*$V489,)</f>
        <v/>
      </c>
      <c r="CV489" s="128">
        <f>IFERROR(AJ489*$V489,)</f>
        <v/>
      </c>
      <c r="CW489" s="128">
        <f>IFERROR(AK489*$V489,)</f>
        <v/>
      </c>
      <c r="CX489" s="128">
        <f>IFERROR(AL489*$V489,)</f>
        <v/>
      </c>
      <c r="CY489" s="128">
        <f>IFERROR(AM489*$V489,)</f>
        <v/>
      </c>
      <c r="CZ489" s="128">
        <f>IFERROR(AN489*$V489,)</f>
        <v/>
      </c>
      <c r="DA489" s="128">
        <f>IFERROR(AO489*$V489,)</f>
        <v/>
      </c>
      <c r="DB489" s="128">
        <f>IFERROR(AP489*$V489,)</f>
        <v/>
      </c>
      <c r="DC489" s="128">
        <f>IFERROR(AQ489*$V489,)</f>
        <v/>
      </c>
      <c r="DD489" s="128">
        <f>IFERROR(AR489*$V489,)</f>
        <v/>
      </c>
      <c r="DE489" s="128">
        <f>IFERROR(AS489*$V489,)</f>
        <v/>
      </c>
      <c r="DF489" s="128">
        <f>IFERROR(AT489*$V489,)</f>
        <v/>
      </c>
      <c r="DG489" s="128">
        <f>IFERROR(AU489*$V489,)</f>
        <v/>
      </c>
      <c r="DH489" s="128">
        <f>IFERROR(AV489*$V489,)</f>
        <v/>
      </c>
      <c r="DI489" s="128">
        <f>IFERROR(AW489*$V489,)</f>
        <v/>
      </c>
      <c r="DJ489" s="128">
        <f>IFERROR(AX489*$V489,)</f>
        <v/>
      </c>
      <c r="DK489" s="128">
        <f>IFERROR(AY489*$V489,)</f>
        <v/>
      </c>
      <c r="DL489" s="128">
        <f>IFERROR(AZ489*$V489,)</f>
        <v/>
      </c>
      <c r="DM489" s="129">
        <f>IFERROR(if($X489=0,($V489/1.2)*BA489,
BA489*$X489),)</f>
        <v/>
      </c>
      <c r="DN489" s="129">
        <f>IFERROR(if($X489=0,($V489/1.2)*BB489,
BB489*$X489),)</f>
        <v/>
      </c>
      <c r="DO489" s="129">
        <f>IFERROR(if($X489=0,($V489/1.2)*BC489,
BC489*$X489),)</f>
        <v/>
      </c>
      <c r="DP489" s="130">
        <f>IFERROR(if($Z489=0,($V489/1.35)*BD489,
BD489*$Z489),)</f>
        <v/>
      </c>
      <c r="DQ489" s="130">
        <f>IFERROR(if($Z489=0,($V489/1.35)*BE489,
BE489*$Z489),)</f>
        <v/>
      </c>
      <c r="DR489" s="130">
        <f>IFERROR(if($Z489=0,($V489/1.35)*BF489,
BF489*$Z489),)</f>
        <v/>
      </c>
      <c r="DS489" s="128">
        <f>IFERROR(IF($AB489=0,($V489/0.74)*BG489,
BG489*$AB489),)</f>
        <v/>
      </c>
      <c r="DT489" s="128">
        <f>IFERROR(IF($AB489=0,($V489/0.74)*BH489,
BH489*$AB489),)</f>
        <v/>
      </c>
      <c r="DU489" s="128">
        <f>IFERROR(IF($AB489=0,($V489/0.74)*BI489,
BI489*$AB489),)</f>
        <v/>
      </c>
    </row>
    <row r="490" ht="131.25" customHeight="1" s="162">
      <c r="A490" s="115" t="n"/>
      <c r="B490" s="115" t="n"/>
      <c r="C490" s="115" t="n"/>
      <c r="D490" s="115" t="n"/>
      <c r="E490" s="115" t="n"/>
      <c r="F490" s="115" t="n"/>
      <c r="G490" s="115" t="n"/>
      <c r="H490" s="115" t="n"/>
      <c r="I490" s="115" t="n"/>
      <c r="J490" s="115" t="n"/>
      <c r="K490" s="115" t="n"/>
      <c r="L490" s="115" t="n"/>
      <c r="M490" s="115" t="n"/>
      <c r="N490" s="115" t="n"/>
      <c r="O490" s="115" t="n"/>
      <c r="P490" s="115" t="n"/>
      <c r="Q490" s="115" t="n"/>
      <c r="R490" s="115" t="n"/>
      <c r="S490" s="115" t="n"/>
      <c r="T490" s="115" t="n"/>
      <c r="U490" s="116" t="n"/>
      <c r="V490" s="116" t="n"/>
      <c r="W490" s="117" t="n"/>
      <c r="X490" s="118" t="n"/>
      <c r="Y490" s="119" t="n"/>
      <c r="Z490" s="120" t="n"/>
      <c r="AA490" s="121" t="n"/>
      <c r="AB490" s="122" t="n"/>
      <c r="AC490" s="117" t="n"/>
      <c r="AD490" s="123">
        <f>IF(SUM($AE490:$AH490)=0,"",SUM($AE490:$AH490))</f>
        <v/>
      </c>
      <c r="AE490" s="123">
        <f>iferror(IF(SUM($AI490:$AZ490)=0,"",SUM($AI490:$AZ490)),"")</f>
        <v/>
      </c>
      <c r="AF490" s="123">
        <f>iferror(IF(SUM($BA490:$BC490)=0,"",SUM($BA490:$BC490)),"")</f>
        <v/>
      </c>
      <c r="AG490" s="123">
        <f>iferror(IF(SUM($BD490:$BF490)=0,"",SUM($BD490:$BF490)),"")</f>
        <v/>
      </c>
      <c r="AH490" s="124">
        <f>iferror(IF(SUM($BG490:$BI490)=0,"",SUM($BG490:$BI490)),"")</f>
        <v/>
      </c>
      <c r="AI490" s="131" t="n"/>
      <c r="AJ490" s="132" t="n"/>
      <c r="AK490" s="132" t="n"/>
      <c r="AL490" s="132" t="n"/>
      <c r="AM490" s="132" t="n"/>
      <c r="AN490" s="132" t="n"/>
      <c r="AO490" s="132" t="n"/>
      <c r="AP490" s="132" t="n"/>
      <c r="AQ490" s="132" t="n"/>
      <c r="AR490" s="132" t="n"/>
      <c r="AS490" s="132" t="n"/>
      <c r="AT490" s="132" t="n"/>
      <c r="AU490" s="132" t="n"/>
      <c r="AV490" s="132" t="n"/>
      <c r="AW490" s="132" t="n"/>
      <c r="AX490" s="132" t="n"/>
      <c r="AY490" s="132" t="n"/>
      <c r="AZ490" s="133" t="n"/>
      <c r="BA490" s="131" t="n"/>
      <c r="BB490" s="132" t="n"/>
      <c r="BC490" s="133" t="n"/>
      <c r="BD490" s="131" t="n"/>
      <c r="BE490" s="132" t="n"/>
      <c r="BF490" s="133" t="n"/>
      <c r="BG490" s="131" t="n"/>
      <c r="BH490" s="132" t="n"/>
      <c r="BI490" s="132" t="n"/>
      <c r="BJ490" s="128">
        <f>iferror(SUM($BK490,($BL490*1.2),($BM490*1.35),($BN490*0.74)),)</f>
        <v/>
      </c>
      <c r="BK490" s="128">
        <f>IFERROR(SUM($BT490:$CK490),)</f>
        <v/>
      </c>
      <c r="BL490" s="129">
        <f>IFERROR(SUM($CL490:$CN490),)</f>
        <v/>
      </c>
      <c r="BM490" s="130">
        <f>IFERROR(SUM($CO490:$CQ490),)</f>
        <v/>
      </c>
      <c r="BN490" s="128">
        <f>IFERROR(SUM($CR490:$CT490),)</f>
        <v/>
      </c>
      <c r="BO490" s="128">
        <f>iferror(SUM($BP490,($BQ490*1.2),($BR490*1.35),($BS490*0.74)),)</f>
        <v/>
      </c>
      <c r="BP490" s="128">
        <f>IFERROR(SUM($CU490:$DL490),)</f>
        <v/>
      </c>
      <c r="BQ490" s="128">
        <f>IFERROR(SUM($DM490:$DO490),)</f>
        <v/>
      </c>
      <c r="BR490" s="128">
        <f>IFERROR(SUM($DP490:$DR490),)</f>
        <v/>
      </c>
      <c r="BS490" s="128">
        <f>IFERROR(SUM($DS490:$DU490),)</f>
        <v/>
      </c>
      <c r="BT490" s="128">
        <f>IFERROR(AI490*$W490,)</f>
        <v/>
      </c>
      <c r="BU490" s="128">
        <f>IFERROR(AJ490*$W490,)</f>
        <v/>
      </c>
      <c r="BV490" s="128">
        <f>IFERROR(AK490*$W490,)</f>
        <v/>
      </c>
      <c r="BW490" s="128">
        <f>IFERROR(AL490*$W490,)</f>
        <v/>
      </c>
      <c r="BX490" s="128">
        <f>IFERROR(AM490*$W490,)</f>
        <v/>
      </c>
      <c r="BY490" s="128">
        <f>IFERROR(AN490*$W490,)</f>
        <v/>
      </c>
      <c r="BZ490" s="128">
        <f>IFERROR(AO490*$W490,)</f>
        <v/>
      </c>
      <c r="CA490" s="128">
        <f>IFERROR(AP490*$W490,)</f>
        <v/>
      </c>
      <c r="CB490" s="128">
        <f>IFERROR(AQ490*$W490,)</f>
        <v/>
      </c>
      <c r="CC490" s="128">
        <f>IFERROR(AR490*$W490,)</f>
        <v/>
      </c>
      <c r="CD490" s="128">
        <f>IFERROR(AS490*$W490,)</f>
        <v/>
      </c>
      <c r="CE490" s="128">
        <f>IFERROR(AT490*$W490,)</f>
        <v/>
      </c>
      <c r="CF490" s="128">
        <f>IFERROR(AU490*$W490,)</f>
        <v/>
      </c>
      <c r="CG490" s="128">
        <f>IFERROR(AV490*$W490,)</f>
        <v/>
      </c>
      <c r="CH490" s="128">
        <f>IFERROR(AW490*$W490,)</f>
        <v/>
      </c>
      <c r="CI490" s="128">
        <f>IFERROR(AX490*$W490,)</f>
        <v/>
      </c>
      <c r="CJ490" s="128">
        <f>IFERROR(AY490*$W490,)</f>
        <v/>
      </c>
      <c r="CK490" s="128">
        <f>IFERROR(AZ490*$W490,)</f>
        <v/>
      </c>
      <c r="CL490" s="129">
        <f>IFERROR(if($Y490=0,BA490*($W490/1.2),BA490*$Y490),"")</f>
        <v/>
      </c>
      <c r="CM490" s="129">
        <f>IFERROR(if($Y490=0,BB490*($W490/1.2),BB490*$Y490),"")</f>
        <v/>
      </c>
      <c r="CN490" s="129">
        <f>IFERROR(if($Y490=0,BC490*($W490/1.2),BC490*$Y490),"")</f>
        <v/>
      </c>
      <c r="CO490" s="130">
        <f>IFERROR(if($AA490=0,($W490/1.35)*BD490,BD490*$AA490),)</f>
        <v/>
      </c>
      <c r="CP490" s="130">
        <f>IFERROR(if($AA490=0,($W490/1.35)*BE490,BE490*$AA490),)</f>
        <v/>
      </c>
      <c r="CQ490" s="130">
        <f>IFERROR(if($AA490=0,($W490/1.35)*BF490,BF490*$AA490),)</f>
        <v/>
      </c>
      <c r="CR490" s="128">
        <f>IFERROR(if($AC490=0,($W490/0.74)*BG490,
BG490*$AC490),)</f>
        <v/>
      </c>
      <c r="CS490" s="128">
        <f>IFERROR(if($AC490=0,($W490/0.74)*BH490,
BH490*$AC490),)</f>
        <v/>
      </c>
      <c r="CT490" s="128">
        <f>IFERROR(if($AC490=0,($W490/0.74)*BI490,
BI490*$AC490),)</f>
        <v/>
      </c>
      <c r="CU490" s="128">
        <f>IFERROR(AI490*$V490,)</f>
        <v/>
      </c>
      <c r="CV490" s="128">
        <f>IFERROR(AJ490*$V490,)</f>
        <v/>
      </c>
      <c r="CW490" s="128">
        <f>IFERROR(AK490*$V490,)</f>
        <v/>
      </c>
      <c r="CX490" s="128">
        <f>IFERROR(AL490*$V490,)</f>
        <v/>
      </c>
      <c r="CY490" s="128">
        <f>IFERROR(AM490*$V490,)</f>
        <v/>
      </c>
      <c r="CZ490" s="128">
        <f>IFERROR(AN490*$V490,)</f>
        <v/>
      </c>
      <c r="DA490" s="128">
        <f>IFERROR(AO490*$V490,)</f>
        <v/>
      </c>
      <c r="DB490" s="128">
        <f>IFERROR(AP490*$V490,)</f>
        <v/>
      </c>
      <c r="DC490" s="128">
        <f>IFERROR(AQ490*$V490,)</f>
        <v/>
      </c>
      <c r="DD490" s="128">
        <f>IFERROR(AR490*$V490,)</f>
        <v/>
      </c>
      <c r="DE490" s="128">
        <f>IFERROR(AS490*$V490,)</f>
        <v/>
      </c>
      <c r="DF490" s="128">
        <f>IFERROR(AT490*$V490,)</f>
        <v/>
      </c>
      <c r="DG490" s="128">
        <f>IFERROR(AU490*$V490,)</f>
        <v/>
      </c>
      <c r="DH490" s="128">
        <f>IFERROR(AV490*$V490,)</f>
        <v/>
      </c>
      <c r="DI490" s="128">
        <f>IFERROR(AW490*$V490,)</f>
        <v/>
      </c>
      <c r="DJ490" s="128">
        <f>IFERROR(AX490*$V490,)</f>
        <v/>
      </c>
      <c r="DK490" s="128">
        <f>IFERROR(AY490*$V490,)</f>
        <v/>
      </c>
      <c r="DL490" s="128">
        <f>IFERROR(AZ490*$V490,)</f>
        <v/>
      </c>
      <c r="DM490" s="129">
        <f>IFERROR(if($X490=0,($V490/1.2)*BA490,
BA490*$X490),)</f>
        <v/>
      </c>
      <c r="DN490" s="129">
        <f>IFERROR(if($X490=0,($V490/1.2)*BB490,
BB490*$X490),)</f>
        <v/>
      </c>
      <c r="DO490" s="129">
        <f>IFERROR(if($X490=0,($V490/1.2)*BC490,
BC490*$X490),)</f>
        <v/>
      </c>
      <c r="DP490" s="130">
        <f>IFERROR(if($Z490=0,($V490/1.35)*BD490,
BD490*$Z490),)</f>
        <v/>
      </c>
      <c r="DQ490" s="130">
        <f>IFERROR(if($Z490=0,($V490/1.35)*BE490,
BE490*$Z490),)</f>
        <v/>
      </c>
      <c r="DR490" s="130">
        <f>IFERROR(if($Z490=0,($V490/1.35)*BF490,
BF490*$Z490),)</f>
        <v/>
      </c>
      <c r="DS490" s="128">
        <f>IFERROR(IF($AB490=0,($V490/0.74)*BG490,
BG490*$AB490),)</f>
        <v/>
      </c>
      <c r="DT490" s="128">
        <f>IFERROR(IF($AB490=0,($V490/0.74)*BH490,
BH490*$AB490),)</f>
        <v/>
      </c>
      <c r="DU490" s="128">
        <f>IFERROR(IF($AB490=0,($V490/0.74)*BI490,
BI490*$AB490),)</f>
        <v/>
      </c>
    </row>
    <row r="491" ht="131.25" customHeight="1" s="162">
      <c r="A491" s="115" t="n"/>
      <c r="B491" s="115" t="n"/>
      <c r="C491" s="115" t="n"/>
      <c r="D491" s="115" t="n"/>
      <c r="E491" s="115" t="n"/>
      <c r="F491" s="115" t="n"/>
      <c r="G491" s="115" t="n"/>
      <c r="H491" s="115" t="n"/>
      <c r="I491" s="115" t="n"/>
      <c r="J491" s="115" t="n"/>
      <c r="K491" s="115" t="n"/>
      <c r="L491" s="115" t="n"/>
      <c r="M491" s="115" t="n"/>
      <c r="N491" s="115" t="n"/>
      <c r="O491" s="115" t="n"/>
      <c r="P491" s="115" t="n"/>
      <c r="Q491" s="115" t="n"/>
      <c r="R491" s="115" t="n"/>
      <c r="S491" s="115" t="n"/>
      <c r="T491" s="115" t="n"/>
      <c r="U491" s="116" t="n"/>
      <c r="V491" s="116" t="n"/>
      <c r="W491" s="117" t="n"/>
      <c r="X491" s="118" t="n"/>
      <c r="Y491" s="119" t="n"/>
      <c r="Z491" s="120" t="n"/>
      <c r="AA491" s="121" t="n"/>
      <c r="AB491" s="122" t="n"/>
      <c r="AC491" s="117" t="n"/>
      <c r="AD491" s="123">
        <f>IF(SUM($AE491:$AH491)=0,"",SUM($AE491:$AH491))</f>
        <v/>
      </c>
      <c r="AE491" s="123">
        <f>iferror(IF(SUM($AI491:$AZ491)=0,"",SUM($AI491:$AZ491)),"")</f>
        <v/>
      </c>
      <c r="AF491" s="123">
        <f>iferror(IF(SUM($BA491:$BC491)=0,"",SUM($BA491:$BC491)),"")</f>
        <v/>
      </c>
      <c r="AG491" s="123">
        <f>iferror(IF(SUM($BD491:$BF491)=0,"",SUM($BD491:$BF491)),"")</f>
        <v/>
      </c>
      <c r="AH491" s="124">
        <f>iferror(IF(SUM($BG491:$BI491)=0,"",SUM($BG491:$BI491)),"")</f>
        <v/>
      </c>
      <c r="AI491" s="131" t="n"/>
      <c r="AJ491" s="132" t="n"/>
      <c r="AK491" s="132" t="n"/>
      <c r="AL491" s="132" t="n"/>
      <c r="AM491" s="132" t="n"/>
      <c r="AN491" s="132" t="n"/>
      <c r="AO491" s="132" t="n"/>
      <c r="AP491" s="132" t="n"/>
      <c r="AQ491" s="132" t="n"/>
      <c r="AR491" s="132" t="n"/>
      <c r="AS491" s="132" t="n"/>
      <c r="AT491" s="132" t="n"/>
      <c r="AU491" s="132" t="n"/>
      <c r="AV491" s="132" t="n"/>
      <c r="AW491" s="132" t="n"/>
      <c r="AX491" s="132" t="n"/>
      <c r="AY491" s="132" t="n"/>
      <c r="AZ491" s="133" t="n"/>
      <c r="BA491" s="131" t="n"/>
      <c r="BB491" s="132" t="n"/>
      <c r="BC491" s="133" t="n"/>
      <c r="BD491" s="131" t="n"/>
      <c r="BE491" s="132" t="n"/>
      <c r="BF491" s="133" t="n"/>
      <c r="BG491" s="131" t="n"/>
      <c r="BH491" s="132" t="n"/>
      <c r="BI491" s="132" t="n"/>
      <c r="BJ491" s="128">
        <f>iferror(SUM($BK491,($BL491*1.2),($BM491*1.35),($BN491*0.74)),)</f>
        <v/>
      </c>
      <c r="BK491" s="128">
        <f>IFERROR(SUM($BT491:$CK491),)</f>
        <v/>
      </c>
      <c r="BL491" s="129">
        <f>IFERROR(SUM($CL491:$CN491),)</f>
        <v/>
      </c>
      <c r="BM491" s="130">
        <f>IFERROR(SUM($CO491:$CQ491),)</f>
        <v/>
      </c>
      <c r="BN491" s="128">
        <f>IFERROR(SUM($CR491:$CT491),)</f>
        <v/>
      </c>
      <c r="BO491" s="128">
        <f>iferror(SUM($BP491,($BQ491*1.2),($BR491*1.35),($BS491*0.74)),)</f>
        <v/>
      </c>
      <c r="BP491" s="128">
        <f>IFERROR(SUM($CU491:$DL491),)</f>
        <v/>
      </c>
      <c r="BQ491" s="128">
        <f>IFERROR(SUM($DM491:$DO491),)</f>
        <v/>
      </c>
      <c r="BR491" s="128">
        <f>IFERROR(SUM($DP491:$DR491),)</f>
        <v/>
      </c>
      <c r="BS491" s="128">
        <f>IFERROR(SUM($DS491:$DU491),)</f>
        <v/>
      </c>
      <c r="BT491" s="128">
        <f>IFERROR(AI491*$W491,)</f>
        <v/>
      </c>
      <c r="BU491" s="128">
        <f>IFERROR(AJ491*$W491,)</f>
        <v/>
      </c>
      <c r="BV491" s="128">
        <f>IFERROR(AK491*$W491,)</f>
        <v/>
      </c>
      <c r="BW491" s="128">
        <f>IFERROR(AL491*$W491,)</f>
        <v/>
      </c>
      <c r="BX491" s="128">
        <f>IFERROR(AM491*$W491,)</f>
        <v/>
      </c>
      <c r="BY491" s="128">
        <f>IFERROR(AN491*$W491,)</f>
        <v/>
      </c>
      <c r="BZ491" s="128">
        <f>IFERROR(AO491*$W491,)</f>
        <v/>
      </c>
      <c r="CA491" s="128">
        <f>IFERROR(AP491*$W491,)</f>
        <v/>
      </c>
      <c r="CB491" s="128">
        <f>IFERROR(AQ491*$W491,)</f>
        <v/>
      </c>
      <c r="CC491" s="128">
        <f>IFERROR(AR491*$W491,)</f>
        <v/>
      </c>
      <c r="CD491" s="128">
        <f>IFERROR(AS491*$W491,)</f>
        <v/>
      </c>
      <c r="CE491" s="128">
        <f>IFERROR(AT491*$W491,)</f>
        <v/>
      </c>
      <c r="CF491" s="128">
        <f>IFERROR(AU491*$W491,)</f>
        <v/>
      </c>
      <c r="CG491" s="128">
        <f>IFERROR(AV491*$W491,)</f>
        <v/>
      </c>
      <c r="CH491" s="128">
        <f>IFERROR(AW491*$W491,)</f>
        <v/>
      </c>
      <c r="CI491" s="128">
        <f>IFERROR(AX491*$W491,)</f>
        <v/>
      </c>
      <c r="CJ491" s="128">
        <f>IFERROR(AY491*$W491,)</f>
        <v/>
      </c>
      <c r="CK491" s="128">
        <f>IFERROR(AZ491*$W491,)</f>
        <v/>
      </c>
      <c r="CL491" s="129">
        <f>IFERROR(if($Y491=0,BA491*($W491/1.2),BA491*$Y491),"")</f>
        <v/>
      </c>
      <c r="CM491" s="129">
        <f>IFERROR(if($Y491=0,BB491*($W491/1.2),BB491*$Y491),"")</f>
        <v/>
      </c>
      <c r="CN491" s="129">
        <f>IFERROR(if($Y491=0,BC491*($W491/1.2),BC491*$Y491),"")</f>
        <v/>
      </c>
      <c r="CO491" s="130">
        <f>IFERROR(if($AA491=0,($W491/1.35)*BD491,BD491*$AA491),)</f>
        <v/>
      </c>
      <c r="CP491" s="130">
        <f>IFERROR(if($AA491=0,($W491/1.35)*BE491,BE491*$AA491),)</f>
        <v/>
      </c>
      <c r="CQ491" s="130">
        <f>IFERROR(if($AA491=0,($W491/1.35)*BF491,BF491*$AA491),)</f>
        <v/>
      </c>
      <c r="CR491" s="128">
        <f>IFERROR(if($AC491=0,($W491/0.74)*BG491,
BG491*$AC491),)</f>
        <v/>
      </c>
      <c r="CS491" s="128">
        <f>IFERROR(if($AC491=0,($W491/0.74)*BH491,
BH491*$AC491),)</f>
        <v/>
      </c>
      <c r="CT491" s="128">
        <f>IFERROR(if($AC491=0,($W491/0.74)*BI491,
BI491*$AC491),)</f>
        <v/>
      </c>
      <c r="CU491" s="128">
        <f>IFERROR(AI491*$V491,)</f>
        <v/>
      </c>
      <c r="CV491" s="128">
        <f>IFERROR(AJ491*$V491,)</f>
        <v/>
      </c>
      <c r="CW491" s="128">
        <f>IFERROR(AK491*$V491,)</f>
        <v/>
      </c>
      <c r="CX491" s="128">
        <f>IFERROR(AL491*$V491,)</f>
        <v/>
      </c>
      <c r="CY491" s="128">
        <f>IFERROR(AM491*$V491,)</f>
        <v/>
      </c>
      <c r="CZ491" s="128">
        <f>IFERROR(AN491*$V491,)</f>
        <v/>
      </c>
      <c r="DA491" s="128">
        <f>IFERROR(AO491*$V491,)</f>
        <v/>
      </c>
      <c r="DB491" s="128">
        <f>IFERROR(AP491*$V491,)</f>
        <v/>
      </c>
      <c r="DC491" s="128">
        <f>IFERROR(AQ491*$V491,)</f>
        <v/>
      </c>
      <c r="DD491" s="128">
        <f>IFERROR(AR491*$V491,)</f>
        <v/>
      </c>
      <c r="DE491" s="128">
        <f>IFERROR(AS491*$V491,)</f>
        <v/>
      </c>
      <c r="DF491" s="128">
        <f>IFERROR(AT491*$V491,)</f>
        <v/>
      </c>
      <c r="DG491" s="128">
        <f>IFERROR(AU491*$V491,)</f>
        <v/>
      </c>
      <c r="DH491" s="128">
        <f>IFERROR(AV491*$V491,)</f>
        <v/>
      </c>
      <c r="DI491" s="128">
        <f>IFERROR(AW491*$V491,)</f>
        <v/>
      </c>
      <c r="DJ491" s="128">
        <f>IFERROR(AX491*$V491,)</f>
        <v/>
      </c>
      <c r="DK491" s="128">
        <f>IFERROR(AY491*$V491,)</f>
        <v/>
      </c>
      <c r="DL491" s="128">
        <f>IFERROR(AZ491*$V491,)</f>
        <v/>
      </c>
      <c r="DM491" s="129">
        <f>IFERROR(if($X491=0,($V491/1.2)*BA491,
BA491*$X491),)</f>
        <v/>
      </c>
      <c r="DN491" s="129">
        <f>IFERROR(if($X491=0,($V491/1.2)*BB491,
BB491*$X491),)</f>
        <v/>
      </c>
      <c r="DO491" s="129">
        <f>IFERROR(if($X491=0,($V491/1.2)*BC491,
BC491*$X491),)</f>
        <v/>
      </c>
      <c r="DP491" s="130">
        <f>IFERROR(if($Z491=0,($V491/1.35)*BD491,
BD491*$Z491),)</f>
        <v/>
      </c>
      <c r="DQ491" s="130">
        <f>IFERROR(if($Z491=0,($V491/1.35)*BE491,
BE491*$Z491),)</f>
        <v/>
      </c>
      <c r="DR491" s="130">
        <f>IFERROR(if($Z491=0,($V491/1.35)*BF491,
BF491*$Z491),)</f>
        <v/>
      </c>
      <c r="DS491" s="128">
        <f>IFERROR(IF($AB491=0,($V491/0.74)*BG491,
BG491*$AB491),)</f>
        <v/>
      </c>
      <c r="DT491" s="128">
        <f>IFERROR(IF($AB491=0,($V491/0.74)*BH491,
BH491*$AB491),)</f>
        <v/>
      </c>
      <c r="DU491" s="128">
        <f>IFERROR(IF($AB491=0,($V491/0.74)*BI491,
BI491*$AB491),)</f>
        <v/>
      </c>
    </row>
    <row r="492" ht="131.25" customHeight="1" s="162">
      <c r="A492" s="115" t="n"/>
      <c r="B492" s="115" t="n"/>
      <c r="C492" s="115" t="n"/>
      <c r="D492" s="115" t="n"/>
      <c r="E492" s="115" t="n"/>
      <c r="F492" s="115" t="n"/>
      <c r="G492" s="115" t="n"/>
      <c r="H492" s="115" t="n"/>
      <c r="I492" s="115" t="n"/>
      <c r="J492" s="115" t="n"/>
      <c r="K492" s="115" t="n"/>
      <c r="L492" s="115" t="n"/>
      <c r="M492" s="115" t="n"/>
      <c r="N492" s="115" t="n"/>
      <c r="O492" s="115" t="n"/>
      <c r="P492" s="115" t="n"/>
      <c r="Q492" s="115" t="n"/>
      <c r="R492" s="115" t="n"/>
      <c r="S492" s="115" t="n"/>
      <c r="T492" s="115" t="n"/>
      <c r="U492" s="116" t="n"/>
      <c r="V492" s="116" t="n"/>
      <c r="W492" s="117" t="n"/>
      <c r="X492" s="118" t="n"/>
      <c r="Y492" s="119" t="n"/>
      <c r="Z492" s="120" t="n"/>
      <c r="AA492" s="121" t="n"/>
      <c r="AB492" s="122" t="n"/>
      <c r="AC492" s="117" t="n"/>
      <c r="AD492" s="123">
        <f>IF(SUM($AE492:$AH492)=0,"",SUM($AE492:$AH492))</f>
        <v/>
      </c>
      <c r="AE492" s="123">
        <f>iferror(IF(SUM($AI492:$AZ492)=0,"",SUM($AI492:$AZ492)),"")</f>
        <v/>
      </c>
      <c r="AF492" s="123">
        <f>iferror(IF(SUM($BA492:$BC492)=0,"",SUM($BA492:$BC492)),"")</f>
        <v/>
      </c>
      <c r="AG492" s="123">
        <f>iferror(IF(SUM($BD492:$BF492)=0,"",SUM($BD492:$BF492)),"")</f>
        <v/>
      </c>
      <c r="AH492" s="124">
        <f>iferror(IF(SUM($BG492:$BI492)=0,"",SUM($BG492:$BI492)),"")</f>
        <v/>
      </c>
      <c r="AI492" s="131" t="n"/>
      <c r="AJ492" s="132" t="n"/>
      <c r="AK492" s="132" t="n"/>
      <c r="AL492" s="132" t="n"/>
      <c r="AM492" s="132" t="n"/>
      <c r="AN492" s="132" t="n"/>
      <c r="AO492" s="132" t="n"/>
      <c r="AP492" s="132" t="n"/>
      <c r="AQ492" s="132" t="n"/>
      <c r="AR492" s="132" t="n"/>
      <c r="AS492" s="132" t="n"/>
      <c r="AT492" s="132" t="n"/>
      <c r="AU492" s="132" t="n"/>
      <c r="AV492" s="132" t="n"/>
      <c r="AW492" s="132" t="n"/>
      <c r="AX492" s="132" t="n"/>
      <c r="AY492" s="132" t="n"/>
      <c r="AZ492" s="133" t="n"/>
      <c r="BA492" s="131" t="n"/>
      <c r="BB492" s="132" t="n"/>
      <c r="BC492" s="133" t="n"/>
      <c r="BD492" s="131" t="n"/>
      <c r="BE492" s="132" t="n"/>
      <c r="BF492" s="133" t="n"/>
      <c r="BG492" s="131" t="n"/>
      <c r="BH492" s="132" t="n"/>
      <c r="BI492" s="132" t="n"/>
      <c r="BJ492" s="128">
        <f>iferror(SUM($BK492,($BL492*1.2),($BM492*1.35),($BN492*0.74)),)</f>
        <v/>
      </c>
      <c r="BK492" s="128">
        <f>IFERROR(SUM($BT492:$CK492),)</f>
        <v/>
      </c>
      <c r="BL492" s="129">
        <f>IFERROR(SUM($CL492:$CN492),)</f>
        <v/>
      </c>
      <c r="BM492" s="130">
        <f>IFERROR(SUM($CO492:$CQ492),)</f>
        <v/>
      </c>
      <c r="BN492" s="128">
        <f>IFERROR(SUM($CR492:$CT492),)</f>
        <v/>
      </c>
      <c r="BO492" s="128">
        <f>iferror(SUM($BP492,($BQ492*1.2),($BR492*1.35),($BS492*0.74)),)</f>
        <v/>
      </c>
      <c r="BP492" s="128">
        <f>IFERROR(SUM($CU492:$DL492),)</f>
        <v/>
      </c>
      <c r="BQ492" s="128">
        <f>IFERROR(SUM($DM492:$DO492),)</f>
        <v/>
      </c>
      <c r="BR492" s="128">
        <f>IFERROR(SUM($DP492:$DR492),)</f>
        <v/>
      </c>
      <c r="BS492" s="128">
        <f>IFERROR(SUM($DS492:$DU492),)</f>
        <v/>
      </c>
      <c r="BT492" s="128">
        <f>IFERROR(AI492*$W492,)</f>
        <v/>
      </c>
      <c r="BU492" s="128">
        <f>IFERROR(AJ492*$W492,)</f>
        <v/>
      </c>
      <c r="BV492" s="128">
        <f>IFERROR(AK492*$W492,)</f>
        <v/>
      </c>
      <c r="BW492" s="128">
        <f>IFERROR(AL492*$W492,)</f>
        <v/>
      </c>
      <c r="BX492" s="128">
        <f>IFERROR(AM492*$W492,)</f>
        <v/>
      </c>
      <c r="BY492" s="128">
        <f>IFERROR(AN492*$W492,)</f>
        <v/>
      </c>
      <c r="BZ492" s="128">
        <f>IFERROR(AO492*$W492,)</f>
        <v/>
      </c>
      <c r="CA492" s="128">
        <f>IFERROR(AP492*$W492,)</f>
        <v/>
      </c>
      <c r="CB492" s="128">
        <f>IFERROR(AQ492*$W492,)</f>
        <v/>
      </c>
      <c r="CC492" s="128">
        <f>IFERROR(AR492*$W492,)</f>
        <v/>
      </c>
      <c r="CD492" s="128">
        <f>IFERROR(AS492*$W492,)</f>
        <v/>
      </c>
      <c r="CE492" s="128">
        <f>IFERROR(AT492*$W492,)</f>
        <v/>
      </c>
      <c r="CF492" s="128">
        <f>IFERROR(AU492*$W492,)</f>
        <v/>
      </c>
      <c r="CG492" s="128">
        <f>IFERROR(AV492*$W492,)</f>
        <v/>
      </c>
      <c r="CH492" s="128">
        <f>IFERROR(AW492*$W492,)</f>
        <v/>
      </c>
      <c r="CI492" s="128">
        <f>IFERROR(AX492*$W492,)</f>
        <v/>
      </c>
      <c r="CJ492" s="128">
        <f>IFERROR(AY492*$W492,)</f>
        <v/>
      </c>
      <c r="CK492" s="128">
        <f>IFERROR(AZ492*$W492,)</f>
        <v/>
      </c>
      <c r="CL492" s="129">
        <f>IFERROR(if($Y492=0,BA492*($W492/1.2),BA492*$Y492),"")</f>
        <v/>
      </c>
      <c r="CM492" s="129">
        <f>IFERROR(if($Y492=0,BB492*($W492/1.2),BB492*$Y492),"")</f>
        <v/>
      </c>
      <c r="CN492" s="129">
        <f>IFERROR(if($Y492=0,BC492*($W492/1.2),BC492*$Y492),"")</f>
        <v/>
      </c>
      <c r="CO492" s="130">
        <f>IFERROR(if($AA492=0,($W492/1.35)*BD492,BD492*$AA492),)</f>
        <v/>
      </c>
      <c r="CP492" s="130">
        <f>IFERROR(if($AA492=0,($W492/1.35)*BE492,BE492*$AA492),)</f>
        <v/>
      </c>
      <c r="CQ492" s="130">
        <f>IFERROR(if($AA492=0,($W492/1.35)*BF492,BF492*$AA492),)</f>
        <v/>
      </c>
      <c r="CR492" s="128">
        <f>IFERROR(if($AC492=0,($W492/0.74)*BG492,
BG492*$AC492),)</f>
        <v/>
      </c>
      <c r="CS492" s="128">
        <f>IFERROR(if($AC492=0,($W492/0.74)*BH492,
BH492*$AC492),)</f>
        <v/>
      </c>
      <c r="CT492" s="128">
        <f>IFERROR(if($AC492=0,($W492/0.74)*BI492,
BI492*$AC492),)</f>
        <v/>
      </c>
      <c r="CU492" s="128">
        <f>IFERROR(AI492*$V492,)</f>
        <v/>
      </c>
      <c r="CV492" s="128">
        <f>IFERROR(AJ492*$V492,)</f>
        <v/>
      </c>
      <c r="CW492" s="128">
        <f>IFERROR(AK492*$V492,)</f>
        <v/>
      </c>
      <c r="CX492" s="128">
        <f>IFERROR(AL492*$V492,)</f>
        <v/>
      </c>
      <c r="CY492" s="128">
        <f>IFERROR(AM492*$V492,)</f>
        <v/>
      </c>
      <c r="CZ492" s="128">
        <f>IFERROR(AN492*$V492,)</f>
        <v/>
      </c>
      <c r="DA492" s="128">
        <f>IFERROR(AO492*$V492,)</f>
        <v/>
      </c>
      <c r="DB492" s="128">
        <f>IFERROR(AP492*$V492,)</f>
        <v/>
      </c>
      <c r="DC492" s="128">
        <f>IFERROR(AQ492*$V492,)</f>
        <v/>
      </c>
      <c r="DD492" s="128">
        <f>IFERROR(AR492*$V492,)</f>
        <v/>
      </c>
      <c r="DE492" s="128">
        <f>IFERROR(AS492*$V492,)</f>
        <v/>
      </c>
      <c r="DF492" s="128">
        <f>IFERROR(AT492*$V492,)</f>
        <v/>
      </c>
      <c r="DG492" s="128">
        <f>IFERROR(AU492*$V492,)</f>
        <v/>
      </c>
      <c r="DH492" s="128">
        <f>IFERROR(AV492*$V492,)</f>
        <v/>
      </c>
      <c r="DI492" s="128">
        <f>IFERROR(AW492*$V492,)</f>
        <v/>
      </c>
      <c r="DJ492" s="128">
        <f>IFERROR(AX492*$V492,)</f>
        <v/>
      </c>
      <c r="DK492" s="128">
        <f>IFERROR(AY492*$V492,)</f>
        <v/>
      </c>
      <c r="DL492" s="128">
        <f>IFERROR(AZ492*$V492,)</f>
        <v/>
      </c>
      <c r="DM492" s="129">
        <f>IFERROR(if($X492=0,($V492/1.2)*BA492,
BA492*$X492),)</f>
        <v/>
      </c>
      <c r="DN492" s="129">
        <f>IFERROR(if($X492=0,($V492/1.2)*BB492,
BB492*$X492),)</f>
        <v/>
      </c>
      <c r="DO492" s="129">
        <f>IFERROR(if($X492=0,($V492/1.2)*BC492,
BC492*$X492),)</f>
        <v/>
      </c>
      <c r="DP492" s="130">
        <f>IFERROR(if($Z492=0,($V492/1.35)*BD492,
BD492*$Z492),)</f>
        <v/>
      </c>
      <c r="DQ492" s="130">
        <f>IFERROR(if($Z492=0,($V492/1.35)*BE492,
BE492*$Z492),)</f>
        <v/>
      </c>
      <c r="DR492" s="130">
        <f>IFERROR(if($Z492=0,($V492/1.35)*BF492,
BF492*$Z492),)</f>
        <v/>
      </c>
      <c r="DS492" s="128">
        <f>IFERROR(IF($AB492=0,($V492/0.74)*BG492,
BG492*$AB492),)</f>
        <v/>
      </c>
      <c r="DT492" s="128">
        <f>IFERROR(IF($AB492=0,($V492/0.74)*BH492,
BH492*$AB492),)</f>
        <v/>
      </c>
      <c r="DU492" s="128">
        <f>IFERROR(IF($AB492=0,($V492/0.74)*BI492,
BI492*$AB492),)</f>
        <v/>
      </c>
    </row>
    <row r="493" ht="131.25" customHeight="1" s="162">
      <c r="A493" s="115" t="n"/>
      <c r="B493" s="115" t="n"/>
      <c r="C493" s="115" t="n"/>
      <c r="D493" s="115" t="n"/>
      <c r="E493" s="115" t="n"/>
      <c r="F493" s="115" t="n"/>
      <c r="G493" s="115" t="n"/>
      <c r="H493" s="115" t="n"/>
      <c r="I493" s="115" t="n"/>
      <c r="J493" s="115" t="n"/>
      <c r="K493" s="115" t="n"/>
      <c r="L493" s="115" t="n"/>
      <c r="M493" s="115" t="n"/>
      <c r="N493" s="115" t="n"/>
      <c r="O493" s="115" t="n"/>
      <c r="P493" s="115" t="n"/>
      <c r="Q493" s="115" t="n"/>
      <c r="R493" s="115" t="n"/>
      <c r="S493" s="115" t="n"/>
      <c r="T493" s="115" t="n"/>
      <c r="U493" s="116" t="n"/>
      <c r="V493" s="116" t="n"/>
      <c r="W493" s="117" t="n"/>
      <c r="X493" s="118" t="n"/>
      <c r="Y493" s="119" t="n"/>
      <c r="Z493" s="120" t="n"/>
      <c r="AA493" s="121" t="n"/>
      <c r="AB493" s="122" t="n"/>
      <c r="AC493" s="117" t="n"/>
      <c r="AD493" s="123">
        <f>IF(SUM($AE493:$AH493)=0,"",SUM($AE493:$AH493))</f>
        <v/>
      </c>
      <c r="AE493" s="123">
        <f>iferror(IF(SUM($AI493:$AZ493)=0,"",SUM($AI493:$AZ493)),"")</f>
        <v/>
      </c>
      <c r="AF493" s="123">
        <f>iferror(IF(SUM($BA493:$BC493)=0,"",SUM($BA493:$BC493)),"")</f>
        <v/>
      </c>
      <c r="AG493" s="123">
        <f>iferror(IF(SUM($BD493:$BF493)=0,"",SUM($BD493:$BF493)),"")</f>
        <v/>
      </c>
      <c r="AH493" s="124">
        <f>iferror(IF(SUM($BG493:$BI493)=0,"",SUM($BG493:$BI493)),"")</f>
        <v/>
      </c>
      <c r="AI493" s="131" t="n"/>
      <c r="AJ493" s="132" t="n"/>
      <c r="AK493" s="132" t="n"/>
      <c r="AL493" s="132" t="n"/>
      <c r="AM493" s="132" t="n"/>
      <c r="AN493" s="132" t="n"/>
      <c r="AO493" s="132" t="n"/>
      <c r="AP493" s="132" t="n"/>
      <c r="AQ493" s="132" t="n"/>
      <c r="AR493" s="132" t="n"/>
      <c r="AS493" s="132" t="n"/>
      <c r="AT493" s="132" t="n"/>
      <c r="AU493" s="132" t="n"/>
      <c r="AV493" s="132" t="n"/>
      <c r="AW493" s="132" t="n"/>
      <c r="AX493" s="132" t="n"/>
      <c r="AY493" s="132" t="n"/>
      <c r="AZ493" s="133" t="n"/>
      <c r="BA493" s="131" t="n"/>
      <c r="BB493" s="132" t="n"/>
      <c r="BC493" s="133" t="n"/>
      <c r="BD493" s="131" t="n"/>
      <c r="BE493" s="132" t="n"/>
      <c r="BF493" s="133" t="n"/>
      <c r="BG493" s="131" t="n"/>
      <c r="BH493" s="132" t="n"/>
      <c r="BI493" s="132" t="n"/>
      <c r="BJ493" s="128">
        <f>iferror(SUM($BK493,($BL493*1.2),($BM493*1.35),($BN493*0.74)),)</f>
        <v/>
      </c>
      <c r="BK493" s="128">
        <f>IFERROR(SUM($BT493:$CK493),)</f>
        <v/>
      </c>
      <c r="BL493" s="129">
        <f>IFERROR(SUM($CL493:$CN493),)</f>
        <v/>
      </c>
      <c r="BM493" s="130">
        <f>IFERROR(SUM($CO493:$CQ493),)</f>
        <v/>
      </c>
      <c r="BN493" s="128">
        <f>IFERROR(SUM($CR493:$CT493),)</f>
        <v/>
      </c>
      <c r="BO493" s="128">
        <f>iferror(SUM($BP493,($BQ493*1.2),($BR493*1.35),($BS493*0.74)),)</f>
        <v/>
      </c>
      <c r="BP493" s="128">
        <f>IFERROR(SUM($CU493:$DL493),)</f>
        <v/>
      </c>
      <c r="BQ493" s="128">
        <f>IFERROR(SUM($DM493:$DO493),)</f>
        <v/>
      </c>
      <c r="BR493" s="128">
        <f>IFERROR(SUM($DP493:$DR493),)</f>
        <v/>
      </c>
      <c r="BS493" s="128">
        <f>IFERROR(SUM($DS493:$DU493),)</f>
        <v/>
      </c>
      <c r="BT493" s="128">
        <f>IFERROR(AI493*$W493,)</f>
        <v/>
      </c>
      <c r="BU493" s="128">
        <f>IFERROR(AJ493*$W493,)</f>
        <v/>
      </c>
      <c r="BV493" s="128">
        <f>IFERROR(AK493*$W493,)</f>
        <v/>
      </c>
      <c r="BW493" s="128">
        <f>IFERROR(AL493*$W493,)</f>
        <v/>
      </c>
      <c r="BX493" s="128">
        <f>IFERROR(AM493*$W493,)</f>
        <v/>
      </c>
      <c r="BY493" s="128">
        <f>IFERROR(AN493*$W493,)</f>
        <v/>
      </c>
      <c r="BZ493" s="128">
        <f>IFERROR(AO493*$W493,)</f>
        <v/>
      </c>
      <c r="CA493" s="128">
        <f>IFERROR(AP493*$W493,)</f>
        <v/>
      </c>
      <c r="CB493" s="128">
        <f>IFERROR(AQ493*$W493,)</f>
        <v/>
      </c>
      <c r="CC493" s="128">
        <f>IFERROR(AR493*$W493,)</f>
        <v/>
      </c>
      <c r="CD493" s="128">
        <f>IFERROR(AS493*$W493,)</f>
        <v/>
      </c>
      <c r="CE493" s="128">
        <f>IFERROR(AT493*$W493,)</f>
        <v/>
      </c>
      <c r="CF493" s="128">
        <f>IFERROR(AU493*$W493,)</f>
        <v/>
      </c>
      <c r="CG493" s="128">
        <f>IFERROR(AV493*$W493,)</f>
        <v/>
      </c>
      <c r="CH493" s="128">
        <f>IFERROR(AW493*$W493,)</f>
        <v/>
      </c>
      <c r="CI493" s="128">
        <f>IFERROR(AX493*$W493,)</f>
        <v/>
      </c>
      <c r="CJ493" s="128">
        <f>IFERROR(AY493*$W493,)</f>
        <v/>
      </c>
      <c r="CK493" s="128">
        <f>IFERROR(AZ493*$W493,)</f>
        <v/>
      </c>
      <c r="CL493" s="129">
        <f>IFERROR(if($Y493=0,BA493*($W493/1.2),BA493*$Y493),"")</f>
        <v/>
      </c>
      <c r="CM493" s="129">
        <f>IFERROR(if($Y493=0,BB493*($W493/1.2),BB493*$Y493),"")</f>
        <v/>
      </c>
      <c r="CN493" s="129">
        <f>IFERROR(if($Y493=0,BC493*($W493/1.2),BC493*$Y493),"")</f>
        <v/>
      </c>
      <c r="CO493" s="130">
        <f>IFERROR(if($AA493=0,($W493/1.35)*BD493,BD493*$AA493),)</f>
        <v/>
      </c>
      <c r="CP493" s="130">
        <f>IFERROR(if($AA493=0,($W493/1.35)*BE493,BE493*$AA493),)</f>
        <v/>
      </c>
      <c r="CQ493" s="130">
        <f>IFERROR(if($AA493=0,($W493/1.35)*BF493,BF493*$AA493),)</f>
        <v/>
      </c>
      <c r="CR493" s="128">
        <f>IFERROR(if($AC493=0,($W493/0.74)*BG493,
BG493*$AC493),)</f>
        <v/>
      </c>
      <c r="CS493" s="128">
        <f>IFERROR(if($AC493=0,($W493/0.74)*BH493,
BH493*$AC493),)</f>
        <v/>
      </c>
      <c r="CT493" s="128">
        <f>IFERROR(if($AC493=0,($W493/0.74)*BI493,
BI493*$AC493),)</f>
        <v/>
      </c>
      <c r="CU493" s="128">
        <f>IFERROR(AI493*$V493,)</f>
        <v/>
      </c>
      <c r="CV493" s="128">
        <f>IFERROR(AJ493*$V493,)</f>
        <v/>
      </c>
      <c r="CW493" s="128">
        <f>IFERROR(AK493*$V493,)</f>
        <v/>
      </c>
      <c r="CX493" s="128">
        <f>IFERROR(AL493*$V493,)</f>
        <v/>
      </c>
      <c r="CY493" s="128">
        <f>IFERROR(AM493*$V493,)</f>
        <v/>
      </c>
      <c r="CZ493" s="128">
        <f>IFERROR(AN493*$V493,)</f>
        <v/>
      </c>
      <c r="DA493" s="128">
        <f>IFERROR(AO493*$V493,)</f>
        <v/>
      </c>
      <c r="DB493" s="128">
        <f>IFERROR(AP493*$V493,)</f>
        <v/>
      </c>
      <c r="DC493" s="128">
        <f>IFERROR(AQ493*$V493,)</f>
        <v/>
      </c>
      <c r="DD493" s="128">
        <f>IFERROR(AR493*$V493,)</f>
        <v/>
      </c>
      <c r="DE493" s="128">
        <f>IFERROR(AS493*$V493,)</f>
        <v/>
      </c>
      <c r="DF493" s="128">
        <f>IFERROR(AT493*$V493,)</f>
        <v/>
      </c>
      <c r="DG493" s="128">
        <f>IFERROR(AU493*$V493,)</f>
        <v/>
      </c>
      <c r="DH493" s="128">
        <f>IFERROR(AV493*$V493,)</f>
        <v/>
      </c>
      <c r="DI493" s="128">
        <f>IFERROR(AW493*$V493,)</f>
        <v/>
      </c>
      <c r="DJ493" s="128">
        <f>IFERROR(AX493*$V493,)</f>
        <v/>
      </c>
      <c r="DK493" s="128">
        <f>IFERROR(AY493*$V493,)</f>
        <v/>
      </c>
      <c r="DL493" s="128">
        <f>IFERROR(AZ493*$V493,)</f>
        <v/>
      </c>
      <c r="DM493" s="129">
        <f>IFERROR(if($X493=0,($V493/1.2)*BA493,
BA493*$X493),)</f>
        <v/>
      </c>
      <c r="DN493" s="129">
        <f>IFERROR(if($X493=0,($V493/1.2)*BB493,
BB493*$X493),)</f>
        <v/>
      </c>
      <c r="DO493" s="129">
        <f>IFERROR(if($X493=0,($V493/1.2)*BC493,
BC493*$X493),)</f>
        <v/>
      </c>
      <c r="DP493" s="130">
        <f>IFERROR(if($Z493=0,($V493/1.35)*BD493,
BD493*$Z493),)</f>
        <v/>
      </c>
      <c r="DQ493" s="130">
        <f>IFERROR(if($Z493=0,($V493/1.35)*BE493,
BE493*$Z493),)</f>
        <v/>
      </c>
      <c r="DR493" s="130">
        <f>IFERROR(if($Z493=0,($V493/1.35)*BF493,
BF493*$Z493),)</f>
        <v/>
      </c>
      <c r="DS493" s="128">
        <f>IFERROR(IF($AB493=0,($V493/0.74)*BG493,
BG493*$AB493),)</f>
        <v/>
      </c>
      <c r="DT493" s="128">
        <f>IFERROR(IF($AB493=0,($V493/0.74)*BH493,
BH493*$AB493),)</f>
        <v/>
      </c>
      <c r="DU493" s="128">
        <f>IFERROR(IF($AB493=0,($V493/0.74)*BI493,
BI493*$AB493),)</f>
        <v/>
      </c>
    </row>
    <row r="494" ht="131.25" customHeight="1" s="162">
      <c r="A494" s="115" t="n"/>
      <c r="B494" s="115" t="n"/>
      <c r="C494" s="115" t="n"/>
      <c r="D494" s="115" t="n"/>
      <c r="E494" s="115" t="n"/>
      <c r="F494" s="115" t="n"/>
      <c r="G494" s="115" t="n"/>
      <c r="H494" s="115" t="n"/>
      <c r="I494" s="115" t="n"/>
      <c r="J494" s="115" t="n"/>
      <c r="K494" s="115" t="n"/>
      <c r="L494" s="115" t="n"/>
      <c r="M494" s="115" t="n"/>
      <c r="N494" s="115" t="n"/>
      <c r="O494" s="115" t="n"/>
      <c r="P494" s="115" t="n"/>
      <c r="Q494" s="115" t="n"/>
      <c r="R494" s="115" t="n"/>
      <c r="S494" s="115" t="n"/>
      <c r="T494" s="115" t="n"/>
      <c r="U494" s="116" t="n"/>
      <c r="V494" s="116" t="n"/>
      <c r="W494" s="117" t="n"/>
      <c r="X494" s="118" t="n"/>
      <c r="Y494" s="119" t="n"/>
      <c r="Z494" s="120" t="n"/>
      <c r="AA494" s="121" t="n"/>
      <c r="AB494" s="122" t="n"/>
      <c r="AC494" s="117" t="n"/>
      <c r="AD494" s="123">
        <f>IF(SUM($AE494:$AH494)=0,"",SUM($AE494:$AH494))</f>
        <v/>
      </c>
      <c r="AE494" s="123">
        <f>iferror(IF(SUM($AI494:$AZ494)=0,"",SUM($AI494:$AZ494)),"")</f>
        <v/>
      </c>
      <c r="AF494" s="123">
        <f>iferror(IF(SUM($BA494:$BC494)=0,"",SUM($BA494:$BC494)),"")</f>
        <v/>
      </c>
      <c r="AG494" s="123">
        <f>iferror(IF(SUM($BD494:$BF494)=0,"",SUM($BD494:$BF494)),"")</f>
        <v/>
      </c>
      <c r="AH494" s="124">
        <f>iferror(IF(SUM($BG494:$BI494)=0,"",SUM($BG494:$BI494)),"")</f>
        <v/>
      </c>
      <c r="AI494" s="131" t="n"/>
      <c r="AJ494" s="132" t="n"/>
      <c r="AK494" s="132" t="n"/>
      <c r="AL494" s="132" t="n"/>
      <c r="AM494" s="132" t="n"/>
      <c r="AN494" s="132" t="n"/>
      <c r="AO494" s="132" t="n"/>
      <c r="AP494" s="132" t="n"/>
      <c r="AQ494" s="132" t="n"/>
      <c r="AR494" s="132" t="n"/>
      <c r="AS494" s="132" t="n"/>
      <c r="AT494" s="132" t="n"/>
      <c r="AU494" s="132" t="n"/>
      <c r="AV494" s="132" t="n"/>
      <c r="AW494" s="132" t="n"/>
      <c r="AX494" s="132" t="n"/>
      <c r="AY494" s="132" t="n"/>
      <c r="AZ494" s="133" t="n"/>
      <c r="BA494" s="131" t="n"/>
      <c r="BB494" s="132" t="n"/>
      <c r="BC494" s="133" t="n"/>
      <c r="BD494" s="131" t="n"/>
      <c r="BE494" s="132" t="n"/>
      <c r="BF494" s="133" t="n"/>
      <c r="BG494" s="131" t="n"/>
      <c r="BH494" s="132" t="n"/>
      <c r="BI494" s="132" t="n"/>
      <c r="BJ494" s="128">
        <f>iferror(SUM($BK494,($BL494*1.2),($BM494*1.35),($BN494*0.74)),)</f>
        <v/>
      </c>
      <c r="BK494" s="128">
        <f>IFERROR(SUM($BT494:$CK494),)</f>
        <v/>
      </c>
      <c r="BL494" s="129">
        <f>IFERROR(SUM($CL494:$CN494),)</f>
        <v/>
      </c>
      <c r="BM494" s="130">
        <f>IFERROR(SUM($CO494:$CQ494),)</f>
        <v/>
      </c>
      <c r="BN494" s="128">
        <f>IFERROR(SUM($CR494:$CT494),)</f>
        <v/>
      </c>
      <c r="BO494" s="128">
        <f>iferror(SUM($BP494,($BQ494*1.2),($BR494*1.35),($BS494*0.74)),)</f>
        <v/>
      </c>
      <c r="BP494" s="128">
        <f>IFERROR(SUM($CU494:$DL494),)</f>
        <v/>
      </c>
      <c r="BQ494" s="128">
        <f>IFERROR(SUM($DM494:$DO494),)</f>
        <v/>
      </c>
      <c r="BR494" s="128">
        <f>IFERROR(SUM($DP494:$DR494),)</f>
        <v/>
      </c>
      <c r="BS494" s="128">
        <f>IFERROR(SUM($DS494:$DU494),)</f>
        <v/>
      </c>
      <c r="BT494" s="128">
        <f>IFERROR(AI494*$W494,)</f>
        <v/>
      </c>
      <c r="BU494" s="128">
        <f>IFERROR(AJ494*$W494,)</f>
        <v/>
      </c>
      <c r="BV494" s="128">
        <f>IFERROR(AK494*$W494,)</f>
        <v/>
      </c>
      <c r="BW494" s="128">
        <f>IFERROR(AL494*$W494,)</f>
        <v/>
      </c>
      <c r="BX494" s="128">
        <f>IFERROR(AM494*$W494,)</f>
        <v/>
      </c>
      <c r="BY494" s="128">
        <f>IFERROR(AN494*$W494,)</f>
        <v/>
      </c>
      <c r="BZ494" s="128">
        <f>IFERROR(AO494*$W494,)</f>
        <v/>
      </c>
      <c r="CA494" s="128">
        <f>IFERROR(AP494*$W494,)</f>
        <v/>
      </c>
      <c r="CB494" s="128">
        <f>IFERROR(AQ494*$W494,)</f>
        <v/>
      </c>
      <c r="CC494" s="128">
        <f>IFERROR(AR494*$W494,)</f>
        <v/>
      </c>
      <c r="CD494" s="128">
        <f>IFERROR(AS494*$W494,)</f>
        <v/>
      </c>
      <c r="CE494" s="128">
        <f>IFERROR(AT494*$W494,)</f>
        <v/>
      </c>
      <c r="CF494" s="128">
        <f>IFERROR(AU494*$W494,)</f>
        <v/>
      </c>
      <c r="CG494" s="128">
        <f>IFERROR(AV494*$W494,)</f>
        <v/>
      </c>
      <c r="CH494" s="128">
        <f>IFERROR(AW494*$W494,)</f>
        <v/>
      </c>
      <c r="CI494" s="128">
        <f>IFERROR(AX494*$W494,)</f>
        <v/>
      </c>
      <c r="CJ494" s="128">
        <f>IFERROR(AY494*$W494,)</f>
        <v/>
      </c>
      <c r="CK494" s="128">
        <f>IFERROR(AZ494*$W494,)</f>
        <v/>
      </c>
      <c r="CL494" s="129">
        <f>IFERROR(if($Y494=0,BA494*($W494/1.2),BA494*$Y494),"")</f>
        <v/>
      </c>
      <c r="CM494" s="129">
        <f>IFERROR(if($Y494=0,BB494*($W494/1.2),BB494*$Y494),"")</f>
        <v/>
      </c>
      <c r="CN494" s="129">
        <f>IFERROR(if($Y494=0,BC494*($W494/1.2),BC494*$Y494),"")</f>
        <v/>
      </c>
      <c r="CO494" s="130">
        <f>IFERROR(if($AA494=0,($W494/1.35)*BD494,BD494*$AA494),)</f>
        <v/>
      </c>
      <c r="CP494" s="130">
        <f>IFERROR(if($AA494=0,($W494/1.35)*BE494,BE494*$AA494),)</f>
        <v/>
      </c>
      <c r="CQ494" s="130">
        <f>IFERROR(if($AA494=0,($W494/1.35)*BF494,BF494*$AA494),)</f>
        <v/>
      </c>
      <c r="CR494" s="128">
        <f>IFERROR(if($AC494=0,($W494/0.74)*BG494,
BG494*$AC494),)</f>
        <v/>
      </c>
      <c r="CS494" s="128">
        <f>IFERROR(if($AC494=0,($W494/0.74)*BH494,
BH494*$AC494),)</f>
        <v/>
      </c>
      <c r="CT494" s="128">
        <f>IFERROR(if($AC494=0,($W494/0.74)*BI494,
BI494*$AC494),)</f>
        <v/>
      </c>
      <c r="CU494" s="128">
        <f>IFERROR(AI494*$V494,)</f>
        <v/>
      </c>
      <c r="CV494" s="128">
        <f>IFERROR(AJ494*$V494,)</f>
        <v/>
      </c>
      <c r="CW494" s="128">
        <f>IFERROR(AK494*$V494,)</f>
        <v/>
      </c>
      <c r="CX494" s="128">
        <f>IFERROR(AL494*$V494,)</f>
        <v/>
      </c>
      <c r="CY494" s="128">
        <f>IFERROR(AM494*$V494,)</f>
        <v/>
      </c>
      <c r="CZ494" s="128">
        <f>IFERROR(AN494*$V494,)</f>
        <v/>
      </c>
      <c r="DA494" s="128">
        <f>IFERROR(AO494*$V494,)</f>
        <v/>
      </c>
      <c r="DB494" s="128">
        <f>IFERROR(AP494*$V494,)</f>
        <v/>
      </c>
      <c r="DC494" s="128">
        <f>IFERROR(AQ494*$V494,)</f>
        <v/>
      </c>
      <c r="DD494" s="128">
        <f>IFERROR(AR494*$V494,)</f>
        <v/>
      </c>
      <c r="DE494" s="128">
        <f>IFERROR(AS494*$V494,)</f>
        <v/>
      </c>
      <c r="DF494" s="128">
        <f>IFERROR(AT494*$V494,)</f>
        <v/>
      </c>
      <c r="DG494" s="128">
        <f>IFERROR(AU494*$V494,)</f>
        <v/>
      </c>
      <c r="DH494" s="128">
        <f>IFERROR(AV494*$V494,)</f>
        <v/>
      </c>
      <c r="DI494" s="128">
        <f>IFERROR(AW494*$V494,)</f>
        <v/>
      </c>
      <c r="DJ494" s="128">
        <f>IFERROR(AX494*$V494,)</f>
        <v/>
      </c>
      <c r="DK494" s="128">
        <f>IFERROR(AY494*$V494,)</f>
        <v/>
      </c>
      <c r="DL494" s="128">
        <f>IFERROR(AZ494*$V494,)</f>
        <v/>
      </c>
      <c r="DM494" s="129">
        <f>IFERROR(if($X494=0,($V494/1.2)*BA494,
BA494*$X494),)</f>
        <v/>
      </c>
      <c r="DN494" s="129">
        <f>IFERROR(if($X494=0,($V494/1.2)*BB494,
BB494*$X494),)</f>
        <v/>
      </c>
      <c r="DO494" s="129">
        <f>IFERROR(if($X494=0,($V494/1.2)*BC494,
BC494*$X494),)</f>
        <v/>
      </c>
      <c r="DP494" s="130">
        <f>IFERROR(if($Z494=0,($V494/1.35)*BD494,
BD494*$Z494),)</f>
        <v/>
      </c>
      <c r="DQ494" s="130">
        <f>IFERROR(if($Z494=0,($V494/1.35)*BE494,
BE494*$Z494),)</f>
        <v/>
      </c>
      <c r="DR494" s="130">
        <f>IFERROR(if($Z494=0,($V494/1.35)*BF494,
BF494*$Z494),)</f>
        <v/>
      </c>
      <c r="DS494" s="128">
        <f>IFERROR(IF($AB494=0,($V494/0.74)*BG494,
BG494*$AB494),)</f>
        <v/>
      </c>
      <c r="DT494" s="128">
        <f>IFERROR(IF($AB494=0,($V494/0.74)*BH494,
BH494*$AB494),)</f>
        <v/>
      </c>
      <c r="DU494" s="128">
        <f>IFERROR(IF($AB494=0,($V494/0.74)*BI494,
BI494*$AB494),)</f>
        <v/>
      </c>
    </row>
    <row r="495" ht="131.25" customHeight="1" s="162">
      <c r="A495" s="115" t="n"/>
      <c r="B495" s="115" t="n"/>
      <c r="C495" s="115" t="n"/>
      <c r="D495" s="115" t="n"/>
      <c r="E495" s="115" t="n"/>
      <c r="F495" s="115" t="n"/>
      <c r="G495" s="115" t="n"/>
      <c r="H495" s="115" t="n"/>
      <c r="I495" s="115" t="n"/>
      <c r="J495" s="115" t="n"/>
      <c r="K495" s="115" t="n"/>
      <c r="L495" s="115" t="n"/>
      <c r="M495" s="115" t="n"/>
      <c r="N495" s="115" t="n"/>
      <c r="O495" s="115" t="n"/>
      <c r="P495" s="115" t="n"/>
      <c r="Q495" s="115" t="n"/>
      <c r="R495" s="115" t="n"/>
      <c r="S495" s="115" t="n"/>
      <c r="T495" s="115" t="n"/>
      <c r="U495" s="116" t="n"/>
      <c r="V495" s="116" t="n"/>
      <c r="W495" s="117" t="n"/>
      <c r="X495" s="118" t="n"/>
      <c r="Y495" s="119" t="n"/>
      <c r="Z495" s="120" t="n"/>
      <c r="AA495" s="121" t="n"/>
      <c r="AB495" s="122" t="n"/>
      <c r="AC495" s="117" t="n"/>
      <c r="AD495" s="123">
        <f>IF(SUM($AE495:$AH495)=0,"",SUM($AE495:$AH495))</f>
        <v/>
      </c>
      <c r="AE495" s="123">
        <f>iferror(IF(SUM($AI495:$AZ495)=0,"",SUM($AI495:$AZ495)),"")</f>
        <v/>
      </c>
      <c r="AF495" s="123">
        <f>iferror(IF(SUM($BA495:$BC495)=0,"",SUM($BA495:$BC495)),"")</f>
        <v/>
      </c>
      <c r="AG495" s="123">
        <f>iferror(IF(SUM($BD495:$BF495)=0,"",SUM($BD495:$BF495)),"")</f>
        <v/>
      </c>
      <c r="AH495" s="124">
        <f>iferror(IF(SUM($BG495:$BI495)=0,"",SUM($BG495:$BI495)),"")</f>
        <v/>
      </c>
      <c r="AI495" s="131" t="n"/>
      <c r="AJ495" s="132" t="n"/>
      <c r="AK495" s="132" t="n"/>
      <c r="AL495" s="132" t="n"/>
      <c r="AM495" s="132" t="n"/>
      <c r="AN495" s="132" t="n"/>
      <c r="AO495" s="132" t="n"/>
      <c r="AP495" s="132" t="n"/>
      <c r="AQ495" s="132" t="n"/>
      <c r="AR495" s="132" t="n"/>
      <c r="AS495" s="132" t="n"/>
      <c r="AT495" s="132" t="n"/>
      <c r="AU495" s="132" t="n"/>
      <c r="AV495" s="132" t="n"/>
      <c r="AW495" s="132" t="n"/>
      <c r="AX495" s="132" t="n"/>
      <c r="AY495" s="132" t="n"/>
      <c r="AZ495" s="133" t="n"/>
      <c r="BA495" s="131" t="n"/>
      <c r="BB495" s="132" t="n"/>
      <c r="BC495" s="133" t="n"/>
      <c r="BD495" s="131" t="n"/>
      <c r="BE495" s="132" t="n"/>
      <c r="BF495" s="133" t="n"/>
      <c r="BG495" s="131" t="n"/>
      <c r="BH495" s="132" t="n"/>
      <c r="BI495" s="132" t="n"/>
      <c r="BJ495" s="128">
        <f>iferror(SUM($BK495,($BL495*1.2),($BM495*1.35),($BN495*0.74)),)</f>
        <v/>
      </c>
      <c r="BK495" s="128">
        <f>IFERROR(SUM($BT495:$CK495),)</f>
        <v/>
      </c>
      <c r="BL495" s="129">
        <f>IFERROR(SUM($CL495:$CN495),)</f>
        <v/>
      </c>
      <c r="BM495" s="130">
        <f>IFERROR(SUM($CO495:$CQ495),)</f>
        <v/>
      </c>
      <c r="BN495" s="128">
        <f>IFERROR(SUM($CR495:$CT495),)</f>
        <v/>
      </c>
      <c r="BO495" s="128">
        <f>iferror(SUM($BP495,($BQ495*1.2),($BR495*1.35),($BS495*0.74)),)</f>
        <v/>
      </c>
      <c r="BP495" s="128">
        <f>IFERROR(SUM($CU495:$DL495),)</f>
        <v/>
      </c>
      <c r="BQ495" s="128">
        <f>IFERROR(SUM($DM495:$DO495),)</f>
        <v/>
      </c>
      <c r="BR495" s="128">
        <f>IFERROR(SUM($DP495:$DR495),)</f>
        <v/>
      </c>
      <c r="BS495" s="128">
        <f>IFERROR(SUM($DS495:$DU495),)</f>
        <v/>
      </c>
      <c r="BT495" s="128">
        <f>IFERROR(AI495*$W495,)</f>
        <v/>
      </c>
      <c r="BU495" s="128">
        <f>IFERROR(AJ495*$W495,)</f>
        <v/>
      </c>
      <c r="BV495" s="128">
        <f>IFERROR(AK495*$W495,)</f>
        <v/>
      </c>
      <c r="BW495" s="128">
        <f>IFERROR(AL495*$W495,)</f>
        <v/>
      </c>
      <c r="BX495" s="128">
        <f>IFERROR(AM495*$W495,)</f>
        <v/>
      </c>
      <c r="BY495" s="128">
        <f>IFERROR(AN495*$W495,)</f>
        <v/>
      </c>
      <c r="BZ495" s="128">
        <f>IFERROR(AO495*$W495,)</f>
        <v/>
      </c>
      <c r="CA495" s="128">
        <f>IFERROR(AP495*$W495,)</f>
        <v/>
      </c>
      <c r="CB495" s="128">
        <f>IFERROR(AQ495*$W495,)</f>
        <v/>
      </c>
      <c r="CC495" s="128">
        <f>IFERROR(AR495*$W495,)</f>
        <v/>
      </c>
      <c r="CD495" s="128">
        <f>IFERROR(AS495*$W495,)</f>
        <v/>
      </c>
      <c r="CE495" s="128">
        <f>IFERROR(AT495*$W495,)</f>
        <v/>
      </c>
      <c r="CF495" s="128">
        <f>IFERROR(AU495*$W495,)</f>
        <v/>
      </c>
      <c r="CG495" s="128">
        <f>IFERROR(AV495*$W495,)</f>
        <v/>
      </c>
      <c r="CH495" s="128">
        <f>IFERROR(AW495*$W495,)</f>
        <v/>
      </c>
      <c r="CI495" s="128">
        <f>IFERROR(AX495*$W495,)</f>
        <v/>
      </c>
      <c r="CJ495" s="128">
        <f>IFERROR(AY495*$W495,)</f>
        <v/>
      </c>
      <c r="CK495" s="128">
        <f>IFERROR(AZ495*$W495,)</f>
        <v/>
      </c>
      <c r="CL495" s="129">
        <f>IFERROR(if($Y495=0,BA495*($W495/1.2),BA495*$Y495),"")</f>
        <v/>
      </c>
      <c r="CM495" s="129">
        <f>IFERROR(if($Y495=0,BB495*($W495/1.2),BB495*$Y495),"")</f>
        <v/>
      </c>
      <c r="CN495" s="129">
        <f>IFERROR(if($Y495=0,BC495*($W495/1.2),BC495*$Y495),"")</f>
        <v/>
      </c>
      <c r="CO495" s="130">
        <f>IFERROR(if($AA495=0,($W495/1.35)*BD495,BD495*$AA495),)</f>
        <v/>
      </c>
      <c r="CP495" s="130">
        <f>IFERROR(if($AA495=0,($W495/1.35)*BE495,BE495*$AA495),)</f>
        <v/>
      </c>
      <c r="CQ495" s="130">
        <f>IFERROR(if($AA495=0,($W495/1.35)*BF495,BF495*$AA495),)</f>
        <v/>
      </c>
      <c r="CR495" s="128">
        <f>IFERROR(if($AC495=0,($W495/0.74)*BG495,
BG495*$AC495),)</f>
        <v/>
      </c>
      <c r="CS495" s="128">
        <f>IFERROR(if($AC495=0,($W495/0.74)*BH495,
BH495*$AC495),)</f>
        <v/>
      </c>
      <c r="CT495" s="128">
        <f>IFERROR(if($AC495=0,($W495/0.74)*BI495,
BI495*$AC495),)</f>
        <v/>
      </c>
      <c r="CU495" s="128">
        <f>IFERROR(AI495*$V495,)</f>
        <v/>
      </c>
      <c r="CV495" s="128">
        <f>IFERROR(AJ495*$V495,)</f>
        <v/>
      </c>
      <c r="CW495" s="128">
        <f>IFERROR(AK495*$V495,)</f>
        <v/>
      </c>
      <c r="CX495" s="128">
        <f>IFERROR(AL495*$V495,)</f>
        <v/>
      </c>
      <c r="CY495" s="128">
        <f>IFERROR(AM495*$V495,)</f>
        <v/>
      </c>
      <c r="CZ495" s="128">
        <f>IFERROR(AN495*$V495,)</f>
        <v/>
      </c>
      <c r="DA495" s="128">
        <f>IFERROR(AO495*$V495,)</f>
        <v/>
      </c>
      <c r="DB495" s="128">
        <f>IFERROR(AP495*$V495,)</f>
        <v/>
      </c>
      <c r="DC495" s="128">
        <f>IFERROR(AQ495*$V495,)</f>
        <v/>
      </c>
      <c r="DD495" s="128">
        <f>IFERROR(AR495*$V495,)</f>
        <v/>
      </c>
      <c r="DE495" s="128">
        <f>IFERROR(AS495*$V495,)</f>
        <v/>
      </c>
      <c r="DF495" s="128">
        <f>IFERROR(AT495*$V495,)</f>
        <v/>
      </c>
      <c r="DG495" s="128">
        <f>IFERROR(AU495*$V495,)</f>
        <v/>
      </c>
      <c r="DH495" s="128">
        <f>IFERROR(AV495*$V495,)</f>
        <v/>
      </c>
      <c r="DI495" s="128">
        <f>IFERROR(AW495*$V495,)</f>
        <v/>
      </c>
      <c r="DJ495" s="128">
        <f>IFERROR(AX495*$V495,)</f>
        <v/>
      </c>
      <c r="DK495" s="128">
        <f>IFERROR(AY495*$V495,)</f>
        <v/>
      </c>
      <c r="DL495" s="128">
        <f>IFERROR(AZ495*$V495,)</f>
        <v/>
      </c>
      <c r="DM495" s="129">
        <f>IFERROR(if($X495=0,($V495/1.2)*BA495,
BA495*$X495),)</f>
        <v/>
      </c>
      <c r="DN495" s="129">
        <f>IFERROR(if($X495=0,($V495/1.2)*BB495,
BB495*$X495),)</f>
        <v/>
      </c>
      <c r="DO495" s="129">
        <f>IFERROR(if($X495=0,($V495/1.2)*BC495,
BC495*$X495),)</f>
        <v/>
      </c>
      <c r="DP495" s="130">
        <f>IFERROR(if($Z495=0,($V495/1.35)*BD495,
BD495*$Z495),)</f>
        <v/>
      </c>
      <c r="DQ495" s="130">
        <f>IFERROR(if($Z495=0,($V495/1.35)*BE495,
BE495*$Z495),)</f>
        <v/>
      </c>
      <c r="DR495" s="130">
        <f>IFERROR(if($Z495=0,($V495/1.35)*BF495,
BF495*$Z495),)</f>
        <v/>
      </c>
      <c r="DS495" s="128">
        <f>IFERROR(IF($AB495=0,($V495/0.74)*BG495,
BG495*$AB495),)</f>
        <v/>
      </c>
      <c r="DT495" s="128">
        <f>IFERROR(IF($AB495=0,($V495/0.74)*BH495,
BH495*$AB495),)</f>
        <v/>
      </c>
      <c r="DU495" s="128">
        <f>IFERROR(IF($AB495=0,($V495/0.74)*BI495,
BI495*$AB495),)</f>
        <v/>
      </c>
    </row>
    <row r="496" ht="131.25" customHeight="1" s="162">
      <c r="A496" s="115" t="n"/>
      <c r="B496" s="115" t="n"/>
      <c r="C496" s="115" t="n"/>
      <c r="D496" s="115" t="n"/>
      <c r="E496" s="115" t="n"/>
      <c r="F496" s="115" t="n"/>
      <c r="G496" s="115" t="n"/>
      <c r="H496" s="115" t="n"/>
      <c r="I496" s="115" t="n"/>
      <c r="J496" s="115" t="n"/>
      <c r="K496" s="115" t="n"/>
      <c r="L496" s="115" t="n"/>
      <c r="M496" s="115" t="n"/>
      <c r="N496" s="115" t="n"/>
      <c r="O496" s="115" t="n"/>
      <c r="P496" s="115" t="n"/>
      <c r="Q496" s="115" t="n"/>
      <c r="R496" s="115" t="n"/>
      <c r="S496" s="115" t="n"/>
      <c r="T496" s="115" t="n"/>
      <c r="U496" s="116" t="n"/>
      <c r="V496" s="116" t="n"/>
      <c r="W496" s="117" t="n"/>
      <c r="X496" s="118" t="n"/>
      <c r="Y496" s="119" t="n"/>
      <c r="Z496" s="120" t="n"/>
      <c r="AA496" s="121" t="n"/>
      <c r="AB496" s="122" t="n"/>
      <c r="AC496" s="117" t="n"/>
      <c r="AD496" s="123">
        <f>IF(SUM($AE496:$AH496)=0,"",SUM($AE496:$AH496))</f>
        <v/>
      </c>
      <c r="AE496" s="123">
        <f>iferror(IF(SUM($AI496:$AZ496)=0,"",SUM($AI496:$AZ496)),"")</f>
        <v/>
      </c>
      <c r="AF496" s="123">
        <f>iferror(IF(SUM($BA496:$BC496)=0,"",SUM($BA496:$BC496)),"")</f>
        <v/>
      </c>
      <c r="AG496" s="123">
        <f>iferror(IF(SUM($BD496:$BF496)=0,"",SUM($BD496:$BF496)),"")</f>
        <v/>
      </c>
      <c r="AH496" s="124">
        <f>iferror(IF(SUM($BG496:$BI496)=0,"",SUM($BG496:$BI496)),"")</f>
        <v/>
      </c>
      <c r="AI496" s="131" t="n"/>
      <c r="AJ496" s="132" t="n"/>
      <c r="AK496" s="132" t="n"/>
      <c r="AL496" s="132" t="n"/>
      <c r="AM496" s="132" t="n"/>
      <c r="AN496" s="132" t="n"/>
      <c r="AO496" s="132" t="n"/>
      <c r="AP496" s="132" t="n"/>
      <c r="AQ496" s="132" t="n"/>
      <c r="AR496" s="132" t="n"/>
      <c r="AS496" s="132" t="n"/>
      <c r="AT496" s="132" t="n"/>
      <c r="AU496" s="132" t="n"/>
      <c r="AV496" s="132" t="n"/>
      <c r="AW496" s="132" t="n"/>
      <c r="AX496" s="132" t="n"/>
      <c r="AY496" s="132" t="n"/>
      <c r="AZ496" s="133" t="n"/>
      <c r="BA496" s="131" t="n"/>
      <c r="BB496" s="132" t="n"/>
      <c r="BC496" s="133" t="n"/>
      <c r="BD496" s="131" t="n"/>
      <c r="BE496" s="132" t="n"/>
      <c r="BF496" s="133" t="n"/>
      <c r="BG496" s="131" t="n"/>
      <c r="BH496" s="132" t="n"/>
      <c r="BI496" s="132" t="n"/>
      <c r="BJ496" s="128">
        <f>iferror(SUM($BK496,($BL496*1.2),($BM496*1.35),($BN496*0.74)),)</f>
        <v/>
      </c>
      <c r="BK496" s="128">
        <f>IFERROR(SUM($BT496:$CK496),)</f>
        <v/>
      </c>
      <c r="BL496" s="129">
        <f>IFERROR(SUM($CL496:$CN496),)</f>
        <v/>
      </c>
      <c r="BM496" s="130">
        <f>IFERROR(SUM($CO496:$CQ496),)</f>
        <v/>
      </c>
      <c r="BN496" s="128">
        <f>IFERROR(SUM($CR496:$CT496),)</f>
        <v/>
      </c>
      <c r="BO496" s="128">
        <f>iferror(SUM($BP496,($BQ496*1.2),($BR496*1.35),($BS496*0.74)),)</f>
        <v/>
      </c>
      <c r="BP496" s="128">
        <f>IFERROR(SUM($CU496:$DL496),)</f>
        <v/>
      </c>
      <c r="BQ496" s="128">
        <f>IFERROR(SUM($DM496:$DO496),)</f>
        <v/>
      </c>
      <c r="BR496" s="128">
        <f>IFERROR(SUM($DP496:$DR496),)</f>
        <v/>
      </c>
      <c r="BS496" s="128">
        <f>IFERROR(SUM($DS496:$DU496),)</f>
        <v/>
      </c>
      <c r="BT496" s="128">
        <f>IFERROR(AI496*$W496,)</f>
        <v/>
      </c>
      <c r="BU496" s="128">
        <f>IFERROR(AJ496*$W496,)</f>
        <v/>
      </c>
      <c r="BV496" s="128">
        <f>IFERROR(AK496*$W496,)</f>
        <v/>
      </c>
      <c r="BW496" s="128">
        <f>IFERROR(AL496*$W496,)</f>
        <v/>
      </c>
      <c r="BX496" s="128">
        <f>IFERROR(AM496*$W496,)</f>
        <v/>
      </c>
      <c r="BY496" s="128">
        <f>IFERROR(AN496*$W496,)</f>
        <v/>
      </c>
      <c r="BZ496" s="128">
        <f>IFERROR(AO496*$W496,)</f>
        <v/>
      </c>
      <c r="CA496" s="128">
        <f>IFERROR(AP496*$W496,)</f>
        <v/>
      </c>
      <c r="CB496" s="128">
        <f>IFERROR(AQ496*$W496,)</f>
        <v/>
      </c>
      <c r="CC496" s="128">
        <f>IFERROR(AR496*$W496,)</f>
        <v/>
      </c>
      <c r="CD496" s="128">
        <f>IFERROR(AS496*$W496,)</f>
        <v/>
      </c>
      <c r="CE496" s="128">
        <f>IFERROR(AT496*$W496,)</f>
        <v/>
      </c>
      <c r="CF496" s="128">
        <f>IFERROR(AU496*$W496,)</f>
        <v/>
      </c>
      <c r="CG496" s="128">
        <f>IFERROR(AV496*$W496,)</f>
        <v/>
      </c>
      <c r="CH496" s="128">
        <f>IFERROR(AW496*$W496,)</f>
        <v/>
      </c>
      <c r="CI496" s="128">
        <f>IFERROR(AX496*$W496,)</f>
        <v/>
      </c>
      <c r="CJ496" s="128">
        <f>IFERROR(AY496*$W496,)</f>
        <v/>
      </c>
      <c r="CK496" s="128">
        <f>IFERROR(AZ496*$W496,)</f>
        <v/>
      </c>
      <c r="CL496" s="129">
        <f>IFERROR(if($Y496=0,BA496*($W496/1.2),BA496*$Y496),"")</f>
        <v/>
      </c>
      <c r="CM496" s="129">
        <f>IFERROR(if($Y496=0,BB496*($W496/1.2),BB496*$Y496),"")</f>
        <v/>
      </c>
      <c r="CN496" s="129">
        <f>IFERROR(if($Y496=0,BC496*($W496/1.2),BC496*$Y496),"")</f>
        <v/>
      </c>
      <c r="CO496" s="130">
        <f>IFERROR(if($AA496=0,($W496/1.35)*BD496,BD496*$AA496),)</f>
        <v/>
      </c>
      <c r="CP496" s="130">
        <f>IFERROR(if($AA496=0,($W496/1.35)*BE496,BE496*$AA496),)</f>
        <v/>
      </c>
      <c r="CQ496" s="130">
        <f>IFERROR(if($AA496=0,($W496/1.35)*BF496,BF496*$AA496),)</f>
        <v/>
      </c>
      <c r="CR496" s="128">
        <f>IFERROR(if($AC496=0,($W496/0.74)*BG496,
BG496*$AC496),)</f>
        <v/>
      </c>
      <c r="CS496" s="128">
        <f>IFERROR(if($AC496=0,($W496/0.74)*BH496,
BH496*$AC496),)</f>
        <v/>
      </c>
      <c r="CT496" s="128">
        <f>IFERROR(if($AC496=0,($W496/0.74)*BI496,
BI496*$AC496),)</f>
        <v/>
      </c>
      <c r="CU496" s="128">
        <f>IFERROR(AI496*$V496,)</f>
        <v/>
      </c>
      <c r="CV496" s="128">
        <f>IFERROR(AJ496*$V496,)</f>
        <v/>
      </c>
      <c r="CW496" s="128">
        <f>IFERROR(AK496*$V496,)</f>
        <v/>
      </c>
      <c r="CX496" s="128">
        <f>IFERROR(AL496*$V496,)</f>
        <v/>
      </c>
      <c r="CY496" s="128">
        <f>IFERROR(AM496*$V496,)</f>
        <v/>
      </c>
      <c r="CZ496" s="128">
        <f>IFERROR(AN496*$V496,)</f>
        <v/>
      </c>
      <c r="DA496" s="128">
        <f>IFERROR(AO496*$V496,)</f>
        <v/>
      </c>
      <c r="DB496" s="128">
        <f>IFERROR(AP496*$V496,)</f>
        <v/>
      </c>
      <c r="DC496" s="128">
        <f>IFERROR(AQ496*$V496,)</f>
        <v/>
      </c>
      <c r="DD496" s="128">
        <f>IFERROR(AR496*$V496,)</f>
        <v/>
      </c>
      <c r="DE496" s="128">
        <f>IFERROR(AS496*$V496,)</f>
        <v/>
      </c>
      <c r="DF496" s="128">
        <f>IFERROR(AT496*$V496,)</f>
        <v/>
      </c>
      <c r="DG496" s="128">
        <f>IFERROR(AU496*$V496,)</f>
        <v/>
      </c>
      <c r="DH496" s="128">
        <f>IFERROR(AV496*$V496,)</f>
        <v/>
      </c>
      <c r="DI496" s="128">
        <f>IFERROR(AW496*$V496,)</f>
        <v/>
      </c>
      <c r="DJ496" s="128">
        <f>IFERROR(AX496*$V496,)</f>
        <v/>
      </c>
      <c r="DK496" s="128">
        <f>IFERROR(AY496*$V496,)</f>
        <v/>
      </c>
      <c r="DL496" s="128">
        <f>IFERROR(AZ496*$V496,)</f>
        <v/>
      </c>
      <c r="DM496" s="129">
        <f>IFERROR(if($X496=0,($V496/1.2)*BA496,
BA496*$X496),)</f>
        <v/>
      </c>
      <c r="DN496" s="129">
        <f>IFERROR(if($X496=0,($V496/1.2)*BB496,
BB496*$X496),)</f>
        <v/>
      </c>
      <c r="DO496" s="129">
        <f>IFERROR(if($X496=0,($V496/1.2)*BC496,
BC496*$X496),)</f>
        <v/>
      </c>
      <c r="DP496" s="130">
        <f>IFERROR(if($Z496=0,($V496/1.35)*BD496,
BD496*$Z496),)</f>
        <v/>
      </c>
      <c r="DQ496" s="130">
        <f>IFERROR(if($Z496=0,($V496/1.35)*BE496,
BE496*$Z496),)</f>
        <v/>
      </c>
      <c r="DR496" s="130">
        <f>IFERROR(if($Z496=0,($V496/1.35)*BF496,
BF496*$Z496),)</f>
        <v/>
      </c>
      <c r="DS496" s="128">
        <f>IFERROR(IF($AB496=0,($V496/0.74)*BG496,
BG496*$AB496),)</f>
        <v/>
      </c>
      <c r="DT496" s="128">
        <f>IFERROR(IF($AB496=0,($V496/0.74)*BH496,
BH496*$AB496),)</f>
        <v/>
      </c>
      <c r="DU496" s="128">
        <f>IFERROR(IF($AB496=0,($V496/0.74)*BI496,
BI496*$AB496),)</f>
        <v/>
      </c>
    </row>
    <row r="497" ht="131.25" customHeight="1" s="162">
      <c r="A497" s="115" t="n"/>
      <c r="B497" s="115" t="n"/>
      <c r="C497" s="115" t="n"/>
      <c r="D497" s="115" t="n"/>
      <c r="E497" s="115" t="n"/>
      <c r="F497" s="115" t="n"/>
      <c r="G497" s="115" t="n"/>
      <c r="H497" s="115" t="n"/>
      <c r="I497" s="115" t="n"/>
      <c r="J497" s="115" t="n"/>
      <c r="K497" s="115" t="n"/>
      <c r="L497" s="115" t="n"/>
      <c r="M497" s="115" t="n"/>
      <c r="N497" s="115" t="n"/>
      <c r="O497" s="115" t="n"/>
      <c r="P497" s="115" t="n"/>
      <c r="Q497" s="115" t="n"/>
      <c r="R497" s="115" t="n"/>
      <c r="S497" s="115" t="n"/>
      <c r="T497" s="115" t="n"/>
      <c r="U497" s="116" t="n"/>
      <c r="V497" s="116" t="n"/>
      <c r="W497" s="117" t="n"/>
      <c r="X497" s="118" t="n"/>
      <c r="Y497" s="119" t="n"/>
      <c r="Z497" s="120" t="n"/>
      <c r="AA497" s="121" t="n"/>
      <c r="AB497" s="122" t="n"/>
      <c r="AC497" s="117" t="n"/>
      <c r="AD497" s="123">
        <f>IF(SUM($AE497:$AH497)=0,"",SUM($AE497:$AH497))</f>
        <v/>
      </c>
      <c r="AE497" s="123">
        <f>iferror(IF(SUM($AI497:$AZ497)=0,"",SUM($AI497:$AZ497)),"")</f>
        <v/>
      </c>
      <c r="AF497" s="123">
        <f>iferror(IF(SUM($BA497:$BC497)=0,"",SUM($BA497:$BC497)),"")</f>
        <v/>
      </c>
      <c r="AG497" s="123">
        <f>iferror(IF(SUM($BD497:$BF497)=0,"",SUM($BD497:$BF497)),"")</f>
        <v/>
      </c>
      <c r="AH497" s="124">
        <f>iferror(IF(SUM($BG497:$BI497)=0,"",SUM($BG497:$BI497)),"")</f>
        <v/>
      </c>
      <c r="AI497" s="131" t="n"/>
      <c r="AJ497" s="132" t="n"/>
      <c r="AK497" s="132" t="n"/>
      <c r="AL497" s="132" t="n"/>
      <c r="AM497" s="132" t="n"/>
      <c r="AN497" s="132" t="n"/>
      <c r="AO497" s="132" t="n"/>
      <c r="AP497" s="132" t="n"/>
      <c r="AQ497" s="132" t="n"/>
      <c r="AR497" s="132" t="n"/>
      <c r="AS497" s="132" t="n"/>
      <c r="AT497" s="132" t="n"/>
      <c r="AU497" s="132" t="n"/>
      <c r="AV497" s="132" t="n"/>
      <c r="AW497" s="132" t="n"/>
      <c r="AX497" s="132" t="n"/>
      <c r="AY497" s="132" t="n"/>
      <c r="AZ497" s="133" t="n"/>
      <c r="BA497" s="131" t="n"/>
      <c r="BB497" s="132" t="n"/>
      <c r="BC497" s="133" t="n"/>
      <c r="BD497" s="131" t="n"/>
      <c r="BE497" s="132" t="n"/>
      <c r="BF497" s="133" t="n"/>
      <c r="BG497" s="131" t="n"/>
      <c r="BH497" s="132" t="n"/>
      <c r="BI497" s="132" t="n"/>
      <c r="BJ497" s="128">
        <f>iferror(SUM($BK497,($BL497*1.2),($BM497*1.35),($BN497*0.74)),)</f>
        <v/>
      </c>
      <c r="BK497" s="128">
        <f>IFERROR(SUM($BT497:$CK497),)</f>
        <v/>
      </c>
      <c r="BL497" s="129">
        <f>IFERROR(SUM($CL497:$CN497),)</f>
        <v/>
      </c>
      <c r="BM497" s="130">
        <f>IFERROR(SUM($CO497:$CQ497),)</f>
        <v/>
      </c>
      <c r="BN497" s="128">
        <f>IFERROR(SUM($CR497:$CT497),)</f>
        <v/>
      </c>
      <c r="BO497" s="128">
        <f>iferror(SUM($BP497,($BQ497*1.2),($BR497*1.35),($BS497*0.74)),)</f>
        <v/>
      </c>
      <c r="BP497" s="128">
        <f>IFERROR(SUM($CU497:$DL497),)</f>
        <v/>
      </c>
      <c r="BQ497" s="128">
        <f>IFERROR(SUM($DM497:$DO497),)</f>
        <v/>
      </c>
      <c r="BR497" s="128">
        <f>IFERROR(SUM($DP497:$DR497),)</f>
        <v/>
      </c>
      <c r="BS497" s="128">
        <f>IFERROR(SUM($DS497:$DU497),)</f>
        <v/>
      </c>
      <c r="BT497" s="128">
        <f>IFERROR(AI497*$W497,)</f>
        <v/>
      </c>
      <c r="BU497" s="128">
        <f>IFERROR(AJ497*$W497,)</f>
        <v/>
      </c>
      <c r="BV497" s="128">
        <f>IFERROR(AK497*$W497,)</f>
        <v/>
      </c>
      <c r="BW497" s="128">
        <f>IFERROR(AL497*$W497,)</f>
        <v/>
      </c>
      <c r="BX497" s="128">
        <f>IFERROR(AM497*$W497,)</f>
        <v/>
      </c>
      <c r="BY497" s="128">
        <f>IFERROR(AN497*$W497,)</f>
        <v/>
      </c>
      <c r="BZ497" s="128">
        <f>IFERROR(AO497*$W497,)</f>
        <v/>
      </c>
      <c r="CA497" s="128">
        <f>IFERROR(AP497*$W497,)</f>
        <v/>
      </c>
      <c r="CB497" s="128">
        <f>IFERROR(AQ497*$W497,)</f>
        <v/>
      </c>
      <c r="CC497" s="128">
        <f>IFERROR(AR497*$W497,)</f>
        <v/>
      </c>
      <c r="CD497" s="128">
        <f>IFERROR(AS497*$W497,)</f>
        <v/>
      </c>
      <c r="CE497" s="128">
        <f>IFERROR(AT497*$W497,)</f>
        <v/>
      </c>
      <c r="CF497" s="128">
        <f>IFERROR(AU497*$W497,)</f>
        <v/>
      </c>
      <c r="CG497" s="128">
        <f>IFERROR(AV497*$W497,)</f>
        <v/>
      </c>
      <c r="CH497" s="128">
        <f>IFERROR(AW497*$W497,)</f>
        <v/>
      </c>
      <c r="CI497" s="128">
        <f>IFERROR(AX497*$W497,)</f>
        <v/>
      </c>
      <c r="CJ497" s="128">
        <f>IFERROR(AY497*$W497,)</f>
        <v/>
      </c>
      <c r="CK497" s="128">
        <f>IFERROR(AZ497*$W497,)</f>
        <v/>
      </c>
      <c r="CL497" s="129">
        <f>IFERROR(if($Y497=0,BA497*($W497/1.2),BA497*$Y497),"")</f>
        <v/>
      </c>
      <c r="CM497" s="129">
        <f>IFERROR(if($Y497=0,BB497*($W497/1.2),BB497*$Y497),"")</f>
        <v/>
      </c>
      <c r="CN497" s="129">
        <f>IFERROR(if($Y497=0,BC497*($W497/1.2),BC497*$Y497),"")</f>
        <v/>
      </c>
      <c r="CO497" s="130">
        <f>IFERROR(if($AA497=0,($W497/1.35)*BD497,BD497*$AA497),)</f>
        <v/>
      </c>
      <c r="CP497" s="130">
        <f>IFERROR(if($AA497=0,($W497/1.35)*BE497,BE497*$AA497),)</f>
        <v/>
      </c>
      <c r="CQ497" s="130">
        <f>IFERROR(if($AA497=0,($W497/1.35)*BF497,BF497*$AA497),)</f>
        <v/>
      </c>
      <c r="CR497" s="128">
        <f>IFERROR(if($AC497=0,($W497/0.74)*BG497,
BG497*$AC497),)</f>
        <v/>
      </c>
      <c r="CS497" s="128">
        <f>IFERROR(if($AC497=0,($W497/0.74)*BH497,
BH497*$AC497),)</f>
        <v/>
      </c>
      <c r="CT497" s="128">
        <f>IFERROR(if($AC497=0,($W497/0.74)*BI497,
BI497*$AC497),)</f>
        <v/>
      </c>
      <c r="CU497" s="128">
        <f>IFERROR(AI497*$V497,)</f>
        <v/>
      </c>
      <c r="CV497" s="128">
        <f>IFERROR(AJ497*$V497,)</f>
        <v/>
      </c>
      <c r="CW497" s="128">
        <f>IFERROR(AK497*$V497,)</f>
        <v/>
      </c>
      <c r="CX497" s="128">
        <f>IFERROR(AL497*$V497,)</f>
        <v/>
      </c>
      <c r="CY497" s="128">
        <f>IFERROR(AM497*$V497,)</f>
        <v/>
      </c>
      <c r="CZ497" s="128">
        <f>IFERROR(AN497*$V497,)</f>
        <v/>
      </c>
      <c r="DA497" s="128">
        <f>IFERROR(AO497*$V497,)</f>
        <v/>
      </c>
      <c r="DB497" s="128">
        <f>IFERROR(AP497*$V497,)</f>
        <v/>
      </c>
      <c r="DC497" s="128">
        <f>IFERROR(AQ497*$V497,)</f>
        <v/>
      </c>
      <c r="DD497" s="128">
        <f>IFERROR(AR497*$V497,)</f>
        <v/>
      </c>
      <c r="DE497" s="128">
        <f>IFERROR(AS497*$V497,)</f>
        <v/>
      </c>
      <c r="DF497" s="128">
        <f>IFERROR(AT497*$V497,)</f>
        <v/>
      </c>
      <c r="DG497" s="128">
        <f>IFERROR(AU497*$V497,)</f>
        <v/>
      </c>
      <c r="DH497" s="128">
        <f>IFERROR(AV497*$V497,)</f>
        <v/>
      </c>
      <c r="DI497" s="128">
        <f>IFERROR(AW497*$V497,)</f>
        <v/>
      </c>
      <c r="DJ497" s="128">
        <f>IFERROR(AX497*$V497,)</f>
        <v/>
      </c>
      <c r="DK497" s="128">
        <f>IFERROR(AY497*$V497,)</f>
        <v/>
      </c>
      <c r="DL497" s="128">
        <f>IFERROR(AZ497*$V497,)</f>
        <v/>
      </c>
      <c r="DM497" s="129">
        <f>IFERROR(if($X497=0,($V497/1.2)*BA497,
BA497*$X497),)</f>
        <v/>
      </c>
      <c r="DN497" s="129">
        <f>IFERROR(if($X497=0,($V497/1.2)*BB497,
BB497*$X497),)</f>
        <v/>
      </c>
      <c r="DO497" s="129">
        <f>IFERROR(if($X497=0,($V497/1.2)*BC497,
BC497*$X497),)</f>
        <v/>
      </c>
      <c r="DP497" s="130">
        <f>IFERROR(if($Z497=0,($V497/1.35)*BD497,
BD497*$Z497),)</f>
        <v/>
      </c>
      <c r="DQ497" s="130">
        <f>IFERROR(if($Z497=0,($V497/1.35)*BE497,
BE497*$Z497),)</f>
        <v/>
      </c>
      <c r="DR497" s="130">
        <f>IFERROR(if($Z497=0,($V497/1.35)*BF497,
BF497*$Z497),)</f>
        <v/>
      </c>
      <c r="DS497" s="128">
        <f>IFERROR(IF($AB497=0,($V497/0.74)*BG497,
BG497*$AB497),)</f>
        <v/>
      </c>
      <c r="DT497" s="128">
        <f>IFERROR(IF($AB497=0,($V497/0.74)*BH497,
BH497*$AB497),)</f>
        <v/>
      </c>
      <c r="DU497" s="128">
        <f>IFERROR(IF($AB497=0,($V497/0.74)*BI497,
BI497*$AB497),)</f>
        <v/>
      </c>
    </row>
    <row r="498" ht="131.25" customHeight="1" s="162">
      <c r="A498" s="115" t="n"/>
      <c r="B498" s="115" t="n"/>
      <c r="C498" s="115" t="n"/>
      <c r="D498" s="115" t="n"/>
      <c r="E498" s="115" t="n"/>
      <c r="F498" s="115" t="n"/>
      <c r="G498" s="115" t="n"/>
      <c r="H498" s="115" t="n"/>
      <c r="I498" s="115" t="n"/>
      <c r="J498" s="115" t="n"/>
      <c r="K498" s="115" t="n"/>
      <c r="L498" s="115" t="n"/>
      <c r="M498" s="115" t="n"/>
      <c r="N498" s="115" t="n"/>
      <c r="O498" s="115" t="n"/>
      <c r="P498" s="115" t="n"/>
      <c r="Q498" s="115" t="n"/>
      <c r="R498" s="115" t="n"/>
      <c r="S498" s="115" t="n"/>
      <c r="T498" s="115" t="n"/>
      <c r="U498" s="116" t="n"/>
      <c r="V498" s="116" t="n"/>
      <c r="W498" s="117" t="n"/>
      <c r="X498" s="118" t="n"/>
      <c r="Y498" s="119" t="n"/>
      <c r="Z498" s="120" t="n"/>
      <c r="AA498" s="121" t="n"/>
      <c r="AB498" s="122" t="n"/>
      <c r="AC498" s="117" t="n"/>
      <c r="AD498" s="123">
        <f>IF(SUM($AE498:$AH498)=0,"",SUM($AE498:$AH498))</f>
        <v/>
      </c>
      <c r="AE498" s="123">
        <f>iferror(IF(SUM($AI498:$AZ498)=0,"",SUM($AI498:$AZ498)),"")</f>
        <v/>
      </c>
      <c r="AF498" s="123">
        <f>iferror(IF(SUM($BA498:$BC498)=0,"",SUM($BA498:$BC498)),"")</f>
        <v/>
      </c>
      <c r="AG498" s="123">
        <f>iferror(IF(SUM($BD498:$BF498)=0,"",SUM($BD498:$BF498)),"")</f>
        <v/>
      </c>
      <c r="AH498" s="124">
        <f>iferror(IF(SUM($BG498:$BI498)=0,"",SUM($BG498:$BI498)),"")</f>
        <v/>
      </c>
      <c r="AI498" s="131" t="n"/>
      <c r="AJ498" s="132" t="n"/>
      <c r="AK498" s="132" t="n"/>
      <c r="AL498" s="132" t="n"/>
      <c r="AM498" s="132" t="n"/>
      <c r="AN498" s="132" t="n"/>
      <c r="AO498" s="132" t="n"/>
      <c r="AP498" s="132" t="n"/>
      <c r="AQ498" s="132" t="n"/>
      <c r="AR498" s="132" t="n"/>
      <c r="AS498" s="132" t="n"/>
      <c r="AT498" s="132" t="n"/>
      <c r="AU498" s="132" t="n"/>
      <c r="AV498" s="132" t="n"/>
      <c r="AW498" s="132" t="n"/>
      <c r="AX498" s="132" t="n"/>
      <c r="AY498" s="132" t="n"/>
      <c r="AZ498" s="133" t="n"/>
      <c r="BA498" s="131" t="n"/>
      <c r="BB498" s="132" t="n"/>
      <c r="BC498" s="133" t="n"/>
      <c r="BD498" s="131" t="n"/>
      <c r="BE498" s="132" t="n"/>
      <c r="BF498" s="133" t="n"/>
      <c r="BG498" s="131" t="n"/>
      <c r="BH498" s="132" t="n"/>
      <c r="BI498" s="132" t="n"/>
      <c r="BJ498" s="128">
        <f>iferror(SUM($BK498,($BL498*1.2),($BM498*1.35),($BN498*0.74)),)</f>
        <v/>
      </c>
      <c r="BK498" s="128">
        <f>IFERROR(SUM($BT498:$CK498),)</f>
        <v/>
      </c>
      <c r="BL498" s="129">
        <f>IFERROR(SUM($CL498:$CN498),)</f>
        <v/>
      </c>
      <c r="BM498" s="130">
        <f>IFERROR(SUM($CO498:$CQ498),)</f>
        <v/>
      </c>
      <c r="BN498" s="128">
        <f>IFERROR(SUM($CR498:$CT498),)</f>
        <v/>
      </c>
      <c r="BO498" s="128">
        <f>iferror(SUM($BP498,($BQ498*1.2),($BR498*1.35),($BS498*0.74)),)</f>
        <v/>
      </c>
      <c r="BP498" s="128">
        <f>IFERROR(SUM($CU498:$DL498),)</f>
        <v/>
      </c>
      <c r="BQ498" s="128">
        <f>IFERROR(SUM($DM498:$DO498),)</f>
        <v/>
      </c>
      <c r="BR498" s="128">
        <f>IFERROR(SUM($DP498:$DR498),)</f>
        <v/>
      </c>
      <c r="BS498" s="128">
        <f>IFERROR(SUM($DS498:$DU498),)</f>
        <v/>
      </c>
      <c r="BT498" s="128">
        <f>IFERROR(AI498*$W498,)</f>
        <v/>
      </c>
      <c r="BU498" s="128">
        <f>IFERROR(AJ498*$W498,)</f>
        <v/>
      </c>
      <c r="BV498" s="128">
        <f>IFERROR(AK498*$W498,)</f>
        <v/>
      </c>
      <c r="BW498" s="128">
        <f>IFERROR(AL498*$W498,)</f>
        <v/>
      </c>
      <c r="BX498" s="128">
        <f>IFERROR(AM498*$W498,)</f>
        <v/>
      </c>
      <c r="BY498" s="128">
        <f>IFERROR(AN498*$W498,)</f>
        <v/>
      </c>
      <c r="BZ498" s="128">
        <f>IFERROR(AO498*$W498,)</f>
        <v/>
      </c>
      <c r="CA498" s="128">
        <f>IFERROR(AP498*$W498,)</f>
        <v/>
      </c>
      <c r="CB498" s="128">
        <f>IFERROR(AQ498*$W498,)</f>
        <v/>
      </c>
      <c r="CC498" s="128">
        <f>IFERROR(AR498*$W498,)</f>
        <v/>
      </c>
      <c r="CD498" s="128">
        <f>IFERROR(AS498*$W498,)</f>
        <v/>
      </c>
      <c r="CE498" s="128">
        <f>IFERROR(AT498*$W498,)</f>
        <v/>
      </c>
      <c r="CF498" s="128">
        <f>IFERROR(AU498*$W498,)</f>
        <v/>
      </c>
      <c r="CG498" s="128">
        <f>IFERROR(AV498*$W498,)</f>
        <v/>
      </c>
      <c r="CH498" s="128">
        <f>IFERROR(AW498*$W498,)</f>
        <v/>
      </c>
      <c r="CI498" s="128">
        <f>IFERROR(AX498*$W498,)</f>
        <v/>
      </c>
      <c r="CJ498" s="128">
        <f>IFERROR(AY498*$W498,)</f>
        <v/>
      </c>
      <c r="CK498" s="128">
        <f>IFERROR(AZ498*$W498,)</f>
        <v/>
      </c>
      <c r="CL498" s="129">
        <f>IFERROR(if($Y498=0,BA498*($W498/1.2),BA498*$Y498),"")</f>
        <v/>
      </c>
      <c r="CM498" s="129">
        <f>IFERROR(if($Y498=0,BB498*($W498/1.2),BB498*$Y498),"")</f>
        <v/>
      </c>
      <c r="CN498" s="129">
        <f>IFERROR(if($Y498=0,BC498*($W498/1.2),BC498*$Y498),"")</f>
        <v/>
      </c>
      <c r="CO498" s="130">
        <f>IFERROR(if($AA498=0,($W498/1.35)*BD498,BD498*$AA498),)</f>
        <v/>
      </c>
      <c r="CP498" s="130">
        <f>IFERROR(if($AA498=0,($W498/1.35)*BE498,BE498*$AA498),)</f>
        <v/>
      </c>
      <c r="CQ498" s="130">
        <f>IFERROR(if($AA498=0,($W498/1.35)*BF498,BF498*$AA498),)</f>
        <v/>
      </c>
      <c r="CR498" s="128">
        <f>IFERROR(if($AC498=0,($W498/0.74)*BG498,
BG498*$AC498),)</f>
        <v/>
      </c>
      <c r="CS498" s="128">
        <f>IFERROR(if($AC498=0,($W498/0.74)*BH498,
BH498*$AC498),)</f>
        <v/>
      </c>
      <c r="CT498" s="128">
        <f>IFERROR(if($AC498=0,($W498/0.74)*BI498,
BI498*$AC498),)</f>
        <v/>
      </c>
      <c r="CU498" s="128">
        <f>IFERROR(AI498*$V498,)</f>
        <v/>
      </c>
      <c r="CV498" s="128">
        <f>IFERROR(AJ498*$V498,)</f>
        <v/>
      </c>
      <c r="CW498" s="128">
        <f>IFERROR(AK498*$V498,)</f>
        <v/>
      </c>
      <c r="CX498" s="128">
        <f>IFERROR(AL498*$V498,)</f>
        <v/>
      </c>
      <c r="CY498" s="128">
        <f>IFERROR(AM498*$V498,)</f>
        <v/>
      </c>
      <c r="CZ498" s="128">
        <f>IFERROR(AN498*$V498,)</f>
        <v/>
      </c>
      <c r="DA498" s="128">
        <f>IFERROR(AO498*$V498,)</f>
        <v/>
      </c>
      <c r="DB498" s="128">
        <f>IFERROR(AP498*$V498,)</f>
        <v/>
      </c>
      <c r="DC498" s="128">
        <f>IFERROR(AQ498*$V498,)</f>
        <v/>
      </c>
      <c r="DD498" s="128">
        <f>IFERROR(AR498*$V498,)</f>
        <v/>
      </c>
      <c r="DE498" s="128">
        <f>IFERROR(AS498*$V498,)</f>
        <v/>
      </c>
      <c r="DF498" s="128">
        <f>IFERROR(AT498*$V498,)</f>
        <v/>
      </c>
      <c r="DG498" s="128">
        <f>IFERROR(AU498*$V498,)</f>
        <v/>
      </c>
      <c r="DH498" s="128">
        <f>IFERROR(AV498*$V498,)</f>
        <v/>
      </c>
      <c r="DI498" s="128">
        <f>IFERROR(AW498*$V498,)</f>
        <v/>
      </c>
      <c r="DJ498" s="128">
        <f>IFERROR(AX498*$V498,)</f>
        <v/>
      </c>
      <c r="DK498" s="128">
        <f>IFERROR(AY498*$V498,)</f>
        <v/>
      </c>
      <c r="DL498" s="128">
        <f>IFERROR(AZ498*$V498,)</f>
        <v/>
      </c>
      <c r="DM498" s="129">
        <f>IFERROR(if($X498=0,($V498/1.2)*BA498,
BA498*$X498),)</f>
        <v/>
      </c>
      <c r="DN498" s="129">
        <f>IFERROR(if($X498=0,($V498/1.2)*BB498,
BB498*$X498),)</f>
        <v/>
      </c>
      <c r="DO498" s="129">
        <f>IFERROR(if($X498=0,($V498/1.2)*BC498,
BC498*$X498),)</f>
        <v/>
      </c>
      <c r="DP498" s="130">
        <f>IFERROR(if($Z498=0,($V498/1.35)*BD498,
BD498*$Z498),)</f>
        <v/>
      </c>
      <c r="DQ498" s="130">
        <f>IFERROR(if($Z498=0,($V498/1.35)*BE498,
BE498*$Z498),)</f>
        <v/>
      </c>
      <c r="DR498" s="130">
        <f>IFERROR(if($Z498=0,($V498/1.35)*BF498,
BF498*$Z498),)</f>
        <v/>
      </c>
      <c r="DS498" s="128">
        <f>IFERROR(IF($AB498=0,($V498/0.74)*BG498,
BG498*$AB498),)</f>
        <v/>
      </c>
      <c r="DT498" s="128">
        <f>IFERROR(IF($AB498=0,($V498/0.74)*BH498,
BH498*$AB498),)</f>
        <v/>
      </c>
      <c r="DU498" s="128">
        <f>IFERROR(IF($AB498=0,($V498/0.74)*BI498,
BI498*$AB498),)</f>
        <v/>
      </c>
    </row>
    <row r="499" ht="131.25" customHeight="1" s="162">
      <c r="A499" s="115" t="n"/>
      <c r="B499" s="115" t="n"/>
      <c r="C499" s="115" t="n"/>
      <c r="D499" s="115" t="n"/>
      <c r="E499" s="115" t="n"/>
      <c r="F499" s="115" t="n"/>
      <c r="G499" s="115" t="n"/>
      <c r="H499" s="115" t="n"/>
      <c r="I499" s="115" t="n"/>
      <c r="J499" s="115" t="n"/>
      <c r="K499" s="115" t="n"/>
      <c r="L499" s="115" t="n"/>
      <c r="M499" s="115" t="n"/>
      <c r="N499" s="115" t="n"/>
      <c r="O499" s="115" t="n"/>
      <c r="P499" s="115" t="n"/>
      <c r="Q499" s="115" t="n"/>
      <c r="R499" s="115" t="n"/>
      <c r="S499" s="115" t="n"/>
      <c r="T499" s="115" t="n"/>
      <c r="U499" s="116" t="n"/>
      <c r="V499" s="116" t="n"/>
      <c r="W499" s="117" t="n"/>
      <c r="X499" s="118" t="n"/>
      <c r="Y499" s="119" t="n"/>
      <c r="Z499" s="120" t="n"/>
      <c r="AA499" s="121" t="n"/>
      <c r="AB499" s="122" t="n"/>
      <c r="AC499" s="117" t="n"/>
      <c r="AD499" s="123">
        <f>IF(SUM($AE499:$AH499)=0,"",SUM($AE499:$AH499))</f>
        <v/>
      </c>
      <c r="AE499" s="123">
        <f>iferror(IF(SUM($AI499:$AZ499)=0,"",SUM($AI499:$AZ499)),"")</f>
        <v/>
      </c>
      <c r="AF499" s="123">
        <f>iferror(IF(SUM($BA499:$BC499)=0,"",SUM($BA499:$BC499)),"")</f>
        <v/>
      </c>
      <c r="AG499" s="123">
        <f>iferror(IF(SUM($BD499:$BF499)=0,"",SUM($BD499:$BF499)),"")</f>
        <v/>
      </c>
      <c r="AH499" s="124">
        <f>iferror(IF(SUM($BG499:$BI499)=0,"",SUM($BG499:$BI499)),"")</f>
        <v/>
      </c>
      <c r="AI499" s="131" t="n"/>
      <c r="AJ499" s="132" t="n"/>
      <c r="AK499" s="132" t="n"/>
      <c r="AL499" s="132" t="n"/>
      <c r="AM499" s="132" t="n"/>
      <c r="AN499" s="132" t="n"/>
      <c r="AO499" s="132" t="n"/>
      <c r="AP499" s="132" t="n"/>
      <c r="AQ499" s="132" t="n"/>
      <c r="AR499" s="132" t="n"/>
      <c r="AS499" s="132" t="n"/>
      <c r="AT499" s="132" t="n"/>
      <c r="AU499" s="132" t="n"/>
      <c r="AV499" s="132" t="n"/>
      <c r="AW499" s="132" t="n"/>
      <c r="AX499" s="132" t="n"/>
      <c r="AY499" s="132" t="n"/>
      <c r="AZ499" s="133" t="n"/>
      <c r="BA499" s="131" t="n"/>
      <c r="BB499" s="132" t="n"/>
      <c r="BC499" s="133" t="n"/>
      <c r="BD499" s="131" t="n"/>
      <c r="BE499" s="132" t="n"/>
      <c r="BF499" s="133" t="n"/>
      <c r="BG499" s="131" t="n"/>
      <c r="BH499" s="132" t="n"/>
      <c r="BI499" s="132" t="n"/>
      <c r="BJ499" s="128">
        <f>iferror(SUM($BK499,($BL499*1.2),($BM499*1.35),($BN499*0.74)),)</f>
        <v/>
      </c>
      <c r="BK499" s="128">
        <f>IFERROR(SUM($BT499:$CK499),)</f>
        <v/>
      </c>
      <c r="BL499" s="129">
        <f>IFERROR(SUM($CL499:$CN499),)</f>
        <v/>
      </c>
      <c r="BM499" s="130">
        <f>IFERROR(SUM($CO499:$CQ499),)</f>
        <v/>
      </c>
      <c r="BN499" s="128">
        <f>IFERROR(SUM($CR499:$CT499),)</f>
        <v/>
      </c>
      <c r="BO499" s="128">
        <f>iferror(SUM($BP499,($BQ499*1.2),($BR499*1.35),($BS499*0.74)),)</f>
        <v/>
      </c>
      <c r="BP499" s="128">
        <f>IFERROR(SUM($CU499:$DL499),)</f>
        <v/>
      </c>
      <c r="BQ499" s="128">
        <f>IFERROR(SUM($DM499:$DO499),)</f>
        <v/>
      </c>
      <c r="BR499" s="128">
        <f>IFERROR(SUM($DP499:$DR499),)</f>
        <v/>
      </c>
      <c r="BS499" s="128">
        <f>IFERROR(SUM($DS499:$DU499),)</f>
        <v/>
      </c>
      <c r="BT499" s="128">
        <f>IFERROR(AI499*$W499,)</f>
        <v/>
      </c>
      <c r="BU499" s="128">
        <f>IFERROR(AJ499*$W499,)</f>
        <v/>
      </c>
      <c r="BV499" s="128">
        <f>IFERROR(AK499*$W499,)</f>
        <v/>
      </c>
      <c r="BW499" s="128">
        <f>IFERROR(AL499*$W499,)</f>
        <v/>
      </c>
      <c r="BX499" s="128">
        <f>IFERROR(AM499*$W499,)</f>
        <v/>
      </c>
      <c r="BY499" s="128">
        <f>IFERROR(AN499*$W499,)</f>
        <v/>
      </c>
      <c r="BZ499" s="128">
        <f>IFERROR(AO499*$W499,)</f>
        <v/>
      </c>
      <c r="CA499" s="128">
        <f>IFERROR(AP499*$W499,)</f>
        <v/>
      </c>
      <c r="CB499" s="128">
        <f>IFERROR(AQ499*$W499,)</f>
        <v/>
      </c>
      <c r="CC499" s="128">
        <f>IFERROR(AR499*$W499,)</f>
        <v/>
      </c>
      <c r="CD499" s="128">
        <f>IFERROR(AS499*$W499,)</f>
        <v/>
      </c>
      <c r="CE499" s="128">
        <f>IFERROR(AT499*$W499,)</f>
        <v/>
      </c>
      <c r="CF499" s="128">
        <f>IFERROR(AU499*$W499,)</f>
        <v/>
      </c>
      <c r="CG499" s="128">
        <f>IFERROR(AV499*$W499,)</f>
        <v/>
      </c>
      <c r="CH499" s="128">
        <f>IFERROR(AW499*$W499,)</f>
        <v/>
      </c>
      <c r="CI499" s="128">
        <f>IFERROR(AX499*$W499,)</f>
        <v/>
      </c>
      <c r="CJ499" s="128">
        <f>IFERROR(AY499*$W499,)</f>
        <v/>
      </c>
      <c r="CK499" s="128">
        <f>IFERROR(AZ499*$W499,)</f>
        <v/>
      </c>
      <c r="CL499" s="129">
        <f>IFERROR(if($Y499=0,BA499*($W499/1.2),BA499*$Y499),"")</f>
        <v/>
      </c>
      <c r="CM499" s="129">
        <f>IFERROR(if($Y499=0,BB499*($W499/1.2),BB499*$Y499),"")</f>
        <v/>
      </c>
      <c r="CN499" s="129">
        <f>IFERROR(if($Y499=0,BC499*($W499/1.2),BC499*$Y499),"")</f>
        <v/>
      </c>
      <c r="CO499" s="130">
        <f>IFERROR(if($AA499=0,($W499/1.35)*BD499,BD499*$AA499),)</f>
        <v/>
      </c>
      <c r="CP499" s="130">
        <f>IFERROR(if($AA499=0,($W499/1.35)*BE499,BE499*$AA499),)</f>
        <v/>
      </c>
      <c r="CQ499" s="130">
        <f>IFERROR(if($AA499=0,($W499/1.35)*BF499,BF499*$AA499),)</f>
        <v/>
      </c>
      <c r="CR499" s="128">
        <f>IFERROR(if($AC499=0,($W499/0.74)*BG499,
BG499*$AC499),)</f>
        <v/>
      </c>
      <c r="CS499" s="128">
        <f>IFERROR(if($AC499=0,($W499/0.74)*BH499,
BH499*$AC499),)</f>
        <v/>
      </c>
      <c r="CT499" s="128">
        <f>IFERROR(if($AC499=0,($W499/0.74)*BI499,
BI499*$AC499),)</f>
        <v/>
      </c>
      <c r="CU499" s="128">
        <f>IFERROR(AI499*$V499,)</f>
        <v/>
      </c>
      <c r="CV499" s="128">
        <f>IFERROR(AJ499*$V499,)</f>
        <v/>
      </c>
      <c r="CW499" s="128">
        <f>IFERROR(AK499*$V499,)</f>
        <v/>
      </c>
      <c r="CX499" s="128">
        <f>IFERROR(AL499*$V499,)</f>
        <v/>
      </c>
      <c r="CY499" s="128">
        <f>IFERROR(AM499*$V499,)</f>
        <v/>
      </c>
      <c r="CZ499" s="128">
        <f>IFERROR(AN499*$V499,)</f>
        <v/>
      </c>
      <c r="DA499" s="128">
        <f>IFERROR(AO499*$V499,)</f>
        <v/>
      </c>
      <c r="DB499" s="128">
        <f>IFERROR(AP499*$V499,)</f>
        <v/>
      </c>
      <c r="DC499" s="128">
        <f>IFERROR(AQ499*$V499,)</f>
        <v/>
      </c>
      <c r="DD499" s="128">
        <f>IFERROR(AR499*$V499,)</f>
        <v/>
      </c>
      <c r="DE499" s="128">
        <f>IFERROR(AS499*$V499,)</f>
        <v/>
      </c>
      <c r="DF499" s="128">
        <f>IFERROR(AT499*$V499,)</f>
        <v/>
      </c>
      <c r="DG499" s="128">
        <f>IFERROR(AU499*$V499,)</f>
        <v/>
      </c>
      <c r="DH499" s="128">
        <f>IFERROR(AV499*$V499,)</f>
        <v/>
      </c>
      <c r="DI499" s="128">
        <f>IFERROR(AW499*$V499,)</f>
        <v/>
      </c>
      <c r="DJ499" s="128">
        <f>IFERROR(AX499*$V499,)</f>
        <v/>
      </c>
      <c r="DK499" s="128">
        <f>IFERROR(AY499*$V499,)</f>
        <v/>
      </c>
      <c r="DL499" s="128">
        <f>IFERROR(AZ499*$V499,)</f>
        <v/>
      </c>
      <c r="DM499" s="129">
        <f>IFERROR(if($X499=0,($V499/1.2)*BA499,
BA499*$X499),)</f>
        <v/>
      </c>
      <c r="DN499" s="129">
        <f>IFERROR(if($X499=0,($V499/1.2)*BB499,
BB499*$X499),)</f>
        <v/>
      </c>
      <c r="DO499" s="129">
        <f>IFERROR(if($X499=0,($V499/1.2)*BC499,
BC499*$X499),)</f>
        <v/>
      </c>
      <c r="DP499" s="130">
        <f>IFERROR(if($Z499=0,($V499/1.35)*BD499,
BD499*$Z499),)</f>
        <v/>
      </c>
      <c r="DQ499" s="130">
        <f>IFERROR(if($Z499=0,($V499/1.35)*BE499,
BE499*$Z499),)</f>
        <v/>
      </c>
      <c r="DR499" s="130">
        <f>IFERROR(if($Z499=0,($V499/1.35)*BF499,
BF499*$Z499),)</f>
        <v/>
      </c>
      <c r="DS499" s="128">
        <f>IFERROR(IF($AB499=0,($V499/0.74)*BG499,
BG499*$AB499),)</f>
        <v/>
      </c>
      <c r="DT499" s="128">
        <f>IFERROR(IF($AB499=0,($V499/0.74)*BH499,
BH499*$AB499),)</f>
        <v/>
      </c>
      <c r="DU499" s="128">
        <f>IFERROR(IF($AB499=0,($V499/0.74)*BI499,
BI499*$AB499),)</f>
        <v/>
      </c>
    </row>
    <row r="500" ht="131.25" customHeight="1" s="162">
      <c r="A500" s="115" t="n"/>
      <c r="B500" s="115" t="n"/>
      <c r="C500" s="115" t="n"/>
      <c r="D500" s="115" t="n"/>
      <c r="E500" s="115" t="n"/>
      <c r="F500" s="115" t="n"/>
      <c r="G500" s="115" t="n"/>
      <c r="H500" s="115" t="n"/>
      <c r="I500" s="115" t="n"/>
      <c r="J500" s="115" t="n"/>
      <c r="K500" s="115" t="n"/>
      <c r="L500" s="115" t="n"/>
      <c r="M500" s="115" t="n"/>
      <c r="N500" s="115" t="n"/>
      <c r="O500" s="115" t="n"/>
      <c r="P500" s="115" t="n"/>
      <c r="Q500" s="115" t="n"/>
      <c r="R500" s="115" t="n"/>
      <c r="S500" s="115" t="n"/>
      <c r="T500" s="115" t="n"/>
      <c r="U500" s="116" t="n"/>
      <c r="V500" s="116" t="n"/>
      <c r="W500" s="117" t="n"/>
      <c r="X500" s="118" t="n"/>
      <c r="Y500" s="119" t="n"/>
      <c r="Z500" s="120" t="n"/>
      <c r="AA500" s="121" t="n"/>
      <c r="AB500" s="122" t="n"/>
      <c r="AC500" s="117" t="n"/>
      <c r="AD500" s="123">
        <f>IF(SUM($AE500:$AH500)=0,"",SUM($AE500:$AH500))</f>
        <v/>
      </c>
      <c r="AE500" s="123">
        <f>iferror(IF(SUM($AI500:$AZ500)=0,"",SUM($AI500:$AZ500)),"")</f>
        <v/>
      </c>
      <c r="AF500" s="123">
        <f>iferror(IF(SUM($BA500:$BC500)=0,"",SUM($BA500:$BC500)),"")</f>
        <v/>
      </c>
      <c r="AG500" s="123">
        <f>iferror(IF(SUM($BD500:$BF500)=0,"",SUM($BD500:$BF500)),"")</f>
        <v/>
      </c>
      <c r="AH500" s="124">
        <f>iferror(IF(SUM($BG500:$BI500)=0,"",SUM($BG500:$BI500)),"")</f>
        <v/>
      </c>
      <c r="AI500" s="131" t="n"/>
      <c r="AJ500" s="132" t="n"/>
      <c r="AK500" s="132" t="n"/>
      <c r="AL500" s="132" t="n"/>
      <c r="AM500" s="132" t="n"/>
      <c r="AN500" s="132" t="n"/>
      <c r="AO500" s="132" t="n"/>
      <c r="AP500" s="132" t="n"/>
      <c r="AQ500" s="132" t="n"/>
      <c r="AR500" s="132" t="n"/>
      <c r="AS500" s="132" t="n"/>
      <c r="AT500" s="132" t="n"/>
      <c r="AU500" s="132" t="n"/>
      <c r="AV500" s="132" t="n"/>
      <c r="AW500" s="132" t="n"/>
      <c r="AX500" s="132" t="n"/>
      <c r="AY500" s="132" t="n"/>
      <c r="AZ500" s="133" t="n"/>
      <c r="BA500" s="131" t="n"/>
      <c r="BB500" s="132" t="n"/>
      <c r="BC500" s="133" t="n"/>
      <c r="BD500" s="131" t="n"/>
      <c r="BE500" s="132" t="n"/>
      <c r="BF500" s="133" t="n"/>
      <c r="BG500" s="131" t="n"/>
      <c r="BH500" s="132" t="n"/>
      <c r="BI500" s="132" t="n"/>
      <c r="BJ500" s="128">
        <f>iferror(SUM($BK500,($BL500*1.2),($BM500*1.35),($BN500*0.74)),)</f>
        <v/>
      </c>
      <c r="BK500" s="128">
        <f>IFERROR(SUM($BT500:$CK500),)</f>
        <v/>
      </c>
      <c r="BL500" s="129">
        <f>IFERROR(SUM($CL500:$CN500),)</f>
        <v/>
      </c>
      <c r="BM500" s="130">
        <f>IFERROR(SUM($CO500:$CQ500),)</f>
        <v/>
      </c>
      <c r="BN500" s="128">
        <f>IFERROR(SUM($CR500:$CT500),)</f>
        <v/>
      </c>
      <c r="BO500" s="128">
        <f>iferror(SUM($BP500,($BQ500*1.2),($BR500*1.35),($BS500*0.74)),)</f>
        <v/>
      </c>
      <c r="BP500" s="128">
        <f>IFERROR(SUM($CU500:$DL500),)</f>
        <v/>
      </c>
      <c r="BQ500" s="128">
        <f>IFERROR(SUM($DM500:$DO500),)</f>
        <v/>
      </c>
      <c r="BR500" s="128">
        <f>IFERROR(SUM($DP500:$DR500),)</f>
        <v/>
      </c>
      <c r="BS500" s="128">
        <f>IFERROR(SUM($DS500:$DU500),)</f>
        <v/>
      </c>
      <c r="BT500" s="128">
        <f>IFERROR(AI500*$W500,)</f>
        <v/>
      </c>
      <c r="BU500" s="128">
        <f>IFERROR(AJ500*$W500,)</f>
        <v/>
      </c>
      <c r="BV500" s="128">
        <f>IFERROR(AK500*$W500,)</f>
        <v/>
      </c>
      <c r="BW500" s="128">
        <f>IFERROR(AL500*$W500,)</f>
        <v/>
      </c>
      <c r="BX500" s="128">
        <f>IFERROR(AM500*$W500,)</f>
        <v/>
      </c>
      <c r="BY500" s="128">
        <f>IFERROR(AN500*$W500,)</f>
        <v/>
      </c>
      <c r="BZ500" s="128">
        <f>IFERROR(AO500*$W500,)</f>
        <v/>
      </c>
      <c r="CA500" s="128">
        <f>IFERROR(AP500*$W500,)</f>
        <v/>
      </c>
      <c r="CB500" s="128">
        <f>IFERROR(AQ500*$W500,)</f>
        <v/>
      </c>
      <c r="CC500" s="128">
        <f>IFERROR(AR500*$W500,)</f>
        <v/>
      </c>
      <c r="CD500" s="128">
        <f>IFERROR(AS500*$W500,)</f>
        <v/>
      </c>
      <c r="CE500" s="128">
        <f>IFERROR(AT500*$W500,)</f>
        <v/>
      </c>
      <c r="CF500" s="128">
        <f>IFERROR(AU500*$W500,)</f>
        <v/>
      </c>
      <c r="CG500" s="128">
        <f>IFERROR(AV500*$W500,)</f>
        <v/>
      </c>
      <c r="CH500" s="128">
        <f>IFERROR(AW500*$W500,)</f>
        <v/>
      </c>
      <c r="CI500" s="128">
        <f>IFERROR(AX500*$W500,)</f>
        <v/>
      </c>
      <c r="CJ500" s="128">
        <f>IFERROR(AY500*$W500,)</f>
        <v/>
      </c>
      <c r="CK500" s="128">
        <f>IFERROR(AZ500*$W500,)</f>
        <v/>
      </c>
      <c r="CL500" s="129">
        <f>IFERROR(if($Y500=0,BA500*($W500/1.2),BA500*$Y500),"")</f>
        <v/>
      </c>
      <c r="CM500" s="129">
        <f>IFERROR(if($Y500=0,BB500*($W500/1.2),BB500*$Y500),"")</f>
        <v/>
      </c>
      <c r="CN500" s="129">
        <f>IFERROR(if($Y500=0,BC500*($W500/1.2),BC500*$Y500),"")</f>
        <v/>
      </c>
      <c r="CO500" s="130">
        <f>IFERROR(if($AA500=0,($W500/1.35)*BD500,BD500*$AA500),)</f>
        <v/>
      </c>
      <c r="CP500" s="130">
        <f>IFERROR(if($AA500=0,($W500/1.35)*BE500,BE500*$AA500),)</f>
        <v/>
      </c>
      <c r="CQ500" s="130">
        <f>IFERROR(if($AA500=0,($W500/1.35)*BF500,BF500*$AA500),)</f>
        <v/>
      </c>
      <c r="CR500" s="128">
        <f>IFERROR(if($AC500=0,($W500/0.74)*BG500,
BG500*$AC500),)</f>
        <v/>
      </c>
      <c r="CS500" s="128">
        <f>IFERROR(if($AC500=0,($W500/0.74)*BH500,
BH500*$AC500),)</f>
        <v/>
      </c>
      <c r="CT500" s="128">
        <f>IFERROR(if($AC500=0,($W500/0.74)*BI500,
BI500*$AC500),)</f>
        <v/>
      </c>
      <c r="CU500" s="128">
        <f>IFERROR(AI500*$V500,)</f>
        <v/>
      </c>
      <c r="CV500" s="128">
        <f>IFERROR(AJ500*$V500,)</f>
        <v/>
      </c>
      <c r="CW500" s="128">
        <f>IFERROR(AK500*$V500,)</f>
        <v/>
      </c>
      <c r="CX500" s="128">
        <f>IFERROR(AL500*$V500,)</f>
        <v/>
      </c>
      <c r="CY500" s="128">
        <f>IFERROR(AM500*$V500,)</f>
        <v/>
      </c>
      <c r="CZ500" s="128">
        <f>IFERROR(AN500*$V500,)</f>
        <v/>
      </c>
      <c r="DA500" s="128">
        <f>IFERROR(AO500*$V500,)</f>
        <v/>
      </c>
      <c r="DB500" s="128">
        <f>IFERROR(AP500*$V500,)</f>
        <v/>
      </c>
      <c r="DC500" s="128">
        <f>IFERROR(AQ500*$V500,)</f>
        <v/>
      </c>
      <c r="DD500" s="128">
        <f>IFERROR(AR500*$V500,)</f>
        <v/>
      </c>
      <c r="DE500" s="128">
        <f>IFERROR(AS500*$V500,)</f>
        <v/>
      </c>
      <c r="DF500" s="128">
        <f>IFERROR(AT500*$V500,)</f>
        <v/>
      </c>
      <c r="DG500" s="128">
        <f>IFERROR(AU500*$V500,)</f>
        <v/>
      </c>
      <c r="DH500" s="128">
        <f>IFERROR(AV500*$V500,)</f>
        <v/>
      </c>
      <c r="DI500" s="128">
        <f>IFERROR(AW500*$V500,)</f>
        <v/>
      </c>
      <c r="DJ500" s="128">
        <f>IFERROR(AX500*$V500,)</f>
        <v/>
      </c>
      <c r="DK500" s="128">
        <f>IFERROR(AY500*$V500,)</f>
        <v/>
      </c>
      <c r="DL500" s="128">
        <f>IFERROR(AZ500*$V500,)</f>
        <v/>
      </c>
      <c r="DM500" s="129">
        <f>IFERROR(if($X500=0,($V500/1.2)*BA500,
BA500*$X500),)</f>
        <v/>
      </c>
      <c r="DN500" s="129">
        <f>IFERROR(if($X500=0,($V500/1.2)*BB500,
BB500*$X500),)</f>
        <v/>
      </c>
      <c r="DO500" s="129">
        <f>IFERROR(if($X500=0,($V500/1.2)*BC500,
BC500*$X500),)</f>
        <v/>
      </c>
      <c r="DP500" s="130">
        <f>IFERROR(if($Z500=0,($V500/1.35)*BD500,
BD500*$Z500),)</f>
        <v/>
      </c>
      <c r="DQ500" s="130">
        <f>IFERROR(if($Z500=0,($V500/1.35)*BE500,
BE500*$Z500),)</f>
        <v/>
      </c>
      <c r="DR500" s="130">
        <f>IFERROR(if($Z500=0,($V500/1.35)*BF500,
BF500*$Z500),)</f>
        <v/>
      </c>
      <c r="DS500" s="128">
        <f>IFERROR(IF($AB500=0,($V500/0.74)*BG500,
BG500*$AB500),)</f>
        <v/>
      </c>
      <c r="DT500" s="128">
        <f>IFERROR(IF($AB500=0,($V500/0.74)*BH500,
BH500*$AB500),)</f>
        <v/>
      </c>
      <c r="DU500" s="128">
        <f>IFERROR(IF($AB500=0,($V500/0.74)*BI500,
BI500*$AB500),)</f>
        <v/>
      </c>
    </row>
    <row r="501" ht="131.25" customHeight="1" s="162">
      <c r="A501" s="115" t="n"/>
      <c r="B501" s="115" t="n"/>
      <c r="C501" s="115" t="n"/>
      <c r="D501" s="115" t="n"/>
      <c r="E501" s="115" t="n"/>
      <c r="F501" s="115" t="n"/>
      <c r="G501" s="115" t="n"/>
      <c r="H501" s="115" t="n"/>
      <c r="I501" s="115" t="n"/>
      <c r="J501" s="115" t="n"/>
      <c r="K501" s="115" t="n"/>
      <c r="L501" s="115" t="n"/>
      <c r="M501" s="115" t="n"/>
      <c r="N501" s="115" t="n"/>
      <c r="O501" s="115" t="n"/>
      <c r="P501" s="115" t="n"/>
      <c r="Q501" s="115" t="n"/>
      <c r="R501" s="115" t="n"/>
      <c r="S501" s="115" t="n"/>
      <c r="T501" s="115" t="n"/>
      <c r="U501" s="116" t="n"/>
      <c r="V501" s="116" t="n"/>
      <c r="W501" s="117" t="n"/>
      <c r="X501" s="118" t="n"/>
      <c r="Y501" s="119" t="n"/>
      <c r="Z501" s="120" t="n"/>
      <c r="AA501" s="121" t="n"/>
      <c r="AB501" s="122" t="n"/>
      <c r="AC501" s="117" t="n"/>
      <c r="AD501" s="123">
        <f>IF(SUM($AE501:$AH501)=0,"",SUM($AE501:$AH501))</f>
        <v/>
      </c>
      <c r="AE501" s="123">
        <f>iferror(IF(SUM($AI501:$AZ501)=0,"",SUM($AI501:$AZ501)),"")</f>
        <v/>
      </c>
      <c r="AF501" s="123">
        <f>iferror(IF(SUM($BA501:$BC501)=0,"",SUM($BA501:$BC501)),"")</f>
        <v/>
      </c>
      <c r="AG501" s="123">
        <f>iferror(IF(SUM($BD501:$BF501)=0,"",SUM($BD501:$BF501)),"")</f>
        <v/>
      </c>
      <c r="AH501" s="124">
        <f>iferror(IF(SUM($BG501:$BI501)=0,"",SUM($BG501:$BI501)),"")</f>
        <v/>
      </c>
      <c r="AI501" s="131" t="n"/>
      <c r="AJ501" s="132" t="n"/>
      <c r="AK501" s="132" t="n"/>
      <c r="AL501" s="132" t="n"/>
      <c r="AM501" s="132" t="n"/>
      <c r="AN501" s="132" t="n"/>
      <c r="AO501" s="132" t="n"/>
      <c r="AP501" s="132" t="n"/>
      <c r="AQ501" s="132" t="n"/>
      <c r="AR501" s="132" t="n"/>
      <c r="AS501" s="132" t="n"/>
      <c r="AT501" s="132" t="n"/>
      <c r="AU501" s="132" t="n"/>
      <c r="AV501" s="132" t="n"/>
      <c r="AW501" s="132" t="n"/>
      <c r="AX501" s="132" t="n"/>
      <c r="AY501" s="132" t="n"/>
      <c r="AZ501" s="133" t="n"/>
      <c r="BA501" s="131" t="n"/>
      <c r="BB501" s="132" t="n"/>
      <c r="BC501" s="133" t="n"/>
      <c r="BD501" s="131" t="n"/>
      <c r="BE501" s="132" t="n"/>
      <c r="BF501" s="133" t="n"/>
      <c r="BG501" s="131" t="n"/>
      <c r="BH501" s="132" t="n"/>
      <c r="BI501" s="132" t="n"/>
      <c r="BJ501" s="128">
        <f>iferror(SUM($BK501,($BL501*1.2),($BM501*1.35),($BN501*0.74)),)</f>
        <v/>
      </c>
      <c r="BK501" s="128">
        <f>IFERROR(SUM($BT501:$CK501),)</f>
        <v/>
      </c>
      <c r="BL501" s="129">
        <f>IFERROR(SUM($CL501:$CN501),)</f>
        <v/>
      </c>
      <c r="BM501" s="130">
        <f>IFERROR(SUM($CO501:$CQ501),)</f>
        <v/>
      </c>
      <c r="BN501" s="128">
        <f>IFERROR(SUM($CR501:$CT501),)</f>
        <v/>
      </c>
      <c r="BO501" s="128">
        <f>iferror(SUM($BP501,($BQ501*1.2),($BR501*1.35),($BS501*0.74)),)</f>
        <v/>
      </c>
      <c r="BP501" s="128">
        <f>IFERROR(SUM($CU501:$DL501),)</f>
        <v/>
      </c>
      <c r="BQ501" s="128">
        <f>IFERROR(SUM($DM501:$DO501),)</f>
        <v/>
      </c>
      <c r="BR501" s="128">
        <f>IFERROR(SUM($DP501:$DR501),)</f>
        <v/>
      </c>
      <c r="BS501" s="128">
        <f>IFERROR(SUM($DS501:$DU501),)</f>
        <v/>
      </c>
      <c r="BT501" s="128">
        <f>IFERROR(AI501*$W501,)</f>
        <v/>
      </c>
      <c r="BU501" s="128">
        <f>IFERROR(AJ501*$W501,)</f>
        <v/>
      </c>
      <c r="BV501" s="128">
        <f>IFERROR(AK501*$W501,)</f>
        <v/>
      </c>
      <c r="BW501" s="128">
        <f>IFERROR(AL501*$W501,)</f>
        <v/>
      </c>
      <c r="BX501" s="128">
        <f>IFERROR(AM501*$W501,)</f>
        <v/>
      </c>
      <c r="BY501" s="128">
        <f>IFERROR(AN501*$W501,)</f>
        <v/>
      </c>
      <c r="BZ501" s="128">
        <f>IFERROR(AO501*$W501,)</f>
        <v/>
      </c>
      <c r="CA501" s="128">
        <f>IFERROR(AP501*$W501,)</f>
        <v/>
      </c>
      <c r="CB501" s="128">
        <f>IFERROR(AQ501*$W501,)</f>
        <v/>
      </c>
      <c r="CC501" s="128">
        <f>IFERROR(AR501*$W501,)</f>
        <v/>
      </c>
      <c r="CD501" s="128">
        <f>IFERROR(AS501*$W501,)</f>
        <v/>
      </c>
      <c r="CE501" s="128">
        <f>IFERROR(AT501*$W501,)</f>
        <v/>
      </c>
      <c r="CF501" s="128">
        <f>IFERROR(AU501*$W501,)</f>
        <v/>
      </c>
      <c r="CG501" s="128">
        <f>IFERROR(AV501*$W501,)</f>
        <v/>
      </c>
      <c r="CH501" s="128">
        <f>IFERROR(AW501*$W501,)</f>
        <v/>
      </c>
      <c r="CI501" s="128">
        <f>IFERROR(AX501*$W501,)</f>
        <v/>
      </c>
      <c r="CJ501" s="128">
        <f>IFERROR(AY501*$W501,)</f>
        <v/>
      </c>
      <c r="CK501" s="128">
        <f>IFERROR(AZ501*$W501,)</f>
        <v/>
      </c>
      <c r="CL501" s="129">
        <f>IFERROR(if($Y501=0,BA501*($W501/1.2),BA501*$Y501),"")</f>
        <v/>
      </c>
      <c r="CM501" s="129">
        <f>IFERROR(if($Y501=0,BB501*($W501/1.2),BB501*$Y501),"")</f>
        <v/>
      </c>
      <c r="CN501" s="129">
        <f>IFERROR(if($Y501=0,BC501*($W501/1.2),BC501*$Y501),"")</f>
        <v/>
      </c>
      <c r="CO501" s="130">
        <f>IFERROR(if($AA501=0,($W501/1.35)*BD501,BD501*$AA501),)</f>
        <v/>
      </c>
      <c r="CP501" s="130">
        <f>IFERROR(if($AA501=0,($W501/1.35)*BE501,BE501*$AA501),)</f>
        <v/>
      </c>
      <c r="CQ501" s="130">
        <f>IFERROR(if($AA501=0,($W501/1.35)*BF501,BF501*$AA501),)</f>
        <v/>
      </c>
      <c r="CR501" s="128">
        <f>IFERROR(if($AC501=0,($W501/0.74)*BG501,
BG501*$AC501),)</f>
        <v/>
      </c>
      <c r="CS501" s="128">
        <f>IFERROR(if($AC501=0,($W501/0.74)*BH501,
BH501*$AC501),)</f>
        <v/>
      </c>
      <c r="CT501" s="128">
        <f>IFERROR(if($AC501=0,($W501/0.74)*BI501,
BI501*$AC501),)</f>
        <v/>
      </c>
      <c r="CU501" s="128">
        <f>IFERROR(AI501*$V501,)</f>
        <v/>
      </c>
      <c r="CV501" s="128">
        <f>IFERROR(AJ501*$V501,)</f>
        <v/>
      </c>
      <c r="CW501" s="128">
        <f>IFERROR(AK501*$V501,)</f>
        <v/>
      </c>
      <c r="CX501" s="128">
        <f>IFERROR(AL501*$V501,)</f>
        <v/>
      </c>
      <c r="CY501" s="128">
        <f>IFERROR(AM501*$V501,)</f>
        <v/>
      </c>
      <c r="CZ501" s="128">
        <f>IFERROR(AN501*$V501,)</f>
        <v/>
      </c>
      <c r="DA501" s="128">
        <f>IFERROR(AO501*$V501,)</f>
        <v/>
      </c>
      <c r="DB501" s="128">
        <f>IFERROR(AP501*$V501,)</f>
        <v/>
      </c>
      <c r="DC501" s="128">
        <f>IFERROR(AQ501*$V501,)</f>
        <v/>
      </c>
      <c r="DD501" s="128">
        <f>IFERROR(AR501*$V501,)</f>
        <v/>
      </c>
      <c r="DE501" s="128">
        <f>IFERROR(AS501*$V501,)</f>
        <v/>
      </c>
      <c r="DF501" s="128">
        <f>IFERROR(AT501*$V501,)</f>
        <v/>
      </c>
      <c r="DG501" s="128">
        <f>IFERROR(AU501*$V501,)</f>
        <v/>
      </c>
      <c r="DH501" s="128">
        <f>IFERROR(AV501*$V501,)</f>
        <v/>
      </c>
      <c r="DI501" s="128">
        <f>IFERROR(AW501*$V501,)</f>
        <v/>
      </c>
      <c r="DJ501" s="128">
        <f>IFERROR(AX501*$V501,)</f>
        <v/>
      </c>
      <c r="DK501" s="128">
        <f>IFERROR(AY501*$V501,)</f>
        <v/>
      </c>
      <c r="DL501" s="128">
        <f>IFERROR(AZ501*$V501,)</f>
        <v/>
      </c>
      <c r="DM501" s="129">
        <f>IFERROR(if($X501=0,($V501/1.2)*BA501,
BA501*$X501),)</f>
        <v/>
      </c>
      <c r="DN501" s="129">
        <f>IFERROR(if($X501=0,($V501/1.2)*BB501,
BB501*$X501),)</f>
        <v/>
      </c>
      <c r="DO501" s="129">
        <f>IFERROR(if($X501=0,($V501/1.2)*BC501,
BC501*$X501),)</f>
        <v/>
      </c>
      <c r="DP501" s="130">
        <f>IFERROR(if($Z501=0,($V501/1.35)*BD501,
BD501*$Z501),)</f>
        <v/>
      </c>
      <c r="DQ501" s="130">
        <f>IFERROR(if($Z501=0,($V501/1.35)*BE501,
BE501*$Z501),)</f>
        <v/>
      </c>
      <c r="DR501" s="130">
        <f>IFERROR(if($Z501=0,($V501/1.35)*BF501,
BF501*$Z501),)</f>
        <v/>
      </c>
      <c r="DS501" s="128">
        <f>IFERROR(IF($AB501=0,($V501/0.74)*BG501,
BG501*$AB501),)</f>
        <v/>
      </c>
      <c r="DT501" s="128">
        <f>IFERROR(IF($AB501=0,($V501/0.74)*BH501,
BH501*$AB501),)</f>
        <v/>
      </c>
      <c r="DU501" s="128">
        <f>IFERROR(IF($AB501=0,($V501/0.74)*BI501,
BI501*$AB501),)</f>
        <v/>
      </c>
    </row>
    <row r="502" ht="131.25" customHeight="1" s="162">
      <c r="A502" s="115" t="n"/>
      <c r="B502" s="115" t="n"/>
      <c r="C502" s="115" t="n"/>
      <c r="D502" s="115" t="n"/>
      <c r="E502" s="115" t="n"/>
      <c r="F502" s="115" t="n"/>
      <c r="G502" s="115" t="n"/>
      <c r="H502" s="115" t="n"/>
      <c r="I502" s="115" t="n"/>
      <c r="J502" s="115" t="n"/>
      <c r="K502" s="115" t="n"/>
      <c r="L502" s="115" t="n"/>
      <c r="M502" s="115" t="n"/>
      <c r="N502" s="115" t="n"/>
      <c r="O502" s="115" t="n"/>
      <c r="P502" s="115" t="n"/>
      <c r="Q502" s="115" t="n"/>
      <c r="R502" s="115" t="n"/>
      <c r="S502" s="115" t="n"/>
      <c r="T502" s="115" t="n"/>
      <c r="U502" s="116" t="n"/>
      <c r="V502" s="116" t="n"/>
      <c r="W502" s="117" t="n"/>
      <c r="X502" s="118" t="n"/>
      <c r="Y502" s="119" t="n"/>
      <c r="Z502" s="120" t="n"/>
      <c r="AA502" s="121" t="n"/>
      <c r="AB502" s="122" t="n"/>
      <c r="AC502" s="117" t="n"/>
      <c r="AD502" s="123">
        <f>IF(SUM($AE502:$AH502)=0,"",SUM($AE502:$AH502))</f>
        <v/>
      </c>
      <c r="AE502" s="123">
        <f>iferror(IF(SUM($AI502:$AZ502)=0,"",SUM($AI502:$AZ502)),"")</f>
        <v/>
      </c>
      <c r="AF502" s="123">
        <f>iferror(IF(SUM($BA502:$BC502)=0,"",SUM($BA502:$BC502)),"")</f>
        <v/>
      </c>
      <c r="AG502" s="123">
        <f>iferror(IF(SUM($BD502:$BF502)=0,"",SUM($BD502:$BF502)),"")</f>
        <v/>
      </c>
      <c r="AH502" s="124">
        <f>iferror(IF(SUM($BG502:$BI502)=0,"",SUM($BG502:$BI502)),"")</f>
        <v/>
      </c>
      <c r="AI502" s="131" t="n"/>
      <c r="AJ502" s="132" t="n"/>
      <c r="AK502" s="132" t="n"/>
      <c r="AL502" s="132" t="n"/>
      <c r="AM502" s="132" t="n"/>
      <c r="AN502" s="132" t="n"/>
      <c r="AO502" s="132" t="n"/>
      <c r="AP502" s="132" t="n"/>
      <c r="AQ502" s="132" t="n"/>
      <c r="AR502" s="132" t="n"/>
      <c r="AS502" s="132" t="n"/>
      <c r="AT502" s="132" t="n"/>
      <c r="AU502" s="132" t="n"/>
      <c r="AV502" s="132" t="n"/>
      <c r="AW502" s="132" t="n"/>
      <c r="AX502" s="132" t="n"/>
      <c r="AY502" s="132" t="n"/>
      <c r="AZ502" s="133" t="n"/>
      <c r="BA502" s="131" t="n"/>
      <c r="BB502" s="132" t="n"/>
      <c r="BC502" s="133" t="n"/>
      <c r="BD502" s="131" t="n"/>
      <c r="BE502" s="132" t="n"/>
      <c r="BF502" s="133" t="n"/>
      <c r="BG502" s="131" t="n"/>
      <c r="BH502" s="132" t="n"/>
      <c r="BI502" s="132" t="n"/>
      <c r="BJ502" s="128">
        <f>iferror(SUM($BK502,($BL502*1.2),($BM502*1.35),($BN502*0.74)),)</f>
        <v/>
      </c>
      <c r="BK502" s="128">
        <f>IFERROR(SUM($BT502:$CK502),)</f>
        <v/>
      </c>
      <c r="BL502" s="129">
        <f>IFERROR(SUM($CL502:$CN502),)</f>
        <v/>
      </c>
      <c r="BM502" s="130">
        <f>IFERROR(SUM($CO502:$CQ502),)</f>
        <v/>
      </c>
      <c r="BN502" s="128">
        <f>IFERROR(SUM($CR502:$CT502),)</f>
        <v/>
      </c>
      <c r="BO502" s="128">
        <f>iferror(SUM($BP502,($BQ502*1.2),($BR502*1.35),($BS502*0.74)),)</f>
        <v/>
      </c>
      <c r="BP502" s="128">
        <f>IFERROR(SUM($CU502:$DL502),)</f>
        <v/>
      </c>
      <c r="BQ502" s="128">
        <f>IFERROR(SUM($DM502:$DO502),)</f>
        <v/>
      </c>
      <c r="BR502" s="128">
        <f>IFERROR(SUM($DP502:$DR502),)</f>
        <v/>
      </c>
      <c r="BS502" s="128">
        <f>IFERROR(SUM($DS502:$DU502),)</f>
        <v/>
      </c>
      <c r="BT502" s="128">
        <f>IFERROR(AI502*$W502,)</f>
        <v/>
      </c>
      <c r="BU502" s="128">
        <f>IFERROR(AJ502*$W502,)</f>
        <v/>
      </c>
      <c r="BV502" s="128">
        <f>IFERROR(AK502*$W502,)</f>
        <v/>
      </c>
      <c r="BW502" s="128">
        <f>IFERROR(AL502*$W502,)</f>
        <v/>
      </c>
      <c r="BX502" s="128">
        <f>IFERROR(AM502*$W502,)</f>
        <v/>
      </c>
      <c r="BY502" s="128">
        <f>IFERROR(AN502*$W502,)</f>
        <v/>
      </c>
      <c r="BZ502" s="128">
        <f>IFERROR(AO502*$W502,)</f>
        <v/>
      </c>
      <c r="CA502" s="128">
        <f>IFERROR(AP502*$W502,)</f>
        <v/>
      </c>
      <c r="CB502" s="128">
        <f>IFERROR(AQ502*$W502,)</f>
        <v/>
      </c>
      <c r="CC502" s="128">
        <f>IFERROR(AR502*$W502,)</f>
        <v/>
      </c>
      <c r="CD502" s="128">
        <f>IFERROR(AS502*$W502,)</f>
        <v/>
      </c>
      <c r="CE502" s="128">
        <f>IFERROR(AT502*$W502,)</f>
        <v/>
      </c>
      <c r="CF502" s="128">
        <f>IFERROR(AU502*$W502,)</f>
        <v/>
      </c>
      <c r="CG502" s="128">
        <f>IFERROR(AV502*$W502,)</f>
        <v/>
      </c>
      <c r="CH502" s="128">
        <f>IFERROR(AW502*$W502,)</f>
        <v/>
      </c>
      <c r="CI502" s="128">
        <f>IFERROR(AX502*$W502,)</f>
        <v/>
      </c>
      <c r="CJ502" s="128">
        <f>IFERROR(AY502*$W502,)</f>
        <v/>
      </c>
      <c r="CK502" s="128">
        <f>IFERROR(AZ502*$W502,)</f>
        <v/>
      </c>
      <c r="CL502" s="129">
        <f>IFERROR(if($Y502=0,BA502*($W502/1.2),BA502*$Y502),"")</f>
        <v/>
      </c>
      <c r="CM502" s="129">
        <f>IFERROR(if($Y502=0,BB502*($W502/1.2),BB502*$Y502),"")</f>
        <v/>
      </c>
      <c r="CN502" s="129">
        <f>IFERROR(if($Y502=0,BC502*($W502/1.2),BC502*$Y502),"")</f>
        <v/>
      </c>
      <c r="CO502" s="130">
        <f>IFERROR(if($AA502=0,($W502/1.35)*BD502,BD502*$AA502),)</f>
        <v/>
      </c>
      <c r="CP502" s="130">
        <f>IFERROR(if($AA502=0,($W502/1.35)*BE502,BE502*$AA502),)</f>
        <v/>
      </c>
      <c r="CQ502" s="130">
        <f>IFERROR(if($AA502=0,($W502/1.35)*BF502,BF502*$AA502),)</f>
        <v/>
      </c>
      <c r="CR502" s="128">
        <f>IFERROR(if($AC502=0,($W502/0.74)*BG502,
BG502*$AC502),)</f>
        <v/>
      </c>
      <c r="CS502" s="128">
        <f>IFERROR(if($AC502=0,($W502/0.74)*BH502,
BH502*$AC502),)</f>
        <v/>
      </c>
      <c r="CT502" s="128">
        <f>IFERROR(if($AC502=0,($W502/0.74)*BI502,
BI502*$AC502),)</f>
        <v/>
      </c>
      <c r="CU502" s="128">
        <f>IFERROR(AI502*$V502,)</f>
        <v/>
      </c>
      <c r="CV502" s="128">
        <f>IFERROR(AJ502*$V502,)</f>
        <v/>
      </c>
      <c r="CW502" s="128">
        <f>IFERROR(AK502*$V502,)</f>
        <v/>
      </c>
      <c r="CX502" s="128">
        <f>IFERROR(AL502*$V502,)</f>
        <v/>
      </c>
      <c r="CY502" s="128">
        <f>IFERROR(AM502*$V502,)</f>
        <v/>
      </c>
      <c r="CZ502" s="128">
        <f>IFERROR(AN502*$V502,)</f>
        <v/>
      </c>
      <c r="DA502" s="128">
        <f>IFERROR(AO502*$V502,)</f>
        <v/>
      </c>
      <c r="DB502" s="128">
        <f>IFERROR(AP502*$V502,)</f>
        <v/>
      </c>
      <c r="DC502" s="128">
        <f>IFERROR(AQ502*$V502,)</f>
        <v/>
      </c>
      <c r="DD502" s="128">
        <f>IFERROR(AR502*$V502,)</f>
        <v/>
      </c>
      <c r="DE502" s="128">
        <f>IFERROR(AS502*$V502,)</f>
        <v/>
      </c>
      <c r="DF502" s="128">
        <f>IFERROR(AT502*$V502,)</f>
        <v/>
      </c>
      <c r="DG502" s="128">
        <f>IFERROR(AU502*$V502,)</f>
        <v/>
      </c>
      <c r="DH502" s="128">
        <f>IFERROR(AV502*$V502,)</f>
        <v/>
      </c>
      <c r="DI502" s="128">
        <f>IFERROR(AW502*$V502,)</f>
        <v/>
      </c>
      <c r="DJ502" s="128">
        <f>IFERROR(AX502*$V502,)</f>
        <v/>
      </c>
      <c r="DK502" s="128">
        <f>IFERROR(AY502*$V502,)</f>
        <v/>
      </c>
      <c r="DL502" s="128">
        <f>IFERROR(AZ502*$V502,)</f>
        <v/>
      </c>
      <c r="DM502" s="129">
        <f>IFERROR(if($X502=0,($V502/1.2)*BA502,
BA502*$X502),)</f>
        <v/>
      </c>
      <c r="DN502" s="129">
        <f>IFERROR(if($X502=0,($V502/1.2)*BB502,
BB502*$X502),)</f>
        <v/>
      </c>
      <c r="DO502" s="129">
        <f>IFERROR(if($X502=0,($V502/1.2)*BC502,
BC502*$X502),)</f>
        <v/>
      </c>
      <c r="DP502" s="130">
        <f>IFERROR(if($Z502=0,($V502/1.35)*BD502,
BD502*$Z502),)</f>
        <v/>
      </c>
      <c r="DQ502" s="130">
        <f>IFERROR(if($Z502=0,($V502/1.35)*BE502,
BE502*$Z502),)</f>
        <v/>
      </c>
      <c r="DR502" s="130">
        <f>IFERROR(if($Z502=0,($V502/1.35)*BF502,
BF502*$Z502),)</f>
        <v/>
      </c>
      <c r="DS502" s="128">
        <f>IFERROR(IF($AB502=0,($V502/0.74)*BG502,
BG502*$AB502),)</f>
        <v/>
      </c>
      <c r="DT502" s="128">
        <f>IFERROR(IF($AB502=0,($V502/0.74)*BH502,
BH502*$AB502),)</f>
        <v/>
      </c>
      <c r="DU502" s="128">
        <f>IFERROR(IF($AB502=0,($V502/0.74)*BI502,
BI502*$AB502),)</f>
        <v/>
      </c>
    </row>
    <row r="503" ht="131.25" customHeight="1" s="162">
      <c r="A503" s="115" t="n"/>
      <c r="B503" s="115" t="n"/>
      <c r="C503" s="115" t="n"/>
      <c r="D503" s="115" t="n"/>
      <c r="E503" s="115" t="n"/>
      <c r="F503" s="115" t="n"/>
      <c r="G503" s="115" t="n"/>
      <c r="H503" s="115" t="n"/>
      <c r="I503" s="115" t="n"/>
      <c r="J503" s="115" t="n"/>
      <c r="K503" s="115" t="n"/>
      <c r="L503" s="115" t="n"/>
      <c r="M503" s="115" t="n"/>
      <c r="N503" s="115" t="n"/>
      <c r="O503" s="115" t="n"/>
      <c r="P503" s="115" t="n"/>
      <c r="Q503" s="115" t="n"/>
      <c r="R503" s="115" t="n"/>
      <c r="S503" s="115" t="n"/>
      <c r="T503" s="115" t="n"/>
      <c r="U503" s="116" t="n"/>
      <c r="V503" s="116" t="n"/>
      <c r="W503" s="117" t="n"/>
      <c r="X503" s="118" t="n"/>
      <c r="Y503" s="119" t="n"/>
      <c r="Z503" s="120" t="n"/>
      <c r="AA503" s="121" t="n"/>
      <c r="AB503" s="122" t="n"/>
      <c r="AC503" s="117" t="n"/>
      <c r="AD503" s="123">
        <f>IF(SUM($AE503:$AH503)=0,"",SUM($AE503:$AH503))</f>
        <v/>
      </c>
      <c r="AE503" s="123">
        <f>iferror(IF(SUM($AI503:$AZ503)=0,"",SUM($AI503:$AZ503)),"")</f>
        <v/>
      </c>
      <c r="AF503" s="123">
        <f>iferror(IF(SUM($BA503:$BC503)=0,"",SUM($BA503:$BC503)),"")</f>
        <v/>
      </c>
      <c r="AG503" s="123">
        <f>iferror(IF(SUM($BD503:$BF503)=0,"",SUM($BD503:$BF503)),"")</f>
        <v/>
      </c>
      <c r="AH503" s="124">
        <f>iferror(IF(SUM($BG503:$BI503)=0,"",SUM($BG503:$BI503)),"")</f>
        <v/>
      </c>
      <c r="AI503" s="131" t="n"/>
      <c r="AJ503" s="132" t="n"/>
      <c r="AK503" s="132" t="n"/>
      <c r="AL503" s="132" t="n"/>
      <c r="AM503" s="132" t="n"/>
      <c r="AN503" s="132" t="n"/>
      <c r="AO503" s="132" t="n"/>
      <c r="AP503" s="132" t="n"/>
      <c r="AQ503" s="132" t="n"/>
      <c r="AR503" s="132" t="n"/>
      <c r="AS503" s="132" t="n"/>
      <c r="AT503" s="132" t="n"/>
      <c r="AU503" s="132" t="n"/>
      <c r="AV503" s="132" t="n"/>
      <c r="AW503" s="132" t="n"/>
      <c r="AX503" s="132" t="n"/>
      <c r="AY503" s="132" t="n"/>
      <c r="AZ503" s="133" t="n"/>
      <c r="BA503" s="131" t="n"/>
      <c r="BB503" s="132" t="n"/>
      <c r="BC503" s="133" t="n"/>
      <c r="BD503" s="131" t="n"/>
      <c r="BE503" s="132" t="n"/>
      <c r="BF503" s="133" t="n"/>
      <c r="BG503" s="131" t="n"/>
      <c r="BH503" s="132" t="n"/>
      <c r="BI503" s="132" t="n"/>
      <c r="BJ503" s="128">
        <f>iferror(SUM($BK503,($BL503*1.2),($BM503*1.35),($BN503*0.74)),)</f>
        <v/>
      </c>
      <c r="BK503" s="128">
        <f>IFERROR(SUM($BT503:$CK503),)</f>
        <v/>
      </c>
      <c r="BL503" s="129">
        <f>IFERROR(SUM($CL503:$CN503),)</f>
        <v/>
      </c>
      <c r="BM503" s="130">
        <f>IFERROR(SUM($CO503:$CQ503),)</f>
        <v/>
      </c>
      <c r="BN503" s="128">
        <f>IFERROR(SUM($CR503:$CT503),)</f>
        <v/>
      </c>
      <c r="BO503" s="128">
        <f>iferror(SUM($BP503,($BQ503*1.2),($BR503*1.35),($BS503*0.74)),)</f>
        <v/>
      </c>
      <c r="BP503" s="128">
        <f>IFERROR(SUM($CU503:$DL503),)</f>
        <v/>
      </c>
      <c r="BQ503" s="128">
        <f>IFERROR(SUM($DM503:$DO503),)</f>
        <v/>
      </c>
      <c r="BR503" s="128">
        <f>IFERROR(SUM($DP503:$DR503),)</f>
        <v/>
      </c>
      <c r="BS503" s="128">
        <f>IFERROR(SUM($DS503:$DU503),)</f>
        <v/>
      </c>
      <c r="BT503" s="128">
        <f>IFERROR(AI503*$W503,)</f>
        <v/>
      </c>
      <c r="BU503" s="128">
        <f>IFERROR(AJ503*$W503,)</f>
        <v/>
      </c>
      <c r="BV503" s="128">
        <f>IFERROR(AK503*$W503,)</f>
        <v/>
      </c>
      <c r="BW503" s="128">
        <f>IFERROR(AL503*$W503,)</f>
        <v/>
      </c>
      <c r="BX503" s="128">
        <f>IFERROR(AM503*$W503,)</f>
        <v/>
      </c>
      <c r="BY503" s="128">
        <f>IFERROR(AN503*$W503,)</f>
        <v/>
      </c>
      <c r="BZ503" s="128">
        <f>IFERROR(AO503*$W503,)</f>
        <v/>
      </c>
      <c r="CA503" s="128">
        <f>IFERROR(AP503*$W503,)</f>
        <v/>
      </c>
      <c r="CB503" s="128">
        <f>IFERROR(AQ503*$W503,)</f>
        <v/>
      </c>
      <c r="CC503" s="128">
        <f>IFERROR(AR503*$W503,)</f>
        <v/>
      </c>
      <c r="CD503" s="128">
        <f>IFERROR(AS503*$W503,)</f>
        <v/>
      </c>
      <c r="CE503" s="128">
        <f>IFERROR(AT503*$W503,)</f>
        <v/>
      </c>
      <c r="CF503" s="128">
        <f>IFERROR(AU503*$W503,)</f>
        <v/>
      </c>
      <c r="CG503" s="128">
        <f>IFERROR(AV503*$W503,)</f>
        <v/>
      </c>
      <c r="CH503" s="128">
        <f>IFERROR(AW503*$W503,)</f>
        <v/>
      </c>
      <c r="CI503" s="128">
        <f>IFERROR(AX503*$W503,)</f>
        <v/>
      </c>
      <c r="CJ503" s="128">
        <f>IFERROR(AY503*$W503,)</f>
        <v/>
      </c>
      <c r="CK503" s="128">
        <f>IFERROR(AZ503*$W503,)</f>
        <v/>
      </c>
      <c r="CL503" s="129">
        <f>IFERROR(if($Y503=0,BA503*($W503/1.2),BA503*$Y503),"")</f>
        <v/>
      </c>
      <c r="CM503" s="129">
        <f>IFERROR(if($Y503=0,BB503*($W503/1.2),BB503*$Y503),"")</f>
        <v/>
      </c>
      <c r="CN503" s="129">
        <f>IFERROR(if($Y503=0,BC503*($W503/1.2),BC503*$Y503),"")</f>
        <v/>
      </c>
      <c r="CO503" s="130">
        <f>IFERROR(if($AA503=0,($W503/1.35)*BD503,BD503*$AA503),)</f>
        <v/>
      </c>
      <c r="CP503" s="130">
        <f>IFERROR(if($AA503=0,($W503/1.35)*BE503,BE503*$AA503),)</f>
        <v/>
      </c>
      <c r="CQ503" s="130">
        <f>IFERROR(if($AA503=0,($W503/1.35)*BF503,BF503*$AA503),)</f>
        <v/>
      </c>
      <c r="CR503" s="128">
        <f>IFERROR(if($AC503=0,($W503/0.74)*BG503,
BG503*$AC503),)</f>
        <v/>
      </c>
      <c r="CS503" s="128">
        <f>IFERROR(if($AC503=0,($W503/0.74)*BH503,
BH503*$AC503),)</f>
        <v/>
      </c>
      <c r="CT503" s="128">
        <f>IFERROR(if($AC503=0,($W503/0.74)*BI503,
BI503*$AC503),)</f>
        <v/>
      </c>
      <c r="CU503" s="128">
        <f>IFERROR(AI503*$V503,)</f>
        <v/>
      </c>
      <c r="CV503" s="128">
        <f>IFERROR(AJ503*$V503,)</f>
        <v/>
      </c>
      <c r="CW503" s="128">
        <f>IFERROR(AK503*$V503,)</f>
        <v/>
      </c>
      <c r="CX503" s="128">
        <f>IFERROR(AL503*$V503,)</f>
        <v/>
      </c>
      <c r="CY503" s="128">
        <f>IFERROR(AM503*$V503,)</f>
        <v/>
      </c>
      <c r="CZ503" s="128">
        <f>IFERROR(AN503*$V503,)</f>
        <v/>
      </c>
      <c r="DA503" s="128">
        <f>IFERROR(AO503*$V503,)</f>
        <v/>
      </c>
      <c r="DB503" s="128">
        <f>IFERROR(AP503*$V503,)</f>
        <v/>
      </c>
      <c r="DC503" s="128">
        <f>IFERROR(AQ503*$V503,)</f>
        <v/>
      </c>
      <c r="DD503" s="128">
        <f>IFERROR(AR503*$V503,)</f>
        <v/>
      </c>
      <c r="DE503" s="128">
        <f>IFERROR(AS503*$V503,)</f>
        <v/>
      </c>
      <c r="DF503" s="128">
        <f>IFERROR(AT503*$V503,)</f>
        <v/>
      </c>
      <c r="DG503" s="128">
        <f>IFERROR(AU503*$V503,)</f>
        <v/>
      </c>
      <c r="DH503" s="128">
        <f>IFERROR(AV503*$V503,)</f>
        <v/>
      </c>
      <c r="DI503" s="128">
        <f>IFERROR(AW503*$V503,)</f>
        <v/>
      </c>
      <c r="DJ503" s="128">
        <f>IFERROR(AX503*$V503,)</f>
        <v/>
      </c>
      <c r="DK503" s="128">
        <f>IFERROR(AY503*$V503,)</f>
        <v/>
      </c>
      <c r="DL503" s="128">
        <f>IFERROR(AZ503*$V503,)</f>
        <v/>
      </c>
      <c r="DM503" s="129">
        <f>IFERROR(if($X503=0,($V503/1.2)*BA503,
BA503*$X503),)</f>
        <v/>
      </c>
      <c r="DN503" s="129">
        <f>IFERROR(if($X503=0,($V503/1.2)*BB503,
BB503*$X503),)</f>
        <v/>
      </c>
      <c r="DO503" s="129">
        <f>IFERROR(if($X503=0,($V503/1.2)*BC503,
BC503*$X503),)</f>
        <v/>
      </c>
      <c r="DP503" s="130">
        <f>IFERROR(if($Z503=0,($V503/1.35)*BD503,
BD503*$Z503),)</f>
        <v/>
      </c>
      <c r="DQ503" s="130">
        <f>IFERROR(if($Z503=0,($V503/1.35)*BE503,
BE503*$Z503),)</f>
        <v/>
      </c>
      <c r="DR503" s="130">
        <f>IFERROR(if($Z503=0,($V503/1.35)*BF503,
BF503*$Z503),)</f>
        <v/>
      </c>
      <c r="DS503" s="128">
        <f>IFERROR(IF($AB503=0,($V503/0.74)*BG503,
BG503*$AB503),)</f>
        <v/>
      </c>
      <c r="DT503" s="128">
        <f>IFERROR(IF($AB503=0,($V503/0.74)*BH503,
BH503*$AB503),)</f>
        <v/>
      </c>
      <c r="DU503" s="128">
        <f>IFERROR(IF($AB503=0,($V503/0.74)*BI503,
BI503*$AB503),)</f>
        <v/>
      </c>
    </row>
    <row r="504" ht="131.25" customHeight="1" s="162">
      <c r="A504" s="115" t="n"/>
      <c r="B504" s="115" t="n"/>
      <c r="C504" s="115" t="n"/>
      <c r="D504" s="115" t="n"/>
      <c r="E504" s="115" t="n"/>
      <c r="F504" s="115" t="n"/>
      <c r="G504" s="115" t="n"/>
      <c r="H504" s="115" t="n"/>
      <c r="I504" s="115" t="n"/>
      <c r="J504" s="115" t="n"/>
      <c r="K504" s="115" t="n"/>
      <c r="L504" s="115" t="n"/>
      <c r="M504" s="115" t="n"/>
      <c r="N504" s="115" t="n"/>
      <c r="O504" s="115" t="n"/>
      <c r="P504" s="115" t="n"/>
      <c r="Q504" s="115" t="n"/>
      <c r="R504" s="115" t="n"/>
      <c r="S504" s="115" t="n"/>
      <c r="T504" s="115" t="n"/>
      <c r="U504" s="116" t="n"/>
      <c r="V504" s="116" t="n"/>
      <c r="W504" s="117" t="n"/>
      <c r="X504" s="118" t="n"/>
      <c r="Y504" s="119" t="n"/>
      <c r="Z504" s="120" t="n"/>
      <c r="AA504" s="121" t="n"/>
      <c r="AB504" s="122" t="n"/>
      <c r="AC504" s="117" t="n"/>
      <c r="AD504" s="123">
        <f>IF(SUM($AE504:$AH504)=0,"",SUM($AE504:$AH504))</f>
        <v/>
      </c>
      <c r="AE504" s="123">
        <f>iferror(IF(SUM($AI504:$AZ504)=0,"",SUM($AI504:$AZ504)),"")</f>
        <v/>
      </c>
      <c r="AF504" s="123">
        <f>iferror(IF(SUM($BA504:$BC504)=0,"",SUM($BA504:$BC504)),"")</f>
        <v/>
      </c>
      <c r="AG504" s="123">
        <f>iferror(IF(SUM($BD504:$BF504)=0,"",SUM($BD504:$BF504)),"")</f>
        <v/>
      </c>
      <c r="AH504" s="124">
        <f>iferror(IF(SUM($BG504:$BI504)=0,"",SUM($BG504:$BI504)),"")</f>
        <v/>
      </c>
      <c r="AI504" s="131" t="n"/>
      <c r="AJ504" s="132" t="n"/>
      <c r="AK504" s="132" t="n"/>
      <c r="AL504" s="132" t="n"/>
      <c r="AM504" s="132" t="n"/>
      <c r="AN504" s="132" t="n"/>
      <c r="AO504" s="132" t="n"/>
      <c r="AP504" s="132" t="n"/>
      <c r="AQ504" s="132" t="n"/>
      <c r="AR504" s="132" t="n"/>
      <c r="AS504" s="132" t="n"/>
      <c r="AT504" s="132" t="n"/>
      <c r="AU504" s="132" t="n"/>
      <c r="AV504" s="132" t="n"/>
      <c r="AW504" s="132" t="n"/>
      <c r="AX504" s="132" t="n"/>
      <c r="AY504" s="132" t="n"/>
      <c r="AZ504" s="133" t="n"/>
      <c r="BA504" s="131" t="n"/>
      <c r="BB504" s="132" t="n"/>
      <c r="BC504" s="133" t="n"/>
      <c r="BD504" s="131" t="n"/>
      <c r="BE504" s="132" t="n"/>
      <c r="BF504" s="133" t="n"/>
      <c r="BG504" s="131" t="n"/>
      <c r="BH504" s="132" t="n"/>
      <c r="BI504" s="132" t="n"/>
      <c r="BJ504" s="128">
        <f>iferror(SUM($BK504,($BL504*1.2),($BM504*1.35),($BN504*0.74)),)</f>
        <v/>
      </c>
      <c r="BK504" s="128">
        <f>IFERROR(SUM($BT504:$CK504),)</f>
        <v/>
      </c>
      <c r="BL504" s="129">
        <f>IFERROR(SUM($CL504:$CN504),)</f>
        <v/>
      </c>
      <c r="BM504" s="130">
        <f>IFERROR(SUM($CO504:$CQ504),)</f>
        <v/>
      </c>
      <c r="BN504" s="128">
        <f>IFERROR(SUM($CR504:$CT504),)</f>
        <v/>
      </c>
      <c r="BO504" s="128">
        <f>iferror(SUM($BP504,($BQ504*1.2),($BR504*1.35),($BS504*0.74)),)</f>
        <v/>
      </c>
      <c r="BP504" s="128">
        <f>IFERROR(SUM($CU504:$DL504),)</f>
        <v/>
      </c>
      <c r="BQ504" s="128">
        <f>IFERROR(SUM($DM504:$DO504),)</f>
        <v/>
      </c>
      <c r="BR504" s="128">
        <f>IFERROR(SUM($DP504:$DR504),)</f>
        <v/>
      </c>
      <c r="BS504" s="128">
        <f>IFERROR(SUM($DS504:$DU504),)</f>
        <v/>
      </c>
      <c r="BT504" s="128">
        <f>IFERROR(AI504*$W504,)</f>
        <v/>
      </c>
      <c r="BU504" s="128">
        <f>IFERROR(AJ504*$W504,)</f>
        <v/>
      </c>
      <c r="BV504" s="128">
        <f>IFERROR(AK504*$W504,)</f>
        <v/>
      </c>
      <c r="BW504" s="128">
        <f>IFERROR(AL504*$W504,)</f>
        <v/>
      </c>
      <c r="BX504" s="128">
        <f>IFERROR(AM504*$W504,)</f>
        <v/>
      </c>
      <c r="BY504" s="128">
        <f>IFERROR(AN504*$W504,)</f>
        <v/>
      </c>
      <c r="BZ504" s="128">
        <f>IFERROR(AO504*$W504,)</f>
        <v/>
      </c>
      <c r="CA504" s="128">
        <f>IFERROR(AP504*$W504,)</f>
        <v/>
      </c>
      <c r="CB504" s="128">
        <f>IFERROR(AQ504*$W504,)</f>
        <v/>
      </c>
      <c r="CC504" s="128">
        <f>IFERROR(AR504*$W504,)</f>
        <v/>
      </c>
      <c r="CD504" s="128">
        <f>IFERROR(AS504*$W504,)</f>
        <v/>
      </c>
      <c r="CE504" s="128">
        <f>IFERROR(AT504*$W504,)</f>
        <v/>
      </c>
      <c r="CF504" s="128">
        <f>IFERROR(AU504*$W504,)</f>
        <v/>
      </c>
      <c r="CG504" s="128">
        <f>IFERROR(AV504*$W504,)</f>
        <v/>
      </c>
      <c r="CH504" s="128">
        <f>IFERROR(AW504*$W504,)</f>
        <v/>
      </c>
      <c r="CI504" s="128">
        <f>IFERROR(AX504*$W504,)</f>
        <v/>
      </c>
      <c r="CJ504" s="128">
        <f>IFERROR(AY504*$W504,)</f>
        <v/>
      </c>
      <c r="CK504" s="128">
        <f>IFERROR(AZ504*$W504,)</f>
        <v/>
      </c>
      <c r="CL504" s="129">
        <f>IFERROR(if($Y504=0,BA504*($W504/1.2),BA504*$Y504),"")</f>
        <v/>
      </c>
      <c r="CM504" s="129">
        <f>IFERROR(if($Y504=0,BB504*($W504/1.2),BB504*$Y504),"")</f>
        <v/>
      </c>
      <c r="CN504" s="129">
        <f>IFERROR(if($Y504=0,BC504*($W504/1.2),BC504*$Y504),"")</f>
        <v/>
      </c>
      <c r="CO504" s="130">
        <f>IFERROR(if($AA504=0,($W504/1.35)*BD504,BD504*$AA504),)</f>
        <v/>
      </c>
      <c r="CP504" s="130">
        <f>IFERROR(if($AA504=0,($W504/1.35)*BE504,BE504*$AA504),)</f>
        <v/>
      </c>
      <c r="CQ504" s="130">
        <f>IFERROR(if($AA504=0,($W504/1.35)*BF504,BF504*$AA504),)</f>
        <v/>
      </c>
      <c r="CR504" s="128">
        <f>IFERROR(if($AC504=0,($W504/0.74)*BG504,
BG504*$AC504),)</f>
        <v/>
      </c>
      <c r="CS504" s="128">
        <f>IFERROR(if($AC504=0,($W504/0.74)*BH504,
BH504*$AC504),)</f>
        <v/>
      </c>
      <c r="CT504" s="128">
        <f>IFERROR(if($AC504=0,($W504/0.74)*BI504,
BI504*$AC504),)</f>
        <v/>
      </c>
      <c r="CU504" s="128">
        <f>IFERROR(AI504*$V504,)</f>
        <v/>
      </c>
      <c r="CV504" s="128">
        <f>IFERROR(AJ504*$V504,)</f>
        <v/>
      </c>
      <c r="CW504" s="128">
        <f>IFERROR(AK504*$V504,)</f>
        <v/>
      </c>
      <c r="CX504" s="128">
        <f>IFERROR(AL504*$V504,)</f>
        <v/>
      </c>
      <c r="CY504" s="128">
        <f>IFERROR(AM504*$V504,)</f>
        <v/>
      </c>
      <c r="CZ504" s="128">
        <f>IFERROR(AN504*$V504,)</f>
        <v/>
      </c>
      <c r="DA504" s="128">
        <f>IFERROR(AO504*$V504,)</f>
        <v/>
      </c>
      <c r="DB504" s="128">
        <f>IFERROR(AP504*$V504,)</f>
        <v/>
      </c>
      <c r="DC504" s="128">
        <f>IFERROR(AQ504*$V504,)</f>
        <v/>
      </c>
      <c r="DD504" s="128">
        <f>IFERROR(AR504*$V504,)</f>
        <v/>
      </c>
      <c r="DE504" s="128">
        <f>IFERROR(AS504*$V504,)</f>
        <v/>
      </c>
      <c r="DF504" s="128">
        <f>IFERROR(AT504*$V504,)</f>
        <v/>
      </c>
      <c r="DG504" s="128">
        <f>IFERROR(AU504*$V504,)</f>
        <v/>
      </c>
      <c r="DH504" s="128">
        <f>IFERROR(AV504*$V504,)</f>
        <v/>
      </c>
      <c r="DI504" s="128">
        <f>IFERROR(AW504*$V504,)</f>
        <v/>
      </c>
      <c r="DJ504" s="128">
        <f>IFERROR(AX504*$V504,)</f>
        <v/>
      </c>
      <c r="DK504" s="128">
        <f>IFERROR(AY504*$V504,)</f>
        <v/>
      </c>
      <c r="DL504" s="128">
        <f>IFERROR(AZ504*$V504,)</f>
        <v/>
      </c>
      <c r="DM504" s="129">
        <f>IFERROR(if($X504=0,($V504/1.2)*BA504,
BA504*$X504),)</f>
        <v/>
      </c>
      <c r="DN504" s="129">
        <f>IFERROR(if($X504=0,($V504/1.2)*BB504,
BB504*$X504),)</f>
        <v/>
      </c>
      <c r="DO504" s="129">
        <f>IFERROR(if($X504=0,($V504/1.2)*BC504,
BC504*$X504),)</f>
        <v/>
      </c>
      <c r="DP504" s="130">
        <f>IFERROR(if($Z504=0,($V504/1.35)*BD504,
BD504*$Z504),)</f>
        <v/>
      </c>
      <c r="DQ504" s="130">
        <f>IFERROR(if($Z504=0,($V504/1.35)*BE504,
BE504*$Z504),)</f>
        <v/>
      </c>
      <c r="DR504" s="130">
        <f>IFERROR(if($Z504=0,($V504/1.35)*BF504,
BF504*$Z504),)</f>
        <v/>
      </c>
      <c r="DS504" s="128">
        <f>IFERROR(IF($AB504=0,($V504/0.74)*BG504,
BG504*$AB504),)</f>
        <v/>
      </c>
      <c r="DT504" s="128">
        <f>IFERROR(IF($AB504=0,($V504/0.74)*BH504,
BH504*$AB504),)</f>
        <v/>
      </c>
      <c r="DU504" s="128">
        <f>IFERROR(IF($AB504=0,($V504/0.74)*BI504,
BI504*$AB504),)</f>
        <v/>
      </c>
    </row>
    <row r="505" ht="131.25" customHeight="1" s="162">
      <c r="A505" s="115" t="n"/>
      <c r="B505" s="115" t="n"/>
      <c r="C505" s="115" t="n"/>
      <c r="D505" s="115" t="n"/>
      <c r="E505" s="115" t="n"/>
      <c r="F505" s="115" t="n"/>
      <c r="G505" s="115" t="n"/>
      <c r="H505" s="115" t="n"/>
      <c r="I505" s="115" t="n"/>
      <c r="J505" s="115" t="n"/>
      <c r="K505" s="115" t="n"/>
      <c r="L505" s="115" t="n"/>
      <c r="M505" s="115" t="n"/>
      <c r="N505" s="115" t="n"/>
      <c r="O505" s="115" t="n"/>
      <c r="P505" s="115" t="n"/>
      <c r="Q505" s="115" t="n"/>
      <c r="R505" s="115" t="n"/>
      <c r="S505" s="115" t="n"/>
      <c r="T505" s="115" t="n"/>
      <c r="U505" s="116" t="n"/>
      <c r="V505" s="116" t="n"/>
      <c r="W505" s="117" t="n"/>
      <c r="X505" s="118" t="n"/>
      <c r="Y505" s="119" t="n"/>
      <c r="Z505" s="120" t="n"/>
      <c r="AA505" s="121" t="n"/>
      <c r="AB505" s="122" t="n"/>
      <c r="AC505" s="117" t="n"/>
      <c r="AD505" s="123">
        <f>IF(SUM($AE505:$AH505)=0,"",SUM($AE505:$AH505))</f>
        <v/>
      </c>
      <c r="AE505" s="123">
        <f>iferror(IF(SUM($AI505:$AZ505)=0,"",SUM($AI505:$AZ505)),"")</f>
        <v/>
      </c>
      <c r="AF505" s="123">
        <f>iferror(IF(SUM($BA505:$BC505)=0,"",SUM($BA505:$BC505)),"")</f>
        <v/>
      </c>
      <c r="AG505" s="123">
        <f>iferror(IF(SUM($BD505:$BF505)=0,"",SUM($BD505:$BF505)),"")</f>
        <v/>
      </c>
      <c r="AH505" s="124">
        <f>iferror(IF(SUM($BG505:$BI505)=0,"",SUM($BG505:$BI505)),"")</f>
        <v/>
      </c>
      <c r="AI505" s="131" t="n"/>
      <c r="AJ505" s="132" t="n"/>
      <c r="AK505" s="132" t="n"/>
      <c r="AL505" s="132" t="n"/>
      <c r="AM505" s="132" t="n"/>
      <c r="AN505" s="132" t="n"/>
      <c r="AO505" s="132" t="n"/>
      <c r="AP505" s="132" t="n"/>
      <c r="AQ505" s="132" t="n"/>
      <c r="AR505" s="132" t="n"/>
      <c r="AS505" s="132" t="n"/>
      <c r="AT505" s="132" t="n"/>
      <c r="AU505" s="132" t="n"/>
      <c r="AV505" s="132" t="n"/>
      <c r="AW505" s="132" t="n"/>
      <c r="AX505" s="132" t="n"/>
      <c r="AY505" s="132" t="n"/>
      <c r="AZ505" s="133" t="n"/>
      <c r="BA505" s="131" t="n"/>
      <c r="BB505" s="132" t="n"/>
      <c r="BC505" s="133" t="n"/>
      <c r="BD505" s="131" t="n"/>
      <c r="BE505" s="132" t="n"/>
      <c r="BF505" s="133" t="n"/>
      <c r="BG505" s="131" t="n"/>
      <c r="BH505" s="132" t="n"/>
      <c r="BI505" s="132" t="n"/>
      <c r="BJ505" s="128">
        <f>iferror(SUM($BK505,($BL505*1.2),($BM505*1.35),($BN505*0.74)),)</f>
        <v/>
      </c>
      <c r="BK505" s="128">
        <f>IFERROR(SUM($BT505:$CK505),)</f>
        <v/>
      </c>
      <c r="BL505" s="129">
        <f>IFERROR(SUM($CL505:$CN505),)</f>
        <v/>
      </c>
      <c r="BM505" s="130">
        <f>IFERROR(SUM($CO505:$CQ505),)</f>
        <v/>
      </c>
      <c r="BN505" s="128">
        <f>IFERROR(SUM($CR505:$CT505),)</f>
        <v/>
      </c>
      <c r="BO505" s="128">
        <f>iferror(SUM($BP505,($BQ505*1.2),($BR505*1.35),($BS505*0.74)),)</f>
        <v/>
      </c>
      <c r="BP505" s="128">
        <f>IFERROR(SUM($CU505:$DL505),)</f>
        <v/>
      </c>
      <c r="BQ505" s="128">
        <f>IFERROR(SUM($DM505:$DO505),)</f>
        <v/>
      </c>
      <c r="BR505" s="128">
        <f>IFERROR(SUM($DP505:$DR505),)</f>
        <v/>
      </c>
      <c r="BS505" s="128">
        <f>IFERROR(SUM($DS505:$DU505),)</f>
        <v/>
      </c>
      <c r="BT505" s="128">
        <f>IFERROR(AI505*$W505,)</f>
        <v/>
      </c>
      <c r="BU505" s="128">
        <f>IFERROR(AJ505*$W505,)</f>
        <v/>
      </c>
      <c r="BV505" s="128">
        <f>IFERROR(AK505*$W505,)</f>
        <v/>
      </c>
      <c r="BW505" s="128">
        <f>IFERROR(AL505*$W505,)</f>
        <v/>
      </c>
      <c r="BX505" s="128">
        <f>IFERROR(AM505*$W505,)</f>
        <v/>
      </c>
      <c r="BY505" s="128">
        <f>IFERROR(AN505*$W505,)</f>
        <v/>
      </c>
      <c r="BZ505" s="128">
        <f>IFERROR(AO505*$W505,)</f>
        <v/>
      </c>
      <c r="CA505" s="128">
        <f>IFERROR(AP505*$W505,)</f>
        <v/>
      </c>
      <c r="CB505" s="128">
        <f>IFERROR(AQ505*$W505,)</f>
        <v/>
      </c>
      <c r="CC505" s="128">
        <f>IFERROR(AR505*$W505,)</f>
        <v/>
      </c>
      <c r="CD505" s="128">
        <f>IFERROR(AS505*$W505,)</f>
        <v/>
      </c>
      <c r="CE505" s="128">
        <f>IFERROR(AT505*$W505,)</f>
        <v/>
      </c>
      <c r="CF505" s="128">
        <f>IFERROR(AU505*$W505,)</f>
        <v/>
      </c>
      <c r="CG505" s="128">
        <f>IFERROR(AV505*$W505,)</f>
        <v/>
      </c>
      <c r="CH505" s="128">
        <f>IFERROR(AW505*$W505,)</f>
        <v/>
      </c>
      <c r="CI505" s="128">
        <f>IFERROR(AX505*$W505,)</f>
        <v/>
      </c>
      <c r="CJ505" s="128">
        <f>IFERROR(AY505*$W505,)</f>
        <v/>
      </c>
      <c r="CK505" s="128">
        <f>IFERROR(AZ505*$W505,)</f>
        <v/>
      </c>
      <c r="CL505" s="129">
        <f>IFERROR(if($Y505=0,BA505*($W505/1.2),BA505*$Y505),"")</f>
        <v/>
      </c>
      <c r="CM505" s="129">
        <f>IFERROR(if($Y505=0,BB505*($W505/1.2),BB505*$Y505),"")</f>
        <v/>
      </c>
      <c r="CN505" s="129">
        <f>IFERROR(if($Y505=0,BC505*($W505/1.2),BC505*$Y505),"")</f>
        <v/>
      </c>
      <c r="CO505" s="130">
        <f>IFERROR(if($AA505=0,($W505/1.35)*BD505,BD505*$AA505),)</f>
        <v/>
      </c>
      <c r="CP505" s="130">
        <f>IFERROR(if($AA505=0,($W505/1.35)*BE505,BE505*$AA505),)</f>
        <v/>
      </c>
      <c r="CQ505" s="130">
        <f>IFERROR(if($AA505=0,($W505/1.35)*BF505,BF505*$AA505),)</f>
        <v/>
      </c>
      <c r="CR505" s="128">
        <f>IFERROR(if($AC505=0,($W505/0.74)*BG505,
BG505*$AC505),)</f>
        <v/>
      </c>
      <c r="CS505" s="128">
        <f>IFERROR(if($AC505=0,($W505/0.74)*BH505,
BH505*$AC505),)</f>
        <v/>
      </c>
      <c r="CT505" s="128">
        <f>IFERROR(if($AC505=0,($W505/0.74)*BI505,
BI505*$AC505),)</f>
        <v/>
      </c>
      <c r="CU505" s="128">
        <f>IFERROR(AI505*$V505,)</f>
        <v/>
      </c>
      <c r="CV505" s="128">
        <f>IFERROR(AJ505*$V505,)</f>
        <v/>
      </c>
      <c r="CW505" s="128">
        <f>IFERROR(AK505*$V505,)</f>
        <v/>
      </c>
      <c r="CX505" s="128">
        <f>IFERROR(AL505*$V505,)</f>
        <v/>
      </c>
      <c r="CY505" s="128">
        <f>IFERROR(AM505*$V505,)</f>
        <v/>
      </c>
      <c r="CZ505" s="128">
        <f>IFERROR(AN505*$V505,)</f>
        <v/>
      </c>
      <c r="DA505" s="128">
        <f>IFERROR(AO505*$V505,)</f>
        <v/>
      </c>
      <c r="DB505" s="128">
        <f>IFERROR(AP505*$V505,)</f>
        <v/>
      </c>
      <c r="DC505" s="128">
        <f>IFERROR(AQ505*$V505,)</f>
        <v/>
      </c>
      <c r="DD505" s="128">
        <f>IFERROR(AR505*$V505,)</f>
        <v/>
      </c>
      <c r="DE505" s="128">
        <f>IFERROR(AS505*$V505,)</f>
        <v/>
      </c>
      <c r="DF505" s="128">
        <f>IFERROR(AT505*$V505,)</f>
        <v/>
      </c>
      <c r="DG505" s="128">
        <f>IFERROR(AU505*$V505,)</f>
        <v/>
      </c>
      <c r="DH505" s="128">
        <f>IFERROR(AV505*$V505,)</f>
        <v/>
      </c>
      <c r="DI505" s="128">
        <f>IFERROR(AW505*$V505,)</f>
        <v/>
      </c>
      <c r="DJ505" s="128">
        <f>IFERROR(AX505*$V505,)</f>
        <v/>
      </c>
      <c r="DK505" s="128">
        <f>IFERROR(AY505*$V505,)</f>
        <v/>
      </c>
      <c r="DL505" s="128">
        <f>IFERROR(AZ505*$V505,)</f>
        <v/>
      </c>
      <c r="DM505" s="129">
        <f>IFERROR(if($X505=0,($V505/1.2)*BA505,
BA505*$X505),)</f>
        <v/>
      </c>
      <c r="DN505" s="129">
        <f>IFERROR(if($X505=0,($V505/1.2)*BB505,
BB505*$X505),)</f>
        <v/>
      </c>
      <c r="DO505" s="129">
        <f>IFERROR(if($X505=0,($V505/1.2)*BC505,
BC505*$X505),)</f>
        <v/>
      </c>
      <c r="DP505" s="130">
        <f>IFERROR(if($Z505=0,($V505/1.35)*BD505,
BD505*$Z505),)</f>
        <v/>
      </c>
      <c r="DQ505" s="130">
        <f>IFERROR(if($Z505=0,($V505/1.35)*BE505,
BE505*$Z505),)</f>
        <v/>
      </c>
      <c r="DR505" s="130">
        <f>IFERROR(if($Z505=0,($V505/1.35)*BF505,
BF505*$Z505),)</f>
        <v/>
      </c>
      <c r="DS505" s="128">
        <f>IFERROR(IF($AB505=0,($V505/0.74)*BG505,
BG505*$AB505),)</f>
        <v/>
      </c>
      <c r="DT505" s="128">
        <f>IFERROR(IF($AB505=0,($V505/0.74)*BH505,
BH505*$AB505),)</f>
        <v/>
      </c>
      <c r="DU505" s="128">
        <f>IFERROR(IF($AB505=0,($V505/0.74)*BI505,
BI505*$AB505),)</f>
        <v/>
      </c>
    </row>
    <row r="506" ht="131.25" customHeight="1" s="162">
      <c r="A506" s="115" t="n"/>
      <c r="B506" s="115" t="n"/>
      <c r="C506" s="115" t="n"/>
      <c r="D506" s="115" t="n"/>
      <c r="E506" s="115" t="n"/>
      <c r="F506" s="115" t="n"/>
      <c r="G506" s="115" t="n"/>
      <c r="H506" s="115" t="n"/>
      <c r="I506" s="115" t="n"/>
      <c r="J506" s="115" t="n"/>
      <c r="K506" s="115" t="n"/>
      <c r="L506" s="115" t="n"/>
      <c r="M506" s="115" t="n"/>
      <c r="N506" s="115" t="n"/>
      <c r="O506" s="115" t="n"/>
      <c r="P506" s="115" t="n"/>
      <c r="Q506" s="115" t="n"/>
      <c r="R506" s="115" t="n"/>
      <c r="S506" s="115" t="n"/>
      <c r="T506" s="115" t="n"/>
      <c r="U506" s="116" t="n"/>
      <c r="V506" s="116" t="n"/>
      <c r="W506" s="117" t="n"/>
      <c r="X506" s="118" t="n"/>
      <c r="Y506" s="119" t="n"/>
      <c r="Z506" s="120" t="n"/>
      <c r="AA506" s="121" t="n"/>
      <c r="AB506" s="122" t="n"/>
      <c r="AC506" s="117" t="n"/>
      <c r="AD506" s="123">
        <f>IF(SUM($AE506:$AH506)=0,"",SUM($AE506:$AH506))</f>
        <v/>
      </c>
      <c r="AE506" s="123">
        <f>iferror(IF(SUM($AI506:$AZ506)=0,"",SUM($AI506:$AZ506)),"")</f>
        <v/>
      </c>
      <c r="AF506" s="123">
        <f>iferror(IF(SUM($BA506:$BC506)=0,"",SUM($BA506:$BC506)),"")</f>
        <v/>
      </c>
      <c r="AG506" s="123">
        <f>iferror(IF(SUM($BD506:$BF506)=0,"",SUM($BD506:$BF506)),"")</f>
        <v/>
      </c>
      <c r="AH506" s="124">
        <f>iferror(IF(SUM($BG506:$BI506)=0,"",SUM($BG506:$BI506)),"")</f>
        <v/>
      </c>
      <c r="AI506" s="131" t="n"/>
      <c r="AJ506" s="132" t="n"/>
      <c r="AK506" s="132" t="n"/>
      <c r="AL506" s="132" t="n"/>
      <c r="AM506" s="132" t="n"/>
      <c r="AN506" s="132" t="n"/>
      <c r="AO506" s="132" t="n"/>
      <c r="AP506" s="132" t="n"/>
      <c r="AQ506" s="132" t="n"/>
      <c r="AR506" s="132" t="n"/>
      <c r="AS506" s="132" t="n"/>
      <c r="AT506" s="132" t="n"/>
      <c r="AU506" s="132" t="n"/>
      <c r="AV506" s="132" t="n"/>
      <c r="AW506" s="132" t="n"/>
      <c r="AX506" s="132" t="n"/>
      <c r="AY506" s="132" t="n"/>
      <c r="AZ506" s="133" t="n"/>
      <c r="BA506" s="131" t="n"/>
      <c r="BB506" s="132" t="n"/>
      <c r="BC506" s="133" t="n"/>
      <c r="BD506" s="131" t="n"/>
      <c r="BE506" s="132" t="n"/>
      <c r="BF506" s="133" t="n"/>
      <c r="BG506" s="131" t="n"/>
      <c r="BH506" s="132" t="n"/>
      <c r="BI506" s="132" t="n"/>
      <c r="BJ506" s="128">
        <f>iferror(SUM($BK506,($BL506*1.2),($BM506*1.35),($BN506*0.74)),)</f>
        <v/>
      </c>
      <c r="BK506" s="128">
        <f>IFERROR(SUM($BT506:$CK506),)</f>
        <v/>
      </c>
      <c r="BL506" s="129">
        <f>IFERROR(SUM($CL506:$CN506),)</f>
        <v/>
      </c>
      <c r="BM506" s="130">
        <f>IFERROR(SUM($CO506:$CQ506),)</f>
        <v/>
      </c>
      <c r="BN506" s="128">
        <f>IFERROR(SUM($CR506:$CT506),)</f>
        <v/>
      </c>
      <c r="BO506" s="128">
        <f>iferror(SUM($BP506,($BQ506*1.2),($BR506*1.35),($BS506*0.74)),)</f>
        <v/>
      </c>
      <c r="BP506" s="128">
        <f>IFERROR(SUM($CU506:$DL506),)</f>
        <v/>
      </c>
      <c r="BQ506" s="128">
        <f>IFERROR(SUM($DM506:$DO506),)</f>
        <v/>
      </c>
      <c r="BR506" s="128">
        <f>IFERROR(SUM($DP506:$DR506),)</f>
        <v/>
      </c>
      <c r="BS506" s="128">
        <f>IFERROR(SUM($DS506:$DU506),)</f>
        <v/>
      </c>
      <c r="BT506" s="128">
        <f>IFERROR(AI506*$W506,)</f>
        <v/>
      </c>
      <c r="BU506" s="128">
        <f>IFERROR(AJ506*$W506,)</f>
        <v/>
      </c>
      <c r="BV506" s="128">
        <f>IFERROR(AK506*$W506,)</f>
        <v/>
      </c>
      <c r="BW506" s="128">
        <f>IFERROR(AL506*$W506,)</f>
        <v/>
      </c>
      <c r="BX506" s="128">
        <f>IFERROR(AM506*$W506,)</f>
        <v/>
      </c>
      <c r="BY506" s="128">
        <f>IFERROR(AN506*$W506,)</f>
        <v/>
      </c>
      <c r="BZ506" s="128">
        <f>IFERROR(AO506*$W506,)</f>
        <v/>
      </c>
      <c r="CA506" s="128">
        <f>IFERROR(AP506*$W506,)</f>
        <v/>
      </c>
      <c r="CB506" s="128">
        <f>IFERROR(AQ506*$W506,)</f>
        <v/>
      </c>
      <c r="CC506" s="128">
        <f>IFERROR(AR506*$W506,)</f>
        <v/>
      </c>
      <c r="CD506" s="128">
        <f>IFERROR(AS506*$W506,)</f>
        <v/>
      </c>
      <c r="CE506" s="128">
        <f>IFERROR(AT506*$W506,)</f>
        <v/>
      </c>
      <c r="CF506" s="128">
        <f>IFERROR(AU506*$W506,)</f>
        <v/>
      </c>
      <c r="CG506" s="128">
        <f>IFERROR(AV506*$W506,)</f>
        <v/>
      </c>
      <c r="CH506" s="128">
        <f>IFERROR(AW506*$W506,)</f>
        <v/>
      </c>
      <c r="CI506" s="128">
        <f>IFERROR(AX506*$W506,)</f>
        <v/>
      </c>
      <c r="CJ506" s="128">
        <f>IFERROR(AY506*$W506,)</f>
        <v/>
      </c>
      <c r="CK506" s="128">
        <f>IFERROR(AZ506*$W506,)</f>
        <v/>
      </c>
      <c r="CL506" s="129">
        <f>IFERROR(if($Y506=0,BA506*($W506/1.2),BA506*$Y506),"")</f>
        <v/>
      </c>
      <c r="CM506" s="129">
        <f>IFERROR(if($Y506=0,BB506*($W506/1.2),BB506*$Y506),"")</f>
        <v/>
      </c>
      <c r="CN506" s="129">
        <f>IFERROR(if($Y506=0,BC506*($W506/1.2),BC506*$Y506),"")</f>
        <v/>
      </c>
      <c r="CO506" s="130">
        <f>IFERROR(if($AA506=0,($W506/1.35)*BD506,BD506*$AA506),)</f>
        <v/>
      </c>
      <c r="CP506" s="130">
        <f>IFERROR(if($AA506=0,($W506/1.35)*BE506,BE506*$AA506),)</f>
        <v/>
      </c>
      <c r="CQ506" s="130">
        <f>IFERROR(if($AA506=0,($W506/1.35)*BF506,BF506*$AA506),)</f>
        <v/>
      </c>
      <c r="CR506" s="128">
        <f>IFERROR(if($AC506=0,($W506/0.74)*BG506,
BG506*$AC506),)</f>
        <v/>
      </c>
      <c r="CS506" s="128">
        <f>IFERROR(if($AC506=0,($W506/0.74)*BH506,
BH506*$AC506),)</f>
        <v/>
      </c>
      <c r="CT506" s="128">
        <f>IFERROR(if($AC506=0,($W506/0.74)*BI506,
BI506*$AC506),)</f>
        <v/>
      </c>
      <c r="CU506" s="128">
        <f>IFERROR(AI506*$V506,)</f>
        <v/>
      </c>
      <c r="CV506" s="128">
        <f>IFERROR(AJ506*$V506,)</f>
        <v/>
      </c>
      <c r="CW506" s="128">
        <f>IFERROR(AK506*$V506,)</f>
        <v/>
      </c>
      <c r="CX506" s="128">
        <f>IFERROR(AL506*$V506,)</f>
        <v/>
      </c>
      <c r="CY506" s="128">
        <f>IFERROR(AM506*$V506,)</f>
        <v/>
      </c>
      <c r="CZ506" s="128">
        <f>IFERROR(AN506*$V506,)</f>
        <v/>
      </c>
      <c r="DA506" s="128">
        <f>IFERROR(AO506*$V506,)</f>
        <v/>
      </c>
      <c r="DB506" s="128">
        <f>IFERROR(AP506*$V506,)</f>
        <v/>
      </c>
      <c r="DC506" s="128">
        <f>IFERROR(AQ506*$V506,)</f>
        <v/>
      </c>
      <c r="DD506" s="128">
        <f>IFERROR(AR506*$V506,)</f>
        <v/>
      </c>
      <c r="DE506" s="128">
        <f>IFERROR(AS506*$V506,)</f>
        <v/>
      </c>
      <c r="DF506" s="128">
        <f>IFERROR(AT506*$V506,)</f>
        <v/>
      </c>
      <c r="DG506" s="128">
        <f>IFERROR(AU506*$V506,)</f>
        <v/>
      </c>
      <c r="DH506" s="128">
        <f>IFERROR(AV506*$V506,)</f>
        <v/>
      </c>
      <c r="DI506" s="128">
        <f>IFERROR(AW506*$V506,)</f>
        <v/>
      </c>
      <c r="DJ506" s="128">
        <f>IFERROR(AX506*$V506,)</f>
        <v/>
      </c>
      <c r="DK506" s="128">
        <f>IFERROR(AY506*$V506,)</f>
        <v/>
      </c>
      <c r="DL506" s="128">
        <f>IFERROR(AZ506*$V506,)</f>
        <v/>
      </c>
      <c r="DM506" s="129">
        <f>IFERROR(if($X506=0,($V506/1.2)*BA506,
BA506*$X506),)</f>
        <v/>
      </c>
      <c r="DN506" s="129">
        <f>IFERROR(if($X506=0,($V506/1.2)*BB506,
BB506*$X506),)</f>
        <v/>
      </c>
      <c r="DO506" s="129">
        <f>IFERROR(if($X506=0,($V506/1.2)*BC506,
BC506*$X506),)</f>
        <v/>
      </c>
      <c r="DP506" s="130">
        <f>IFERROR(if($Z506=0,($V506/1.35)*BD506,
BD506*$Z506),)</f>
        <v/>
      </c>
      <c r="DQ506" s="130">
        <f>IFERROR(if($Z506=0,($V506/1.35)*BE506,
BE506*$Z506),)</f>
        <v/>
      </c>
      <c r="DR506" s="130">
        <f>IFERROR(if($Z506=0,($V506/1.35)*BF506,
BF506*$Z506),)</f>
        <v/>
      </c>
      <c r="DS506" s="128">
        <f>IFERROR(IF($AB506=0,($V506/0.74)*BG506,
BG506*$AB506),)</f>
        <v/>
      </c>
      <c r="DT506" s="128">
        <f>IFERROR(IF($AB506=0,($V506/0.74)*BH506,
BH506*$AB506),)</f>
        <v/>
      </c>
      <c r="DU506" s="128">
        <f>IFERROR(IF($AB506=0,($V506/0.74)*BI506,
BI506*$AB506),)</f>
        <v/>
      </c>
    </row>
    <row r="507" ht="131.25" customHeight="1" s="162">
      <c r="A507" s="115" t="n"/>
      <c r="B507" s="115" t="n"/>
      <c r="C507" s="115" t="n"/>
      <c r="D507" s="115" t="n"/>
      <c r="E507" s="115" t="n"/>
      <c r="F507" s="115" t="n"/>
      <c r="G507" s="115" t="n"/>
      <c r="H507" s="115" t="n"/>
      <c r="I507" s="115" t="n"/>
      <c r="J507" s="115" t="n"/>
      <c r="K507" s="115" t="n"/>
      <c r="L507" s="115" t="n"/>
      <c r="M507" s="115" t="n"/>
      <c r="N507" s="115" t="n"/>
      <c r="O507" s="115" t="n"/>
      <c r="P507" s="115" t="n"/>
      <c r="Q507" s="115" t="n"/>
      <c r="R507" s="115" t="n"/>
      <c r="S507" s="115" t="n"/>
      <c r="T507" s="115" t="n"/>
      <c r="U507" s="116" t="n"/>
      <c r="V507" s="116" t="n"/>
      <c r="W507" s="117" t="n"/>
      <c r="X507" s="118" t="n"/>
      <c r="Y507" s="119" t="n"/>
      <c r="Z507" s="120" t="n"/>
      <c r="AA507" s="121" t="n"/>
      <c r="AB507" s="122" t="n"/>
      <c r="AC507" s="117" t="n"/>
      <c r="AD507" s="123">
        <f>IF(SUM($AE507:$AH507)=0,"",SUM($AE507:$AH507))</f>
        <v/>
      </c>
      <c r="AE507" s="123">
        <f>iferror(IF(SUM($AI507:$AZ507)=0,"",SUM($AI507:$AZ507)),"")</f>
        <v/>
      </c>
      <c r="AF507" s="123">
        <f>iferror(IF(SUM($BA507:$BC507)=0,"",SUM($BA507:$BC507)),"")</f>
        <v/>
      </c>
      <c r="AG507" s="123">
        <f>iferror(IF(SUM($BD507:$BF507)=0,"",SUM($BD507:$BF507)),"")</f>
        <v/>
      </c>
      <c r="AH507" s="124">
        <f>iferror(IF(SUM($BG507:$BI507)=0,"",SUM($BG507:$BI507)),"")</f>
        <v/>
      </c>
      <c r="AI507" s="131" t="n"/>
      <c r="AJ507" s="132" t="n"/>
      <c r="AK507" s="132" t="n"/>
      <c r="AL507" s="132" t="n"/>
      <c r="AM507" s="132" t="n"/>
      <c r="AN507" s="132" t="n"/>
      <c r="AO507" s="132" t="n"/>
      <c r="AP507" s="132" t="n"/>
      <c r="AQ507" s="132" t="n"/>
      <c r="AR507" s="132" t="n"/>
      <c r="AS507" s="132" t="n"/>
      <c r="AT507" s="132" t="n"/>
      <c r="AU507" s="132" t="n"/>
      <c r="AV507" s="132" t="n"/>
      <c r="AW507" s="132" t="n"/>
      <c r="AX507" s="132" t="n"/>
      <c r="AY507" s="132" t="n"/>
      <c r="AZ507" s="133" t="n"/>
      <c r="BA507" s="131" t="n"/>
      <c r="BB507" s="132" t="n"/>
      <c r="BC507" s="133" t="n"/>
      <c r="BD507" s="131" t="n"/>
      <c r="BE507" s="132" t="n"/>
      <c r="BF507" s="133" t="n"/>
      <c r="BG507" s="131" t="n"/>
      <c r="BH507" s="132" t="n"/>
      <c r="BI507" s="132" t="n"/>
      <c r="BJ507" s="128">
        <f>iferror(SUM($BK507,($BL507*1.2),($BM507*1.35),($BN507*0.74)),)</f>
        <v/>
      </c>
      <c r="BK507" s="128">
        <f>IFERROR(SUM($BT507:$CK507),)</f>
        <v/>
      </c>
      <c r="BL507" s="129">
        <f>IFERROR(SUM($CL507:$CN507),)</f>
        <v/>
      </c>
      <c r="BM507" s="130">
        <f>IFERROR(SUM($CO507:$CQ507),)</f>
        <v/>
      </c>
      <c r="BN507" s="128">
        <f>IFERROR(SUM($CR507:$CT507),)</f>
        <v/>
      </c>
      <c r="BO507" s="128">
        <f>iferror(SUM($BP507,($BQ507*1.2),($BR507*1.35),($BS507*0.74)),)</f>
        <v/>
      </c>
      <c r="BP507" s="128">
        <f>IFERROR(SUM($CU507:$DL507),)</f>
        <v/>
      </c>
      <c r="BQ507" s="128">
        <f>IFERROR(SUM($DM507:$DO507),)</f>
        <v/>
      </c>
      <c r="BR507" s="128">
        <f>IFERROR(SUM($DP507:$DR507),)</f>
        <v/>
      </c>
      <c r="BS507" s="128">
        <f>IFERROR(SUM($DS507:$DU507),)</f>
        <v/>
      </c>
      <c r="BT507" s="128">
        <f>IFERROR(AI507*$W507,)</f>
        <v/>
      </c>
      <c r="BU507" s="128">
        <f>IFERROR(AJ507*$W507,)</f>
        <v/>
      </c>
      <c r="BV507" s="128">
        <f>IFERROR(AK507*$W507,)</f>
        <v/>
      </c>
      <c r="BW507" s="128">
        <f>IFERROR(AL507*$W507,)</f>
        <v/>
      </c>
      <c r="BX507" s="128">
        <f>IFERROR(AM507*$W507,)</f>
        <v/>
      </c>
      <c r="BY507" s="128">
        <f>IFERROR(AN507*$W507,)</f>
        <v/>
      </c>
      <c r="BZ507" s="128">
        <f>IFERROR(AO507*$W507,)</f>
        <v/>
      </c>
      <c r="CA507" s="128">
        <f>IFERROR(AP507*$W507,)</f>
        <v/>
      </c>
      <c r="CB507" s="128">
        <f>IFERROR(AQ507*$W507,)</f>
        <v/>
      </c>
      <c r="CC507" s="128">
        <f>IFERROR(AR507*$W507,)</f>
        <v/>
      </c>
      <c r="CD507" s="128">
        <f>IFERROR(AS507*$W507,)</f>
        <v/>
      </c>
      <c r="CE507" s="128">
        <f>IFERROR(AT507*$W507,)</f>
        <v/>
      </c>
      <c r="CF507" s="128">
        <f>IFERROR(AU507*$W507,)</f>
        <v/>
      </c>
      <c r="CG507" s="128">
        <f>IFERROR(AV507*$W507,)</f>
        <v/>
      </c>
      <c r="CH507" s="128">
        <f>IFERROR(AW507*$W507,)</f>
        <v/>
      </c>
      <c r="CI507" s="128">
        <f>IFERROR(AX507*$W507,)</f>
        <v/>
      </c>
      <c r="CJ507" s="128">
        <f>IFERROR(AY507*$W507,)</f>
        <v/>
      </c>
      <c r="CK507" s="128">
        <f>IFERROR(AZ507*$W507,)</f>
        <v/>
      </c>
      <c r="CL507" s="129">
        <f>IFERROR(if($Y507=0,BA507*($W507/1.2),BA507*$Y507),"")</f>
        <v/>
      </c>
      <c r="CM507" s="129">
        <f>IFERROR(if($Y507=0,BB507*($W507/1.2),BB507*$Y507),"")</f>
        <v/>
      </c>
      <c r="CN507" s="129">
        <f>IFERROR(if($Y507=0,BC507*($W507/1.2),BC507*$Y507),"")</f>
        <v/>
      </c>
      <c r="CO507" s="130">
        <f>IFERROR(if($AA507=0,($W507/1.35)*BD507,BD507*$AA507),)</f>
        <v/>
      </c>
      <c r="CP507" s="130">
        <f>IFERROR(if($AA507=0,($W507/1.35)*BE507,BE507*$AA507),)</f>
        <v/>
      </c>
      <c r="CQ507" s="130">
        <f>IFERROR(if($AA507=0,($W507/1.35)*BF507,BF507*$AA507),)</f>
        <v/>
      </c>
      <c r="CR507" s="128">
        <f>IFERROR(if($AC507=0,($W507/0.74)*BG507,
BG507*$AC507),)</f>
        <v/>
      </c>
      <c r="CS507" s="128">
        <f>IFERROR(if($AC507=0,($W507/0.74)*BH507,
BH507*$AC507),)</f>
        <v/>
      </c>
      <c r="CT507" s="128">
        <f>IFERROR(if($AC507=0,($W507/0.74)*BI507,
BI507*$AC507),)</f>
        <v/>
      </c>
      <c r="CU507" s="128">
        <f>IFERROR(AI507*$V507,)</f>
        <v/>
      </c>
      <c r="CV507" s="128">
        <f>IFERROR(AJ507*$V507,)</f>
        <v/>
      </c>
      <c r="CW507" s="128">
        <f>IFERROR(AK507*$V507,)</f>
        <v/>
      </c>
      <c r="CX507" s="128">
        <f>IFERROR(AL507*$V507,)</f>
        <v/>
      </c>
      <c r="CY507" s="128">
        <f>IFERROR(AM507*$V507,)</f>
        <v/>
      </c>
      <c r="CZ507" s="128">
        <f>IFERROR(AN507*$V507,)</f>
        <v/>
      </c>
      <c r="DA507" s="128">
        <f>IFERROR(AO507*$V507,)</f>
        <v/>
      </c>
      <c r="DB507" s="128">
        <f>IFERROR(AP507*$V507,)</f>
        <v/>
      </c>
      <c r="DC507" s="128">
        <f>IFERROR(AQ507*$V507,)</f>
        <v/>
      </c>
      <c r="DD507" s="128">
        <f>IFERROR(AR507*$V507,)</f>
        <v/>
      </c>
      <c r="DE507" s="128">
        <f>IFERROR(AS507*$V507,)</f>
        <v/>
      </c>
      <c r="DF507" s="128">
        <f>IFERROR(AT507*$V507,)</f>
        <v/>
      </c>
      <c r="DG507" s="128">
        <f>IFERROR(AU507*$V507,)</f>
        <v/>
      </c>
      <c r="DH507" s="128">
        <f>IFERROR(AV507*$V507,)</f>
        <v/>
      </c>
      <c r="DI507" s="128">
        <f>IFERROR(AW507*$V507,)</f>
        <v/>
      </c>
      <c r="DJ507" s="128">
        <f>IFERROR(AX507*$V507,)</f>
        <v/>
      </c>
      <c r="DK507" s="128">
        <f>IFERROR(AY507*$V507,)</f>
        <v/>
      </c>
      <c r="DL507" s="128">
        <f>IFERROR(AZ507*$V507,)</f>
        <v/>
      </c>
      <c r="DM507" s="129">
        <f>IFERROR(if($X507=0,($V507/1.2)*BA507,
BA507*$X507),)</f>
        <v/>
      </c>
      <c r="DN507" s="129">
        <f>IFERROR(if($X507=0,($V507/1.2)*BB507,
BB507*$X507),)</f>
        <v/>
      </c>
      <c r="DO507" s="129">
        <f>IFERROR(if($X507=0,($V507/1.2)*BC507,
BC507*$X507),)</f>
        <v/>
      </c>
      <c r="DP507" s="130">
        <f>IFERROR(if($Z507=0,($V507/1.35)*BD507,
BD507*$Z507),)</f>
        <v/>
      </c>
      <c r="DQ507" s="130">
        <f>IFERROR(if($Z507=0,($V507/1.35)*BE507,
BE507*$Z507),)</f>
        <v/>
      </c>
      <c r="DR507" s="130">
        <f>IFERROR(if($Z507=0,($V507/1.35)*BF507,
BF507*$Z507),)</f>
        <v/>
      </c>
      <c r="DS507" s="128">
        <f>IFERROR(IF($AB507=0,($V507/0.74)*BG507,
BG507*$AB507),)</f>
        <v/>
      </c>
      <c r="DT507" s="128">
        <f>IFERROR(IF($AB507=0,($V507/0.74)*BH507,
BH507*$AB507),)</f>
        <v/>
      </c>
      <c r="DU507" s="128">
        <f>IFERROR(IF($AB507=0,($V507/0.74)*BI507,
BI507*$AB507),)</f>
        <v/>
      </c>
    </row>
    <row r="508" ht="131.25" customHeight="1" s="162">
      <c r="A508" s="115" t="n"/>
      <c r="B508" s="115" t="n"/>
      <c r="C508" s="115" t="n"/>
      <c r="D508" s="115" t="n"/>
      <c r="E508" s="115" t="n"/>
      <c r="F508" s="115" t="n"/>
      <c r="G508" s="115" t="n"/>
      <c r="H508" s="115" t="n"/>
      <c r="I508" s="115" t="n"/>
      <c r="J508" s="115" t="n"/>
      <c r="K508" s="115" t="n"/>
      <c r="L508" s="115" t="n"/>
      <c r="M508" s="115" t="n"/>
      <c r="N508" s="115" t="n"/>
      <c r="O508" s="115" t="n"/>
      <c r="P508" s="115" t="n"/>
      <c r="Q508" s="115" t="n"/>
      <c r="R508" s="115" t="n"/>
      <c r="S508" s="115" t="n"/>
      <c r="T508" s="115" t="n"/>
      <c r="U508" s="116" t="n"/>
      <c r="V508" s="116" t="n"/>
      <c r="W508" s="117" t="n"/>
      <c r="X508" s="118" t="n"/>
      <c r="Y508" s="119" t="n"/>
      <c r="Z508" s="120" t="n"/>
      <c r="AA508" s="121" t="n"/>
      <c r="AB508" s="122" t="n"/>
      <c r="AC508" s="117" t="n"/>
      <c r="AD508" s="123">
        <f>IF(SUM($AE508:$AH508)=0,"",SUM($AE508:$AH508))</f>
        <v/>
      </c>
      <c r="AE508" s="123">
        <f>iferror(IF(SUM($AI508:$AZ508)=0,"",SUM($AI508:$AZ508)),"")</f>
        <v/>
      </c>
      <c r="AF508" s="123">
        <f>iferror(IF(SUM($BA508:$BC508)=0,"",SUM($BA508:$BC508)),"")</f>
        <v/>
      </c>
      <c r="AG508" s="123">
        <f>iferror(IF(SUM($BD508:$BF508)=0,"",SUM($BD508:$BF508)),"")</f>
        <v/>
      </c>
      <c r="AH508" s="124">
        <f>iferror(IF(SUM($BG508:$BI508)=0,"",SUM($BG508:$BI508)),"")</f>
        <v/>
      </c>
      <c r="AI508" s="131" t="n"/>
      <c r="AJ508" s="132" t="n"/>
      <c r="AK508" s="132" t="n"/>
      <c r="AL508" s="132" t="n"/>
      <c r="AM508" s="132" t="n"/>
      <c r="AN508" s="132" t="n"/>
      <c r="AO508" s="132" t="n"/>
      <c r="AP508" s="132" t="n"/>
      <c r="AQ508" s="132" t="n"/>
      <c r="AR508" s="132" t="n"/>
      <c r="AS508" s="132" t="n"/>
      <c r="AT508" s="132" t="n"/>
      <c r="AU508" s="132" t="n"/>
      <c r="AV508" s="132" t="n"/>
      <c r="AW508" s="132" t="n"/>
      <c r="AX508" s="132" t="n"/>
      <c r="AY508" s="132" t="n"/>
      <c r="AZ508" s="133" t="n"/>
      <c r="BA508" s="131" t="n"/>
      <c r="BB508" s="132" t="n"/>
      <c r="BC508" s="133" t="n"/>
      <c r="BD508" s="131" t="n"/>
      <c r="BE508" s="132" t="n"/>
      <c r="BF508" s="133" t="n"/>
      <c r="BG508" s="131" t="n"/>
      <c r="BH508" s="132" t="n"/>
      <c r="BI508" s="132" t="n"/>
      <c r="BJ508" s="128">
        <f>iferror(SUM($BK508,($BL508*1.2),($BM508*1.35),($BN508*0.74)),)</f>
        <v/>
      </c>
      <c r="BK508" s="128">
        <f>IFERROR(SUM($BT508:$CK508),)</f>
        <v/>
      </c>
      <c r="BL508" s="129">
        <f>IFERROR(SUM($CL508:$CN508),)</f>
        <v/>
      </c>
      <c r="BM508" s="130">
        <f>IFERROR(SUM($CO508:$CQ508),)</f>
        <v/>
      </c>
      <c r="BN508" s="128">
        <f>IFERROR(SUM($CR508:$CT508),)</f>
        <v/>
      </c>
      <c r="BO508" s="128">
        <f>iferror(SUM($BP508,($BQ508*1.2),($BR508*1.35),($BS508*0.74)),)</f>
        <v/>
      </c>
      <c r="BP508" s="128">
        <f>IFERROR(SUM($CU508:$DL508),)</f>
        <v/>
      </c>
      <c r="BQ508" s="128">
        <f>IFERROR(SUM($DM508:$DO508),)</f>
        <v/>
      </c>
      <c r="BR508" s="128">
        <f>IFERROR(SUM($DP508:$DR508),)</f>
        <v/>
      </c>
      <c r="BS508" s="128">
        <f>IFERROR(SUM($DS508:$DU508),)</f>
        <v/>
      </c>
      <c r="BT508" s="128">
        <f>IFERROR(AI508*$W508,)</f>
        <v/>
      </c>
      <c r="BU508" s="128">
        <f>IFERROR(AJ508*$W508,)</f>
        <v/>
      </c>
      <c r="BV508" s="128">
        <f>IFERROR(AK508*$W508,)</f>
        <v/>
      </c>
      <c r="BW508" s="128">
        <f>IFERROR(AL508*$W508,)</f>
        <v/>
      </c>
      <c r="BX508" s="128">
        <f>IFERROR(AM508*$W508,)</f>
        <v/>
      </c>
      <c r="BY508" s="128">
        <f>IFERROR(AN508*$W508,)</f>
        <v/>
      </c>
      <c r="BZ508" s="128">
        <f>IFERROR(AO508*$W508,)</f>
        <v/>
      </c>
      <c r="CA508" s="128">
        <f>IFERROR(AP508*$W508,)</f>
        <v/>
      </c>
      <c r="CB508" s="128">
        <f>IFERROR(AQ508*$W508,)</f>
        <v/>
      </c>
      <c r="CC508" s="128">
        <f>IFERROR(AR508*$W508,)</f>
        <v/>
      </c>
      <c r="CD508" s="128">
        <f>IFERROR(AS508*$W508,)</f>
        <v/>
      </c>
      <c r="CE508" s="128">
        <f>IFERROR(AT508*$W508,)</f>
        <v/>
      </c>
      <c r="CF508" s="128">
        <f>IFERROR(AU508*$W508,)</f>
        <v/>
      </c>
      <c r="CG508" s="128">
        <f>IFERROR(AV508*$W508,)</f>
        <v/>
      </c>
      <c r="CH508" s="128">
        <f>IFERROR(AW508*$W508,)</f>
        <v/>
      </c>
      <c r="CI508" s="128">
        <f>IFERROR(AX508*$W508,)</f>
        <v/>
      </c>
      <c r="CJ508" s="128">
        <f>IFERROR(AY508*$W508,)</f>
        <v/>
      </c>
      <c r="CK508" s="128">
        <f>IFERROR(AZ508*$W508,)</f>
        <v/>
      </c>
      <c r="CL508" s="129">
        <f>IFERROR(if($Y508=0,BA508*($W508/1.2),BA508*$Y508),"")</f>
        <v/>
      </c>
      <c r="CM508" s="129">
        <f>IFERROR(if($Y508=0,BB508*($W508/1.2),BB508*$Y508),"")</f>
        <v/>
      </c>
      <c r="CN508" s="129">
        <f>IFERROR(if($Y508=0,BC508*($W508/1.2),BC508*$Y508),"")</f>
        <v/>
      </c>
      <c r="CO508" s="130">
        <f>IFERROR(if($AA508=0,($W508/1.35)*BD508,BD508*$AA508),)</f>
        <v/>
      </c>
      <c r="CP508" s="130">
        <f>IFERROR(if($AA508=0,($W508/1.35)*BE508,BE508*$AA508),)</f>
        <v/>
      </c>
      <c r="CQ508" s="130">
        <f>IFERROR(if($AA508=0,($W508/1.35)*BF508,BF508*$AA508),)</f>
        <v/>
      </c>
      <c r="CR508" s="128">
        <f>IFERROR(if($AC508=0,($W508/0.74)*BG508,
BG508*$AC508),)</f>
        <v/>
      </c>
      <c r="CS508" s="128">
        <f>IFERROR(if($AC508=0,($W508/0.74)*BH508,
BH508*$AC508),)</f>
        <v/>
      </c>
      <c r="CT508" s="128">
        <f>IFERROR(if($AC508=0,($W508/0.74)*BI508,
BI508*$AC508),)</f>
        <v/>
      </c>
      <c r="CU508" s="128">
        <f>IFERROR(AI508*$V508,)</f>
        <v/>
      </c>
      <c r="CV508" s="128">
        <f>IFERROR(AJ508*$V508,)</f>
        <v/>
      </c>
      <c r="CW508" s="128">
        <f>IFERROR(AK508*$V508,)</f>
        <v/>
      </c>
      <c r="CX508" s="128">
        <f>IFERROR(AL508*$V508,)</f>
        <v/>
      </c>
      <c r="CY508" s="128">
        <f>IFERROR(AM508*$V508,)</f>
        <v/>
      </c>
      <c r="CZ508" s="128">
        <f>IFERROR(AN508*$V508,)</f>
        <v/>
      </c>
      <c r="DA508" s="128">
        <f>IFERROR(AO508*$V508,)</f>
        <v/>
      </c>
      <c r="DB508" s="128">
        <f>IFERROR(AP508*$V508,)</f>
        <v/>
      </c>
      <c r="DC508" s="128">
        <f>IFERROR(AQ508*$V508,)</f>
        <v/>
      </c>
      <c r="DD508" s="128">
        <f>IFERROR(AR508*$V508,)</f>
        <v/>
      </c>
      <c r="DE508" s="128">
        <f>IFERROR(AS508*$V508,)</f>
        <v/>
      </c>
      <c r="DF508" s="128">
        <f>IFERROR(AT508*$V508,)</f>
        <v/>
      </c>
      <c r="DG508" s="128">
        <f>IFERROR(AU508*$V508,)</f>
        <v/>
      </c>
      <c r="DH508" s="128">
        <f>IFERROR(AV508*$V508,)</f>
        <v/>
      </c>
      <c r="DI508" s="128">
        <f>IFERROR(AW508*$V508,)</f>
        <v/>
      </c>
      <c r="DJ508" s="128">
        <f>IFERROR(AX508*$V508,)</f>
        <v/>
      </c>
      <c r="DK508" s="128">
        <f>IFERROR(AY508*$V508,)</f>
        <v/>
      </c>
      <c r="DL508" s="128">
        <f>IFERROR(AZ508*$V508,)</f>
        <v/>
      </c>
      <c r="DM508" s="129">
        <f>IFERROR(if($X508=0,($V508/1.2)*BA508,
BA508*$X508),)</f>
        <v/>
      </c>
      <c r="DN508" s="129">
        <f>IFERROR(if($X508=0,($V508/1.2)*BB508,
BB508*$X508),)</f>
        <v/>
      </c>
      <c r="DO508" s="129">
        <f>IFERROR(if($X508=0,($V508/1.2)*BC508,
BC508*$X508),)</f>
        <v/>
      </c>
      <c r="DP508" s="130">
        <f>IFERROR(if($Z508=0,($V508/1.35)*BD508,
BD508*$Z508),)</f>
        <v/>
      </c>
      <c r="DQ508" s="130">
        <f>IFERROR(if($Z508=0,($V508/1.35)*BE508,
BE508*$Z508),)</f>
        <v/>
      </c>
      <c r="DR508" s="130">
        <f>IFERROR(if($Z508=0,($V508/1.35)*BF508,
BF508*$Z508),)</f>
        <v/>
      </c>
      <c r="DS508" s="128">
        <f>IFERROR(IF($AB508=0,($V508/0.74)*BG508,
BG508*$AB508),)</f>
        <v/>
      </c>
      <c r="DT508" s="128">
        <f>IFERROR(IF($AB508=0,($V508/0.74)*BH508,
BH508*$AB508),)</f>
        <v/>
      </c>
      <c r="DU508" s="128">
        <f>IFERROR(IF($AB508=0,($V508/0.74)*BI508,
BI508*$AB508),)</f>
        <v/>
      </c>
    </row>
    <row r="509" ht="131.25" customHeight="1" s="162">
      <c r="A509" s="115" t="n"/>
      <c r="B509" s="115" t="n"/>
      <c r="C509" s="115" t="n"/>
      <c r="D509" s="115" t="n"/>
      <c r="E509" s="115" t="n"/>
      <c r="F509" s="115" t="n"/>
      <c r="G509" s="115" t="n"/>
      <c r="H509" s="115" t="n"/>
      <c r="I509" s="115" t="n"/>
      <c r="J509" s="115" t="n"/>
      <c r="K509" s="115" t="n"/>
      <c r="L509" s="115" t="n"/>
      <c r="M509" s="115" t="n"/>
      <c r="N509" s="115" t="n"/>
      <c r="O509" s="115" t="n"/>
      <c r="P509" s="115" t="n"/>
      <c r="Q509" s="115" t="n"/>
      <c r="R509" s="115" t="n"/>
      <c r="S509" s="115" t="n"/>
      <c r="T509" s="115" t="n"/>
      <c r="U509" s="116" t="n"/>
      <c r="V509" s="116" t="n"/>
      <c r="W509" s="117" t="n"/>
      <c r="X509" s="118" t="n"/>
      <c r="Y509" s="119" t="n"/>
      <c r="Z509" s="120" t="n"/>
      <c r="AA509" s="121" t="n"/>
      <c r="AB509" s="122" t="n"/>
      <c r="AC509" s="117" t="n"/>
      <c r="AD509" s="123">
        <f>IF(SUM($AE509:$AH509)=0,"",SUM($AE509:$AH509))</f>
        <v/>
      </c>
      <c r="AE509" s="123">
        <f>iferror(IF(SUM($AI509:$AZ509)=0,"",SUM($AI509:$AZ509)),"")</f>
        <v/>
      </c>
      <c r="AF509" s="123">
        <f>iferror(IF(SUM($BA509:$BC509)=0,"",SUM($BA509:$BC509)),"")</f>
        <v/>
      </c>
      <c r="AG509" s="123">
        <f>iferror(IF(SUM($BD509:$BF509)=0,"",SUM($BD509:$BF509)),"")</f>
        <v/>
      </c>
      <c r="AH509" s="124">
        <f>iferror(IF(SUM($BG509:$BI509)=0,"",SUM($BG509:$BI509)),"")</f>
        <v/>
      </c>
      <c r="AI509" s="131" t="n"/>
      <c r="AJ509" s="132" t="n"/>
      <c r="AK509" s="132" t="n"/>
      <c r="AL509" s="132" t="n"/>
      <c r="AM509" s="132" t="n"/>
      <c r="AN509" s="132" t="n"/>
      <c r="AO509" s="132" t="n"/>
      <c r="AP509" s="132" t="n"/>
      <c r="AQ509" s="132" t="n"/>
      <c r="AR509" s="132" t="n"/>
      <c r="AS509" s="132" t="n"/>
      <c r="AT509" s="132" t="n"/>
      <c r="AU509" s="132" t="n"/>
      <c r="AV509" s="132" t="n"/>
      <c r="AW509" s="132" t="n"/>
      <c r="AX509" s="132" t="n"/>
      <c r="AY509" s="132" t="n"/>
      <c r="AZ509" s="133" t="n"/>
      <c r="BA509" s="131" t="n"/>
      <c r="BB509" s="132" t="n"/>
      <c r="BC509" s="133" t="n"/>
      <c r="BD509" s="131" t="n"/>
      <c r="BE509" s="132" t="n"/>
      <c r="BF509" s="133" t="n"/>
      <c r="BG509" s="131" t="n"/>
      <c r="BH509" s="132" t="n"/>
      <c r="BI509" s="132" t="n"/>
      <c r="BJ509" s="128">
        <f>iferror(SUM($BK509,($BL509*1.2),($BM509*1.35),($BN509*0.74)),)</f>
        <v/>
      </c>
      <c r="BK509" s="128">
        <f>IFERROR(SUM($BT509:$CK509),)</f>
        <v/>
      </c>
      <c r="BL509" s="129">
        <f>IFERROR(SUM($CL509:$CN509),)</f>
        <v/>
      </c>
      <c r="BM509" s="130">
        <f>IFERROR(SUM($CO509:$CQ509),)</f>
        <v/>
      </c>
      <c r="BN509" s="128">
        <f>IFERROR(SUM($CR509:$CT509),)</f>
        <v/>
      </c>
      <c r="BO509" s="128">
        <f>iferror(SUM($BP509,($BQ509*1.2),($BR509*1.35),($BS509*0.74)),)</f>
        <v/>
      </c>
      <c r="BP509" s="128">
        <f>IFERROR(SUM($CU509:$DL509),)</f>
        <v/>
      </c>
      <c r="BQ509" s="128">
        <f>IFERROR(SUM($DM509:$DO509),)</f>
        <v/>
      </c>
      <c r="BR509" s="128">
        <f>IFERROR(SUM($DP509:$DR509),)</f>
        <v/>
      </c>
      <c r="BS509" s="128">
        <f>IFERROR(SUM($DS509:$DU509),)</f>
        <v/>
      </c>
      <c r="BT509" s="128">
        <f>IFERROR(AI509*$W509,)</f>
        <v/>
      </c>
      <c r="BU509" s="128">
        <f>IFERROR(AJ509*$W509,)</f>
        <v/>
      </c>
      <c r="BV509" s="128">
        <f>IFERROR(AK509*$W509,)</f>
        <v/>
      </c>
      <c r="BW509" s="128">
        <f>IFERROR(AL509*$W509,)</f>
        <v/>
      </c>
      <c r="BX509" s="128">
        <f>IFERROR(AM509*$W509,)</f>
        <v/>
      </c>
      <c r="BY509" s="128">
        <f>IFERROR(AN509*$W509,)</f>
        <v/>
      </c>
      <c r="BZ509" s="128">
        <f>IFERROR(AO509*$W509,)</f>
        <v/>
      </c>
      <c r="CA509" s="128">
        <f>IFERROR(AP509*$W509,)</f>
        <v/>
      </c>
      <c r="CB509" s="128">
        <f>IFERROR(AQ509*$W509,)</f>
        <v/>
      </c>
      <c r="CC509" s="128">
        <f>IFERROR(AR509*$W509,)</f>
        <v/>
      </c>
      <c r="CD509" s="128">
        <f>IFERROR(AS509*$W509,)</f>
        <v/>
      </c>
      <c r="CE509" s="128">
        <f>IFERROR(AT509*$W509,)</f>
        <v/>
      </c>
      <c r="CF509" s="128">
        <f>IFERROR(AU509*$W509,)</f>
        <v/>
      </c>
      <c r="CG509" s="128">
        <f>IFERROR(AV509*$W509,)</f>
        <v/>
      </c>
      <c r="CH509" s="128">
        <f>IFERROR(AW509*$W509,)</f>
        <v/>
      </c>
      <c r="CI509" s="128">
        <f>IFERROR(AX509*$W509,)</f>
        <v/>
      </c>
      <c r="CJ509" s="128">
        <f>IFERROR(AY509*$W509,)</f>
        <v/>
      </c>
      <c r="CK509" s="128">
        <f>IFERROR(AZ509*$W509,)</f>
        <v/>
      </c>
      <c r="CL509" s="129">
        <f>IFERROR(if($Y509=0,BA509*($W509/1.2),BA509*$Y509),"")</f>
        <v/>
      </c>
      <c r="CM509" s="129">
        <f>IFERROR(if($Y509=0,BB509*($W509/1.2),BB509*$Y509),"")</f>
        <v/>
      </c>
      <c r="CN509" s="129">
        <f>IFERROR(if($Y509=0,BC509*($W509/1.2),BC509*$Y509),"")</f>
        <v/>
      </c>
      <c r="CO509" s="130">
        <f>IFERROR(if($AA509=0,($W509/1.35)*BD509,BD509*$AA509),)</f>
        <v/>
      </c>
      <c r="CP509" s="130">
        <f>IFERROR(if($AA509=0,($W509/1.35)*BE509,BE509*$AA509),)</f>
        <v/>
      </c>
      <c r="CQ509" s="130">
        <f>IFERROR(if($AA509=0,($W509/1.35)*BF509,BF509*$AA509),)</f>
        <v/>
      </c>
      <c r="CR509" s="128">
        <f>IFERROR(if($AC509=0,($W509/0.74)*BG509,
BG509*$AC509),)</f>
        <v/>
      </c>
      <c r="CS509" s="128">
        <f>IFERROR(if($AC509=0,($W509/0.74)*BH509,
BH509*$AC509),)</f>
        <v/>
      </c>
      <c r="CT509" s="128">
        <f>IFERROR(if($AC509=0,($W509/0.74)*BI509,
BI509*$AC509),)</f>
        <v/>
      </c>
      <c r="CU509" s="128">
        <f>IFERROR(AI509*$V509,)</f>
        <v/>
      </c>
      <c r="CV509" s="128">
        <f>IFERROR(AJ509*$V509,)</f>
        <v/>
      </c>
      <c r="CW509" s="128">
        <f>IFERROR(AK509*$V509,)</f>
        <v/>
      </c>
      <c r="CX509" s="128">
        <f>IFERROR(AL509*$V509,)</f>
        <v/>
      </c>
      <c r="CY509" s="128">
        <f>IFERROR(AM509*$V509,)</f>
        <v/>
      </c>
      <c r="CZ509" s="128">
        <f>IFERROR(AN509*$V509,)</f>
        <v/>
      </c>
      <c r="DA509" s="128">
        <f>IFERROR(AO509*$V509,)</f>
        <v/>
      </c>
      <c r="DB509" s="128">
        <f>IFERROR(AP509*$V509,)</f>
        <v/>
      </c>
      <c r="DC509" s="128">
        <f>IFERROR(AQ509*$V509,)</f>
        <v/>
      </c>
      <c r="DD509" s="128">
        <f>IFERROR(AR509*$V509,)</f>
        <v/>
      </c>
      <c r="DE509" s="128">
        <f>IFERROR(AS509*$V509,)</f>
        <v/>
      </c>
      <c r="DF509" s="128">
        <f>IFERROR(AT509*$V509,)</f>
        <v/>
      </c>
      <c r="DG509" s="128">
        <f>IFERROR(AU509*$V509,)</f>
        <v/>
      </c>
      <c r="DH509" s="128">
        <f>IFERROR(AV509*$V509,)</f>
        <v/>
      </c>
      <c r="DI509" s="128">
        <f>IFERROR(AW509*$V509,)</f>
        <v/>
      </c>
      <c r="DJ509" s="128">
        <f>IFERROR(AX509*$V509,)</f>
        <v/>
      </c>
      <c r="DK509" s="128">
        <f>IFERROR(AY509*$V509,)</f>
        <v/>
      </c>
      <c r="DL509" s="128">
        <f>IFERROR(AZ509*$V509,)</f>
        <v/>
      </c>
      <c r="DM509" s="129">
        <f>IFERROR(if($X509=0,($V509/1.2)*BA509,
BA509*$X509),)</f>
        <v/>
      </c>
      <c r="DN509" s="129">
        <f>IFERROR(if($X509=0,($V509/1.2)*BB509,
BB509*$X509),)</f>
        <v/>
      </c>
      <c r="DO509" s="129">
        <f>IFERROR(if($X509=0,($V509/1.2)*BC509,
BC509*$X509),)</f>
        <v/>
      </c>
      <c r="DP509" s="130">
        <f>IFERROR(if($Z509=0,($V509/1.35)*BD509,
BD509*$Z509),)</f>
        <v/>
      </c>
      <c r="DQ509" s="130">
        <f>IFERROR(if($Z509=0,($V509/1.35)*BE509,
BE509*$Z509),)</f>
        <v/>
      </c>
      <c r="DR509" s="130">
        <f>IFERROR(if($Z509=0,($V509/1.35)*BF509,
BF509*$Z509),)</f>
        <v/>
      </c>
      <c r="DS509" s="128">
        <f>IFERROR(IF($AB509=0,($V509/0.74)*BG509,
BG509*$AB509),)</f>
        <v/>
      </c>
      <c r="DT509" s="128">
        <f>IFERROR(IF($AB509=0,($V509/0.74)*BH509,
BH509*$AB509),)</f>
        <v/>
      </c>
      <c r="DU509" s="128">
        <f>IFERROR(IF($AB509=0,($V509/0.74)*BI509,
BI509*$AB509),)</f>
        <v/>
      </c>
    </row>
    <row r="510" ht="131.25" customHeight="1" s="162">
      <c r="A510" s="115" t="n"/>
      <c r="B510" s="115" t="n"/>
      <c r="C510" s="115" t="n"/>
      <c r="D510" s="115" t="n"/>
      <c r="E510" s="115" t="n"/>
      <c r="F510" s="115" t="n"/>
      <c r="G510" s="115" t="n"/>
      <c r="H510" s="115" t="n"/>
      <c r="I510" s="115" t="n"/>
      <c r="J510" s="115" t="n"/>
      <c r="K510" s="115" t="n"/>
      <c r="L510" s="115" t="n"/>
      <c r="M510" s="115" t="n"/>
      <c r="N510" s="115" t="n"/>
      <c r="O510" s="115" t="n"/>
      <c r="P510" s="115" t="n"/>
      <c r="Q510" s="115" t="n"/>
      <c r="R510" s="115" t="n"/>
      <c r="S510" s="115" t="n"/>
      <c r="T510" s="115" t="n"/>
      <c r="U510" s="116" t="n"/>
      <c r="V510" s="116" t="n"/>
      <c r="W510" s="117" t="n"/>
      <c r="X510" s="118" t="n"/>
      <c r="Y510" s="119" t="n"/>
      <c r="Z510" s="120" t="n"/>
      <c r="AA510" s="121" t="n"/>
      <c r="AB510" s="122" t="n"/>
      <c r="AC510" s="117" t="n"/>
      <c r="AD510" s="123">
        <f>IF(SUM($AE510:$AH510)=0,"",SUM($AE510:$AH510))</f>
        <v/>
      </c>
      <c r="AE510" s="123">
        <f>iferror(IF(SUM($AI510:$AZ510)=0,"",SUM($AI510:$AZ510)),"")</f>
        <v/>
      </c>
      <c r="AF510" s="123">
        <f>iferror(IF(SUM($BA510:$BC510)=0,"",SUM($BA510:$BC510)),"")</f>
        <v/>
      </c>
      <c r="AG510" s="123">
        <f>iferror(IF(SUM($BD510:$BF510)=0,"",SUM($BD510:$BF510)),"")</f>
        <v/>
      </c>
      <c r="AH510" s="124">
        <f>iferror(IF(SUM($BG510:$BI510)=0,"",SUM($BG510:$BI510)),"")</f>
        <v/>
      </c>
      <c r="AI510" s="131" t="n"/>
      <c r="AJ510" s="132" t="n"/>
      <c r="AK510" s="132" t="n"/>
      <c r="AL510" s="132" t="n"/>
      <c r="AM510" s="132" t="n"/>
      <c r="AN510" s="132" t="n"/>
      <c r="AO510" s="132" t="n"/>
      <c r="AP510" s="132" t="n"/>
      <c r="AQ510" s="132" t="n"/>
      <c r="AR510" s="132" t="n"/>
      <c r="AS510" s="132" t="n"/>
      <c r="AT510" s="132" t="n"/>
      <c r="AU510" s="132" t="n"/>
      <c r="AV510" s="132" t="n"/>
      <c r="AW510" s="132" t="n"/>
      <c r="AX510" s="132" t="n"/>
      <c r="AY510" s="132" t="n"/>
      <c r="AZ510" s="133" t="n"/>
      <c r="BA510" s="131" t="n"/>
      <c r="BB510" s="132" t="n"/>
      <c r="BC510" s="133" t="n"/>
      <c r="BD510" s="131" t="n"/>
      <c r="BE510" s="132" t="n"/>
      <c r="BF510" s="133" t="n"/>
      <c r="BG510" s="131" t="n"/>
      <c r="BH510" s="132" t="n"/>
      <c r="BI510" s="132" t="n"/>
      <c r="BJ510" s="128">
        <f>iferror(SUM($BK510,($BL510*1.2),($BM510*1.35),($BN510*0.74)),)</f>
        <v/>
      </c>
      <c r="BK510" s="128">
        <f>IFERROR(SUM($BT510:$CK510),)</f>
        <v/>
      </c>
      <c r="BL510" s="129">
        <f>IFERROR(SUM($CL510:$CN510),)</f>
        <v/>
      </c>
      <c r="BM510" s="130">
        <f>IFERROR(SUM($CO510:$CQ510),)</f>
        <v/>
      </c>
      <c r="BN510" s="128">
        <f>IFERROR(SUM($CR510:$CT510),)</f>
        <v/>
      </c>
      <c r="BO510" s="128">
        <f>iferror(SUM($BP510,($BQ510*1.2),($BR510*1.35),($BS510*0.74)),)</f>
        <v/>
      </c>
      <c r="BP510" s="128">
        <f>IFERROR(SUM($CU510:$DL510),)</f>
        <v/>
      </c>
      <c r="BQ510" s="128">
        <f>IFERROR(SUM($DM510:$DO510),)</f>
        <v/>
      </c>
      <c r="BR510" s="128">
        <f>IFERROR(SUM($DP510:$DR510),)</f>
        <v/>
      </c>
      <c r="BS510" s="128">
        <f>IFERROR(SUM($DS510:$DU510),)</f>
        <v/>
      </c>
      <c r="BT510" s="128">
        <f>IFERROR(AI510*$W510,)</f>
        <v/>
      </c>
      <c r="BU510" s="128">
        <f>IFERROR(AJ510*$W510,)</f>
        <v/>
      </c>
      <c r="BV510" s="128">
        <f>IFERROR(AK510*$W510,)</f>
        <v/>
      </c>
      <c r="BW510" s="128">
        <f>IFERROR(AL510*$W510,)</f>
        <v/>
      </c>
      <c r="BX510" s="128">
        <f>IFERROR(AM510*$W510,)</f>
        <v/>
      </c>
      <c r="BY510" s="128">
        <f>IFERROR(AN510*$W510,)</f>
        <v/>
      </c>
      <c r="BZ510" s="128">
        <f>IFERROR(AO510*$W510,)</f>
        <v/>
      </c>
      <c r="CA510" s="128">
        <f>IFERROR(AP510*$W510,)</f>
        <v/>
      </c>
      <c r="CB510" s="128">
        <f>IFERROR(AQ510*$W510,)</f>
        <v/>
      </c>
      <c r="CC510" s="128">
        <f>IFERROR(AR510*$W510,)</f>
        <v/>
      </c>
      <c r="CD510" s="128">
        <f>IFERROR(AS510*$W510,)</f>
        <v/>
      </c>
      <c r="CE510" s="128">
        <f>IFERROR(AT510*$W510,)</f>
        <v/>
      </c>
      <c r="CF510" s="128">
        <f>IFERROR(AU510*$W510,)</f>
        <v/>
      </c>
      <c r="CG510" s="128">
        <f>IFERROR(AV510*$W510,)</f>
        <v/>
      </c>
      <c r="CH510" s="128">
        <f>IFERROR(AW510*$W510,)</f>
        <v/>
      </c>
      <c r="CI510" s="128">
        <f>IFERROR(AX510*$W510,)</f>
        <v/>
      </c>
      <c r="CJ510" s="128">
        <f>IFERROR(AY510*$W510,)</f>
        <v/>
      </c>
      <c r="CK510" s="128">
        <f>IFERROR(AZ510*$W510,)</f>
        <v/>
      </c>
      <c r="CL510" s="129">
        <f>IFERROR(if($Y510=0,BA510*($W510/1.2),BA510*$Y510),"")</f>
        <v/>
      </c>
      <c r="CM510" s="129">
        <f>IFERROR(if($Y510=0,BB510*($W510/1.2),BB510*$Y510),"")</f>
        <v/>
      </c>
      <c r="CN510" s="129">
        <f>IFERROR(if($Y510=0,BC510*($W510/1.2),BC510*$Y510),"")</f>
        <v/>
      </c>
      <c r="CO510" s="130">
        <f>IFERROR(if($AA510=0,($W510/1.35)*BD510,BD510*$AA510),)</f>
        <v/>
      </c>
      <c r="CP510" s="130">
        <f>IFERROR(if($AA510=0,($W510/1.35)*BE510,BE510*$AA510),)</f>
        <v/>
      </c>
      <c r="CQ510" s="130">
        <f>IFERROR(if($AA510=0,($W510/1.35)*BF510,BF510*$AA510),)</f>
        <v/>
      </c>
      <c r="CR510" s="128">
        <f>IFERROR(if($AC510=0,($W510/0.74)*BG510,
BG510*$AC510),)</f>
        <v/>
      </c>
      <c r="CS510" s="128">
        <f>IFERROR(if($AC510=0,($W510/0.74)*BH510,
BH510*$AC510),)</f>
        <v/>
      </c>
      <c r="CT510" s="128">
        <f>IFERROR(if($AC510=0,($W510/0.74)*BI510,
BI510*$AC510),)</f>
        <v/>
      </c>
      <c r="CU510" s="128">
        <f>IFERROR(AI510*$V510,)</f>
        <v/>
      </c>
      <c r="CV510" s="128">
        <f>IFERROR(AJ510*$V510,)</f>
        <v/>
      </c>
      <c r="CW510" s="128">
        <f>IFERROR(AK510*$V510,)</f>
        <v/>
      </c>
      <c r="CX510" s="128">
        <f>IFERROR(AL510*$V510,)</f>
        <v/>
      </c>
      <c r="CY510" s="128">
        <f>IFERROR(AM510*$V510,)</f>
        <v/>
      </c>
      <c r="CZ510" s="128">
        <f>IFERROR(AN510*$V510,)</f>
        <v/>
      </c>
      <c r="DA510" s="128">
        <f>IFERROR(AO510*$V510,)</f>
        <v/>
      </c>
      <c r="DB510" s="128">
        <f>IFERROR(AP510*$V510,)</f>
        <v/>
      </c>
      <c r="DC510" s="128">
        <f>IFERROR(AQ510*$V510,)</f>
        <v/>
      </c>
      <c r="DD510" s="128">
        <f>IFERROR(AR510*$V510,)</f>
        <v/>
      </c>
      <c r="DE510" s="128">
        <f>IFERROR(AS510*$V510,)</f>
        <v/>
      </c>
      <c r="DF510" s="128">
        <f>IFERROR(AT510*$V510,)</f>
        <v/>
      </c>
      <c r="DG510" s="128">
        <f>IFERROR(AU510*$V510,)</f>
        <v/>
      </c>
      <c r="DH510" s="128">
        <f>IFERROR(AV510*$V510,)</f>
        <v/>
      </c>
      <c r="DI510" s="128">
        <f>IFERROR(AW510*$V510,)</f>
        <v/>
      </c>
      <c r="DJ510" s="128">
        <f>IFERROR(AX510*$V510,)</f>
        <v/>
      </c>
      <c r="DK510" s="128">
        <f>IFERROR(AY510*$V510,)</f>
        <v/>
      </c>
      <c r="DL510" s="128">
        <f>IFERROR(AZ510*$V510,)</f>
        <v/>
      </c>
      <c r="DM510" s="129">
        <f>IFERROR(if($X510=0,($V510/1.2)*BA510,
BA510*$X510),)</f>
        <v/>
      </c>
      <c r="DN510" s="129">
        <f>IFERROR(if($X510=0,($V510/1.2)*BB510,
BB510*$X510),)</f>
        <v/>
      </c>
      <c r="DO510" s="129">
        <f>IFERROR(if($X510=0,($V510/1.2)*BC510,
BC510*$X510),)</f>
        <v/>
      </c>
      <c r="DP510" s="130">
        <f>IFERROR(if($Z510=0,($V510/1.35)*BD510,
BD510*$Z510),)</f>
        <v/>
      </c>
      <c r="DQ510" s="130">
        <f>IFERROR(if($Z510=0,($V510/1.35)*BE510,
BE510*$Z510),)</f>
        <v/>
      </c>
      <c r="DR510" s="130">
        <f>IFERROR(if($Z510=0,($V510/1.35)*BF510,
BF510*$Z510),)</f>
        <v/>
      </c>
      <c r="DS510" s="128">
        <f>IFERROR(IF($AB510=0,($V510/0.74)*BG510,
BG510*$AB510),)</f>
        <v/>
      </c>
      <c r="DT510" s="128">
        <f>IFERROR(IF($AB510=0,($V510/0.74)*BH510,
BH510*$AB510),)</f>
        <v/>
      </c>
      <c r="DU510" s="128">
        <f>IFERROR(IF($AB510=0,($V510/0.74)*BI510,
BI510*$AB510),)</f>
        <v/>
      </c>
    </row>
    <row r="511" ht="131.25" customHeight="1" s="162">
      <c r="A511" s="115" t="n"/>
      <c r="B511" s="115" t="n"/>
      <c r="C511" s="115" t="n"/>
      <c r="D511" s="115" t="n"/>
      <c r="E511" s="115" t="n"/>
      <c r="F511" s="115" t="n"/>
      <c r="G511" s="115" t="n"/>
      <c r="H511" s="115" t="n"/>
      <c r="I511" s="115" t="n"/>
      <c r="J511" s="115" t="n"/>
      <c r="K511" s="115" t="n"/>
      <c r="L511" s="115" t="n"/>
      <c r="M511" s="115" t="n"/>
      <c r="N511" s="115" t="n"/>
      <c r="O511" s="115" t="n"/>
      <c r="P511" s="115" t="n"/>
      <c r="Q511" s="115" t="n"/>
      <c r="R511" s="115" t="n"/>
      <c r="S511" s="115" t="n"/>
      <c r="T511" s="115" t="n"/>
      <c r="U511" s="116" t="n"/>
      <c r="V511" s="116" t="n"/>
      <c r="W511" s="117" t="n"/>
      <c r="X511" s="118" t="n"/>
      <c r="Y511" s="119" t="n"/>
      <c r="Z511" s="120" t="n"/>
      <c r="AA511" s="121" t="n"/>
      <c r="AB511" s="122" t="n"/>
      <c r="AC511" s="117" t="n"/>
      <c r="AD511" s="123">
        <f>IF(SUM($AE511:$AH511)=0,"",SUM($AE511:$AH511))</f>
        <v/>
      </c>
      <c r="AE511" s="123">
        <f>iferror(IF(SUM($AI511:$AZ511)=0,"",SUM($AI511:$AZ511)),"")</f>
        <v/>
      </c>
      <c r="AF511" s="123">
        <f>iferror(IF(SUM($BA511:$BC511)=0,"",SUM($BA511:$BC511)),"")</f>
        <v/>
      </c>
      <c r="AG511" s="123">
        <f>iferror(IF(SUM($BD511:$BF511)=0,"",SUM($BD511:$BF511)),"")</f>
        <v/>
      </c>
      <c r="AH511" s="124">
        <f>iferror(IF(SUM($BG511:$BI511)=0,"",SUM($BG511:$BI511)),"")</f>
        <v/>
      </c>
      <c r="AI511" s="131" t="n"/>
      <c r="AJ511" s="132" t="n"/>
      <c r="AK511" s="132" t="n"/>
      <c r="AL511" s="132" t="n"/>
      <c r="AM511" s="132" t="n"/>
      <c r="AN511" s="132" t="n"/>
      <c r="AO511" s="132" t="n"/>
      <c r="AP511" s="132" t="n"/>
      <c r="AQ511" s="132" t="n"/>
      <c r="AR511" s="132" t="n"/>
      <c r="AS511" s="132" t="n"/>
      <c r="AT511" s="132" t="n"/>
      <c r="AU511" s="132" t="n"/>
      <c r="AV511" s="132" t="n"/>
      <c r="AW511" s="132" t="n"/>
      <c r="AX511" s="132" t="n"/>
      <c r="AY511" s="132" t="n"/>
      <c r="AZ511" s="133" t="n"/>
      <c r="BA511" s="131" t="n"/>
      <c r="BB511" s="132" t="n"/>
      <c r="BC511" s="133" t="n"/>
      <c r="BD511" s="131" t="n"/>
      <c r="BE511" s="132" t="n"/>
      <c r="BF511" s="133" t="n"/>
      <c r="BG511" s="131" t="n"/>
      <c r="BH511" s="132" t="n"/>
      <c r="BI511" s="132" t="n"/>
      <c r="BJ511" s="128">
        <f>iferror(SUM($BK511,($BL511*1.2),($BM511*1.35),($BN511*0.74)),)</f>
        <v/>
      </c>
      <c r="BK511" s="128">
        <f>IFERROR(SUM($BT511:$CK511),)</f>
        <v/>
      </c>
      <c r="BL511" s="129">
        <f>IFERROR(SUM($CL511:$CN511),)</f>
        <v/>
      </c>
      <c r="BM511" s="130">
        <f>IFERROR(SUM($CO511:$CQ511),)</f>
        <v/>
      </c>
      <c r="BN511" s="128">
        <f>IFERROR(SUM($CR511:$CT511),)</f>
        <v/>
      </c>
      <c r="BO511" s="128">
        <f>iferror(SUM($BP511,($BQ511*1.2),($BR511*1.35),($BS511*0.74)),)</f>
        <v/>
      </c>
      <c r="BP511" s="128">
        <f>IFERROR(SUM($CU511:$DL511),)</f>
        <v/>
      </c>
      <c r="BQ511" s="128">
        <f>IFERROR(SUM($DM511:$DO511),)</f>
        <v/>
      </c>
      <c r="BR511" s="128">
        <f>IFERROR(SUM($DP511:$DR511),)</f>
        <v/>
      </c>
      <c r="BS511" s="128">
        <f>IFERROR(SUM($DS511:$DU511),)</f>
        <v/>
      </c>
      <c r="BT511" s="128">
        <f>IFERROR(AI511*$W511,)</f>
        <v/>
      </c>
      <c r="BU511" s="128">
        <f>IFERROR(AJ511*$W511,)</f>
        <v/>
      </c>
      <c r="BV511" s="128">
        <f>IFERROR(AK511*$W511,)</f>
        <v/>
      </c>
      <c r="BW511" s="128">
        <f>IFERROR(AL511*$W511,)</f>
        <v/>
      </c>
      <c r="BX511" s="128">
        <f>IFERROR(AM511*$W511,)</f>
        <v/>
      </c>
      <c r="BY511" s="128">
        <f>IFERROR(AN511*$W511,)</f>
        <v/>
      </c>
      <c r="BZ511" s="128">
        <f>IFERROR(AO511*$W511,)</f>
        <v/>
      </c>
      <c r="CA511" s="128">
        <f>IFERROR(AP511*$W511,)</f>
        <v/>
      </c>
      <c r="CB511" s="128">
        <f>IFERROR(AQ511*$W511,)</f>
        <v/>
      </c>
      <c r="CC511" s="128">
        <f>IFERROR(AR511*$W511,)</f>
        <v/>
      </c>
      <c r="CD511" s="128">
        <f>IFERROR(AS511*$W511,)</f>
        <v/>
      </c>
      <c r="CE511" s="128">
        <f>IFERROR(AT511*$W511,)</f>
        <v/>
      </c>
      <c r="CF511" s="128">
        <f>IFERROR(AU511*$W511,)</f>
        <v/>
      </c>
      <c r="CG511" s="128">
        <f>IFERROR(AV511*$W511,)</f>
        <v/>
      </c>
      <c r="CH511" s="128">
        <f>IFERROR(AW511*$W511,)</f>
        <v/>
      </c>
      <c r="CI511" s="128">
        <f>IFERROR(AX511*$W511,)</f>
        <v/>
      </c>
      <c r="CJ511" s="128">
        <f>IFERROR(AY511*$W511,)</f>
        <v/>
      </c>
      <c r="CK511" s="128">
        <f>IFERROR(AZ511*$W511,)</f>
        <v/>
      </c>
      <c r="CL511" s="129">
        <f>IFERROR(if($Y511=0,BA511*($W511/1.2),BA511*$Y511),"")</f>
        <v/>
      </c>
      <c r="CM511" s="129">
        <f>IFERROR(if($Y511=0,BB511*($W511/1.2),BB511*$Y511),"")</f>
        <v/>
      </c>
      <c r="CN511" s="129">
        <f>IFERROR(if($Y511=0,BC511*($W511/1.2),BC511*$Y511),"")</f>
        <v/>
      </c>
      <c r="CO511" s="130">
        <f>IFERROR(if($AA511=0,($W511/1.35)*BD511,BD511*$AA511),)</f>
        <v/>
      </c>
      <c r="CP511" s="130">
        <f>IFERROR(if($AA511=0,($W511/1.35)*BE511,BE511*$AA511),)</f>
        <v/>
      </c>
      <c r="CQ511" s="130">
        <f>IFERROR(if($AA511=0,($W511/1.35)*BF511,BF511*$AA511),)</f>
        <v/>
      </c>
      <c r="CR511" s="128">
        <f>IFERROR(if($AC511=0,($W511/0.74)*BG511,
BG511*$AC511),)</f>
        <v/>
      </c>
      <c r="CS511" s="128">
        <f>IFERROR(if($AC511=0,($W511/0.74)*BH511,
BH511*$AC511),)</f>
        <v/>
      </c>
      <c r="CT511" s="128">
        <f>IFERROR(if($AC511=0,($W511/0.74)*BI511,
BI511*$AC511),)</f>
        <v/>
      </c>
      <c r="CU511" s="128">
        <f>IFERROR(AI511*$V511,)</f>
        <v/>
      </c>
      <c r="CV511" s="128">
        <f>IFERROR(AJ511*$V511,)</f>
        <v/>
      </c>
      <c r="CW511" s="128">
        <f>IFERROR(AK511*$V511,)</f>
        <v/>
      </c>
      <c r="CX511" s="128">
        <f>IFERROR(AL511*$V511,)</f>
        <v/>
      </c>
      <c r="CY511" s="128">
        <f>IFERROR(AM511*$V511,)</f>
        <v/>
      </c>
      <c r="CZ511" s="128">
        <f>IFERROR(AN511*$V511,)</f>
        <v/>
      </c>
      <c r="DA511" s="128">
        <f>IFERROR(AO511*$V511,)</f>
        <v/>
      </c>
      <c r="DB511" s="128">
        <f>IFERROR(AP511*$V511,)</f>
        <v/>
      </c>
      <c r="DC511" s="128">
        <f>IFERROR(AQ511*$V511,)</f>
        <v/>
      </c>
      <c r="DD511" s="128">
        <f>IFERROR(AR511*$V511,)</f>
        <v/>
      </c>
      <c r="DE511" s="128">
        <f>IFERROR(AS511*$V511,)</f>
        <v/>
      </c>
      <c r="DF511" s="128">
        <f>IFERROR(AT511*$V511,)</f>
        <v/>
      </c>
      <c r="DG511" s="128">
        <f>IFERROR(AU511*$V511,)</f>
        <v/>
      </c>
      <c r="DH511" s="128">
        <f>IFERROR(AV511*$V511,)</f>
        <v/>
      </c>
      <c r="DI511" s="128">
        <f>IFERROR(AW511*$V511,)</f>
        <v/>
      </c>
      <c r="DJ511" s="128">
        <f>IFERROR(AX511*$V511,)</f>
        <v/>
      </c>
      <c r="DK511" s="128">
        <f>IFERROR(AY511*$V511,)</f>
        <v/>
      </c>
      <c r="DL511" s="128">
        <f>IFERROR(AZ511*$V511,)</f>
        <v/>
      </c>
      <c r="DM511" s="129">
        <f>IFERROR(if($X511=0,($V511/1.2)*BA511,
BA511*$X511),)</f>
        <v/>
      </c>
      <c r="DN511" s="129">
        <f>IFERROR(if($X511=0,($V511/1.2)*BB511,
BB511*$X511),)</f>
        <v/>
      </c>
      <c r="DO511" s="129">
        <f>IFERROR(if($X511=0,($V511/1.2)*BC511,
BC511*$X511),)</f>
        <v/>
      </c>
      <c r="DP511" s="130">
        <f>IFERROR(if($Z511=0,($V511/1.35)*BD511,
BD511*$Z511),)</f>
        <v/>
      </c>
      <c r="DQ511" s="130">
        <f>IFERROR(if($Z511=0,($V511/1.35)*BE511,
BE511*$Z511),)</f>
        <v/>
      </c>
      <c r="DR511" s="130">
        <f>IFERROR(if($Z511=0,($V511/1.35)*BF511,
BF511*$Z511),)</f>
        <v/>
      </c>
      <c r="DS511" s="128">
        <f>IFERROR(IF($AB511=0,($V511/0.74)*BG511,
BG511*$AB511),)</f>
        <v/>
      </c>
      <c r="DT511" s="128">
        <f>IFERROR(IF($AB511=0,($V511/0.74)*BH511,
BH511*$AB511),)</f>
        <v/>
      </c>
      <c r="DU511" s="128">
        <f>IFERROR(IF($AB511=0,($V511/0.74)*BI511,
BI511*$AB511),)</f>
        <v/>
      </c>
    </row>
    <row r="512" ht="131.25" customHeight="1" s="162">
      <c r="A512" s="115" t="n"/>
      <c r="B512" s="115" t="n"/>
      <c r="C512" s="115" t="n"/>
      <c r="D512" s="115" t="n"/>
      <c r="E512" s="115" t="n"/>
      <c r="F512" s="115" t="n"/>
      <c r="G512" s="115" t="n"/>
      <c r="H512" s="115" t="n"/>
      <c r="I512" s="115" t="n"/>
      <c r="J512" s="115" t="n"/>
      <c r="K512" s="115" t="n"/>
      <c r="L512" s="115" t="n"/>
      <c r="M512" s="115" t="n"/>
      <c r="N512" s="115" t="n"/>
      <c r="O512" s="115" t="n"/>
      <c r="P512" s="115" t="n"/>
      <c r="Q512" s="115" t="n"/>
      <c r="R512" s="115" t="n"/>
      <c r="S512" s="115" t="n"/>
      <c r="T512" s="115" t="n"/>
      <c r="U512" s="116" t="n"/>
      <c r="V512" s="116" t="n"/>
      <c r="W512" s="117" t="n"/>
      <c r="X512" s="118" t="n"/>
      <c r="Y512" s="119" t="n"/>
      <c r="Z512" s="120" t="n"/>
      <c r="AA512" s="121" t="n"/>
      <c r="AB512" s="122" t="n"/>
      <c r="AC512" s="117" t="n"/>
      <c r="AD512" s="123">
        <f>IF(SUM($AE512:$AH512)=0,"",SUM($AE512:$AH512))</f>
        <v/>
      </c>
      <c r="AE512" s="123">
        <f>iferror(IF(SUM($AI512:$AZ512)=0,"",SUM($AI512:$AZ512)),"")</f>
        <v/>
      </c>
      <c r="AF512" s="123">
        <f>iferror(IF(SUM($BA512:$BC512)=0,"",SUM($BA512:$BC512)),"")</f>
        <v/>
      </c>
      <c r="AG512" s="123">
        <f>iferror(IF(SUM($BD512:$BF512)=0,"",SUM($BD512:$BF512)),"")</f>
        <v/>
      </c>
      <c r="AH512" s="124">
        <f>iferror(IF(SUM($BG512:$BI512)=0,"",SUM($BG512:$BI512)),"")</f>
        <v/>
      </c>
      <c r="AI512" s="131" t="n"/>
      <c r="AJ512" s="132" t="n"/>
      <c r="AK512" s="132" t="n"/>
      <c r="AL512" s="132" t="n"/>
      <c r="AM512" s="132" t="n"/>
      <c r="AN512" s="132" t="n"/>
      <c r="AO512" s="132" t="n"/>
      <c r="AP512" s="132" t="n"/>
      <c r="AQ512" s="132" t="n"/>
      <c r="AR512" s="132" t="n"/>
      <c r="AS512" s="132" t="n"/>
      <c r="AT512" s="132" t="n"/>
      <c r="AU512" s="132" t="n"/>
      <c r="AV512" s="132" t="n"/>
      <c r="AW512" s="132" t="n"/>
      <c r="AX512" s="132" t="n"/>
      <c r="AY512" s="132" t="n"/>
      <c r="AZ512" s="133" t="n"/>
      <c r="BA512" s="131" t="n"/>
      <c r="BB512" s="132" t="n"/>
      <c r="BC512" s="133" t="n"/>
      <c r="BD512" s="131" t="n"/>
      <c r="BE512" s="132" t="n"/>
      <c r="BF512" s="133" t="n"/>
      <c r="BG512" s="131" t="n"/>
      <c r="BH512" s="132" t="n"/>
      <c r="BI512" s="132" t="n"/>
      <c r="BJ512" s="128">
        <f>iferror(SUM($BK512,($BL512*1.2),($BM512*1.35),($BN512*0.74)),)</f>
        <v/>
      </c>
      <c r="BK512" s="128">
        <f>IFERROR(SUM($BT512:$CK512),)</f>
        <v/>
      </c>
      <c r="BL512" s="129">
        <f>IFERROR(SUM($CL512:$CN512),)</f>
        <v/>
      </c>
      <c r="BM512" s="130">
        <f>IFERROR(SUM($CO512:$CQ512),)</f>
        <v/>
      </c>
      <c r="BN512" s="128">
        <f>IFERROR(SUM($CR512:$CT512),)</f>
        <v/>
      </c>
      <c r="BO512" s="128">
        <f>iferror(SUM($BP512,($BQ512*1.2),($BR512*1.35),($BS512*0.74)),)</f>
        <v/>
      </c>
      <c r="BP512" s="128">
        <f>IFERROR(SUM($CU512:$DL512),)</f>
        <v/>
      </c>
      <c r="BQ512" s="128">
        <f>IFERROR(SUM($DM512:$DO512),)</f>
        <v/>
      </c>
      <c r="BR512" s="128">
        <f>IFERROR(SUM($DP512:$DR512),)</f>
        <v/>
      </c>
      <c r="BS512" s="128">
        <f>IFERROR(SUM($DS512:$DU512),)</f>
        <v/>
      </c>
      <c r="BT512" s="128">
        <f>IFERROR(AI512*$W512,)</f>
        <v/>
      </c>
      <c r="BU512" s="128">
        <f>IFERROR(AJ512*$W512,)</f>
        <v/>
      </c>
      <c r="BV512" s="128">
        <f>IFERROR(AK512*$W512,)</f>
        <v/>
      </c>
      <c r="BW512" s="128">
        <f>IFERROR(AL512*$W512,)</f>
        <v/>
      </c>
      <c r="BX512" s="128">
        <f>IFERROR(AM512*$W512,)</f>
        <v/>
      </c>
      <c r="BY512" s="128">
        <f>IFERROR(AN512*$W512,)</f>
        <v/>
      </c>
      <c r="BZ512" s="128">
        <f>IFERROR(AO512*$W512,)</f>
        <v/>
      </c>
      <c r="CA512" s="128">
        <f>IFERROR(AP512*$W512,)</f>
        <v/>
      </c>
      <c r="CB512" s="128">
        <f>IFERROR(AQ512*$W512,)</f>
        <v/>
      </c>
      <c r="CC512" s="128">
        <f>IFERROR(AR512*$W512,)</f>
        <v/>
      </c>
      <c r="CD512" s="128">
        <f>IFERROR(AS512*$W512,)</f>
        <v/>
      </c>
      <c r="CE512" s="128">
        <f>IFERROR(AT512*$W512,)</f>
        <v/>
      </c>
      <c r="CF512" s="128">
        <f>IFERROR(AU512*$W512,)</f>
        <v/>
      </c>
      <c r="CG512" s="128">
        <f>IFERROR(AV512*$W512,)</f>
        <v/>
      </c>
      <c r="CH512" s="128">
        <f>IFERROR(AW512*$W512,)</f>
        <v/>
      </c>
      <c r="CI512" s="128">
        <f>IFERROR(AX512*$W512,)</f>
        <v/>
      </c>
      <c r="CJ512" s="128">
        <f>IFERROR(AY512*$W512,)</f>
        <v/>
      </c>
      <c r="CK512" s="128">
        <f>IFERROR(AZ512*$W512,)</f>
        <v/>
      </c>
      <c r="CL512" s="129">
        <f>IFERROR(if($Y512=0,BA512*($W512/1.2),BA512*$Y512),"")</f>
        <v/>
      </c>
      <c r="CM512" s="129">
        <f>IFERROR(if($Y512=0,BB512*($W512/1.2),BB512*$Y512),"")</f>
        <v/>
      </c>
      <c r="CN512" s="129">
        <f>IFERROR(if($Y512=0,BC512*($W512/1.2),BC512*$Y512),"")</f>
        <v/>
      </c>
      <c r="CO512" s="130">
        <f>IFERROR(if($AA512=0,($W512/1.35)*BD512,BD512*$AA512),)</f>
        <v/>
      </c>
      <c r="CP512" s="130">
        <f>IFERROR(if($AA512=0,($W512/1.35)*BE512,BE512*$AA512),)</f>
        <v/>
      </c>
      <c r="CQ512" s="130">
        <f>IFERROR(if($AA512=0,($W512/1.35)*BF512,BF512*$AA512),)</f>
        <v/>
      </c>
      <c r="CR512" s="128">
        <f>IFERROR(if($AC512=0,($W512/0.74)*BG512,
BG512*$AC512),)</f>
        <v/>
      </c>
      <c r="CS512" s="128">
        <f>IFERROR(if($AC512=0,($W512/0.74)*BH512,
BH512*$AC512),)</f>
        <v/>
      </c>
      <c r="CT512" s="128">
        <f>IFERROR(if($AC512=0,($W512/0.74)*BI512,
BI512*$AC512),)</f>
        <v/>
      </c>
      <c r="CU512" s="128">
        <f>IFERROR(AI512*$V512,)</f>
        <v/>
      </c>
      <c r="CV512" s="128">
        <f>IFERROR(AJ512*$V512,)</f>
        <v/>
      </c>
      <c r="CW512" s="128">
        <f>IFERROR(AK512*$V512,)</f>
        <v/>
      </c>
      <c r="CX512" s="128">
        <f>IFERROR(AL512*$V512,)</f>
        <v/>
      </c>
      <c r="CY512" s="128">
        <f>IFERROR(AM512*$V512,)</f>
        <v/>
      </c>
      <c r="CZ512" s="128">
        <f>IFERROR(AN512*$V512,)</f>
        <v/>
      </c>
      <c r="DA512" s="128">
        <f>IFERROR(AO512*$V512,)</f>
        <v/>
      </c>
      <c r="DB512" s="128">
        <f>IFERROR(AP512*$V512,)</f>
        <v/>
      </c>
      <c r="DC512" s="128">
        <f>IFERROR(AQ512*$V512,)</f>
        <v/>
      </c>
      <c r="DD512" s="128">
        <f>IFERROR(AR512*$V512,)</f>
        <v/>
      </c>
      <c r="DE512" s="128">
        <f>IFERROR(AS512*$V512,)</f>
        <v/>
      </c>
      <c r="DF512" s="128">
        <f>IFERROR(AT512*$V512,)</f>
        <v/>
      </c>
      <c r="DG512" s="128">
        <f>IFERROR(AU512*$V512,)</f>
        <v/>
      </c>
      <c r="DH512" s="128">
        <f>IFERROR(AV512*$V512,)</f>
        <v/>
      </c>
      <c r="DI512" s="128">
        <f>IFERROR(AW512*$V512,)</f>
        <v/>
      </c>
      <c r="DJ512" s="128">
        <f>IFERROR(AX512*$V512,)</f>
        <v/>
      </c>
      <c r="DK512" s="128">
        <f>IFERROR(AY512*$V512,)</f>
        <v/>
      </c>
      <c r="DL512" s="128">
        <f>IFERROR(AZ512*$V512,)</f>
        <v/>
      </c>
      <c r="DM512" s="129">
        <f>IFERROR(if($X512=0,($V512/1.2)*BA512,
BA512*$X512),)</f>
        <v/>
      </c>
      <c r="DN512" s="129">
        <f>IFERROR(if($X512=0,($V512/1.2)*BB512,
BB512*$X512),)</f>
        <v/>
      </c>
      <c r="DO512" s="129">
        <f>IFERROR(if($X512=0,($V512/1.2)*BC512,
BC512*$X512),)</f>
        <v/>
      </c>
      <c r="DP512" s="130">
        <f>IFERROR(if($Z512=0,($V512/1.35)*BD512,
BD512*$Z512),)</f>
        <v/>
      </c>
      <c r="DQ512" s="130">
        <f>IFERROR(if($Z512=0,($V512/1.35)*BE512,
BE512*$Z512),)</f>
        <v/>
      </c>
      <c r="DR512" s="130">
        <f>IFERROR(if($Z512=0,($V512/1.35)*BF512,
BF512*$Z512),)</f>
        <v/>
      </c>
      <c r="DS512" s="128">
        <f>IFERROR(IF($AB512=0,($V512/0.74)*BG512,
BG512*$AB512),)</f>
        <v/>
      </c>
      <c r="DT512" s="128">
        <f>IFERROR(IF($AB512=0,($V512/0.74)*BH512,
BH512*$AB512),)</f>
        <v/>
      </c>
      <c r="DU512" s="128">
        <f>IFERROR(IF($AB512=0,($V512/0.74)*BI512,
BI512*$AB512),)</f>
        <v/>
      </c>
    </row>
    <row r="513" ht="131.25" customHeight="1" s="162">
      <c r="A513" s="115" t="n"/>
      <c r="B513" s="115" t="n"/>
      <c r="C513" s="115" t="n"/>
      <c r="D513" s="115" t="n"/>
      <c r="E513" s="115" t="n"/>
      <c r="F513" s="115" t="n"/>
      <c r="G513" s="115" t="n"/>
      <c r="H513" s="115" t="n"/>
      <c r="I513" s="115" t="n"/>
      <c r="J513" s="115" t="n"/>
      <c r="K513" s="115" t="n"/>
      <c r="L513" s="115" t="n"/>
      <c r="M513" s="115" t="n"/>
      <c r="N513" s="115" t="n"/>
      <c r="O513" s="115" t="n"/>
      <c r="P513" s="115" t="n"/>
      <c r="Q513" s="115" t="n"/>
      <c r="R513" s="115" t="n"/>
      <c r="S513" s="115" t="n"/>
      <c r="T513" s="115" t="n"/>
      <c r="U513" s="116" t="n"/>
      <c r="V513" s="116" t="n"/>
      <c r="W513" s="117" t="n"/>
      <c r="X513" s="118" t="n"/>
      <c r="Y513" s="119" t="n"/>
      <c r="Z513" s="120" t="n"/>
      <c r="AA513" s="121" t="n"/>
      <c r="AB513" s="122" t="n"/>
      <c r="AC513" s="117" t="n"/>
      <c r="AD513" s="123">
        <f>IF(SUM($AE513:$AH513)=0,"",SUM($AE513:$AH513))</f>
        <v/>
      </c>
      <c r="AE513" s="123">
        <f>iferror(IF(SUM($AI513:$AZ513)=0,"",SUM($AI513:$AZ513)),"")</f>
        <v/>
      </c>
      <c r="AF513" s="123">
        <f>iferror(IF(SUM($BA513:$BC513)=0,"",SUM($BA513:$BC513)),"")</f>
        <v/>
      </c>
      <c r="AG513" s="123">
        <f>iferror(IF(SUM($BD513:$BF513)=0,"",SUM($BD513:$BF513)),"")</f>
        <v/>
      </c>
      <c r="AH513" s="124">
        <f>iferror(IF(SUM($BG513:$BI513)=0,"",SUM($BG513:$BI513)),"")</f>
        <v/>
      </c>
      <c r="AI513" s="131" t="n"/>
      <c r="AJ513" s="132" t="n"/>
      <c r="AK513" s="132" t="n"/>
      <c r="AL513" s="132" t="n"/>
      <c r="AM513" s="132" t="n"/>
      <c r="AN513" s="132" t="n"/>
      <c r="AO513" s="132" t="n"/>
      <c r="AP513" s="132" t="n"/>
      <c r="AQ513" s="132" t="n"/>
      <c r="AR513" s="132" t="n"/>
      <c r="AS513" s="132" t="n"/>
      <c r="AT513" s="132" t="n"/>
      <c r="AU513" s="132" t="n"/>
      <c r="AV513" s="132" t="n"/>
      <c r="AW513" s="132" t="n"/>
      <c r="AX513" s="132" t="n"/>
      <c r="AY513" s="132" t="n"/>
      <c r="AZ513" s="133" t="n"/>
      <c r="BA513" s="131" t="n"/>
      <c r="BB513" s="132" t="n"/>
      <c r="BC513" s="133" t="n"/>
      <c r="BD513" s="131" t="n"/>
      <c r="BE513" s="132" t="n"/>
      <c r="BF513" s="133" t="n"/>
      <c r="BG513" s="131" t="n"/>
      <c r="BH513" s="132" t="n"/>
      <c r="BI513" s="132" t="n"/>
      <c r="BJ513" s="128">
        <f>iferror(SUM($BK513,($BL513*1.2),($BM513*1.35),($BN513*0.74)),)</f>
        <v/>
      </c>
      <c r="BK513" s="128">
        <f>IFERROR(SUM($BT513:$CK513),)</f>
        <v/>
      </c>
      <c r="BL513" s="129">
        <f>IFERROR(SUM($CL513:$CN513),)</f>
        <v/>
      </c>
      <c r="BM513" s="130">
        <f>IFERROR(SUM($CO513:$CQ513),)</f>
        <v/>
      </c>
      <c r="BN513" s="128">
        <f>IFERROR(SUM($CR513:$CT513),)</f>
        <v/>
      </c>
      <c r="BO513" s="128">
        <f>iferror(SUM($BP513,($BQ513*1.2),($BR513*1.35),($BS513*0.74)),)</f>
        <v/>
      </c>
      <c r="BP513" s="128">
        <f>IFERROR(SUM($CU513:$DL513),)</f>
        <v/>
      </c>
      <c r="BQ513" s="128">
        <f>IFERROR(SUM($DM513:$DO513),)</f>
        <v/>
      </c>
      <c r="BR513" s="128">
        <f>IFERROR(SUM($DP513:$DR513),)</f>
        <v/>
      </c>
      <c r="BS513" s="128">
        <f>IFERROR(SUM($DS513:$DU513),)</f>
        <v/>
      </c>
      <c r="BT513" s="128">
        <f>IFERROR(AI513*$W513,)</f>
        <v/>
      </c>
      <c r="BU513" s="128">
        <f>IFERROR(AJ513*$W513,)</f>
        <v/>
      </c>
      <c r="BV513" s="128">
        <f>IFERROR(AK513*$W513,)</f>
        <v/>
      </c>
      <c r="BW513" s="128">
        <f>IFERROR(AL513*$W513,)</f>
        <v/>
      </c>
      <c r="BX513" s="128">
        <f>IFERROR(AM513*$W513,)</f>
        <v/>
      </c>
      <c r="BY513" s="128">
        <f>IFERROR(AN513*$W513,)</f>
        <v/>
      </c>
      <c r="BZ513" s="128">
        <f>IFERROR(AO513*$W513,)</f>
        <v/>
      </c>
      <c r="CA513" s="128">
        <f>IFERROR(AP513*$W513,)</f>
        <v/>
      </c>
      <c r="CB513" s="128">
        <f>IFERROR(AQ513*$W513,)</f>
        <v/>
      </c>
      <c r="CC513" s="128">
        <f>IFERROR(AR513*$W513,)</f>
        <v/>
      </c>
      <c r="CD513" s="128">
        <f>IFERROR(AS513*$W513,)</f>
        <v/>
      </c>
      <c r="CE513" s="128">
        <f>IFERROR(AT513*$W513,)</f>
        <v/>
      </c>
      <c r="CF513" s="128">
        <f>IFERROR(AU513*$W513,)</f>
        <v/>
      </c>
      <c r="CG513" s="128">
        <f>IFERROR(AV513*$W513,)</f>
        <v/>
      </c>
      <c r="CH513" s="128">
        <f>IFERROR(AW513*$W513,)</f>
        <v/>
      </c>
      <c r="CI513" s="128">
        <f>IFERROR(AX513*$W513,)</f>
        <v/>
      </c>
      <c r="CJ513" s="128">
        <f>IFERROR(AY513*$W513,)</f>
        <v/>
      </c>
      <c r="CK513" s="128">
        <f>IFERROR(AZ513*$W513,)</f>
        <v/>
      </c>
      <c r="CL513" s="129">
        <f>IFERROR(if($Y513=0,BA513*($W513/1.2),BA513*$Y513),"")</f>
        <v/>
      </c>
      <c r="CM513" s="129">
        <f>IFERROR(if($Y513=0,BB513*($W513/1.2),BB513*$Y513),"")</f>
        <v/>
      </c>
      <c r="CN513" s="129">
        <f>IFERROR(if($Y513=0,BC513*($W513/1.2),BC513*$Y513),"")</f>
        <v/>
      </c>
      <c r="CO513" s="130">
        <f>IFERROR(if($AA513=0,($W513/1.35)*BD513,BD513*$AA513),)</f>
        <v/>
      </c>
      <c r="CP513" s="130">
        <f>IFERROR(if($AA513=0,($W513/1.35)*BE513,BE513*$AA513),)</f>
        <v/>
      </c>
      <c r="CQ513" s="130">
        <f>IFERROR(if($AA513=0,($W513/1.35)*BF513,BF513*$AA513),)</f>
        <v/>
      </c>
      <c r="CR513" s="128">
        <f>IFERROR(if($AC513=0,($W513/0.74)*BG513,
BG513*$AC513),)</f>
        <v/>
      </c>
      <c r="CS513" s="128">
        <f>IFERROR(if($AC513=0,($W513/0.74)*BH513,
BH513*$AC513),)</f>
        <v/>
      </c>
      <c r="CT513" s="128">
        <f>IFERROR(if($AC513=0,($W513/0.74)*BI513,
BI513*$AC513),)</f>
        <v/>
      </c>
      <c r="CU513" s="128">
        <f>IFERROR(AI513*$V513,)</f>
        <v/>
      </c>
      <c r="CV513" s="128">
        <f>IFERROR(AJ513*$V513,)</f>
        <v/>
      </c>
      <c r="CW513" s="128">
        <f>IFERROR(AK513*$V513,)</f>
        <v/>
      </c>
      <c r="CX513" s="128">
        <f>IFERROR(AL513*$V513,)</f>
        <v/>
      </c>
      <c r="CY513" s="128">
        <f>IFERROR(AM513*$V513,)</f>
        <v/>
      </c>
      <c r="CZ513" s="128">
        <f>IFERROR(AN513*$V513,)</f>
        <v/>
      </c>
      <c r="DA513" s="128">
        <f>IFERROR(AO513*$V513,)</f>
        <v/>
      </c>
      <c r="DB513" s="128">
        <f>IFERROR(AP513*$V513,)</f>
        <v/>
      </c>
      <c r="DC513" s="128">
        <f>IFERROR(AQ513*$V513,)</f>
        <v/>
      </c>
      <c r="DD513" s="128">
        <f>IFERROR(AR513*$V513,)</f>
        <v/>
      </c>
      <c r="DE513" s="128">
        <f>IFERROR(AS513*$V513,)</f>
        <v/>
      </c>
      <c r="DF513" s="128">
        <f>IFERROR(AT513*$V513,)</f>
        <v/>
      </c>
      <c r="DG513" s="128">
        <f>IFERROR(AU513*$V513,)</f>
        <v/>
      </c>
      <c r="DH513" s="128">
        <f>IFERROR(AV513*$V513,)</f>
        <v/>
      </c>
      <c r="DI513" s="128">
        <f>IFERROR(AW513*$V513,)</f>
        <v/>
      </c>
      <c r="DJ513" s="128">
        <f>IFERROR(AX513*$V513,)</f>
        <v/>
      </c>
      <c r="DK513" s="128">
        <f>IFERROR(AY513*$V513,)</f>
        <v/>
      </c>
      <c r="DL513" s="128">
        <f>IFERROR(AZ513*$V513,)</f>
        <v/>
      </c>
      <c r="DM513" s="129">
        <f>IFERROR(if($X513=0,($V513/1.2)*BA513,
BA513*$X513),)</f>
        <v/>
      </c>
      <c r="DN513" s="129">
        <f>IFERROR(if($X513=0,($V513/1.2)*BB513,
BB513*$X513),)</f>
        <v/>
      </c>
      <c r="DO513" s="129">
        <f>IFERROR(if($X513=0,($V513/1.2)*BC513,
BC513*$X513),)</f>
        <v/>
      </c>
      <c r="DP513" s="130">
        <f>IFERROR(if($Z513=0,($V513/1.35)*BD513,
BD513*$Z513),)</f>
        <v/>
      </c>
      <c r="DQ513" s="130">
        <f>IFERROR(if($Z513=0,($V513/1.35)*BE513,
BE513*$Z513),)</f>
        <v/>
      </c>
      <c r="DR513" s="130">
        <f>IFERROR(if($Z513=0,($V513/1.35)*BF513,
BF513*$Z513),)</f>
        <v/>
      </c>
      <c r="DS513" s="128">
        <f>IFERROR(IF($AB513=0,($V513/0.74)*BG513,
BG513*$AB513),)</f>
        <v/>
      </c>
      <c r="DT513" s="128">
        <f>IFERROR(IF($AB513=0,($V513/0.74)*BH513,
BH513*$AB513),)</f>
        <v/>
      </c>
      <c r="DU513" s="128">
        <f>IFERROR(IF($AB513=0,($V513/0.74)*BI513,
BI513*$AB513),)</f>
        <v/>
      </c>
    </row>
    <row r="514" ht="131.25" customHeight="1" s="162">
      <c r="A514" s="115" t="n"/>
      <c r="B514" s="115" t="n"/>
      <c r="C514" s="115" t="n"/>
      <c r="D514" s="115" t="n"/>
      <c r="E514" s="115" t="n"/>
      <c r="F514" s="115" t="n"/>
      <c r="G514" s="115" t="n"/>
      <c r="H514" s="115" t="n"/>
      <c r="I514" s="115" t="n"/>
      <c r="J514" s="115" t="n"/>
      <c r="K514" s="115" t="n"/>
      <c r="L514" s="115" t="n"/>
      <c r="M514" s="115" t="n"/>
      <c r="N514" s="115" t="n"/>
      <c r="O514" s="115" t="n"/>
      <c r="P514" s="115" t="n"/>
      <c r="Q514" s="115" t="n"/>
      <c r="R514" s="115" t="n"/>
      <c r="S514" s="115" t="n"/>
      <c r="T514" s="115" t="n"/>
      <c r="U514" s="116" t="n"/>
      <c r="V514" s="116" t="n"/>
      <c r="W514" s="117" t="n"/>
      <c r="X514" s="118" t="n"/>
      <c r="Y514" s="119" t="n"/>
      <c r="Z514" s="120" t="n"/>
      <c r="AA514" s="121" t="n"/>
      <c r="AB514" s="122" t="n"/>
      <c r="AC514" s="117" t="n"/>
      <c r="AD514" s="123">
        <f>IF(SUM($AE514:$AH514)=0,"",SUM($AE514:$AH514))</f>
        <v/>
      </c>
      <c r="AE514" s="123">
        <f>iferror(IF(SUM($AI514:$AZ514)=0,"",SUM($AI514:$AZ514)),"")</f>
        <v/>
      </c>
      <c r="AF514" s="123">
        <f>iferror(IF(SUM($BA514:$BC514)=0,"",SUM($BA514:$BC514)),"")</f>
        <v/>
      </c>
      <c r="AG514" s="123">
        <f>iferror(IF(SUM($BD514:$BF514)=0,"",SUM($BD514:$BF514)),"")</f>
        <v/>
      </c>
      <c r="AH514" s="124">
        <f>iferror(IF(SUM($BG514:$BI514)=0,"",SUM($BG514:$BI514)),"")</f>
        <v/>
      </c>
      <c r="AI514" s="131" t="n"/>
      <c r="AJ514" s="132" t="n"/>
      <c r="AK514" s="132" t="n"/>
      <c r="AL514" s="132" t="n"/>
      <c r="AM514" s="132" t="n"/>
      <c r="AN514" s="132" t="n"/>
      <c r="AO514" s="132" t="n"/>
      <c r="AP514" s="132" t="n"/>
      <c r="AQ514" s="132" t="n"/>
      <c r="AR514" s="132" t="n"/>
      <c r="AS514" s="132" t="n"/>
      <c r="AT514" s="132" t="n"/>
      <c r="AU514" s="132" t="n"/>
      <c r="AV514" s="132" t="n"/>
      <c r="AW514" s="132" t="n"/>
      <c r="AX514" s="132" t="n"/>
      <c r="AY514" s="132" t="n"/>
      <c r="AZ514" s="133" t="n"/>
      <c r="BA514" s="131" t="n"/>
      <c r="BB514" s="132" t="n"/>
      <c r="BC514" s="133" t="n"/>
      <c r="BD514" s="131" t="n"/>
      <c r="BE514" s="132" t="n"/>
      <c r="BF514" s="133" t="n"/>
      <c r="BG514" s="131" t="n"/>
      <c r="BH514" s="132" t="n"/>
      <c r="BI514" s="132" t="n"/>
      <c r="BJ514" s="128">
        <f>iferror(SUM($BK514,($BL514*1.2),($BM514*1.35),($BN514*0.74)),)</f>
        <v/>
      </c>
      <c r="BK514" s="128">
        <f>IFERROR(SUM($BT514:$CK514),)</f>
        <v/>
      </c>
      <c r="BL514" s="129">
        <f>IFERROR(SUM($CL514:$CN514),)</f>
        <v/>
      </c>
      <c r="BM514" s="130">
        <f>IFERROR(SUM($CO514:$CQ514),)</f>
        <v/>
      </c>
      <c r="BN514" s="128">
        <f>IFERROR(SUM($CR514:$CT514),)</f>
        <v/>
      </c>
      <c r="BO514" s="128">
        <f>iferror(SUM($BP514,($BQ514*1.2),($BR514*1.35),($BS514*0.74)),)</f>
        <v/>
      </c>
      <c r="BP514" s="128">
        <f>IFERROR(SUM($CU514:$DL514),)</f>
        <v/>
      </c>
      <c r="BQ514" s="128">
        <f>IFERROR(SUM($DM514:$DO514),)</f>
        <v/>
      </c>
      <c r="BR514" s="128">
        <f>IFERROR(SUM($DP514:$DR514),)</f>
        <v/>
      </c>
      <c r="BS514" s="128">
        <f>IFERROR(SUM($DS514:$DU514),)</f>
        <v/>
      </c>
      <c r="BT514" s="128">
        <f>IFERROR(AI514*$W514,)</f>
        <v/>
      </c>
      <c r="BU514" s="128">
        <f>IFERROR(AJ514*$W514,)</f>
        <v/>
      </c>
      <c r="BV514" s="128">
        <f>IFERROR(AK514*$W514,)</f>
        <v/>
      </c>
      <c r="BW514" s="128">
        <f>IFERROR(AL514*$W514,)</f>
        <v/>
      </c>
      <c r="BX514" s="128">
        <f>IFERROR(AM514*$W514,)</f>
        <v/>
      </c>
      <c r="BY514" s="128">
        <f>IFERROR(AN514*$W514,)</f>
        <v/>
      </c>
      <c r="BZ514" s="128">
        <f>IFERROR(AO514*$W514,)</f>
        <v/>
      </c>
      <c r="CA514" s="128">
        <f>IFERROR(AP514*$W514,)</f>
        <v/>
      </c>
      <c r="CB514" s="128">
        <f>IFERROR(AQ514*$W514,)</f>
        <v/>
      </c>
      <c r="CC514" s="128">
        <f>IFERROR(AR514*$W514,)</f>
        <v/>
      </c>
      <c r="CD514" s="128">
        <f>IFERROR(AS514*$W514,)</f>
        <v/>
      </c>
      <c r="CE514" s="128">
        <f>IFERROR(AT514*$W514,)</f>
        <v/>
      </c>
      <c r="CF514" s="128">
        <f>IFERROR(AU514*$W514,)</f>
        <v/>
      </c>
      <c r="CG514" s="128">
        <f>IFERROR(AV514*$W514,)</f>
        <v/>
      </c>
      <c r="CH514" s="128">
        <f>IFERROR(AW514*$W514,)</f>
        <v/>
      </c>
      <c r="CI514" s="128">
        <f>IFERROR(AX514*$W514,)</f>
        <v/>
      </c>
      <c r="CJ514" s="128">
        <f>IFERROR(AY514*$W514,)</f>
        <v/>
      </c>
      <c r="CK514" s="128">
        <f>IFERROR(AZ514*$W514,)</f>
        <v/>
      </c>
      <c r="CL514" s="129">
        <f>IFERROR(if($Y514=0,BA514*($W514/1.2),BA514*$Y514),"")</f>
        <v/>
      </c>
      <c r="CM514" s="129">
        <f>IFERROR(if($Y514=0,BB514*($W514/1.2),BB514*$Y514),"")</f>
        <v/>
      </c>
      <c r="CN514" s="129">
        <f>IFERROR(if($Y514=0,BC514*($W514/1.2),BC514*$Y514),"")</f>
        <v/>
      </c>
      <c r="CO514" s="130">
        <f>IFERROR(if($AA514=0,($W514/1.35)*BD514,BD514*$AA514),)</f>
        <v/>
      </c>
      <c r="CP514" s="130">
        <f>IFERROR(if($AA514=0,($W514/1.35)*BE514,BE514*$AA514),)</f>
        <v/>
      </c>
      <c r="CQ514" s="130">
        <f>IFERROR(if($AA514=0,($W514/1.35)*BF514,BF514*$AA514),)</f>
        <v/>
      </c>
      <c r="CR514" s="128">
        <f>IFERROR(if($AC514=0,($W514/0.74)*BG514,
BG514*$AC514),)</f>
        <v/>
      </c>
      <c r="CS514" s="128">
        <f>IFERROR(if($AC514=0,($W514/0.74)*BH514,
BH514*$AC514),)</f>
        <v/>
      </c>
      <c r="CT514" s="128">
        <f>IFERROR(if($AC514=0,($W514/0.74)*BI514,
BI514*$AC514),)</f>
        <v/>
      </c>
      <c r="CU514" s="128">
        <f>IFERROR(AI514*$V514,)</f>
        <v/>
      </c>
      <c r="CV514" s="128">
        <f>IFERROR(AJ514*$V514,)</f>
        <v/>
      </c>
      <c r="CW514" s="128">
        <f>IFERROR(AK514*$V514,)</f>
        <v/>
      </c>
      <c r="CX514" s="128">
        <f>IFERROR(AL514*$V514,)</f>
        <v/>
      </c>
      <c r="CY514" s="128">
        <f>IFERROR(AM514*$V514,)</f>
        <v/>
      </c>
      <c r="CZ514" s="128">
        <f>IFERROR(AN514*$V514,)</f>
        <v/>
      </c>
      <c r="DA514" s="128">
        <f>IFERROR(AO514*$V514,)</f>
        <v/>
      </c>
      <c r="DB514" s="128">
        <f>IFERROR(AP514*$V514,)</f>
        <v/>
      </c>
      <c r="DC514" s="128">
        <f>IFERROR(AQ514*$V514,)</f>
        <v/>
      </c>
      <c r="DD514" s="128">
        <f>IFERROR(AR514*$V514,)</f>
        <v/>
      </c>
      <c r="DE514" s="128">
        <f>IFERROR(AS514*$V514,)</f>
        <v/>
      </c>
      <c r="DF514" s="128">
        <f>IFERROR(AT514*$V514,)</f>
        <v/>
      </c>
      <c r="DG514" s="128">
        <f>IFERROR(AU514*$V514,)</f>
        <v/>
      </c>
      <c r="DH514" s="128">
        <f>IFERROR(AV514*$V514,)</f>
        <v/>
      </c>
      <c r="DI514" s="128">
        <f>IFERROR(AW514*$V514,)</f>
        <v/>
      </c>
      <c r="DJ514" s="128">
        <f>IFERROR(AX514*$V514,)</f>
        <v/>
      </c>
      <c r="DK514" s="128">
        <f>IFERROR(AY514*$V514,)</f>
        <v/>
      </c>
      <c r="DL514" s="128">
        <f>IFERROR(AZ514*$V514,)</f>
        <v/>
      </c>
      <c r="DM514" s="129">
        <f>IFERROR(if($X514=0,($V514/1.2)*BA514,
BA514*$X514),)</f>
        <v/>
      </c>
      <c r="DN514" s="129">
        <f>IFERROR(if($X514=0,($V514/1.2)*BB514,
BB514*$X514),)</f>
        <v/>
      </c>
      <c r="DO514" s="129">
        <f>IFERROR(if($X514=0,($V514/1.2)*BC514,
BC514*$X514),)</f>
        <v/>
      </c>
      <c r="DP514" s="130">
        <f>IFERROR(if($Z514=0,($V514/1.35)*BD514,
BD514*$Z514),)</f>
        <v/>
      </c>
      <c r="DQ514" s="130">
        <f>IFERROR(if($Z514=0,($V514/1.35)*BE514,
BE514*$Z514),)</f>
        <v/>
      </c>
      <c r="DR514" s="130">
        <f>IFERROR(if($Z514=0,($V514/1.35)*BF514,
BF514*$Z514),)</f>
        <v/>
      </c>
      <c r="DS514" s="128">
        <f>IFERROR(IF($AB514=0,($V514/0.74)*BG514,
BG514*$AB514),)</f>
        <v/>
      </c>
      <c r="DT514" s="128">
        <f>IFERROR(IF($AB514=0,($V514/0.74)*BH514,
BH514*$AB514),)</f>
        <v/>
      </c>
      <c r="DU514" s="128">
        <f>IFERROR(IF($AB514=0,($V514/0.74)*BI514,
BI514*$AB514),)</f>
        <v/>
      </c>
    </row>
    <row r="515" ht="131.25" customHeight="1" s="162">
      <c r="A515" s="115" t="n"/>
      <c r="B515" s="115" t="n"/>
      <c r="C515" s="115" t="n"/>
      <c r="D515" s="115" t="n"/>
      <c r="E515" s="115" t="n"/>
      <c r="F515" s="115" t="n"/>
      <c r="G515" s="115" t="n"/>
      <c r="H515" s="115" t="n"/>
      <c r="I515" s="115" t="n"/>
      <c r="J515" s="115" t="n"/>
      <c r="K515" s="115" t="n"/>
      <c r="L515" s="115" t="n"/>
      <c r="M515" s="115" t="n"/>
      <c r="N515" s="115" t="n"/>
      <c r="O515" s="115" t="n"/>
      <c r="P515" s="115" t="n"/>
      <c r="Q515" s="115" t="n"/>
      <c r="R515" s="115" t="n"/>
      <c r="S515" s="115" t="n"/>
      <c r="T515" s="115" t="n"/>
      <c r="U515" s="116" t="n"/>
      <c r="V515" s="116" t="n"/>
      <c r="W515" s="117" t="n"/>
      <c r="X515" s="118" t="n"/>
      <c r="Y515" s="119" t="n"/>
      <c r="Z515" s="120" t="n"/>
      <c r="AA515" s="121" t="n"/>
      <c r="AB515" s="122" t="n"/>
      <c r="AC515" s="117" t="n"/>
      <c r="AD515" s="123">
        <f>IF(SUM($AE515:$AH515)=0,"",SUM($AE515:$AH515))</f>
        <v/>
      </c>
      <c r="AE515" s="123">
        <f>iferror(IF(SUM($AI515:$AZ515)=0,"",SUM($AI515:$AZ515)),"")</f>
        <v/>
      </c>
      <c r="AF515" s="123">
        <f>iferror(IF(SUM($BA515:$BC515)=0,"",SUM($BA515:$BC515)),"")</f>
        <v/>
      </c>
      <c r="AG515" s="123">
        <f>iferror(IF(SUM($BD515:$BF515)=0,"",SUM($BD515:$BF515)),"")</f>
        <v/>
      </c>
      <c r="AH515" s="124">
        <f>iferror(IF(SUM($BG515:$BI515)=0,"",SUM($BG515:$BI515)),"")</f>
        <v/>
      </c>
      <c r="AI515" s="131" t="n"/>
      <c r="AJ515" s="132" t="n"/>
      <c r="AK515" s="132" t="n"/>
      <c r="AL515" s="132" t="n"/>
      <c r="AM515" s="132" t="n"/>
      <c r="AN515" s="132" t="n"/>
      <c r="AO515" s="132" t="n"/>
      <c r="AP515" s="132" t="n"/>
      <c r="AQ515" s="132" t="n"/>
      <c r="AR515" s="132" t="n"/>
      <c r="AS515" s="132" t="n"/>
      <c r="AT515" s="132" t="n"/>
      <c r="AU515" s="132" t="n"/>
      <c r="AV515" s="132" t="n"/>
      <c r="AW515" s="132" t="n"/>
      <c r="AX515" s="132" t="n"/>
      <c r="AY515" s="132" t="n"/>
      <c r="AZ515" s="133" t="n"/>
      <c r="BA515" s="131" t="n"/>
      <c r="BB515" s="132" t="n"/>
      <c r="BC515" s="133" t="n"/>
      <c r="BD515" s="131" t="n"/>
      <c r="BE515" s="132" t="n"/>
      <c r="BF515" s="133" t="n"/>
      <c r="BG515" s="131" t="n"/>
      <c r="BH515" s="132" t="n"/>
      <c r="BI515" s="132" t="n"/>
      <c r="BJ515" s="128">
        <f>iferror(SUM($BK515,($BL515*1.2),($BM515*1.35),($BN515*0.74)),)</f>
        <v/>
      </c>
      <c r="BK515" s="128">
        <f>IFERROR(SUM($BT515:$CK515),)</f>
        <v/>
      </c>
      <c r="BL515" s="129">
        <f>IFERROR(SUM($CL515:$CN515),)</f>
        <v/>
      </c>
      <c r="BM515" s="130">
        <f>IFERROR(SUM($CO515:$CQ515),)</f>
        <v/>
      </c>
      <c r="BN515" s="128">
        <f>IFERROR(SUM($CR515:$CT515),)</f>
        <v/>
      </c>
      <c r="BO515" s="128">
        <f>iferror(SUM($BP515,($BQ515*1.2),($BR515*1.35),($BS515*0.74)),)</f>
        <v/>
      </c>
      <c r="BP515" s="128">
        <f>IFERROR(SUM($CU515:$DL515),)</f>
        <v/>
      </c>
      <c r="BQ515" s="128">
        <f>IFERROR(SUM($DM515:$DO515),)</f>
        <v/>
      </c>
      <c r="BR515" s="128">
        <f>IFERROR(SUM($DP515:$DR515),)</f>
        <v/>
      </c>
      <c r="BS515" s="128">
        <f>IFERROR(SUM($DS515:$DU515),)</f>
        <v/>
      </c>
      <c r="BT515" s="128">
        <f>IFERROR(AI515*$W515,)</f>
        <v/>
      </c>
      <c r="BU515" s="128">
        <f>IFERROR(AJ515*$W515,)</f>
        <v/>
      </c>
      <c r="BV515" s="128">
        <f>IFERROR(AK515*$W515,)</f>
        <v/>
      </c>
      <c r="BW515" s="128">
        <f>IFERROR(AL515*$W515,)</f>
        <v/>
      </c>
      <c r="BX515" s="128">
        <f>IFERROR(AM515*$W515,)</f>
        <v/>
      </c>
      <c r="BY515" s="128">
        <f>IFERROR(AN515*$W515,)</f>
        <v/>
      </c>
      <c r="BZ515" s="128">
        <f>IFERROR(AO515*$W515,)</f>
        <v/>
      </c>
      <c r="CA515" s="128">
        <f>IFERROR(AP515*$W515,)</f>
        <v/>
      </c>
      <c r="CB515" s="128">
        <f>IFERROR(AQ515*$W515,)</f>
        <v/>
      </c>
      <c r="CC515" s="128">
        <f>IFERROR(AR515*$W515,)</f>
        <v/>
      </c>
      <c r="CD515" s="128">
        <f>IFERROR(AS515*$W515,)</f>
        <v/>
      </c>
      <c r="CE515" s="128">
        <f>IFERROR(AT515*$W515,)</f>
        <v/>
      </c>
      <c r="CF515" s="128">
        <f>IFERROR(AU515*$W515,)</f>
        <v/>
      </c>
      <c r="CG515" s="128">
        <f>IFERROR(AV515*$W515,)</f>
        <v/>
      </c>
      <c r="CH515" s="128">
        <f>IFERROR(AW515*$W515,)</f>
        <v/>
      </c>
      <c r="CI515" s="128">
        <f>IFERROR(AX515*$W515,)</f>
        <v/>
      </c>
      <c r="CJ515" s="128">
        <f>IFERROR(AY515*$W515,)</f>
        <v/>
      </c>
      <c r="CK515" s="128">
        <f>IFERROR(AZ515*$W515,)</f>
        <v/>
      </c>
      <c r="CL515" s="129">
        <f>IFERROR(if($Y515=0,BA515*($W515/1.2),BA515*$Y515),"")</f>
        <v/>
      </c>
      <c r="CM515" s="129">
        <f>IFERROR(if($Y515=0,BB515*($W515/1.2),BB515*$Y515),"")</f>
        <v/>
      </c>
      <c r="CN515" s="129">
        <f>IFERROR(if($Y515=0,BC515*($W515/1.2),BC515*$Y515),"")</f>
        <v/>
      </c>
      <c r="CO515" s="130">
        <f>IFERROR(if($AA515=0,($W515/1.35)*BD515,BD515*$AA515),)</f>
        <v/>
      </c>
      <c r="CP515" s="130">
        <f>IFERROR(if($AA515=0,($W515/1.35)*BE515,BE515*$AA515),)</f>
        <v/>
      </c>
      <c r="CQ515" s="130">
        <f>IFERROR(if($AA515=0,($W515/1.35)*BF515,BF515*$AA515),)</f>
        <v/>
      </c>
      <c r="CR515" s="128">
        <f>IFERROR(if($AC515=0,($W515/0.74)*BG515,
BG515*$AC515),)</f>
        <v/>
      </c>
      <c r="CS515" s="128">
        <f>IFERROR(if($AC515=0,($W515/0.74)*BH515,
BH515*$AC515),)</f>
        <v/>
      </c>
      <c r="CT515" s="128">
        <f>IFERROR(if($AC515=0,($W515/0.74)*BI515,
BI515*$AC515),)</f>
        <v/>
      </c>
      <c r="CU515" s="128">
        <f>IFERROR(AI515*$V515,)</f>
        <v/>
      </c>
      <c r="CV515" s="128">
        <f>IFERROR(AJ515*$V515,)</f>
        <v/>
      </c>
      <c r="CW515" s="128">
        <f>IFERROR(AK515*$V515,)</f>
        <v/>
      </c>
      <c r="CX515" s="128">
        <f>IFERROR(AL515*$V515,)</f>
        <v/>
      </c>
      <c r="CY515" s="128">
        <f>IFERROR(AM515*$V515,)</f>
        <v/>
      </c>
      <c r="CZ515" s="128">
        <f>IFERROR(AN515*$V515,)</f>
        <v/>
      </c>
      <c r="DA515" s="128">
        <f>IFERROR(AO515*$V515,)</f>
        <v/>
      </c>
      <c r="DB515" s="128">
        <f>IFERROR(AP515*$V515,)</f>
        <v/>
      </c>
      <c r="DC515" s="128">
        <f>IFERROR(AQ515*$V515,)</f>
        <v/>
      </c>
      <c r="DD515" s="128">
        <f>IFERROR(AR515*$V515,)</f>
        <v/>
      </c>
      <c r="DE515" s="128">
        <f>IFERROR(AS515*$V515,)</f>
        <v/>
      </c>
      <c r="DF515" s="128">
        <f>IFERROR(AT515*$V515,)</f>
        <v/>
      </c>
      <c r="DG515" s="128">
        <f>IFERROR(AU515*$V515,)</f>
        <v/>
      </c>
      <c r="DH515" s="128">
        <f>IFERROR(AV515*$V515,)</f>
        <v/>
      </c>
      <c r="DI515" s="128">
        <f>IFERROR(AW515*$V515,)</f>
        <v/>
      </c>
      <c r="DJ515" s="128">
        <f>IFERROR(AX515*$V515,)</f>
        <v/>
      </c>
      <c r="DK515" s="128">
        <f>IFERROR(AY515*$V515,)</f>
        <v/>
      </c>
      <c r="DL515" s="128">
        <f>IFERROR(AZ515*$V515,)</f>
        <v/>
      </c>
      <c r="DM515" s="129">
        <f>IFERROR(if($X515=0,($V515/1.2)*BA515,
BA515*$X515),)</f>
        <v/>
      </c>
      <c r="DN515" s="129">
        <f>IFERROR(if($X515=0,($V515/1.2)*BB515,
BB515*$X515),)</f>
        <v/>
      </c>
      <c r="DO515" s="129">
        <f>IFERROR(if($X515=0,($V515/1.2)*BC515,
BC515*$X515),)</f>
        <v/>
      </c>
      <c r="DP515" s="130">
        <f>IFERROR(if($Z515=0,($V515/1.35)*BD515,
BD515*$Z515),)</f>
        <v/>
      </c>
      <c r="DQ515" s="130">
        <f>IFERROR(if($Z515=0,($V515/1.35)*BE515,
BE515*$Z515),)</f>
        <v/>
      </c>
      <c r="DR515" s="130">
        <f>IFERROR(if($Z515=0,($V515/1.35)*BF515,
BF515*$Z515),)</f>
        <v/>
      </c>
      <c r="DS515" s="128">
        <f>IFERROR(IF($AB515=0,($V515/0.74)*BG515,
BG515*$AB515),)</f>
        <v/>
      </c>
      <c r="DT515" s="128">
        <f>IFERROR(IF($AB515=0,($V515/0.74)*BH515,
BH515*$AB515),)</f>
        <v/>
      </c>
      <c r="DU515" s="128">
        <f>IFERROR(IF($AB515=0,($V515/0.74)*BI515,
BI515*$AB515),)</f>
        <v/>
      </c>
    </row>
    <row r="516" ht="131.25" customHeight="1" s="162">
      <c r="A516" s="115" t="n"/>
      <c r="B516" s="115" t="n"/>
      <c r="C516" s="115" t="n"/>
      <c r="D516" s="115" t="n"/>
      <c r="E516" s="115" t="n"/>
      <c r="F516" s="115" t="n"/>
      <c r="G516" s="115" t="n"/>
      <c r="H516" s="115" t="n"/>
      <c r="I516" s="115" t="n"/>
      <c r="J516" s="115" t="n"/>
      <c r="K516" s="115" t="n"/>
      <c r="L516" s="115" t="n"/>
      <c r="M516" s="115" t="n"/>
      <c r="N516" s="115" t="n"/>
      <c r="O516" s="115" t="n"/>
      <c r="P516" s="115" t="n"/>
      <c r="Q516" s="115" t="n"/>
      <c r="R516" s="115" t="n"/>
      <c r="S516" s="115" t="n"/>
      <c r="T516" s="115" t="n"/>
      <c r="U516" s="116" t="n"/>
      <c r="V516" s="116" t="n"/>
      <c r="W516" s="117" t="n"/>
      <c r="X516" s="118" t="n"/>
      <c r="Y516" s="119" t="n"/>
      <c r="Z516" s="120" t="n"/>
      <c r="AA516" s="121" t="n"/>
      <c r="AB516" s="122" t="n"/>
      <c r="AC516" s="117" t="n"/>
      <c r="AD516" s="123">
        <f>IF(SUM($AE516:$AH516)=0,"",SUM($AE516:$AH516))</f>
        <v/>
      </c>
      <c r="AE516" s="123">
        <f>iferror(IF(SUM($AI516:$AZ516)=0,"",SUM($AI516:$AZ516)),"")</f>
        <v/>
      </c>
      <c r="AF516" s="123">
        <f>iferror(IF(SUM($BA516:$BC516)=0,"",SUM($BA516:$BC516)),"")</f>
        <v/>
      </c>
      <c r="AG516" s="123">
        <f>iferror(IF(SUM($BD516:$BF516)=0,"",SUM($BD516:$BF516)),"")</f>
        <v/>
      </c>
      <c r="AH516" s="124">
        <f>iferror(IF(SUM($BG516:$BI516)=0,"",SUM($BG516:$BI516)),"")</f>
        <v/>
      </c>
      <c r="AI516" s="131" t="n"/>
      <c r="AJ516" s="132" t="n"/>
      <c r="AK516" s="132" t="n"/>
      <c r="AL516" s="132" t="n"/>
      <c r="AM516" s="132" t="n"/>
      <c r="AN516" s="132" t="n"/>
      <c r="AO516" s="132" t="n"/>
      <c r="AP516" s="132" t="n"/>
      <c r="AQ516" s="132" t="n"/>
      <c r="AR516" s="132" t="n"/>
      <c r="AS516" s="132" t="n"/>
      <c r="AT516" s="132" t="n"/>
      <c r="AU516" s="132" t="n"/>
      <c r="AV516" s="132" t="n"/>
      <c r="AW516" s="132" t="n"/>
      <c r="AX516" s="132" t="n"/>
      <c r="AY516" s="132" t="n"/>
      <c r="AZ516" s="133" t="n"/>
      <c r="BA516" s="131" t="n"/>
      <c r="BB516" s="132" t="n"/>
      <c r="BC516" s="133" t="n"/>
      <c r="BD516" s="131" t="n"/>
      <c r="BE516" s="132" t="n"/>
      <c r="BF516" s="133" t="n"/>
      <c r="BG516" s="131" t="n"/>
      <c r="BH516" s="132" t="n"/>
      <c r="BI516" s="132" t="n"/>
      <c r="BJ516" s="128">
        <f>iferror(SUM($BK516,($BL516*1.2),($BM516*1.35),($BN516*0.74)),)</f>
        <v/>
      </c>
      <c r="BK516" s="128">
        <f>IFERROR(SUM($BT516:$CK516),)</f>
        <v/>
      </c>
      <c r="BL516" s="129">
        <f>IFERROR(SUM($CL516:$CN516),)</f>
        <v/>
      </c>
      <c r="BM516" s="130">
        <f>IFERROR(SUM($CO516:$CQ516),)</f>
        <v/>
      </c>
      <c r="BN516" s="128">
        <f>IFERROR(SUM($CR516:$CT516),)</f>
        <v/>
      </c>
      <c r="BO516" s="128">
        <f>iferror(SUM($BP516,($BQ516*1.2),($BR516*1.35),($BS516*0.74)),)</f>
        <v/>
      </c>
      <c r="BP516" s="128">
        <f>IFERROR(SUM($CU516:$DL516),)</f>
        <v/>
      </c>
      <c r="BQ516" s="128">
        <f>IFERROR(SUM($DM516:$DO516),)</f>
        <v/>
      </c>
      <c r="BR516" s="128">
        <f>IFERROR(SUM($DP516:$DR516),)</f>
        <v/>
      </c>
      <c r="BS516" s="128">
        <f>IFERROR(SUM($DS516:$DU516),)</f>
        <v/>
      </c>
      <c r="BT516" s="128">
        <f>IFERROR(AI516*$W516,)</f>
        <v/>
      </c>
      <c r="BU516" s="128">
        <f>IFERROR(AJ516*$W516,)</f>
        <v/>
      </c>
      <c r="BV516" s="128">
        <f>IFERROR(AK516*$W516,)</f>
        <v/>
      </c>
      <c r="BW516" s="128">
        <f>IFERROR(AL516*$W516,)</f>
        <v/>
      </c>
      <c r="BX516" s="128">
        <f>IFERROR(AM516*$W516,)</f>
        <v/>
      </c>
      <c r="BY516" s="128">
        <f>IFERROR(AN516*$W516,)</f>
        <v/>
      </c>
      <c r="BZ516" s="128">
        <f>IFERROR(AO516*$W516,)</f>
        <v/>
      </c>
      <c r="CA516" s="128">
        <f>IFERROR(AP516*$W516,)</f>
        <v/>
      </c>
      <c r="CB516" s="128">
        <f>IFERROR(AQ516*$W516,)</f>
        <v/>
      </c>
      <c r="CC516" s="128">
        <f>IFERROR(AR516*$W516,)</f>
        <v/>
      </c>
      <c r="CD516" s="128">
        <f>IFERROR(AS516*$W516,)</f>
        <v/>
      </c>
      <c r="CE516" s="128">
        <f>IFERROR(AT516*$W516,)</f>
        <v/>
      </c>
      <c r="CF516" s="128">
        <f>IFERROR(AU516*$W516,)</f>
        <v/>
      </c>
      <c r="CG516" s="128">
        <f>IFERROR(AV516*$W516,)</f>
        <v/>
      </c>
      <c r="CH516" s="128">
        <f>IFERROR(AW516*$W516,)</f>
        <v/>
      </c>
      <c r="CI516" s="128">
        <f>IFERROR(AX516*$W516,)</f>
        <v/>
      </c>
      <c r="CJ516" s="128">
        <f>IFERROR(AY516*$W516,)</f>
        <v/>
      </c>
      <c r="CK516" s="128">
        <f>IFERROR(AZ516*$W516,)</f>
        <v/>
      </c>
      <c r="CL516" s="129">
        <f>IFERROR(if($Y516=0,BA516*($W516/1.2),BA516*$Y516),"")</f>
        <v/>
      </c>
      <c r="CM516" s="129">
        <f>IFERROR(if($Y516=0,BB516*($W516/1.2),BB516*$Y516),"")</f>
        <v/>
      </c>
      <c r="CN516" s="129">
        <f>IFERROR(if($Y516=0,BC516*($W516/1.2),BC516*$Y516),"")</f>
        <v/>
      </c>
      <c r="CO516" s="130">
        <f>IFERROR(if($AA516=0,($W516/1.35)*BD516,BD516*$AA516),)</f>
        <v/>
      </c>
      <c r="CP516" s="130">
        <f>IFERROR(if($AA516=0,($W516/1.35)*BE516,BE516*$AA516),)</f>
        <v/>
      </c>
      <c r="CQ516" s="130">
        <f>IFERROR(if($AA516=0,($W516/1.35)*BF516,BF516*$AA516),)</f>
        <v/>
      </c>
      <c r="CR516" s="128">
        <f>IFERROR(if($AC516=0,($W516/0.74)*BG516,
BG516*$AC516),)</f>
        <v/>
      </c>
      <c r="CS516" s="128">
        <f>IFERROR(if($AC516=0,($W516/0.74)*BH516,
BH516*$AC516),)</f>
        <v/>
      </c>
      <c r="CT516" s="128">
        <f>IFERROR(if($AC516=0,($W516/0.74)*BI516,
BI516*$AC516),)</f>
        <v/>
      </c>
      <c r="CU516" s="128">
        <f>IFERROR(AI516*$V516,)</f>
        <v/>
      </c>
      <c r="CV516" s="128">
        <f>IFERROR(AJ516*$V516,)</f>
        <v/>
      </c>
      <c r="CW516" s="128">
        <f>IFERROR(AK516*$V516,)</f>
        <v/>
      </c>
      <c r="CX516" s="128">
        <f>IFERROR(AL516*$V516,)</f>
        <v/>
      </c>
      <c r="CY516" s="128">
        <f>IFERROR(AM516*$V516,)</f>
        <v/>
      </c>
      <c r="CZ516" s="128">
        <f>IFERROR(AN516*$V516,)</f>
        <v/>
      </c>
      <c r="DA516" s="128">
        <f>IFERROR(AO516*$V516,)</f>
        <v/>
      </c>
      <c r="DB516" s="128">
        <f>IFERROR(AP516*$V516,)</f>
        <v/>
      </c>
      <c r="DC516" s="128">
        <f>IFERROR(AQ516*$V516,)</f>
        <v/>
      </c>
      <c r="DD516" s="128">
        <f>IFERROR(AR516*$V516,)</f>
        <v/>
      </c>
      <c r="DE516" s="128">
        <f>IFERROR(AS516*$V516,)</f>
        <v/>
      </c>
      <c r="DF516" s="128">
        <f>IFERROR(AT516*$V516,)</f>
        <v/>
      </c>
      <c r="DG516" s="128">
        <f>IFERROR(AU516*$V516,)</f>
        <v/>
      </c>
      <c r="DH516" s="128">
        <f>IFERROR(AV516*$V516,)</f>
        <v/>
      </c>
      <c r="DI516" s="128">
        <f>IFERROR(AW516*$V516,)</f>
        <v/>
      </c>
      <c r="DJ516" s="128">
        <f>IFERROR(AX516*$V516,)</f>
        <v/>
      </c>
      <c r="DK516" s="128">
        <f>IFERROR(AY516*$V516,)</f>
        <v/>
      </c>
      <c r="DL516" s="128">
        <f>IFERROR(AZ516*$V516,)</f>
        <v/>
      </c>
      <c r="DM516" s="129">
        <f>IFERROR(if($X516=0,($V516/1.2)*BA516,
BA516*$X516),)</f>
        <v/>
      </c>
      <c r="DN516" s="129">
        <f>IFERROR(if($X516=0,($V516/1.2)*BB516,
BB516*$X516),)</f>
        <v/>
      </c>
      <c r="DO516" s="129">
        <f>IFERROR(if($X516=0,($V516/1.2)*BC516,
BC516*$X516),)</f>
        <v/>
      </c>
      <c r="DP516" s="130">
        <f>IFERROR(if($Z516=0,($V516/1.35)*BD516,
BD516*$Z516),)</f>
        <v/>
      </c>
      <c r="DQ516" s="130">
        <f>IFERROR(if($Z516=0,($V516/1.35)*BE516,
BE516*$Z516),)</f>
        <v/>
      </c>
      <c r="DR516" s="130">
        <f>IFERROR(if($Z516=0,($V516/1.35)*BF516,
BF516*$Z516),)</f>
        <v/>
      </c>
      <c r="DS516" s="128">
        <f>IFERROR(IF($AB516=0,($V516/0.74)*BG516,
BG516*$AB516),)</f>
        <v/>
      </c>
      <c r="DT516" s="128">
        <f>IFERROR(IF($AB516=0,($V516/0.74)*BH516,
BH516*$AB516),)</f>
        <v/>
      </c>
      <c r="DU516" s="128">
        <f>IFERROR(IF($AB516=0,($V516/0.74)*BI516,
BI516*$AB516),)</f>
        <v/>
      </c>
    </row>
    <row r="517" ht="131.25" customHeight="1" s="162">
      <c r="A517" s="115" t="n"/>
      <c r="B517" s="115" t="n"/>
      <c r="C517" s="115" t="n"/>
      <c r="D517" s="115" t="n"/>
      <c r="E517" s="115" t="n"/>
      <c r="F517" s="115" t="n"/>
      <c r="G517" s="115" t="n"/>
      <c r="H517" s="115" t="n"/>
      <c r="I517" s="115" t="n"/>
      <c r="J517" s="115" t="n"/>
      <c r="K517" s="115" t="n"/>
      <c r="L517" s="115" t="n"/>
      <c r="M517" s="115" t="n"/>
      <c r="N517" s="115" t="n"/>
      <c r="O517" s="115" t="n"/>
      <c r="P517" s="115" t="n"/>
      <c r="Q517" s="115" t="n"/>
      <c r="R517" s="115" t="n"/>
      <c r="S517" s="115" t="n"/>
      <c r="T517" s="115" t="n"/>
      <c r="U517" s="116" t="n"/>
      <c r="V517" s="116" t="n"/>
      <c r="W517" s="117" t="n"/>
      <c r="X517" s="118" t="n"/>
      <c r="Y517" s="119" t="n"/>
      <c r="Z517" s="120" t="n"/>
      <c r="AA517" s="121" t="n"/>
      <c r="AB517" s="122" t="n"/>
      <c r="AC517" s="117" t="n"/>
      <c r="AD517" s="123">
        <f>IF(SUM($AE517:$AH517)=0,"",SUM($AE517:$AH517))</f>
        <v/>
      </c>
      <c r="AE517" s="123">
        <f>iferror(IF(SUM($AI517:$AZ517)=0,"",SUM($AI517:$AZ517)),"")</f>
        <v/>
      </c>
      <c r="AF517" s="123">
        <f>iferror(IF(SUM($BA517:$BC517)=0,"",SUM($BA517:$BC517)),"")</f>
        <v/>
      </c>
      <c r="AG517" s="123">
        <f>iferror(IF(SUM($BD517:$BF517)=0,"",SUM($BD517:$BF517)),"")</f>
        <v/>
      </c>
      <c r="AH517" s="124">
        <f>iferror(IF(SUM($BG517:$BI517)=0,"",SUM($BG517:$BI517)),"")</f>
        <v/>
      </c>
      <c r="AI517" s="131" t="n"/>
      <c r="AJ517" s="132" t="n"/>
      <c r="AK517" s="132" t="n"/>
      <c r="AL517" s="132" t="n"/>
      <c r="AM517" s="132" t="n"/>
      <c r="AN517" s="132" t="n"/>
      <c r="AO517" s="132" t="n"/>
      <c r="AP517" s="132" t="n"/>
      <c r="AQ517" s="132" t="n"/>
      <c r="AR517" s="132" t="n"/>
      <c r="AS517" s="132" t="n"/>
      <c r="AT517" s="132" t="n"/>
      <c r="AU517" s="132" t="n"/>
      <c r="AV517" s="132" t="n"/>
      <c r="AW517" s="132" t="n"/>
      <c r="AX517" s="132" t="n"/>
      <c r="AY517" s="132" t="n"/>
      <c r="AZ517" s="133" t="n"/>
      <c r="BA517" s="131" t="n"/>
      <c r="BB517" s="132" t="n"/>
      <c r="BC517" s="133" t="n"/>
      <c r="BD517" s="131" t="n"/>
      <c r="BE517" s="132" t="n"/>
      <c r="BF517" s="133" t="n"/>
      <c r="BG517" s="131" t="n"/>
      <c r="BH517" s="132" t="n"/>
      <c r="BI517" s="132" t="n"/>
      <c r="BJ517" s="128">
        <f>iferror(SUM($BK517,($BL517*1.2),($BM517*1.35),($BN517*0.74)),)</f>
        <v/>
      </c>
      <c r="BK517" s="128">
        <f>IFERROR(SUM($BT517:$CK517),)</f>
        <v/>
      </c>
      <c r="BL517" s="129">
        <f>IFERROR(SUM($CL517:$CN517),)</f>
        <v/>
      </c>
      <c r="BM517" s="130">
        <f>IFERROR(SUM($CO517:$CQ517),)</f>
        <v/>
      </c>
      <c r="BN517" s="128">
        <f>IFERROR(SUM($CR517:$CT517),)</f>
        <v/>
      </c>
      <c r="BO517" s="128">
        <f>iferror(SUM($BP517,($BQ517*1.2),($BR517*1.35),($BS517*0.74)),)</f>
        <v/>
      </c>
      <c r="BP517" s="128">
        <f>IFERROR(SUM($CU517:$DL517),)</f>
        <v/>
      </c>
      <c r="BQ517" s="128">
        <f>IFERROR(SUM($DM517:$DO517),)</f>
        <v/>
      </c>
      <c r="BR517" s="128">
        <f>IFERROR(SUM($DP517:$DR517),)</f>
        <v/>
      </c>
      <c r="BS517" s="128">
        <f>IFERROR(SUM($DS517:$DU517),)</f>
        <v/>
      </c>
      <c r="BT517" s="128">
        <f>IFERROR(AI517*$W517,)</f>
        <v/>
      </c>
      <c r="BU517" s="128">
        <f>IFERROR(AJ517*$W517,)</f>
        <v/>
      </c>
      <c r="BV517" s="128">
        <f>IFERROR(AK517*$W517,)</f>
        <v/>
      </c>
      <c r="BW517" s="128">
        <f>IFERROR(AL517*$W517,)</f>
        <v/>
      </c>
      <c r="BX517" s="128">
        <f>IFERROR(AM517*$W517,)</f>
        <v/>
      </c>
      <c r="BY517" s="128">
        <f>IFERROR(AN517*$W517,)</f>
        <v/>
      </c>
      <c r="BZ517" s="128">
        <f>IFERROR(AO517*$W517,)</f>
        <v/>
      </c>
      <c r="CA517" s="128">
        <f>IFERROR(AP517*$W517,)</f>
        <v/>
      </c>
      <c r="CB517" s="128">
        <f>IFERROR(AQ517*$W517,)</f>
        <v/>
      </c>
      <c r="CC517" s="128">
        <f>IFERROR(AR517*$W517,)</f>
        <v/>
      </c>
      <c r="CD517" s="128">
        <f>IFERROR(AS517*$W517,)</f>
        <v/>
      </c>
      <c r="CE517" s="128">
        <f>IFERROR(AT517*$W517,)</f>
        <v/>
      </c>
      <c r="CF517" s="128">
        <f>IFERROR(AU517*$W517,)</f>
        <v/>
      </c>
      <c r="CG517" s="128">
        <f>IFERROR(AV517*$W517,)</f>
        <v/>
      </c>
      <c r="CH517" s="128">
        <f>IFERROR(AW517*$W517,)</f>
        <v/>
      </c>
      <c r="CI517" s="128">
        <f>IFERROR(AX517*$W517,)</f>
        <v/>
      </c>
      <c r="CJ517" s="128">
        <f>IFERROR(AY517*$W517,)</f>
        <v/>
      </c>
      <c r="CK517" s="128">
        <f>IFERROR(AZ517*$W517,)</f>
        <v/>
      </c>
      <c r="CL517" s="129">
        <f>IFERROR(if($Y517=0,BA517*($W517/1.2),BA517*$Y517),"")</f>
        <v/>
      </c>
      <c r="CM517" s="129">
        <f>IFERROR(if($Y517=0,BB517*($W517/1.2),BB517*$Y517),"")</f>
        <v/>
      </c>
      <c r="CN517" s="129">
        <f>IFERROR(if($Y517=0,BC517*($W517/1.2),BC517*$Y517),"")</f>
        <v/>
      </c>
      <c r="CO517" s="130">
        <f>IFERROR(if($AA517=0,($W517/1.35)*BD517,BD517*$AA517),)</f>
        <v/>
      </c>
      <c r="CP517" s="130">
        <f>IFERROR(if($AA517=0,($W517/1.35)*BE517,BE517*$AA517),)</f>
        <v/>
      </c>
      <c r="CQ517" s="130">
        <f>IFERROR(if($AA517=0,($W517/1.35)*BF517,BF517*$AA517),)</f>
        <v/>
      </c>
      <c r="CR517" s="128">
        <f>IFERROR(if($AC517=0,($W517/0.74)*BG517,
BG517*$AC517),)</f>
        <v/>
      </c>
      <c r="CS517" s="128">
        <f>IFERROR(if($AC517=0,($W517/0.74)*BH517,
BH517*$AC517),)</f>
        <v/>
      </c>
      <c r="CT517" s="128">
        <f>IFERROR(if($AC517=0,($W517/0.74)*BI517,
BI517*$AC517),)</f>
        <v/>
      </c>
      <c r="CU517" s="128">
        <f>IFERROR(AI517*$V517,)</f>
        <v/>
      </c>
      <c r="CV517" s="128">
        <f>IFERROR(AJ517*$V517,)</f>
        <v/>
      </c>
      <c r="CW517" s="128">
        <f>IFERROR(AK517*$V517,)</f>
        <v/>
      </c>
      <c r="CX517" s="128">
        <f>IFERROR(AL517*$V517,)</f>
        <v/>
      </c>
      <c r="CY517" s="128">
        <f>IFERROR(AM517*$V517,)</f>
        <v/>
      </c>
      <c r="CZ517" s="128">
        <f>IFERROR(AN517*$V517,)</f>
        <v/>
      </c>
      <c r="DA517" s="128">
        <f>IFERROR(AO517*$V517,)</f>
        <v/>
      </c>
      <c r="DB517" s="128">
        <f>IFERROR(AP517*$V517,)</f>
        <v/>
      </c>
      <c r="DC517" s="128">
        <f>IFERROR(AQ517*$V517,)</f>
        <v/>
      </c>
      <c r="DD517" s="128">
        <f>IFERROR(AR517*$V517,)</f>
        <v/>
      </c>
      <c r="DE517" s="128">
        <f>IFERROR(AS517*$V517,)</f>
        <v/>
      </c>
      <c r="DF517" s="128">
        <f>IFERROR(AT517*$V517,)</f>
        <v/>
      </c>
      <c r="DG517" s="128">
        <f>IFERROR(AU517*$V517,)</f>
        <v/>
      </c>
      <c r="DH517" s="128">
        <f>IFERROR(AV517*$V517,)</f>
        <v/>
      </c>
      <c r="DI517" s="128">
        <f>IFERROR(AW517*$V517,)</f>
        <v/>
      </c>
      <c r="DJ517" s="128">
        <f>IFERROR(AX517*$V517,)</f>
        <v/>
      </c>
      <c r="DK517" s="128">
        <f>IFERROR(AY517*$V517,)</f>
        <v/>
      </c>
      <c r="DL517" s="128">
        <f>IFERROR(AZ517*$V517,)</f>
        <v/>
      </c>
      <c r="DM517" s="129">
        <f>IFERROR(if($X517=0,($V517/1.2)*BA517,
BA517*$X517),)</f>
        <v/>
      </c>
      <c r="DN517" s="129">
        <f>IFERROR(if($X517=0,($V517/1.2)*BB517,
BB517*$X517),)</f>
        <v/>
      </c>
      <c r="DO517" s="129">
        <f>IFERROR(if($X517=0,($V517/1.2)*BC517,
BC517*$X517),)</f>
        <v/>
      </c>
      <c r="DP517" s="130">
        <f>IFERROR(if($Z517=0,($V517/1.35)*BD517,
BD517*$Z517),)</f>
        <v/>
      </c>
      <c r="DQ517" s="130">
        <f>IFERROR(if($Z517=0,($V517/1.35)*BE517,
BE517*$Z517),)</f>
        <v/>
      </c>
      <c r="DR517" s="130">
        <f>IFERROR(if($Z517=0,($V517/1.35)*BF517,
BF517*$Z517),)</f>
        <v/>
      </c>
      <c r="DS517" s="128">
        <f>IFERROR(IF($AB517=0,($V517/0.74)*BG517,
BG517*$AB517),)</f>
        <v/>
      </c>
      <c r="DT517" s="128">
        <f>IFERROR(IF($AB517=0,($V517/0.74)*BH517,
BH517*$AB517),)</f>
        <v/>
      </c>
      <c r="DU517" s="128">
        <f>IFERROR(IF($AB517=0,($V517/0.74)*BI517,
BI517*$AB517),)</f>
        <v/>
      </c>
    </row>
    <row r="518" ht="131.25" customHeight="1" s="162">
      <c r="A518" s="115" t="n"/>
      <c r="B518" s="115" t="n"/>
      <c r="C518" s="115" t="n"/>
      <c r="D518" s="115" t="n"/>
      <c r="E518" s="115" t="n"/>
      <c r="F518" s="115" t="n"/>
      <c r="G518" s="115" t="n"/>
      <c r="H518" s="115" t="n"/>
      <c r="I518" s="115" t="n"/>
      <c r="J518" s="115" t="n"/>
      <c r="K518" s="115" t="n"/>
      <c r="L518" s="115" t="n"/>
      <c r="M518" s="115" t="n"/>
      <c r="N518" s="115" t="n"/>
      <c r="O518" s="115" t="n"/>
      <c r="P518" s="115" t="n"/>
      <c r="Q518" s="115" t="n"/>
      <c r="R518" s="115" t="n"/>
      <c r="S518" s="115" t="n"/>
      <c r="T518" s="115" t="n"/>
      <c r="U518" s="116" t="n"/>
      <c r="V518" s="116" t="n"/>
      <c r="W518" s="117" t="n"/>
      <c r="X518" s="118" t="n"/>
      <c r="Y518" s="119" t="n"/>
      <c r="Z518" s="120" t="n"/>
      <c r="AA518" s="121" t="n"/>
      <c r="AB518" s="122" t="n"/>
      <c r="AC518" s="117" t="n"/>
      <c r="AD518" s="123">
        <f>IF(SUM($AE518:$AH518)=0,"",SUM($AE518:$AH518))</f>
        <v/>
      </c>
      <c r="AE518" s="123">
        <f>iferror(IF(SUM($AI518:$AZ518)=0,"",SUM($AI518:$AZ518)),"")</f>
        <v/>
      </c>
      <c r="AF518" s="123">
        <f>iferror(IF(SUM($BA518:$BC518)=0,"",SUM($BA518:$BC518)),"")</f>
        <v/>
      </c>
      <c r="AG518" s="123">
        <f>iferror(IF(SUM($BD518:$BF518)=0,"",SUM($BD518:$BF518)),"")</f>
        <v/>
      </c>
      <c r="AH518" s="124">
        <f>iferror(IF(SUM($BG518:$BI518)=0,"",SUM($BG518:$BI518)),"")</f>
        <v/>
      </c>
      <c r="AI518" s="131" t="n"/>
      <c r="AJ518" s="132" t="n"/>
      <c r="AK518" s="132" t="n"/>
      <c r="AL518" s="132" t="n"/>
      <c r="AM518" s="132" t="n"/>
      <c r="AN518" s="132" t="n"/>
      <c r="AO518" s="132" t="n"/>
      <c r="AP518" s="132" t="n"/>
      <c r="AQ518" s="132" t="n"/>
      <c r="AR518" s="132" t="n"/>
      <c r="AS518" s="132" t="n"/>
      <c r="AT518" s="132" t="n"/>
      <c r="AU518" s="132" t="n"/>
      <c r="AV518" s="132" t="n"/>
      <c r="AW518" s="132" t="n"/>
      <c r="AX518" s="132" t="n"/>
      <c r="AY518" s="132" t="n"/>
      <c r="AZ518" s="133" t="n"/>
      <c r="BA518" s="131" t="n"/>
      <c r="BB518" s="132" t="n"/>
      <c r="BC518" s="133" t="n"/>
      <c r="BD518" s="131" t="n"/>
      <c r="BE518" s="132" t="n"/>
      <c r="BF518" s="133" t="n"/>
      <c r="BG518" s="131" t="n"/>
      <c r="BH518" s="132" t="n"/>
      <c r="BI518" s="132" t="n"/>
      <c r="BJ518" s="128">
        <f>iferror(SUM($BK518,($BL518*1.2),($BM518*1.35),($BN518*0.74)),)</f>
        <v/>
      </c>
      <c r="BK518" s="128">
        <f>IFERROR(SUM($BT518:$CK518),)</f>
        <v/>
      </c>
      <c r="BL518" s="129">
        <f>IFERROR(SUM($CL518:$CN518),)</f>
        <v/>
      </c>
      <c r="BM518" s="130">
        <f>IFERROR(SUM($CO518:$CQ518),)</f>
        <v/>
      </c>
      <c r="BN518" s="128">
        <f>IFERROR(SUM($CR518:$CT518),)</f>
        <v/>
      </c>
      <c r="BO518" s="128">
        <f>iferror(SUM($BP518,($BQ518*1.2),($BR518*1.35),($BS518*0.74)),)</f>
        <v/>
      </c>
      <c r="BP518" s="128">
        <f>IFERROR(SUM($CU518:$DL518),)</f>
        <v/>
      </c>
      <c r="BQ518" s="128">
        <f>IFERROR(SUM($DM518:$DO518),)</f>
        <v/>
      </c>
      <c r="BR518" s="128">
        <f>IFERROR(SUM($DP518:$DR518),)</f>
        <v/>
      </c>
      <c r="BS518" s="128">
        <f>IFERROR(SUM($DS518:$DU518),)</f>
        <v/>
      </c>
      <c r="BT518" s="128">
        <f>IFERROR(AI518*$W518,)</f>
        <v/>
      </c>
      <c r="BU518" s="128">
        <f>IFERROR(AJ518*$W518,)</f>
        <v/>
      </c>
      <c r="BV518" s="128">
        <f>IFERROR(AK518*$W518,)</f>
        <v/>
      </c>
      <c r="BW518" s="128">
        <f>IFERROR(AL518*$W518,)</f>
        <v/>
      </c>
      <c r="BX518" s="128">
        <f>IFERROR(AM518*$W518,)</f>
        <v/>
      </c>
      <c r="BY518" s="128">
        <f>IFERROR(AN518*$W518,)</f>
        <v/>
      </c>
      <c r="BZ518" s="128">
        <f>IFERROR(AO518*$W518,)</f>
        <v/>
      </c>
      <c r="CA518" s="128">
        <f>IFERROR(AP518*$W518,)</f>
        <v/>
      </c>
      <c r="CB518" s="128">
        <f>IFERROR(AQ518*$W518,)</f>
        <v/>
      </c>
      <c r="CC518" s="128">
        <f>IFERROR(AR518*$W518,)</f>
        <v/>
      </c>
      <c r="CD518" s="128">
        <f>IFERROR(AS518*$W518,)</f>
        <v/>
      </c>
      <c r="CE518" s="128">
        <f>IFERROR(AT518*$W518,)</f>
        <v/>
      </c>
      <c r="CF518" s="128">
        <f>IFERROR(AU518*$W518,)</f>
        <v/>
      </c>
      <c r="CG518" s="128">
        <f>IFERROR(AV518*$W518,)</f>
        <v/>
      </c>
      <c r="CH518" s="128">
        <f>IFERROR(AW518*$W518,)</f>
        <v/>
      </c>
      <c r="CI518" s="128">
        <f>IFERROR(AX518*$W518,)</f>
        <v/>
      </c>
      <c r="CJ518" s="128">
        <f>IFERROR(AY518*$W518,)</f>
        <v/>
      </c>
      <c r="CK518" s="128">
        <f>IFERROR(AZ518*$W518,)</f>
        <v/>
      </c>
      <c r="CL518" s="129">
        <f>IFERROR(if($Y518=0,BA518*($W518/1.2),BA518*$Y518),"")</f>
        <v/>
      </c>
      <c r="CM518" s="129">
        <f>IFERROR(if($Y518=0,BB518*($W518/1.2),BB518*$Y518),"")</f>
        <v/>
      </c>
      <c r="CN518" s="129">
        <f>IFERROR(if($Y518=0,BC518*($W518/1.2),BC518*$Y518),"")</f>
        <v/>
      </c>
      <c r="CO518" s="130">
        <f>IFERROR(if($AA518=0,($W518/1.35)*BD518,BD518*$AA518),)</f>
        <v/>
      </c>
      <c r="CP518" s="130">
        <f>IFERROR(if($AA518=0,($W518/1.35)*BE518,BE518*$AA518),)</f>
        <v/>
      </c>
      <c r="CQ518" s="130">
        <f>IFERROR(if($AA518=0,($W518/1.35)*BF518,BF518*$AA518),)</f>
        <v/>
      </c>
      <c r="CR518" s="128">
        <f>IFERROR(if($AC518=0,($W518/0.74)*BG518,
BG518*$AC518),)</f>
        <v/>
      </c>
      <c r="CS518" s="128">
        <f>IFERROR(if($AC518=0,($W518/0.74)*BH518,
BH518*$AC518),)</f>
        <v/>
      </c>
      <c r="CT518" s="128">
        <f>IFERROR(if($AC518=0,($W518/0.74)*BI518,
BI518*$AC518),)</f>
        <v/>
      </c>
      <c r="CU518" s="128">
        <f>IFERROR(AI518*$V518,)</f>
        <v/>
      </c>
      <c r="CV518" s="128">
        <f>IFERROR(AJ518*$V518,)</f>
        <v/>
      </c>
      <c r="CW518" s="128">
        <f>IFERROR(AK518*$V518,)</f>
        <v/>
      </c>
      <c r="CX518" s="128">
        <f>IFERROR(AL518*$V518,)</f>
        <v/>
      </c>
      <c r="CY518" s="128">
        <f>IFERROR(AM518*$V518,)</f>
        <v/>
      </c>
      <c r="CZ518" s="128">
        <f>IFERROR(AN518*$V518,)</f>
        <v/>
      </c>
      <c r="DA518" s="128">
        <f>IFERROR(AO518*$V518,)</f>
        <v/>
      </c>
      <c r="DB518" s="128">
        <f>IFERROR(AP518*$V518,)</f>
        <v/>
      </c>
      <c r="DC518" s="128">
        <f>IFERROR(AQ518*$V518,)</f>
        <v/>
      </c>
      <c r="DD518" s="128">
        <f>IFERROR(AR518*$V518,)</f>
        <v/>
      </c>
      <c r="DE518" s="128">
        <f>IFERROR(AS518*$V518,)</f>
        <v/>
      </c>
      <c r="DF518" s="128">
        <f>IFERROR(AT518*$V518,)</f>
        <v/>
      </c>
      <c r="DG518" s="128">
        <f>IFERROR(AU518*$V518,)</f>
        <v/>
      </c>
      <c r="DH518" s="128">
        <f>IFERROR(AV518*$V518,)</f>
        <v/>
      </c>
      <c r="DI518" s="128">
        <f>IFERROR(AW518*$V518,)</f>
        <v/>
      </c>
      <c r="DJ518" s="128">
        <f>IFERROR(AX518*$V518,)</f>
        <v/>
      </c>
      <c r="DK518" s="128">
        <f>IFERROR(AY518*$V518,)</f>
        <v/>
      </c>
      <c r="DL518" s="128">
        <f>IFERROR(AZ518*$V518,)</f>
        <v/>
      </c>
      <c r="DM518" s="129">
        <f>IFERROR(if($X518=0,($V518/1.2)*BA518,
BA518*$X518),)</f>
        <v/>
      </c>
      <c r="DN518" s="129">
        <f>IFERROR(if($X518=0,($V518/1.2)*BB518,
BB518*$X518),)</f>
        <v/>
      </c>
      <c r="DO518" s="129">
        <f>IFERROR(if($X518=0,($V518/1.2)*BC518,
BC518*$X518),)</f>
        <v/>
      </c>
      <c r="DP518" s="130">
        <f>IFERROR(if($Z518=0,($V518/1.35)*BD518,
BD518*$Z518),)</f>
        <v/>
      </c>
      <c r="DQ518" s="130">
        <f>IFERROR(if($Z518=0,($V518/1.35)*BE518,
BE518*$Z518),)</f>
        <v/>
      </c>
      <c r="DR518" s="130">
        <f>IFERROR(if($Z518=0,($V518/1.35)*BF518,
BF518*$Z518),)</f>
        <v/>
      </c>
      <c r="DS518" s="128">
        <f>IFERROR(IF($AB518=0,($V518/0.74)*BG518,
BG518*$AB518),)</f>
        <v/>
      </c>
      <c r="DT518" s="128">
        <f>IFERROR(IF($AB518=0,($V518/0.74)*BH518,
BH518*$AB518),)</f>
        <v/>
      </c>
      <c r="DU518" s="128">
        <f>IFERROR(IF($AB518=0,($V518/0.74)*BI518,
BI518*$AB518),)</f>
        <v/>
      </c>
    </row>
    <row r="519" ht="131.25" customHeight="1" s="162">
      <c r="A519" s="115" t="n"/>
      <c r="B519" s="115" t="n"/>
      <c r="C519" s="115" t="n"/>
      <c r="D519" s="115" t="n"/>
      <c r="E519" s="115" t="n"/>
      <c r="F519" s="115" t="n"/>
      <c r="G519" s="115" t="n"/>
      <c r="H519" s="115" t="n"/>
      <c r="I519" s="115" t="n"/>
      <c r="J519" s="115" t="n"/>
      <c r="K519" s="115" t="n"/>
      <c r="L519" s="115" t="n"/>
      <c r="M519" s="115" t="n"/>
      <c r="N519" s="115" t="n"/>
      <c r="O519" s="115" t="n"/>
      <c r="P519" s="115" t="n"/>
      <c r="Q519" s="115" t="n"/>
      <c r="R519" s="115" t="n"/>
      <c r="S519" s="115" t="n"/>
      <c r="T519" s="115" t="n"/>
      <c r="U519" s="116" t="n"/>
      <c r="V519" s="116" t="n"/>
      <c r="W519" s="117" t="n"/>
      <c r="X519" s="118" t="n"/>
      <c r="Y519" s="119" t="n"/>
      <c r="Z519" s="120" t="n"/>
      <c r="AA519" s="121" t="n"/>
      <c r="AB519" s="122" t="n"/>
      <c r="AC519" s="117" t="n"/>
      <c r="AD519" s="123">
        <f>IF(SUM($AE519:$AH519)=0,"",SUM($AE519:$AH519))</f>
        <v/>
      </c>
      <c r="AE519" s="123">
        <f>iferror(IF(SUM($AI519:$AZ519)=0,"",SUM($AI519:$AZ519)),"")</f>
        <v/>
      </c>
      <c r="AF519" s="123">
        <f>iferror(IF(SUM($BA519:$BC519)=0,"",SUM($BA519:$BC519)),"")</f>
        <v/>
      </c>
      <c r="AG519" s="123">
        <f>iferror(IF(SUM($BD519:$BF519)=0,"",SUM($BD519:$BF519)),"")</f>
        <v/>
      </c>
      <c r="AH519" s="124">
        <f>iferror(IF(SUM($BG519:$BI519)=0,"",SUM($BG519:$BI519)),"")</f>
        <v/>
      </c>
      <c r="AI519" s="131" t="n"/>
      <c r="AJ519" s="132" t="n"/>
      <c r="AK519" s="132" t="n"/>
      <c r="AL519" s="132" t="n"/>
      <c r="AM519" s="132" t="n"/>
      <c r="AN519" s="132" t="n"/>
      <c r="AO519" s="132" t="n"/>
      <c r="AP519" s="132" t="n"/>
      <c r="AQ519" s="132" t="n"/>
      <c r="AR519" s="132" t="n"/>
      <c r="AS519" s="132" t="n"/>
      <c r="AT519" s="132" t="n"/>
      <c r="AU519" s="132" t="n"/>
      <c r="AV519" s="132" t="n"/>
      <c r="AW519" s="132" t="n"/>
      <c r="AX519" s="132" t="n"/>
      <c r="AY519" s="132" t="n"/>
      <c r="AZ519" s="133" t="n"/>
      <c r="BA519" s="131" t="n"/>
      <c r="BB519" s="132" t="n"/>
      <c r="BC519" s="133" t="n"/>
      <c r="BD519" s="131" t="n"/>
      <c r="BE519" s="132" t="n"/>
      <c r="BF519" s="133" t="n"/>
      <c r="BG519" s="131" t="n"/>
      <c r="BH519" s="132" t="n"/>
      <c r="BI519" s="132" t="n"/>
      <c r="BJ519" s="128">
        <f>iferror(SUM($BK519,($BL519*1.2),($BM519*1.35),($BN519*0.74)),)</f>
        <v/>
      </c>
      <c r="BK519" s="128">
        <f>IFERROR(SUM($BT519:$CK519),)</f>
        <v/>
      </c>
      <c r="BL519" s="129">
        <f>IFERROR(SUM($CL519:$CN519),)</f>
        <v/>
      </c>
      <c r="BM519" s="130">
        <f>IFERROR(SUM($CO519:$CQ519),)</f>
        <v/>
      </c>
      <c r="BN519" s="128">
        <f>IFERROR(SUM($CR519:$CT519),)</f>
        <v/>
      </c>
      <c r="BO519" s="128">
        <f>iferror(SUM($BP519,($BQ519*1.2),($BR519*1.35),($BS519*0.74)),)</f>
        <v/>
      </c>
      <c r="BP519" s="128">
        <f>IFERROR(SUM($CU519:$DL519),)</f>
        <v/>
      </c>
      <c r="BQ519" s="128">
        <f>IFERROR(SUM($DM519:$DO519),)</f>
        <v/>
      </c>
      <c r="BR519" s="128">
        <f>IFERROR(SUM($DP519:$DR519),)</f>
        <v/>
      </c>
      <c r="BS519" s="128">
        <f>IFERROR(SUM($DS519:$DU519),)</f>
        <v/>
      </c>
      <c r="BT519" s="128">
        <f>IFERROR(AI519*$W519,)</f>
        <v/>
      </c>
      <c r="BU519" s="128">
        <f>IFERROR(AJ519*$W519,)</f>
        <v/>
      </c>
      <c r="BV519" s="128">
        <f>IFERROR(AK519*$W519,)</f>
        <v/>
      </c>
      <c r="BW519" s="128">
        <f>IFERROR(AL519*$W519,)</f>
        <v/>
      </c>
      <c r="BX519" s="128">
        <f>IFERROR(AM519*$W519,)</f>
        <v/>
      </c>
      <c r="BY519" s="128">
        <f>IFERROR(AN519*$W519,)</f>
        <v/>
      </c>
      <c r="BZ519" s="128">
        <f>IFERROR(AO519*$W519,)</f>
        <v/>
      </c>
      <c r="CA519" s="128">
        <f>IFERROR(AP519*$W519,)</f>
        <v/>
      </c>
      <c r="CB519" s="128">
        <f>IFERROR(AQ519*$W519,)</f>
        <v/>
      </c>
      <c r="CC519" s="128">
        <f>IFERROR(AR519*$W519,)</f>
        <v/>
      </c>
      <c r="CD519" s="128">
        <f>IFERROR(AS519*$W519,)</f>
        <v/>
      </c>
      <c r="CE519" s="128">
        <f>IFERROR(AT519*$W519,)</f>
        <v/>
      </c>
      <c r="CF519" s="128">
        <f>IFERROR(AU519*$W519,)</f>
        <v/>
      </c>
      <c r="CG519" s="128">
        <f>IFERROR(AV519*$W519,)</f>
        <v/>
      </c>
      <c r="CH519" s="128">
        <f>IFERROR(AW519*$W519,)</f>
        <v/>
      </c>
      <c r="CI519" s="128">
        <f>IFERROR(AX519*$W519,)</f>
        <v/>
      </c>
      <c r="CJ519" s="128">
        <f>IFERROR(AY519*$W519,)</f>
        <v/>
      </c>
      <c r="CK519" s="128">
        <f>IFERROR(AZ519*$W519,)</f>
        <v/>
      </c>
      <c r="CL519" s="129">
        <f>IFERROR(if($Y519=0,BA519*($W519/1.2),BA519*$Y519),"")</f>
        <v/>
      </c>
      <c r="CM519" s="129">
        <f>IFERROR(if($Y519=0,BB519*($W519/1.2),BB519*$Y519),"")</f>
        <v/>
      </c>
      <c r="CN519" s="129">
        <f>IFERROR(if($Y519=0,BC519*($W519/1.2),BC519*$Y519),"")</f>
        <v/>
      </c>
      <c r="CO519" s="130">
        <f>IFERROR(if($AA519=0,($W519/1.35)*BD519,BD519*$AA519),)</f>
        <v/>
      </c>
      <c r="CP519" s="130">
        <f>IFERROR(if($AA519=0,($W519/1.35)*BE519,BE519*$AA519),)</f>
        <v/>
      </c>
      <c r="CQ519" s="130">
        <f>IFERROR(if($AA519=0,($W519/1.35)*BF519,BF519*$AA519),)</f>
        <v/>
      </c>
      <c r="CR519" s="128">
        <f>IFERROR(if($AC519=0,($W519/0.74)*BG519,
BG519*$AC519),)</f>
        <v/>
      </c>
      <c r="CS519" s="128">
        <f>IFERROR(if($AC519=0,($W519/0.74)*BH519,
BH519*$AC519),)</f>
        <v/>
      </c>
      <c r="CT519" s="128">
        <f>IFERROR(if($AC519=0,($W519/0.74)*BI519,
BI519*$AC519),)</f>
        <v/>
      </c>
      <c r="CU519" s="128">
        <f>IFERROR(AI519*$V519,)</f>
        <v/>
      </c>
      <c r="CV519" s="128">
        <f>IFERROR(AJ519*$V519,)</f>
        <v/>
      </c>
      <c r="CW519" s="128">
        <f>IFERROR(AK519*$V519,)</f>
        <v/>
      </c>
      <c r="CX519" s="128">
        <f>IFERROR(AL519*$V519,)</f>
        <v/>
      </c>
      <c r="CY519" s="128">
        <f>IFERROR(AM519*$V519,)</f>
        <v/>
      </c>
      <c r="CZ519" s="128">
        <f>IFERROR(AN519*$V519,)</f>
        <v/>
      </c>
      <c r="DA519" s="128">
        <f>IFERROR(AO519*$V519,)</f>
        <v/>
      </c>
      <c r="DB519" s="128">
        <f>IFERROR(AP519*$V519,)</f>
        <v/>
      </c>
      <c r="DC519" s="128">
        <f>IFERROR(AQ519*$V519,)</f>
        <v/>
      </c>
      <c r="DD519" s="128">
        <f>IFERROR(AR519*$V519,)</f>
        <v/>
      </c>
      <c r="DE519" s="128">
        <f>IFERROR(AS519*$V519,)</f>
        <v/>
      </c>
      <c r="DF519" s="128">
        <f>IFERROR(AT519*$V519,)</f>
        <v/>
      </c>
      <c r="DG519" s="128">
        <f>IFERROR(AU519*$V519,)</f>
        <v/>
      </c>
      <c r="DH519" s="128">
        <f>IFERROR(AV519*$V519,)</f>
        <v/>
      </c>
      <c r="DI519" s="128">
        <f>IFERROR(AW519*$V519,)</f>
        <v/>
      </c>
      <c r="DJ519" s="128">
        <f>IFERROR(AX519*$V519,)</f>
        <v/>
      </c>
      <c r="DK519" s="128">
        <f>IFERROR(AY519*$V519,)</f>
        <v/>
      </c>
      <c r="DL519" s="128">
        <f>IFERROR(AZ519*$V519,)</f>
        <v/>
      </c>
      <c r="DM519" s="129">
        <f>IFERROR(if($X519=0,($V519/1.2)*BA519,
BA519*$X519),)</f>
        <v/>
      </c>
      <c r="DN519" s="129">
        <f>IFERROR(if($X519=0,($V519/1.2)*BB519,
BB519*$X519),)</f>
        <v/>
      </c>
      <c r="DO519" s="129">
        <f>IFERROR(if($X519=0,($V519/1.2)*BC519,
BC519*$X519),)</f>
        <v/>
      </c>
      <c r="DP519" s="130">
        <f>IFERROR(if($Z519=0,($V519/1.35)*BD519,
BD519*$Z519),)</f>
        <v/>
      </c>
      <c r="DQ519" s="130">
        <f>IFERROR(if($Z519=0,($V519/1.35)*BE519,
BE519*$Z519),)</f>
        <v/>
      </c>
      <c r="DR519" s="130">
        <f>IFERROR(if($Z519=0,($V519/1.35)*BF519,
BF519*$Z519),)</f>
        <v/>
      </c>
      <c r="DS519" s="128">
        <f>IFERROR(IF($AB519=0,($V519/0.74)*BG519,
BG519*$AB519),)</f>
        <v/>
      </c>
      <c r="DT519" s="128">
        <f>IFERROR(IF($AB519=0,($V519/0.74)*BH519,
BH519*$AB519),)</f>
        <v/>
      </c>
      <c r="DU519" s="128">
        <f>IFERROR(IF($AB519=0,($V519/0.74)*BI519,
BI519*$AB519),)</f>
        <v/>
      </c>
    </row>
    <row r="520" ht="131.25" customHeight="1" s="162">
      <c r="A520" s="115" t="n"/>
      <c r="B520" s="115" t="n"/>
      <c r="C520" s="115" t="n"/>
      <c r="D520" s="115" t="n"/>
      <c r="E520" s="115" t="n"/>
      <c r="F520" s="115" t="n"/>
      <c r="G520" s="115" t="n"/>
      <c r="H520" s="115" t="n"/>
      <c r="I520" s="115" t="n"/>
      <c r="J520" s="115" t="n"/>
      <c r="K520" s="115" t="n"/>
      <c r="L520" s="115" t="n"/>
      <c r="M520" s="115" t="n"/>
      <c r="N520" s="115" t="n"/>
      <c r="O520" s="115" t="n"/>
      <c r="P520" s="115" t="n"/>
      <c r="Q520" s="115" t="n"/>
      <c r="R520" s="115" t="n"/>
      <c r="S520" s="115" t="n"/>
      <c r="T520" s="115" t="n"/>
      <c r="U520" s="116" t="n"/>
      <c r="V520" s="116" t="n"/>
      <c r="W520" s="117" t="n"/>
      <c r="X520" s="118" t="n"/>
      <c r="Y520" s="119" t="n"/>
      <c r="Z520" s="120" t="n"/>
      <c r="AA520" s="121" t="n"/>
      <c r="AB520" s="122" t="n"/>
      <c r="AC520" s="117" t="n"/>
      <c r="AD520" s="123">
        <f>IF(SUM($AE520:$AH520)=0,"",SUM($AE520:$AH520))</f>
        <v/>
      </c>
      <c r="AE520" s="123">
        <f>iferror(IF(SUM($AI520:$AZ520)=0,"",SUM($AI520:$AZ520)),"")</f>
        <v/>
      </c>
      <c r="AF520" s="123">
        <f>iferror(IF(SUM($BA520:$BC520)=0,"",SUM($BA520:$BC520)),"")</f>
        <v/>
      </c>
      <c r="AG520" s="123">
        <f>iferror(IF(SUM($BD520:$BF520)=0,"",SUM($BD520:$BF520)),"")</f>
        <v/>
      </c>
      <c r="AH520" s="124">
        <f>iferror(IF(SUM($BG520:$BI520)=0,"",SUM($BG520:$BI520)),"")</f>
        <v/>
      </c>
      <c r="AI520" s="131" t="n"/>
      <c r="AJ520" s="132" t="n"/>
      <c r="AK520" s="132" t="n"/>
      <c r="AL520" s="132" t="n"/>
      <c r="AM520" s="132" t="n"/>
      <c r="AN520" s="132" t="n"/>
      <c r="AO520" s="132" t="n"/>
      <c r="AP520" s="132" t="n"/>
      <c r="AQ520" s="132" t="n"/>
      <c r="AR520" s="132" t="n"/>
      <c r="AS520" s="132" t="n"/>
      <c r="AT520" s="132" t="n"/>
      <c r="AU520" s="132" t="n"/>
      <c r="AV520" s="132" t="n"/>
      <c r="AW520" s="132" t="n"/>
      <c r="AX520" s="132" t="n"/>
      <c r="AY520" s="132" t="n"/>
      <c r="AZ520" s="133" t="n"/>
      <c r="BA520" s="131" t="n"/>
      <c r="BB520" s="132" t="n"/>
      <c r="BC520" s="133" t="n"/>
      <c r="BD520" s="131" t="n"/>
      <c r="BE520" s="132" t="n"/>
      <c r="BF520" s="133" t="n"/>
      <c r="BG520" s="131" t="n"/>
      <c r="BH520" s="132" t="n"/>
      <c r="BI520" s="132" t="n"/>
      <c r="BJ520" s="128">
        <f>iferror(SUM($BK520,($BL520*1.2),($BM520*1.35),($BN520*0.74)),)</f>
        <v/>
      </c>
      <c r="BK520" s="128">
        <f>IFERROR(SUM($BT520:$CK520),)</f>
        <v/>
      </c>
      <c r="BL520" s="129">
        <f>IFERROR(SUM($CL520:$CN520),)</f>
        <v/>
      </c>
      <c r="BM520" s="130">
        <f>IFERROR(SUM($CO520:$CQ520),)</f>
        <v/>
      </c>
      <c r="BN520" s="128">
        <f>IFERROR(SUM($CR520:$CT520),)</f>
        <v/>
      </c>
      <c r="BO520" s="128">
        <f>iferror(SUM($BP520,($BQ520*1.2),($BR520*1.35),($BS520*0.74)),)</f>
        <v/>
      </c>
      <c r="BP520" s="128">
        <f>IFERROR(SUM($CU520:$DL520),)</f>
        <v/>
      </c>
      <c r="BQ520" s="128">
        <f>IFERROR(SUM($DM520:$DO520),)</f>
        <v/>
      </c>
      <c r="BR520" s="128">
        <f>IFERROR(SUM($DP520:$DR520),)</f>
        <v/>
      </c>
      <c r="BS520" s="128">
        <f>IFERROR(SUM($DS520:$DU520),)</f>
        <v/>
      </c>
      <c r="BT520" s="128">
        <f>IFERROR(AI520*$W520,)</f>
        <v/>
      </c>
      <c r="BU520" s="128">
        <f>IFERROR(AJ520*$W520,)</f>
        <v/>
      </c>
      <c r="BV520" s="128">
        <f>IFERROR(AK520*$W520,)</f>
        <v/>
      </c>
      <c r="BW520" s="128">
        <f>IFERROR(AL520*$W520,)</f>
        <v/>
      </c>
      <c r="BX520" s="128">
        <f>IFERROR(AM520*$W520,)</f>
        <v/>
      </c>
      <c r="BY520" s="128">
        <f>IFERROR(AN520*$W520,)</f>
        <v/>
      </c>
      <c r="BZ520" s="128">
        <f>IFERROR(AO520*$W520,)</f>
        <v/>
      </c>
      <c r="CA520" s="128">
        <f>IFERROR(AP520*$W520,)</f>
        <v/>
      </c>
      <c r="CB520" s="128">
        <f>IFERROR(AQ520*$W520,)</f>
        <v/>
      </c>
      <c r="CC520" s="128">
        <f>IFERROR(AR520*$W520,)</f>
        <v/>
      </c>
      <c r="CD520" s="128">
        <f>IFERROR(AS520*$W520,)</f>
        <v/>
      </c>
      <c r="CE520" s="128">
        <f>IFERROR(AT520*$W520,)</f>
        <v/>
      </c>
      <c r="CF520" s="128">
        <f>IFERROR(AU520*$W520,)</f>
        <v/>
      </c>
      <c r="CG520" s="128">
        <f>IFERROR(AV520*$W520,)</f>
        <v/>
      </c>
      <c r="CH520" s="128">
        <f>IFERROR(AW520*$W520,)</f>
        <v/>
      </c>
      <c r="CI520" s="128">
        <f>IFERROR(AX520*$W520,)</f>
        <v/>
      </c>
      <c r="CJ520" s="128">
        <f>IFERROR(AY520*$W520,)</f>
        <v/>
      </c>
      <c r="CK520" s="128">
        <f>IFERROR(AZ520*$W520,)</f>
        <v/>
      </c>
      <c r="CL520" s="129">
        <f>IFERROR(if($Y520=0,BA520*($W520/1.2),BA520*$Y520),"")</f>
        <v/>
      </c>
      <c r="CM520" s="129">
        <f>IFERROR(if($Y520=0,BB520*($W520/1.2),BB520*$Y520),"")</f>
        <v/>
      </c>
      <c r="CN520" s="129">
        <f>IFERROR(if($Y520=0,BC520*($W520/1.2),BC520*$Y520),"")</f>
        <v/>
      </c>
      <c r="CO520" s="130">
        <f>IFERROR(if($AA520=0,($W520/1.35)*BD520,BD520*$AA520),)</f>
        <v/>
      </c>
      <c r="CP520" s="130">
        <f>IFERROR(if($AA520=0,($W520/1.35)*BE520,BE520*$AA520),)</f>
        <v/>
      </c>
      <c r="CQ520" s="130">
        <f>IFERROR(if($AA520=0,($W520/1.35)*BF520,BF520*$AA520),)</f>
        <v/>
      </c>
      <c r="CR520" s="128">
        <f>IFERROR(if($AC520=0,($W520/0.74)*BG520,
BG520*$AC520),)</f>
        <v/>
      </c>
      <c r="CS520" s="128">
        <f>IFERROR(if($AC520=0,($W520/0.74)*BH520,
BH520*$AC520),)</f>
        <v/>
      </c>
      <c r="CT520" s="128">
        <f>IFERROR(if($AC520=0,($W520/0.74)*BI520,
BI520*$AC520),)</f>
        <v/>
      </c>
      <c r="CU520" s="128">
        <f>IFERROR(AI520*$V520,)</f>
        <v/>
      </c>
      <c r="CV520" s="128">
        <f>IFERROR(AJ520*$V520,)</f>
        <v/>
      </c>
      <c r="CW520" s="128">
        <f>IFERROR(AK520*$V520,)</f>
        <v/>
      </c>
      <c r="CX520" s="128">
        <f>IFERROR(AL520*$V520,)</f>
        <v/>
      </c>
      <c r="CY520" s="128">
        <f>IFERROR(AM520*$V520,)</f>
        <v/>
      </c>
      <c r="CZ520" s="128">
        <f>IFERROR(AN520*$V520,)</f>
        <v/>
      </c>
      <c r="DA520" s="128">
        <f>IFERROR(AO520*$V520,)</f>
        <v/>
      </c>
      <c r="DB520" s="128">
        <f>IFERROR(AP520*$V520,)</f>
        <v/>
      </c>
      <c r="DC520" s="128">
        <f>IFERROR(AQ520*$V520,)</f>
        <v/>
      </c>
      <c r="DD520" s="128">
        <f>IFERROR(AR520*$V520,)</f>
        <v/>
      </c>
      <c r="DE520" s="128">
        <f>IFERROR(AS520*$V520,)</f>
        <v/>
      </c>
      <c r="DF520" s="128">
        <f>IFERROR(AT520*$V520,)</f>
        <v/>
      </c>
      <c r="DG520" s="128">
        <f>IFERROR(AU520*$V520,)</f>
        <v/>
      </c>
      <c r="DH520" s="128">
        <f>IFERROR(AV520*$V520,)</f>
        <v/>
      </c>
      <c r="DI520" s="128">
        <f>IFERROR(AW520*$V520,)</f>
        <v/>
      </c>
      <c r="DJ520" s="128">
        <f>IFERROR(AX520*$V520,)</f>
        <v/>
      </c>
      <c r="DK520" s="128">
        <f>IFERROR(AY520*$V520,)</f>
        <v/>
      </c>
      <c r="DL520" s="128">
        <f>IFERROR(AZ520*$V520,)</f>
        <v/>
      </c>
      <c r="DM520" s="129">
        <f>IFERROR(if($X520=0,($V520/1.2)*BA520,
BA520*$X520),)</f>
        <v/>
      </c>
      <c r="DN520" s="129">
        <f>IFERROR(if($X520=0,($V520/1.2)*BB520,
BB520*$X520),)</f>
        <v/>
      </c>
      <c r="DO520" s="129">
        <f>IFERROR(if($X520=0,($V520/1.2)*BC520,
BC520*$X520),)</f>
        <v/>
      </c>
      <c r="DP520" s="130">
        <f>IFERROR(if($Z520=0,($V520/1.35)*BD520,
BD520*$Z520),)</f>
        <v/>
      </c>
      <c r="DQ520" s="130">
        <f>IFERROR(if($Z520=0,($V520/1.35)*BE520,
BE520*$Z520),)</f>
        <v/>
      </c>
      <c r="DR520" s="130">
        <f>IFERROR(if($Z520=0,($V520/1.35)*BF520,
BF520*$Z520),)</f>
        <v/>
      </c>
      <c r="DS520" s="128">
        <f>IFERROR(IF($AB520=0,($V520/0.74)*BG520,
BG520*$AB520),)</f>
        <v/>
      </c>
      <c r="DT520" s="128">
        <f>IFERROR(IF($AB520=0,($V520/0.74)*BH520,
BH520*$AB520),)</f>
        <v/>
      </c>
      <c r="DU520" s="128">
        <f>IFERROR(IF($AB520=0,($V520/0.74)*BI520,
BI520*$AB520),)</f>
        <v/>
      </c>
    </row>
    <row r="521" ht="131.25" customHeight="1" s="162">
      <c r="A521" s="115" t="n"/>
      <c r="B521" s="115" t="n"/>
      <c r="C521" s="115" t="n"/>
      <c r="D521" s="115" t="n"/>
      <c r="E521" s="115" t="n"/>
      <c r="F521" s="115" t="n"/>
      <c r="G521" s="115" t="n"/>
      <c r="H521" s="115" t="n"/>
      <c r="I521" s="115" t="n"/>
      <c r="J521" s="115" t="n"/>
      <c r="K521" s="115" t="n"/>
      <c r="L521" s="115" t="n"/>
      <c r="M521" s="115" t="n"/>
      <c r="N521" s="115" t="n"/>
      <c r="O521" s="115" t="n"/>
      <c r="P521" s="115" t="n"/>
      <c r="Q521" s="115" t="n"/>
      <c r="R521" s="115" t="n"/>
      <c r="S521" s="115" t="n"/>
      <c r="T521" s="115" t="n"/>
      <c r="U521" s="116" t="n"/>
      <c r="V521" s="116" t="n"/>
      <c r="W521" s="117" t="n"/>
      <c r="X521" s="118" t="n"/>
      <c r="Y521" s="119" t="n"/>
      <c r="Z521" s="120" t="n"/>
      <c r="AA521" s="121" t="n"/>
      <c r="AB521" s="122" t="n"/>
      <c r="AC521" s="117" t="n"/>
      <c r="AD521" s="123">
        <f>IF(SUM($AE521:$AH521)=0,"",SUM($AE521:$AH521))</f>
        <v/>
      </c>
      <c r="AE521" s="123">
        <f>iferror(IF(SUM($AI521:$AZ521)=0,"",SUM($AI521:$AZ521)),"")</f>
        <v/>
      </c>
      <c r="AF521" s="123">
        <f>iferror(IF(SUM($BA521:$BC521)=0,"",SUM($BA521:$BC521)),"")</f>
        <v/>
      </c>
      <c r="AG521" s="123">
        <f>iferror(IF(SUM($BD521:$BF521)=0,"",SUM($BD521:$BF521)),"")</f>
        <v/>
      </c>
      <c r="AH521" s="124">
        <f>iferror(IF(SUM($BG521:$BI521)=0,"",SUM($BG521:$BI521)),"")</f>
        <v/>
      </c>
      <c r="AI521" s="131" t="n"/>
      <c r="AJ521" s="132" t="n"/>
      <c r="AK521" s="132" t="n"/>
      <c r="AL521" s="132" t="n"/>
      <c r="AM521" s="132" t="n"/>
      <c r="AN521" s="132" t="n"/>
      <c r="AO521" s="132" t="n"/>
      <c r="AP521" s="132" t="n"/>
      <c r="AQ521" s="132" t="n"/>
      <c r="AR521" s="132" t="n"/>
      <c r="AS521" s="132" t="n"/>
      <c r="AT521" s="132" t="n"/>
      <c r="AU521" s="132" t="n"/>
      <c r="AV521" s="132" t="n"/>
      <c r="AW521" s="132" t="n"/>
      <c r="AX521" s="132" t="n"/>
      <c r="AY521" s="132" t="n"/>
      <c r="AZ521" s="133" t="n"/>
      <c r="BA521" s="131" t="n"/>
      <c r="BB521" s="132" t="n"/>
      <c r="BC521" s="133" t="n"/>
      <c r="BD521" s="131" t="n"/>
      <c r="BE521" s="132" t="n"/>
      <c r="BF521" s="133" t="n"/>
      <c r="BG521" s="131" t="n"/>
      <c r="BH521" s="132" t="n"/>
      <c r="BI521" s="132" t="n"/>
      <c r="BJ521" s="128">
        <f>iferror(SUM($BK521,($BL521*1.2),($BM521*1.35),($BN521*0.74)),)</f>
        <v/>
      </c>
      <c r="BK521" s="128">
        <f>IFERROR(SUM($BT521:$CK521),)</f>
        <v/>
      </c>
      <c r="BL521" s="129">
        <f>IFERROR(SUM($CL521:$CN521),)</f>
        <v/>
      </c>
      <c r="BM521" s="130">
        <f>IFERROR(SUM($CO521:$CQ521),)</f>
        <v/>
      </c>
      <c r="BN521" s="128">
        <f>IFERROR(SUM($CR521:$CT521),)</f>
        <v/>
      </c>
      <c r="BO521" s="128">
        <f>iferror(SUM($BP521,($BQ521*1.2),($BR521*1.35),($BS521*0.74)),)</f>
        <v/>
      </c>
      <c r="BP521" s="128">
        <f>IFERROR(SUM($CU521:$DL521),)</f>
        <v/>
      </c>
      <c r="BQ521" s="128">
        <f>IFERROR(SUM($DM521:$DO521),)</f>
        <v/>
      </c>
      <c r="BR521" s="128">
        <f>IFERROR(SUM($DP521:$DR521),)</f>
        <v/>
      </c>
      <c r="BS521" s="128">
        <f>IFERROR(SUM($DS521:$DU521),)</f>
        <v/>
      </c>
      <c r="BT521" s="128">
        <f>IFERROR(AI521*$W521,)</f>
        <v/>
      </c>
      <c r="BU521" s="128">
        <f>IFERROR(AJ521*$W521,)</f>
        <v/>
      </c>
      <c r="BV521" s="128">
        <f>IFERROR(AK521*$W521,)</f>
        <v/>
      </c>
      <c r="BW521" s="128">
        <f>IFERROR(AL521*$W521,)</f>
        <v/>
      </c>
      <c r="BX521" s="128">
        <f>IFERROR(AM521*$W521,)</f>
        <v/>
      </c>
      <c r="BY521" s="128">
        <f>IFERROR(AN521*$W521,)</f>
        <v/>
      </c>
      <c r="BZ521" s="128">
        <f>IFERROR(AO521*$W521,)</f>
        <v/>
      </c>
      <c r="CA521" s="128">
        <f>IFERROR(AP521*$W521,)</f>
        <v/>
      </c>
      <c r="CB521" s="128">
        <f>IFERROR(AQ521*$W521,)</f>
        <v/>
      </c>
      <c r="CC521" s="128">
        <f>IFERROR(AR521*$W521,)</f>
        <v/>
      </c>
      <c r="CD521" s="128">
        <f>IFERROR(AS521*$W521,)</f>
        <v/>
      </c>
      <c r="CE521" s="128">
        <f>IFERROR(AT521*$W521,)</f>
        <v/>
      </c>
      <c r="CF521" s="128">
        <f>IFERROR(AU521*$W521,)</f>
        <v/>
      </c>
      <c r="CG521" s="128">
        <f>IFERROR(AV521*$W521,)</f>
        <v/>
      </c>
      <c r="CH521" s="128">
        <f>IFERROR(AW521*$W521,)</f>
        <v/>
      </c>
      <c r="CI521" s="128">
        <f>IFERROR(AX521*$W521,)</f>
        <v/>
      </c>
      <c r="CJ521" s="128">
        <f>IFERROR(AY521*$W521,)</f>
        <v/>
      </c>
      <c r="CK521" s="128">
        <f>IFERROR(AZ521*$W521,)</f>
        <v/>
      </c>
      <c r="CL521" s="129">
        <f>IFERROR(if($Y521=0,BA521*($W521/1.2),BA521*$Y521),"")</f>
        <v/>
      </c>
      <c r="CM521" s="129">
        <f>IFERROR(if($Y521=0,BB521*($W521/1.2),BB521*$Y521),"")</f>
        <v/>
      </c>
      <c r="CN521" s="129">
        <f>IFERROR(if($Y521=0,BC521*($W521/1.2),BC521*$Y521),"")</f>
        <v/>
      </c>
      <c r="CO521" s="130">
        <f>IFERROR(if($AA521=0,($W521/1.35)*BD521,BD521*$AA521),)</f>
        <v/>
      </c>
      <c r="CP521" s="130">
        <f>IFERROR(if($AA521=0,($W521/1.35)*BE521,BE521*$AA521),)</f>
        <v/>
      </c>
      <c r="CQ521" s="130">
        <f>IFERROR(if($AA521=0,($W521/1.35)*BF521,BF521*$AA521),)</f>
        <v/>
      </c>
      <c r="CR521" s="128">
        <f>IFERROR(if($AC521=0,($W521/0.74)*BG521,
BG521*$AC521),)</f>
        <v/>
      </c>
      <c r="CS521" s="128">
        <f>IFERROR(if($AC521=0,($W521/0.74)*BH521,
BH521*$AC521),)</f>
        <v/>
      </c>
      <c r="CT521" s="128">
        <f>IFERROR(if($AC521=0,($W521/0.74)*BI521,
BI521*$AC521),)</f>
        <v/>
      </c>
      <c r="CU521" s="128">
        <f>IFERROR(AI521*$V521,)</f>
        <v/>
      </c>
      <c r="CV521" s="128">
        <f>IFERROR(AJ521*$V521,)</f>
        <v/>
      </c>
      <c r="CW521" s="128">
        <f>IFERROR(AK521*$V521,)</f>
        <v/>
      </c>
      <c r="CX521" s="128">
        <f>IFERROR(AL521*$V521,)</f>
        <v/>
      </c>
      <c r="CY521" s="128">
        <f>IFERROR(AM521*$V521,)</f>
        <v/>
      </c>
      <c r="CZ521" s="128">
        <f>IFERROR(AN521*$V521,)</f>
        <v/>
      </c>
      <c r="DA521" s="128">
        <f>IFERROR(AO521*$V521,)</f>
        <v/>
      </c>
      <c r="DB521" s="128">
        <f>IFERROR(AP521*$V521,)</f>
        <v/>
      </c>
      <c r="DC521" s="128">
        <f>IFERROR(AQ521*$V521,)</f>
        <v/>
      </c>
      <c r="DD521" s="128">
        <f>IFERROR(AR521*$V521,)</f>
        <v/>
      </c>
      <c r="DE521" s="128">
        <f>IFERROR(AS521*$V521,)</f>
        <v/>
      </c>
      <c r="DF521" s="128">
        <f>IFERROR(AT521*$V521,)</f>
        <v/>
      </c>
      <c r="DG521" s="128">
        <f>IFERROR(AU521*$V521,)</f>
        <v/>
      </c>
      <c r="DH521" s="128">
        <f>IFERROR(AV521*$V521,)</f>
        <v/>
      </c>
      <c r="DI521" s="128">
        <f>IFERROR(AW521*$V521,)</f>
        <v/>
      </c>
      <c r="DJ521" s="128">
        <f>IFERROR(AX521*$V521,)</f>
        <v/>
      </c>
      <c r="DK521" s="128">
        <f>IFERROR(AY521*$V521,)</f>
        <v/>
      </c>
      <c r="DL521" s="128">
        <f>IFERROR(AZ521*$V521,)</f>
        <v/>
      </c>
      <c r="DM521" s="129">
        <f>IFERROR(if($X521=0,($V521/1.2)*BA521,
BA521*$X521),)</f>
        <v/>
      </c>
      <c r="DN521" s="129">
        <f>IFERROR(if($X521=0,($V521/1.2)*BB521,
BB521*$X521),)</f>
        <v/>
      </c>
      <c r="DO521" s="129">
        <f>IFERROR(if($X521=0,($V521/1.2)*BC521,
BC521*$X521),)</f>
        <v/>
      </c>
      <c r="DP521" s="130">
        <f>IFERROR(if($Z521=0,($V521/1.35)*BD521,
BD521*$Z521),)</f>
        <v/>
      </c>
      <c r="DQ521" s="130">
        <f>IFERROR(if($Z521=0,($V521/1.35)*BE521,
BE521*$Z521),)</f>
        <v/>
      </c>
      <c r="DR521" s="130">
        <f>IFERROR(if($Z521=0,($V521/1.35)*BF521,
BF521*$Z521),)</f>
        <v/>
      </c>
      <c r="DS521" s="128">
        <f>IFERROR(IF($AB521=0,($V521/0.74)*BG521,
BG521*$AB521),)</f>
        <v/>
      </c>
      <c r="DT521" s="128">
        <f>IFERROR(IF($AB521=0,($V521/0.74)*BH521,
BH521*$AB521),)</f>
        <v/>
      </c>
      <c r="DU521" s="128">
        <f>IFERROR(IF($AB521=0,($V521/0.74)*BI521,
BI521*$AB521),)</f>
        <v/>
      </c>
    </row>
    <row r="522" ht="131.25" customHeight="1" s="162">
      <c r="A522" s="115" t="n"/>
      <c r="B522" s="115" t="n"/>
      <c r="C522" s="115" t="n"/>
      <c r="D522" s="115" t="n"/>
      <c r="E522" s="115" t="n"/>
      <c r="F522" s="115" t="n"/>
      <c r="G522" s="115" t="n"/>
      <c r="H522" s="115" t="n"/>
      <c r="I522" s="115" t="n"/>
      <c r="J522" s="115" t="n"/>
      <c r="K522" s="115" t="n"/>
      <c r="L522" s="115" t="n"/>
      <c r="M522" s="115" t="n"/>
      <c r="N522" s="115" t="n"/>
      <c r="O522" s="115" t="n"/>
      <c r="P522" s="115" t="n"/>
      <c r="Q522" s="115" t="n"/>
      <c r="R522" s="115" t="n"/>
      <c r="S522" s="115" t="n"/>
      <c r="T522" s="115" t="n"/>
      <c r="U522" s="116" t="n"/>
      <c r="V522" s="116" t="n"/>
      <c r="W522" s="117" t="n"/>
      <c r="X522" s="118" t="n"/>
      <c r="Y522" s="119" t="n"/>
      <c r="Z522" s="120" t="n"/>
      <c r="AA522" s="121" t="n"/>
      <c r="AB522" s="122" t="n"/>
      <c r="AC522" s="117" t="n"/>
      <c r="AD522" s="123">
        <f>IF(SUM($AE522:$AH522)=0,"",SUM($AE522:$AH522))</f>
        <v/>
      </c>
      <c r="AE522" s="123">
        <f>iferror(IF(SUM($AI522:$AZ522)=0,"",SUM($AI522:$AZ522)),"")</f>
        <v/>
      </c>
      <c r="AF522" s="123">
        <f>iferror(IF(SUM($BA522:$BC522)=0,"",SUM($BA522:$BC522)),"")</f>
        <v/>
      </c>
      <c r="AG522" s="123">
        <f>iferror(IF(SUM($BD522:$BF522)=0,"",SUM($BD522:$BF522)),"")</f>
        <v/>
      </c>
      <c r="AH522" s="124">
        <f>iferror(IF(SUM($BG522:$BI522)=0,"",SUM($BG522:$BI522)),"")</f>
        <v/>
      </c>
      <c r="AI522" s="131" t="n"/>
      <c r="AJ522" s="132" t="n"/>
      <c r="AK522" s="132" t="n"/>
      <c r="AL522" s="132" t="n"/>
      <c r="AM522" s="132" t="n"/>
      <c r="AN522" s="132" t="n"/>
      <c r="AO522" s="132" t="n"/>
      <c r="AP522" s="132" t="n"/>
      <c r="AQ522" s="132" t="n"/>
      <c r="AR522" s="132" t="n"/>
      <c r="AS522" s="132" t="n"/>
      <c r="AT522" s="132" t="n"/>
      <c r="AU522" s="132" t="n"/>
      <c r="AV522" s="132" t="n"/>
      <c r="AW522" s="132" t="n"/>
      <c r="AX522" s="132" t="n"/>
      <c r="AY522" s="132" t="n"/>
      <c r="AZ522" s="133" t="n"/>
      <c r="BA522" s="131" t="n"/>
      <c r="BB522" s="132" t="n"/>
      <c r="BC522" s="133" t="n"/>
      <c r="BD522" s="131" t="n"/>
      <c r="BE522" s="132" t="n"/>
      <c r="BF522" s="133" t="n"/>
      <c r="BG522" s="131" t="n"/>
      <c r="BH522" s="132" t="n"/>
      <c r="BI522" s="132" t="n"/>
      <c r="BJ522" s="128">
        <f>iferror(SUM($BK522,($BL522*1.2),($BM522*1.35),($BN522*0.74)),)</f>
        <v/>
      </c>
      <c r="BK522" s="128">
        <f>IFERROR(SUM($BT522:$CK522),)</f>
        <v/>
      </c>
      <c r="BL522" s="129">
        <f>IFERROR(SUM($CL522:$CN522),)</f>
        <v/>
      </c>
      <c r="BM522" s="130">
        <f>IFERROR(SUM($CO522:$CQ522),)</f>
        <v/>
      </c>
      <c r="BN522" s="128">
        <f>IFERROR(SUM($CR522:$CT522),)</f>
        <v/>
      </c>
      <c r="BO522" s="128">
        <f>iferror(SUM($BP522,($BQ522*1.2),($BR522*1.35),($BS522*0.74)),)</f>
        <v/>
      </c>
      <c r="BP522" s="128">
        <f>IFERROR(SUM($CU522:$DL522),)</f>
        <v/>
      </c>
      <c r="BQ522" s="128">
        <f>IFERROR(SUM($DM522:$DO522),)</f>
        <v/>
      </c>
      <c r="BR522" s="128">
        <f>IFERROR(SUM($DP522:$DR522),)</f>
        <v/>
      </c>
      <c r="BS522" s="128">
        <f>IFERROR(SUM($DS522:$DU522),)</f>
        <v/>
      </c>
      <c r="BT522" s="128">
        <f>IFERROR(AI522*$W522,)</f>
        <v/>
      </c>
      <c r="BU522" s="128">
        <f>IFERROR(AJ522*$W522,)</f>
        <v/>
      </c>
      <c r="BV522" s="128">
        <f>IFERROR(AK522*$W522,)</f>
        <v/>
      </c>
      <c r="BW522" s="128">
        <f>IFERROR(AL522*$W522,)</f>
        <v/>
      </c>
      <c r="BX522" s="128">
        <f>IFERROR(AM522*$W522,)</f>
        <v/>
      </c>
      <c r="BY522" s="128">
        <f>IFERROR(AN522*$W522,)</f>
        <v/>
      </c>
      <c r="BZ522" s="128">
        <f>IFERROR(AO522*$W522,)</f>
        <v/>
      </c>
      <c r="CA522" s="128">
        <f>IFERROR(AP522*$W522,)</f>
        <v/>
      </c>
      <c r="CB522" s="128">
        <f>IFERROR(AQ522*$W522,)</f>
        <v/>
      </c>
      <c r="CC522" s="128">
        <f>IFERROR(AR522*$W522,)</f>
        <v/>
      </c>
      <c r="CD522" s="128">
        <f>IFERROR(AS522*$W522,)</f>
        <v/>
      </c>
      <c r="CE522" s="128">
        <f>IFERROR(AT522*$W522,)</f>
        <v/>
      </c>
      <c r="CF522" s="128">
        <f>IFERROR(AU522*$W522,)</f>
        <v/>
      </c>
      <c r="CG522" s="128">
        <f>IFERROR(AV522*$W522,)</f>
        <v/>
      </c>
      <c r="CH522" s="128">
        <f>IFERROR(AW522*$W522,)</f>
        <v/>
      </c>
      <c r="CI522" s="128">
        <f>IFERROR(AX522*$W522,)</f>
        <v/>
      </c>
      <c r="CJ522" s="128">
        <f>IFERROR(AY522*$W522,)</f>
        <v/>
      </c>
      <c r="CK522" s="128">
        <f>IFERROR(AZ522*$W522,)</f>
        <v/>
      </c>
      <c r="CL522" s="129">
        <f>IFERROR(if($Y522=0,BA522*($W522/1.2),BA522*$Y522),"")</f>
        <v/>
      </c>
      <c r="CM522" s="129">
        <f>IFERROR(if($Y522=0,BB522*($W522/1.2),BB522*$Y522),"")</f>
        <v/>
      </c>
      <c r="CN522" s="129">
        <f>IFERROR(if($Y522=0,BC522*($W522/1.2),BC522*$Y522),"")</f>
        <v/>
      </c>
      <c r="CO522" s="130">
        <f>IFERROR(if($AA522=0,($W522/1.35)*BD522,BD522*$AA522),)</f>
        <v/>
      </c>
      <c r="CP522" s="130">
        <f>IFERROR(if($AA522=0,($W522/1.35)*BE522,BE522*$AA522),)</f>
        <v/>
      </c>
      <c r="CQ522" s="130">
        <f>IFERROR(if($AA522=0,($W522/1.35)*BF522,BF522*$AA522),)</f>
        <v/>
      </c>
      <c r="CR522" s="128">
        <f>IFERROR(if($AC522=0,($W522/0.74)*BG522,
BG522*$AC522),)</f>
        <v/>
      </c>
      <c r="CS522" s="128">
        <f>IFERROR(if($AC522=0,($W522/0.74)*BH522,
BH522*$AC522),)</f>
        <v/>
      </c>
      <c r="CT522" s="128">
        <f>IFERROR(if($AC522=0,($W522/0.74)*BI522,
BI522*$AC522),)</f>
        <v/>
      </c>
      <c r="CU522" s="128">
        <f>IFERROR(AI522*$V522,)</f>
        <v/>
      </c>
      <c r="CV522" s="128">
        <f>IFERROR(AJ522*$V522,)</f>
        <v/>
      </c>
      <c r="CW522" s="128">
        <f>IFERROR(AK522*$V522,)</f>
        <v/>
      </c>
      <c r="CX522" s="128">
        <f>IFERROR(AL522*$V522,)</f>
        <v/>
      </c>
      <c r="CY522" s="128">
        <f>IFERROR(AM522*$V522,)</f>
        <v/>
      </c>
      <c r="CZ522" s="128">
        <f>IFERROR(AN522*$V522,)</f>
        <v/>
      </c>
      <c r="DA522" s="128">
        <f>IFERROR(AO522*$V522,)</f>
        <v/>
      </c>
      <c r="DB522" s="128">
        <f>IFERROR(AP522*$V522,)</f>
        <v/>
      </c>
      <c r="DC522" s="128">
        <f>IFERROR(AQ522*$V522,)</f>
        <v/>
      </c>
      <c r="DD522" s="128">
        <f>IFERROR(AR522*$V522,)</f>
        <v/>
      </c>
      <c r="DE522" s="128">
        <f>IFERROR(AS522*$V522,)</f>
        <v/>
      </c>
      <c r="DF522" s="128">
        <f>IFERROR(AT522*$V522,)</f>
        <v/>
      </c>
      <c r="DG522" s="128">
        <f>IFERROR(AU522*$V522,)</f>
        <v/>
      </c>
      <c r="DH522" s="128">
        <f>IFERROR(AV522*$V522,)</f>
        <v/>
      </c>
      <c r="DI522" s="128">
        <f>IFERROR(AW522*$V522,)</f>
        <v/>
      </c>
      <c r="DJ522" s="128">
        <f>IFERROR(AX522*$V522,)</f>
        <v/>
      </c>
      <c r="DK522" s="128">
        <f>IFERROR(AY522*$V522,)</f>
        <v/>
      </c>
      <c r="DL522" s="128">
        <f>IFERROR(AZ522*$V522,)</f>
        <v/>
      </c>
      <c r="DM522" s="129">
        <f>IFERROR(if($X522=0,($V522/1.2)*BA522,
BA522*$X522),)</f>
        <v/>
      </c>
      <c r="DN522" s="129">
        <f>IFERROR(if($X522=0,($V522/1.2)*BB522,
BB522*$X522),)</f>
        <v/>
      </c>
      <c r="DO522" s="129">
        <f>IFERROR(if($X522=0,($V522/1.2)*BC522,
BC522*$X522),)</f>
        <v/>
      </c>
      <c r="DP522" s="130">
        <f>IFERROR(if($Z522=0,($V522/1.35)*BD522,
BD522*$Z522),)</f>
        <v/>
      </c>
      <c r="DQ522" s="130">
        <f>IFERROR(if($Z522=0,($V522/1.35)*BE522,
BE522*$Z522),)</f>
        <v/>
      </c>
      <c r="DR522" s="130">
        <f>IFERROR(if($Z522=0,($V522/1.35)*BF522,
BF522*$Z522),)</f>
        <v/>
      </c>
      <c r="DS522" s="128">
        <f>IFERROR(IF($AB522=0,($V522/0.74)*BG522,
BG522*$AB522),)</f>
        <v/>
      </c>
      <c r="DT522" s="128">
        <f>IFERROR(IF($AB522=0,($V522/0.74)*BH522,
BH522*$AB522),)</f>
        <v/>
      </c>
      <c r="DU522" s="128">
        <f>IFERROR(IF($AB522=0,($V522/0.74)*BI522,
BI522*$AB522),)</f>
        <v/>
      </c>
    </row>
    <row r="523" ht="131.25" customHeight="1" s="162">
      <c r="A523" s="115" t="n"/>
      <c r="B523" s="115" t="n"/>
      <c r="C523" s="115" t="n"/>
      <c r="D523" s="115" t="n"/>
      <c r="E523" s="115" t="n"/>
      <c r="F523" s="115" t="n"/>
      <c r="G523" s="115" t="n"/>
      <c r="H523" s="115" t="n"/>
      <c r="I523" s="115" t="n"/>
      <c r="J523" s="115" t="n"/>
      <c r="K523" s="115" t="n"/>
      <c r="L523" s="115" t="n"/>
      <c r="M523" s="115" t="n"/>
      <c r="N523" s="115" t="n"/>
      <c r="O523" s="115" t="n"/>
      <c r="P523" s="115" t="n"/>
      <c r="Q523" s="115" t="n"/>
      <c r="R523" s="115" t="n"/>
      <c r="S523" s="115" t="n"/>
      <c r="T523" s="115" t="n"/>
      <c r="U523" s="116" t="n"/>
      <c r="V523" s="116" t="n"/>
      <c r="W523" s="117" t="n"/>
      <c r="X523" s="118" t="n"/>
      <c r="Y523" s="119" t="n"/>
      <c r="Z523" s="120" t="n"/>
      <c r="AA523" s="121" t="n"/>
      <c r="AB523" s="122" t="n"/>
      <c r="AC523" s="117" t="n"/>
      <c r="AD523" s="123">
        <f>IF(SUM($AE523:$AH523)=0,"",SUM($AE523:$AH523))</f>
        <v/>
      </c>
      <c r="AE523" s="123">
        <f>iferror(IF(SUM($AI523:$AZ523)=0,"",SUM($AI523:$AZ523)),"")</f>
        <v/>
      </c>
      <c r="AF523" s="123">
        <f>iferror(IF(SUM($BA523:$BC523)=0,"",SUM($BA523:$BC523)),"")</f>
        <v/>
      </c>
      <c r="AG523" s="123">
        <f>iferror(IF(SUM($BD523:$BF523)=0,"",SUM($BD523:$BF523)),"")</f>
        <v/>
      </c>
      <c r="AH523" s="124">
        <f>iferror(IF(SUM($BG523:$BI523)=0,"",SUM($BG523:$BI523)),"")</f>
        <v/>
      </c>
      <c r="AI523" s="131" t="n"/>
      <c r="AJ523" s="132" t="n"/>
      <c r="AK523" s="132" t="n"/>
      <c r="AL523" s="132" t="n"/>
      <c r="AM523" s="132" t="n"/>
      <c r="AN523" s="132" t="n"/>
      <c r="AO523" s="132" t="n"/>
      <c r="AP523" s="132" t="n"/>
      <c r="AQ523" s="132" t="n"/>
      <c r="AR523" s="132" t="n"/>
      <c r="AS523" s="132" t="n"/>
      <c r="AT523" s="132" t="n"/>
      <c r="AU523" s="132" t="n"/>
      <c r="AV523" s="132" t="n"/>
      <c r="AW523" s="132" t="n"/>
      <c r="AX523" s="132" t="n"/>
      <c r="AY523" s="132" t="n"/>
      <c r="AZ523" s="133" t="n"/>
      <c r="BA523" s="131" t="n"/>
      <c r="BB523" s="132" t="n"/>
      <c r="BC523" s="133" t="n"/>
      <c r="BD523" s="131" t="n"/>
      <c r="BE523" s="132" t="n"/>
      <c r="BF523" s="133" t="n"/>
      <c r="BG523" s="131" t="n"/>
      <c r="BH523" s="132" t="n"/>
      <c r="BI523" s="132" t="n"/>
      <c r="BJ523" s="128">
        <f>iferror(SUM($BK523,($BL523*1.2),($BM523*1.35),($BN523*0.74)),)</f>
        <v/>
      </c>
      <c r="BK523" s="128">
        <f>IFERROR(SUM($BT523:$CK523),)</f>
        <v/>
      </c>
      <c r="BL523" s="129">
        <f>IFERROR(SUM($CL523:$CN523),)</f>
        <v/>
      </c>
      <c r="BM523" s="130">
        <f>IFERROR(SUM($CO523:$CQ523),)</f>
        <v/>
      </c>
      <c r="BN523" s="128">
        <f>IFERROR(SUM($CR523:$CT523),)</f>
        <v/>
      </c>
      <c r="BO523" s="128">
        <f>iferror(SUM($BP523,($BQ523*1.2),($BR523*1.35),($BS523*0.74)),)</f>
        <v/>
      </c>
      <c r="BP523" s="128">
        <f>IFERROR(SUM($CU523:$DL523),)</f>
        <v/>
      </c>
      <c r="BQ523" s="128">
        <f>IFERROR(SUM($DM523:$DO523),)</f>
        <v/>
      </c>
      <c r="BR523" s="128">
        <f>IFERROR(SUM($DP523:$DR523),)</f>
        <v/>
      </c>
      <c r="BS523" s="128">
        <f>IFERROR(SUM($DS523:$DU523),)</f>
        <v/>
      </c>
      <c r="BT523" s="128">
        <f>IFERROR(AI523*$W523,)</f>
        <v/>
      </c>
      <c r="BU523" s="128">
        <f>IFERROR(AJ523*$W523,)</f>
        <v/>
      </c>
      <c r="BV523" s="128">
        <f>IFERROR(AK523*$W523,)</f>
        <v/>
      </c>
      <c r="BW523" s="128">
        <f>IFERROR(AL523*$W523,)</f>
        <v/>
      </c>
      <c r="BX523" s="128">
        <f>IFERROR(AM523*$W523,)</f>
        <v/>
      </c>
      <c r="BY523" s="128">
        <f>IFERROR(AN523*$W523,)</f>
        <v/>
      </c>
      <c r="BZ523" s="128">
        <f>IFERROR(AO523*$W523,)</f>
        <v/>
      </c>
      <c r="CA523" s="128">
        <f>IFERROR(AP523*$W523,)</f>
        <v/>
      </c>
      <c r="CB523" s="128">
        <f>IFERROR(AQ523*$W523,)</f>
        <v/>
      </c>
      <c r="CC523" s="128">
        <f>IFERROR(AR523*$W523,)</f>
        <v/>
      </c>
      <c r="CD523" s="128">
        <f>IFERROR(AS523*$W523,)</f>
        <v/>
      </c>
      <c r="CE523" s="128">
        <f>IFERROR(AT523*$W523,)</f>
        <v/>
      </c>
      <c r="CF523" s="128">
        <f>IFERROR(AU523*$W523,)</f>
        <v/>
      </c>
      <c r="CG523" s="128">
        <f>IFERROR(AV523*$W523,)</f>
        <v/>
      </c>
      <c r="CH523" s="128">
        <f>IFERROR(AW523*$W523,)</f>
        <v/>
      </c>
      <c r="CI523" s="128">
        <f>IFERROR(AX523*$W523,)</f>
        <v/>
      </c>
      <c r="CJ523" s="128">
        <f>IFERROR(AY523*$W523,)</f>
        <v/>
      </c>
      <c r="CK523" s="128">
        <f>IFERROR(AZ523*$W523,)</f>
        <v/>
      </c>
      <c r="CL523" s="129">
        <f>IFERROR(if($Y523=0,BA523*($W523/1.2),BA523*$Y523),"")</f>
        <v/>
      </c>
      <c r="CM523" s="129">
        <f>IFERROR(if($Y523=0,BB523*($W523/1.2),BB523*$Y523),"")</f>
        <v/>
      </c>
      <c r="CN523" s="129">
        <f>IFERROR(if($Y523=0,BC523*($W523/1.2),BC523*$Y523),"")</f>
        <v/>
      </c>
      <c r="CO523" s="130">
        <f>IFERROR(if($AA523=0,($W523/1.35)*BD523,BD523*$AA523),)</f>
        <v/>
      </c>
      <c r="CP523" s="130">
        <f>IFERROR(if($AA523=0,($W523/1.35)*BE523,BE523*$AA523),)</f>
        <v/>
      </c>
      <c r="CQ523" s="130">
        <f>IFERROR(if($AA523=0,($W523/1.35)*BF523,BF523*$AA523),)</f>
        <v/>
      </c>
      <c r="CR523" s="128">
        <f>IFERROR(if($AC523=0,($W523/0.74)*BG523,
BG523*$AC523),)</f>
        <v/>
      </c>
      <c r="CS523" s="128">
        <f>IFERROR(if($AC523=0,($W523/0.74)*BH523,
BH523*$AC523),)</f>
        <v/>
      </c>
      <c r="CT523" s="128">
        <f>IFERROR(if($AC523=0,($W523/0.74)*BI523,
BI523*$AC523),)</f>
        <v/>
      </c>
      <c r="CU523" s="128">
        <f>IFERROR(AI523*$V523,)</f>
        <v/>
      </c>
      <c r="CV523" s="128">
        <f>IFERROR(AJ523*$V523,)</f>
        <v/>
      </c>
      <c r="CW523" s="128">
        <f>IFERROR(AK523*$V523,)</f>
        <v/>
      </c>
      <c r="CX523" s="128">
        <f>IFERROR(AL523*$V523,)</f>
        <v/>
      </c>
      <c r="CY523" s="128">
        <f>IFERROR(AM523*$V523,)</f>
        <v/>
      </c>
      <c r="CZ523" s="128">
        <f>IFERROR(AN523*$V523,)</f>
        <v/>
      </c>
      <c r="DA523" s="128">
        <f>IFERROR(AO523*$V523,)</f>
        <v/>
      </c>
      <c r="DB523" s="128">
        <f>IFERROR(AP523*$V523,)</f>
        <v/>
      </c>
      <c r="DC523" s="128">
        <f>IFERROR(AQ523*$V523,)</f>
        <v/>
      </c>
      <c r="DD523" s="128">
        <f>IFERROR(AR523*$V523,)</f>
        <v/>
      </c>
      <c r="DE523" s="128">
        <f>IFERROR(AS523*$V523,)</f>
        <v/>
      </c>
      <c r="DF523" s="128">
        <f>IFERROR(AT523*$V523,)</f>
        <v/>
      </c>
      <c r="DG523" s="128">
        <f>IFERROR(AU523*$V523,)</f>
        <v/>
      </c>
      <c r="DH523" s="128">
        <f>IFERROR(AV523*$V523,)</f>
        <v/>
      </c>
      <c r="DI523" s="128">
        <f>IFERROR(AW523*$V523,)</f>
        <v/>
      </c>
      <c r="DJ523" s="128">
        <f>IFERROR(AX523*$V523,)</f>
        <v/>
      </c>
      <c r="DK523" s="128">
        <f>IFERROR(AY523*$V523,)</f>
        <v/>
      </c>
      <c r="DL523" s="128">
        <f>IFERROR(AZ523*$V523,)</f>
        <v/>
      </c>
      <c r="DM523" s="129">
        <f>IFERROR(if($X523=0,($V523/1.2)*BA523,
BA523*$X523),)</f>
        <v/>
      </c>
      <c r="DN523" s="129">
        <f>IFERROR(if($X523=0,($V523/1.2)*BB523,
BB523*$X523),)</f>
        <v/>
      </c>
      <c r="DO523" s="129">
        <f>IFERROR(if($X523=0,($V523/1.2)*BC523,
BC523*$X523),)</f>
        <v/>
      </c>
      <c r="DP523" s="130">
        <f>IFERROR(if($Z523=0,($V523/1.35)*BD523,
BD523*$Z523),)</f>
        <v/>
      </c>
      <c r="DQ523" s="130">
        <f>IFERROR(if($Z523=0,($V523/1.35)*BE523,
BE523*$Z523),)</f>
        <v/>
      </c>
      <c r="DR523" s="130">
        <f>IFERROR(if($Z523=0,($V523/1.35)*BF523,
BF523*$Z523),)</f>
        <v/>
      </c>
      <c r="DS523" s="128">
        <f>IFERROR(IF($AB523=0,($V523/0.74)*BG523,
BG523*$AB523),)</f>
        <v/>
      </c>
      <c r="DT523" s="128">
        <f>IFERROR(IF($AB523=0,($V523/0.74)*BH523,
BH523*$AB523),)</f>
        <v/>
      </c>
      <c r="DU523" s="128">
        <f>IFERROR(IF($AB523=0,($V523/0.74)*BI523,
BI523*$AB523),)</f>
        <v/>
      </c>
    </row>
    <row r="524" ht="131.25" customHeight="1" s="162">
      <c r="A524" s="115" t="n"/>
      <c r="B524" s="115" t="n"/>
      <c r="C524" s="115" t="n"/>
      <c r="D524" s="115" t="n"/>
      <c r="E524" s="115" t="n"/>
      <c r="F524" s="115" t="n"/>
      <c r="G524" s="115" t="n"/>
      <c r="H524" s="115" t="n"/>
      <c r="I524" s="115" t="n"/>
      <c r="J524" s="115" t="n"/>
      <c r="K524" s="115" t="n"/>
      <c r="L524" s="115" t="n"/>
      <c r="M524" s="115" t="n"/>
      <c r="N524" s="115" t="n"/>
      <c r="O524" s="115" t="n"/>
      <c r="P524" s="115" t="n"/>
      <c r="Q524" s="115" t="n"/>
      <c r="R524" s="115" t="n"/>
      <c r="S524" s="115" t="n"/>
      <c r="T524" s="115" t="n"/>
      <c r="U524" s="116" t="n"/>
      <c r="V524" s="116" t="n"/>
      <c r="W524" s="117" t="n"/>
      <c r="X524" s="118" t="n"/>
      <c r="Y524" s="119" t="n"/>
      <c r="Z524" s="120" t="n"/>
      <c r="AA524" s="121" t="n"/>
      <c r="AB524" s="122" t="n"/>
      <c r="AC524" s="117" t="n"/>
      <c r="AD524" s="123">
        <f>IF(SUM($AE524:$AH524)=0,"",SUM($AE524:$AH524))</f>
        <v/>
      </c>
      <c r="AE524" s="123">
        <f>iferror(IF(SUM($AI524:$AZ524)=0,"",SUM($AI524:$AZ524)),"")</f>
        <v/>
      </c>
      <c r="AF524" s="123">
        <f>iferror(IF(SUM($BA524:$BC524)=0,"",SUM($BA524:$BC524)),"")</f>
        <v/>
      </c>
      <c r="AG524" s="123">
        <f>iferror(IF(SUM($BD524:$BF524)=0,"",SUM($BD524:$BF524)),"")</f>
        <v/>
      </c>
      <c r="AH524" s="124">
        <f>iferror(IF(SUM($BG524:$BI524)=0,"",SUM($BG524:$BI524)),"")</f>
        <v/>
      </c>
      <c r="AI524" s="131" t="n"/>
      <c r="AJ524" s="132" t="n"/>
      <c r="AK524" s="132" t="n"/>
      <c r="AL524" s="132" t="n"/>
      <c r="AM524" s="132" t="n"/>
      <c r="AN524" s="132" t="n"/>
      <c r="AO524" s="132" t="n"/>
      <c r="AP524" s="132" t="n"/>
      <c r="AQ524" s="132" t="n"/>
      <c r="AR524" s="132" t="n"/>
      <c r="AS524" s="132" t="n"/>
      <c r="AT524" s="132" t="n"/>
      <c r="AU524" s="132" t="n"/>
      <c r="AV524" s="132" t="n"/>
      <c r="AW524" s="132" t="n"/>
      <c r="AX524" s="132" t="n"/>
      <c r="AY524" s="132" t="n"/>
      <c r="AZ524" s="133" t="n"/>
      <c r="BA524" s="131" t="n"/>
      <c r="BB524" s="132" t="n"/>
      <c r="BC524" s="133" t="n"/>
      <c r="BD524" s="131" t="n"/>
      <c r="BE524" s="132" t="n"/>
      <c r="BF524" s="133" t="n"/>
      <c r="BG524" s="131" t="n"/>
      <c r="BH524" s="132" t="n"/>
      <c r="BI524" s="132" t="n"/>
      <c r="BJ524" s="128">
        <f>iferror(SUM($BK524,($BL524*1.2),($BM524*1.35),($BN524*0.74)),)</f>
        <v/>
      </c>
      <c r="BK524" s="128">
        <f>IFERROR(SUM($BT524:$CK524),)</f>
        <v/>
      </c>
      <c r="BL524" s="129">
        <f>IFERROR(SUM($CL524:$CN524),)</f>
        <v/>
      </c>
      <c r="BM524" s="130">
        <f>IFERROR(SUM($CO524:$CQ524),)</f>
        <v/>
      </c>
      <c r="BN524" s="128">
        <f>IFERROR(SUM($CR524:$CT524),)</f>
        <v/>
      </c>
      <c r="BO524" s="128">
        <f>iferror(SUM($BP524,($BQ524*1.2),($BR524*1.35),($BS524*0.74)),)</f>
        <v/>
      </c>
      <c r="BP524" s="128">
        <f>IFERROR(SUM($CU524:$DL524),)</f>
        <v/>
      </c>
      <c r="BQ524" s="128">
        <f>IFERROR(SUM($DM524:$DO524),)</f>
        <v/>
      </c>
      <c r="BR524" s="128">
        <f>IFERROR(SUM($DP524:$DR524),)</f>
        <v/>
      </c>
      <c r="BS524" s="128">
        <f>IFERROR(SUM($DS524:$DU524),)</f>
        <v/>
      </c>
      <c r="BT524" s="128">
        <f>IFERROR(AI524*$W524,)</f>
        <v/>
      </c>
      <c r="BU524" s="128">
        <f>IFERROR(AJ524*$W524,)</f>
        <v/>
      </c>
      <c r="BV524" s="128">
        <f>IFERROR(AK524*$W524,)</f>
        <v/>
      </c>
      <c r="BW524" s="128">
        <f>IFERROR(AL524*$W524,)</f>
        <v/>
      </c>
      <c r="BX524" s="128">
        <f>IFERROR(AM524*$W524,)</f>
        <v/>
      </c>
      <c r="BY524" s="128">
        <f>IFERROR(AN524*$W524,)</f>
        <v/>
      </c>
      <c r="BZ524" s="128">
        <f>IFERROR(AO524*$W524,)</f>
        <v/>
      </c>
      <c r="CA524" s="128">
        <f>IFERROR(AP524*$W524,)</f>
        <v/>
      </c>
      <c r="CB524" s="128">
        <f>IFERROR(AQ524*$W524,)</f>
        <v/>
      </c>
      <c r="CC524" s="128">
        <f>IFERROR(AR524*$W524,)</f>
        <v/>
      </c>
      <c r="CD524" s="128">
        <f>IFERROR(AS524*$W524,)</f>
        <v/>
      </c>
      <c r="CE524" s="128">
        <f>IFERROR(AT524*$W524,)</f>
        <v/>
      </c>
      <c r="CF524" s="128">
        <f>IFERROR(AU524*$W524,)</f>
        <v/>
      </c>
      <c r="CG524" s="128">
        <f>IFERROR(AV524*$W524,)</f>
        <v/>
      </c>
      <c r="CH524" s="128">
        <f>IFERROR(AW524*$W524,)</f>
        <v/>
      </c>
      <c r="CI524" s="128">
        <f>IFERROR(AX524*$W524,)</f>
        <v/>
      </c>
      <c r="CJ524" s="128">
        <f>IFERROR(AY524*$W524,)</f>
        <v/>
      </c>
      <c r="CK524" s="128">
        <f>IFERROR(AZ524*$W524,)</f>
        <v/>
      </c>
      <c r="CL524" s="129">
        <f>IFERROR(if($Y524=0,BA524*($W524/1.2),BA524*$Y524),"")</f>
        <v/>
      </c>
      <c r="CM524" s="129">
        <f>IFERROR(if($Y524=0,BB524*($W524/1.2),BB524*$Y524),"")</f>
        <v/>
      </c>
      <c r="CN524" s="129">
        <f>IFERROR(if($Y524=0,BC524*($W524/1.2),BC524*$Y524),"")</f>
        <v/>
      </c>
      <c r="CO524" s="130">
        <f>IFERROR(if($AA524=0,($W524/1.35)*BD524,BD524*$AA524),)</f>
        <v/>
      </c>
      <c r="CP524" s="130">
        <f>IFERROR(if($AA524=0,($W524/1.35)*BE524,BE524*$AA524),)</f>
        <v/>
      </c>
      <c r="CQ524" s="130">
        <f>IFERROR(if($AA524=0,($W524/1.35)*BF524,BF524*$AA524),)</f>
        <v/>
      </c>
      <c r="CR524" s="128">
        <f>IFERROR(if($AC524=0,($W524/0.74)*BG524,
BG524*$AC524),)</f>
        <v/>
      </c>
      <c r="CS524" s="128">
        <f>IFERROR(if($AC524=0,($W524/0.74)*BH524,
BH524*$AC524),)</f>
        <v/>
      </c>
      <c r="CT524" s="128">
        <f>IFERROR(if($AC524=0,($W524/0.74)*BI524,
BI524*$AC524),)</f>
        <v/>
      </c>
      <c r="CU524" s="128">
        <f>IFERROR(AI524*$V524,)</f>
        <v/>
      </c>
      <c r="CV524" s="128">
        <f>IFERROR(AJ524*$V524,)</f>
        <v/>
      </c>
      <c r="CW524" s="128">
        <f>IFERROR(AK524*$V524,)</f>
        <v/>
      </c>
      <c r="CX524" s="128">
        <f>IFERROR(AL524*$V524,)</f>
        <v/>
      </c>
      <c r="CY524" s="128">
        <f>IFERROR(AM524*$V524,)</f>
        <v/>
      </c>
      <c r="CZ524" s="128">
        <f>IFERROR(AN524*$V524,)</f>
        <v/>
      </c>
      <c r="DA524" s="128">
        <f>IFERROR(AO524*$V524,)</f>
        <v/>
      </c>
      <c r="DB524" s="128">
        <f>IFERROR(AP524*$V524,)</f>
        <v/>
      </c>
      <c r="DC524" s="128">
        <f>IFERROR(AQ524*$V524,)</f>
        <v/>
      </c>
      <c r="DD524" s="128">
        <f>IFERROR(AR524*$V524,)</f>
        <v/>
      </c>
      <c r="DE524" s="128">
        <f>IFERROR(AS524*$V524,)</f>
        <v/>
      </c>
      <c r="DF524" s="128">
        <f>IFERROR(AT524*$V524,)</f>
        <v/>
      </c>
      <c r="DG524" s="128">
        <f>IFERROR(AU524*$V524,)</f>
        <v/>
      </c>
      <c r="DH524" s="128">
        <f>IFERROR(AV524*$V524,)</f>
        <v/>
      </c>
      <c r="DI524" s="128">
        <f>IFERROR(AW524*$V524,)</f>
        <v/>
      </c>
      <c r="DJ524" s="128">
        <f>IFERROR(AX524*$V524,)</f>
        <v/>
      </c>
      <c r="DK524" s="128">
        <f>IFERROR(AY524*$V524,)</f>
        <v/>
      </c>
      <c r="DL524" s="128">
        <f>IFERROR(AZ524*$V524,)</f>
        <v/>
      </c>
      <c r="DM524" s="129">
        <f>IFERROR(if($X524=0,($V524/1.2)*BA524,
BA524*$X524),)</f>
        <v/>
      </c>
      <c r="DN524" s="129">
        <f>IFERROR(if($X524=0,($V524/1.2)*BB524,
BB524*$X524),)</f>
        <v/>
      </c>
      <c r="DO524" s="129">
        <f>IFERROR(if($X524=0,($V524/1.2)*BC524,
BC524*$X524),)</f>
        <v/>
      </c>
      <c r="DP524" s="130">
        <f>IFERROR(if($Z524=0,($V524/1.35)*BD524,
BD524*$Z524),)</f>
        <v/>
      </c>
      <c r="DQ524" s="130">
        <f>IFERROR(if($Z524=0,($V524/1.35)*BE524,
BE524*$Z524),)</f>
        <v/>
      </c>
      <c r="DR524" s="130">
        <f>IFERROR(if($Z524=0,($V524/1.35)*BF524,
BF524*$Z524),)</f>
        <v/>
      </c>
      <c r="DS524" s="128">
        <f>IFERROR(IF($AB524=0,($V524/0.74)*BG524,
BG524*$AB524),)</f>
        <v/>
      </c>
      <c r="DT524" s="128">
        <f>IFERROR(IF($AB524=0,($V524/0.74)*BH524,
BH524*$AB524),)</f>
        <v/>
      </c>
      <c r="DU524" s="128">
        <f>IFERROR(IF($AB524=0,($V524/0.74)*BI524,
BI524*$AB524),)</f>
        <v/>
      </c>
    </row>
    <row r="525" ht="131.25" customHeight="1" s="162">
      <c r="A525" s="115" t="n"/>
      <c r="B525" s="115" t="n"/>
      <c r="C525" s="115" t="n"/>
      <c r="D525" s="115" t="n"/>
      <c r="E525" s="115" t="n"/>
      <c r="F525" s="115" t="n"/>
      <c r="G525" s="115" t="n"/>
      <c r="H525" s="115" t="n"/>
      <c r="I525" s="115" t="n"/>
      <c r="J525" s="115" t="n"/>
      <c r="K525" s="115" t="n"/>
      <c r="L525" s="115" t="n"/>
      <c r="M525" s="115" t="n"/>
      <c r="N525" s="115" t="n"/>
      <c r="O525" s="115" t="n"/>
      <c r="P525" s="115" t="n"/>
      <c r="Q525" s="115" t="n"/>
      <c r="R525" s="115" t="n"/>
      <c r="S525" s="115" t="n"/>
      <c r="T525" s="115" t="n"/>
      <c r="U525" s="116" t="n"/>
      <c r="V525" s="116" t="n"/>
      <c r="W525" s="117" t="n"/>
      <c r="X525" s="118" t="n"/>
      <c r="Y525" s="119" t="n"/>
      <c r="Z525" s="120" t="n"/>
      <c r="AA525" s="121" t="n"/>
      <c r="AB525" s="122" t="n"/>
      <c r="AC525" s="117" t="n"/>
      <c r="AD525" s="123">
        <f>IF(SUM($AE525:$AH525)=0,"",SUM($AE525:$AH525))</f>
        <v/>
      </c>
      <c r="AE525" s="123">
        <f>iferror(IF(SUM($AI525:$AZ525)=0,"",SUM($AI525:$AZ525)),"")</f>
        <v/>
      </c>
      <c r="AF525" s="123">
        <f>iferror(IF(SUM($BA525:$BC525)=0,"",SUM($BA525:$BC525)),"")</f>
        <v/>
      </c>
      <c r="AG525" s="123">
        <f>iferror(IF(SUM($BD525:$BF525)=0,"",SUM($BD525:$BF525)),"")</f>
        <v/>
      </c>
      <c r="AH525" s="124">
        <f>iferror(IF(SUM($BG525:$BI525)=0,"",SUM($BG525:$BI525)),"")</f>
        <v/>
      </c>
      <c r="AI525" s="131" t="n"/>
      <c r="AJ525" s="132" t="n"/>
      <c r="AK525" s="132" t="n"/>
      <c r="AL525" s="132" t="n"/>
      <c r="AM525" s="132" t="n"/>
      <c r="AN525" s="132" t="n"/>
      <c r="AO525" s="132" t="n"/>
      <c r="AP525" s="132" t="n"/>
      <c r="AQ525" s="132" t="n"/>
      <c r="AR525" s="132" t="n"/>
      <c r="AS525" s="132" t="n"/>
      <c r="AT525" s="132" t="n"/>
      <c r="AU525" s="132" t="n"/>
      <c r="AV525" s="132" t="n"/>
      <c r="AW525" s="132" t="n"/>
      <c r="AX525" s="132" t="n"/>
      <c r="AY525" s="132" t="n"/>
      <c r="AZ525" s="133" t="n"/>
      <c r="BA525" s="131" t="n"/>
      <c r="BB525" s="132" t="n"/>
      <c r="BC525" s="133" t="n"/>
      <c r="BD525" s="131" t="n"/>
      <c r="BE525" s="132" t="n"/>
      <c r="BF525" s="133" t="n"/>
      <c r="BG525" s="131" t="n"/>
      <c r="BH525" s="132" t="n"/>
      <c r="BI525" s="132" t="n"/>
      <c r="BJ525" s="128">
        <f>iferror(SUM($BK525,($BL525*1.2),($BM525*1.35),($BN525*0.74)),)</f>
        <v/>
      </c>
      <c r="BK525" s="128">
        <f>IFERROR(SUM($BT525:$CK525),)</f>
        <v/>
      </c>
      <c r="BL525" s="129">
        <f>IFERROR(SUM($CL525:$CN525),)</f>
        <v/>
      </c>
      <c r="BM525" s="130">
        <f>IFERROR(SUM($CO525:$CQ525),)</f>
        <v/>
      </c>
      <c r="BN525" s="128">
        <f>IFERROR(SUM($CR525:$CT525),)</f>
        <v/>
      </c>
      <c r="BO525" s="128">
        <f>iferror(SUM($BP525,($BQ525*1.2),($BR525*1.35),($BS525*0.74)),)</f>
        <v/>
      </c>
      <c r="BP525" s="128">
        <f>IFERROR(SUM($CU525:$DL525),)</f>
        <v/>
      </c>
      <c r="BQ525" s="128">
        <f>IFERROR(SUM($DM525:$DO525),)</f>
        <v/>
      </c>
      <c r="BR525" s="128">
        <f>IFERROR(SUM($DP525:$DR525),)</f>
        <v/>
      </c>
      <c r="BS525" s="128">
        <f>IFERROR(SUM($DS525:$DU525),)</f>
        <v/>
      </c>
      <c r="BT525" s="128">
        <f>IFERROR(AI525*$W525,)</f>
        <v/>
      </c>
      <c r="BU525" s="128">
        <f>IFERROR(AJ525*$W525,)</f>
        <v/>
      </c>
      <c r="BV525" s="128">
        <f>IFERROR(AK525*$W525,)</f>
        <v/>
      </c>
      <c r="BW525" s="128">
        <f>IFERROR(AL525*$W525,)</f>
        <v/>
      </c>
      <c r="BX525" s="128">
        <f>IFERROR(AM525*$W525,)</f>
        <v/>
      </c>
      <c r="BY525" s="128">
        <f>IFERROR(AN525*$W525,)</f>
        <v/>
      </c>
      <c r="BZ525" s="128">
        <f>IFERROR(AO525*$W525,)</f>
        <v/>
      </c>
      <c r="CA525" s="128">
        <f>IFERROR(AP525*$W525,)</f>
        <v/>
      </c>
      <c r="CB525" s="128">
        <f>IFERROR(AQ525*$W525,)</f>
        <v/>
      </c>
      <c r="CC525" s="128">
        <f>IFERROR(AR525*$W525,)</f>
        <v/>
      </c>
      <c r="CD525" s="128">
        <f>IFERROR(AS525*$W525,)</f>
        <v/>
      </c>
      <c r="CE525" s="128">
        <f>IFERROR(AT525*$W525,)</f>
        <v/>
      </c>
      <c r="CF525" s="128">
        <f>IFERROR(AU525*$W525,)</f>
        <v/>
      </c>
      <c r="CG525" s="128">
        <f>IFERROR(AV525*$W525,)</f>
        <v/>
      </c>
      <c r="CH525" s="128">
        <f>IFERROR(AW525*$W525,)</f>
        <v/>
      </c>
      <c r="CI525" s="128">
        <f>IFERROR(AX525*$W525,)</f>
        <v/>
      </c>
      <c r="CJ525" s="128">
        <f>IFERROR(AY525*$W525,)</f>
        <v/>
      </c>
      <c r="CK525" s="128">
        <f>IFERROR(AZ525*$W525,)</f>
        <v/>
      </c>
      <c r="CL525" s="129">
        <f>IFERROR(if($Y525=0,BA525*($W525/1.2),BA525*$Y525),"")</f>
        <v/>
      </c>
      <c r="CM525" s="129">
        <f>IFERROR(if($Y525=0,BB525*($W525/1.2),BB525*$Y525),"")</f>
        <v/>
      </c>
      <c r="CN525" s="129">
        <f>IFERROR(if($Y525=0,BC525*($W525/1.2),BC525*$Y525),"")</f>
        <v/>
      </c>
      <c r="CO525" s="130">
        <f>IFERROR(if($AA525=0,($W525/1.35)*BD525,BD525*$AA525),)</f>
        <v/>
      </c>
      <c r="CP525" s="130">
        <f>IFERROR(if($AA525=0,($W525/1.35)*BE525,BE525*$AA525),)</f>
        <v/>
      </c>
      <c r="CQ525" s="130">
        <f>IFERROR(if($AA525=0,($W525/1.35)*BF525,BF525*$AA525),)</f>
        <v/>
      </c>
      <c r="CR525" s="128">
        <f>IFERROR(if($AC525=0,($W525/0.74)*BG525,
BG525*$AC525),)</f>
        <v/>
      </c>
      <c r="CS525" s="128">
        <f>IFERROR(if($AC525=0,($W525/0.74)*BH525,
BH525*$AC525),)</f>
        <v/>
      </c>
      <c r="CT525" s="128">
        <f>IFERROR(if($AC525=0,($W525/0.74)*BI525,
BI525*$AC525),)</f>
        <v/>
      </c>
      <c r="CU525" s="128">
        <f>IFERROR(AI525*$V525,)</f>
        <v/>
      </c>
      <c r="CV525" s="128">
        <f>IFERROR(AJ525*$V525,)</f>
        <v/>
      </c>
      <c r="CW525" s="128">
        <f>IFERROR(AK525*$V525,)</f>
        <v/>
      </c>
      <c r="CX525" s="128">
        <f>IFERROR(AL525*$V525,)</f>
        <v/>
      </c>
      <c r="CY525" s="128">
        <f>IFERROR(AM525*$V525,)</f>
        <v/>
      </c>
      <c r="CZ525" s="128">
        <f>IFERROR(AN525*$V525,)</f>
        <v/>
      </c>
      <c r="DA525" s="128">
        <f>IFERROR(AO525*$V525,)</f>
        <v/>
      </c>
      <c r="DB525" s="128">
        <f>IFERROR(AP525*$V525,)</f>
        <v/>
      </c>
      <c r="DC525" s="128">
        <f>IFERROR(AQ525*$V525,)</f>
        <v/>
      </c>
      <c r="DD525" s="128">
        <f>IFERROR(AR525*$V525,)</f>
        <v/>
      </c>
      <c r="DE525" s="128">
        <f>IFERROR(AS525*$V525,)</f>
        <v/>
      </c>
      <c r="DF525" s="128">
        <f>IFERROR(AT525*$V525,)</f>
        <v/>
      </c>
      <c r="DG525" s="128">
        <f>IFERROR(AU525*$V525,)</f>
        <v/>
      </c>
      <c r="DH525" s="128">
        <f>IFERROR(AV525*$V525,)</f>
        <v/>
      </c>
      <c r="DI525" s="128">
        <f>IFERROR(AW525*$V525,)</f>
        <v/>
      </c>
      <c r="DJ525" s="128">
        <f>IFERROR(AX525*$V525,)</f>
        <v/>
      </c>
      <c r="DK525" s="128">
        <f>IFERROR(AY525*$V525,)</f>
        <v/>
      </c>
      <c r="DL525" s="128">
        <f>IFERROR(AZ525*$V525,)</f>
        <v/>
      </c>
      <c r="DM525" s="129">
        <f>IFERROR(if($X525=0,($V525/1.2)*BA525,
BA525*$X525),)</f>
        <v/>
      </c>
      <c r="DN525" s="129">
        <f>IFERROR(if($X525=0,($V525/1.2)*BB525,
BB525*$X525),)</f>
        <v/>
      </c>
      <c r="DO525" s="129">
        <f>IFERROR(if($X525=0,($V525/1.2)*BC525,
BC525*$X525),)</f>
        <v/>
      </c>
      <c r="DP525" s="130">
        <f>IFERROR(if($Z525=0,($V525/1.35)*BD525,
BD525*$Z525),)</f>
        <v/>
      </c>
      <c r="DQ525" s="130">
        <f>IFERROR(if($Z525=0,($V525/1.35)*BE525,
BE525*$Z525),)</f>
        <v/>
      </c>
      <c r="DR525" s="130">
        <f>IFERROR(if($Z525=0,($V525/1.35)*BF525,
BF525*$Z525),)</f>
        <v/>
      </c>
      <c r="DS525" s="128">
        <f>IFERROR(IF($AB525=0,($V525/0.74)*BG525,
BG525*$AB525),)</f>
        <v/>
      </c>
      <c r="DT525" s="128">
        <f>IFERROR(IF($AB525=0,($V525/0.74)*BH525,
BH525*$AB525),)</f>
        <v/>
      </c>
      <c r="DU525" s="128">
        <f>IFERROR(IF($AB525=0,($V525/0.74)*BI525,
BI525*$AB525),)</f>
        <v/>
      </c>
    </row>
    <row r="526" ht="131.25" customHeight="1" s="162">
      <c r="A526" s="115" t="n"/>
      <c r="B526" s="115" t="n"/>
      <c r="C526" s="115" t="n"/>
      <c r="D526" s="115" t="n"/>
      <c r="E526" s="115" t="n"/>
      <c r="F526" s="115" t="n"/>
      <c r="G526" s="115" t="n"/>
      <c r="H526" s="115" t="n"/>
      <c r="I526" s="115" t="n"/>
      <c r="J526" s="115" t="n"/>
      <c r="K526" s="115" t="n"/>
      <c r="L526" s="115" t="n"/>
      <c r="M526" s="115" t="n"/>
      <c r="N526" s="115" t="n"/>
      <c r="O526" s="115" t="n"/>
      <c r="P526" s="115" t="n"/>
      <c r="Q526" s="115" t="n"/>
      <c r="R526" s="115" t="n"/>
      <c r="S526" s="115" t="n"/>
      <c r="T526" s="115" t="n"/>
      <c r="U526" s="116" t="n"/>
      <c r="V526" s="116" t="n"/>
      <c r="W526" s="117" t="n"/>
      <c r="X526" s="118" t="n"/>
      <c r="Y526" s="119" t="n"/>
      <c r="Z526" s="120" t="n"/>
      <c r="AA526" s="121" t="n"/>
      <c r="AB526" s="122" t="n"/>
      <c r="AC526" s="117" t="n"/>
      <c r="AD526" s="123">
        <f>IF(SUM($AE526:$AH526)=0,"",SUM($AE526:$AH526))</f>
        <v/>
      </c>
      <c r="AE526" s="123">
        <f>iferror(IF(SUM($AI526:$AZ526)=0,"",SUM($AI526:$AZ526)),"")</f>
        <v/>
      </c>
      <c r="AF526" s="123">
        <f>iferror(IF(SUM($BA526:$BC526)=0,"",SUM($BA526:$BC526)),"")</f>
        <v/>
      </c>
      <c r="AG526" s="123">
        <f>iferror(IF(SUM($BD526:$BF526)=0,"",SUM($BD526:$BF526)),"")</f>
        <v/>
      </c>
      <c r="AH526" s="124">
        <f>iferror(IF(SUM($BG526:$BI526)=0,"",SUM($BG526:$BI526)),"")</f>
        <v/>
      </c>
      <c r="AI526" s="131" t="n"/>
      <c r="AJ526" s="132" t="n"/>
      <c r="AK526" s="132" t="n"/>
      <c r="AL526" s="132" t="n"/>
      <c r="AM526" s="132" t="n"/>
      <c r="AN526" s="132" t="n"/>
      <c r="AO526" s="132" t="n"/>
      <c r="AP526" s="132" t="n"/>
      <c r="AQ526" s="132" t="n"/>
      <c r="AR526" s="132" t="n"/>
      <c r="AS526" s="132" t="n"/>
      <c r="AT526" s="132" t="n"/>
      <c r="AU526" s="132" t="n"/>
      <c r="AV526" s="132" t="n"/>
      <c r="AW526" s="132" t="n"/>
      <c r="AX526" s="132" t="n"/>
      <c r="AY526" s="132" t="n"/>
      <c r="AZ526" s="133" t="n"/>
      <c r="BA526" s="131" t="n"/>
      <c r="BB526" s="132" t="n"/>
      <c r="BC526" s="133" t="n"/>
      <c r="BD526" s="131" t="n"/>
      <c r="BE526" s="132" t="n"/>
      <c r="BF526" s="133" t="n"/>
      <c r="BG526" s="131" t="n"/>
      <c r="BH526" s="132" t="n"/>
      <c r="BI526" s="132" t="n"/>
      <c r="BJ526" s="128">
        <f>iferror(SUM($BK526,($BL526*1.2),($BM526*1.35),($BN526*0.74)),)</f>
        <v/>
      </c>
      <c r="BK526" s="128">
        <f>IFERROR(SUM($BT526:$CK526),)</f>
        <v/>
      </c>
      <c r="BL526" s="129">
        <f>IFERROR(SUM($CL526:$CN526),)</f>
        <v/>
      </c>
      <c r="BM526" s="130">
        <f>IFERROR(SUM($CO526:$CQ526),)</f>
        <v/>
      </c>
      <c r="BN526" s="128">
        <f>IFERROR(SUM($CR526:$CT526),)</f>
        <v/>
      </c>
      <c r="BO526" s="128">
        <f>iferror(SUM($BP526,($BQ526*1.2),($BR526*1.35),($BS526*0.74)),)</f>
        <v/>
      </c>
      <c r="BP526" s="128">
        <f>IFERROR(SUM($CU526:$DL526),)</f>
        <v/>
      </c>
      <c r="BQ526" s="128">
        <f>IFERROR(SUM($DM526:$DO526),)</f>
        <v/>
      </c>
      <c r="BR526" s="128">
        <f>IFERROR(SUM($DP526:$DR526),)</f>
        <v/>
      </c>
      <c r="BS526" s="128">
        <f>IFERROR(SUM($DS526:$DU526),)</f>
        <v/>
      </c>
      <c r="BT526" s="128">
        <f>IFERROR(AI526*$W526,)</f>
        <v/>
      </c>
      <c r="BU526" s="128">
        <f>IFERROR(AJ526*$W526,)</f>
        <v/>
      </c>
      <c r="BV526" s="128">
        <f>IFERROR(AK526*$W526,)</f>
        <v/>
      </c>
      <c r="BW526" s="128">
        <f>IFERROR(AL526*$W526,)</f>
        <v/>
      </c>
      <c r="BX526" s="128">
        <f>IFERROR(AM526*$W526,)</f>
        <v/>
      </c>
      <c r="BY526" s="128">
        <f>IFERROR(AN526*$W526,)</f>
        <v/>
      </c>
      <c r="BZ526" s="128">
        <f>IFERROR(AO526*$W526,)</f>
        <v/>
      </c>
      <c r="CA526" s="128">
        <f>IFERROR(AP526*$W526,)</f>
        <v/>
      </c>
      <c r="CB526" s="128">
        <f>IFERROR(AQ526*$W526,)</f>
        <v/>
      </c>
      <c r="CC526" s="128">
        <f>IFERROR(AR526*$W526,)</f>
        <v/>
      </c>
      <c r="CD526" s="128">
        <f>IFERROR(AS526*$W526,)</f>
        <v/>
      </c>
      <c r="CE526" s="128">
        <f>IFERROR(AT526*$W526,)</f>
        <v/>
      </c>
      <c r="CF526" s="128">
        <f>IFERROR(AU526*$W526,)</f>
        <v/>
      </c>
      <c r="CG526" s="128">
        <f>IFERROR(AV526*$W526,)</f>
        <v/>
      </c>
      <c r="CH526" s="128">
        <f>IFERROR(AW526*$W526,)</f>
        <v/>
      </c>
      <c r="CI526" s="128">
        <f>IFERROR(AX526*$W526,)</f>
        <v/>
      </c>
      <c r="CJ526" s="128">
        <f>IFERROR(AY526*$W526,)</f>
        <v/>
      </c>
      <c r="CK526" s="128">
        <f>IFERROR(AZ526*$W526,)</f>
        <v/>
      </c>
      <c r="CL526" s="129">
        <f>IFERROR(if($Y526=0,BA526*($W526/1.2),BA526*$Y526),"")</f>
        <v/>
      </c>
      <c r="CM526" s="129">
        <f>IFERROR(if($Y526=0,BB526*($W526/1.2),BB526*$Y526),"")</f>
        <v/>
      </c>
      <c r="CN526" s="129">
        <f>IFERROR(if($Y526=0,BC526*($W526/1.2),BC526*$Y526),"")</f>
        <v/>
      </c>
      <c r="CO526" s="130">
        <f>IFERROR(if($AA526=0,($W526/1.35)*BD526,BD526*$AA526),)</f>
        <v/>
      </c>
      <c r="CP526" s="130">
        <f>IFERROR(if($AA526=0,($W526/1.35)*BE526,BE526*$AA526),)</f>
        <v/>
      </c>
      <c r="CQ526" s="130">
        <f>IFERROR(if($AA526=0,($W526/1.35)*BF526,BF526*$AA526),)</f>
        <v/>
      </c>
      <c r="CR526" s="128">
        <f>IFERROR(if($AC526=0,($W526/0.74)*BG526,
BG526*$AC526),)</f>
        <v/>
      </c>
      <c r="CS526" s="128">
        <f>IFERROR(if($AC526=0,($W526/0.74)*BH526,
BH526*$AC526),)</f>
        <v/>
      </c>
      <c r="CT526" s="128">
        <f>IFERROR(if($AC526=0,($W526/0.74)*BI526,
BI526*$AC526),)</f>
        <v/>
      </c>
      <c r="CU526" s="128">
        <f>IFERROR(AI526*$V526,)</f>
        <v/>
      </c>
      <c r="CV526" s="128">
        <f>IFERROR(AJ526*$V526,)</f>
        <v/>
      </c>
      <c r="CW526" s="128">
        <f>IFERROR(AK526*$V526,)</f>
        <v/>
      </c>
      <c r="CX526" s="128">
        <f>IFERROR(AL526*$V526,)</f>
        <v/>
      </c>
      <c r="CY526" s="128">
        <f>IFERROR(AM526*$V526,)</f>
        <v/>
      </c>
      <c r="CZ526" s="128">
        <f>IFERROR(AN526*$V526,)</f>
        <v/>
      </c>
      <c r="DA526" s="128">
        <f>IFERROR(AO526*$V526,)</f>
        <v/>
      </c>
      <c r="DB526" s="128">
        <f>IFERROR(AP526*$V526,)</f>
        <v/>
      </c>
      <c r="DC526" s="128">
        <f>IFERROR(AQ526*$V526,)</f>
        <v/>
      </c>
      <c r="DD526" s="128">
        <f>IFERROR(AR526*$V526,)</f>
        <v/>
      </c>
      <c r="DE526" s="128">
        <f>IFERROR(AS526*$V526,)</f>
        <v/>
      </c>
      <c r="DF526" s="128">
        <f>IFERROR(AT526*$V526,)</f>
        <v/>
      </c>
      <c r="DG526" s="128">
        <f>IFERROR(AU526*$V526,)</f>
        <v/>
      </c>
      <c r="DH526" s="128">
        <f>IFERROR(AV526*$V526,)</f>
        <v/>
      </c>
      <c r="DI526" s="128">
        <f>IFERROR(AW526*$V526,)</f>
        <v/>
      </c>
      <c r="DJ526" s="128">
        <f>IFERROR(AX526*$V526,)</f>
        <v/>
      </c>
      <c r="DK526" s="128">
        <f>IFERROR(AY526*$V526,)</f>
        <v/>
      </c>
      <c r="DL526" s="128">
        <f>IFERROR(AZ526*$V526,)</f>
        <v/>
      </c>
      <c r="DM526" s="129">
        <f>IFERROR(if($X526=0,($V526/1.2)*BA526,
BA526*$X526),)</f>
        <v/>
      </c>
      <c r="DN526" s="129">
        <f>IFERROR(if($X526=0,($V526/1.2)*BB526,
BB526*$X526),)</f>
        <v/>
      </c>
      <c r="DO526" s="129">
        <f>IFERROR(if($X526=0,($V526/1.2)*BC526,
BC526*$X526),)</f>
        <v/>
      </c>
      <c r="DP526" s="130">
        <f>IFERROR(if($Z526=0,($V526/1.35)*BD526,
BD526*$Z526),)</f>
        <v/>
      </c>
      <c r="DQ526" s="130">
        <f>IFERROR(if($Z526=0,($V526/1.35)*BE526,
BE526*$Z526),)</f>
        <v/>
      </c>
      <c r="DR526" s="130">
        <f>IFERROR(if($Z526=0,($V526/1.35)*BF526,
BF526*$Z526),)</f>
        <v/>
      </c>
      <c r="DS526" s="128">
        <f>IFERROR(IF($AB526=0,($V526/0.74)*BG526,
BG526*$AB526),)</f>
        <v/>
      </c>
      <c r="DT526" s="128">
        <f>IFERROR(IF($AB526=0,($V526/0.74)*BH526,
BH526*$AB526),)</f>
        <v/>
      </c>
      <c r="DU526" s="128">
        <f>IFERROR(IF($AB526=0,($V526/0.74)*BI526,
BI526*$AB526),)</f>
        <v/>
      </c>
    </row>
    <row r="527" ht="131.25" customHeight="1" s="162">
      <c r="A527" s="115" t="n"/>
      <c r="B527" s="115" t="n"/>
      <c r="C527" s="115" t="n"/>
      <c r="D527" s="115" t="n"/>
      <c r="E527" s="115" t="n"/>
      <c r="F527" s="115" t="n"/>
      <c r="G527" s="115" t="n"/>
      <c r="H527" s="115" t="n"/>
      <c r="I527" s="115" t="n"/>
      <c r="J527" s="115" t="n"/>
      <c r="K527" s="115" t="n"/>
      <c r="L527" s="115" t="n"/>
      <c r="M527" s="115" t="n"/>
      <c r="N527" s="115" t="n"/>
      <c r="O527" s="115" t="n"/>
      <c r="P527" s="115" t="n"/>
      <c r="Q527" s="115" t="n"/>
      <c r="R527" s="115" t="n"/>
      <c r="S527" s="115" t="n"/>
      <c r="T527" s="115" t="n"/>
      <c r="U527" s="116" t="n"/>
      <c r="V527" s="116" t="n"/>
      <c r="W527" s="117" t="n"/>
      <c r="X527" s="118" t="n"/>
      <c r="Y527" s="119" t="n"/>
      <c r="Z527" s="120" t="n"/>
      <c r="AA527" s="121" t="n"/>
      <c r="AB527" s="122" t="n"/>
      <c r="AC527" s="117" t="n"/>
      <c r="AD527" s="123">
        <f>IF(SUM($AE527:$AH527)=0,"",SUM($AE527:$AH527))</f>
        <v/>
      </c>
      <c r="AE527" s="123">
        <f>iferror(IF(SUM($AI527:$AZ527)=0,"",SUM($AI527:$AZ527)),"")</f>
        <v/>
      </c>
      <c r="AF527" s="123">
        <f>iferror(IF(SUM($BA527:$BC527)=0,"",SUM($BA527:$BC527)),"")</f>
        <v/>
      </c>
      <c r="AG527" s="123">
        <f>iferror(IF(SUM($BD527:$BF527)=0,"",SUM($BD527:$BF527)),"")</f>
        <v/>
      </c>
      <c r="AH527" s="124">
        <f>iferror(IF(SUM($BG527:$BI527)=0,"",SUM($BG527:$BI527)),"")</f>
        <v/>
      </c>
      <c r="AI527" s="131" t="n"/>
      <c r="AJ527" s="132" t="n"/>
      <c r="AK527" s="132" t="n"/>
      <c r="AL527" s="132" t="n"/>
      <c r="AM527" s="132" t="n"/>
      <c r="AN527" s="132" t="n"/>
      <c r="AO527" s="132" t="n"/>
      <c r="AP527" s="132" t="n"/>
      <c r="AQ527" s="132" t="n"/>
      <c r="AR527" s="132" t="n"/>
      <c r="AS527" s="132" t="n"/>
      <c r="AT527" s="132" t="n"/>
      <c r="AU527" s="132" t="n"/>
      <c r="AV527" s="132" t="n"/>
      <c r="AW527" s="132" t="n"/>
      <c r="AX527" s="132" t="n"/>
      <c r="AY527" s="132" t="n"/>
      <c r="AZ527" s="133" t="n"/>
      <c r="BA527" s="131" t="n"/>
      <c r="BB527" s="132" t="n"/>
      <c r="BC527" s="133" t="n"/>
      <c r="BD527" s="131" t="n"/>
      <c r="BE527" s="132" t="n"/>
      <c r="BF527" s="133" t="n"/>
      <c r="BG527" s="131" t="n"/>
      <c r="BH527" s="132" t="n"/>
      <c r="BI527" s="132" t="n"/>
      <c r="BJ527" s="128">
        <f>iferror(SUM($BK527,($BL527*1.2),($BM527*1.35),($BN527*0.74)),)</f>
        <v/>
      </c>
      <c r="BK527" s="128">
        <f>IFERROR(SUM($BT527:$CK527),)</f>
        <v/>
      </c>
      <c r="BL527" s="129">
        <f>IFERROR(SUM($CL527:$CN527),)</f>
        <v/>
      </c>
      <c r="BM527" s="130">
        <f>IFERROR(SUM($CO527:$CQ527),)</f>
        <v/>
      </c>
      <c r="BN527" s="128">
        <f>IFERROR(SUM($CR527:$CT527),)</f>
        <v/>
      </c>
      <c r="BO527" s="128">
        <f>iferror(SUM($BP527,($BQ527*1.2),($BR527*1.35),($BS527*0.74)),)</f>
        <v/>
      </c>
      <c r="BP527" s="128">
        <f>IFERROR(SUM($CU527:$DL527),)</f>
        <v/>
      </c>
      <c r="BQ527" s="128">
        <f>IFERROR(SUM($DM527:$DO527),)</f>
        <v/>
      </c>
      <c r="BR527" s="128">
        <f>IFERROR(SUM($DP527:$DR527),)</f>
        <v/>
      </c>
      <c r="BS527" s="128">
        <f>IFERROR(SUM($DS527:$DU527),)</f>
        <v/>
      </c>
      <c r="BT527" s="128">
        <f>IFERROR(AI527*$W527,)</f>
        <v/>
      </c>
      <c r="BU527" s="128">
        <f>IFERROR(AJ527*$W527,)</f>
        <v/>
      </c>
      <c r="BV527" s="128">
        <f>IFERROR(AK527*$W527,)</f>
        <v/>
      </c>
      <c r="BW527" s="128">
        <f>IFERROR(AL527*$W527,)</f>
        <v/>
      </c>
      <c r="BX527" s="128">
        <f>IFERROR(AM527*$W527,)</f>
        <v/>
      </c>
      <c r="BY527" s="128">
        <f>IFERROR(AN527*$W527,)</f>
        <v/>
      </c>
      <c r="BZ527" s="128">
        <f>IFERROR(AO527*$W527,)</f>
        <v/>
      </c>
      <c r="CA527" s="128">
        <f>IFERROR(AP527*$W527,)</f>
        <v/>
      </c>
      <c r="CB527" s="128">
        <f>IFERROR(AQ527*$W527,)</f>
        <v/>
      </c>
      <c r="CC527" s="128">
        <f>IFERROR(AR527*$W527,)</f>
        <v/>
      </c>
      <c r="CD527" s="128">
        <f>IFERROR(AS527*$W527,)</f>
        <v/>
      </c>
      <c r="CE527" s="128">
        <f>IFERROR(AT527*$W527,)</f>
        <v/>
      </c>
      <c r="CF527" s="128">
        <f>IFERROR(AU527*$W527,)</f>
        <v/>
      </c>
      <c r="CG527" s="128">
        <f>IFERROR(AV527*$W527,)</f>
        <v/>
      </c>
      <c r="CH527" s="128">
        <f>IFERROR(AW527*$W527,)</f>
        <v/>
      </c>
      <c r="CI527" s="128">
        <f>IFERROR(AX527*$W527,)</f>
        <v/>
      </c>
      <c r="CJ527" s="128">
        <f>IFERROR(AY527*$W527,)</f>
        <v/>
      </c>
      <c r="CK527" s="128">
        <f>IFERROR(AZ527*$W527,)</f>
        <v/>
      </c>
      <c r="CL527" s="129">
        <f>IFERROR(if($Y527=0,BA527*($W527/1.2),BA527*$Y527),"")</f>
        <v/>
      </c>
      <c r="CM527" s="129">
        <f>IFERROR(if($Y527=0,BB527*($W527/1.2),BB527*$Y527),"")</f>
        <v/>
      </c>
      <c r="CN527" s="129">
        <f>IFERROR(if($Y527=0,BC527*($W527/1.2),BC527*$Y527),"")</f>
        <v/>
      </c>
      <c r="CO527" s="130">
        <f>IFERROR(if($AA527=0,($W527/1.35)*BD527,BD527*$AA527),)</f>
        <v/>
      </c>
      <c r="CP527" s="130">
        <f>IFERROR(if($AA527=0,($W527/1.35)*BE527,BE527*$AA527),)</f>
        <v/>
      </c>
      <c r="CQ527" s="130">
        <f>IFERROR(if($AA527=0,($W527/1.35)*BF527,BF527*$AA527),)</f>
        <v/>
      </c>
      <c r="CR527" s="128">
        <f>IFERROR(if($AC527=0,($W527/0.74)*BG527,
BG527*$AC527),)</f>
        <v/>
      </c>
      <c r="CS527" s="128">
        <f>IFERROR(if($AC527=0,($W527/0.74)*BH527,
BH527*$AC527),)</f>
        <v/>
      </c>
      <c r="CT527" s="128">
        <f>IFERROR(if($AC527=0,($W527/0.74)*BI527,
BI527*$AC527),)</f>
        <v/>
      </c>
      <c r="CU527" s="128">
        <f>IFERROR(AI527*$V527,)</f>
        <v/>
      </c>
      <c r="CV527" s="128">
        <f>IFERROR(AJ527*$V527,)</f>
        <v/>
      </c>
      <c r="CW527" s="128">
        <f>IFERROR(AK527*$V527,)</f>
        <v/>
      </c>
      <c r="CX527" s="128">
        <f>IFERROR(AL527*$V527,)</f>
        <v/>
      </c>
      <c r="CY527" s="128">
        <f>IFERROR(AM527*$V527,)</f>
        <v/>
      </c>
      <c r="CZ527" s="128">
        <f>IFERROR(AN527*$V527,)</f>
        <v/>
      </c>
      <c r="DA527" s="128">
        <f>IFERROR(AO527*$V527,)</f>
        <v/>
      </c>
      <c r="DB527" s="128">
        <f>IFERROR(AP527*$V527,)</f>
        <v/>
      </c>
      <c r="DC527" s="128">
        <f>IFERROR(AQ527*$V527,)</f>
        <v/>
      </c>
      <c r="DD527" s="128">
        <f>IFERROR(AR527*$V527,)</f>
        <v/>
      </c>
      <c r="DE527" s="128">
        <f>IFERROR(AS527*$V527,)</f>
        <v/>
      </c>
      <c r="DF527" s="128">
        <f>IFERROR(AT527*$V527,)</f>
        <v/>
      </c>
      <c r="DG527" s="128">
        <f>IFERROR(AU527*$V527,)</f>
        <v/>
      </c>
      <c r="DH527" s="128">
        <f>IFERROR(AV527*$V527,)</f>
        <v/>
      </c>
      <c r="DI527" s="128">
        <f>IFERROR(AW527*$V527,)</f>
        <v/>
      </c>
      <c r="DJ527" s="128">
        <f>IFERROR(AX527*$V527,)</f>
        <v/>
      </c>
      <c r="DK527" s="128">
        <f>IFERROR(AY527*$V527,)</f>
        <v/>
      </c>
      <c r="DL527" s="128">
        <f>IFERROR(AZ527*$V527,)</f>
        <v/>
      </c>
      <c r="DM527" s="129">
        <f>IFERROR(if($X527=0,($V527/1.2)*BA527,
BA527*$X527),)</f>
        <v/>
      </c>
      <c r="DN527" s="129">
        <f>IFERROR(if($X527=0,($V527/1.2)*BB527,
BB527*$X527),)</f>
        <v/>
      </c>
      <c r="DO527" s="129">
        <f>IFERROR(if($X527=0,($V527/1.2)*BC527,
BC527*$X527),)</f>
        <v/>
      </c>
      <c r="DP527" s="130">
        <f>IFERROR(if($Z527=0,($V527/1.35)*BD527,
BD527*$Z527),)</f>
        <v/>
      </c>
      <c r="DQ527" s="130">
        <f>IFERROR(if($Z527=0,($V527/1.35)*BE527,
BE527*$Z527),)</f>
        <v/>
      </c>
      <c r="DR527" s="130">
        <f>IFERROR(if($Z527=0,($V527/1.35)*BF527,
BF527*$Z527),)</f>
        <v/>
      </c>
      <c r="DS527" s="128">
        <f>IFERROR(IF($AB527=0,($V527/0.74)*BG527,
BG527*$AB527),)</f>
        <v/>
      </c>
      <c r="DT527" s="128">
        <f>IFERROR(IF($AB527=0,($V527/0.74)*BH527,
BH527*$AB527),)</f>
        <v/>
      </c>
      <c r="DU527" s="128">
        <f>IFERROR(IF($AB527=0,($V527/0.74)*BI527,
BI527*$AB527),)</f>
        <v/>
      </c>
    </row>
    <row r="528" ht="131.25" customHeight="1" s="162">
      <c r="A528" s="115" t="n"/>
      <c r="B528" s="115" t="n"/>
      <c r="C528" s="115" t="n"/>
      <c r="D528" s="115" t="n"/>
      <c r="E528" s="115" t="n"/>
      <c r="F528" s="115" t="n"/>
      <c r="G528" s="115" t="n"/>
      <c r="H528" s="115" t="n"/>
      <c r="I528" s="115" t="n"/>
      <c r="J528" s="115" t="n"/>
      <c r="K528" s="115" t="n"/>
      <c r="L528" s="115" t="n"/>
      <c r="M528" s="115" t="n"/>
      <c r="N528" s="115" t="n"/>
      <c r="O528" s="115" t="n"/>
      <c r="P528" s="115" t="n"/>
      <c r="Q528" s="115" t="n"/>
      <c r="R528" s="115" t="n"/>
      <c r="S528" s="115" t="n"/>
      <c r="T528" s="115" t="n"/>
      <c r="U528" s="116" t="n"/>
      <c r="V528" s="116" t="n"/>
      <c r="W528" s="117" t="n"/>
      <c r="X528" s="118" t="n"/>
      <c r="Y528" s="119" t="n"/>
      <c r="Z528" s="120" t="n"/>
      <c r="AA528" s="121" t="n"/>
      <c r="AB528" s="122" t="n"/>
      <c r="AC528" s="117" t="n"/>
      <c r="AD528" s="123">
        <f>IF(SUM($AE528:$AH528)=0,"",SUM($AE528:$AH528))</f>
        <v/>
      </c>
      <c r="AE528" s="123">
        <f>iferror(IF(SUM($AI528:$AZ528)=0,"",SUM($AI528:$AZ528)),"")</f>
        <v/>
      </c>
      <c r="AF528" s="123">
        <f>iferror(IF(SUM($BA528:$BC528)=0,"",SUM($BA528:$BC528)),"")</f>
        <v/>
      </c>
      <c r="AG528" s="123">
        <f>iferror(IF(SUM($BD528:$BF528)=0,"",SUM($BD528:$BF528)),"")</f>
        <v/>
      </c>
      <c r="AH528" s="124">
        <f>iferror(IF(SUM($BG528:$BI528)=0,"",SUM($BG528:$BI528)),"")</f>
        <v/>
      </c>
      <c r="AI528" s="131" t="n"/>
      <c r="AJ528" s="132" t="n"/>
      <c r="AK528" s="132" t="n"/>
      <c r="AL528" s="132" t="n"/>
      <c r="AM528" s="132" t="n"/>
      <c r="AN528" s="132" t="n"/>
      <c r="AO528" s="132" t="n"/>
      <c r="AP528" s="132" t="n"/>
      <c r="AQ528" s="132" t="n"/>
      <c r="AR528" s="132" t="n"/>
      <c r="AS528" s="132" t="n"/>
      <c r="AT528" s="132" t="n"/>
      <c r="AU528" s="132" t="n"/>
      <c r="AV528" s="132" t="n"/>
      <c r="AW528" s="132" t="n"/>
      <c r="AX528" s="132" t="n"/>
      <c r="AY528" s="132" t="n"/>
      <c r="AZ528" s="133" t="n"/>
      <c r="BA528" s="131" t="n"/>
      <c r="BB528" s="132" t="n"/>
      <c r="BC528" s="133" t="n"/>
      <c r="BD528" s="131" t="n"/>
      <c r="BE528" s="132" t="n"/>
      <c r="BF528" s="133" t="n"/>
      <c r="BG528" s="131" t="n"/>
      <c r="BH528" s="132" t="n"/>
      <c r="BI528" s="132" t="n"/>
      <c r="BJ528" s="128">
        <f>iferror(SUM($BK528,($BL528*1.2),($BM528*1.35),($BN528*0.74)),)</f>
        <v/>
      </c>
      <c r="BK528" s="128">
        <f>IFERROR(SUM($BT528:$CK528),)</f>
        <v/>
      </c>
      <c r="BL528" s="129">
        <f>IFERROR(SUM($CL528:$CN528),)</f>
        <v/>
      </c>
      <c r="BM528" s="130">
        <f>IFERROR(SUM($CO528:$CQ528),)</f>
        <v/>
      </c>
      <c r="BN528" s="128">
        <f>IFERROR(SUM($CR528:$CT528),)</f>
        <v/>
      </c>
      <c r="BO528" s="128">
        <f>iferror(SUM($BP528,($BQ528*1.2),($BR528*1.35),($BS528*0.74)),)</f>
        <v/>
      </c>
      <c r="BP528" s="128">
        <f>IFERROR(SUM($CU528:$DL528),)</f>
        <v/>
      </c>
      <c r="BQ528" s="128">
        <f>IFERROR(SUM($DM528:$DO528),)</f>
        <v/>
      </c>
      <c r="BR528" s="128">
        <f>IFERROR(SUM($DP528:$DR528),)</f>
        <v/>
      </c>
      <c r="BS528" s="128">
        <f>IFERROR(SUM($DS528:$DU528),)</f>
        <v/>
      </c>
      <c r="BT528" s="128">
        <f>IFERROR(AI528*$W528,)</f>
        <v/>
      </c>
      <c r="BU528" s="128">
        <f>IFERROR(AJ528*$W528,)</f>
        <v/>
      </c>
      <c r="BV528" s="128">
        <f>IFERROR(AK528*$W528,)</f>
        <v/>
      </c>
      <c r="BW528" s="128">
        <f>IFERROR(AL528*$W528,)</f>
        <v/>
      </c>
      <c r="BX528" s="128">
        <f>IFERROR(AM528*$W528,)</f>
        <v/>
      </c>
      <c r="BY528" s="128">
        <f>IFERROR(AN528*$W528,)</f>
        <v/>
      </c>
      <c r="BZ528" s="128">
        <f>IFERROR(AO528*$W528,)</f>
        <v/>
      </c>
      <c r="CA528" s="128">
        <f>IFERROR(AP528*$W528,)</f>
        <v/>
      </c>
      <c r="CB528" s="128">
        <f>IFERROR(AQ528*$W528,)</f>
        <v/>
      </c>
      <c r="CC528" s="128">
        <f>IFERROR(AR528*$W528,)</f>
        <v/>
      </c>
      <c r="CD528" s="128">
        <f>IFERROR(AS528*$W528,)</f>
        <v/>
      </c>
      <c r="CE528" s="128">
        <f>IFERROR(AT528*$W528,)</f>
        <v/>
      </c>
      <c r="CF528" s="128">
        <f>IFERROR(AU528*$W528,)</f>
        <v/>
      </c>
      <c r="CG528" s="128">
        <f>IFERROR(AV528*$W528,)</f>
        <v/>
      </c>
      <c r="CH528" s="128">
        <f>IFERROR(AW528*$W528,)</f>
        <v/>
      </c>
      <c r="CI528" s="128">
        <f>IFERROR(AX528*$W528,)</f>
        <v/>
      </c>
      <c r="CJ528" s="128">
        <f>IFERROR(AY528*$W528,)</f>
        <v/>
      </c>
      <c r="CK528" s="128">
        <f>IFERROR(AZ528*$W528,)</f>
        <v/>
      </c>
      <c r="CL528" s="129">
        <f>IFERROR(if($Y528=0,BA528*($W528/1.2),BA528*$Y528),"")</f>
        <v/>
      </c>
      <c r="CM528" s="129">
        <f>IFERROR(if($Y528=0,BB528*($W528/1.2),BB528*$Y528),"")</f>
        <v/>
      </c>
      <c r="CN528" s="129">
        <f>IFERROR(if($Y528=0,BC528*($W528/1.2),BC528*$Y528),"")</f>
        <v/>
      </c>
      <c r="CO528" s="130">
        <f>IFERROR(if($AA528=0,($W528/1.35)*BD528,BD528*$AA528),)</f>
        <v/>
      </c>
      <c r="CP528" s="130">
        <f>IFERROR(if($AA528=0,($W528/1.35)*BE528,BE528*$AA528),)</f>
        <v/>
      </c>
      <c r="CQ528" s="130">
        <f>IFERROR(if($AA528=0,($W528/1.35)*BF528,BF528*$AA528),)</f>
        <v/>
      </c>
      <c r="CR528" s="128">
        <f>IFERROR(if($AC528=0,($W528/0.74)*BG528,
BG528*$AC528),)</f>
        <v/>
      </c>
      <c r="CS528" s="128">
        <f>IFERROR(if($AC528=0,($W528/0.74)*BH528,
BH528*$AC528),)</f>
        <v/>
      </c>
      <c r="CT528" s="128">
        <f>IFERROR(if($AC528=0,($W528/0.74)*BI528,
BI528*$AC528),)</f>
        <v/>
      </c>
      <c r="CU528" s="128">
        <f>IFERROR(AI528*$V528,)</f>
        <v/>
      </c>
      <c r="CV528" s="128">
        <f>IFERROR(AJ528*$V528,)</f>
        <v/>
      </c>
      <c r="CW528" s="128">
        <f>IFERROR(AK528*$V528,)</f>
        <v/>
      </c>
      <c r="CX528" s="128">
        <f>IFERROR(AL528*$V528,)</f>
        <v/>
      </c>
      <c r="CY528" s="128">
        <f>IFERROR(AM528*$V528,)</f>
        <v/>
      </c>
      <c r="CZ528" s="128">
        <f>IFERROR(AN528*$V528,)</f>
        <v/>
      </c>
      <c r="DA528" s="128">
        <f>IFERROR(AO528*$V528,)</f>
        <v/>
      </c>
      <c r="DB528" s="128">
        <f>IFERROR(AP528*$V528,)</f>
        <v/>
      </c>
      <c r="DC528" s="128">
        <f>IFERROR(AQ528*$V528,)</f>
        <v/>
      </c>
      <c r="DD528" s="128">
        <f>IFERROR(AR528*$V528,)</f>
        <v/>
      </c>
      <c r="DE528" s="128">
        <f>IFERROR(AS528*$V528,)</f>
        <v/>
      </c>
      <c r="DF528" s="128">
        <f>IFERROR(AT528*$V528,)</f>
        <v/>
      </c>
      <c r="DG528" s="128">
        <f>IFERROR(AU528*$V528,)</f>
        <v/>
      </c>
      <c r="DH528" s="128">
        <f>IFERROR(AV528*$V528,)</f>
        <v/>
      </c>
      <c r="DI528" s="128">
        <f>IFERROR(AW528*$V528,)</f>
        <v/>
      </c>
      <c r="DJ528" s="128">
        <f>IFERROR(AX528*$V528,)</f>
        <v/>
      </c>
      <c r="DK528" s="128">
        <f>IFERROR(AY528*$V528,)</f>
        <v/>
      </c>
      <c r="DL528" s="128">
        <f>IFERROR(AZ528*$V528,)</f>
        <v/>
      </c>
      <c r="DM528" s="129">
        <f>IFERROR(if($X528=0,($V528/1.2)*BA528,
BA528*$X528),)</f>
        <v/>
      </c>
      <c r="DN528" s="129">
        <f>IFERROR(if($X528=0,($V528/1.2)*BB528,
BB528*$X528),)</f>
        <v/>
      </c>
      <c r="DO528" s="129">
        <f>IFERROR(if($X528=0,($V528/1.2)*BC528,
BC528*$X528),)</f>
        <v/>
      </c>
      <c r="DP528" s="130">
        <f>IFERROR(if($Z528=0,($V528/1.35)*BD528,
BD528*$Z528),)</f>
        <v/>
      </c>
      <c r="DQ528" s="130">
        <f>IFERROR(if($Z528=0,($V528/1.35)*BE528,
BE528*$Z528),)</f>
        <v/>
      </c>
      <c r="DR528" s="130">
        <f>IFERROR(if($Z528=0,($V528/1.35)*BF528,
BF528*$Z528),)</f>
        <v/>
      </c>
      <c r="DS528" s="128">
        <f>IFERROR(IF($AB528=0,($V528/0.74)*BG528,
BG528*$AB528),)</f>
        <v/>
      </c>
      <c r="DT528" s="128">
        <f>IFERROR(IF($AB528=0,($V528/0.74)*BH528,
BH528*$AB528),)</f>
        <v/>
      </c>
      <c r="DU528" s="128">
        <f>IFERROR(IF($AB528=0,($V528/0.74)*BI528,
BI528*$AB528),)</f>
        <v/>
      </c>
    </row>
    <row r="529" ht="131.25" customHeight="1" s="162">
      <c r="A529" s="115" t="n"/>
      <c r="B529" s="115" t="n"/>
      <c r="C529" s="115" t="n"/>
      <c r="D529" s="115" t="n"/>
      <c r="E529" s="115" t="n"/>
      <c r="F529" s="115" t="n"/>
      <c r="G529" s="115" t="n"/>
      <c r="H529" s="115" t="n"/>
      <c r="I529" s="115" t="n"/>
      <c r="J529" s="115" t="n"/>
      <c r="K529" s="115" t="n"/>
      <c r="L529" s="115" t="n"/>
      <c r="M529" s="115" t="n"/>
      <c r="N529" s="115" t="n"/>
      <c r="O529" s="115" t="n"/>
      <c r="P529" s="115" t="n"/>
      <c r="Q529" s="115" t="n"/>
      <c r="R529" s="115" t="n"/>
      <c r="S529" s="115" t="n"/>
      <c r="T529" s="115" t="n"/>
      <c r="U529" s="116" t="n"/>
      <c r="V529" s="116" t="n"/>
      <c r="W529" s="117" t="n"/>
      <c r="X529" s="118" t="n"/>
      <c r="Y529" s="119" t="n"/>
      <c r="Z529" s="120" t="n"/>
      <c r="AA529" s="121" t="n"/>
      <c r="AB529" s="122" t="n"/>
      <c r="AC529" s="117" t="n"/>
      <c r="AD529" s="123">
        <f>IF(SUM($AE529:$AH529)=0,"",SUM($AE529:$AH529))</f>
        <v/>
      </c>
      <c r="AE529" s="123">
        <f>iferror(IF(SUM($AI529:$AZ529)=0,"",SUM($AI529:$AZ529)),"")</f>
        <v/>
      </c>
      <c r="AF529" s="123">
        <f>iferror(IF(SUM($BA529:$BC529)=0,"",SUM($BA529:$BC529)),"")</f>
        <v/>
      </c>
      <c r="AG529" s="123">
        <f>iferror(IF(SUM($BD529:$BF529)=0,"",SUM($BD529:$BF529)),"")</f>
        <v/>
      </c>
      <c r="AH529" s="124">
        <f>iferror(IF(SUM($BG529:$BI529)=0,"",SUM($BG529:$BI529)),"")</f>
        <v/>
      </c>
      <c r="AI529" s="131" t="n"/>
      <c r="AJ529" s="132" t="n"/>
      <c r="AK529" s="132" t="n"/>
      <c r="AL529" s="132" t="n"/>
      <c r="AM529" s="132" t="n"/>
      <c r="AN529" s="132" t="n"/>
      <c r="AO529" s="132" t="n"/>
      <c r="AP529" s="132" t="n"/>
      <c r="AQ529" s="132" t="n"/>
      <c r="AR529" s="132" t="n"/>
      <c r="AS529" s="132" t="n"/>
      <c r="AT529" s="132" t="n"/>
      <c r="AU529" s="132" t="n"/>
      <c r="AV529" s="132" t="n"/>
      <c r="AW529" s="132" t="n"/>
      <c r="AX529" s="132" t="n"/>
      <c r="AY529" s="132" t="n"/>
      <c r="AZ529" s="133" t="n"/>
      <c r="BA529" s="131" t="n"/>
      <c r="BB529" s="132" t="n"/>
      <c r="BC529" s="133" t="n"/>
      <c r="BD529" s="131" t="n"/>
      <c r="BE529" s="132" t="n"/>
      <c r="BF529" s="133" t="n"/>
      <c r="BG529" s="131" t="n"/>
      <c r="BH529" s="132" t="n"/>
      <c r="BI529" s="132" t="n"/>
      <c r="BJ529" s="128">
        <f>iferror(SUM($BK529,($BL529*1.2),($BM529*1.35),($BN529*0.74)),)</f>
        <v/>
      </c>
      <c r="BK529" s="128">
        <f>IFERROR(SUM($BT529:$CK529),)</f>
        <v/>
      </c>
      <c r="BL529" s="129">
        <f>IFERROR(SUM($CL529:$CN529),)</f>
        <v/>
      </c>
      <c r="BM529" s="130">
        <f>IFERROR(SUM($CO529:$CQ529),)</f>
        <v/>
      </c>
      <c r="BN529" s="128">
        <f>IFERROR(SUM($CR529:$CT529),)</f>
        <v/>
      </c>
      <c r="BO529" s="128">
        <f>iferror(SUM($BP529,($BQ529*1.2),($BR529*1.35),($BS529*0.74)),)</f>
        <v/>
      </c>
      <c r="BP529" s="128">
        <f>IFERROR(SUM($CU529:$DL529),)</f>
        <v/>
      </c>
      <c r="BQ529" s="128">
        <f>IFERROR(SUM($DM529:$DO529),)</f>
        <v/>
      </c>
      <c r="BR529" s="128">
        <f>IFERROR(SUM($DP529:$DR529),)</f>
        <v/>
      </c>
      <c r="BS529" s="128">
        <f>IFERROR(SUM($DS529:$DU529),)</f>
        <v/>
      </c>
      <c r="BT529" s="128">
        <f>IFERROR(AI529*$W529,)</f>
        <v/>
      </c>
      <c r="BU529" s="128">
        <f>IFERROR(AJ529*$W529,)</f>
        <v/>
      </c>
      <c r="BV529" s="128">
        <f>IFERROR(AK529*$W529,)</f>
        <v/>
      </c>
      <c r="BW529" s="128">
        <f>IFERROR(AL529*$W529,)</f>
        <v/>
      </c>
      <c r="BX529" s="128">
        <f>IFERROR(AM529*$W529,)</f>
        <v/>
      </c>
      <c r="BY529" s="128">
        <f>IFERROR(AN529*$W529,)</f>
        <v/>
      </c>
      <c r="BZ529" s="128">
        <f>IFERROR(AO529*$W529,)</f>
        <v/>
      </c>
      <c r="CA529" s="128">
        <f>IFERROR(AP529*$W529,)</f>
        <v/>
      </c>
      <c r="CB529" s="128">
        <f>IFERROR(AQ529*$W529,)</f>
        <v/>
      </c>
      <c r="CC529" s="128">
        <f>IFERROR(AR529*$W529,)</f>
        <v/>
      </c>
      <c r="CD529" s="128">
        <f>IFERROR(AS529*$W529,)</f>
        <v/>
      </c>
      <c r="CE529" s="128">
        <f>IFERROR(AT529*$W529,)</f>
        <v/>
      </c>
      <c r="CF529" s="128">
        <f>IFERROR(AU529*$W529,)</f>
        <v/>
      </c>
      <c r="CG529" s="128">
        <f>IFERROR(AV529*$W529,)</f>
        <v/>
      </c>
      <c r="CH529" s="128">
        <f>IFERROR(AW529*$W529,)</f>
        <v/>
      </c>
      <c r="CI529" s="128">
        <f>IFERROR(AX529*$W529,)</f>
        <v/>
      </c>
      <c r="CJ529" s="128">
        <f>IFERROR(AY529*$W529,)</f>
        <v/>
      </c>
      <c r="CK529" s="128">
        <f>IFERROR(AZ529*$W529,)</f>
        <v/>
      </c>
      <c r="CL529" s="129">
        <f>IFERROR(if($Y529=0,BA529*($W529/1.2),BA529*$Y529),"")</f>
        <v/>
      </c>
      <c r="CM529" s="129">
        <f>IFERROR(if($Y529=0,BB529*($W529/1.2),BB529*$Y529),"")</f>
        <v/>
      </c>
      <c r="CN529" s="129">
        <f>IFERROR(if($Y529=0,BC529*($W529/1.2),BC529*$Y529),"")</f>
        <v/>
      </c>
      <c r="CO529" s="130">
        <f>IFERROR(if($AA529=0,($W529/1.35)*BD529,BD529*$AA529),)</f>
        <v/>
      </c>
      <c r="CP529" s="130">
        <f>IFERROR(if($AA529=0,($W529/1.35)*BE529,BE529*$AA529),)</f>
        <v/>
      </c>
      <c r="CQ529" s="130">
        <f>IFERROR(if($AA529=0,($W529/1.35)*BF529,BF529*$AA529),)</f>
        <v/>
      </c>
      <c r="CR529" s="128">
        <f>IFERROR(if($AC529=0,($W529/0.74)*BG529,
BG529*$AC529),)</f>
        <v/>
      </c>
      <c r="CS529" s="128">
        <f>IFERROR(if($AC529=0,($W529/0.74)*BH529,
BH529*$AC529),)</f>
        <v/>
      </c>
      <c r="CT529" s="128">
        <f>IFERROR(if($AC529=0,($W529/0.74)*BI529,
BI529*$AC529),)</f>
        <v/>
      </c>
      <c r="CU529" s="128">
        <f>IFERROR(AI529*$V529,)</f>
        <v/>
      </c>
      <c r="CV529" s="128">
        <f>IFERROR(AJ529*$V529,)</f>
        <v/>
      </c>
      <c r="CW529" s="128">
        <f>IFERROR(AK529*$V529,)</f>
        <v/>
      </c>
      <c r="CX529" s="128">
        <f>IFERROR(AL529*$V529,)</f>
        <v/>
      </c>
      <c r="CY529" s="128">
        <f>IFERROR(AM529*$V529,)</f>
        <v/>
      </c>
      <c r="CZ529" s="128">
        <f>IFERROR(AN529*$V529,)</f>
        <v/>
      </c>
      <c r="DA529" s="128">
        <f>IFERROR(AO529*$V529,)</f>
        <v/>
      </c>
      <c r="DB529" s="128">
        <f>IFERROR(AP529*$V529,)</f>
        <v/>
      </c>
      <c r="DC529" s="128">
        <f>IFERROR(AQ529*$V529,)</f>
        <v/>
      </c>
      <c r="DD529" s="128">
        <f>IFERROR(AR529*$V529,)</f>
        <v/>
      </c>
      <c r="DE529" s="128">
        <f>IFERROR(AS529*$V529,)</f>
        <v/>
      </c>
      <c r="DF529" s="128">
        <f>IFERROR(AT529*$V529,)</f>
        <v/>
      </c>
      <c r="DG529" s="128">
        <f>IFERROR(AU529*$V529,)</f>
        <v/>
      </c>
      <c r="DH529" s="128">
        <f>IFERROR(AV529*$V529,)</f>
        <v/>
      </c>
      <c r="DI529" s="128">
        <f>IFERROR(AW529*$V529,)</f>
        <v/>
      </c>
      <c r="DJ529" s="128">
        <f>IFERROR(AX529*$V529,)</f>
        <v/>
      </c>
      <c r="DK529" s="128">
        <f>IFERROR(AY529*$V529,)</f>
        <v/>
      </c>
      <c r="DL529" s="128">
        <f>IFERROR(AZ529*$V529,)</f>
        <v/>
      </c>
      <c r="DM529" s="129">
        <f>IFERROR(if($X529=0,($V529/1.2)*BA529,
BA529*$X529),)</f>
        <v/>
      </c>
      <c r="DN529" s="129">
        <f>IFERROR(if($X529=0,($V529/1.2)*BB529,
BB529*$X529),)</f>
        <v/>
      </c>
      <c r="DO529" s="129">
        <f>IFERROR(if($X529=0,($V529/1.2)*BC529,
BC529*$X529),)</f>
        <v/>
      </c>
      <c r="DP529" s="130">
        <f>IFERROR(if($Z529=0,($V529/1.35)*BD529,
BD529*$Z529),)</f>
        <v/>
      </c>
      <c r="DQ529" s="130">
        <f>IFERROR(if($Z529=0,($V529/1.35)*BE529,
BE529*$Z529),)</f>
        <v/>
      </c>
      <c r="DR529" s="130">
        <f>IFERROR(if($Z529=0,($V529/1.35)*BF529,
BF529*$Z529),)</f>
        <v/>
      </c>
      <c r="DS529" s="128">
        <f>IFERROR(IF($AB529=0,($V529/0.74)*BG529,
BG529*$AB529),)</f>
        <v/>
      </c>
      <c r="DT529" s="128">
        <f>IFERROR(IF($AB529=0,($V529/0.74)*BH529,
BH529*$AB529),)</f>
        <v/>
      </c>
      <c r="DU529" s="128">
        <f>IFERROR(IF($AB529=0,($V529/0.74)*BI529,
BI529*$AB529),)</f>
        <v/>
      </c>
    </row>
    <row r="530" ht="131.25" customHeight="1" s="162">
      <c r="A530" s="115" t="n"/>
      <c r="B530" s="115" t="n"/>
      <c r="C530" s="115" t="n"/>
      <c r="D530" s="115" t="n"/>
      <c r="E530" s="115" t="n"/>
      <c r="F530" s="115" t="n"/>
      <c r="G530" s="115" t="n"/>
      <c r="H530" s="115" t="n"/>
      <c r="I530" s="115" t="n"/>
      <c r="J530" s="115" t="n"/>
      <c r="K530" s="115" t="n"/>
      <c r="L530" s="115" t="n"/>
      <c r="M530" s="115" t="n"/>
      <c r="N530" s="115" t="n"/>
      <c r="O530" s="115" t="n"/>
      <c r="P530" s="115" t="n"/>
      <c r="Q530" s="115" t="n"/>
      <c r="R530" s="115" t="n"/>
      <c r="S530" s="115" t="n"/>
      <c r="T530" s="115" t="n"/>
      <c r="U530" s="116" t="n"/>
      <c r="V530" s="116" t="n"/>
      <c r="W530" s="117" t="n"/>
      <c r="X530" s="118" t="n"/>
      <c r="Y530" s="119" t="n"/>
      <c r="Z530" s="120" t="n"/>
      <c r="AA530" s="121" t="n"/>
      <c r="AB530" s="122" t="n"/>
      <c r="AC530" s="117" t="n"/>
      <c r="AD530" s="123">
        <f>IF(SUM($AE530:$AH530)=0,"",SUM($AE530:$AH530))</f>
        <v/>
      </c>
      <c r="AE530" s="123">
        <f>iferror(IF(SUM($AI530:$AZ530)=0,"",SUM($AI530:$AZ530)),"")</f>
        <v/>
      </c>
      <c r="AF530" s="123">
        <f>iferror(IF(SUM($BA530:$BC530)=0,"",SUM($BA530:$BC530)),"")</f>
        <v/>
      </c>
      <c r="AG530" s="123">
        <f>iferror(IF(SUM($BD530:$BF530)=0,"",SUM($BD530:$BF530)),"")</f>
        <v/>
      </c>
      <c r="AH530" s="124">
        <f>iferror(IF(SUM($BG530:$BI530)=0,"",SUM($BG530:$BI530)),"")</f>
        <v/>
      </c>
      <c r="AI530" s="131" t="n"/>
      <c r="AJ530" s="132" t="n"/>
      <c r="AK530" s="132" t="n"/>
      <c r="AL530" s="132" t="n"/>
      <c r="AM530" s="132" t="n"/>
      <c r="AN530" s="132" t="n"/>
      <c r="AO530" s="132" t="n"/>
      <c r="AP530" s="132" t="n"/>
      <c r="AQ530" s="132" t="n"/>
      <c r="AR530" s="132" t="n"/>
      <c r="AS530" s="132" t="n"/>
      <c r="AT530" s="132" t="n"/>
      <c r="AU530" s="132" t="n"/>
      <c r="AV530" s="132" t="n"/>
      <c r="AW530" s="132" t="n"/>
      <c r="AX530" s="132" t="n"/>
      <c r="AY530" s="132" t="n"/>
      <c r="AZ530" s="133" t="n"/>
      <c r="BA530" s="131" t="n"/>
      <c r="BB530" s="132" t="n"/>
      <c r="BC530" s="133" t="n"/>
      <c r="BD530" s="131" t="n"/>
      <c r="BE530" s="132" t="n"/>
      <c r="BF530" s="133" t="n"/>
      <c r="BG530" s="131" t="n"/>
      <c r="BH530" s="132" t="n"/>
      <c r="BI530" s="132" t="n"/>
      <c r="BJ530" s="128">
        <f>iferror(SUM($BK530,($BL530*1.2),($BM530*1.35),($BN530*0.74)),)</f>
        <v/>
      </c>
      <c r="BK530" s="128">
        <f>IFERROR(SUM($BT530:$CK530),)</f>
        <v/>
      </c>
      <c r="BL530" s="129">
        <f>IFERROR(SUM($CL530:$CN530),)</f>
        <v/>
      </c>
      <c r="BM530" s="130">
        <f>IFERROR(SUM($CO530:$CQ530),)</f>
        <v/>
      </c>
      <c r="BN530" s="128">
        <f>IFERROR(SUM($CR530:$CT530),)</f>
        <v/>
      </c>
      <c r="BO530" s="128">
        <f>iferror(SUM($BP530,($BQ530*1.2),($BR530*1.35),($BS530*0.74)),)</f>
        <v/>
      </c>
      <c r="BP530" s="128">
        <f>IFERROR(SUM($CU530:$DL530),)</f>
        <v/>
      </c>
      <c r="BQ530" s="128">
        <f>IFERROR(SUM($DM530:$DO530),)</f>
        <v/>
      </c>
      <c r="BR530" s="128">
        <f>IFERROR(SUM($DP530:$DR530),)</f>
        <v/>
      </c>
      <c r="BS530" s="128">
        <f>IFERROR(SUM($DS530:$DU530),)</f>
        <v/>
      </c>
      <c r="BT530" s="128">
        <f>IFERROR(AI530*$W530,)</f>
        <v/>
      </c>
      <c r="BU530" s="128">
        <f>IFERROR(AJ530*$W530,)</f>
        <v/>
      </c>
      <c r="BV530" s="128">
        <f>IFERROR(AK530*$W530,)</f>
        <v/>
      </c>
      <c r="BW530" s="128">
        <f>IFERROR(AL530*$W530,)</f>
        <v/>
      </c>
      <c r="BX530" s="128">
        <f>IFERROR(AM530*$W530,)</f>
        <v/>
      </c>
      <c r="BY530" s="128">
        <f>IFERROR(AN530*$W530,)</f>
        <v/>
      </c>
      <c r="BZ530" s="128">
        <f>IFERROR(AO530*$W530,)</f>
        <v/>
      </c>
      <c r="CA530" s="128">
        <f>IFERROR(AP530*$W530,)</f>
        <v/>
      </c>
      <c r="CB530" s="128">
        <f>IFERROR(AQ530*$W530,)</f>
        <v/>
      </c>
      <c r="CC530" s="128">
        <f>IFERROR(AR530*$W530,)</f>
        <v/>
      </c>
      <c r="CD530" s="128">
        <f>IFERROR(AS530*$W530,)</f>
        <v/>
      </c>
      <c r="CE530" s="128">
        <f>IFERROR(AT530*$W530,)</f>
        <v/>
      </c>
      <c r="CF530" s="128">
        <f>IFERROR(AU530*$W530,)</f>
        <v/>
      </c>
      <c r="CG530" s="128">
        <f>IFERROR(AV530*$W530,)</f>
        <v/>
      </c>
      <c r="CH530" s="128">
        <f>IFERROR(AW530*$W530,)</f>
        <v/>
      </c>
      <c r="CI530" s="128">
        <f>IFERROR(AX530*$W530,)</f>
        <v/>
      </c>
      <c r="CJ530" s="128">
        <f>IFERROR(AY530*$W530,)</f>
        <v/>
      </c>
      <c r="CK530" s="128">
        <f>IFERROR(AZ530*$W530,)</f>
        <v/>
      </c>
      <c r="CL530" s="129">
        <f>IFERROR(if($Y530=0,BA530*($W530/1.2),BA530*$Y530),"")</f>
        <v/>
      </c>
      <c r="CM530" s="129">
        <f>IFERROR(if($Y530=0,BB530*($W530/1.2),BB530*$Y530),"")</f>
        <v/>
      </c>
      <c r="CN530" s="129">
        <f>IFERROR(if($Y530=0,BC530*($W530/1.2),BC530*$Y530),"")</f>
        <v/>
      </c>
      <c r="CO530" s="130">
        <f>IFERROR(if($AA530=0,($W530/1.35)*BD530,BD530*$AA530),)</f>
        <v/>
      </c>
      <c r="CP530" s="130">
        <f>IFERROR(if($AA530=0,($W530/1.35)*BE530,BE530*$AA530),)</f>
        <v/>
      </c>
      <c r="CQ530" s="130">
        <f>IFERROR(if($AA530=0,($W530/1.35)*BF530,BF530*$AA530),)</f>
        <v/>
      </c>
      <c r="CR530" s="128">
        <f>IFERROR(if($AC530=0,($W530/0.74)*BG530,
BG530*$AC530),)</f>
        <v/>
      </c>
      <c r="CS530" s="128">
        <f>IFERROR(if($AC530=0,($W530/0.74)*BH530,
BH530*$AC530),)</f>
        <v/>
      </c>
      <c r="CT530" s="128">
        <f>IFERROR(if($AC530=0,($W530/0.74)*BI530,
BI530*$AC530),)</f>
        <v/>
      </c>
      <c r="CU530" s="128">
        <f>IFERROR(AI530*$V530,)</f>
        <v/>
      </c>
      <c r="CV530" s="128">
        <f>IFERROR(AJ530*$V530,)</f>
        <v/>
      </c>
      <c r="CW530" s="128">
        <f>IFERROR(AK530*$V530,)</f>
        <v/>
      </c>
      <c r="CX530" s="128">
        <f>IFERROR(AL530*$V530,)</f>
        <v/>
      </c>
      <c r="CY530" s="128">
        <f>IFERROR(AM530*$V530,)</f>
        <v/>
      </c>
      <c r="CZ530" s="128">
        <f>IFERROR(AN530*$V530,)</f>
        <v/>
      </c>
      <c r="DA530" s="128">
        <f>IFERROR(AO530*$V530,)</f>
        <v/>
      </c>
      <c r="DB530" s="128">
        <f>IFERROR(AP530*$V530,)</f>
        <v/>
      </c>
      <c r="DC530" s="128">
        <f>IFERROR(AQ530*$V530,)</f>
        <v/>
      </c>
      <c r="DD530" s="128">
        <f>IFERROR(AR530*$V530,)</f>
        <v/>
      </c>
      <c r="DE530" s="128">
        <f>IFERROR(AS530*$V530,)</f>
        <v/>
      </c>
      <c r="DF530" s="128">
        <f>IFERROR(AT530*$V530,)</f>
        <v/>
      </c>
      <c r="DG530" s="128">
        <f>IFERROR(AU530*$V530,)</f>
        <v/>
      </c>
      <c r="DH530" s="128">
        <f>IFERROR(AV530*$V530,)</f>
        <v/>
      </c>
      <c r="DI530" s="128">
        <f>IFERROR(AW530*$V530,)</f>
        <v/>
      </c>
      <c r="DJ530" s="128">
        <f>IFERROR(AX530*$V530,)</f>
        <v/>
      </c>
      <c r="DK530" s="128">
        <f>IFERROR(AY530*$V530,)</f>
        <v/>
      </c>
      <c r="DL530" s="128">
        <f>IFERROR(AZ530*$V530,)</f>
        <v/>
      </c>
      <c r="DM530" s="129">
        <f>IFERROR(if($X530=0,($V530/1.2)*BA530,
BA530*$X530),)</f>
        <v/>
      </c>
      <c r="DN530" s="129">
        <f>IFERROR(if($X530=0,($V530/1.2)*BB530,
BB530*$X530),)</f>
        <v/>
      </c>
      <c r="DO530" s="129">
        <f>IFERROR(if($X530=0,($V530/1.2)*BC530,
BC530*$X530),)</f>
        <v/>
      </c>
      <c r="DP530" s="130">
        <f>IFERROR(if($Z530=0,($V530/1.35)*BD530,
BD530*$Z530),)</f>
        <v/>
      </c>
      <c r="DQ530" s="130">
        <f>IFERROR(if($Z530=0,($V530/1.35)*BE530,
BE530*$Z530),)</f>
        <v/>
      </c>
      <c r="DR530" s="130">
        <f>IFERROR(if($Z530=0,($V530/1.35)*BF530,
BF530*$Z530),)</f>
        <v/>
      </c>
      <c r="DS530" s="128">
        <f>IFERROR(IF($AB530=0,($V530/0.74)*BG530,
BG530*$AB530),)</f>
        <v/>
      </c>
      <c r="DT530" s="128">
        <f>IFERROR(IF($AB530=0,($V530/0.74)*BH530,
BH530*$AB530),)</f>
        <v/>
      </c>
      <c r="DU530" s="128">
        <f>IFERROR(IF($AB530=0,($V530/0.74)*BI530,
BI530*$AB530),)</f>
        <v/>
      </c>
    </row>
    <row r="531" ht="131.25" customHeight="1" s="162">
      <c r="A531" s="115" t="n"/>
      <c r="B531" s="115" t="n"/>
      <c r="C531" s="115" t="n"/>
      <c r="D531" s="115" t="n"/>
      <c r="E531" s="115" t="n"/>
      <c r="F531" s="115" t="n"/>
      <c r="G531" s="115" t="n"/>
      <c r="H531" s="115" t="n"/>
      <c r="I531" s="115" t="n"/>
      <c r="J531" s="115" t="n"/>
      <c r="K531" s="115" t="n"/>
      <c r="L531" s="115" t="n"/>
      <c r="M531" s="115" t="n"/>
      <c r="N531" s="115" t="n"/>
      <c r="O531" s="115" t="n"/>
      <c r="P531" s="115" t="n"/>
      <c r="Q531" s="115" t="n"/>
      <c r="R531" s="115" t="n"/>
      <c r="S531" s="115" t="n"/>
      <c r="T531" s="115" t="n"/>
      <c r="U531" s="116" t="n"/>
      <c r="V531" s="116" t="n"/>
      <c r="W531" s="117" t="n"/>
      <c r="X531" s="118" t="n"/>
      <c r="Y531" s="119" t="n"/>
      <c r="Z531" s="120" t="n"/>
      <c r="AA531" s="121" t="n"/>
      <c r="AB531" s="122" t="n"/>
      <c r="AC531" s="117" t="n"/>
      <c r="AD531" s="123">
        <f>IF(SUM($AE531:$AH531)=0,"",SUM($AE531:$AH531))</f>
        <v/>
      </c>
      <c r="AE531" s="123">
        <f>iferror(IF(SUM($AI531:$AZ531)=0,"",SUM($AI531:$AZ531)),"")</f>
        <v/>
      </c>
      <c r="AF531" s="123">
        <f>iferror(IF(SUM($BA531:$BC531)=0,"",SUM($BA531:$BC531)),"")</f>
        <v/>
      </c>
      <c r="AG531" s="123">
        <f>iferror(IF(SUM($BD531:$BF531)=0,"",SUM($BD531:$BF531)),"")</f>
        <v/>
      </c>
      <c r="AH531" s="124">
        <f>iferror(IF(SUM($BG531:$BI531)=0,"",SUM($BG531:$BI531)),"")</f>
        <v/>
      </c>
      <c r="AI531" s="131" t="n"/>
      <c r="AJ531" s="132" t="n"/>
      <c r="AK531" s="132" t="n"/>
      <c r="AL531" s="132" t="n"/>
      <c r="AM531" s="132" t="n"/>
      <c r="AN531" s="132" t="n"/>
      <c r="AO531" s="132" t="n"/>
      <c r="AP531" s="132" t="n"/>
      <c r="AQ531" s="132" t="n"/>
      <c r="AR531" s="132" t="n"/>
      <c r="AS531" s="132" t="n"/>
      <c r="AT531" s="132" t="n"/>
      <c r="AU531" s="132" t="n"/>
      <c r="AV531" s="132" t="n"/>
      <c r="AW531" s="132" t="n"/>
      <c r="AX531" s="132" t="n"/>
      <c r="AY531" s="132" t="n"/>
      <c r="AZ531" s="133" t="n"/>
      <c r="BA531" s="131" t="n"/>
      <c r="BB531" s="132" t="n"/>
      <c r="BC531" s="133" t="n"/>
      <c r="BD531" s="131" t="n"/>
      <c r="BE531" s="132" t="n"/>
      <c r="BF531" s="133" t="n"/>
      <c r="BG531" s="131" t="n"/>
      <c r="BH531" s="132" t="n"/>
      <c r="BI531" s="132" t="n"/>
      <c r="BJ531" s="128">
        <f>iferror(SUM($BK531,($BL531*1.2),($BM531*1.35),($BN531*0.74)),)</f>
        <v/>
      </c>
      <c r="BK531" s="128">
        <f>IFERROR(SUM($BT531:$CK531),)</f>
        <v/>
      </c>
      <c r="BL531" s="129">
        <f>IFERROR(SUM($CL531:$CN531),)</f>
        <v/>
      </c>
      <c r="BM531" s="130">
        <f>IFERROR(SUM($CO531:$CQ531),)</f>
        <v/>
      </c>
      <c r="BN531" s="128">
        <f>IFERROR(SUM($CR531:$CT531),)</f>
        <v/>
      </c>
      <c r="BO531" s="128">
        <f>iferror(SUM($BP531,($BQ531*1.2),($BR531*1.35),($BS531*0.74)),)</f>
        <v/>
      </c>
      <c r="BP531" s="128">
        <f>IFERROR(SUM($CU531:$DL531),)</f>
        <v/>
      </c>
      <c r="BQ531" s="128">
        <f>IFERROR(SUM($DM531:$DO531),)</f>
        <v/>
      </c>
      <c r="BR531" s="128">
        <f>IFERROR(SUM($DP531:$DR531),)</f>
        <v/>
      </c>
      <c r="BS531" s="128">
        <f>IFERROR(SUM($DS531:$DU531),)</f>
        <v/>
      </c>
      <c r="BT531" s="128">
        <f>IFERROR(AI531*$W531,)</f>
        <v/>
      </c>
      <c r="BU531" s="128">
        <f>IFERROR(AJ531*$W531,)</f>
        <v/>
      </c>
      <c r="BV531" s="128">
        <f>IFERROR(AK531*$W531,)</f>
        <v/>
      </c>
      <c r="BW531" s="128">
        <f>IFERROR(AL531*$W531,)</f>
        <v/>
      </c>
      <c r="BX531" s="128">
        <f>IFERROR(AM531*$W531,)</f>
        <v/>
      </c>
      <c r="BY531" s="128">
        <f>IFERROR(AN531*$W531,)</f>
        <v/>
      </c>
      <c r="BZ531" s="128">
        <f>IFERROR(AO531*$W531,)</f>
        <v/>
      </c>
      <c r="CA531" s="128">
        <f>IFERROR(AP531*$W531,)</f>
        <v/>
      </c>
      <c r="CB531" s="128">
        <f>IFERROR(AQ531*$W531,)</f>
        <v/>
      </c>
      <c r="CC531" s="128">
        <f>IFERROR(AR531*$W531,)</f>
        <v/>
      </c>
      <c r="CD531" s="128">
        <f>IFERROR(AS531*$W531,)</f>
        <v/>
      </c>
      <c r="CE531" s="128">
        <f>IFERROR(AT531*$W531,)</f>
        <v/>
      </c>
      <c r="CF531" s="128">
        <f>IFERROR(AU531*$W531,)</f>
        <v/>
      </c>
      <c r="CG531" s="128">
        <f>IFERROR(AV531*$W531,)</f>
        <v/>
      </c>
      <c r="CH531" s="128">
        <f>IFERROR(AW531*$W531,)</f>
        <v/>
      </c>
      <c r="CI531" s="128">
        <f>IFERROR(AX531*$W531,)</f>
        <v/>
      </c>
      <c r="CJ531" s="128">
        <f>IFERROR(AY531*$W531,)</f>
        <v/>
      </c>
      <c r="CK531" s="128">
        <f>IFERROR(AZ531*$W531,)</f>
        <v/>
      </c>
      <c r="CL531" s="129">
        <f>IFERROR(if($Y531=0,BA531*($W531/1.2),BA531*$Y531),"")</f>
        <v/>
      </c>
      <c r="CM531" s="129">
        <f>IFERROR(if($Y531=0,BB531*($W531/1.2),BB531*$Y531),"")</f>
        <v/>
      </c>
      <c r="CN531" s="129">
        <f>IFERROR(if($Y531=0,BC531*($W531/1.2),BC531*$Y531),"")</f>
        <v/>
      </c>
      <c r="CO531" s="130">
        <f>IFERROR(if($AA531=0,($W531/1.35)*BD531,BD531*$AA531),)</f>
        <v/>
      </c>
      <c r="CP531" s="130">
        <f>IFERROR(if($AA531=0,($W531/1.35)*BE531,BE531*$AA531),)</f>
        <v/>
      </c>
      <c r="CQ531" s="130">
        <f>IFERROR(if($AA531=0,($W531/1.35)*BF531,BF531*$AA531),)</f>
        <v/>
      </c>
      <c r="CR531" s="128">
        <f>IFERROR(if($AC531=0,($W531/0.74)*BG531,
BG531*$AC531),)</f>
        <v/>
      </c>
      <c r="CS531" s="128">
        <f>IFERROR(if($AC531=0,($W531/0.74)*BH531,
BH531*$AC531),)</f>
        <v/>
      </c>
      <c r="CT531" s="128">
        <f>IFERROR(if($AC531=0,($W531/0.74)*BI531,
BI531*$AC531),)</f>
        <v/>
      </c>
      <c r="CU531" s="128">
        <f>IFERROR(AI531*$V531,)</f>
        <v/>
      </c>
      <c r="CV531" s="128">
        <f>IFERROR(AJ531*$V531,)</f>
        <v/>
      </c>
      <c r="CW531" s="128">
        <f>IFERROR(AK531*$V531,)</f>
        <v/>
      </c>
      <c r="CX531" s="128">
        <f>IFERROR(AL531*$V531,)</f>
        <v/>
      </c>
      <c r="CY531" s="128">
        <f>IFERROR(AM531*$V531,)</f>
        <v/>
      </c>
      <c r="CZ531" s="128">
        <f>IFERROR(AN531*$V531,)</f>
        <v/>
      </c>
      <c r="DA531" s="128">
        <f>IFERROR(AO531*$V531,)</f>
        <v/>
      </c>
      <c r="DB531" s="128">
        <f>IFERROR(AP531*$V531,)</f>
        <v/>
      </c>
      <c r="DC531" s="128">
        <f>IFERROR(AQ531*$V531,)</f>
        <v/>
      </c>
      <c r="DD531" s="128">
        <f>IFERROR(AR531*$V531,)</f>
        <v/>
      </c>
      <c r="DE531" s="128">
        <f>IFERROR(AS531*$V531,)</f>
        <v/>
      </c>
      <c r="DF531" s="128">
        <f>IFERROR(AT531*$V531,)</f>
        <v/>
      </c>
      <c r="DG531" s="128">
        <f>IFERROR(AU531*$V531,)</f>
        <v/>
      </c>
      <c r="DH531" s="128">
        <f>IFERROR(AV531*$V531,)</f>
        <v/>
      </c>
      <c r="DI531" s="128">
        <f>IFERROR(AW531*$V531,)</f>
        <v/>
      </c>
      <c r="DJ531" s="128">
        <f>IFERROR(AX531*$V531,)</f>
        <v/>
      </c>
      <c r="DK531" s="128">
        <f>IFERROR(AY531*$V531,)</f>
        <v/>
      </c>
      <c r="DL531" s="128">
        <f>IFERROR(AZ531*$V531,)</f>
        <v/>
      </c>
      <c r="DM531" s="129">
        <f>IFERROR(if($X531=0,($V531/1.2)*BA531,
BA531*$X531),)</f>
        <v/>
      </c>
      <c r="DN531" s="129">
        <f>IFERROR(if($X531=0,($V531/1.2)*BB531,
BB531*$X531),)</f>
        <v/>
      </c>
      <c r="DO531" s="129">
        <f>IFERROR(if($X531=0,($V531/1.2)*BC531,
BC531*$X531),)</f>
        <v/>
      </c>
      <c r="DP531" s="130">
        <f>IFERROR(if($Z531=0,($V531/1.35)*BD531,
BD531*$Z531),)</f>
        <v/>
      </c>
      <c r="DQ531" s="130">
        <f>IFERROR(if($Z531=0,($V531/1.35)*BE531,
BE531*$Z531),)</f>
        <v/>
      </c>
      <c r="DR531" s="130">
        <f>IFERROR(if($Z531=0,($V531/1.35)*BF531,
BF531*$Z531),)</f>
        <v/>
      </c>
      <c r="DS531" s="128">
        <f>IFERROR(IF($AB531=0,($V531/0.74)*BG531,
BG531*$AB531),)</f>
        <v/>
      </c>
      <c r="DT531" s="128">
        <f>IFERROR(IF($AB531=0,($V531/0.74)*BH531,
BH531*$AB531),)</f>
        <v/>
      </c>
      <c r="DU531" s="128">
        <f>IFERROR(IF($AB531=0,($V531/0.74)*BI531,
BI531*$AB531),)</f>
        <v/>
      </c>
    </row>
    <row r="532" ht="131.25" customHeight="1" s="162">
      <c r="A532" s="115" t="n"/>
      <c r="B532" s="115" t="n"/>
      <c r="C532" s="115" t="n"/>
      <c r="D532" s="115" t="n"/>
      <c r="E532" s="115" t="n"/>
      <c r="F532" s="115" t="n"/>
      <c r="G532" s="115" t="n"/>
      <c r="H532" s="115" t="n"/>
      <c r="I532" s="115" t="n"/>
      <c r="J532" s="115" t="n"/>
      <c r="K532" s="115" t="n"/>
      <c r="L532" s="115" t="n"/>
      <c r="M532" s="115" t="n"/>
      <c r="N532" s="115" t="n"/>
      <c r="O532" s="115" t="n"/>
      <c r="P532" s="115" t="n"/>
      <c r="Q532" s="115" t="n"/>
      <c r="R532" s="115" t="n"/>
      <c r="S532" s="115" t="n"/>
      <c r="T532" s="115" t="n"/>
      <c r="U532" s="116" t="n"/>
      <c r="V532" s="116" t="n"/>
      <c r="W532" s="117" t="n"/>
      <c r="X532" s="118" t="n"/>
      <c r="Y532" s="119" t="n"/>
      <c r="Z532" s="120" t="n"/>
      <c r="AA532" s="121" t="n"/>
      <c r="AB532" s="122" t="n"/>
      <c r="AC532" s="117" t="n"/>
      <c r="AD532" s="123">
        <f>IF(SUM($AE532:$AH532)=0,"",SUM($AE532:$AH532))</f>
        <v/>
      </c>
      <c r="AE532" s="123">
        <f>iferror(IF(SUM($AI532:$AZ532)=0,"",SUM($AI532:$AZ532)),"")</f>
        <v/>
      </c>
      <c r="AF532" s="123">
        <f>iferror(IF(SUM($BA532:$BC532)=0,"",SUM($BA532:$BC532)),"")</f>
        <v/>
      </c>
      <c r="AG532" s="123">
        <f>iferror(IF(SUM($BD532:$BF532)=0,"",SUM($BD532:$BF532)),"")</f>
        <v/>
      </c>
      <c r="AH532" s="124">
        <f>iferror(IF(SUM($BG532:$BI532)=0,"",SUM($BG532:$BI532)),"")</f>
        <v/>
      </c>
      <c r="AI532" s="131" t="n"/>
      <c r="AJ532" s="132" t="n"/>
      <c r="AK532" s="132" t="n"/>
      <c r="AL532" s="132" t="n"/>
      <c r="AM532" s="132" t="n"/>
      <c r="AN532" s="132" t="n"/>
      <c r="AO532" s="132" t="n"/>
      <c r="AP532" s="132" t="n"/>
      <c r="AQ532" s="132" t="n"/>
      <c r="AR532" s="132" t="n"/>
      <c r="AS532" s="132" t="n"/>
      <c r="AT532" s="132" t="n"/>
      <c r="AU532" s="132" t="n"/>
      <c r="AV532" s="132" t="n"/>
      <c r="AW532" s="132" t="n"/>
      <c r="AX532" s="132" t="n"/>
      <c r="AY532" s="132" t="n"/>
      <c r="AZ532" s="133" t="n"/>
      <c r="BA532" s="131" t="n"/>
      <c r="BB532" s="132" t="n"/>
      <c r="BC532" s="133" t="n"/>
      <c r="BD532" s="131" t="n"/>
      <c r="BE532" s="132" t="n"/>
      <c r="BF532" s="133" t="n"/>
      <c r="BG532" s="131" t="n"/>
      <c r="BH532" s="132" t="n"/>
      <c r="BI532" s="132" t="n"/>
      <c r="BJ532" s="128">
        <f>iferror(SUM($BK532,($BL532*1.2),($BM532*1.35),($BN532*0.74)),)</f>
        <v/>
      </c>
      <c r="BK532" s="128">
        <f>IFERROR(SUM($BT532:$CK532),)</f>
        <v/>
      </c>
      <c r="BL532" s="129">
        <f>IFERROR(SUM($CL532:$CN532),)</f>
        <v/>
      </c>
      <c r="BM532" s="130">
        <f>IFERROR(SUM($CO532:$CQ532),)</f>
        <v/>
      </c>
      <c r="BN532" s="128">
        <f>IFERROR(SUM($CR532:$CT532),)</f>
        <v/>
      </c>
      <c r="BO532" s="128">
        <f>iferror(SUM($BP532,($BQ532*1.2),($BR532*1.35),($BS532*0.74)),)</f>
        <v/>
      </c>
      <c r="BP532" s="128">
        <f>IFERROR(SUM($CU532:$DL532),)</f>
        <v/>
      </c>
      <c r="BQ532" s="128">
        <f>IFERROR(SUM($DM532:$DO532),)</f>
        <v/>
      </c>
      <c r="BR532" s="128">
        <f>IFERROR(SUM($DP532:$DR532),)</f>
        <v/>
      </c>
      <c r="BS532" s="128">
        <f>IFERROR(SUM($DS532:$DU532),)</f>
        <v/>
      </c>
      <c r="BT532" s="128">
        <f>IFERROR(AI532*$W532,)</f>
        <v/>
      </c>
      <c r="BU532" s="128">
        <f>IFERROR(AJ532*$W532,)</f>
        <v/>
      </c>
      <c r="BV532" s="128">
        <f>IFERROR(AK532*$W532,)</f>
        <v/>
      </c>
      <c r="BW532" s="128">
        <f>IFERROR(AL532*$W532,)</f>
        <v/>
      </c>
      <c r="BX532" s="128">
        <f>IFERROR(AM532*$W532,)</f>
        <v/>
      </c>
      <c r="BY532" s="128">
        <f>IFERROR(AN532*$W532,)</f>
        <v/>
      </c>
      <c r="BZ532" s="128">
        <f>IFERROR(AO532*$W532,)</f>
        <v/>
      </c>
      <c r="CA532" s="128">
        <f>IFERROR(AP532*$W532,)</f>
        <v/>
      </c>
      <c r="CB532" s="128">
        <f>IFERROR(AQ532*$W532,)</f>
        <v/>
      </c>
      <c r="CC532" s="128">
        <f>IFERROR(AR532*$W532,)</f>
        <v/>
      </c>
      <c r="CD532" s="128">
        <f>IFERROR(AS532*$W532,)</f>
        <v/>
      </c>
      <c r="CE532" s="128">
        <f>IFERROR(AT532*$W532,)</f>
        <v/>
      </c>
      <c r="CF532" s="128">
        <f>IFERROR(AU532*$W532,)</f>
        <v/>
      </c>
      <c r="CG532" s="128">
        <f>IFERROR(AV532*$W532,)</f>
        <v/>
      </c>
      <c r="CH532" s="128">
        <f>IFERROR(AW532*$W532,)</f>
        <v/>
      </c>
      <c r="CI532" s="128">
        <f>IFERROR(AX532*$W532,)</f>
        <v/>
      </c>
      <c r="CJ532" s="128">
        <f>IFERROR(AY532*$W532,)</f>
        <v/>
      </c>
      <c r="CK532" s="128">
        <f>IFERROR(AZ532*$W532,)</f>
        <v/>
      </c>
      <c r="CL532" s="129">
        <f>IFERROR(if($Y532=0,BA532*($W532/1.2),BA532*$Y532),"")</f>
        <v/>
      </c>
      <c r="CM532" s="129">
        <f>IFERROR(if($Y532=0,BB532*($W532/1.2),BB532*$Y532),"")</f>
        <v/>
      </c>
      <c r="CN532" s="129">
        <f>IFERROR(if($Y532=0,BC532*($W532/1.2),BC532*$Y532),"")</f>
        <v/>
      </c>
      <c r="CO532" s="130">
        <f>IFERROR(if($AA532=0,($W532/1.35)*BD532,BD532*$AA532),)</f>
        <v/>
      </c>
      <c r="CP532" s="130">
        <f>IFERROR(if($AA532=0,($W532/1.35)*BE532,BE532*$AA532),)</f>
        <v/>
      </c>
      <c r="CQ532" s="130">
        <f>IFERROR(if($AA532=0,($W532/1.35)*BF532,BF532*$AA532),)</f>
        <v/>
      </c>
      <c r="CR532" s="128">
        <f>IFERROR(if($AC532=0,($W532/0.74)*BG532,
BG532*$AC532),)</f>
        <v/>
      </c>
      <c r="CS532" s="128">
        <f>IFERROR(if($AC532=0,($W532/0.74)*BH532,
BH532*$AC532),)</f>
        <v/>
      </c>
      <c r="CT532" s="128">
        <f>IFERROR(if($AC532=0,($W532/0.74)*BI532,
BI532*$AC532),)</f>
        <v/>
      </c>
      <c r="CU532" s="128">
        <f>IFERROR(AI532*$V532,)</f>
        <v/>
      </c>
      <c r="CV532" s="128">
        <f>IFERROR(AJ532*$V532,)</f>
        <v/>
      </c>
      <c r="CW532" s="128">
        <f>IFERROR(AK532*$V532,)</f>
        <v/>
      </c>
      <c r="CX532" s="128">
        <f>IFERROR(AL532*$V532,)</f>
        <v/>
      </c>
      <c r="CY532" s="128">
        <f>IFERROR(AM532*$V532,)</f>
        <v/>
      </c>
      <c r="CZ532" s="128">
        <f>IFERROR(AN532*$V532,)</f>
        <v/>
      </c>
      <c r="DA532" s="128">
        <f>IFERROR(AO532*$V532,)</f>
        <v/>
      </c>
      <c r="DB532" s="128">
        <f>IFERROR(AP532*$V532,)</f>
        <v/>
      </c>
      <c r="DC532" s="128">
        <f>IFERROR(AQ532*$V532,)</f>
        <v/>
      </c>
      <c r="DD532" s="128">
        <f>IFERROR(AR532*$V532,)</f>
        <v/>
      </c>
      <c r="DE532" s="128">
        <f>IFERROR(AS532*$V532,)</f>
        <v/>
      </c>
      <c r="DF532" s="128">
        <f>IFERROR(AT532*$V532,)</f>
        <v/>
      </c>
      <c r="DG532" s="128">
        <f>IFERROR(AU532*$V532,)</f>
        <v/>
      </c>
      <c r="DH532" s="128">
        <f>IFERROR(AV532*$V532,)</f>
        <v/>
      </c>
      <c r="DI532" s="128">
        <f>IFERROR(AW532*$V532,)</f>
        <v/>
      </c>
      <c r="DJ532" s="128">
        <f>IFERROR(AX532*$V532,)</f>
        <v/>
      </c>
      <c r="DK532" s="128">
        <f>IFERROR(AY532*$V532,)</f>
        <v/>
      </c>
      <c r="DL532" s="128">
        <f>IFERROR(AZ532*$V532,)</f>
        <v/>
      </c>
      <c r="DM532" s="129">
        <f>IFERROR(if($X532=0,($V532/1.2)*BA532,
BA532*$X532),)</f>
        <v/>
      </c>
      <c r="DN532" s="129">
        <f>IFERROR(if($X532=0,($V532/1.2)*BB532,
BB532*$X532),)</f>
        <v/>
      </c>
      <c r="DO532" s="129">
        <f>IFERROR(if($X532=0,($V532/1.2)*BC532,
BC532*$X532),)</f>
        <v/>
      </c>
      <c r="DP532" s="130">
        <f>IFERROR(if($Z532=0,($V532/1.35)*BD532,
BD532*$Z532),)</f>
        <v/>
      </c>
      <c r="DQ532" s="130">
        <f>IFERROR(if($Z532=0,($V532/1.35)*BE532,
BE532*$Z532),)</f>
        <v/>
      </c>
      <c r="DR532" s="130">
        <f>IFERROR(if($Z532=0,($V532/1.35)*BF532,
BF532*$Z532),)</f>
        <v/>
      </c>
      <c r="DS532" s="128">
        <f>IFERROR(IF($AB532=0,($V532/0.74)*BG532,
BG532*$AB532),)</f>
        <v/>
      </c>
      <c r="DT532" s="128">
        <f>IFERROR(IF($AB532=0,($V532/0.74)*BH532,
BH532*$AB532),)</f>
        <v/>
      </c>
      <c r="DU532" s="128">
        <f>IFERROR(IF($AB532=0,($V532/0.74)*BI532,
BI532*$AB532),)</f>
        <v/>
      </c>
    </row>
    <row r="533" ht="131.25" customHeight="1" s="162">
      <c r="A533" s="115" t="n"/>
      <c r="B533" s="115" t="n"/>
      <c r="C533" s="115" t="n"/>
      <c r="D533" s="115" t="n"/>
      <c r="E533" s="115" t="n"/>
      <c r="F533" s="115" t="n"/>
      <c r="G533" s="115" t="n"/>
      <c r="H533" s="115" t="n"/>
      <c r="I533" s="115" t="n"/>
      <c r="J533" s="115" t="n"/>
      <c r="K533" s="115" t="n"/>
      <c r="L533" s="115" t="n"/>
      <c r="M533" s="115" t="n"/>
      <c r="N533" s="115" t="n"/>
      <c r="O533" s="115" t="n"/>
      <c r="P533" s="115" t="n"/>
      <c r="Q533" s="115" t="n"/>
      <c r="R533" s="115" t="n"/>
      <c r="S533" s="115" t="n"/>
      <c r="T533" s="115" t="n"/>
      <c r="U533" s="116" t="n"/>
      <c r="V533" s="116" t="n"/>
      <c r="W533" s="117" t="n"/>
      <c r="X533" s="118" t="n"/>
      <c r="Y533" s="119" t="n"/>
      <c r="Z533" s="120" t="n"/>
      <c r="AA533" s="121" t="n"/>
      <c r="AB533" s="122" t="n"/>
      <c r="AC533" s="117" t="n"/>
      <c r="AD533" s="123">
        <f>IF(SUM($AE533:$AH533)=0,"",SUM($AE533:$AH533))</f>
        <v/>
      </c>
      <c r="AE533" s="123">
        <f>iferror(IF(SUM($AI533:$AZ533)=0,"",SUM($AI533:$AZ533)),"")</f>
        <v/>
      </c>
      <c r="AF533" s="123">
        <f>iferror(IF(SUM($BA533:$BC533)=0,"",SUM($BA533:$BC533)),"")</f>
        <v/>
      </c>
      <c r="AG533" s="123">
        <f>iferror(IF(SUM($BD533:$BF533)=0,"",SUM($BD533:$BF533)),"")</f>
        <v/>
      </c>
      <c r="AH533" s="124">
        <f>iferror(IF(SUM($BG533:$BI533)=0,"",SUM($BG533:$BI533)),"")</f>
        <v/>
      </c>
      <c r="AI533" s="131" t="n"/>
      <c r="AJ533" s="132" t="n"/>
      <c r="AK533" s="132" t="n"/>
      <c r="AL533" s="132" t="n"/>
      <c r="AM533" s="132" t="n"/>
      <c r="AN533" s="132" t="n"/>
      <c r="AO533" s="132" t="n"/>
      <c r="AP533" s="132" t="n"/>
      <c r="AQ533" s="132" t="n"/>
      <c r="AR533" s="132" t="n"/>
      <c r="AS533" s="132" t="n"/>
      <c r="AT533" s="132" t="n"/>
      <c r="AU533" s="132" t="n"/>
      <c r="AV533" s="132" t="n"/>
      <c r="AW533" s="132" t="n"/>
      <c r="AX533" s="132" t="n"/>
      <c r="AY533" s="132" t="n"/>
      <c r="AZ533" s="133" t="n"/>
      <c r="BA533" s="131" t="n"/>
      <c r="BB533" s="132" t="n"/>
      <c r="BC533" s="133" t="n"/>
      <c r="BD533" s="131" t="n"/>
      <c r="BE533" s="132" t="n"/>
      <c r="BF533" s="133" t="n"/>
      <c r="BG533" s="131" t="n"/>
      <c r="BH533" s="132" t="n"/>
      <c r="BI533" s="132" t="n"/>
      <c r="BJ533" s="128">
        <f>iferror(SUM($BK533,($BL533*1.2),($BM533*1.35),($BN533*0.74)),)</f>
        <v/>
      </c>
      <c r="BK533" s="128">
        <f>IFERROR(SUM($BT533:$CK533),)</f>
        <v/>
      </c>
      <c r="BL533" s="129">
        <f>IFERROR(SUM($CL533:$CN533),)</f>
        <v/>
      </c>
      <c r="BM533" s="130">
        <f>IFERROR(SUM($CO533:$CQ533),)</f>
        <v/>
      </c>
      <c r="BN533" s="128">
        <f>IFERROR(SUM($CR533:$CT533),)</f>
        <v/>
      </c>
      <c r="BO533" s="128">
        <f>iferror(SUM($BP533,($BQ533*1.2),($BR533*1.35),($BS533*0.74)),)</f>
        <v/>
      </c>
      <c r="BP533" s="128">
        <f>IFERROR(SUM($CU533:$DL533),)</f>
        <v/>
      </c>
      <c r="BQ533" s="128">
        <f>IFERROR(SUM($DM533:$DO533),)</f>
        <v/>
      </c>
      <c r="BR533" s="128">
        <f>IFERROR(SUM($DP533:$DR533),)</f>
        <v/>
      </c>
      <c r="BS533" s="128">
        <f>IFERROR(SUM($DS533:$DU533),)</f>
        <v/>
      </c>
      <c r="BT533" s="128">
        <f>IFERROR(AI533*$W533,)</f>
        <v/>
      </c>
      <c r="BU533" s="128">
        <f>IFERROR(AJ533*$W533,)</f>
        <v/>
      </c>
      <c r="BV533" s="128">
        <f>IFERROR(AK533*$W533,)</f>
        <v/>
      </c>
      <c r="BW533" s="128">
        <f>IFERROR(AL533*$W533,)</f>
        <v/>
      </c>
      <c r="BX533" s="128">
        <f>IFERROR(AM533*$W533,)</f>
        <v/>
      </c>
      <c r="BY533" s="128">
        <f>IFERROR(AN533*$W533,)</f>
        <v/>
      </c>
      <c r="BZ533" s="128">
        <f>IFERROR(AO533*$W533,)</f>
        <v/>
      </c>
      <c r="CA533" s="128">
        <f>IFERROR(AP533*$W533,)</f>
        <v/>
      </c>
      <c r="CB533" s="128">
        <f>IFERROR(AQ533*$W533,)</f>
        <v/>
      </c>
      <c r="CC533" s="128">
        <f>IFERROR(AR533*$W533,)</f>
        <v/>
      </c>
      <c r="CD533" s="128">
        <f>IFERROR(AS533*$W533,)</f>
        <v/>
      </c>
      <c r="CE533" s="128">
        <f>IFERROR(AT533*$W533,)</f>
        <v/>
      </c>
      <c r="CF533" s="128">
        <f>IFERROR(AU533*$W533,)</f>
        <v/>
      </c>
      <c r="CG533" s="128">
        <f>IFERROR(AV533*$W533,)</f>
        <v/>
      </c>
      <c r="CH533" s="128">
        <f>IFERROR(AW533*$W533,)</f>
        <v/>
      </c>
      <c r="CI533" s="128">
        <f>IFERROR(AX533*$W533,)</f>
        <v/>
      </c>
      <c r="CJ533" s="128">
        <f>IFERROR(AY533*$W533,)</f>
        <v/>
      </c>
      <c r="CK533" s="128">
        <f>IFERROR(AZ533*$W533,)</f>
        <v/>
      </c>
      <c r="CL533" s="129">
        <f>IFERROR(if($Y533=0,BA533*($W533/1.2),BA533*$Y533),"")</f>
        <v/>
      </c>
      <c r="CM533" s="129">
        <f>IFERROR(if($Y533=0,BB533*($W533/1.2),BB533*$Y533),"")</f>
        <v/>
      </c>
      <c r="CN533" s="129">
        <f>IFERROR(if($Y533=0,BC533*($W533/1.2),BC533*$Y533),"")</f>
        <v/>
      </c>
      <c r="CO533" s="130">
        <f>IFERROR(if($AA533=0,($W533/1.35)*BD533,BD533*$AA533),)</f>
        <v/>
      </c>
      <c r="CP533" s="130">
        <f>IFERROR(if($AA533=0,($W533/1.35)*BE533,BE533*$AA533),)</f>
        <v/>
      </c>
      <c r="CQ533" s="130">
        <f>IFERROR(if($AA533=0,($W533/1.35)*BF533,BF533*$AA533),)</f>
        <v/>
      </c>
      <c r="CR533" s="128">
        <f>IFERROR(if($AC533=0,($W533/0.74)*BG533,
BG533*$AC533),)</f>
        <v/>
      </c>
      <c r="CS533" s="128">
        <f>IFERROR(if($AC533=0,($W533/0.74)*BH533,
BH533*$AC533),)</f>
        <v/>
      </c>
      <c r="CT533" s="128">
        <f>IFERROR(if($AC533=0,($W533/0.74)*BI533,
BI533*$AC533),)</f>
        <v/>
      </c>
      <c r="CU533" s="128">
        <f>IFERROR(AI533*$V533,)</f>
        <v/>
      </c>
      <c r="CV533" s="128">
        <f>IFERROR(AJ533*$V533,)</f>
        <v/>
      </c>
      <c r="CW533" s="128">
        <f>IFERROR(AK533*$V533,)</f>
        <v/>
      </c>
      <c r="CX533" s="128">
        <f>IFERROR(AL533*$V533,)</f>
        <v/>
      </c>
      <c r="CY533" s="128">
        <f>IFERROR(AM533*$V533,)</f>
        <v/>
      </c>
      <c r="CZ533" s="128">
        <f>IFERROR(AN533*$V533,)</f>
        <v/>
      </c>
      <c r="DA533" s="128">
        <f>IFERROR(AO533*$V533,)</f>
        <v/>
      </c>
      <c r="DB533" s="128">
        <f>IFERROR(AP533*$V533,)</f>
        <v/>
      </c>
      <c r="DC533" s="128">
        <f>IFERROR(AQ533*$V533,)</f>
        <v/>
      </c>
      <c r="DD533" s="128">
        <f>IFERROR(AR533*$V533,)</f>
        <v/>
      </c>
      <c r="DE533" s="128">
        <f>IFERROR(AS533*$V533,)</f>
        <v/>
      </c>
      <c r="DF533" s="128">
        <f>IFERROR(AT533*$V533,)</f>
        <v/>
      </c>
      <c r="DG533" s="128">
        <f>IFERROR(AU533*$V533,)</f>
        <v/>
      </c>
      <c r="DH533" s="128">
        <f>IFERROR(AV533*$V533,)</f>
        <v/>
      </c>
      <c r="DI533" s="128">
        <f>IFERROR(AW533*$V533,)</f>
        <v/>
      </c>
      <c r="DJ533" s="128">
        <f>IFERROR(AX533*$V533,)</f>
        <v/>
      </c>
      <c r="DK533" s="128">
        <f>IFERROR(AY533*$V533,)</f>
        <v/>
      </c>
      <c r="DL533" s="128">
        <f>IFERROR(AZ533*$V533,)</f>
        <v/>
      </c>
      <c r="DM533" s="129">
        <f>IFERROR(if($X533=0,($V533/1.2)*BA533,
BA533*$X533),)</f>
        <v/>
      </c>
      <c r="DN533" s="129">
        <f>IFERROR(if($X533=0,($V533/1.2)*BB533,
BB533*$X533),)</f>
        <v/>
      </c>
      <c r="DO533" s="129">
        <f>IFERROR(if($X533=0,($V533/1.2)*BC533,
BC533*$X533),)</f>
        <v/>
      </c>
      <c r="DP533" s="130">
        <f>IFERROR(if($Z533=0,($V533/1.35)*BD533,
BD533*$Z533),)</f>
        <v/>
      </c>
      <c r="DQ533" s="130">
        <f>IFERROR(if($Z533=0,($V533/1.35)*BE533,
BE533*$Z533),)</f>
        <v/>
      </c>
      <c r="DR533" s="130">
        <f>IFERROR(if($Z533=0,($V533/1.35)*BF533,
BF533*$Z533),)</f>
        <v/>
      </c>
      <c r="DS533" s="128">
        <f>IFERROR(IF($AB533=0,($V533/0.74)*BG533,
BG533*$AB533),)</f>
        <v/>
      </c>
      <c r="DT533" s="128">
        <f>IFERROR(IF($AB533=0,($V533/0.74)*BH533,
BH533*$AB533),)</f>
        <v/>
      </c>
      <c r="DU533" s="128">
        <f>IFERROR(IF($AB533=0,($V533/0.74)*BI533,
BI533*$AB533),)</f>
        <v/>
      </c>
    </row>
    <row r="534" ht="131.25" customHeight="1" s="162">
      <c r="A534" s="115" t="n"/>
      <c r="B534" s="115" t="n"/>
      <c r="C534" s="115" t="n"/>
      <c r="D534" s="115" t="n"/>
      <c r="E534" s="115" t="n"/>
      <c r="F534" s="115" t="n"/>
      <c r="G534" s="115" t="n"/>
      <c r="H534" s="115" t="n"/>
      <c r="I534" s="115" t="n"/>
      <c r="J534" s="115" t="n"/>
      <c r="K534" s="115" t="n"/>
      <c r="L534" s="115" t="n"/>
      <c r="M534" s="115" t="n"/>
      <c r="N534" s="115" t="n"/>
      <c r="O534" s="115" t="n"/>
      <c r="P534" s="115" t="n"/>
      <c r="Q534" s="115" t="n"/>
      <c r="R534" s="115" t="n"/>
      <c r="S534" s="115" t="n"/>
      <c r="T534" s="115" t="n"/>
      <c r="U534" s="116" t="n"/>
      <c r="V534" s="116" t="n"/>
      <c r="W534" s="117" t="n"/>
      <c r="X534" s="118" t="n"/>
      <c r="Y534" s="119" t="n"/>
      <c r="Z534" s="120" t="n"/>
      <c r="AA534" s="121" t="n"/>
      <c r="AB534" s="122" t="n"/>
      <c r="AC534" s="117" t="n"/>
      <c r="AD534" s="123">
        <f>IF(SUM($AE534:$AH534)=0,"",SUM($AE534:$AH534))</f>
        <v/>
      </c>
      <c r="AE534" s="123">
        <f>iferror(IF(SUM($AI534:$AZ534)=0,"",SUM($AI534:$AZ534)),"")</f>
        <v/>
      </c>
      <c r="AF534" s="123">
        <f>iferror(IF(SUM($BA534:$BC534)=0,"",SUM($BA534:$BC534)),"")</f>
        <v/>
      </c>
      <c r="AG534" s="123">
        <f>iferror(IF(SUM($BD534:$BF534)=0,"",SUM($BD534:$BF534)),"")</f>
        <v/>
      </c>
      <c r="AH534" s="124">
        <f>iferror(IF(SUM($BG534:$BI534)=0,"",SUM($BG534:$BI534)),"")</f>
        <v/>
      </c>
      <c r="AI534" s="131" t="n"/>
      <c r="AJ534" s="132" t="n"/>
      <c r="AK534" s="132" t="n"/>
      <c r="AL534" s="132" t="n"/>
      <c r="AM534" s="132" t="n"/>
      <c r="AN534" s="132" t="n"/>
      <c r="AO534" s="132" t="n"/>
      <c r="AP534" s="132" t="n"/>
      <c r="AQ534" s="132" t="n"/>
      <c r="AR534" s="132" t="n"/>
      <c r="AS534" s="132" t="n"/>
      <c r="AT534" s="132" t="n"/>
      <c r="AU534" s="132" t="n"/>
      <c r="AV534" s="132" t="n"/>
      <c r="AW534" s="132" t="n"/>
      <c r="AX534" s="132" t="n"/>
      <c r="AY534" s="132" t="n"/>
      <c r="AZ534" s="133" t="n"/>
      <c r="BA534" s="131" t="n"/>
      <c r="BB534" s="132" t="n"/>
      <c r="BC534" s="133" t="n"/>
      <c r="BD534" s="131" t="n"/>
      <c r="BE534" s="132" t="n"/>
      <c r="BF534" s="133" t="n"/>
      <c r="BG534" s="131" t="n"/>
      <c r="BH534" s="132" t="n"/>
      <c r="BI534" s="132" t="n"/>
      <c r="BJ534" s="128">
        <f>iferror(SUM($BK534,($BL534*1.2),($BM534*1.35),($BN534*0.74)),)</f>
        <v/>
      </c>
      <c r="BK534" s="128">
        <f>IFERROR(SUM($BT534:$CK534),)</f>
        <v/>
      </c>
      <c r="BL534" s="129">
        <f>IFERROR(SUM($CL534:$CN534),)</f>
        <v/>
      </c>
      <c r="BM534" s="130">
        <f>IFERROR(SUM($CO534:$CQ534),)</f>
        <v/>
      </c>
      <c r="BN534" s="128">
        <f>IFERROR(SUM($CR534:$CT534),)</f>
        <v/>
      </c>
      <c r="BO534" s="128">
        <f>iferror(SUM($BP534,($BQ534*1.2),($BR534*1.35),($BS534*0.74)),)</f>
        <v/>
      </c>
      <c r="BP534" s="128">
        <f>IFERROR(SUM($CU534:$DL534),)</f>
        <v/>
      </c>
      <c r="BQ534" s="128">
        <f>IFERROR(SUM($DM534:$DO534),)</f>
        <v/>
      </c>
      <c r="BR534" s="128">
        <f>IFERROR(SUM($DP534:$DR534),)</f>
        <v/>
      </c>
      <c r="BS534" s="128">
        <f>IFERROR(SUM($DS534:$DU534),)</f>
        <v/>
      </c>
      <c r="BT534" s="128">
        <f>IFERROR(AI534*$W534,)</f>
        <v/>
      </c>
      <c r="BU534" s="128">
        <f>IFERROR(AJ534*$W534,)</f>
        <v/>
      </c>
      <c r="BV534" s="128">
        <f>IFERROR(AK534*$W534,)</f>
        <v/>
      </c>
      <c r="BW534" s="128">
        <f>IFERROR(AL534*$W534,)</f>
        <v/>
      </c>
      <c r="BX534" s="128">
        <f>IFERROR(AM534*$W534,)</f>
        <v/>
      </c>
      <c r="BY534" s="128">
        <f>IFERROR(AN534*$W534,)</f>
        <v/>
      </c>
      <c r="BZ534" s="128">
        <f>IFERROR(AO534*$W534,)</f>
        <v/>
      </c>
      <c r="CA534" s="128">
        <f>IFERROR(AP534*$W534,)</f>
        <v/>
      </c>
      <c r="CB534" s="128">
        <f>IFERROR(AQ534*$W534,)</f>
        <v/>
      </c>
      <c r="CC534" s="128">
        <f>IFERROR(AR534*$W534,)</f>
        <v/>
      </c>
      <c r="CD534" s="128">
        <f>IFERROR(AS534*$W534,)</f>
        <v/>
      </c>
      <c r="CE534" s="128">
        <f>IFERROR(AT534*$W534,)</f>
        <v/>
      </c>
      <c r="CF534" s="128">
        <f>IFERROR(AU534*$W534,)</f>
        <v/>
      </c>
      <c r="CG534" s="128">
        <f>IFERROR(AV534*$W534,)</f>
        <v/>
      </c>
      <c r="CH534" s="128">
        <f>IFERROR(AW534*$W534,)</f>
        <v/>
      </c>
      <c r="CI534" s="128">
        <f>IFERROR(AX534*$W534,)</f>
        <v/>
      </c>
      <c r="CJ534" s="128">
        <f>IFERROR(AY534*$W534,)</f>
        <v/>
      </c>
      <c r="CK534" s="128">
        <f>IFERROR(AZ534*$W534,)</f>
        <v/>
      </c>
      <c r="CL534" s="129">
        <f>IFERROR(if($Y534=0,BA534*($W534/1.2),BA534*$Y534),"")</f>
        <v/>
      </c>
      <c r="CM534" s="129">
        <f>IFERROR(if($Y534=0,BB534*($W534/1.2),BB534*$Y534),"")</f>
        <v/>
      </c>
      <c r="CN534" s="129">
        <f>IFERROR(if($Y534=0,BC534*($W534/1.2),BC534*$Y534),"")</f>
        <v/>
      </c>
      <c r="CO534" s="130">
        <f>IFERROR(if($AA534=0,($W534/1.35)*BD534,BD534*$AA534),)</f>
        <v/>
      </c>
      <c r="CP534" s="130">
        <f>IFERROR(if($AA534=0,($W534/1.35)*BE534,BE534*$AA534),)</f>
        <v/>
      </c>
      <c r="CQ534" s="130">
        <f>IFERROR(if($AA534=0,($W534/1.35)*BF534,BF534*$AA534),)</f>
        <v/>
      </c>
      <c r="CR534" s="128">
        <f>IFERROR(if($AC534=0,($W534/0.74)*BG534,
BG534*$AC534),)</f>
        <v/>
      </c>
      <c r="CS534" s="128">
        <f>IFERROR(if($AC534=0,($W534/0.74)*BH534,
BH534*$AC534),)</f>
        <v/>
      </c>
      <c r="CT534" s="128">
        <f>IFERROR(if($AC534=0,($W534/0.74)*BI534,
BI534*$AC534),)</f>
        <v/>
      </c>
      <c r="CU534" s="128">
        <f>IFERROR(AI534*$V534,)</f>
        <v/>
      </c>
      <c r="CV534" s="128">
        <f>IFERROR(AJ534*$V534,)</f>
        <v/>
      </c>
      <c r="CW534" s="128">
        <f>IFERROR(AK534*$V534,)</f>
        <v/>
      </c>
      <c r="CX534" s="128">
        <f>IFERROR(AL534*$V534,)</f>
        <v/>
      </c>
      <c r="CY534" s="128">
        <f>IFERROR(AM534*$V534,)</f>
        <v/>
      </c>
      <c r="CZ534" s="128">
        <f>IFERROR(AN534*$V534,)</f>
        <v/>
      </c>
      <c r="DA534" s="128">
        <f>IFERROR(AO534*$V534,)</f>
        <v/>
      </c>
      <c r="DB534" s="128">
        <f>IFERROR(AP534*$V534,)</f>
        <v/>
      </c>
      <c r="DC534" s="128">
        <f>IFERROR(AQ534*$V534,)</f>
        <v/>
      </c>
      <c r="DD534" s="128">
        <f>IFERROR(AR534*$V534,)</f>
        <v/>
      </c>
      <c r="DE534" s="128">
        <f>IFERROR(AS534*$V534,)</f>
        <v/>
      </c>
      <c r="DF534" s="128">
        <f>IFERROR(AT534*$V534,)</f>
        <v/>
      </c>
      <c r="DG534" s="128">
        <f>IFERROR(AU534*$V534,)</f>
        <v/>
      </c>
      <c r="DH534" s="128">
        <f>IFERROR(AV534*$V534,)</f>
        <v/>
      </c>
      <c r="DI534" s="128">
        <f>IFERROR(AW534*$V534,)</f>
        <v/>
      </c>
      <c r="DJ534" s="128">
        <f>IFERROR(AX534*$V534,)</f>
        <v/>
      </c>
      <c r="DK534" s="128">
        <f>IFERROR(AY534*$V534,)</f>
        <v/>
      </c>
      <c r="DL534" s="128">
        <f>IFERROR(AZ534*$V534,)</f>
        <v/>
      </c>
      <c r="DM534" s="129">
        <f>IFERROR(if($X534=0,($V534/1.2)*BA534,
BA534*$X534),)</f>
        <v/>
      </c>
      <c r="DN534" s="129">
        <f>IFERROR(if($X534=0,($V534/1.2)*BB534,
BB534*$X534),)</f>
        <v/>
      </c>
      <c r="DO534" s="129">
        <f>IFERROR(if($X534=0,($V534/1.2)*BC534,
BC534*$X534),)</f>
        <v/>
      </c>
      <c r="DP534" s="130">
        <f>IFERROR(if($Z534=0,($V534/1.35)*BD534,
BD534*$Z534),)</f>
        <v/>
      </c>
      <c r="DQ534" s="130">
        <f>IFERROR(if($Z534=0,($V534/1.35)*BE534,
BE534*$Z534),)</f>
        <v/>
      </c>
      <c r="DR534" s="130">
        <f>IFERROR(if($Z534=0,($V534/1.35)*BF534,
BF534*$Z534),)</f>
        <v/>
      </c>
      <c r="DS534" s="128">
        <f>IFERROR(IF($AB534=0,($V534/0.74)*BG534,
BG534*$AB534),)</f>
        <v/>
      </c>
      <c r="DT534" s="128">
        <f>IFERROR(IF($AB534=0,($V534/0.74)*BH534,
BH534*$AB534),)</f>
        <v/>
      </c>
      <c r="DU534" s="128">
        <f>IFERROR(IF($AB534=0,($V534/0.74)*BI534,
BI534*$AB534),)</f>
        <v/>
      </c>
    </row>
    <row r="535" ht="131.25" customHeight="1" s="162">
      <c r="A535" s="115" t="n"/>
      <c r="B535" s="115" t="n"/>
      <c r="C535" s="115" t="n"/>
      <c r="D535" s="115" t="n"/>
      <c r="E535" s="115" t="n"/>
      <c r="F535" s="115" t="n"/>
      <c r="G535" s="115" t="n"/>
      <c r="H535" s="115" t="n"/>
      <c r="I535" s="115" t="n"/>
      <c r="J535" s="115" t="n"/>
      <c r="K535" s="115" t="n"/>
      <c r="L535" s="115" t="n"/>
      <c r="M535" s="115" t="n"/>
      <c r="N535" s="115" t="n"/>
      <c r="O535" s="115" t="n"/>
      <c r="P535" s="115" t="n"/>
      <c r="Q535" s="115" t="n"/>
      <c r="R535" s="115" t="n"/>
      <c r="S535" s="115" t="n"/>
      <c r="T535" s="115" t="n"/>
      <c r="U535" s="116" t="n"/>
      <c r="V535" s="116" t="n"/>
      <c r="W535" s="117" t="n"/>
      <c r="X535" s="118" t="n"/>
      <c r="Y535" s="119" t="n"/>
      <c r="Z535" s="120" t="n"/>
      <c r="AA535" s="121" t="n"/>
      <c r="AB535" s="122" t="n"/>
      <c r="AC535" s="117" t="n"/>
      <c r="AD535" s="123">
        <f>IF(SUM($AE535:$AH535)=0,"",SUM($AE535:$AH535))</f>
        <v/>
      </c>
      <c r="AE535" s="123">
        <f>iferror(IF(SUM($AI535:$AZ535)=0,"",SUM($AI535:$AZ535)),"")</f>
        <v/>
      </c>
      <c r="AF535" s="123">
        <f>iferror(IF(SUM($BA535:$BC535)=0,"",SUM($BA535:$BC535)),"")</f>
        <v/>
      </c>
      <c r="AG535" s="123">
        <f>iferror(IF(SUM($BD535:$BF535)=0,"",SUM($BD535:$BF535)),"")</f>
        <v/>
      </c>
      <c r="AH535" s="124">
        <f>iferror(IF(SUM($BG535:$BI535)=0,"",SUM($BG535:$BI535)),"")</f>
        <v/>
      </c>
      <c r="AI535" s="131" t="n"/>
      <c r="AJ535" s="132" t="n"/>
      <c r="AK535" s="132" t="n"/>
      <c r="AL535" s="132" t="n"/>
      <c r="AM535" s="132" t="n"/>
      <c r="AN535" s="132" t="n"/>
      <c r="AO535" s="132" t="n"/>
      <c r="AP535" s="132" t="n"/>
      <c r="AQ535" s="132" t="n"/>
      <c r="AR535" s="132" t="n"/>
      <c r="AS535" s="132" t="n"/>
      <c r="AT535" s="132" t="n"/>
      <c r="AU535" s="132" t="n"/>
      <c r="AV535" s="132" t="n"/>
      <c r="AW535" s="132" t="n"/>
      <c r="AX535" s="132" t="n"/>
      <c r="AY535" s="132" t="n"/>
      <c r="AZ535" s="133" t="n"/>
      <c r="BA535" s="131" t="n"/>
      <c r="BB535" s="132" t="n"/>
      <c r="BC535" s="133" t="n"/>
      <c r="BD535" s="131" t="n"/>
      <c r="BE535" s="132" t="n"/>
      <c r="BF535" s="133" t="n"/>
      <c r="BG535" s="131" t="n"/>
      <c r="BH535" s="132" t="n"/>
      <c r="BI535" s="132" t="n"/>
      <c r="BJ535" s="128">
        <f>iferror(SUM($BK535,($BL535*1.2),($BM535*1.35),($BN535*0.74)),)</f>
        <v/>
      </c>
      <c r="BK535" s="128">
        <f>IFERROR(SUM($BT535:$CK535),)</f>
        <v/>
      </c>
      <c r="BL535" s="129">
        <f>IFERROR(SUM($CL535:$CN535),)</f>
        <v/>
      </c>
      <c r="BM535" s="130">
        <f>IFERROR(SUM($CO535:$CQ535),)</f>
        <v/>
      </c>
      <c r="BN535" s="128">
        <f>IFERROR(SUM($CR535:$CT535),)</f>
        <v/>
      </c>
      <c r="BO535" s="128">
        <f>iferror(SUM($BP535,($BQ535*1.2),($BR535*1.35),($BS535*0.74)),)</f>
        <v/>
      </c>
      <c r="BP535" s="128">
        <f>IFERROR(SUM($CU535:$DL535),)</f>
        <v/>
      </c>
      <c r="BQ535" s="128">
        <f>IFERROR(SUM($DM535:$DO535),)</f>
        <v/>
      </c>
      <c r="BR535" s="128">
        <f>IFERROR(SUM($DP535:$DR535),)</f>
        <v/>
      </c>
      <c r="BS535" s="128">
        <f>IFERROR(SUM($DS535:$DU535),)</f>
        <v/>
      </c>
      <c r="BT535" s="128">
        <f>IFERROR(AI535*$W535,)</f>
        <v/>
      </c>
      <c r="BU535" s="128">
        <f>IFERROR(AJ535*$W535,)</f>
        <v/>
      </c>
      <c r="BV535" s="128">
        <f>IFERROR(AK535*$W535,)</f>
        <v/>
      </c>
      <c r="BW535" s="128">
        <f>IFERROR(AL535*$W535,)</f>
        <v/>
      </c>
      <c r="BX535" s="128">
        <f>IFERROR(AM535*$W535,)</f>
        <v/>
      </c>
      <c r="BY535" s="128">
        <f>IFERROR(AN535*$W535,)</f>
        <v/>
      </c>
      <c r="BZ535" s="128">
        <f>IFERROR(AO535*$W535,)</f>
        <v/>
      </c>
      <c r="CA535" s="128">
        <f>IFERROR(AP535*$W535,)</f>
        <v/>
      </c>
      <c r="CB535" s="128">
        <f>IFERROR(AQ535*$W535,)</f>
        <v/>
      </c>
      <c r="CC535" s="128">
        <f>IFERROR(AR535*$W535,)</f>
        <v/>
      </c>
      <c r="CD535" s="128">
        <f>IFERROR(AS535*$W535,)</f>
        <v/>
      </c>
      <c r="CE535" s="128">
        <f>IFERROR(AT535*$W535,)</f>
        <v/>
      </c>
      <c r="CF535" s="128">
        <f>IFERROR(AU535*$W535,)</f>
        <v/>
      </c>
      <c r="CG535" s="128">
        <f>IFERROR(AV535*$W535,)</f>
        <v/>
      </c>
      <c r="CH535" s="128">
        <f>IFERROR(AW535*$W535,)</f>
        <v/>
      </c>
      <c r="CI535" s="128">
        <f>IFERROR(AX535*$W535,)</f>
        <v/>
      </c>
      <c r="CJ535" s="128">
        <f>IFERROR(AY535*$W535,)</f>
        <v/>
      </c>
      <c r="CK535" s="128">
        <f>IFERROR(AZ535*$W535,)</f>
        <v/>
      </c>
      <c r="CL535" s="129">
        <f>IFERROR(if($Y535=0,BA535*($W535/1.2),BA535*$Y535),"")</f>
        <v/>
      </c>
      <c r="CM535" s="129">
        <f>IFERROR(if($Y535=0,BB535*($W535/1.2),BB535*$Y535),"")</f>
        <v/>
      </c>
      <c r="CN535" s="129">
        <f>IFERROR(if($Y535=0,BC535*($W535/1.2),BC535*$Y535),"")</f>
        <v/>
      </c>
      <c r="CO535" s="130">
        <f>IFERROR(if($AA535=0,($W535/1.35)*BD535,BD535*$AA535),)</f>
        <v/>
      </c>
      <c r="CP535" s="130">
        <f>IFERROR(if($AA535=0,($W535/1.35)*BE535,BE535*$AA535),)</f>
        <v/>
      </c>
      <c r="CQ535" s="130">
        <f>IFERROR(if($AA535=0,($W535/1.35)*BF535,BF535*$AA535),)</f>
        <v/>
      </c>
      <c r="CR535" s="128">
        <f>IFERROR(if($AC535=0,($W535/0.74)*BG535,
BG535*$AC535),)</f>
        <v/>
      </c>
      <c r="CS535" s="128">
        <f>IFERROR(if($AC535=0,($W535/0.74)*BH535,
BH535*$AC535),)</f>
        <v/>
      </c>
      <c r="CT535" s="128">
        <f>IFERROR(if($AC535=0,($W535/0.74)*BI535,
BI535*$AC535),)</f>
        <v/>
      </c>
      <c r="CU535" s="128">
        <f>IFERROR(AI535*$V535,)</f>
        <v/>
      </c>
      <c r="CV535" s="128">
        <f>IFERROR(AJ535*$V535,)</f>
        <v/>
      </c>
      <c r="CW535" s="128">
        <f>IFERROR(AK535*$V535,)</f>
        <v/>
      </c>
      <c r="CX535" s="128">
        <f>IFERROR(AL535*$V535,)</f>
        <v/>
      </c>
      <c r="CY535" s="128">
        <f>IFERROR(AM535*$V535,)</f>
        <v/>
      </c>
      <c r="CZ535" s="128">
        <f>IFERROR(AN535*$V535,)</f>
        <v/>
      </c>
      <c r="DA535" s="128">
        <f>IFERROR(AO535*$V535,)</f>
        <v/>
      </c>
      <c r="DB535" s="128">
        <f>IFERROR(AP535*$V535,)</f>
        <v/>
      </c>
      <c r="DC535" s="128">
        <f>IFERROR(AQ535*$V535,)</f>
        <v/>
      </c>
      <c r="DD535" s="128">
        <f>IFERROR(AR535*$V535,)</f>
        <v/>
      </c>
      <c r="DE535" s="128">
        <f>IFERROR(AS535*$V535,)</f>
        <v/>
      </c>
      <c r="DF535" s="128">
        <f>IFERROR(AT535*$V535,)</f>
        <v/>
      </c>
      <c r="DG535" s="128">
        <f>IFERROR(AU535*$V535,)</f>
        <v/>
      </c>
      <c r="DH535" s="128">
        <f>IFERROR(AV535*$V535,)</f>
        <v/>
      </c>
      <c r="DI535" s="128">
        <f>IFERROR(AW535*$V535,)</f>
        <v/>
      </c>
      <c r="DJ535" s="128">
        <f>IFERROR(AX535*$V535,)</f>
        <v/>
      </c>
      <c r="DK535" s="128">
        <f>IFERROR(AY535*$V535,)</f>
        <v/>
      </c>
      <c r="DL535" s="128">
        <f>IFERROR(AZ535*$V535,)</f>
        <v/>
      </c>
      <c r="DM535" s="129">
        <f>IFERROR(if($X535=0,($V535/1.2)*BA535,
BA535*$X535),)</f>
        <v/>
      </c>
      <c r="DN535" s="129">
        <f>IFERROR(if($X535=0,($V535/1.2)*BB535,
BB535*$X535),)</f>
        <v/>
      </c>
      <c r="DO535" s="129">
        <f>IFERROR(if($X535=0,($V535/1.2)*BC535,
BC535*$X535),)</f>
        <v/>
      </c>
      <c r="DP535" s="130">
        <f>IFERROR(if($Z535=0,($V535/1.35)*BD535,
BD535*$Z535),)</f>
        <v/>
      </c>
      <c r="DQ535" s="130">
        <f>IFERROR(if($Z535=0,($V535/1.35)*BE535,
BE535*$Z535),)</f>
        <v/>
      </c>
      <c r="DR535" s="130">
        <f>IFERROR(if($Z535=0,($V535/1.35)*BF535,
BF535*$Z535),)</f>
        <v/>
      </c>
      <c r="DS535" s="128">
        <f>IFERROR(IF($AB535=0,($V535/0.74)*BG535,
BG535*$AB535),)</f>
        <v/>
      </c>
      <c r="DT535" s="128">
        <f>IFERROR(IF($AB535=0,($V535/0.74)*BH535,
BH535*$AB535),)</f>
        <v/>
      </c>
      <c r="DU535" s="128">
        <f>IFERROR(IF($AB535=0,($V535/0.74)*BI535,
BI535*$AB535),)</f>
        <v/>
      </c>
    </row>
    <row r="536" ht="131.25" customHeight="1" s="162">
      <c r="A536" s="115" t="n"/>
      <c r="B536" s="115" t="n"/>
      <c r="C536" s="115" t="n"/>
      <c r="D536" s="115" t="n"/>
      <c r="E536" s="115" t="n"/>
      <c r="F536" s="115" t="n"/>
      <c r="G536" s="115" t="n"/>
      <c r="H536" s="115" t="n"/>
      <c r="I536" s="115" t="n"/>
      <c r="J536" s="115" t="n"/>
      <c r="K536" s="115" t="n"/>
      <c r="L536" s="115" t="n"/>
      <c r="M536" s="115" t="n"/>
      <c r="N536" s="115" t="n"/>
      <c r="O536" s="115" t="n"/>
      <c r="P536" s="115" t="n"/>
      <c r="Q536" s="115" t="n"/>
      <c r="R536" s="115" t="n"/>
      <c r="S536" s="115" t="n"/>
      <c r="T536" s="115" t="n"/>
      <c r="U536" s="116" t="n"/>
      <c r="V536" s="116" t="n"/>
      <c r="W536" s="117" t="n"/>
      <c r="X536" s="118" t="n"/>
      <c r="Y536" s="119" t="n"/>
      <c r="Z536" s="120" t="n"/>
      <c r="AA536" s="121" t="n"/>
      <c r="AB536" s="122" t="n"/>
      <c r="AC536" s="117" t="n"/>
      <c r="AD536" s="123">
        <f>IF(SUM($AE536:$AH536)=0,"",SUM($AE536:$AH536))</f>
        <v/>
      </c>
      <c r="AE536" s="123">
        <f>iferror(IF(SUM($AI536:$AZ536)=0,"",SUM($AI536:$AZ536)),"")</f>
        <v/>
      </c>
      <c r="AF536" s="123">
        <f>iferror(IF(SUM($BA536:$BC536)=0,"",SUM($BA536:$BC536)),"")</f>
        <v/>
      </c>
      <c r="AG536" s="123">
        <f>iferror(IF(SUM($BD536:$BF536)=0,"",SUM($BD536:$BF536)),"")</f>
        <v/>
      </c>
      <c r="AH536" s="124">
        <f>iferror(IF(SUM($BG536:$BI536)=0,"",SUM($BG536:$BI536)),"")</f>
        <v/>
      </c>
      <c r="AI536" s="131" t="n"/>
      <c r="AJ536" s="132" t="n"/>
      <c r="AK536" s="132" t="n"/>
      <c r="AL536" s="132" t="n"/>
      <c r="AM536" s="132" t="n"/>
      <c r="AN536" s="132" t="n"/>
      <c r="AO536" s="132" t="n"/>
      <c r="AP536" s="132" t="n"/>
      <c r="AQ536" s="132" t="n"/>
      <c r="AR536" s="132" t="n"/>
      <c r="AS536" s="132" t="n"/>
      <c r="AT536" s="132" t="n"/>
      <c r="AU536" s="132" t="n"/>
      <c r="AV536" s="132" t="n"/>
      <c r="AW536" s="132" t="n"/>
      <c r="AX536" s="132" t="n"/>
      <c r="AY536" s="132" t="n"/>
      <c r="AZ536" s="133" t="n"/>
      <c r="BA536" s="131" t="n"/>
      <c r="BB536" s="132" t="n"/>
      <c r="BC536" s="133" t="n"/>
      <c r="BD536" s="131" t="n"/>
      <c r="BE536" s="132" t="n"/>
      <c r="BF536" s="133" t="n"/>
      <c r="BG536" s="131" t="n"/>
      <c r="BH536" s="132" t="n"/>
      <c r="BI536" s="132" t="n"/>
      <c r="BJ536" s="128">
        <f>iferror(SUM($BK536,($BL536*1.2),($BM536*1.35),($BN536*0.74)),)</f>
        <v/>
      </c>
      <c r="BK536" s="128">
        <f>IFERROR(SUM($BT536:$CK536),)</f>
        <v/>
      </c>
      <c r="BL536" s="129">
        <f>IFERROR(SUM($CL536:$CN536),)</f>
        <v/>
      </c>
      <c r="BM536" s="130">
        <f>IFERROR(SUM($CO536:$CQ536),)</f>
        <v/>
      </c>
      <c r="BN536" s="128">
        <f>IFERROR(SUM($CR536:$CT536),)</f>
        <v/>
      </c>
      <c r="BO536" s="128">
        <f>iferror(SUM($BP536,($BQ536*1.2),($BR536*1.35),($BS536*0.74)),)</f>
        <v/>
      </c>
      <c r="BP536" s="128">
        <f>IFERROR(SUM($CU536:$DL536),)</f>
        <v/>
      </c>
      <c r="BQ536" s="128">
        <f>IFERROR(SUM($DM536:$DO536),)</f>
        <v/>
      </c>
      <c r="BR536" s="128">
        <f>IFERROR(SUM($DP536:$DR536),)</f>
        <v/>
      </c>
      <c r="BS536" s="128">
        <f>IFERROR(SUM($DS536:$DU536),)</f>
        <v/>
      </c>
      <c r="BT536" s="128">
        <f>IFERROR(AI536*$W536,)</f>
        <v/>
      </c>
      <c r="BU536" s="128">
        <f>IFERROR(AJ536*$W536,)</f>
        <v/>
      </c>
      <c r="BV536" s="128">
        <f>IFERROR(AK536*$W536,)</f>
        <v/>
      </c>
      <c r="BW536" s="128">
        <f>IFERROR(AL536*$W536,)</f>
        <v/>
      </c>
      <c r="BX536" s="128">
        <f>IFERROR(AM536*$W536,)</f>
        <v/>
      </c>
      <c r="BY536" s="128">
        <f>IFERROR(AN536*$W536,)</f>
        <v/>
      </c>
      <c r="BZ536" s="128">
        <f>IFERROR(AO536*$W536,)</f>
        <v/>
      </c>
      <c r="CA536" s="128">
        <f>IFERROR(AP536*$W536,)</f>
        <v/>
      </c>
      <c r="CB536" s="128">
        <f>IFERROR(AQ536*$W536,)</f>
        <v/>
      </c>
      <c r="CC536" s="128">
        <f>IFERROR(AR536*$W536,)</f>
        <v/>
      </c>
      <c r="CD536" s="128">
        <f>IFERROR(AS536*$W536,)</f>
        <v/>
      </c>
      <c r="CE536" s="128">
        <f>IFERROR(AT536*$W536,)</f>
        <v/>
      </c>
      <c r="CF536" s="128">
        <f>IFERROR(AU536*$W536,)</f>
        <v/>
      </c>
      <c r="CG536" s="128">
        <f>IFERROR(AV536*$W536,)</f>
        <v/>
      </c>
      <c r="CH536" s="128">
        <f>IFERROR(AW536*$W536,)</f>
        <v/>
      </c>
      <c r="CI536" s="128">
        <f>IFERROR(AX536*$W536,)</f>
        <v/>
      </c>
      <c r="CJ536" s="128">
        <f>IFERROR(AY536*$W536,)</f>
        <v/>
      </c>
      <c r="CK536" s="128">
        <f>IFERROR(AZ536*$W536,)</f>
        <v/>
      </c>
      <c r="CL536" s="129">
        <f>IFERROR(if($Y536=0,BA536*($W536/1.2),BA536*$Y536),"")</f>
        <v/>
      </c>
      <c r="CM536" s="129">
        <f>IFERROR(if($Y536=0,BB536*($W536/1.2),BB536*$Y536),"")</f>
        <v/>
      </c>
      <c r="CN536" s="129">
        <f>IFERROR(if($Y536=0,BC536*($W536/1.2),BC536*$Y536),"")</f>
        <v/>
      </c>
      <c r="CO536" s="130">
        <f>IFERROR(if($AA536=0,($W536/1.35)*BD536,BD536*$AA536),)</f>
        <v/>
      </c>
      <c r="CP536" s="130">
        <f>IFERROR(if($AA536=0,($W536/1.35)*BE536,BE536*$AA536),)</f>
        <v/>
      </c>
      <c r="CQ536" s="130">
        <f>IFERROR(if($AA536=0,($W536/1.35)*BF536,BF536*$AA536),)</f>
        <v/>
      </c>
      <c r="CR536" s="128">
        <f>IFERROR(if($AC536=0,($W536/0.74)*BG536,
BG536*$AC536),)</f>
        <v/>
      </c>
      <c r="CS536" s="128">
        <f>IFERROR(if($AC536=0,($W536/0.74)*BH536,
BH536*$AC536),)</f>
        <v/>
      </c>
      <c r="CT536" s="128">
        <f>IFERROR(if($AC536=0,($W536/0.74)*BI536,
BI536*$AC536),)</f>
        <v/>
      </c>
      <c r="CU536" s="128">
        <f>IFERROR(AI536*$V536,)</f>
        <v/>
      </c>
      <c r="CV536" s="128">
        <f>IFERROR(AJ536*$V536,)</f>
        <v/>
      </c>
      <c r="CW536" s="128">
        <f>IFERROR(AK536*$V536,)</f>
        <v/>
      </c>
      <c r="CX536" s="128">
        <f>IFERROR(AL536*$V536,)</f>
        <v/>
      </c>
      <c r="CY536" s="128">
        <f>IFERROR(AM536*$V536,)</f>
        <v/>
      </c>
      <c r="CZ536" s="128">
        <f>IFERROR(AN536*$V536,)</f>
        <v/>
      </c>
      <c r="DA536" s="128">
        <f>IFERROR(AO536*$V536,)</f>
        <v/>
      </c>
      <c r="DB536" s="128">
        <f>IFERROR(AP536*$V536,)</f>
        <v/>
      </c>
      <c r="DC536" s="128">
        <f>IFERROR(AQ536*$V536,)</f>
        <v/>
      </c>
      <c r="DD536" s="128">
        <f>IFERROR(AR536*$V536,)</f>
        <v/>
      </c>
      <c r="DE536" s="128">
        <f>IFERROR(AS536*$V536,)</f>
        <v/>
      </c>
      <c r="DF536" s="128">
        <f>IFERROR(AT536*$V536,)</f>
        <v/>
      </c>
      <c r="DG536" s="128">
        <f>IFERROR(AU536*$V536,)</f>
        <v/>
      </c>
      <c r="DH536" s="128">
        <f>IFERROR(AV536*$V536,)</f>
        <v/>
      </c>
      <c r="DI536" s="128">
        <f>IFERROR(AW536*$V536,)</f>
        <v/>
      </c>
      <c r="DJ536" s="128">
        <f>IFERROR(AX536*$V536,)</f>
        <v/>
      </c>
      <c r="DK536" s="128">
        <f>IFERROR(AY536*$V536,)</f>
        <v/>
      </c>
      <c r="DL536" s="128">
        <f>IFERROR(AZ536*$V536,)</f>
        <v/>
      </c>
      <c r="DM536" s="129">
        <f>IFERROR(if($X536=0,($V536/1.2)*BA536,
BA536*$X536),)</f>
        <v/>
      </c>
      <c r="DN536" s="129">
        <f>IFERROR(if($X536=0,($V536/1.2)*BB536,
BB536*$X536),)</f>
        <v/>
      </c>
      <c r="DO536" s="129">
        <f>IFERROR(if($X536=0,($V536/1.2)*BC536,
BC536*$X536),)</f>
        <v/>
      </c>
      <c r="DP536" s="130">
        <f>IFERROR(if($Z536=0,($V536/1.35)*BD536,
BD536*$Z536),)</f>
        <v/>
      </c>
      <c r="DQ536" s="130">
        <f>IFERROR(if($Z536=0,($V536/1.35)*BE536,
BE536*$Z536),)</f>
        <v/>
      </c>
      <c r="DR536" s="130">
        <f>IFERROR(if($Z536=0,($V536/1.35)*BF536,
BF536*$Z536),)</f>
        <v/>
      </c>
      <c r="DS536" s="128">
        <f>IFERROR(IF($AB536=0,($V536/0.74)*BG536,
BG536*$AB536),)</f>
        <v/>
      </c>
      <c r="DT536" s="128">
        <f>IFERROR(IF($AB536=0,($V536/0.74)*BH536,
BH536*$AB536),)</f>
        <v/>
      </c>
      <c r="DU536" s="128">
        <f>IFERROR(IF($AB536=0,($V536/0.74)*BI536,
BI536*$AB536),)</f>
        <v/>
      </c>
    </row>
    <row r="537" ht="131.25" customHeight="1" s="162">
      <c r="A537" s="115" t="n"/>
      <c r="B537" s="115" t="n"/>
      <c r="C537" s="115" t="n"/>
      <c r="D537" s="115" t="n"/>
      <c r="E537" s="115" t="n"/>
      <c r="F537" s="115" t="n"/>
      <c r="G537" s="115" t="n"/>
      <c r="H537" s="115" t="n"/>
      <c r="I537" s="115" t="n"/>
      <c r="J537" s="115" t="n"/>
      <c r="K537" s="115" t="n"/>
      <c r="L537" s="115" t="n"/>
      <c r="M537" s="115" t="n"/>
      <c r="N537" s="115" t="n"/>
      <c r="O537" s="115" t="n"/>
      <c r="P537" s="115" t="n"/>
      <c r="Q537" s="115" t="n"/>
      <c r="R537" s="115" t="n"/>
      <c r="S537" s="115" t="n"/>
      <c r="T537" s="115" t="n"/>
      <c r="U537" s="116" t="n"/>
      <c r="V537" s="116" t="n"/>
      <c r="W537" s="117" t="n"/>
      <c r="X537" s="118" t="n"/>
      <c r="Y537" s="119" t="n"/>
      <c r="Z537" s="120" t="n"/>
      <c r="AA537" s="121" t="n"/>
      <c r="AB537" s="122" t="n"/>
      <c r="AC537" s="117" t="n"/>
      <c r="AD537" s="123">
        <f>IF(SUM($AE537:$AH537)=0,"",SUM($AE537:$AH537))</f>
        <v/>
      </c>
      <c r="AE537" s="123">
        <f>iferror(IF(SUM($AI537:$AZ537)=0,"",SUM($AI537:$AZ537)),"")</f>
        <v/>
      </c>
      <c r="AF537" s="123">
        <f>iferror(IF(SUM($BA537:$BC537)=0,"",SUM($BA537:$BC537)),"")</f>
        <v/>
      </c>
      <c r="AG537" s="123">
        <f>iferror(IF(SUM($BD537:$BF537)=0,"",SUM($BD537:$BF537)),"")</f>
        <v/>
      </c>
      <c r="AH537" s="124">
        <f>iferror(IF(SUM($BG537:$BI537)=0,"",SUM($BG537:$BI537)),"")</f>
        <v/>
      </c>
      <c r="AI537" s="131" t="n"/>
      <c r="AJ537" s="132" t="n"/>
      <c r="AK537" s="132" t="n"/>
      <c r="AL537" s="132" t="n"/>
      <c r="AM537" s="132" t="n"/>
      <c r="AN537" s="132" t="n"/>
      <c r="AO537" s="132" t="n"/>
      <c r="AP537" s="132" t="n"/>
      <c r="AQ537" s="132" t="n"/>
      <c r="AR537" s="132" t="n"/>
      <c r="AS537" s="132" t="n"/>
      <c r="AT537" s="132" t="n"/>
      <c r="AU537" s="132" t="n"/>
      <c r="AV537" s="132" t="n"/>
      <c r="AW537" s="132" t="n"/>
      <c r="AX537" s="132" t="n"/>
      <c r="AY537" s="132" t="n"/>
      <c r="AZ537" s="133" t="n"/>
      <c r="BA537" s="131" t="n"/>
      <c r="BB537" s="132" t="n"/>
      <c r="BC537" s="133" t="n"/>
      <c r="BD537" s="131" t="n"/>
      <c r="BE537" s="132" t="n"/>
      <c r="BF537" s="133" t="n"/>
      <c r="BG537" s="131" t="n"/>
      <c r="BH537" s="132" t="n"/>
      <c r="BI537" s="132" t="n"/>
      <c r="BJ537" s="128">
        <f>iferror(SUM($BK537,($BL537*1.2),($BM537*1.35),($BN537*0.74)),)</f>
        <v/>
      </c>
      <c r="BK537" s="128">
        <f>IFERROR(SUM($BT537:$CK537),)</f>
        <v/>
      </c>
      <c r="BL537" s="129">
        <f>IFERROR(SUM($CL537:$CN537),)</f>
        <v/>
      </c>
      <c r="BM537" s="130">
        <f>IFERROR(SUM($CO537:$CQ537),)</f>
        <v/>
      </c>
      <c r="BN537" s="128">
        <f>IFERROR(SUM($CR537:$CT537),)</f>
        <v/>
      </c>
      <c r="BO537" s="128">
        <f>iferror(SUM($BP537,($BQ537*1.2),($BR537*1.35),($BS537*0.74)),)</f>
        <v/>
      </c>
      <c r="BP537" s="128">
        <f>IFERROR(SUM($CU537:$DL537),)</f>
        <v/>
      </c>
      <c r="BQ537" s="128">
        <f>IFERROR(SUM($DM537:$DO537),)</f>
        <v/>
      </c>
      <c r="BR537" s="128">
        <f>IFERROR(SUM($DP537:$DR537),)</f>
        <v/>
      </c>
      <c r="BS537" s="128">
        <f>IFERROR(SUM($DS537:$DU537),)</f>
        <v/>
      </c>
      <c r="BT537" s="128">
        <f>IFERROR(AI537*$W537,)</f>
        <v/>
      </c>
      <c r="BU537" s="128">
        <f>IFERROR(AJ537*$W537,)</f>
        <v/>
      </c>
      <c r="BV537" s="128">
        <f>IFERROR(AK537*$W537,)</f>
        <v/>
      </c>
      <c r="BW537" s="128">
        <f>IFERROR(AL537*$W537,)</f>
        <v/>
      </c>
      <c r="BX537" s="128">
        <f>IFERROR(AM537*$W537,)</f>
        <v/>
      </c>
      <c r="BY537" s="128">
        <f>IFERROR(AN537*$W537,)</f>
        <v/>
      </c>
      <c r="BZ537" s="128">
        <f>IFERROR(AO537*$W537,)</f>
        <v/>
      </c>
      <c r="CA537" s="128">
        <f>IFERROR(AP537*$W537,)</f>
        <v/>
      </c>
      <c r="CB537" s="128">
        <f>IFERROR(AQ537*$W537,)</f>
        <v/>
      </c>
      <c r="CC537" s="128">
        <f>IFERROR(AR537*$W537,)</f>
        <v/>
      </c>
      <c r="CD537" s="128">
        <f>IFERROR(AS537*$W537,)</f>
        <v/>
      </c>
      <c r="CE537" s="128">
        <f>IFERROR(AT537*$W537,)</f>
        <v/>
      </c>
      <c r="CF537" s="128">
        <f>IFERROR(AU537*$W537,)</f>
        <v/>
      </c>
      <c r="CG537" s="128">
        <f>IFERROR(AV537*$W537,)</f>
        <v/>
      </c>
      <c r="CH537" s="128">
        <f>IFERROR(AW537*$W537,)</f>
        <v/>
      </c>
      <c r="CI537" s="128">
        <f>IFERROR(AX537*$W537,)</f>
        <v/>
      </c>
      <c r="CJ537" s="128">
        <f>IFERROR(AY537*$W537,)</f>
        <v/>
      </c>
      <c r="CK537" s="128">
        <f>IFERROR(AZ537*$W537,)</f>
        <v/>
      </c>
      <c r="CL537" s="129">
        <f>IFERROR(if($Y537=0,BA537*($W537/1.2),BA537*$Y537),"")</f>
        <v/>
      </c>
      <c r="CM537" s="129">
        <f>IFERROR(if($Y537=0,BB537*($W537/1.2),BB537*$Y537),"")</f>
        <v/>
      </c>
      <c r="CN537" s="129">
        <f>IFERROR(if($Y537=0,BC537*($W537/1.2),BC537*$Y537),"")</f>
        <v/>
      </c>
      <c r="CO537" s="130">
        <f>IFERROR(if($AA537=0,($W537/1.35)*BD537,BD537*$AA537),)</f>
        <v/>
      </c>
      <c r="CP537" s="130">
        <f>IFERROR(if($AA537=0,($W537/1.35)*BE537,BE537*$AA537),)</f>
        <v/>
      </c>
      <c r="CQ537" s="130">
        <f>IFERROR(if($AA537=0,($W537/1.35)*BF537,BF537*$AA537),)</f>
        <v/>
      </c>
      <c r="CR537" s="128">
        <f>IFERROR(if($AC537=0,($W537/0.74)*BG537,
BG537*$AC537),)</f>
        <v/>
      </c>
      <c r="CS537" s="128">
        <f>IFERROR(if($AC537=0,($W537/0.74)*BH537,
BH537*$AC537),)</f>
        <v/>
      </c>
      <c r="CT537" s="128">
        <f>IFERROR(if($AC537=0,($W537/0.74)*BI537,
BI537*$AC537),)</f>
        <v/>
      </c>
      <c r="CU537" s="128">
        <f>IFERROR(AI537*$V537,)</f>
        <v/>
      </c>
      <c r="CV537" s="128">
        <f>IFERROR(AJ537*$V537,)</f>
        <v/>
      </c>
      <c r="CW537" s="128">
        <f>IFERROR(AK537*$V537,)</f>
        <v/>
      </c>
      <c r="CX537" s="128">
        <f>IFERROR(AL537*$V537,)</f>
        <v/>
      </c>
      <c r="CY537" s="128">
        <f>IFERROR(AM537*$V537,)</f>
        <v/>
      </c>
      <c r="CZ537" s="128">
        <f>IFERROR(AN537*$V537,)</f>
        <v/>
      </c>
      <c r="DA537" s="128">
        <f>IFERROR(AO537*$V537,)</f>
        <v/>
      </c>
      <c r="DB537" s="128">
        <f>IFERROR(AP537*$V537,)</f>
        <v/>
      </c>
      <c r="DC537" s="128">
        <f>IFERROR(AQ537*$V537,)</f>
        <v/>
      </c>
      <c r="DD537" s="128">
        <f>IFERROR(AR537*$V537,)</f>
        <v/>
      </c>
      <c r="DE537" s="128">
        <f>IFERROR(AS537*$V537,)</f>
        <v/>
      </c>
      <c r="DF537" s="128">
        <f>IFERROR(AT537*$V537,)</f>
        <v/>
      </c>
      <c r="DG537" s="128">
        <f>IFERROR(AU537*$V537,)</f>
        <v/>
      </c>
      <c r="DH537" s="128">
        <f>IFERROR(AV537*$V537,)</f>
        <v/>
      </c>
      <c r="DI537" s="128">
        <f>IFERROR(AW537*$V537,)</f>
        <v/>
      </c>
      <c r="DJ537" s="128">
        <f>IFERROR(AX537*$V537,)</f>
        <v/>
      </c>
      <c r="DK537" s="128">
        <f>IFERROR(AY537*$V537,)</f>
        <v/>
      </c>
      <c r="DL537" s="128">
        <f>IFERROR(AZ537*$V537,)</f>
        <v/>
      </c>
      <c r="DM537" s="129">
        <f>IFERROR(if($X537=0,($V537/1.2)*BA537,
BA537*$X537),)</f>
        <v/>
      </c>
      <c r="DN537" s="129">
        <f>IFERROR(if($X537=0,($V537/1.2)*BB537,
BB537*$X537),)</f>
        <v/>
      </c>
      <c r="DO537" s="129">
        <f>IFERROR(if($X537=0,($V537/1.2)*BC537,
BC537*$X537),)</f>
        <v/>
      </c>
      <c r="DP537" s="130">
        <f>IFERROR(if($Z537=0,($V537/1.35)*BD537,
BD537*$Z537),)</f>
        <v/>
      </c>
      <c r="DQ537" s="130">
        <f>IFERROR(if($Z537=0,($V537/1.35)*BE537,
BE537*$Z537),)</f>
        <v/>
      </c>
      <c r="DR537" s="130">
        <f>IFERROR(if($Z537=0,($V537/1.35)*BF537,
BF537*$Z537),)</f>
        <v/>
      </c>
      <c r="DS537" s="128">
        <f>IFERROR(IF($AB537=0,($V537/0.74)*BG537,
BG537*$AB537),)</f>
        <v/>
      </c>
      <c r="DT537" s="128">
        <f>IFERROR(IF($AB537=0,($V537/0.74)*BH537,
BH537*$AB537),)</f>
        <v/>
      </c>
      <c r="DU537" s="128">
        <f>IFERROR(IF($AB537=0,($V537/0.74)*BI537,
BI537*$AB537),)</f>
        <v/>
      </c>
    </row>
    <row r="538" ht="131.25" customHeight="1" s="162">
      <c r="A538" s="115" t="n"/>
      <c r="B538" s="115" t="n"/>
      <c r="C538" s="115" t="n"/>
      <c r="D538" s="115" t="n"/>
      <c r="E538" s="115" t="n"/>
      <c r="F538" s="115" t="n"/>
      <c r="G538" s="115" t="n"/>
      <c r="H538" s="115" t="n"/>
      <c r="I538" s="115" t="n"/>
      <c r="J538" s="115" t="n"/>
      <c r="K538" s="115" t="n"/>
      <c r="L538" s="115" t="n"/>
      <c r="M538" s="115" t="n"/>
      <c r="N538" s="115" t="n"/>
      <c r="O538" s="115" t="n"/>
      <c r="P538" s="115" t="n"/>
      <c r="Q538" s="115" t="n"/>
      <c r="R538" s="115" t="n"/>
      <c r="S538" s="115" t="n"/>
      <c r="T538" s="115" t="n"/>
      <c r="U538" s="116" t="n"/>
      <c r="V538" s="116" t="n"/>
      <c r="W538" s="117" t="n"/>
      <c r="X538" s="118" t="n"/>
      <c r="Y538" s="119" t="n"/>
      <c r="Z538" s="120" t="n"/>
      <c r="AA538" s="121" t="n"/>
      <c r="AB538" s="122" t="n"/>
      <c r="AC538" s="117" t="n"/>
      <c r="AD538" s="123">
        <f>IF(SUM($AE538:$AH538)=0,"",SUM($AE538:$AH538))</f>
        <v/>
      </c>
      <c r="AE538" s="123">
        <f>iferror(IF(SUM($AI538:$AZ538)=0,"",SUM($AI538:$AZ538)),"")</f>
        <v/>
      </c>
      <c r="AF538" s="123">
        <f>iferror(IF(SUM($BA538:$BC538)=0,"",SUM($BA538:$BC538)),"")</f>
        <v/>
      </c>
      <c r="AG538" s="123">
        <f>iferror(IF(SUM($BD538:$BF538)=0,"",SUM($BD538:$BF538)),"")</f>
        <v/>
      </c>
      <c r="AH538" s="124">
        <f>iferror(IF(SUM($BG538:$BI538)=0,"",SUM($BG538:$BI538)),"")</f>
        <v/>
      </c>
      <c r="AI538" s="131" t="n"/>
      <c r="AJ538" s="132" t="n"/>
      <c r="AK538" s="132" t="n"/>
      <c r="AL538" s="132" t="n"/>
      <c r="AM538" s="132" t="n"/>
      <c r="AN538" s="132" t="n"/>
      <c r="AO538" s="132" t="n"/>
      <c r="AP538" s="132" t="n"/>
      <c r="AQ538" s="132" t="n"/>
      <c r="AR538" s="132" t="n"/>
      <c r="AS538" s="132" t="n"/>
      <c r="AT538" s="132" t="n"/>
      <c r="AU538" s="132" t="n"/>
      <c r="AV538" s="132" t="n"/>
      <c r="AW538" s="132" t="n"/>
      <c r="AX538" s="132" t="n"/>
      <c r="AY538" s="132" t="n"/>
      <c r="AZ538" s="133" t="n"/>
      <c r="BA538" s="131" t="n"/>
      <c r="BB538" s="132" t="n"/>
      <c r="BC538" s="133" t="n"/>
      <c r="BD538" s="131" t="n"/>
      <c r="BE538" s="132" t="n"/>
      <c r="BF538" s="133" t="n"/>
      <c r="BG538" s="131" t="n"/>
      <c r="BH538" s="132" t="n"/>
      <c r="BI538" s="132" t="n"/>
      <c r="BJ538" s="128">
        <f>iferror(SUM($BK538,($BL538*1.2),($BM538*1.35),($BN538*0.74)),)</f>
        <v/>
      </c>
      <c r="BK538" s="128">
        <f>IFERROR(SUM($BT538:$CK538),)</f>
        <v/>
      </c>
      <c r="BL538" s="129">
        <f>IFERROR(SUM($CL538:$CN538),)</f>
        <v/>
      </c>
      <c r="BM538" s="130">
        <f>IFERROR(SUM($CO538:$CQ538),)</f>
        <v/>
      </c>
      <c r="BN538" s="128">
        <f>IFERROR(SUM($CR538:$CT538),)</f>
        <v/>
      </c>
      <c r="BO538" s="128">
        <f>iferror(SUM($BP538,($BQ538*1.2),($BR538*1.35),($BS538*0.74)),)</f>
        <v/>
      </c>
      <c r="BP538" s="128">
        <f>IFERROR(SUM($CU538:$DL538),)</f>
        <v/>
      </c>
      <c r="BQ538" s="128">
        <f>IFERROR(SUM($DM538:$DO538),)</f>
        <v/>
      </c>
      <c r="BR538" s="128">
        <f>IFERROR(SUM($DP538:$DR538),)</f>
        <v/>
      </c>
      <c r="BS538" s="128">
        <f>IFERROR(SUM($DS538:$DU538),)</f>
        <v/>
      </c>
      <c r="BT538" s="128">
        <f>IFERROR(AI538*$W538,)</f>
        <v/>
      </c>
      <c r="BU538" s="128">
        <f>IFERROR(AJ538*$W538,)</f>
        <v/>
      </c>
      <c r="BV538" s="128">
        <f>IFERROR(AK538*$W538,)</f>
        <v/>
      </c>
      <c r="BW538" s="128">
        <f>IFERROR(AL538*$W538,)</f>
        <v/>
      </c>
      <c r="BX538" s="128">
        <f>IFERROR(AM538*$W538,)</f>
        <v/>
      </c>
      <c r="BY538" s="128">
        <f>IFERROR(AN538*$W538,)</f>
        <v/>
      </c>
      <c r="BZ538" s="128">
        <f>IFERROR(AO538*$W538,)</f>
        <v/>
      </c>
      <c r="CA538" s="128">
        <f>IFERROR(AP538*$W538,)</f>
        <v/>
      </c>
      <c r="CB538" s="128">
        <f>IFERROR(AQ538*$W538,)</f>
        <v/>
      </c>
      <c r="CC538" s="128">
        <f>IFERROR(AR538*$W538,)</f>
        <v/>
      </c>
      <c r="CD538" s="128">
        <f>IFERROR(AS538*$W538,)</f>
        <v/>
      </c>
      <c r="CE538" s="128">
        <f>IFERROR(AT538*$W538,)</f>
        <v/>
      </c>
      <c r="CF538" s="128">
        <f>IFERROR(AU538*$W538,)</f>
        <v/>
      </c>
      <c r="CG538" s="128">
        <f>IFERROR(AV538*$W538,)</f>
        <v/>
      </c>
      <c r="CH538" s="128">
        <f>IFERROR(AW538*$W538,)</f>
        <v/>
      </c>
      <c r="CI538" s="128">
        <f>IFERROR(AX538*$W538,)</f>
        <v/>
      </c>
      <c r="CJ538" s="128">
        <f>IFERROR(AY538*$W538,)</f>
        <v/>
      </c>
      <c r="CK538" s="128">
        <f>IFERROR(AZ538*$W538,)</f>
        <v/>
      </c>
      <c r="CL538" s="129">
        <f>IFERROR(if($Y538=0,BA538*($W538/1.2),BA538*$Y538),"")</f>
        <v/>
      </c>
      <c r="CM538" s="129">
        <f>IFERROR(if($Y538=0,BB538*($W538/1.2),BB538*$Y538),"")</f>
        <v/>
      </c>
      <c r="CN538" s="129">
        <f>IFERROR(if($Y538=0,BC538*($W538/1.2),BC538*$Y538),"")</f>
        <v/>
      </c>
      <c r="CO538" s="130">
        <f>IFERROR(if($AA538=0,($W538/1.35)*BD538,BD538*$AA538),)</f>
        <v/>
      </c>
      <c r="CP538" s="130">
        <f>IFERROR(if($AA538=0,($W538/1.35)*BE538,BE538*$AA538),)</f>
        <v/>
      </c>
      <c r="CQ538" s="130">
        <f>IFERROR(if($AA538=0,($W538/1.35)*BF538,BF538*$AA538),)</f>
        <v/>
      </c>
      <c r="CR538" s="128">
        <f>IFERROR(if($AC538=0,($W538/0.74)*BG538,
BG538*$AC538),)</f>
        <v/>
      </c>
      <c r="CS538" s="128">
        <f>IFERROR(if($AC538=0,($W538/0.74)*BH538,
BH538*$AC538),)</f>
        <v/>
      </c>
      <c r="CT538" s="128">
        <f>IFERROR(if($AC538=0,($W538/0.74)*BI538,
BI538*$AC538),)</f>
        <v/>
      </c>
      <c r="CU538" s="128">
        <f>IFERROR(AI538*$V538,)</f>
        <v/>
      </c>
      <c r="CV538" s="128">
        <f>IFERROR(AJ538*$V538,)</f>
        <v/>
      </c>
      <c r="CW538" s="128">
        <f>IFERROR(AK538*$V538,)</f>
        <v/>
      </c>
      <c r="CX538" s="128">
        <f>IFERROR(AL538*$V538,)</f>
        <v/>
      </c>
      <c r="CY538" s="128">
        <f>IFERROR(AM538*$V538,)</f>
        <v/>
      </c>
      <c r="CZ538" s="128">
        <f>IFERROR(AN538*$V538,)</f>
        <v/>
      </c>
      <c r="DA538" s="128">
        <f>IFERROR(AO538*$V538,)</f>
        <v/>
      </c>
      <c r="DB538" s="128">
        <f>IFERROR(AP538*$V538,)</f>
        <v/>
      </c>
      <c r="DC538" s="128">
        <f>IFERROR(AQ538*$V538,)</f>
        <v/>
      </c>
      <c r="DD538" s="128">
        <f>IFERROR(AR538*$V538,)</f>
        <v/>
      </c>
      <c r="DE538" s="128">
        <f>IFERROR(AS538*$V538,)</f>
        <v/>
      </c>
      <c r="DF538" s="128">
        <f>IFERROR(AT538*$V538,)</f>
        <v/>
      </c>
      <c r="DG538" s="128">
        <f>IFERROR(AU538*$V538,)</f>
        <v/>
      </c>
      <c r="DH538" s="128">
        <f>IFERROR(AV538*$V538,)</f>
        <v/>
      </c>
      <c r="DI538" s="128">
        <f>IFERROR(AW538*$V538,)</f>
        <v/>
      </c>
      <c r="DJ538" s="128">
        <f>IFERROR(AX538*$V538,)</f>
        <v/>
      </c>
      <c r="DK538" s="128">
        <f>IFERROR(AY538*$V538,)</f>
        <v/>
      </c>
      <c r="DL538" s="128">
        <f>IFERROR(AZ538*$V538,)</f>
        <v/>
      </c>
      <c r="DM538" s="129">
        <f>IFERROR(if($X538=0,($V538/1.2)*BA538,
BA538*$X538),)</f>
        <v/>
      </c>
      <c r="DN538" s="129">
        <f>IFERROR(if($X538=0,($V538/1.2)*BB538,
BB538*$X538),)</f>
        <v/>
      </c>
      <c r="DO538" s="129">
        <f>IFERROR(if($X538=0,($V538/1.2)*BC538,
BC538*$X538),)</f>
        <v/>
      </c>
      <c r="DP538" s="130">
        <f>IFERROR(if($Z538=0,($V538/1.35)*BD538,
BD538*$Z538),)</f>
        <v/>
      </c>
      <c r="DQ538" s="130">
        <f>IFERROR(if($Z538=0,($V538/1.35)*BE538,
BE538*$Z538),)</f>
        <v/>
      </c>
      <c r="DR538" s="130">
        <f>IFERROR(if($Z538=0,($V538/1.35)*BF538,
BF538*$Z538),)</f>
        <v/>
      </c>
      <c r="DS538" s="128">
        <f>IFERROR(IF($AB538=0,($V538/0.74)*BG538,
BG538*$AB538),)</f>
        <v/>
      </c>
      <c r="DT538" s="128">
        <f>IFERROR(IF($AB538=0,($V538/0.74)*BH538,
BH538*$AB538),)</f>
        <v/>
      </c>
      <c r="DU538" s="128">
        <f>IFERROR(IF($AB538=0,($V538/0.74)*BI538,
BI538*$AB538),)</f>
        <v/>
      </c>
    </row>
    <row r="539" ht="131.25" customHeight="1" s="162">
      <c r="A539" s="115" t="n"/>
      <c r="B539" s="115" t="n"/>
      <c r="C539" s="115" t="n"/>
      <c r="D539" s="115" t="n"/>
      <c r="E539" s="115" t="n"/>
      <c r="F539" s="115" t="n"/>
      <c r="G539" s="115" t="n"/>
      <c r="H539" s="115" t="n"/>
      <c r="I539" s="115" t="n"/>
      <c r="J539" s="115" t="n"/>
      <c r="K539" s="115" t="n"/>
      <c r="L539" s="115" t="n"/>
      <c r="M539" s="115" t="n"/>
      <c r="N539" s="115" t="n"/>
      <c r="O539" s="115" t="n"/>
      <c r="P539" s="115" t="n"/>
      <c r="Q539" s="115" t="n"/>
      <c r="R539" s="115" t="n"/>
      <c r="S539" s="115" t="n"/>
      <c r="T539" s="115" t="n"/>
      <c r="U539" s="116" t="n"/>
      <c r="V539" s="116" t="n"/>
      <c r="W539" s="117" t="n"/>
      <c r="X539" s="118" t="n"/>
      <c r="Y539" s="119" t="n"/>
      <c r="Z539" s="120" t="n"/>
      <c r="AA539" s="121" t="n"/>
      <c r="AB539" s="122" t="n"/>
      <c r="AC539" s="117" t="n"/>
      <c r="AD539" s="123">
        <f>IF(SUM($AE539:$AH539)=0,"",SUM($AE539:$AH539))</f>
        <v/>
      </c>
      <c r="AE539" s="123">
        <f>iferror(IF(SUM($AI539:$AZ539)=0,"",SUM($AI539:$AZ539)),"")</f>
        <v/>
      </c>
      <c r="AF539" s="123">
        <f>iferror(IF(SUM($BA539:$BC539)=0,"",SUM($BA539:$BC539)),"")</f>
        <v/>
      </c>
      <c r="AG539" s="123">
        <f>iferror(IF(SUM($BD539:$BF539)=0,"",SUM($BD539:$BF539)),"")</f>
        <v/>
      </c>
      <c r="AH539" s="124">
        <f>iferror(IF(SUM($BG539:$BI539)=0,"",SUM($BG539:$BI539)),"")</f>
        <v/>
      </c>
      <c r="AI539" s="131" t="n"/>
      <c r="AJ539" s="132" t="n"/>
      <c r="AK539" s="132" t="n"/>
      <c r="AL539" s="132" t="n"/>
      <c r="AM539" s="132" t="n"/>
      <c r="AN539" s="132" t="n"/>
      <c r="AO539" s="132" t="n"/>
      <c r="AP539" s="132" t="n"/>
      <c r="AQ539" s="132" t="n"/>
      <c r="AR539" s="132" t="n"/>
      <c r="AS539" s="132" t="n"/>
      <c r="AT539" s="132" t="n"/>
      <c r="AU539" s="132" t="n"/>
      <c r="AV539" s="132" t="n"/>
      <c r="AW539" s="132" t="n"/>
      <c r="AX539" s="132" t="n"/>
      <c r="AY539" s="132" t="n"/>
      <c r="AZ539" s="133" t="n"/>
      <c r="BA539" s="131" t="n"/>
      <c r="BB539" s="132" t="n"/>
      <c r="BC539" s="133" t="n"/>
      <c r="BD539" s="131" t="n"/>
      <c r="BE539" s="132" t="n"/>
      <c r="BF539" s="133" t="n"/>
      <c r="BG539" s="131" t="n"/>
      <c r="BH539" s="132" t="n"/>
      <c r="BI539" s="132" t="n"/>
      <c r="BJ539" s="128">
        <f>iferror(SUM($BK539,($BL539*1.2),($BM539*1.35),($BN539*0.74)),)</f>
        <v/>
      </c>
      <c r="BK539" s="128">
        <f>IFERROR(SUM($BT539:$CK539),)</f>
        <v/>
      </c>
      <c r="BL539" s="129">
        <f>IFERROR(SUM($CL539:$CN539),)</f>
        <v/>
      </c>
      <c r="BM539" s="130">
        <f>IFERROR(SUM($CO539:$CQ539),)</f>
        <v/>
      </c>
      <c r="BN539" s="128">
        <f>IFERROR(SUM($CR539:$CT539),)</f>
        <v/>
      </c>
      <c r="BO539" s="128">
        <f>iferror(SUM($BP539,($BQ539*1.2),($BR539*1.35),($BS539*0.74)),)</f>
        <v/>
      </c>
      <c r="BP539" s="128">
        <f>IFERROR(SUM($CU539:$DL539),)</f>
        <v/>
      </c>
      <c r="BQ539" s="128">
        <f>IFERROR(SUM($DM539:$DO539),)</f>
        <v/>
      </c>
      <c r="BR539" s="128">
        <f>IFERROR(SUM($DP539:$DR539),)</f>
        <v/>
      </c>
      <c r="BS539" s="128">
        <f>IFERROR(SUM($DS539:$DU539),)</f>
        <v/>
      </c>
      <c r="BT539" s="128">
        <f>IFERROR(AI539*$W539,)</f>
        <v/>
      </c>
      <c r="BU539" s="128">
        <f>IFERROR(AJ539*$W539,)</f>
        <v/>
      </c>
      <c r="BV539" s="128">
        <f>IFERROR(AK539*$W539,)</f>
        <v/>
      </c>
      <c r="BW539" s="128">
        <f>IFERROR(AL539*$W539,)</f>
        <v/>
      </c>
      <c r="BX539" s="128">
        <f>IFERROR(AM539*$W539,)</f>
        <v/>
      </c>
      <c r="BY539" s="128">
        <f>IFERROR(AN539*$W539,)</f>
        <v/>
      </c>
      <c r="BZ539" s="128">
        <f>IFERROR(AO539*$W539,)</f>
        <v/>
      </c>
      <c r="CA539" s="128">
        <f>IFERROR(AP539*$W539,)</f>
        <v/>
      </c>
      <c r="CB539" s="128">
        <f>IFERROR(AQ539*$W539,)</f>
        <v/>
      </c>
      <c r="CC539" s="128">
        <f>IFERROR(AR539*$W539,)</f>
        <v/>
      </c>
      <c r="CD539" s="128">
        <f>IFERROR(AS539*$W539,)</f>
        <v/>
      </c>
      <c r="CE539" s="128">
        <f>IFERROR(AT539*$W539,)</f>
        <v/>
      </c>
      <c r="CF539" s="128">
        <f>IFERROR(AU539*$W539,)</f>
        <v/>
      </c>
      <c r="CG539" s="128">
        <f>IFERROR(AV539*$W539,)</f>
        <v/>
      </c>
      <c r="CH539" s="128">
        <f>IFERROR(AW539*$W539,)</f>
        <v/>
      </c>
      <c r="CI539" s="128">
        <f>IFERROR(AX539*$W539,)</f>
        <v/>
      </c>
      <c r="CJ539" s="128">
        <f>IFERROR(AY539*$W539,)</f>
        <v/>
      </c>
      <c r="CK539" s="128">
        <f>IFERROR(AZ539*$W539,)</f>
        <v/>
      </c>
      <c r="CL539" s="129">
        <f>IFERROR(if($Y539=0,BA539*($W539/1.2),BA539*$Y539),"")</f>
        <v/>
      </c>
      <c r="CM539" s="129">
        <f>IFERROR(if($Y539=0,BB539*($W539/1.2),BB539*$Y539),"")</f>
        <v/>
      </c>
      <c r="CN539" s="129">
        <f>IFERROR(if($Y539=0,BC539*($W539/1.2),BC539*$Y539),"")</f>
        <v/>
      </c>
      <c r="CO539" s="130">
        <f>IFERROR(if($AA539=0,($W539/1.35)*BD539,BD539*$AA539),)</f>
        <v/>
      </c>
      <c r="CP539" s="130">
        <f>IFERROR(if($AA539=0,($W539/1.35)*BE539,BE539*$AA539),)</f>
        <v/>
      </c>
      <c r="CQ539" s="130">
        <f>IFERROR(if($AA539=0,($W539/1.35)*BF539,BF539*$AA539),)</f>
        <v/>
      </c>
      <c r="CR539" s="128">
        <f>IFERROR(if($AC539=0,($W539/0.74)*BG539,
BG539*$AC539),)</f>
        <v/>
      </c>
      <c r="CS539" s="128">
        <f>IFERROR(if($AC539=0,($W539/0.74)*BH539,
BH539*$AC539),)</f>
        <v/>
      </c>
      <c r="CT539" s="128">
        <f>IFERROR(if($AC539=0,($W539/0.74)*BI539,
BI539*$AC539),)</f>
        <v/>
      </c>
      <c r="CU539" s="128">
        <f>IFERROR(AI539*$V539,)</f>
        <v/>
      </c>
      <c r="CV539" s="128">
        <f>IFERROR(AJ539*$V539,)</f>
        <v/>
      </c>
      <c r="CW539" s="128">
        <f>IFERROR(AK539*$V539,)</f>
        <v/>
      </c>
      <c r="CX539" s="128">
        <f>IFERROR(AL539*$V539,)</f>
        <v/>
      </c>
      <c r="CY539" s="128">
        <f>IFERROR(AM539*$V539,)</f>
        <v/>
      </c>
      <c r="CZ539" s="128">
        <f>IFERROR(AN539*$V539,)</f>
        <v/>
      </c>
      <c r="DA539" s="128">
        <f>IFERROR(AO539*$V539,)</f>
        <v/>
      </c>
      <c r="DB539" s="128">
        <f>IFERROR(AP539*$V539,)</f>
        <v/>
      </c>
      <c r="DC539" s="128">
        <f>IFERROR(AQ539*$V539,)</f>
        <v/>
      </c>
      <c r="DD539" s="128">
        <f>IFERROR(AR539*$V539,)</f>
        <v/>
      </c>
      <c r="DE539" s="128">
        <f>IFERROR(AS539*$V539,)</f>
        <v/>
      </c>
      <c r="DF539" s="128">
        <f>IFERROR(AT539*$V539,)</f>
        <v/>
      </c>
      <c r="DG539" s="128">
        <f>IFERROR(AU539*$V539,)</f>
        <v/>
      </c>
      <c r="DH539" s="128">
        <f>IFERROR(AV539*$V539,)</f>
        <v/>
      </c>
      <c r="DI539" s="128">
        <f>IFERROR(AW539*$V539,)</f>
        <v/>
      </c>
      <c r="DJ539" s="128">
        <f>IFERROR(AX539*$V539,)</f>
        <v/>
      </c>
      <c r="DK539" s="128">
        <f>IFERROR(AY539*$V539,)</f>
        <v/>
      </c>
      <c r="DL539" s="128">
        <f>IFERROR(AZ539*$V539,)</f>
        <v/>
      </c>
      <c r="DM539" s="129">
        <f>IFERROR(if($X539=0,($V539/1.2)*BA539,
BA539*$X539),)</f>
        <v/>
      </c>
      <c r="DN539" s="129">
        <f>IFERROR(if($X539=0,($V539/1.2)*BB539,
BB539*$X539),)</f>
        <v/>
      </c>
      <c r="DO539" s="129">
        <f>IFERROR(if($X539=0,($V539/1.2)*BC539,
BC539*$X539),)</f>
        <v/>
      </c>
      <c r="DP539" s="130">
        <f>IFERROR(if($Z539=0,($V539/1.35)*BD539,
BD539*$Z539),)</f>
        <v/>
      </c>
      <c r="DQ539" s="130">
        <f>IFERROR(if($Z539=0,($V539/1.35)*BE539,
BE539*$Z539),)</f>
        <v/>
      </c>
      <c r="DR539" s="130">
        <f>IFERROR(if($Z539=0,($V539/1.35)*BF539,
BF539*$Z539),)</f>
        <v/>
      </c>
      <c r="DS539" s="128">
        <f>IFERROR(IF($AB539=0,($V539/0.74)*BG539,
BG539*$AB539),)</f>
        <v/>
      </c>
      <c r="DT539" s="128">
        <f>IFERROR(IF($AB539=0,($V539/0.74)*BH539,
BH539*$AB539),)</f>
        <v/>
      </c>
      <c r="DU539" s="128">
        <f>IFERROR(IF($AB539=0,($V539/0.74)*BI539,
BI539*$AB539),)</f>
        <v/>
      </c>
    </row>
    <row r="540" ht="131.25" customHeight="1" s="162">
      <c r="A540" s="115" t="n"/>
      <c r="B540" s="115" t="n"/>
      <c r="C540" s="115" t="n"/>
      <c r="D540" s="115" t="n"/>
      <c r="E540" s="115" t="n"/>
      <c r="F540" s="115" t="n"/>
      <c r="G540" s="115" t="n"/>
      <c r="H540" s="115" t="n"/>
      <c r="I540" s="115" t="n"/>
      <c r="J540" s="115" t="n"/>
      <c r="K540" s="115" t="n"/>
      <c r="L540" s="115" t="n"/>
      <c r="M540" s="115" t="n"/>
      <c r="N540" s="115" t="n"/>
      <c r="O540" s="115" t="n"/>
      <c r="P540" s="115" t="n"/>
      <c r="Q540" s="115" t="n"/>
      <c r="R540" s="115" t="n"/>
      <c r="S540" s="115" t="n"/>
      <c r="T540" s="115" t="n"/>
      <c r="U540" s="116" t="n"/>
      <c r="V540" s="116" t="n"/>
      <c r="W540" s="117" t="n"/>
      <c r="X540" s="118" t="n"/>
      <c r="Y540" s="119" t="n"/>
      <c r="Z540" s="120" t="n"/>
      <c r="AA540" s="121" t="n"/>
      <c r="AB540" s="122" t="n"/>
      <c r="AC540" s="117" t="n"/>
      <c r="AD540" s="123">
        <f>IF(SUM($AE540:$AH540)=0,"",SUM($AE540:$AH540))</f>
        <v/>
      </c>
      <c r="AE540" s="123">
        <f>iferror(IF(SUM($AI540:$AZ540)=0,"",SUM($AI540:$AZ540)),"")</f>
        <v/>
      </c>
      <c r="AF540" s="123">
        <f>iferror(IF(SUM($BA540:$BC540)=0,"",SUM($BA540:$BC540)),"")</f>
        <v/>
      </c>
      <c r="AG540" s="123">
        <f>iferror(IF(SUM($BD540:$BF540)=0,"",SUM($BD540:$BF540)),"")</f>
        <v/>
      </c>
      <c r="AH540" s="124">
        <f>iferror(IF(SUM($BG540:$BI540)=0,"",SUM($BG540:$BI540)),"")</f>
        <v/>
      </c>
      <c r="AI540" s="131" t="n"/>
      <c r="AJ540" s="132" t="n"/>
      <c r="AK540" s="132" t="n"/>
      <c r="AL540" s="132" t="n"/>
      <c r="AM540" s="132" t="n"/>
      <c r="AN540" s="132" t="n"/>
      <c r="AO540" s="132" t="n"/>
      <c r="AP540" s="132" t="n"/>
      <c r="AQ540" s="132" t="n"/>
      <c r="AR540" s="132" t="n"/>
      <c r="AS540" s="132" t="n"/>
      <c r="AT540" s="132" t="n"/>
      <c r="AU540" s="132" t="n"/>
      <c r="AV540" s="132" t="n"/>
      <c r="AW540" s="132" t="n"/>
      <c r="AX540" s="132" t="n"/>
      <c r="AY540" s="132" t="n"/>
      <c r="AZ540" s="133" t="n"/>
      <c r="BA540" s="131" t="n"/>
      <c r="BB540" s="132" t="n"/>
      <c r="BC540" s="133" t="n"/>
      <c r="BD540" s="131" t="n"/>
      <c r="BE540" s="132" t="n"/>
      <c r="BF540" s="133" t="n"/>
      <c r="BG540" s="131" t="n"/>
      <c r="BH540" s="132" t="n"/>
      <c r="BI540" s="132" t="n"/>
      <c r="BJ540" s="128">
        <f>iferror(SUM($BK540,($BL540*1.2),($BM540*1.35),($BN540*0.74)),)</f>
        <v/>
      </c>
      <c r="BK540" s="128">
        <f>IFERROR(SUM($BT540:$CK540),)</f>
        <v/>
      </c>
      <c r="BL540" s="129">
        <f>IFERROR(SUM($CL540:$CN540),)</f>
        <v/>
      </c>
      <c r="BM540" s="130">
        <f>IFERROR(SUM($CO540:$CQ540),)</f>
        <v/>
      </c>
      <c r="BN540" s="128">
        <f>IFERROR(SUM($CR540:$CT540),)</f>
        <v/>
      </c>
      <c r="BO540" s="128">
        <f>iferror(SUM($BP540,($BQ540*1.2),($BR540*1.35),($BS540*0.74)),)</f>
        <v/>
      </c>
      <c r="BP540" s="128">
        <f>IFERROR(SUM($CU540:$DL540),)</f>
        <v/>
      </c>
      <c r="BQ540" s="128">
        <f>IFERROR(SUM($DM540:$DO540),)</f>
        <v/>
      </c>
      <c r="BR540" s="128">
        <f>IFERROR(SUM($DP540:$DR540),)</f>
        <v/>
      </c>
      <c r="BS540" s="128">
        <f>IFERROR(SUM($DS540:$DU540),)</f>
        <v/>
      </c>
      <c r="BT540" s="128">
        <f>IFERROR(AI540*$W540,)</f>
        <v/>
      </c>
      <c r="BU540" s="128">
        <f>IFERROR(AJ540*$W540,)</f>
        <v/>
      </c>
      <c r="BV540" s="128">
        <f>IFERROR(AK540*$W540,)</f>
        <v/>
      </c>
      <c r="BW540" s="128">
        <f>IFERROR(AL540*$W540,)</f>
        <v/>
      </c>
      <c r="BX540" s="128">
        <f>IFERROR(AM540*$W540,)</f>
        <v/>
      </c>
      <c r="BY540" s="128">
        <f>IFERROR(AN540*$W540,)</f>
        <v/>
      </c>
      <c r="BZ540" s="128">
        <f>IFERROR(AO540*$W540,)</f>
        <v/>
      </c>
      <c r="CA540" s="128">
        <f>IFERROR(AP540*$W540,)</f>
        <v/>
      </c>
      <c r="CB540" s="128">
        <f>IFERROR(AQ540*$W540,)</f>
        <v/>
      </c>
      <c r="CC540" s="128">
        <f>IFERROR(AR540*$W540,)</f>
        <v/>
      </c>
      <c r="CD540" s="128">
        <f>IFERROR(AS540*$W540,)</f>
        <v/>
      </c>
      <c r="CE540" s="128">
        <f>IFERROR(AT540*$W540,)</f>
        <v/>
      </c>
      <c r="CF540" s="128">
        <f>IFERROR(AU540*$W540,)</f>
        <v/>
      </c>
      <c r="CG540" s="128">
        <f>IFERROR(AV540*$W540,)</f>
        <v/>
      </c>
      <c r="CH540" s="128">
        <f>IFERROR(AW540*$W540,)</f>
        <v/>
      </c>
      <c r="CI540" s="128">
        <f>IFERROR(AX540*$W540,)</f>
        <v/>
      </c>
      <c r="CJ540" s="128">
        <f>IFERROR(AY540*$W540,)</f>
        <v/>
      </c>
      <c r="CK540" s="128">
        <f>IFERROR(AZ540*$W540,)</f>
        <v/>
      </c>
      <c r="CL540" s="129">
        <f>IFERROR(if($Y540=0,BA540*($W540/1.2),BA540*$Y540),"")</f>
        <v/>
      </c>
      <c r="CM540" s="129">
        <f>IFERROR(if($Y540=0,BB540*($W540/1.2),BB540*$Y540),"")</f>
        <v/>
      </c>
      <c r="CN540" s="129">
        <f>IFERROR(if($Y540=0,BC540*($W540/1.2),BC540*$Y540),"")</f>
        <v/>
      </c>
      <c r="CO540" s="130">
        <f>IFERROR(if($AA540=0,($W540/1.35)*BD540,BD540*$AA540),)</f>
        <v/>
      </c>
      <c r="CP540" s="130">
        <f>IFERROR(if($AA540=0,($W540/1.35)*BE540,BE540*$AA540),)</f>
        <v/>
      </c>
      <c r="CQ540" s="130">
        <f>IFERROR(if($AA540=0,($W540/1.35)*BF540,BF540*$AA540),)</f>
        <v/>
      </c>
      <c r="CR540" s="128">
        <f>IFERROR(if($AC540=0,($W540/0.74)*BG540,
BG540*$AC540),)</f>
        <v/>
      </c>
      <c r="CS540" s="128">
        <f>IFERROR(if($AC540=0,($W540/0.74)*BH540,
BH540*$AC540),)</f>
        <v/>
      </c>
      <c r="CT540" s="128">
        <f>IFERROR(if($AC540=0,($W540/0.74)*BI540,
BI540*$AC540),)</f>
        <v/>
      </c>
      <c r="CU540" s="128">
        <f>IFERROR(AI540*$V540,)</f>
        <v/>
      </c>
      <c r="CV540" s="128">
        <f>IFERROR(AJ540*$V540,)</f>
        <v/>
      </c>
      <c r="CW540" s="128">
        <f>IFERROR(AK540*$V540,)</f>
        <v/>
      </c>
      <c r="CX540" s="128">
        <f>IFERROR(AL540*$V540,)</f>
        <v/>
      </c>
      <c r="CY540" s="128">
        <f>IFERROR(AM540*$V540,)</f>
        <v/>
      </c>
      <c r="CZ540" s="128">
        <f>IFERROR(AN540*$V540,)</f>
        <v/>
      </c>
      <c r="DA540" s="128">
        <f>IFERROR(AO540*$V540,)</f>
        <v/>
      </c>
      <c r="DB540" s="128">
        <f>IFERROR(AP540*$V540,)</f>
        <v/>
      </c>
      <c r="DC540" s="128">
        <f>IFERROR(AQ540*$V540,)</f>
        <v/>
      </c>
      <c r="DD540" s="128">
        <f>IFERROR(AR540*$V540,)</f>
        <v/>
      </c>
      <c r="DE540" s="128">
        <f>IFERROR(AS540*$V540,)</f>
        <v/>
      </c>
      <c r="DF540" s="128">
        <f>IFERROR(AT540*$V540,)</f>
        <v/>
      </c>
      <c r="DG540" s="128">
        <f>IFERROR(AU540*$V540,)</f>
        <v/>
      </c>
      <c r="DH540" s="128">
        <f>IFERROR(AV540*$V540,)</f>
        <v/>
      </c>
      <c r="DI540" s="128">
        <f>IFERROR(AW540*$V540,)</f>
        <v/>
      </c>
      <c r="DJ540" s="128">
        <f>IFERROR(AX540*$V540,)</f>
        <v/>
      </c>
      <c r="DK540" s="128">
        <f>IFERROR(AY540*$V540,)</f>
        <v/>
      </c>
      <c r="DL540" s="128">
        <f>IFERROR(AZ540*$V540,)</f>
        <v/>
      </c>
      <c r="DM540" s="129">
        <f>IFERROR(if($X540=0,($V540/1.2)*BA540,
BA540*$X540),)</f>
        <v/>
      </c>
      <c r="DN540" s="129">
        <f>IFERROR(if($X540=0,($V540/1.2)*BB540,
BB540*$X540),)</f>
        <v/>
      </c>
      <c r="DO540" s="129">
        <f>IFERROR(if($X540=0,($V540/1.2)*BC540,
BC540*$X540),)</f>
        <v/>
      </c>
      <c r="DP540" s="130">
        <f>IFERROR(if($Z540=0,($V540/1.35)*BD540,
BD540*$Z540),)</f>
        <v/>
      </c>
      <c r="DQ540" s="130">
        <f>IFERROR(if($Z540=0,($V540/1.35)*BE540,
BE540*$Z540),)</f>
        <v/>
      </c>
      <c r="DR540" s="130">
        <f>IFERROR(if($Z540=0,($V540/1.35)*BF540,
BF540*$Z540),)</f>
        <v/>
      </c>
      <c r="DS540" s="128">
        <f>IFERROR(IF($AB540=0,($V540/0.74)*BG540,
BG540*$AB540),)</f>
        <v/>
      </c>
      <c r="DT540" s="128">
        <f>IFERROR(IF($AB540=0,($V540/0.74)*BH540,
BH540*$AB540),)</f>
        <v/>
      </c>
      <c r="DU540" s="128">
        <f>IFERROR(IF($AB540=0,($V540/0.74)*BI540,
BI540*$AB540),)</f>
        <v/>
      </c>
    </row>
    <row r="541" ht="131.25" customHeight="1" s="162">
      <c r="A541" s="115" t="n"/>
      <c r="B541" s="115" t="n"/>
      <c r="C541" s="115" t="n"/>
      <c r="D541" s="115" t="n"/>
      <c r="E541" s="115" t="n"/>
      <c r="F541" s="115" t="n"/>
      <c r="G541" s="115" t="n"/>
      <c r="H541" s="115" t="n"/>
      <c r="I541" s="115" t="n"/>
      <c r="J541" s="115" t="n"/>
      <c r="K541" s="115" t="n"/>
      <c r="L541" s="115" t="n"/>
      <c r="M541" s="115" t="n"/>
      <c r="N541" s="115" t="n"/>
      <c r="O541" s="115" t="n"/>
      <c r="P541" s="115" t="n"/>
      <c r="Q541" s="115" t="n"/>
      <c r="R541" s="115" t="n"/>
      <c r="S541" s="115" t="n"/>
      <c r="T541" s="115" t="n"/>
      <c r="U541" s="116" t="n"/>
      <c r="V541" s="116" t="n"/>
      <c r="W541" s="117" t="n"/>
      <c r="X541" s="118" t="n"/>
      <c r="Y541" s="119" t="n"/>
      <c r="Z541" s="120" t="n"/>
      <c r="AA541" s="121" t="n"/>
      <c r="AB541" s="122" t="n"/>
      <c r="AC541" s="117" t="n"/>
      <c r="AD541" s="123">
        <f>IF(SUM($AE541:$AH541)=0,"",SUM($AE541:$AH541))</f>
        <v/>
      </c>
      <c r="AE541" s="123">
        <f>iferror(IF(SUM($AI541:$AZ541)=0,"",SUM($AI541:$AZ541)),"")</f>
        <v/>
      </c>
      <c r="AF541" s="123">
        <f>iferror(IF(SUM($BA541:$BC541)=0,"",SUM($BA541:$BC541)),"")</f>
        <v/>
      </c>
      <c r="AG541" s="123">
        <f>iferror(IF(SUM($BD541:$BF541)=0,"",SUM($BD541:$BF541)),"")</f>
        <v/>
      </c>
      <c r="AH541" s="124">
        <f>iferror(IF(SUM($BG541:$BI541)=0,"",SUM($BG541:$BI541)),"")</f>
        <v/>
      </c>
      <c r="AI541" s="131" t="n"/>
      <c r="AJ541" s="132" t="n"/>
      <c r="AK541" s="132" t="n"/>
      <c r="AL541" s="132" t="n"/>
      <c r="AM541" s="132" t="n"/>
      <c r="AN541" s="132" t="n"/>
      <c r="AO541" s="132" t="n"/>
      <c r="AP541" s="132" t="n"/>
      <c r="AQ541" s="132" t="n"/>
      <c r="AR541" s="132" t="n"/>
      <c r="AS541" s="132" t="n"/>
      <c r="AT541" s="132" t="n"/>
      <c r="AU541" s="132" t="n"/>
      <c r="AV541" s="132" t="n"/>
      <c r="AW541" s="132" t="n"/>
      <c r="AX541" s="132" t="n"/>
      <c r="AY541" s="132" t="n"/>
      <c r="AZ541" s="133" t="n"/>
      <c r="BA541" s="131" t="n"/>
      <c r="BB541" s="132" t="n"/>
      <c r="BC541" s="133" t="n"/>
      <c r="BD541" s="131" t="n"/>
      <c r="BE541" s="132" t="n"/>
      <c r="BF541" s="133" t="n"/>
      <c r="BG541" s="131" t="n"/>
      <c r="BH541" s="132" t="n"/>
      <c r="BI541" s="132" t="n"/>
      <c r="BJ541" s="128">
        <f>iferror(SUM($BK541,($BL541*1.2),($BM541*1.35),($BN541*0.74)),)</f>
        <v/>
      </c>
      <c r="BK541" s="128">
        <f>IFERROR(SUM($BT541:$CK541),)</f>
        <v/>
      </c>
      <c r="BL541" s="129">
        <f>IFERROR(SUM($CL541:$CN541),)</f>
        <v/>
      </c>
      <c r="BM541" s="130">
        <f>IFERROR(SUM($CO541:$CQ541),)</f>
        <v/>
      </c>
      <c r="BN541" s="128">
        <f>IFERROR(SUM($CR541:$CT541),)</f>
        <v/>
      </c>
      <c r="BO541" s="128">
        <f>iferror(SUM($BP541,($BQ541*1.2),($BR541*1.35),($BS541*0.74)),)</f>
        <v/>
      </c>
      <c r="BP541" s="128">
        <f>IFERROR(SUM($CU541:$DL541),)</f>
        <v/>
      </c>
      <c r="BQ541" s="128">
        <f>IFERROR(SUM($DM541:$DO541),)</f>
        <v/>
      </c>
      <c r="BR541" s="128">
        <f>IFERROR(SUM($DP541:$DR541),)</f>
        <v/>
      </c>
      <c r="BS541" s="128">
        <f>IFERROR(SUM($DS541:$DU541),)</f>
        <v/>
      </c>
      <c r="BT541" s="128">
        <f>IFERROR(AI541*$W541,)</f>
        <v/>
      </c>
      <c r="BU541" s="128">
        <f>IFERROR(AJ541*$W541,)</f>
        <v/>
      </c>
      <c r="BV541" s="128">
        <f>IFERROR(AK541*$W541,)</f>
        <v/>
      </c>
      <c r="BW541" s="128">
        <f>IFERROR(AL541*$W541,)</f>
        <v/>
      </c>
      <c r="BX541" s="128">
        <f>IFERROR(AM541*$W541,)</f>
        <v/>
      </c>
      <c r="BY541" s="128">
        <f>IFERROR(AN541*$W541,)</f>
        <v/>
      </c>
      <c r="BZ541" s="128">
        <f>IFERROR(AO541*$W541,)</f>
        <v/>
      </c>
      <c r="CA541" s="128">
        <f>IFERROR(AP541*$W541,)</f>
        <v/>
      </c>
      <c r="CB541" s="128">
        <f>IFERROR(AQ541*$W541,)</f>
        <v/>
      </c>
      <c r="CC541" s="128">
        <f>IFERROR(AR541*$W541,)</f>
        <v/>
      </c>
      <c r="CD541" s="128">
        <f>IFERROR(AS541*$W541,)</f>
        <v/>
      </c>
      <c r="CE541" s="128">
        <f>IFERROR(AT541*$W541,)</f>
        <v/>
      </c>
      <c r="CF541" s="128">
        <f>IFERROR(AU541*$W541,)</f>
        <v/>
      </c>
      <c r="CG541" s="128">
        <f>IFERROR(AV541*$W541,)</f>
        <v/>
      </c>
      <c r="CH541" s="128">
        <f>IFERROR(AW541*$W541,)</f>
        <v/>
      </c>
      <c r="CI541" s="128">
        <f>IFERROR(AX541*$W541,)</f>
        <v/>
      </c>
      <c r="CJ541" s="128">
        <f>IFERROR(AY541*$W541,)</f>
        <v/>
      </c>
      <c r="CK541" s="128">
        <f>IFERROR(AZ541*$W541,)</f>
        <v/>
      </c>
      <c r="CL541" s="129">
        <f>IFERROR(if($Y541=0,BA541*($W541/1.2),BA541*$Y541),"")</f>
        <v/>
      </c>
      <c r="CM541" s="129">
        <f>IFERROR(if($Y541=0,BB541*($W541/1.2),BB541*$Y541),"")</f>
        <v/>
      </c>
      <c r="CN541" s="129">
        <f>IFERROR(if($Y541=0,BC541*($W541/1.2),BC541*$Y541),"")</f>
        <v/>
      </c>
      <c r="CO541" s="130">
        <f>IFERROR(if($AA541=0,($W541/1.35)*BD541,BD541*$AA541),)</f>
        <v/>
      </c>
      <c r="CP541" s="130">
        <f>IFERROR(if($AA541=0,($W541/1.35)*BE541,BE541*$AA541),)</f>
        <v/>
      </c>
      <c r="CQ541" s="130">
        <f>IFERROR(if($AA541=0,($W541/1.35)*BF541,BF541*$AA541),)</f>
        <v/>
      </c>
      <c r="CR541" s="128">
        <f>IFERROR(if($AC541=0,($W541/0.74)*BG541,
BG541*$AC541),)</f>
        <v/>
      </c>
      <c r="CS541" s="128">
        <f>IFERROR(if($AC541=0,($W541/0.74)*BH541,
BH541*$AC541),)</f>
        <v/>
      </c>
      <c r="CT541" s="128">
        <f>IFERROR(if($AC541=0,($W541/0.74)*BI541,
BI541*$AC541),)</f>
        <v/>
      </c>
      <c r="CU541" s="128">
        <f>IFERROR(AI541*$V541,)</f>
        <v/>
      </c>
      <c r="CV541" s="128">
        <f>IFERROR(AJ541*$V541,)</f>
        <v/>
      </c>
      <c r="CW541" s="128">
        <f>IFERROR(AK541*$V541,)</f>
        <v/>
      </c>
      <c r="CX541" s="128">
        <f>IFERROR(AL541*$V541,)</f>
        <v/>
      </c>
      <c r="CY541" s="128">
        <f>IFERROR(AM541*$V541,)</f>
        <v/>
      </c>
      <c r="CZ541" s="128">
        <f>IFERROR(AN541*$V541,)</f>
        <v/>
      </c>
      <c r="DA541" s="128">
        <f>IFERROR(AO541*$V541,)</f>
        <v/>
      </c>
      <c r="DB541" s="128">
        <f>IFERROR(AP541*$V541,)</f>
        <v/>
      </c>
      <c r="DC541" s="128">
        <f>IFERROR(AQ541*$V541,)</f>
        <v/>
      </c>
      <c r="DD541" s="128">
        <f>IFERROR(AR541*$V541,)</f>
        <v/>
      </c>
      <c r="DE541" s="128">
        <f>IFERROR(AS541*$V541,)</f>
        <v/>
      </c>
      <c r="DF541" s="128">
        <f>IFERROR(AT541*$V541,)</f>
        <v/>
      </c>
      <c r="DG541" s="128">
        <f>IFERROR(AU541*$V541,)</f>
        <v/>
      </c>
      <c r="DH541" s="128">
        <f>IFERROR(AV541*$V541,)</f>
        <v/>
      </c>
      <c r="DI541" s="128">
        <f>IFERROR(AW541*$V541,)</f>
        <v/>
      </c>
      <c r="DJ541" s="128">
        <f>IFERROR(AX541*$V541,)</f>
        <v/>
      </c>
      <c r="DK541" s="128">
        <f>IFERROR(AY541*$V541,)</f>
        <v/>
      </c>
      <c r="DL541" s="128">
        <f>IFERROR(AZ541*$V541,)</f>
        <v/>
      </c>
      <c r="DM541" s="129">
        <f>IFERROR(if($X541=0,($V541/1.2)*BA541,
BA541*$X541),)</f>
        <v/>
      </c>
      <c r="DN541" s="129">
        <f>IFERROR(if($X541=0,($V541/1.2)*BB541,
BB541*$X541),)</f>
        <v/>
      </c>
      <c r="DO541" s="129">
        <f>IFERROR(if($X541=0,($V541/1.2)*BC541,
BC541*$X541),)</f>
        <v/>
      </c>
      <c r="DP541" s="130">
        <f>IFERROR(if($Z541=0,($V541/1.35)*BD541,
BD541*$Z541),)</f>
        <v/>
      </c>
      <c r="DQ541" s="130">
        <f>IFERROR(if($Z541=0,($V541/1.35)*BE541,
BE541*$Z541),)</f>
        <v/>
      </c>
      <c r="DR541" s="130">
        <f>IFERROR(if($Z541=0,($V541/1.35)*BF541,
BF541*$Z541),)</f>
        <v/>
      </c>
      <c r="DS541" s="128">
        <f>IFERROR(IF($AB541=0,($V541/0.74)*BG541,
BG541*$AB541),)</f>
        <v/>
      </c>
      <c r="DT541" s="128">
        <f>IFERROR(IF($AB541=0,($V541/0.74)*BH541,
BH541*$AB541),)</f>
        <v/>
      </c>
      <c r="DU541" s="128">
        <f>IFERROR(IF($AB541=0,($V541/0.74)*BI541,
BI541*$AB541),)</f>
        <v/>
      </c>
    </row>
    <row r="542" ht="131.25" customHeight="1" s="162">
      <c r="A542" s="115" t="n"/>
      <c r="B542" s="115" t="n"/>
      <c r="C542" s="115" t="n"/>
      <c r="D542" s="115" t="n"/>
      <c r="E542" s="115" t="n"/>
      <c r="F542" s="115" t="n"/>
      <c r="G542" s="115" t="n"/>
      <c r="H542" s="115" t="n"/>
      <c r="I542" s="115" t="n"/>
      <c r="J542" s="115" t="n"/>
      <c r="K542" s="115" t="n"/>
      <c r="L542" s="115" t="n"/>
      <c r="M542" s="115" t="n"/>
      <c r="N542" s="115" t="n"/>
      <c r="O542" s="115" t="n"/>
      <c r="P542" s="115" t="n"/>
      <c r="Q542" s="115" t="n"/>
      <c r="R542" s="115" t="n"/>
      <c r="S542" s="115" t="n"/>
      <c r="T542" s="115" t="n"/>
      <c r="U542" s="116" t="n"/>
      <c r="V542" s="116" t="n"/>
      <c r="W542" s="117" t="n"/>
      <c r="X542" s="118" t="n"/>
      <c r="Y542" s="119" t="n"/>
      <c r="Z542" s="120" t="n"/>
      <c r="AA542" s="121" t="n"/>
      <c r="AB542" s="122" t="n"/>
      <c r="AC542" s="117" t="n"/>
      <c r="AD542" s="123">
        <f>IF(SUM($AE542:$AH542)=0,"",SUM($AE542:$AH542))</f>
        <v/>
      </c>
      <c r="AE542" s="123">
        <f>iferror(IF(SUM($AI542:$AZ542)=0,"",SUM($AI542:$AZ542)),"")</f>
        <v/>
      </c>
      <c r="AF542" s="123">
        <f>iferror(IF(SUM($BA542:$BC542)=0,"",SUM($BA542:$BC542)),"")</f>
        <v/>
      </c>
      <c r="AG542" s="123">
        <f>iferror(IF(SUM($BD542:$BF542)=0,"",SUM($BD542:$BF542)),"")</f>
        <v/>
      </c>
      <c r="AH542" s="124">
        <f>iferror(IF(SUM($BG542:$BI542)=0,"",SUM($BG542:$BI542)),"")</f>
        <v/>
      </c>
      <c r="AI542" s="131" t="n"/>
      <c r="AJ542" s="132" t="n"/>
      <c r="AK542" s="132" t="n"/>
      <c r="AL542" s="132" t="n"/>
      <c r="AM542" s="132" t="n"/>
      <c r="AN542" s="132" t="n"/>
      <c r="AO542" s="132" t="n"/>
      <c r="AP542" s="132" t="n"/>
      <c r="AQ542" s="132" t="n"/>
      <c r="AR542" s="132" t="n"/>
      <c r="AS542" s="132" t="n"/>
      <c r="AT542" s="132" t="n"/>
      <c r="AU542" s="132" t="n"/>
      <c r="AV542" s="132" t="n"/>
      <c r="AW542" s="132" t="n"/>
      <c r="AX542" s="132" t="n"/>
      <c r="AY542" s="132" t="n"/>
      <c r="AZ542" s="133" t="n"/>
      <c r="BA542" s="131" t="n"/>
      <c r="BB542" s="132" t="n"/>
      <c r="BC542" s="133" t="n"/>
      <c r="BD542" s="131" t="n"/>
      <c r="BE542" s="132" t="n"/>
      <c r="BF542" s="133" t="n"/>
      <c r="BG542" s="131" t="n"/>
      <c r="BH542" s="132" t="n"/>
      <c r="BI542" s="132" t="n"/>
      <c r="BJ542" s="128">
        <f>iferror(SUM($BK542,($BL542*1.2),($BM542*1.35),($BN542*0.74)),)</f>
        <v/>
      </c>
      <c r="BK542" s="128">
        <f>IFERROR(SUM($BT542:$CK542),)</f>
        <v/>
      </c>
      <c r="BL542" s="129">
        <f>IFERROR(SUM($CL542:$CN542),)</f>
        <v/>
      </c>
      <c r="BM542" s="130">
        <f>IFERROR(SUM($CO542:$CQ542),)</f>
        <v/>
      </c>
      <c r="BN542" s="128">
        <f>IFERROR(SUM($CR542:$CT542),)</f>
        <v/>
      </c>
      <c r="BO542" s="128">
        <f>iferror(SUM($BP542,($BQ542*1.2),($BR542*1.35),($BS542*0.74)),)</f>
        <v/>
      </c>
      <c r="BP542" s="128">
        <f>IFERROR(SUM($CU542:$DL542),)</f>
        <v/>
      </c>
      <c r="BQ542" s="128">
        <f>IFERROR(SUM($DM542:$DO542),)</f>
        <v/>
      </c>
      <c r="BR542" s="128">
        <f>IFERROR(SUM($DP542:$DR542),)</f>
        <v/>
      </c>
      <c r="BS542" s="128">
        <f>IFERROR(SUM($DS542:$DU542),)</f>
        <v/>
      </c>
      <c r="BT542" s="128">
        <f>IFERROR(AI542*$W542,)</f>
        <v/>
      </c>
      <c r="BU542" s="128">
        <f>IFERROR(AJ542*$W542,)</f>
        <v/>
      </c>
      <c r="BV542" s="128">
        <f>IFERROR(AK542*$W542,)</f>
        <v/>
      </c>
      <c r="BW542" s="128">
        <f>IFERROR(AL542*$W542,)</f>
        <v/>
      </c>
      <c r="BX542" s="128">
        <f>IFERROR(AM542*$W542,)</f>
        <v/>
      </c>
      <c r="BY542" s="128">
        <f>IFERROR(AN542*$W542,)</f>
        <v/>
      </c>
      <c r="BZ542" s="128">
        <f>IFERROR(AO542*$W542,)</f>
        <v/>
      </c>
      <c r="CA542" s="128">
        <f>IFERROR(AP542*$W542,)</f>
        <v/>
      </c>
      <c r="CB542" s="128">
        <f>IFERROR(AQ542*$W542,)</f>
        <v/>
      </c>
      <c r="CC542" s="128">
        <f>IFERROR(AR542*$W542,)</f>
        <v/>
      </c>
      <c r="CD542" s="128">
        <f>IFERROR(AS542*$W542,)</f>
        <v/>
      </c>
      <c r="CE542" s="128">
        <f>IFERROR(AT542*$W542,)</f>
        <v/>
      </c>
      <c r="CF542" s="128">
        <f>IFERROR(AU542*$W542,)</f>
        <v/>
      </c>
      <c r="CG542" s="128">
        <f>IFERROR(AV542*$W542,)</f>
        <v/>
      </c>
      <c r="CH542" s="128">
        <f>IFERROR(AW542*$W542,)</f>
        <v/>
      </c>
      <c r="CI542" s="128">
        <f>IFERROR(AX542*$W542,)</f>
        <v/>
      </c>
      <c r="CJ542" s="128">
        <f>IFERROR(AY542*$W542,)</f>
        <v/>
      </c>
      <c r="CK542" s="128">
        <f>IFERROR(AZ542*$W542,)</f>
        <v/>
      </c>
      <c r="CL542" s="129">
        <f>IFERROR(if($Y542=0,BA542*($W542/1.2),BA542*$Y542),"")</f>
        <v/>
      </c>
      <c r="CM542" s="129">
        <f>IFERROR(if($Y542=0,BB542*($W542/1.2),BB542*$Y542),"")</f>
        <v/>
      </c>
      <c r="CN542" s="129">
        <f>IFERROR(if($Y542=0,BC542*($W542/1.2),BC542*$Y542),"")</f>
        <v/>
      </c>
      <c r="CO542" s="130">
        <f>IFERROR(if($AA542=0,($W542/1.35)*BD542,BD542*$AA542),)</f>
        <v/>
      </c>
      <c r="CP542" s="130">
        <f>IFERROR(if($AA542=0,($W542/1.35)*BE542,BE542*$AA542),)</f>
        <v/>
      </c>
      <c r="CQ542" s="130">
        <f>IFERROR(if($AA542=0,($W542/1.35)*BF542,BF542*$AA542),)</f>
        <v/>
      </c>
      <c r="CR542" s="128">
        <f>IFERROR(if($AC542=0,($W542/0.74)*BG542,
BG542*$AC542),)</f>
        <v/>
      </c>
      <c r="CS542" s="128">
        <f>IFERROR(if($AC542=0,($W542/0.74)*BH542,
BH542*$AC542),)</f>
        <v/>
      </c>
      <c r="CT542" s="128">
        <f>IFERROR(if($AC542=0,($W542/0.74)*BI542,
BI542*$AC542),)</f>
        <v/>
      </c>
      <c r="CU542" s="128">
        <f>IFERROR(AI542*$V542,)</f>
        <v/>
      </c>
      <c r="CV542" s="128">
        <f>IFERROR(AJ542*$V542,)</f>
        <v/>
      </c>
      <c r="CW542" s="128">
        <f>IFERROR(AK542*$V542,)</f>
        <v/>
      </c>
      <c r="CX542" s="128">
        <f>IFERROR(AL542*$V542,)</f>
        <v/>
      </c>
      <c r="CY542" s="128">
        <f>IFERROR(AM542*$V542,)</f>
        <v/>
      </c>
      <c r="CZ542" s="128">
        <f>IFERROR(AN542*$V542,)</f>
        <v/>
      </c>
      <c r="DA542" s="128">
        <f>IFERROR(AO542*$V542,)</f>
        <v/>
      </c>
      <c r="DB542" s="128">
        <f>IFERROR(AP542*$V542,)</f>
        <v/>
      </c>
      <c r="DC542" s="128">
        <f>IFERROR(AQ542*$V542,)</f>
        <v/>
      </c>
      <c r="DD542" s="128">
        <f>IFERROR(AR542*$V542,)</f>
        <v/>
      </c>
      <c r="DE542" s="128">
        <f>IFERROR(AS542*$V542,)</f>
        <v/>
      </c>
      <c r="DF542" s="128">
        <f>IFERROR(AT542*$V542,)</f>
        <v/>
      </c>
      <c r="DG542" s="128">
        <f>IFERROR(AU542*$V542,)</f>
        <v/>
      </c>
      <c r="DH542" s="128">
        <f>IFERROR(AV542*$V542,)</f>
        <v/>
      </c>
      <c r="DI542" s="128">
        <f>IFERROR(AW542*$V542,)</f>
        <v/>
      </c>
      <c r="DJ542" s="128">
        <f>IFERROR(AX542*$V542,)</f>
        <v/>
      </c>
      <c r="DK542" s="128">
        <f>IFERROR(AY542*$V542,)</f>
        <v/>
      </c>
      <c r="DL542" s="128">
        <f>IFERROR(AZ542*$V542,)</f>
        <v/>
      </c>
      <c r="DM542" s="129">
        <f>IFERROR(if($X542=0,($V542/1.2)*BA542,
BA542*$X542),)</f>
        <v/>
      </c>
      <c r="DN542" s="129">
        <f>IFERROR(if($X542=0,($V542/1.2)*BB542,
BB542*$X542),)</f>
        <v/>
      </c>
      <c r="DO542" s="129">
        <f>IFERROR(if($X542=0,($V542/1.2)*BC542,
BC542*$X542),)</f>
        <v/>
      </c>
      <c r="DP542" s="130">
        <f>IFERROR(if($Z542=0,($V542/1.35)*BD542,
BD542*$Z542),)</f>
        <v/>
      </c>
      <c r="DQ542" s="130">
        <f>IFERROR(if($Z542=0,($V542/1.35)*BE542,
BE542*$Z542),)</f>
        <v/>
      </c>
      <c r="DR542" s="130">
        <f>IFERROR(if($Z542=0,($V542/1.35)*BF542,
BF542*$Z542),)</f>
        <v/>
      </c>
      <c r="DS542" s="128">
        <f>IFERROR(IF($AB542=0,($V542/0.74)*BG542,
BG542*$AB542),)</f>
        <v/>
      </c>
      <c r="DT542" s="128">
        <f>IFERROR(IF($AB542=0,($V542/0.74)*BH542,
BH542*$AB542),)</f>
        <v/>
      </c>
      <c r="DU542" s="128">
        <f>IFERROR(IF($AB542=0,($V542/0.74)*BI542,
BI542*$AB542),)</f>
        <v/>
      </c>
    </row>
    <row r="543" ht="131.25" customHeight="1" s="162">
      <c r="A543" s="115" t="n"/>
      <c r="B543" s="115" t="n"/>
      <c r="C543" s="115" t="n"/>
      <c r="D543" s="115" t="n"/>
      <c r="E543" s="115" t="n"/>
      <c r="F543" s="115" t="n"/>
      <c r="G543" s="115" t="n"/>
      <c r="H543" s="115" t="n"/>
      <c r="I543" s="115" t="n"/>
      <c r="J543" s="115" t="n"/>
      <c r="K543" s="115" t="n"/>
      <c r="L543" s="115" t="n"/>
      <c r="M543" s="115" t="n"/>
      <c r="N543" s="115" t="n"/>
      <c r="O543" s="115" t="n"/>
      <c r="P543" s="115" t="n"/>
      <c r="Q543" s="115" t="n"/>
      <c r="R543" s="115" t="n"/>
      <c r="S543" s="115" t="n"/>
      <c r="T543" s="115" t="n"/>
      <c r="U543" s="116" t="n"/>
      <c r="V543" s="116" t="n"/>
      <c r="W543" s="117" t="n"/>
      <c r="X543" s="118" t="n"/>
      <c r="Y543" s="119" t="n"/>
      <c r="Z543" s="120" t="n"/>
      <c r="AA543" s="121" t="n"/>
      <c r="AB543" s="122" t="n"/>
      <c r="AC543" s="117" t="n"/>
      <c r="AD543" s="123">
        <f>IF(SUM($AE543:$AH543)=0,"",SUM($AE543:$AH543))</f>
        <v/>
      </c>
      <c r="AE543" s="123">
        <f>iferror(IF(SUM($AI543:$AZ543)=0,"",SUM($AI543:$AZ543)),"")</f>
        <v/>
      </c>
      <c r="AF543" s="123">
        <f>iferror(IF(SUM($BA543:$BC543)=0,"",SUM($BA543:$BC543)),"")</f>
        <v/>
      </c>
      <c r="AG543" s="123">
        <f>iferror(IF(SUM($BD543:$BF543)=0,"",SUM($BD543:$BF543)),"")</f>
        <v/>
      </c>
      <c r="AH543" s="124">
        <f>iferror(IF(SUM($BG543:$BI543)=0,"",SUM($BG543:$BI543)),"")</f>
        <v/>
      </c>
      <c r="AI543" s="131" t="n"/>
      <c r="AJ543" s="132" t="n"/>
      <c r="AK543" s="132" t="n"/>
      <c r="AL543" s="132" t="n"/>
      <c r="AM543" s="132" t="n"/>
      <c r="AN543" s="132" t="n"/>
      <c r="AO543" s="132" t="n"/>
      <c r="AP543" s="132" t="n"/>
      <c r="AQ543" s="132" t="n"/>
      <c r="AR543" s="132" t="n"/>
      <c r="AS543" s="132" t="n"/>
      <c r="AT543" s="132" t="n"/>
      <c r="AU543" s="132" t="n"/>
      <c r="AV543" s="132" t="n"/>
      <c r="AW543" s="132" t="n"/>
      <c r="AX543" s="132" t="n"/>
      <c r="AY543" s="132" t="n"/>
      <c r="AZ543" s="133" t="n"/>
      <c r="BA543" s="131" t="n"/>
      <c r="BB543" s="132" t="n"/>
      <c r="BC543" s="133" t="n"/>
      <c r="BD543" s="131" t="n"/>
      <c r="BE543" s="132" t="n"/>
      <c r="BF543" s="133" t="n"/>
      <c r="BG543" s="131" t="n"/>
      <c r="BH543" s="132" t="n"/>
      <c r="BI543" s="132" t="n"/>
      <c r="BJ543" s="128">
        <f>iferror(SUM($BK543,($BL543*1.2),($BM543*1.35),($BN543*0.74)),)</f>
        <v/>
      </c>
      <c r="BK543" s="128">
        <f>IFERROR(SUM($BT543:$CK543),)</f>
        <v/>
      </c>
      <c r="BL543" s="129">
        <f>IFERROR(SUM($CL543:$CN543),)</f>
        <v/>
      </c>
      <c r="BM543" s="130">
        <f>IFERROR(SUM($CO543:$CQ543),)</f>
        <v/>
      </c>
      <c r="BN543" s="128">
        <f>IFERROR(SUM($CR543:$CT543),)</f>
        <v/>
      </c>
      <c r="BO543" s="128">
        <f>iferror(SUM($BP543,($BQ543*1.2),($BR543*1.35),($BS543*0.74)),)</f>
        <v/>
      </c>
      <c r="BP543" s="128">
        <f>IFERROR(SUM($CU543:$DL543),)</f>
        <v/>
      </c>
      <c r="BQ543" s="128">
        <f>IFERROR(SUM($DM543:$DO543),)</f>
        <v/>
      </c>
      <c r="BR543" s="128">
        <f>IFERROR(SUM($DP543:$DR543),)</f>
        <v/>
      </c>
      <c r="BS543" s="128">
        <f>IFERROR(SUM($DS543:$DU543),)</f>
        <v/>
      </c>
      <c r="BT543" s="128">
        <f>IFERROR(AI543*$W543,)</f>
        <v/>
      </c>
      <c r="BU543" s="128">
        <f>IFERROR(AJ543*$W543,)</f>
        <v/>
      </c>
      <c r="BV543" s="128">
        <f>IFERROR(AK543*$W543,)</f>
        <v/>
      </c>
      <c r="BW543" s="128">
        <f>IFERROR(AL543*$W543,)</f>
        <v/>
      </c>
      <c r="BX543" s="128">
        <f>IFERROR(AM543*$W543,)</f>
        <v/>
      </c>
      <c r="BY543" s="128">
        <f>IFERROR(AN543*$W543,)</f>
        <v/>
      </c>
      <c r="BZ543" s="128">
        <f>IFERROR(AO543*$W543,)</f>
        <v/>
      </c>
      <c r="CA543" s="128">
        <f>IFERROR(AP543*$W543,)</f>
        <v/>
      </c>
      <c r="CB543" s="128">
        <f>IFERROR(AQ543*$W543,)</f>
        <v/>
      </c>
      <c r="CC543" s="128">
        <f>IFERROR(AR543*$W543,)</f>
        <v/>
      </c>
      <c r="CD543" s="128">
        <f>IFERROR(AS543*$W543,)</f>
        <v/>
      </c>
      <c r="CE543" s="128">
        <f>IFERROR(AT543*$W543,)</f>
        <v/>
      </c>
      <c r="CF543" s="128">
        <f>IFERROR(AU543*$W543,)</f>
        <v/>
      </c>
      <c r="CG543" s="128">
        <f>IFERROR(AV543*$W543,)</f>
        <v/>
      </c>
      <c r="CH543" s="128">
        <f>IFERROR(AW543*$W543,)</f>
        <v/>
      </c>
      <c r="CI543" s="128">
        <f>IFERROR(AX543*$W543,)</f>
        <v/>
      </c>
      <c r="CJ543" s="128">
        <f>IFERROR(AY543*$W543,)</f>
        <v/>
      </c>
      <c r="CK543" s="128">
        <f>IFERROR(AZ543*$W543,)</f>
        <v/>
      </c>
      <c r="CL543" s="129">
        <f>IFERROR(if($Y543=0,BA543*($W543/1.2),BA543*$Y543),"")</f>
        <v/>
      </c>
      <c r="CM543" s="129">
        <f>IFERROR(if($Y543=0,BB543*($W543/1.2),BB543*$Y543),"")</f>
        <v/>
      </c>
      <c r="CN543" s="129">
        <f>IFERROR(if($Y543=0,BC543*($W543/1.2),BC543*$Y543),"")</f>
        <v/>
      </c>
      <c r="CO543" s="130">
        <f>IFERROR(if($AA543=0,($W543/1.35)*BD543,BD543*$AA543),)</f>
        <v/>
      </c>
      <c r="CP543" s="130">
        <f>IFERROR(if($AA543=0,($W543/1.35)*BE543,BE543*$AA543),)</f>
        <v/>
      </c>
      <c r="CQ543" s="130">
        <f>IFERROR(if($AA543=0,($W543/1.35)*BF543,BF543*$AA543),)</f>
        <v/>
      </c>
      <c r="CR543" s="128">
        <f>IFERROR(if($AC543=0,($W543/0.74)*BG543,
BG543*$AC543),)</f>
        <v/>
      </c>
      <c r="CS543" s="128">
        <f>IFERROR(if($AC543=0,($W543/0.74)*BH543,
BH543*$AC543),)</f>
        <v/>
      </c>
      <c r="CT543" s="128">
        <f>IFERROR(if($AC543=0,($W543/0.74)*BI543,
BI543*$AC543),)</f>
        <v/>
      </c>
      <c r="CU543" s="128">
        <f>IFERROR(AI543*$V543,)</f>
        <v/>
      </c>
      <c r="CV543" s="128">
        <f>IFERROR(AJ543*$V543,)</f>
        <v/>
      </c>
      <c r="CW543" s="128">
        <f>IFERROR(AK543*$V543,)</f>
        <v/>
      </c>
      <c r="CX543" s="128">
        <f>IFERROR(AL543*$V543,)</f>
        <v/>
      </c>
      <c r="CY543" s="128">
        <f>IFERROR(AM543*$V543,)</f>
        <v/>
      </c>
      <c r="CZ543" s="128">
        <f>IFERROR(AN543*$V543,)</f>
        <v/>
      </c>
      <c r="DA543" s="128">
        <f>IFERROR(AO543*$V543,)</f>
        <v/>
      </c>
      <c r="DB543" s="128">
        <f>IFERROR(AP543*$V543,)</f>
        <v/>
      </c>
      <c r="DC543" s="128">
        <f>IFERROR(AQ543*$V543,)</f>
        <v/>
      </c>
      <c r="DD543" s="128">
        <f>IFERROR(AR543*$V543,)</f>
        <v/>
      </c>
      <c r="DE543" s="128">
        <f>IFERROR(AS543*$V543,)</f>
        <v/>
      </c>
      <c r="DF543" s="128">
        <f>IFERROR(AT543*$V543,)</f>
        <v/>
      </c>
      <c r="DG543" s="128">
        <f>IFERROR(AU543*$V543,)</f>
        <v/>
      </c>
      <c r="DH543" s="128">
        <f>IFERROR(AV543*$V543,)</f>
        <v/>
      </c>
      <c r="DI543" s="128">
        <f>IFERROR(AW543*$V543,)</f>
        <v/>
      </c>
      <c r="DJ543" s="128">
        <f>IFERROR(AX543*$V543,)</f>
        <v/>
      </c>
      <c r="DK543" s="128">
        <f>IFERROR(AY543*$V543,)</f>
        <v/>
      </c>
      <c r="DL543" s="128">
        <f>IFERROR(AZ543*$V543,)</f>
        <v/>
      </c>
      <c r="DM543" s="129">
        <f>IFERROR(if($X543=0,($V543/1.2)*BA543,
BA543*$X543),)</f>
        <v/>
      </c>
      <c r="DN543" s="129">
        <f>IFERROR(if($X543=0,($V543/1.2)*BB543,
BB543*$X543),)</f>
        <v/>
      </c>
      <c r="DO543" s="129">
        <f>IFERROR(if($X543=0,($V543/1.2)*BC543,
BC543*$X543),)</f>
        <v/>
      </c>
      <c r="DP543" s="130">
        <f>IFERROR(if($Z543=0,($V543/1.35)*BD543,
BD543*$Z543),)</f>
        <v/>
      </c>
      <c r="DQ543" s="130">
        <f>IFERROR(if($Z543=0,($V543/1.35)*BE543,
BE543*$Z543),)</f>
        <v/>
      </c>
      <c r="DR543" s="130">
        <f>IFERROR(if($Z543=0,($V543/1.35)*BF543,
BF543*$Z543),)</f>
        <v/>
      </c>
      <c r="DS543" s="128">
        <f>IFERROR(IF($AB543=0,($V543/0.74)*BG543,
BG543*$AB543),)</f>
        <v/>
      </c>
      <c r="DT543" s="128">
        <f>IFERROR(IF($AB543=0,($V543/0.74)*BH543,
BH543*$AB543),)</f>
        <v/>
      </c>
      <c r="DU543" s="128">
        <f>IFERROR(IF($AB543=0,($V543/0.74)*BI543,
BI543*$AB543),)</f>
        <v/>
      </c>
    </row>
    <row r="544" ht="131.25" customHeight="1" s="162">
      <c r="A544" s="115" t="n"/>
      <c r="B544" s="115" t="n"/>
      <c r="C544" s="115" t="n"/>
      <c r="D544" s="115" t="n"/>
      <c r="E544" s="115" t="n"/>
      <c r="F544" s="115" t="n"/>
      <c r="G544" s="115" t="n"/>
      <c r="H544" s="115" t="n"/>
      <c r="I544" s="115" t="n"/>
      <c r="J544" s="115" t="n"/>
      <c r="K544" s="115" t="n"/>
      <c r="L544" s="115" t="n"/>
      <c r="M544" s="115" t="n"/>
      <c r="N544" s="115" t="n"/>
      <c r="O544" s="115" t="n"/>
      <c r="P544" s="115" t="n"/>
      <c r="Q544" s="115" t="n"/>
      <c r="R544" s="115" t="n"/>
      <c r="S544" s="115" t="n"/>
      <c r="T544" s="115" t="n"/>
      <c r="U544" s="116" t="n"/>
      <c r="V544" s="116" t="n"/>
      <c r="W544" s="117" t="n"/>
      <c r="X544" s="118" t="n"/>
      <c r="Y544" s="119" t="n"/>
      <c r="Z544" s="120" t="n"/>
      <c r="AA544" s="121" t="n"/>
      <c r="AB544" s="122" t="n"/>
      <c r="AC544" s="117" t="n"/>
      <c r="AD544" s="123">
        <f>IF(SUM($AE544:$AH544)=0,"",SUM($AE544:$AH544))</f>
        <v/>
      </c>
      <c r="AE544" s="123">
        <f>iferror(IF(SUM($AI544:$AZ544)=0,"",SUM($AI544:$AZ544)),"")</f>
        <v/>
      </c>
      <c r="AF544" s="123">
        <f>iferror(IF(SUM($BA544:$BC544)=0,"",SUM($BA544:$BC544)),"")</f>
        <v/>
      </c>
      <c r="AG544" s="123">
        <f>iferror(IF(SUM($BD544:$BF544)=0,"",SUM($BD544:$BF544)),"")</f>
        <v/>
      </c>
      <c r="AH544" s="124">
        <f>iferror(IF(SUM($BG544:$BI544)=0,"",SUM($BG544:$BI544)),"")</f>
        <v/>
      </c>
      <c r="AI544" s="131" t="n"/>
      <c r="AJ544" s="132" t="n"/>
      <c r="AK544" s="132" t="n"/>
      <c r="AL544" s="132" t="n"/>
      <c r="AM544" s="132" t="n"/>
      <c r="AN544" s="132" t="n"/>
      <c r="AO544" s="132" t="n"/>
      <c r="AP544" s="132" t="n"/>
      <c r="AQ544" s="132" t="n"/>
      <c r="AR544" s="132" t="n"/>
      <c r="AS544" s="132" t="n"/>
      <c r="AT544" s="132" t="n"/>
      <c r="AU544" s="132" t="n"/>
      <c r="AV544" s="132" t="n"/>
      <c r="AW544" s="132" t="n"/>
      <c r="AX544" s="132" t="n"/>
      <c r="AY544" s="132" t="n"/>
      <c r="AZ544" s="133" t="n"/>
      <c r="BA544" s="131" t="n"/>
      <c r="BB544" s="132" t="n"/>
      <c r="BC544" s="133" t="n"/>
      <c r="BD544" s="131" t="n"/>
      <c r="BE544" s="132" t="n"/>
      <c r="BF544" s="133" t="n"/>
      <c r="BG544" s="131" t="n"/>
      <c r="BH544" s="132" t="n"/>
      <c r="BI544" s="132" t="n"/>
      <c r="BJ544" s="128">
        <f>iferror(SUM($BK544,($BL544*1.2),($BM544*1.35),($BN544*0.74)),)</f>
        <v/>
      </c>
      <c r="BK544" s="128">
        <f>IFERROR(SUM($BT544:$CK544),)</f>
        <v/>
      </c>
      <c r="BL544" s="129">
        <f>IFERROR(SUM($CL544:$CN544),)</f>
        <v/>
      </c>
      <c r="BM544" s="130">
        <f>IFERROR(SUM($CO544:$CQ544),)</f>
        <v/>
      </c>
      <c r="BN544" s="128">
        <f>IFERROR(SUM($CR544:$CT544),)</f>
        <v/>
      </c>
      <c r="BO544" s="128">
        <f>iferror(SUM($BP544,($BQ544*1.2),($BR544*1.35),($BS544*0.74)),)</f>
        <v/>
      </c>
      <c r="BP544" s="128">
        <f>IFERROR(SUM($CU544:$DL544),)</f>
        <v/>
      </c>
      <c r="BQ544" s="128">
        <f>IFERROR(SUM($DM544:$DO544),)</f>
        <v/>
      </c>
      <c r="BR544" s="128">
        <f>IFERROR(SUM($DP544:$DR544),)</f>
        <v/>
      </c>
      <c r="BS544" s="128">
        <f>IFERROR(SUM($DS544:$DU544),)</f>
        <v/>
      </c>
      <c r="BT544" s="128">
        <f>IFERROR(AI544*$W544,)</f>
        <v/>
      </c>
      <c r="BU544" s="128">
        <f>IFERROR(AJ544*$W544,)</f>
        <v/>
      </c>
      <c r="BV544" s="128">
        <f>IFERROR(AK544*$W544,)</f>
        <v/>
      </c>
      <c r="BW544" s="128">
        <f>IFERROR(AL544*$W544,)</f>
        <v/>
      </c>
      <c r="BX544" s="128">
        <f>IFERROR(AM544*$W544,)</f>
        <v/>
      </c>
      <c r="BY544" s="128">
        <f>IFERROR(AN544*$W544,)</f>
        <v/>
      </c>
      <c r="BZ544" s="128">
        <f>IFERROR(AO544*$W544,)</f>
        <v/>
      </c>
      <c r="CA544" s="128">
        <f>IFERROR(AP544*$W544,)</f>
        <v/>
      </c>
      <c r="CB544" s="128">
        <f>IFERROR(AQ544*$W544,)</f>
        <v/>
      </c>
      <c r="CC544" s="128">
        <f>IFERROR(AR544*$W544,)</f>
        <v/>
      </c>
      <c r="CD544" s="128">
        <f>IFERROR(AS544*$W544,)</f>
        <v/>
      </c>
      <c r="CE544" s="128">
        <f>IFERROR(AT544*$W544,)</f>
        <v/>
      </c>
      <c r="CF544" s="128">
        <f>IFERROR(AU544*$W544,)</f>
        <v/>
      </c>
      <c r="CG544" s="128">
        <f>IFERROR(AV544*$W544,)</f>
        <v/>
      </c>
      <c r="CH544" s="128">
        <f>IFERROR(AW544*$W544,)</f>
        <v/>
      </c>
      <c r="CI544" s="128">
        <f>IFERROR(AX544*$W544,)</f>
        <v/>
      </c>
      <c r="CJ544" s="128">
        <f>IFERROR(AY544*$W544,)</f>
        <v/>
      </c>
      <c r="CK544" s="128">
        <f>IFERROR(AZ544*$W544,)</f>
        <v/>
      </c>
      <c r="CL544" s="129">
        <f>IFERROR(if($Y544=0,BA544*($W544/1.2),BA544*$Y544),"")</f>
        <v/>
      </c>
      <c r="CM544" s="129">
        <f>IFERROR(if($Y544=0,BB544*($W544/1.2),BB544*$Y544),"")</f>
        <v/>
      </c>
      <c r="CN544" s="129">
        <f>IFERROR(if($Y544=0,BC544*($W544/1.2),BC544*$Y544),"")</f>
        <v/>
      </c>
      <c r="CO544" s="130">
        <f>IFERROR(if($AA544=0,($W544/1.35)*BD544,BD544*$AA544),)</f>
        <v/>
      </c>
      <c r="CP544" s="130">
        <f>IFERROR(if($AA544=0,($W544/1.35)*BE544,BE544*$AA544),)</f>
        <v/>
      </c>
      <c r="CQ544" s="130">
        <f>IFERROR(if($AA544=0,($W544/1.35)*BF544,BF544*$AA544),)</f>
        <v/>
      </c>
      <c r="CR544" s="128">
        <f>IFERROR(if($AC544=0,($W544/0.74)*BG544,
BG544*$AC544),)</f>
        <v/>
      </c>
      <c r="CS544" s="128">
        <f>IFERROR(if($AC544=0,($W544/0.74)*BH544,
BH544*$AC544),)</f>
        <v/>
      </c>
      <c r="CT544" s="128">
        <f>IFERROR(if($AC544=0,($W544/0.74)*BI544,
BI544*$AC544),)</f>
        <v/>
      </c>
      <c r="CU544" s="128">
        <f>IFERROR(AI544*$V544,)</f>
        <v/>
      </c>
      <c r="CV544" s="128">
        <f>IFERROR(AJ544*$V544,)</f>
        <v/>
      </c>
      <c r="CW544" s="128">
        <f>IFERROR(AK544*$V544,)</f>
        <v/>
      </c>
      <c r="CX544" s="128">
        <f>IFERROR(AL544*$V544,)</f>
        <v/>
      </c>
      <c r="CY544" s="128">
        <f>IFERROR(AM544*$V544,)</f>
        <v/>
      </c>
      <c r="CZ544" s="128">
        <f>IFERROR(AN544*$V544,)</f>
        <v/>
      </c>
      <c r="DA544" s="128">
        <f>IFERROR(AO544*$V544,)</f>
        <v/>
      </c>
      <c r="DB544" s="128">
        <f>IFERROR(AP544*$V544,)</f>
        <v/>
      </c>
      <c r="DC544" s="128">
        <f>IFERROR(AQ544*$V544,)</f>
        <v/>
      </c>
      <c r="DD544" s="128">
        <f>IFERROR(AR544*$V544,)</f>
        <v/>
      </c>
      <c r="DE544" s="128">
        <f>IFERROR(AS544*$V544,)</f>
        <v/>
      </c>
      <c r="DF544" s="128">
        <f>IFERROR(AT544*$V544,)</f>
        <v/>
      </c>
      <c r="DG544" s="128">
        <f>IFERROR(AU544*$V544,)</f>
        <v/>
      </c>
      <c r="DH544" s="128">
        <f>IFERROR(AV544*$V544,)</f>
        <v/>
      </c>
      <c r="DI544" s="128">
        <f>IFERROR(AW544*$V544,)</f>
        <v/>
      </c>
      <c r="DJ544" s="128">
        <f>IFERROR(AX544*$V544,)</f>
        <v/>
      </c>
      <c r="DK544" s="128">
        <f>IFERROR(AY544*$V544,)</f>
        <v/>
      </c>
      <c r="DL544" s="128">
        <f>IFERROR(AZ544*$V544,)</f>
        <v/>
      </c>
      <c r="DM544" s="129">
        <f>IFERROR(if($X544=0,($V544/1.2)*BA544,
BA544*$X544),)</f>
        <v/>
      </c>
      <c r="DN544" s="129">
        <f>IFERROR(if($X544=0,($V544/1.2)*BB544,
BB544*$X544),)</f>
        <v/>
      </c>
      <c r="DO544" s="129">
        <f>IFERROR(if($X544=0,($V544/1.2)*BC544,
BC544*$X544),)</f>
        <v/>
      </c>
      <c r="DP544" s="130">
        <f>IFERROR(if($Z544=0,($V544/1.35)*BD544,
BD544*$Z544),)</f>
        <v/>
      </c>
      <c r="DQ544" s="130">
        <f>IFERROR(if($Z544=0,($V544/1.35)*BE544,
BE544*$Z544),)</f>
        <v/>
      </c>
      <c r="DR544" s="130">
        <f>IFERROR(if($Z544=0,($V544/1.35)*BF544,
BF544*$Z544),)</f>
        <v/>
      </c>
      <c r="DS544" s="128">
        <f>IFERROR(IF($AB544=0,($V544/0.74)*BG544,
BG544*$AB544),)</f>
        <v/>
      </c>
      <c r="DT544" s="128">
        <f>IFERROR(IF($AB544=0,($V544/0.74)*BH544,
BH544*$AB544),)</f>
        <v/>
      </c>
      <c r="DU544" s="128">
        <f>IFERROR(IF($AB544=0,($V544/0.74)*BI544,
BI544*$AB544),)</f>
        <v/>
      </c>
    </row>
    <row r="545" ht="131.25" customHeight="1" s="162">
      <c r="A545" s="115" t="n"/>
      <c r="B545" s="115" t="n"/>
      <c r="C545" s="115" t="n"/>
      <c r="D545" s="115" t="n"/>
      <c r="E545" s="115" t="n"/>
      <c r="F545" s="115" t="n"/>
      <c r="G545" s="115" t="n"/>
      <c r="H545" s="115" t="n"/>
      <c r="I545" s="115" t="n"/>
      <c r="J545" s="115" t="n"/>
      <c r="K545" s="115" t="n"/>
      <c r="L545" s="115" t="n"/>
      <c r="M545" s="115" t="n"/>
      <c r="N545" s="115" t="n"/>
      <c r="O545" s="115" t="n"/>
      <c r="P545" s="115" t="n"/>
      <c r="Q545" s="115" t="n"/>
      <c r="R545" s="115" t="n"/>
      <c r="S545" s="115" t="n"/>
      <c r="T545" s="115" t="n"/>
      <c r="U545" s="116" t="n"/>
      <c r="V545" s="116" t="n"/>
      <c r="W545" s="117" t="n"/>
      <c r="X545" s="118" t="n"/>
      <c r="Y545" s="119" t="n"/>
      <c r="Z545" s="120" t="n"/>
      <c r="AA545" s="121" t="n"/>
      <c r="AB545" s="122" t="n"/>
      <c r="AC545" s="117" t="n"/>
      <c r="AD545" s="123">
        <f>IF(SUM($AE545:$AH545)=0,"",SUM($AE545:$AH545))</f>
        <v/>
      </c>
      <c r="AE545" s="123">
        <f>iferror(IF(SUM($AI545:$AZ545)=0,"",SUM($AI545:$AZ545)),"")</f>
        <v/>
      </c>
      <c r="AF545" s="123">
        <f>iferror(IF(SUM($BA545:$BC545)=0,"",SUM($BA545:$BC545)),"")</f>
        <v/>
      </c>
      <c r="AG545" s="123">
        <f>iferror(IF(SUM($BD545:$BF545)=0,"",SUM($BD545:$BF545)),"")</f>
        <v/>
      </c>
      <c r="AH545" s="124">
        <f>iferror(IF(SUM($BG545:$BI545)=0,"",SUM($BG545:$BI545)),"")</f>
        <v/>
      </c>
      <c r="AI545" s="131" t="n"/>
      <c r="AJ545" s="132" t="n"/>
      <c r="AK545" s="132" t="n"/>
      <c r="AL545" s="132" t="n"/>
      <c r="AM545" s="132" t="n"/>
      <c r="AN545" s="132" t="n"/>
      <c r="AO545" s="132" t="n"/>
      <c r="AP545" s="132" t="n"/>
      <c r="AQ545" s="132" t="n"/>
      <c r="AR545" s="132" t="n"/>
      <c r="AS545" s="132" t="n"/>
      <c r="AT545" s="132" t="n"/>
      <c r="AU545" s="132" t="n"/>
      <c r="AV545" s="132" t="n"/>
      <c r="AW545" s="132" t="n"/>
      <c r="AX545" s="132" t="n"/>
      <c r="AY545" s="132" t="n"/>
      <c r="AZ545" s="133" t="n"/>
      <c r="BA545" s="131" t="n"/>
      <c r="BB545" s="132" t="n"/>
      <c r="BC545" s="133" t="n"/>
      <c r="BD545" s="131" t="n"/>
      <c r="BE545" s="132" t="n"/>
      <c r="BF545" s="133" t="n"/>
      <c r="BG545" s="131" t="n"/>
      <c r="BH545" s="132" t="n"/>
      <c r="BI545" s="132" t="n"/>
      <c r="BJ545" s="128">
        <f>iferror(SUM($BK545,($BL545*1.2),($BM545*1.35),($BN545*0.74)),)</f>
        <v/>
      </c>
      <c r="BK545" s="128">
        <f>IFERROR(SUM($BT545:$CK545),)</f>
        <v/>
      </c>
      <c r="BL545" s="129">
        <f>IFERROR(SUM($CL545:$CN545),)</f>
        <v/>
      </c>
      <c r="BM545" s="130">
        <f>IFERROR(SUM($CO545:$CQ545),)</f>
        <v/>
      </c>
      <c r="BN545" s="128">
        <f>IFERROR(SUM($CR545:$CT545),)</f>
        <v/>
      </c>
      <c r="BO545" s="128">
        <f>iferror(SUM($BP545,($BQ545*1.2),($BR545*1.35),($BS545*0.74)),)</f>
        <v/>
      </c>
      <c r="BP545" s="128">
        <f>IFERROR(SUM($CU545:$DL545),)</f>
        <v/>
      </c>
      <c r="BQ545" s="128">
        <f>IFERROR(SUM($DM545:$DO545),)</f>
        <v/>
      </c>
      <c r="BR545" s="128">
        <f>IFERROR(SUM($DP545:$DR545),)</f>
        <v/>
      </c>
      <c r="BS545" s="128">
        <f>IFERROR(SUM($DS545:$DU545),)</f>
        <v/>
      </c>
      <c r="BT545" s="128">
        <f>IFERROR(AI545*$W545,)</f>
        <v/>
      </c>
      <c r="BU545" s="128">
        <f>IFERROR(AJ545*$W545,)</f>
        <v/>
      </c>
      <c r="BV545" s="128">
        <f>IFERROR(AK545*$W545,)</f>
        <v/>
      </c>
      <c r="BW545" s="128">
        <f>IFERROR(AL545*$W545,)</f>
        <v/>
      </c>
      <c r="BX545" s="128">
        <f>IFERROR(AM545*$W545,)</f>
        <v/>
      </c>
      <c r="BY545" s="128">
        <f>IFERROR(AN545*$W545,)</f>
        <v/>
      </c>
      <c r="BZ545" s="128">
        <f>IFERROR(AO545*$W545,)</f>
        <v/>
      </c>
      <c r="CA545" s="128">
        <f>IFERROR(AP545*$W545,)</f>
        <v/>
      </c>
      <c r="CB545" s="128">
        <f>IFERROR(AQ545*$W545,)</f>
        <v/>
      </c>
      <c r="CC545" s="128">
        <f>IFERROR(AR545*$W545,)</f>
        <v/>
      </c>
      <c r="CD545" s="128">
        <f>IFERROR(AS545*$W545,)</f>
        <v/>
      </c>
      <c r="CE545" s="128">
        <f>IFERROR(AT545*$W545,)</f>
        <v/>
      </c>
      <c r="CF545" s="128">
        <f>IFERROR(AU545*$W545,)</f>
        <v/>
      </c>
      <c r="CG545" s="128">
        <f>IFERROR(AV545*$W545,)</f>
        <v/>
      </c>
      <c r="CH545" s="128">
        <f>IFERROR(AW545*$W545,)</f>
        <v/>
      </c>
      <c r="CI545" s="128">
        <f>IFERROR(AX545*$W545,)</f>
        <v/>
      </c>
      <c r="CJ545" s="128">
        <f>IFERROR(AY545*$W545,)</f>
        <v/>
      </c>
      <c r="CK545" s="128">
        <f>IFERROR(AZ545*$W545,)</f>
        <v/>
      </c>
      <c r="CL545" s="129">
        <f>IFERROR(if($Y545=0,BA545*($W545/1.2),BA545*$Y545),"")</f>
        <v/>
      </c>
      <c r="CM545" s="129">
        <f>IFERROR(if($Y545=0,BB545*($W545/1.2),BB545*$Y545),"")</f>
        <v/>
      </c>
      <c r="CN545" s="129">
        <f>IFERROR(if($Y545=0,BC545*($W545/1.2),BC545*$Y545),"")</f>
        <v/>
      </c>
      <c r="CO545" s="130">
        <f>IFERROR(if($AA545=0,($W545/1.35)*BD545,BD545*$AA545),)</f>
        <v/>
      </c>
      <c r="CP545" s="130">
        <f>IFERROR(if($AA545=0,($W545/1.35)*BE545,BE545*$AA545),)</f>
        <v/>
      </c>
      <c r="CQ545" s="130">
        <f>IFERROR(if($AA545=0,($W545/1.35)*BF545,BF545*$AA545),)</f>
        <v/>
      </c>
      <c r="CR545" s="128">
        <f>IFERROR(if($AC545=0,($W545/0.74)*BG545,
BG545*$AC545),)</f>
        <v/>
      </c>
      <c r="CS545" s="128">
        <f>IFERROR(if($AC545=0,($W545/0.74)*BH545,
BH545*$AC545),)</f>
        <v/>
      </c>
      <c r="CT545" s="128">
        <f>IFERROR(if($AC545=0,($W545/0.74)*BI545,
BI545*$AC545),)</f>
        <v/>
      </c>
      <c r="CU545" s="128">
        <f>IFERROR(AI545*$V545,)</f>
        <v/>
      </c>
      <c r="CV545" s="128">
        <f>IFERROR(AJ545*$V545,)</f>
        <v/>
      </c>
      <c r="CW545" s="128">
        <f>IFERROR(AK545*$V545,)</f>
        <v/>
      </c>
      <c r="CX545" s="128">
        <f>IFERROR(AL545*$V545,)</f>
        <v/>
      </c>
      <c r="CY545" s="128">
        <f>IFERROR(AM545*$V545,)</f>
        <v/>
      </c>
      <c r="CZ545" s="128">
        <f>IFERROR(AN545*$V545,)</f>
        <v/>
      </c>
      <c r="DA545" s="128">
        <f>IFERROR(AO545*$V545,)</f>
        <v/>
      </c>
      <c r="DB545" s="128">
        <f>IFERROR(AP545*$V545,)</f>
        <v/>
      </c>
      <c r="DC545" s="128">
        <f>IFERROR(AQ545*$V545,)</f>
        <v/>
      </c>
      <c r="DD545" s="128">
        <f>IFERROR(AR545*$V545,)</f>
        <v/>
      </c>
      <c r="DE545" s="128">
        <f>IFERROR(AS545*$V545,)</f>
        <v/>
      </c>
      <c r="DF545" s="128">
        <f>IFERROR(AT545*$V545,)</f>
        <v/>
      </c>
      <c r="DG545" s="128">
        <f>IFERROR(AU545*$V545,)</f>
        <v/>
      </c>
      <c r="DH545" s="128">
        <f>IFERROR(AV545*$V545,)</f>
        <v/>
      </c>
      <c r="DI545" s="128">
        <f>IFERROR(AW545*$V545,)</f>
        <v/>
      </c>
      <c r="DJ545" s="128">
        <f>IFERROR(AX545*$V545,)</f>
        <v/>
      </c>
      <c r="DK545" s="128">
        <f>IFERROR(AY545*$V545,)</f>
        <v/>
      </c>
      <c r="DL545" s="128">
        <f>IFERROR(AZ545*$V545,)</f>
        <v/>
      </c>
      <c r="DM545" s="129">
        <f>IFERROR(if($X545=0,($V545/1.2)*BA545,
BA545*$X545),)</f>
        <v/>
      </c>
      <c r="DN545" s="129">
        <f>IFERROR(if($X545=0,($V545/1.2)*BB545,
BB545*$X545),)</f>
        <v/>
      </c>
      <c r="DO545" s="129">
        <f>IFERROR(if($X545=0,($V545/1.2)*BC545,
BC545*$X545),)</f>
        <v/>
      </c>
      <c r="DP545" s="130">
        <f>IFERROR(if($Z545=0,($V545/1.35)*BD545,
BD545*$Z545),)</f>
        <v/>
      </c>
      <c r="DQ545" s="130">
        <f>IFERROR(if($Z545=0,($V545/1.35)*BE545,
BE545*$Z545),)</f>
        <v/>
      </c>
      <c r="DR545" s="130">
        <f>IFERROR(if($Z545=0,($V545/1.35)*BF545,
BF545*$Z545),)</f>
        <v/>
      </c>
      <c r="DS545" s="128">
        <f>IFERROR(IF($AB545=0,($V545/0.74)*BG545,
BG545*$AB545),)</f>
        <v/>
      </c>
      <c r="DT545" s="128">
        <f>IFERROR(IF($AB545=0,($V545/0.74)*BH545,
BH545*$AB545),)</f>
        <v/>
      </c>
      <c r="DU545" s="128">
        <f>IFERROR(IF($AB545=0,($V545/0.74)*BI545,
BI545*$AB545),)</f>
        <v/>
      </c>
    </row>
    <row r="546" ht="131.25" customHeight="1" s="162">
      <c r="A546" s="115" t="n"/>
      <c r="B546" s="115" t="n"/>
      <c r="C546" s="115" t="n"/>
      <c r="D546" s="115" t="n"/>
      <c r="E546" s="115" t="n"/>
      <c r="F546" s="115" t="n"/>
      <c r="G546" s="115" t="n"/>
      <c r="H546" s="115" t="n"/>
      <c r="I546" s="115" t="n"/>
      <c r="J546" s="115" t="n"/>
      <c r="K546" s="115" t="n"/>
      <c r="L546" s="115" t="n"/>
      <c r="M546" s="115" t="n"/>
      <c r="N546" s="115" t="n"/>
      <c r="O546" s="115" t="n"/>
      <c r="P546" s="115" t="n"/>
      <c r="Q546" s="115" t="n"/>
      <c r="R546" s="115" t="n"/>
      <c r="S546" s="115" t="n"/>
      <c r="T546" s="115" t="n"/>
      <c r="U546" s="116" t="n"/>
      <c r="V546" s="116" t="n"/>
      <c r="W546" s="117" t="n"/>
      <c r="X546" s="118" t="n"/>
      <c r="Y546" s="119" t="n"/>
      <c r="Z546" s="120" t="n"/>
      <c r="AA546" s="121" t="n"/>
      <c r="AB546" s="122" t="n"/>
      <c r="AC546" s="117" t="n"/>
      <c r="AD546" s="123">
        <f>IF(SUM($AE546:$AH546)=0,"",SUM($AE546:$AH546))</f>
        <v/>
      </c>
      <c r="AE546" s="123">
        <f>iferror(IF(SUM($AI546:$AZ546)=0,"",SUM($AI546:$AZ546)),"")</f>
        <v/>
      </c>
      <c r="AF546" s="123">
        <f>iferror(IF(SUM($BA546:$BC546)=0,"",SUM($BA546:$BC546)),"")</f>
        <v/>
      </c>
      <c r="AG546" s="123">
        <f>iferror(IF(SUM($BD546:$BF546)=0,"",SUM($BD546:$BF546)),"")</f>
        <v/>
      </c>
      <c r="AH546" s="124">
        <f>iferror(IF(SUM($BG546:$BI546)=0,"",SUM($BG546:$BI546)),"")</f>
        <v/>
      </c>
      <c r="AI546" s="131" t="n"/>
      <c r="AJ546" s="132" t="n"/>
      <c r="AK546" s="132" t="n"/>
      <c r="AL546" s="132" t="n"/>
      <c r="AM546" s="132" t="n"/>
      <c r="AN546" s="132" t="n"/>
      <c r="AO546" s="132" t="n"/>
      <c r="AP546" s="132" t="n"/>
      <c r="AQ546" s="132" t="n"/>
      <c r="AR546" s="132" t="n"/>
      <c r="AS546" s="132" t="n"/>
      <c r="AT546" s="132" t="n"/>
      <c r="AU546" s="132" t="n"/>
      <c r="AV546" s="132" t="n"/>
      <c r="AW546" s="132" t="n"/>
      <c r="AX546" s="132" t="n"/>
      <c r="AY546" s="132" t="n"/>
      <c r="AZ546" s="133" t="n"/>
      <c r="BA546" s="131" t="n"/>
      <c r="BB546" s="132" t="n"/>
      <c r="BC546" s="133" t="n"/>
      <c r="BD546" s="131" t="n"/>
      <c r="BE546" s="132" t="n"/>
      <c r="BF546" s="133" t="n"/>
      <c r="BG546" s="131" t="n"/>
      <c r="BH546" s="132" t="n"/>
      <c r="BI546" s="132" t="n"/>
      <c r="BJ546" s="128">
        <f>iferror(SUM($BK546,($BL546*1.2),($BM546*1.35),($BN546*0.74)),)</f>
        <v/>
      </c>
      <c r="BK546" s="128">
        <f>IFERROR(SUM($BT546:$CK546),)</f>
        <v/>
      </c>
      <c r="BL546" s="129">
        <f>IFERROR(SUM($CL546:$CN546),)</f>
        <v/>
      </c>
      <c r="BM546" s="130">
        <f>IFERROR(SUM($CO546:$CQ546),)</f>
        <v/>
      </c>
      <c r="BN546" s="128">
        <f>IFERROR(SUM($CR546:$CT546),)</f>
        <v/>
      </c>
      <c r="BO546" s="128">
        <f>iferror(SUM($BP546,($BQ546*1.2),($BR546*1.35),($BS546*0.74)),)</f>
        <v/>
      </c>
      <c r="BP546" s="128">
        <f>IFERROR(SUM($CU546:$DL546),)</f>
        <v/>
      </c>
      <c r="BQ546" s="128">
        <f>IFERROR(SUM($DM546:$DO546),)</f>
        <v/>
      </c>
      <c r="BR546" s="128">
        <f>IFERROR(SUM($DP546:$DR546),)</f>
        <v/>
      </c>
      <c r="BS546" s="128">
        <f>IFERROR(SUM($DS546:$DU546),)</f>
        <v/>
      </c>
      <c r="BT546" s="128">
        <f>IFERROR(AI546*$W546,)</f>
        <v/>
      </c>
      <c r="BU546" s="128">
        <f>IFERROR(AJ546*$W546,)</f>
        <v/>
      </c>
      <c r="BV546" s="128">
        <f>IFERROR(AK546*$W546,)</f>
        <v/>
      </c>
      <c r="BW546" s="128">
        <f>IFERROR(AL546*$W546,)</f>
        <v/>
      </c>
      <c r="BX546" s="128">
        <f>IFERROR(AM546*$W546,)</f>
        <v/>
      </c>
      <c r="BY546" s="128">
        <f>IFERROR(AN546*$W546,)</f>
        <v/>
      </c>
      <c r="BZ546" s="128">
        <f>IFERROR(AO546*$W546,)</f>
        <v/>
      </c>
      <c r="CA546" s="128">
        <f>IFERROR(AP546*$W546,)</f>
        <v/>
      </c>
      <c r="CB546" s="128">
        <f>IFERROR(AQ546*$W546,)</f>
        <v/>
      </c>
      <c r="CC546" s="128">
        <f>IFERROR(AR546*$W546,)</f>
        <v/>
      </c>
      <c r="CD546" s="128">
        <f>IFERROR(AS546*$W546,)</f>
        <v/>
      </c>
      <c r="CE546" s="128">
        <f>IFERROR(AT546*$W546,)</f>
        <v/>
      </c>
      <c r="CF546" s="128">
        <f>IFERROR(AU546*$W546,)</f>
        <v/>
      </c>
      <c r="CG546" s="128">
        <f>IFERROR(AV546*$W546,)</f>
        <v/>
      </c>
      <c r="CH546" s="128">
        <f>IFERROR(AW546*$W546,)</f>
        <v/>
      </c>
      <c r="CI546" s="128">
        <f>IFERROR(AX546*$W546,)</f>
        <v/>
      </c>
      <c r="CJ546" s="128">
        <f>IFERROR(AY546*$W546,)</f>
        <v/>
      </c>
      <c r="CK546" s="128">
        <f>IFERROR(AZ546*$W546,)</f>
        <v/>
      </c>
      <c r="CL546" s="129">
        <f>IFERROR(if($Y546=0,BA546*($W546/1.2),BA546*$Y546),"")</f>
        <v/>
      </c>
      <c r="CM546" s="129">
        <f>IFERROR(if($Y546=0,BB546*($W546/1.2),BB546*$Y546),"")</f>
        <v/>
      </c>
      <c r="CN546" s="129">
        <f>IFERROR(if($Y546=0,BC546*($W546/1.2),BC546*$Y546),"")</f>
        <v/>
      </c>
      <c r="CO546" s="130">
        <f>IFERROR(if($AA546=0,($W546/1.35)*BD546,BD546*$AA546),)</f>
        <v/>
      </c>
      <c r="CP546" s="130">
        <f>IFERROR(if($AA546=0,($W546/1.35)*BE546,BE546*$AA546),)</f>
        <v/>
      </c>
      <c r="CQ546" s="130">
        <f>IFERROR(if($AA546=0,($W546/1.35)*BF546,BF546*$AA546),)</f>
        <v/>
      </c>
      <c r="CR546" s="128">
        <f>IFERROR(if($AC546=0,($W546/0.74)*BG546,
BG546*$AC546),)</f>
        <v/>
      </c>
      <c r="CS546" s="128">
        <f>IFERROR(if($AC546=0,($W546/0.74)*BH546,
BH546*$AC546),)</f>
        <v/>
      </c>
      <c r="CT546" s="128">
        <f>IFERROR(if($AC546=0,($W546/0.74)*BI546,
BI546*$AC546),)</f>
        <v/>
      </c>
      <c r="CU546" s="128">
        <f>IFERROR(AI546*$V546,)</f>
        <v/>
      </c>
      <c r="CV546" s="128">
        <f>IFERROR(AJ546*$V546,)</f>
        <v/>
      </c>
      <c r="CW546" s="128">
        <f>IFERROR(AK546*$V546,)</f>
        <v/>
      </c>
      <c r="CX546" s="128">
        <f>IFERROR(AL546*$V546,)</f>
        <v/>
      </c>
      <c r="CY546" s="128">
        <f>IFERROR(AM546*$V546,)</f>
        <v/>
      </c>
      <c r="CZ546" s="128">
        <f>IFERROR(AN546*$V546,)</f>
        <v/>
      </c>
      <c r="DA546" s="128">
        <f>IFERROR(AO546*$V546,)</f>
        <v/>
      </c>
      <c r="DB546" s="128">
        <f>IFERROR(AP546*$V546,)</f>
        <v/>
      </c>
      <c r="DC546" s="128">
        <f>IFERROR(AQ546*$V546,)</f>
        <v/>
      </c>
      <c r="DD546" s="128">
        <f>IFERROR(AR546*$V546,)</f>
        <v/>
      </c>
      <c r="DE546" s="128">
        <f>IFERROR(AS546*$V546,)</f>
        <v/>
      </c>
      <c r="DF546" s="128">
        <f>IFERROR(AT546*$V546,)</f>
        <v/>
      </c>
      <c r="DG546" s="128">
        <f>IFERROR(AU546*$V546,)</f>
        <v/>
      </c>
      <c r="DH546" s="128">
        <f>IFERROR(AV546*$V546,)</f>
        <v/>
      </c>
      <c r="DI546" s="128">
        <f>IFERROR(AW546*$V546,)</f>
        <v/>
      </c>
      <c r="DJ546" s="128">
        <f>IFERROR(AX546*$V546,)</f>
        <v/>
      </c>
      <c r="DK546" s="128">
        <f>IFERROR(AY546*$V546,)</f>
        <v/>
      </c>
      <c r="DL546" s="128">
        <f>IFERROR(AZ546*$V546,)</f>
        <v/>
      </c>
      <c r="DM546" s="129">
        <f>IFERROR(if($X546=0,($V546/1.2)*BA546,
BA546*$X546),)</f>
        <v/>
      </c>
      <c r="DN546" s="129">
        <f>IFERROR(if($X546=0,($V546/1.2)*BB546,
BB546*$X546),)</f>
        <v/>
      </c>
      <c r="DO546" s="129">
        <f>IFERROR(if($X546=0,($V546/1.2)*BC546,
BC546*$X546),)</f>
        <v/>
      </c>
      <c r="DP546" s="130">
        <f>IFERROR(if($Z546=0,($V546/1.35)*BD546,
BD546*$Z546),)</f>
        <v/>
      </c>
      <c r="DQ546" s="130">
        <f>IFERROR(if($Z546=0,($V546/1.35)*BE546,
BE546*$Z546),)</f>
        <v/>
      </c>
      <c r="DR546" s="130">
        <f>IFERROR(if($Z546=0,($V546/1.35)*BF546,
BF546*$Z546),)</f>
        <v/>
      </c>
      <c r="DS546" s="128">
        <f>IFERROR(IF($AB546=0,($V546/0.74)*BG546,
BG546*$AB546),)</f>
        <v/>
      </c>
      <c r="DT546" s="128">
        <f>IFERROR(IF($AB546=0,($V546/0.74)*BH546,
BH546*$AB546),)</f>
        <v/>
      </c>
      <c r="DU546" s="128">
        <f>IFERROR(IF($AB546=0,($V546/0.74)*BI546,
BI546*$AB546),)</f>
        <v/>
      </c>
    </row>
    <row r="547" ht="131.25" customHeight="1" s="162">
      <c r="A547" s="115" t="n"/>
      <c r="B547" s="115" t="n"/>
      <c r="C547" s="115" t="n"/>
      <c r="D547" s="115" t="n"/>
      <c r="E547" s="115" t="n"/>
      <c r="F547" s="115" t="n"/>
      <c r="G547" s="115" t="n"/>
      <c r="H547" s="115" t="n"/>
      <c r="I547" s="115" t="n"/>
      <c r="J547" s="115" t="n"/>
      <c r="K547" s="115" t="n"/>
      <c r="L547" s="115" t="n"/>
      <c r="M547" s="115" t="n"/>
      <c r="N547" s="115" t="n"/>
      <c r="O547" s="115" t="n"/>
      <c r="P547" s="115" t="n"/>
      <c r="Q547" s="115" t="n"/>
      <c r="R547" s="115" t="n"/>
      <c r="S547" s="115" t="n"/>
      <c r="T547" s="115" t="n"/>
      <c r="U547" s="116" t="n"/>
      <c r="V547" s="116" t="n"/>
      <c r="W547" s="117" t="n"/>
      <c r="X547" s="118" t="n"/>
      <c r="Y547" s="119" t="n"/>
      <c r="Z547" s="120" t="n"/>
      <c r="AA547" s="121" t="n"/>
      <c r="AB547" s="122" t="n"/>
      <c r="AC547" s="117" t="n"/>
      <c r="AD547" s="123">
        <f>IF(SUM($AE547:$AH547)=0,"",SUM($AE547:$AH547))</f>
        <v/>
      </c>
      <c r="AE547" s="123">
        <f>iferror(IF(SUM($AI547:$AZ547)=0,"",SUM($AI547:$AZ547)),"")</f>
        <v/>
      </c>
      <c r="AF547" s="123">
        <f>iferror(IF(SUM($BA547:$BC547)=0,"",SUM($BA547:$BC547)),"")</f>
        <v/>
      </c>
      <c r="AG547" s="123">
        <f>iferror(IF(SUM($BD547:$BF547)=0,"",SUM($BD547:$BF547)),"")</f>
        <v/>
      </c>
      <c r="AH547" s="124">
        <f>iferror(IF(SUM($BG547:$BI547)=0,"",SUM($BG547:$BI547)),"")</f>
        <v/>
      </c>
      <c r="AI547" s="131" t="n"/>
      <c r="AJ547" s="132" t="n"/>
      <c r="AK547" s="132" t="n"/>
      <c r="AL547" s="132" t="n"/>
      <c r="AM547" s="132" t="n"/>
      <c r="AN547" s="132" t="n"/>
      <c r="AO547" s="132" t="n"/>
      <c r="AP547" s="132" t="n"/>
      <c r="AQ547" s="132" t="n"/>
      <c r="AR547" s="132" t="n"/>
      <c r="AS547" s="132" t="n"/>
      <c r="AT547" s="132" t="n"/>
      <c r="AU547" s="132" t="n"/>
      <c r="AV547" s="132" t="n"/>
      <c r="AW547" s="132" t="n"/>
      <c r="AX547" s="132" t="n"/>
      <c r="AY547" s="132" t="n"/>
      <c r="AZ547" s="133" t="n"/>
      <c r="BA547" s="131" t="n"/>
      <c r="BB547" s="132" t="n"/>
      <c r="BC547" s="133" t="n"/>
      <c r="BD547" s="131" t="n"/>
      <c r="BE547" s="132" t="n"/>
      <c r="BF547" s="133" t="n"/>
      <c r="BG547" s="131" t="n"/>
      <c r="BH547" s="132" t="n"/>
      <c r="BI547" s="132" t="n"/>
      <c r="BJ547" s="128">
        <f>iferror(SUM($BK547,($BL547*1.2),($BM547*1.35),($BN547*0.74)),)</f>
        <v/>
      </c>
      <c r="BK547" s="128">
        <f>IFERROR(SUM($BT547:$CK547),)</f>
        <v/>
      </c>
      <c r="BL547" s="129">
        <f>IFERROR(SUM($CL547:$CN547),)</f>
        <v/>
      </c>
      <c r="BM547" s="130">
        <f>IFERROR(SUM($CO547:$CQ547),)</f>
        <v/>
      </c>
      <c r="BN547" s="128">
        <f>IFERROR(SUM($CR547:$CT547),)</f>
        <v/>
      </c>
      <c r="BO547" s="128">
        <f>iferror(SUM($BP547,($BQ547*1.2),($BR547*1.35),($BS547*0.74)),)</f>
        <v/>
      </c>
      <c r="BP547" s="128">
        <f>IFERROR(SUM($CU547:$DL547),)</f>
        <v/>
      </c>
      <c r="BQ547" s="128">
        <f>IFERROR(SUM($DM547:$DO547),)</f>
        <v/>
      </c>
      <c r="BR547" s="128">
        <f>IFERROR(SUM($DP547:$DR547),)</f>
        <v/>
      </c>
      <c r="BS547" s="128">
        <f>IFERROR(SUM($DS547:$DU547),)</f>
        <v/>
      </c>
      <c r="BT547" s="128">
        <f>IFERROR(AI547*$W547,)</f>
        <v/>
      </c>
      <c r="BU547" s="128">
        <f>IFERROR(AJ547*$W547,)</f>
        <v/>
      </c>
      <c r="BV547" s="128">
        <f>IFERROR(AK547*$W547,)</f>
        <v/>
      </c>
      <c r="BW547" s="128">
        <f>IFERROR(AL547*$W547,)</f>
        <v/>
      </c>
      <c r="BX547" s="128">
        <f>IFERROR(AM547*$W547,)</f>
        <v/>
      </c>
      <c r="BY547" s="128">
        <f>IFERROR(AN547*$W547,)</f>
        <v/>
      </c>
      <c r="BZ547" s="128">
        <f>IFERROR(AO547*$W547,)</f>
        <v/>
      </c>
      <c r="CA547" s="128">
        <f>IFERROR(AP547*$W547,)</f>
        <v/>
      </c>
      <c r="CB547" s="128">
        <f>IFERROR(AQ547*$W547,)</f>
        <v/>
      </c>
      <c r="CC547" s="128">
        <f>IFERROR(AR547*$W547,)</f>
        <v/>
      </c>
      <c r="CD547" s="128">
        <f>IFERROR(AS547*$W547,)</f>
        <v/>
      </c>
      <c r="CE547" s="128">
        <f>IFERROR(AT547*$W547,)</f>
        <v/>
      </c>
      <c r="CF547" s="128">
        <f>IFERROR(AU547*$W547,)</f>
        <v/>
      </c>
      <c r="CG547" s="128">
        <f>IFERROR(AV547*$W547,)</f>
        <v/>
      </c>
      <c r="CH547" s="128">
        <f>IFERROR(AW547*$W547,)</f>
        <v/>
      </c>
      <c r="CI547" s="128">
        <f>IFERROR(AX547*$W547,)</f>
        <v/>
      </c>
      <c r="CJ547" s="128">
        <f>IFERROR(AY547*$W547,)</f>
        <v/>
      </c>
      <c r="CK547" s="128">
        <f>IFERROR(AZ547*$W547,)</f>
        <v/>
      </c>
      <c r="CL547" s="129">
        <f>IFERROR(if($Y547=0,BA547*($W547/1.2),BA547*$Y547),"")</f>
        <v/>
      </c>
      <c r="CM547" s="129">
        <f>IFERROR(if($Y547=0,BB547*($W547/1.2),BB547*$Y547),"")</f>
        <v/>
      </c>
      <c r="CN547" s="129">
        <f>IFERROR(if($Y547=0,BC547*($W547/1.2),BC547*$Y547),"")</f>
        <v/>
      </c>
      <c r="CO547" s="130">
        <f>IFERROR(if($AA547=0,($W547/1.35)*BD547,BD547*$AA547),)</f>
        <v/>
      </c>
      <c r="CP547" s="130">
        <f>IFERROR(if($AA547=0,($W547/1.35)*BE547,BE547*$AA547),)</f>
        <v/>
      </c>
      <c r="CQ547" s="130">
        <f>IFERROR(if($AA547=0,($W547/1.35)*BF547,BF547*$AA547),)</f>
        <v/>
      </c>
      <c r="CR547" s="128">
        <f>IFERROR(if($AC547=0,($W547/0.74)*BG547,
BG547*$AC547),)</f>
        <v/>
      </c>
      <c r="CS547" s="128">
        <f>IFERROR(if($AC547=0,($W547/0.74)*BH547,
BH547*$AC547),)</f>
        <v/>
      </c>
      <c r="CT547" s="128">
        <f>IFERROR(if($AC547=0,($W547/0.74)*BI547,
BI547*$AC547),)</f>
        <v/>
      </c>
      <c r="CU547" s="128">
        <f>IFERROR(AI547*$V547,)</f>
        <v/>
      </c>
      <c r="CV547" s="128">
        <f>IFERROR(AJ547*$V547,)</f>
        <v/>
      </c>
      <c r="CW547" s="128">
        <f>IFERROR(AK547*$V547,)</f>
        <v/>
      </c>
      <c r="CX547" s="128">
        <f>IFERROR(AL547*$V547,)</f>
        <v/>
      </c>
      <c r="CY547" s="128">
        <f>IFERROR(AM547*$V547,)</f>
        <v/>
      </c>
      <c r="CZ547" s="128">
        <f>IFERROR(AN547*$V547,)</f>
        <v/>
      </c>
      <c r="DA547" s="128">
        <f>IFERROR(AO547*$V547,)</f>
        <v/>
      </c>
      <c r="DB547" s="128">
        <f>IFERROR(AP547*$V547,)</f>
        <v/>
      </c>
      <c r="DC547" s="128">
        <f>IFERROR(AQ547*$V547,)</f>
        <v/>
      </c>
      <c r="DD547" s="128">
        <f>IFERROR(AR547*$V547,)</f>
        <v/>
      </c>
      <c r="DE547" s="128">
        <f>IFERROR(AS547*$V547,)</f>
        <v/>
      </c>
      <c r="DF547" s="128">
        <f>IFERROR(AT547*$V547,)</f>
        <v/>
      </c>
      <c r="DG547" s="128">
        <f>IFERROR(AU547*$V547,)</f>
        <v/>
      </c>
      <c r="DH547" s="128">
        <f>IFERROR(AV547*$V547,)</f>
        <v/>
      </c>
      <c r="DI547" s="128">
        <f>IFERROR(AW547*$V547,)</f>
        <v/>
      </c>
      <c r="DJ547" s="128">
        <f>IFERROR(AX547*$V547,)</f>
        <v/>
      </c>
      <c r="DK547" s="128">
        <f>IFERROR(AY547*$V547,)</f>
        <v/>
      </c>
      <c r="DL547" s="128">
        <f>IFERROR(AZ547*$V547,)</f>
        <v/>
      </c>
      <c r="DM547" s="129">
        <f>IFERROR(if($X547=0,($V547/1.2)*BA547,
BA547*$X547),)</f>
        <v/>
      </c>
      <c r="DN547" s="129">
        <f>IFERROR(if($X547=0,($V547/1.2)*BB547,
BB547*$X547),)</f>
        <v/>
      </c>
      <c r="DO547" s="129">
        <f>IFERROR(if($X547=0,($V547/1.2)*BC547,
BC547*$X547),)</f>
        <v/>
      </c>
      <c r="DP547" s="130">
        <f>IFERROR(if($Z547=0,($V547/1.35)*BD547,
BD547*$Z547),)</f>
        <v/>
      </c>
      <c r="DQ547" s="130">
        <f>IFERROR(if($Z547=0,($V547/1.35)*BE547,
BE547*$Z547),)</f>
        <v/>
      </c>
      <c r="DR547" s="130">
        <f>IFERROR(if($Z547=0,($V547/1.35)*BF547,
BF547*$Z547),)</f>
        <v/>
      </c>
      <c r="DS547" s="128">
        <f>IFERROR(IF($AB547=0,($V547/0.74)*BG547,
BG547*$AB547),)</f>
        <v/>
      </c>
      <c r="DT547" s="128">
        <f>IFERROR(IF($AB547=0,($V547/0.74)*BH547,
BH547*$AB547),)</f>
        <v/>
      </c>
      <c r="DU547" s="128">
        <f>IFERROR(IF($AB547=0,($V547/0.74)*BI547,
BI547*$AB547),)</f>
        <v/>
      </c>
    </row>
    <row r="548" ht="131.25" customHeight="1" s="162">
      <c r="A548" s="115" t="n"/>
      <c r="B548" s="115" t="n"/>
      <c r="C548" s="115" t="n"/>
      <c r="D548" s="115" t="n"/>
      <c r="E548" s="115" t="n"/>
      <c r="F548" s="115" t="n"/>
      <c r="G548" s="115" t="n"/>
      <c r="H548" s="115" t="n"/>
      <c r="I548" s="115" t="n"/>
      <c r="J548" s="115" t="n"/>
      <c r="K548" s="115" t="n"/>
      <c r="L548" s="115" t="n"/>
      <c r="M548" s="115" t="n"/>
      <c r="N548" s="115" t="n"/>
      <c r="O548" s="115" t="n"/>
      <c r="P548" s="115" t="n"/>
      <c r="Q548" s="115" t="n"/>
      <c r="R548" s="115" t="n"/>
      <c r="S548" s="115" t="n"/>
      <c r="T548" s="115" t="n"/>
      <c r="U548" s="116" t="n"/>
      <c r="V548" s="116" t="n"/>
      <c r="W548" s="117" t="n"/>
      <c r="X548" s="118" t="n"/>
      <c r="Y548" s="119" t="n"/>
      <c r="Z548" s="120" t="n"/>
      <c r="AA548" s="121" t="n"/>
      <c r="AB548" s="122" t="n"/>
      <c r="AC548" s="117" t="n"/>
      <c r="AD548" s="123">
        <f>IF(SUM($AE548:$AH548)=0,"",SUM($AE548:$AH548))</f>
        <v/>
      </c>
      <c r="AE548" s="123">
        <f>iferror(IF(SUM($AI548:$AZ548)=0,"",SUM($AI548:$AZ548)),"")</f>
        <v/>
      </c>
      <c r="AF548" s="123">
        <f>iferror(IF(SUM($BA548:$BC548)=0,"",SUM($BA548:$BC548)),"")</f>
        <v/>
      </c>
      <c r="AG548" s="123">
        <f>iferror(IF(SUM($BD548:$BF548)=0,"",SUM($BD548:$BF548)),"")</f>
        <v/>
      </c>
      <c r="AH548" s="124">
        <f>iferror(IF(SUM($BG548:$BI548)=0,"",SUM($BG548:$BI548)),"")</f>
        <v/>
      </c>
      <c r="AI548" s="131" t="n"/>
      <c r="AJ548" s="132" t="n"/>
      <c r="AK548" s="132" t="n"/>
      <c r="AL548" s="132" t="n"/>
      <c r="AM548" s="132" t="n"/>
      <c r="AN548" s="132" t="n"/>
      <c r="AO548" s="132" t="n"/>
      <c r="AP548" s="132" t="n"/>
      <c r="AQ548" s="132" t="n"/>
      <c r="AR548" s="132" t="n"/>
      <c r="AS548" s="132" t="n"/>
      <c r="AT548" s="132" t="n"/>
      <c r="AU548" s="132" t="n"/>
      <c r="AV548" s="132" t="n"/>
      <c r="AW548" s="132" t="n"/>
      <c r="AX548" s="132" t="n"/>
      <c r="AY548" s="132" t="n"/>
      <c r="AZ548" s="133" t="n"/>
      <c r="BA548" s="131" t="n"/>
      <c r="BB548" s="132" t="n"/>
      <c r="BC548" s="133" t="n"/>
      <c r="BD548" s="131" t="n"/>
      <c r="BE548" s="132" t="n"/>
      <c r="BF548" s="133" t="n"/>
      <c r="BG548" s="131" t="n"/>
      <c r="BH548" s="132" t="n"/>
      <c r="BI548" s="132" t="n"/>
      <c r="BJ548" s="128">
        <f>iferror(SUM($BK548,($BL548*1.2),($BM548*1.35),($BN548*0.74)),)</f>
        <v/>
      </c>
      <c r="BK548" s="128">
        <f>IFERROR(SUM($BT548:$CK548),)</f>
        <v/>
      </c>
      <c r="BL548" s="129">
        <f>IFERROR(SUM($CL548:$CN548),)</f>
        <v/>
      </c>
      <c r="BM548" s="130">
        <f>IFERROR(SUM($CO548:$CQ548),)</f>
        <v/>
      </c>
      <c r="BN548" s="128">
        <f>IFERROR(SUM($CR548:$CT548),)</f>
        <v/>
      </c>
      <c r="BO548" s="128">
        <f>iferror(SUM($BP548,($BQ548*1.2),($BR548*1.35),($BS548*0.74)),)</f>
        <v/>
      </c>
      <c r="BP548" s="128">
        <f>IFERROR(SUM($CU548:$DL548),)</f>
        <v/>
      </c>
      <c r="BQ548" s="128">
        <f>IFERROR(SUM($DM548:$DO548),)</f>
        <v/>
      </c>
      <c r="BR548" s="128">
        <f>IFERROR(SUM($DP548:$DR548),)</f>
        <v/>
      </c>
      <c r="BS548" s="128">
        <f>IFERROR(SUM($DS548:$DU548),)</f>
        <v/>
      </c>
      <c r="BT548" s="128">
        <f>IFERROR(AI548*$W548,)</f>
        <v/>
      </c>
      <c r="BU548" s="128">
        <f>IFERROR(AJ548*$W548,)</f>
        <v/>
      </c>
      <c r="BV548" s="128">
        <f>IFERROR(AK548*$W548,)</f>
        <v/>
      </c>
      <c r="BW548" s="128">
        <f>IFERROR(AL548*$W548,)</f>
        <v/>
      </c>
      <c r="BX548" s="128">
        <f>IFERROR(AM548*$W548,)</f>
        <v/>
      </c>
      <c r="BY548" s="128">
        <f>IFERROR(AN548*$W548,)</f>
        <v/>
      </c>
      <c r="BZ548" s="128">
        <f>IFERROR(AO548*$W548,)</f>
        <v/>
      </c>
      <c r="CA548" s="128">
        <f>IFERROR(AP548*$W548,)</f>
        <v/>
      </c>
      <c r="CB548" s="128">
        <f>IFERROR(AQ548*$W548,)</f>
        <v/>
      </c>
      <c r="CC548" s="128">
        <f>IFERROR(AR548*$W548,)</f>
        <v/>
      </c>
      <c r="CD548" s="128">
        <f>IFERROR(AS548*$W548,)</f>
        <v/>
      </c>
      <c r="CE548" s="128">
        <f>IFERROR(AT548*$W548,)</f>
        <v/>
      </c>
      <c r="CF548" s="128">
        <f>IFERROR(AU548*$W548,)</f>
        <v/>
      </c>
      <c r="CG548" s="128">
        <f>IFERROR(AV548*$W548,)</f>
        <v/>
      </c>
      <c r="CH548" s="128">
        <f>IFERROR(AW548*$W548,)</f>
        <v/>
      </c>
      <c r="CI548" s="128">
        <f>IFERROR(AX548*$W548,)</f>
        <v/>
      </c>
      <c r="CJ548" s="128">
        <f>IFERROR(AY548*$W548,)</f>
        <v/>
      </c>
      <c r="CK548" s="128">
        <f>IFERROR(AZ548*$W548,)</f>
        <v/>
      </c>
      <c r="CL548" s="129">
        <f>IFERROR(if($Y548=0,BA548*($W548/1.2),BA548*$Y548),"")</f>
        <v/>
      </c>
      <c r="CM548" s="129">
        <f>IFERROR(if($Y548=0,BB548*($W548/1.2),BB548*$Y548),"")</f>
        <v/>
      </c>
      <c r="CN548" s="129">
        <f>IFERROR(if($Y548=0,BC548*($W548/1.2),BC548*$Y548),"")</f>
        <v/>
      </c>
      <c r="CO548" s="130">
        <f>IFERROR(if($AA548=0,($W548/1.35)*BD548,BD548*$AA548),)</f>
        <v/>
      </c>
      <c r="CP548" s="130">
        <f>IFERROR(if($AA548=0,($W548/1.35)*BE548,BE548*$AA548),)</f>
        <v/>
      </c>
      <c r="CQ548" s="130">
        <f>IFERROR(if($AA548=0,($W548/1.35)*BF548,BF548*$AA548),)</f>
        <v/>
      </c>
      <c r="CR548" s="128">
        <f>IFERROR(if($AC548=0,($W548/0.74)*BG548,
BG548*$AC548),)</f>
        <v/>
      </c>
      <c r="CS548" s="128">
        <f>IFERROR(if($AC548=0,($W548/0.74)*BH548,
BH548*$AC548),)</f>
        <v/>
      </c>
      <c r="CT548" s="128">
        <f>IFERROR(if($AC548=0,($W548/0.74)*BI548,
BI548*$AC548),)</f>
        <v/>
      </c>
      <c r="CU548" s="128">
        <f>IFERROR(AI548*$V548,)</f>
        <v/>
      </c>
      <c r="CV548" s="128">
        <f>IFERROR(AJ548*$V548,)</f>
        <v/>
      </c>
      <c r="CW548" s="128">
        <f>IFERROR(AK548*$V548,)</f>
        <v/>
      </c>
      <c r="CX548" s="128">
        <f>IFERROR(AL548*$V548,)</f>
        <v/>
      </c>
      <c r="CY548" s="128">
        <f>IFERROR(AM548*$V548,)</f>
        <v/>
      </c>
      <c r="CZ548" s="128">
        <f>IFERROR(AN548*$V548,)</f>
        <v/>
      </c>
      <c r="DA548" s="128">
        <f>IFERROR(AO548*$V548,)</f>
        <v/>
      </c>
      <c r="DB548" s="128">
        <f>IFERROR(AP548*$V548,)</f>
        <v/>
      </c>
      <c r="DC548" s="128">
        <f>IFERROR(AQ548*$V548,)</f>
        <v/>
      </c>
      <c r="DD548" s="128">
        <f>IFERROR(AR548*$V548,)</f>
        <v/>
      </c>
      <c r="DE548" s="128">
        <f>IFERROR(AS548*$V548,)</f>
        <v/>
      </c>
      <c r="DF548" s="128">
        <f>IFERROR(AT548*$V548,)</f>
        <v/>
      </c>
      <c r="DG548" s="128">
        <f>IFERROR(AU548*$V548,)</f>
        <v/>
      </c>
      <c r="DH548" s="128">
        <f>IFERROR(AV548*$V548,)</f>
        <v/>
      </c>
      <c r="DI548" s="128">
        <f>IFERROR(AW548*$V548,)</f>
        <v/>
      </c>
      <c r="DJ548" s="128">
        <f>IFERROR(AX548*$V548,)</f>
        <v/>
      </c>
      <c r="DK548" s="128">
        <f>IFERROR(AY548*$V548,)</f>
        <v/>
      </c>
      <c r="DL548" s="128">
        <f>IFERROR(AZ548*$V548,)</f>
        <v/>
      </c>
      <c r="DM548" s="129">
        <f>IFERROR(if($X548=0,($V548/1.2)*BA548,
BA548*$X548),)</f>
        <v/>
      </c>
      <c r="DN548" s="129">
        <f>IFERROR(if($X548=0,($V548/1.2)*BB548,
BB548*$X548),)</f>
        <v/>
      </c>
      <c r="DO548" s="129">
        <f>IFERROR(if($X548=0,($V548/1.2)*BC548,
BC548*$X548),)</f>
        <v/>
      </c>
      <c r="DP548" s="130">
        <f>IFERROR(if($Z548=0,($V548/1.35)*BD548,
BD548*$Z548),)</f>
        <v/>
      </c>
      <c r="DQ548" s="130">
        <f>IFERROR(if($Z548=0,($V548/1.35)*BE548,
BE548*$Z548),)</f>
        <v/>
      </c>
      <c r="DR548" s="130">
        <f>IFERROR(if($Z548=0,($V548/1.35)*BF548,
BF548*$Z548),)</f>
        <v/>
      </c>
      <c r="DS548" s="128">
        <f>IFERROR(IF($AB548=0,($V548/0.74)*BG548,
BG548*$AB548),)</f>
        <v/>
      </c>
      <c r="DT548" s="128">
        <f>IFERROR(IF($AB548=0,($V548/0.74)*BH548,
BH548*$AB548),)</f>
        <v/>
      </c>
      <c r="DU548" s="128">
        <f>IFERROR(IF($AB548=0,($V548/0.74)*BI548,
BI548*$AB548),)</f>
        <v/>
      </c>
    </row>
    <row r="549" ht="131.25" customHeight="1" s="162">
      <c r="A549" s="115" t="n"/>
      <c r="B549" s="115" t="n"/>
      <c r="C549" s="115" t="n"/>
      <c r="D549" s="115" t="n"/>
      <c r="E549" s="115" t="n"/>
      <c r="F549" s="115" t="n"/>
      <c r="G549" s="115" t="n"/>
      <c r="H549" s="115" t="n"/>
      <c r="I549" s="115" t="n"/>
      <c r="J549" s="115" t="n"/>
      <c r="K549" s="115" t="n"/>
      <c r="L549" s="115" t="n"/>
      <c r="M549" s="115" t="n"/>
      <c r="N549" s="115" t="n"/>
      <c r="O549" s="115" t="n"/>
      <c r="P549" s="115" t="n"/>
      <c r="Q549" s="115" t="n"/>
      <c r="R549" s="115" t="n"/>
      <c r="S549" s="115" t="n"/>
      <c r="T549" s="115" t="n"/>
      <c r="U549" s="116" t="n"/>
      <c r="V549" s="116" t="n"/>
      <c r="W549" s="117" t="n"/>
      <c r="X549" s="118" t="n"/>
      <c r="Y549" s="119" t="n"/>
      <c r="Z549" s="120" t="n"/>
      <c r="AA549" s="121" t="n"/>
      <c r="AB549" s="122" t="n"/>
      <c r="AC549" s="117" t="n"/>
      <c r="AD549" s="123">
        <f>IF(SUM($AE549:$AH549)=0,"",SUM($AE549:$AH549))</f>
        <v/>
      </c>
      <c r="AE549" s="123">
        <f>iferror(IF(SUM($AI549:$AZ549)=0,"",SUM($AI549:$AZ549)),"")</f>
        <v/>
      </c>
      <c r="AF549" s="123">
        <f>iferror(IF(SUM($BA549:$BC549)=0,"",SUM($BA549:$BC549)),"")</f>
        <v/>
      </c>
      <c r="AG549" s="123">
        <f>iferror(IF(SUM($BD549:$BF549)=0,"",SUM($BD549:$BF549)),"")</f>
        <v/>
      </c>
      <c r="AH549" s="124">
        <f>iferror(IF(SUM($BG549:$BI549)=0,"",SUM($BG549:$BI549)),"")</f>
        <v/>
      </c>
      <c r="AI549" s="131" t="n"/>
      <c r="AJ549" s="132" t="n"/>
      <c r="AK549" s="132" t="n"/>
      <c r="AL549" s="132" t="n"/>
      <c r="AM549" s="132" t="n"/>
      <c r="AN549" s="132" t="n"/>
      <c r="AO549" s="132" t="n"/>
      <c r="AP549" s="132" t="n"/>
      <c r="AQ549" s="132" t="n"/>
      <c r="AR549" s="132" t="n"/>
      <c r="AS549" s="132" t="n"/>
      <c r="AT549" s="132" t="n"/>
      <c r="AU549" s="132" t="n"/>
      <c r="AV549" s="132" t="n"/>
      <c r="AW549" s="132" t="n"/>
      <c r="AX549" s="132" t="n"/>
      <c r="AY549" s="132" t="n"/>
      <c r="AZ549" s="133" t="n"/>
      <c r="BA549" s="131" t="n"/>
      <c r="BB549" s="132" t="n"/>
      <c r="BC549" s="133" t="n"/>
      <c r="BD549" s="131" t="n"/>
      <c r="BE549" s="132" t="n"/>
      <c r="BF549" s="133" t="n"/>
      <c r="BG549" s="131" t="n"/>
      <c r="BH549" s="132" t="n"/>
      <c r="BI549" s="132" t="n"/>
      <c r="BJ549" s="128">
        <f>iferror(SUM($BK549,($BL549*1.2),($BM549*1.35),($BN549*0.74)),)</f>
        <v/>
      </c>
      <c r="BK549" s="128">
        <f>IFERROR(SUM($BT549:$CK549),)</f>
        <v/>
      </c>
      <c r="BL549" s="129">
        <f>IFERROR(SUM($CL549:$CN549),)</f>
        <v/>
      </c>
      <c r="BM549" s="130">
        <f>IFERROR(SUM($CO549:$CQ549),)</f>
        <v/>
      </c>
      <c r="BN549" s="128">
        <f>IFERROR(SUM($CR549:$CT549),)</f>
        <v/>
      </c>
      <c r="BO549" s="128">
        <f>iferror(SUM($BP549,($BQ549*1.2),($BR549*1.35),($BS549*0.74)),)</f>
        <v/>
      </c>
      <c r="BP549" s="128">
        <f>IFERROR(SUM($CU549:$DL549),)</f>
        <v/>
      </c>
      <c r="BQ549" s="128">
        <f>IFERROR(SUM($DM549:$DO549),)</f>
        <v/>
      </c>
      <c r="BR549" s="128">
        <f>IFERROR(SUM($DP549:$DR549),)</f>
        <v/>
      </c>
      <c r="BS549" s="128">
        <f>IFERROR(SUM($DS549:$DU549),)</f>
        <v/>
      </c>
      <c r="BT549" s="128">
        <f>IFERROR(AI549*$W549,)</f>
        <v/>
      </c>
      <c r="BU549" s="128">
        <f>IFERROR(AJ549*$W549,)</f>
        <v/>
      </c>
      <c r="BV549" s="128">
        <f>IFERROR(AK549*$W549,)</f>
        <v/>
      </c>
      <c r="BW549" s="128">
        <f>IFERROR(AL549*$W549,)</f>
        <v/>
      </c>
      <c r="BX549" s="128">
        <f>IFERROR(AM549*$W549,)</f>
        <v/>
      </c>
      <c r="BY549" s="128">
        <f>IFERROR(AN549*$W549,)</f>
        <v/>
      </c>
      <c r="BZ549" s="128">
        <f>IFERROR(AO549*$W549,)</f>
        <v/>
      </c>
      <c r="CA549" s="128">
        <f>IFERROR(AP549*$W549,)</f>
        <v/>
      </c>
      <c r="CB549" s="128">
        <f>IFERROR(AQ549*$W549,)</f>
        <v/>
      </c>
      <c r="CC549" s="128">
        <f>IFERROR(AR549*$W549,)</f>
        <v/>
      </c>
      <c r="CD549" s="128">
        <f>IFERROR(AS549*$W549,)</f>
        <v/>
      </c>
      <c r="CE549" s="128">
        <f>IFERROR(AT549*$W549,)</f>
        <v/>
      </c>
      <c r="CF549" s="128">
        <f>IFERROR(AU549*$W549,)</f>
        <v/>
      </c>
      <c r="CG549" s="128">
        <f>IFERROR(AV549*$W549,)</f>
        <v/>
      </c>
      <c r="CH549" s="128">
        <f>IFERROR(AW549*$W549,)</f>
        <v/>
      </c>
      <c r="CI549" s="128">
        <f>IFERROR(AX549*$W549,)</f>
        <v/>
      </c>
      <c r="CJ549" s="128">
        <f>IFERROR(AY549*$W549,)</f>
        <v/>
      </c>
      <c r="CK549" s="128">
        <f>IFERROR(AZ549*$W549,)</f>
        <v/>
      </c>
      <c r="CL549" s="129">
        <f>IFERROR(if($Y549=0,BA549*($W549/1.2),BA549*$Y549),"")</f>
        <v/>
      </c>
      <c r="CM549" s="129">
        <f>IFERROR(if($Y549=0,BB549*($W549/1.2),BB549*$Y549),"")</f>
        <v/>
      </c>
      <c r="CN549" s="129">
        <f>IFERROR(if($Y549=0,BC549*($W549/1.2),BC549*$Y549),"")</f>
        <v/>
      </c>
      <c r="CO549" s="130">
        <f>IFERROR(if($AA549=0,($W549/1.35)*BD549,BD549*$AA549),)</f>
        <v/>
      </c>
      <c r="CP549" s="130">
        <f>IFERROR(if($AA549=0,($W549/1.35)*BE549,BE549*$AA549),)</f>
        <v/>
      </c>
      <c r="CQ549" s="130">
        <f>IFERROR(if($AA549=0,($W549/1.35)*BF549,BF549*$AA549),)</f>
        <v/>
      </c>
      <c r="CR549" s="128">
        <f>IFERROR(if($AC549=0,($W549/0.74)*BG549,
BG549*$AC549),)</f>
        <v/>
      </c>
      <c r="CS549" s="128">
        <f>IFERROR(if($AC549=0,($W549/0.74)*BH549,
BH549*$AC549),)</f>
        <v/>
      </c>
      <c r="CT549" s="128">
        <f>IFERROR(if($AC549=0,($W549/0.74)*BI549,
BI549*$AC549),)</f>
        <v/>
      </c>
      <c r="CU549" s="128">
        <f>IFERROR(AI549*$V549,)</f>
        <v/>
      </c>
      <c r="CV549" s="128">
        <f>IFERROR(AJ549*$V549,)</f>
        <v/>
      </c>
      <c r="CW549" s="128">
        <f>IFERROR(AK549*$V549,)</f>
        <v/>
      </c>
      <c r="CX549" s="128">
        <f>IFERROR(AL549*$V549,)</f>
        <v/>
      </c>
      <c r="CY549" s="128">
        <f>IFERROR(AM549*$V549,)</f>
        <v/>
      </c>
      <c r="CZ549" s="128">
        <f>IFERROR(AN549*$V549,)</f>
        <v/>
      </c>
      <c r="DA549" s="128">
        <f>IFERROR(AO549*$V549,)</f>
        <v/>
      </c>
      <c r="DB549" s="128">
        <f>IFERROR(AP549*$V549,)</f>
        <v/>
      </c>
      <c r="DC549" s="128">
        <f>IFERROR(AQ549*$V549,)</f>
        <v/>
      </c>
      <c r="DD549" s="128">
        <f>IFERROR(AR549*$V549,)</f>
        <v/>
      </c>
      <c r="DE549" s="128">
        <f>IFERROR(AS549*$V549,)</f>
        <v/>
      </c>
      <c r="DF549" s="128">
        <f>IFERROR(AT549*$V549,)</f>
        <v/>
      </c>
      <c r="DG549" s="128">
        <f>IFERROR(AU549*$V549,)</f>
        <v/>
      </c>
      <c r="DH549" s="128">
        <f>IFERROR(AV549*$V549,)</f>
        <v/>
      </c>
      <c r="DI549" s="128">
        <f>IFERROR(AW549*$V549,)</f>
        <v/>
      </c>
      <c r="DJ549" s="128">
        <f>IFERROR(AX549*$V549,)</f>
        <v/>
      </c>
      <c r="DK549" s="128">
        <f>IFERROR(AY549*$V549,)</f>
        <v/>
      </c>
      <c r="DL549" s="128">
        <f>IFERROR(AZ549*$V549,)</f>
        <v/>
      </c>
      <c r="DM549" s="129">
        <f>IFERROR(if($X549=0,($V549/1.2)*BA549,
BA549*$X549),)</f>
        <v/>
      </c>
      <c r="DN549" s="129">
        <f>IFERROR(if($X549=0,($V549/1.2)*BB549,
BB549*$X549),)</f>
        <v/>
      </c>
      <c r="DO549" s="129">
        <f>IFERROR(if($X549=0,($V549/1.2)*BC549,
BC549*$X549),)</f>
        <v/>
      </c>
      <c r="DP549" s="130">
        <f>IFERROR(if($Z549=0,($V549/1.35)*BD549,
BD549*$Z549),)</f>
        <v/>
      </c>
      <c r="DQ549" s="130">
        <f>IFERROR(if($Z549=0,($V549/1.35)*BE549,
BE549*$Z549),)</f>
        <v/>
      </c>
      <c r="DR549" s="130">
        <f>IFERROR(if($Z549=0,($V549/1.35)*BF549,
BF549*$Z549),)</f>
        <v/>
      </c>
      <c r="DS549" s="128">
        <f>IFERROR(IF($AB549=0,($V549/0.74)*BG549,
BG549*$AB549),)</f>
        <v/>
      </c>
      <c r="DT549" s="128">
        <f>IFERROR(IF($AB549=0,($V549/0.74)*BH549,
BH549*$AB549),)</f>
        <v/>
      </c>
      <c r="DU549" s="128">
        <f>IFERROR(IF($AB549=0,($V549/0.74)*BI549,
BI549*$AB549),)</f>
        <v/>
      </c>
    </row>
    <row r="550" ht="131.25" customHeight="1" s="162">
      <c r="A550" s="115" t="n"/>
      <c r="B550" s="115" t="n"/>
      <c r="C550" s="115" t="n"/>
      <c r="D550" s="115" t="n"/>
      <c r="E550" s="115" t="n"/>
      <c r="F550" s="115" t="n"/>
      <c r="G550" s="115" t="n"/>
      <c r="H550" s="115" t="n"/>
      <c r="I550" s="115" t="n"/>
      <c r="J550" s="115" t="n"/>
      <c r="K550" s="115" t="n"/>
      <c r="L550" s="115" t="n"/>
      <c r="M550" s="115" t="n"/>
      <c r="N550" s="115" t="n"/>
      <c r="O550" s="115" t="n"/>
      <c r="P550" s="115" t="n"/>
      <c r="Q550" s="115" t="n"/>
      <c r="R550" s="115" t="n"/>
      <c r="S550" s="115" t="n"/>
      <c r="T550" s="115" t="n"/>
      <c r="U550" s="116" t="n"/>
      <c r="V550" s="116" t="n"/>
      <c r="W550" s="117" t="n"/>
      <c r="X550" s="118" t="n"/>
      <c r="Y550" s="119" t="n"/>
      <c r="Z550" s="120" t="n"/>
      <c r="AA550" s="121" t="n"/>
      <c r="AB550" s="122" t="n"/>
      <c r="AC550" s="117" t="n"/>
      <c r="AD550" s="123">
        <f>IF(SUM($AE550:$AH550)=0,"",SUM($AE550:$AH550))</f>
        <v/>
      </c>
      <c r="AE550" s="123">
        <f>iferror(IF(SUM($AI550:$AZ550)=0,"",SUM($AI550:$AZ550)),"")</f>
        <v/>
      </c>
      <c r="AF550" s="123">
        <f>iferror(IF(SUM($BA550:$BC550)=0,"",SUM($BA550:$BC550)),"")</f>
        <v/>
      </c>
      <c r="AG550" s="123">
        <f>iferror(IF(SUM($BD550:$BF550)=0,"",SUM($BD550:$BF550)),"")</f>
        <v/>
      </c>
      <c r="AH550" s="124">
        <f>iferror(IF(SUM($BG550:$BI550)=0,"",SUM($BG550:$BI550)),"")</f>
        <v/>
      </c>
      <c r="AI550" s="131" t="n"/>
      <c r="AJ550" s="132" t="n"/>
      <c r="AK550" s="132" t="n"/>
      <c r="AL550" s="132" t="n"/>
      <c r="AM550" s="132" t="n"/>
      <c r="AN550" s="132" t="n"/>
      <c r="AO550" s="132" t="n"/>
      <c r="AP550" s="132" t="n"/>
      <c r="AQ550" s="132" t="n"/>
      <c r="AR550" s="132" t="n"/>
      <c r="AS550" s="132" t="n"/>
      <c r="AT550" s="132" t="n"/>
      <c r="AU550" s="132" t="n"/>
      <c r="AV550" s="132" t="n"/>
      <c r="AW550" s="132" t="n"/>
      <c r="AX550" s="132" t="n"/>
      <c r="AY550" s="132" t="n"/>
      <c r="AZ550" s="133" t="n"/>
      <c r="BA550" s="131" t="n"/>
      <c r="BB550" s="132" t="n"/>
      <c r="BC550" s="133" t="n"/>
      <c r="BD550" s="131" t="n"/>
      <c r="BE550" s="132" t="n"/>
      <c r="BF550" s="133" t="n"/>
      <c r="BG550" s="131" t="n"/>
      <c r="BH550" s="132" t="n"/>
      <c r="BI550" s="132" t="n"/>
      <c r="BJ550" s="128">
        <f>iferror(SUM($BK550,($BL550*1.2),($BM550*1.35),($BN550*0.74)),)</f>
        <v/>
      </c>
      <c r="BK550" s="128">
        <f>IFERROR(SUM($BT550:$CK550),)</f>
        <v/>
      </c>
      <c r="BL550" s="129">
        <f>IFERROR(SUM($CL550:$CN550),)</f>
        <v/>
      </c>
      <c r="BM550" s="130">
        <f>IFERROR(SUM($CO550:$CQ550),)</f>
        <v/>
      </c>
      <c r="BN550" s="128">
        <f>IFERROR(SUM($CR550:$CT550),)</f>
        <v/>
      </c>
      <c r="BO550" s="128">
        <f>iferror(SUM($BP550,($BQ550*1.2),($BR550*1.35),($BS550*0.74)),)</f>
        <v/>
      </c>
      <c r="BP550" s="128">
        <f>IFERROR(SUM($CU550:$DL550),)</f>
        <v/>
      </c>
      <c r="BQ550" s="128">
        <f>IFERROR(SUM($DM550:$DO550),)</f>
        <v/>
      </c>
      <c r="BR550" s="128">
        <f>IFERROR(SUM($DP550:$DR550),)</f>
        <v/>
      </c>
      <c r="BS550" s="128">
        <f>IFERROR(SUM($DS550:$DU550),)</f>
        <v/>
      </c>
      <c r="BT550" s="128">
        <f>IFERROR(AI550*$W550,)</f>
        <v/>
      </c>
      <c r="BU550" s="128">
        <f>IFERROR(AJ550*$W550,)</f>
        <v/>
      </c>
      <c r="BV550" s="128">
        <f>IFERROR(AK550*$W550,)</f>
        <v/>
      </c>
      <c r="BW550" s="128">
        <f>IFERROR(AL550*$W550,)</f>
        <v/>
      </c>
      <c r="BX550" s="128">
        <f>IFERROR(AM550*$W550,)</f>
        <v/>
      </c>
      <c r="BY550" s="128">
        <f>IFERROR(AN550*$W550,)</f>
        <v/>
      </c>
      <c r="BZ550" s="128">
        <f>IFERROR(AO550*$W550,)</f>
        <v/>
      </c>
      <c r="CA550" s="128">
        <f>IFERROR(AP550*$W550,)</f>
        <v/>
      </c>
      <c r="CB550" s="128">
        <f>IFERROR(AQ550*$W550,)</f>
        <v/>
      </c>
      <c r="CC550" s="128">
        <f>IFERROR(AR550*$W550,)</f>
        <v/>
      </c>
      <c r="CD550" s="128">
        <f>IFERROR(AS550*$W550,)</f>
        <v/>
      </c>
      <c r="CE550" s="128">
        <f>IFERROR(AT550*$W550,)</f>
        <v/>
      </c>
      <c r="CF550" s="128">
        <f>IFERROR(AU550*$W550,)</f>
        <v/>
      </c>
      <c r="CG550" s="128">
        <f>IFERROR(AV550*$W550,)</f>
        <v/>
      </c>
      <c r="CH550" s="128">
        <f>IFERROR(AW550*$W550,)</f>
        <v/>
      </c>
      <c r="CI550" s="128">
        <f>IFERROR(AX550*$W550,)</f>
        <v/>
      </c>
      <c r="CJ550" s="128">
        <f>IFERROR(AY550*$W550,)</f>
        <v/>
      </c>
      <c r="CK550" s="128">
        <f>IFERROR(AZ550*$W550,)</f>
        <v/>
      </c>
      <c r="CL550" s="129">
        <f>IFERROR(if($Y550=0,BA550*($W550/1.2),BA550*$Y550),"")</f>
        <v/>
      </c>
      <c r="CM550" s="129">
        <f>IFERROR(if($Y550=0,BB550*($W550/1.2),BB550*$Y550),"")</f>
        <v/>
      </c>
      <c r="CN550" s="129">
        <f>IFERROR(if($Y550=0,BC550*($W550/1.2),BC550*$Y550),"")</f>
        <v/>
      </c>
      <c r="CO550" s="130">
        <f>IFERROR(if($AA550=0,($W550/1.35)*BD550,BD550*$AA550),)</f>
        <v/>
      </c>
      <c r="CP550" s="130">
        <f>IFERROR(if($AA550=0,($W550/1.35)*BE550,BE550*$AA550),)</f>
        <v/>
      </c>
      <c r="CQ550" s="130">
        <f>IFERROR(if($AA550=0,($W550/1.35)*BF550,BF550*$AA550),)</f>
        <v/>
      </c>
      <c r="CR550" s="128">
        <f>IFERROR(if($AC550=0,($W550/0.74)*BG550,
BG550*$AC550),)</f>
        <v/>
      </c>
      <c r="CS550" s="128">
        <f>IFERROR(if($AC550=0,($W550/0.74)*BH550,
BH550*$AC550),)</f>
        <v/>
      </c>
      <c r="CT550" s="128">
        <f>IFERROR(if($AC550=0,($W550/0.74)*BI550,
BI550*$AC550),)</f>
        <v/>
      </c>
      <c r="CU550" s="128">
        <f>IFERROR(AI550*$V550,)</f>
        <v/>
      </c>
      <c r="CV550" s="128">
        <f>IFERROR(AJ550*$V550,)</f>
        <v/>
      </c>
      <c r="CW550" s="128">
        <f>IFERROR(AK550*$V550,)</f>
        <v/>
      </c>
      <c r="CX550" s="128">
        <f>IFERROR(AL550*$V550,)</f>
        <v/>
      </c>
      <c r="CY550" s="128">
        <f>IFERROR(AM550*$V550,)</f>
        <v/>
      </c>
      <c r="CZ550" s="128">
        <f>IFERROR(AN550*$V550,)</f>
        <v/>
      </c>
      <c r="DA550" s="128">
        <f>IFERROR(AO550*$V550,)</f>
        <v/>
      </c>
      <c r="DB550" s="128">
        <f>IFERROR(AP550*$V550,)</f>
        <v/>
      </c>
      <c r="DC550" s="128">
        <f>IFERROR(AQ550*$V550,)</f>
        <v/>
      </c>
      <c r="DD550" s="128">
        <f>IFERROR(AR550*$V550,)</f>
        <v/>
      </c>
      <c r="DE550" s="128">
        <f>IFERROR(AS550*$V550,)</f>
        <v/>
      </c>
      <c r="DF550" s="128">
        <f>IFERROR(AT550*$V550,)</f>
        <v/>
      </c>
      <c r="DG550" s="128">
        <f>IFERROR(AU550*$V550,)</f>
        <v/>
      </c>
      <c r="DH550" s="128">
        <f>IFERROR(AV550*$V550,)</f>
        <v/>
      </c>
      <c r="DI550" s="128">
        <f>IFERROR(AW550*$V550,)</f>
        <v/>
      </c>
      <c r="DJ550" s="128">
        <f>IFERROR(AX550*$V550,)</f>
        <v/>
      </c>
      <c r="DK550" s="128">
        <f>IFERROR(AY550*$V550,)</f>
        <v/>
      </c>
      <c r="DL550" s="128">
        <f>IFERROR(AZ550*$V550,)</f>
        <v/>
      </c>
      <c r="DM550" s="129">
        <f>IFERROR(if($X550=0,($V550/1.2)*BA550,
BA550*$X550),)</f>
        <v/>
      </c>
      <c r="DN550" s="129">
        <f>IFERROR(if($X550=0,($V550/1.2)*BB550,
BB550*$X550),)</f>
        <v/>
      </c>
      <c r="DO550" s="129">
        <f>IFERROR(if($X550=0,($V550/1.2)*BC550,
BC550*$X550),)</f>
        <v/>
      </c>
      <c r="DP550" s="130">
        <f>IFERROR(if($Z550=0,($V550/1.35)*BD550,
BD550*$Z550),)</f>
        <v/>
      </c>
      <c r="DQ550" s="130">
        <f>IFERROR(if($Z550=0,($V550/1.35)*BE550,
BE550*$Z550),)</f>
        <v/>
      </c>
      <c r="DR550" s="130">
        <f>IFERROR(if($Z550=0,($V550/1.35)*BF550,
BF550*$Z550),)</f>
        <v/>
      </c>
      <c r="DS550" s="128">
        <f>IFERROR(IF($AB550=0,($V550/0.74)*BG550,
BG550*$AB550),)</f>
        <v/>
      </c>
      <c r="DT550" s="128">
        <f>IFERROR(IF($AB550=0,($V550/0.74)*BH550,
BH550*$AB550),)</f>
        <v/>
      </c>
      <c r="DU550" s="128">
        <f>IFERROR(IF($AB550=0,($V550/0.74)*BI550,
BI550*$AB550),)</f>
        <v/>
      </c>
    </row>
    <row r="551" ht="131.25" customHeight="1" s="162">
      <c r="A551" s="115" t="n"/>
      <c r="B551" s="115" t="n"/>
      <c r="C551" s="115" t="n"/>
      <c r="D551" s="115" t="n"/>
      <c r="E551" s="115" t="n"/>
      <c r="F551" s="115" t="n"/>
      <c r="G551" s="115" t="n"/>
      <c r="H551" s="115" t="n"/>
      <c r="I551" s="115" t="n"/>
      <c r="J551" s="115" t="n"/>
      <c r="K551" s="115" t="n"/>
      <c r="L551" s="115" t="n"/>
      <c r="M551" s="115" t="n"/>
      <c r="N551" s="115" t="n"/>
      <c r="O551" s="115" t="n"/>
      <c r="P551" s="115" t="n"/>
      <c r="Q551" s="115" t="n"/>
      <c r="R551" s="115" t="n"/>
      <c r="S551" s="115" t="n"/>
      <c r="T551" s="115" t="n"/>
      <c r="U551" s="116" t="n"/>
      <c r="V551" s="116" t="n"/>
      <c r="W551" s="117" t="n"/>
      <c r="X551" s="118" t="n"/>
      <c r="Y551" s="119" t="n"/>
      <c r="Z551" s="120" t="n"/>
      <c r="AA551" s="121" t="n"/>
      <c r="AB551" s="122" t="n"/>
      <c r="AC551" s="117" t="n"/>
      <c r="AD551" s="123">
        <f>IF(SUM($AE551:$AH551)=0,"",SUM($AE551:$AH551))</f>
        <v/>
      </c>
      <c r="AE551" s="123">
        <f>iferror(IF(SUM($AI551:$AZ551)=0,"",SUM($AI551:$AZ551)),"")</f>
        <v/>
      </c>
      <c r="AF551" s="123">
        <f>iferror(IF(SUM($BA551:$BC551)=0,"",SUM($BA551:$BC551)),"")</f>
        <v/>
      </c>
      <c r="AG551" s="123">
        <f>iferror(IF(SUM($BD551:$BF551)=0,"",SUM($BD551:$BF551)),"")</f>
        <v/>
      </c>
      <c r="AH551" s="124">
        <f>iferror(IF(SUM($BG551:$BI551)=0,"",SUM($BG551:$BI551)),"")</f>
        <v/>
      </c>
      <c r="AI551" s="131" t="n"/>
      <c r="AJ551" s="132" t="n"/>
      <c r="AK551" s="132" t="n"/>
      <c r="AL551" s="132" t="n"/>
      <c r="AM551" s="132" t="n"/>
      <c r="AN551" s="132" t="n"/>
      <c r="AO551" s="132" t="n"/>
      <c r="AP551" s="132" t="n"/>
      <c r="AQ551" s="132" t="n"/>
      <c r="AR551" s="132" t="n"/>
      <c r="AS551" s="132" t="n"/>
      <c r="AT551" s="132" t="n"/>
      <c r="AU551" s="132" t="n"/>
      <c r="AV551" s="132" t="n"/>
      <c r="AW551" s="132" t="n"/>
      <c r="AX551" s="132" t="n"/>
      <c r="AY551" s="132" t="n"/>
      <c r="AZ551" s="133" t="n"/>
      <c r="BA551" s="131" t="n"/>
      <c r="BB551" s="132" t="n"/>
      <c r="BC551" s="133" t="n"/>
      <c r="BD551" s="131" t="n"/>
      <c r="BE551" s="132" t="n"/>
      <c r="BF551" s="133" t="n"/>
      <c r="BG551" s="131" t="n"/>
      <c r="BH551" s="132" t="n"/>
      <c r="BI551" s="132" t="n"/>
      <c r="BJ551" s="128">
        <f>iferror(SUM($BK551,($BL551*1.2),($BM551*1.35),($BN551*0.74)),)</f>
        <v/>
      </c>
      <c r="BK551" s="128">
        <f>IFERROR(SUM($BT551:$CK551),)</f>
        <v/>
      </c>
      <c r="BL551" s="129">
        <f>IFERROR(SUM($CL551:$CN551),)</f>
        <v/>
      </c>
      <c r="BM551" s="130">
        <f>IFERROR(SUM($CO551:$CQ551),)</f>
        <v/>
      </c>
      <c r="BN551" s="128">
        <f>IFERROR(SUM($CR551:$CT551),)</f>
        <v/>
      </c>
      <c r="BO551" s="128">
        <f>iferror(SUM($BP551,($BQ551*1.2),($BR551*1.35),($BS551*0.74)),)</f>
        <v/>
      </c>
      <c r="BP551" s="128">
        <f>IFERROR(SUM($CU551:$DL551),)</f>
        <v/>
      </c>
      <c r="BQ551" s="128">
        <f>IFERROR(SUM($DM551:$DO551),)</f>
        <v/>
      </c>
      <c r="BR551" s="128">
        <f>IFERROR(SUM($DP551:$DR551),)</f>
        <v/>
      </c>
      <c r="BS551" s="128">
        <f>IFERROR(SUM($DS551:$DU551),)</f>
        <v/>
      </c>
      <c r="BT551" s="128">
        <f>IFERROR(AI551*$W551,)</f>
        <v/>
      </c>
      <c r="BU551" s="128">
        <f>IFERROR(AJ551*$W551,)</f>
        <v/>
      </c>
      <c r="BV551" s="128">
        <f>IFERROR(AK551*$W551,)</f>
        <v/>
      </c>
      <c r="BW551" s="128">
        <f>IFERROR(AL551*$W551,)</f>
        <v/>
      </c>
      <c r="BX551" s="128">
        <f>IFERROR(AM551*$W551,)</f>
        <v/>
      </c>
      <c r="BY551" s="128">
        <f>IFERROR(AN551*$W551,)</f>
        <v/>
      </c>
      <c r="BZ551" s="128">
        <f>IFERROR(AO551*$W551,)</f>
        <v/>
      </c>
      <c r="CA551" s="128">
        <f>IFERROR(AP551*$W551,)</f>
        <v/>
      </c>
      <c r="CB551" s="128">
        <f>IFERROR(AQ551*$W551,)</f>
        <v/>
      </c>
      <c r="CC551" s="128">
        <f>IFERROR(AR551*$W551,)</f>
        <v/>
      </c>
      <c r="CD551" s="128">
        <f>IFERROR(AS551*$W551,)</f>
        <v/>
      </c>
      <c r="CE551" s="128">
        <f>IFERROR(AT551*$W551,)</f>
        <v/>
      </c>
      <c r="CF551" s="128">
        <f>IFERROR(AU551*$W551,)</f>
        <v/>
      </c>
      <c r="CG551" s="128">
        <f>IFERROR(AV551*$W551,)</f>
        <v/>
      </c>
      <c r="CH551" s="128">
        <f>IFERROR(AW551*$W551,)</f>
        <v/>
      </c>
      <c r="CI551" s="128">
        <f>IFERROR(AX551*$W551,)</f>
        <v/>
      </c>
      <c r="CJ551" s="128">
        <f>IFERROR(AY551*$W551,)</f>
        <v/>
      </c>
      <c r="CK551" s="128">
        <f>IFERROR(AZ551*$W551,)</f>
        <v/>
      </c>
      <c r="CL551" s="129">
        <f>IFERROR(if($Y551=0,BA551*($W551/1.2),BA551*$Y551),"")</f>
        <v/>
      </c>
      <c r="CM551" s="129">
        <f>IFERROR(if($Y551=0,BB551*($W551/1.2),BB551*$Y551),"")</f>
        <v/>
      </c>
      <c r="CN551" s="129">
        <f>IFERROR(if($Y551=0,BC551*($W551/1.2),BC551*$Y551),"")</f>
        <v/>
      </c>
      <c r="CO551" s="130">
        <f>IFERROR(if($AA551=0,($W551/1.35)*BD551,BD551*$AA551),)</f>
        <v/>
      </c>
      <c r="CP551" s="130">
        <f>IFERROR(if($AA551=0,($W551/1.35)*BE551,BE551*$AA551),)</f>
        <v/>
      </c>
      <c r="CQ551" s="130">
        <f>IFERROR(if($AA551=0,($W551/1.35)*BF551,BF551*$AA551),)</f>
        <v/>
      </c>
      <c r="CR551" s="128">
        <f>IFERROR(if($AC551=0,($W551/0.74)*BG551,
BG551*$AC551),)</f>
        <v/>
      </c>
      <c r="CS551" s="128">
        <f>IFERROR(if($AC551=0,($W551/0.74)*BH551,
BH551*$AC551),)</f>
        <v/>
      </c>
      <c r="CT551" s="128">
        <f>IFERROR(if($AC551=0,($W551/0.74)*BI551,
BI551*$AC551),)</f>
        <v/>
      </c>
      <c r="CU551" s="128">
        <f>IFERROR(AI551*$V551,)</f>
        <v/>
      </c>
      <c r="CV551" s="128">
        <f>IFERROR(AJ551*$V551,)</f>
        <v/>
      </c>
      <c r="CW551" s="128">
        <f>IFERROR(AK551*$V551,)</f>
        <v/>
      </c>
      <c r="CX551" s="128">
        <f>IFERROR(AL551*$V551,)</f>
        <v/>
      </c>
      <c r="CY551" s="128">
        <f>IFERROR(AM551*$V551,)</f>
        <v/>
      </c>
      <c r="CZ551" s="128">
        <f>IFERROR(AN551*$V551,)</f>
        <v/>
      </c>
      <c r="DA551" s="128">
        <f>IFERROR(AO551*$V551,)</f>
        <v/>
      </c>
      <c r="DB551" s="128">
        <f>IFERROR(AP551*$V551,)</f>
        <v/>
      </c>
      <c r="DC551" s="128">
        <f>IFERROR(AQ551*$V551,)</f>
        <v/>
      </c>
      <c r="DD551" s="128">
        <f>IFERROR(AR551*$V551,)</f>
        <v/>
      </c>
      <c r="DE551" s="128">
        <f>IFERROR(AS551*$V551,)</f>
        <v/>
      </c>
      <c r="DF551" s="128">
        <f>IFERROR(AT551*$V551,)</f>
        <v/>
      </c>
      <c r="DG551" s="128">
        <f>IFERROR(AU551*$V551,)</f>
        <v/>
      </c>
      <c r="DH551" s="128">
        <f>IFERROR(AV551*$V551,)</f>
        <v/>
      </c>
      <c r="DI551" s="128">
        <f>IFERROR(AW551*$V551,)</f>
        <v/>
      </c>
      <c r="DJ551" s="128">
        <f>IFERROR(AX551*$V551,)</f>
        <v/>
      </c>
      <c r="DK551" s="128">
        <f>IFERROR(AY551*$V551,)</f>
        <v/>
      </c>
      <c r="DL551" s="128">
        <f>IFERROR(AZ551*$V551,)</f>
        <v/>
      </c>
      <c r="DM551" s="129">
        <f>IFERROR(if($X551=0,($V551/1.2)*BA551,
BA551*$X551),)</f>
        <v/>
      </c>
      <c r="DN551" s="129">
        <f>IFERROR(if($X551=0,($V551/1.2)*BB551,
BB551*$X551),)</f>
        <v/>
      </c>
      <c r="DO551" s="129">
        <f>IFERROR(if($X551=0,($V551/1.2)*BC551,
BC551*$X551),)</f>
        <v/>
      </c>
      <c r="DP551" s="130">
        <f>IFERROR(if($Z551=0,($V551/1.35)*BD551,
BD551*$Z551),)</f>
        <v/>
      </c>
      <c r="DQ551" s="130">
        <f>IFERROR(if($Z551=0,($V551/1.35)*BE551,
BE551*$Z551),)</f>
        <v/>
      </c>
      <c r="DR551" s="130">
        <f>IFERROR(if($Z551=0,($V551/1.35)*BF551,
BF551*$Z551),)</f>
        <v/>
      </c>
      <c r="DS551" s="128">
        <f>IFERROR(IF($AB551=0,($V551/0.74)*BG551,
BG551*$AB551),)</f>
        <v/>
      </c>
      <c r="DT551" s="128">
        <f>IFERROR(IF($AB551=0,($V551/0.74)*BH551,
BH551*$AB551),)</f>
        <v/>
      </c>
      <c r="DU551" s="128">
        <f>IFERROR(IF($AB551=0,($V551/0.74)*BI551,
BI551*$AB551),)</f>
        <v/>
      </c>
    </row>
    <row r="552" ht="131.25" customHeight="1" s="162">
      <c r="A552" s="115" t="n"/>
      <c r="B552" s="115" t="n"/>
      <c r="C552" s="115" t="n"/>
      <c r="D552" s="115" t="n"/>
      <c r="E552" s="115" t="n"/>
      <c r="F552" s="115" t="n"/>
      <c r="G552" s="115" t="n"/>
      <c r="H552" s="115" t="n"/>
      <c r="I552" s="115" t="n"/>
      <c r="J552" s="115" t="n"/>
      <c r="K552" s="115" t="n"/>
      <c r="L552" s="115" t="n"/>
      <c r="M552" s="115" t="n"/>
      <c r="N552" s="115" t="n"/>
      <c r="O552" s="115" t="n"/>
      <c r="P552" s="115" t="n"/>
      <c r="Q552" s="115" t="n"/>
      <c r="R552" s="115" t="n"/>
      <c r="S552" s="115" t="n"/>
      <c r="T552" s="115" t="n"/>
      <c r="U552" s="116" t="n"/>
      <c r="V552" s="116" t="n"/>
      <c r="W552" s="117" t="n"/>
      <c r="X552" s="118" t="n"/>
      <c r="Y552" s="119" t="n"/>
      <c r="Z552" s="120" t="n"/>
      <c r="AA552" s="121" t="n"/>
      <c r="AB552" s="122" t="n"/>
      <c r="AC552" s="117" t="n"/>
      <c r="AD552" s="123">
        <f>IF(SUM($AE552:$AH552)=0,"",SUM($AE552:$AH552))</f>
        <v/>
      </c>
      <c r="AE552" s="123">
        <f>iferror(IF(SUM($AI552:$AZ552)=0,"",SUM($AI552:$AZ552)),"")</f>
        <v/>
      </c>
      <c r="AF552" s="123">
        <f>iferror(IF(SUM($BA552:$BC552)=0,"",SUM($BA552:$BC552)),"")</f>
        <v/>
      </c>
      <c r="AG552" s="123">
        <f>iferror(IF(SUM($BD552:$BF552)=0,"",SUM($BD552:$BF552)),"")</f>
        <v/>
      </c>
      <c r="AH552" s="124">
        <f>iferror(IF(SUM($BG552:$BI552)=0,"",SUM($BG552:$BI552)),"")</f>
        <v/>
      </c>
      <c r="AI552" s="131" t="n"/>
      <c r="AJ552" s="132" t="n"/>
      <c r="AK552" s="132" t="n"/>
      <c r="AL552" s="132" t="n"/>
      <c r="AM552" s="132" t="n"/>
      <c r="AN552" s="132" t="n"/>
      <c r="AO552" s="132" t="n"/>
      <c r="AP552" s="132" t="n"/>
      <c r="AQ552" s="132" t="n"/>
      <c r="AR552" s="132" t="n"/>
      <c r="AS552" s="132" t="n"/>
      <c r="AT552" s="132" t="n"/>
      <c r="AU552" s="132" t="n"/>
      <c r="AV552" s="132" t="n"/>
      <c r="AW552" s="132" t="n"/>
      <c r="AX552" s="132" t="n"/>
      <c r="AY552" s="132" t="n"/>
      <c r="AZ552" s="133" t="n"/>
      <c r="BA552" s="131" t="n"/>
      <c r="BB552" s="132" t="n"/>
      <c r="BC552" s="133" t="n"/>
      <c r="BD552" s="131" t="n"/>
      <c r="BE552" s="132" t="n"/>
      <c r="BF552" s="133" t="n"/>
      <c r="BG552" s="131" t="n"/>
      <c r="BH552" s="132" t="n"/>
      <c r="BI552" s="132" t="n"/>
      <c r="BJ552" s="128">
        <f>iferror(SUM($BK552,($BL552*1.2),($BM552*1.35),($BN552*0.74)),)</f>
        <v/>
      </c>
      <c r="BK552" s="128">
        <f>IFERROR(SUM($BT552:$CK552),)</f>
        <v/>
      </c>
      <c r="BL552" s="129">
        <f>IFERROR(SUM($CL552:$CN552),)</f>
        <v/>
      </c>
      <c r="BM552" s="130">
        <f>IFERROR(SUM($CO552:$CQ552),)</f>
        <v/>
      </c>
      <c r="BN552" s="128">
        <f>IFERROR(SUM($CR552:$CT552),)</f>
        <v/>
      </c>
      <c r="BO552" s="128">
        <f>iferror(SUM($BP552,($BQ552*1.2),($BR552*1.35),($BS552*0.74)),)</f>
        <v/>
      </c>
      <c r="BP552" s="128">
        <f>IFERROR(SUM($CU552:$DL552),)</f>
        <v/>
      </c>
      <c r="BQ552" s="128">
        <f>IFERROR(SUM($DM552:$DO552),)</f>
        <v/>
      </c>
      <c r="BR552" s="128">
        <f>IFERROR(SUM($DP552:$DR552),)</f>
        <v/>
      </c>
      <c r="BS552" s="128">
        <f>IFERROR(SUM($DS552:$DU552),)</f>
        <v/>
      </c>
      <c r="BT552" s="128">
        <f>IFERROR(AI552*$W552,)</f>
        <v/>
      </c>
      <c r="BU552" s="128">
        <f>IFERROR(AJ552*$W552,)</f>
        <v/>
      </c>
      <c r="BV552" s="128">
        <f>IFERROR(AK552*$W552,)</f>
        <v/>
      </c>
      <c r="BW552" s="128">
        <f>IFERROR(AL552*$W552,)</f>
        <v/>
      </c>
      <c r="BX552" s="128">
        <f>IFERROR(AM552*$W552,)</f>
        <v/>
      </c>
      <c r="BY552" s="128">
        <f>IFERROR(AN552*$W552,)</f>
        <v/>
      </c>
      <c r="BZ552" s="128">
        <f>IFERROR(AO552*$W552,)</f>
        <v/>
      </c>
      <c r="CA552" s="128">
        <f>IFERROR(AP552*$W552,)</f>
        <v/>
      </c>
      <c r="CB552" s="128">
        <f>IFERROR(AQ552*$W552,)</f>
        <v/>
      </c>
      <c r="CC552" s="128">
        <f>IFERROR(AR552*$W552,)</f>
        <v/>
      </c>
      <c r="CD552" s="128">
        <f>IFERROR(AS552*$W552,)</f>
        <v/>
      </c>
      <c r="CE552" s="128">
        <f>IFERROR(AT552*$W552,)</f>
        <v/>
      </c>
      <c r="CF552" s="128">
        <f>IFERROR(AU552*$W552,)</f>
        <v/>
      </c>
      <c r="CG552" s="128">
        <f>IFERROR(AV552*$W552,)</f>
        <v/>
      </c>
      <c r="CH552" s="128">
        <f>IFERROR(AW552*$W552,)</f>
        <v/>
      </c>
      <c r="CI552" s="128">
        <f>IFERROR(AX552*$W552,)</f>
        <v/>
      </c>
      <c r="CJ552" s="128">
        <f>IFERROR(AY552*$W552,)</f>
        <v/>
      </c>
      <c r="CK552" s="128">
        <f>IFERROR(AZ552*$W552,)</f>
        <v/>
      </c>
      <c r="CL552" s="129">
        <f>IFERROR(if($Y552=0,BA552*($W552/1.2),BA552*$Y552),"")</f>
        <v/>
      </c>
      <c r="CM552" s="129">
        <f>IFERROR(if($Y552=0,BB552*($W552/1.2),BB552*$Y552),"")</f>
        <v/>
      </c>
      <c r="CN552" s="129">
        <f>IFERROR(if($Y552=0,BC552*($W552/1.2),BC552*$Y552),"")</f>
        <v/>
      </c>
      <c r="CO552" s="130">
        <f>IFERROR(if($AA552=0,($W552/1.35)*BD552,BD552*$AA552),)</f>
        <v/>
      </c>
      <c r="CP552" s="130">
        <f>IFERROR(if($AA552=0,($W552/1.35)*BE552,BE552*$AA552),)</f>
        <v/>
      </c>
      <c r="CQ552" s="130">
        <f>IFERROR(if($AA552=0,($W552/1.35)*BF552,BF552*$AA552),)</f>
        <v/>
      </c>
      <c r="CR552" s="128">
        <f>IFERROR(if($AC552=0,($W552/0.74)*BG552,
BG552*$AC552),)</f>
        <v/>
      </c>
      <c r="CS552" s="128">
        <f>IFERROR(if($AC552=0,($W552/0.74)*BH552,
BH552*$AC552),)</f>
        <v/>
      </c>
      <c r="CT552" s="128">
        <f>IFERROR(if($AC552=0,($W552/0.74)*BI552,
BI552*$AC552),)</f>
        <v/>
      </c>
      <c r="CU552" s="128">
        <f>IFERROR(AI552*$V552,)</f>
        <v/>
      </c>
      <c r="CV552" s="128">
        <f>IFERROR(AJ552*$V552,)</f>
        <v/>
      </c>
      <c r="CW552" s="128">
        <f>IFERROR(AK552*$V552,)</f>
        <v/>
      </c>
      <c r="CX552" s="128">
        <f>IFERROR(AL552*$V552,)</f>
        <v/>
      </c>
      <c r="CY552" s="128">
        <f>IFERROR(AM552*$V552,)</f>
        <v/>
      </c>
      <c r="CZ552" s="128">
        <f>IFERROR(AN552*$V552,)</f>
        <v/>
      </c>
      <c r="DA552" s="128">
        <f>IFERROR(AO552*$V552,)</f>
        <v/>
      </c>
      <c r="DB552" s="128">
        <f>IFERROR(AP552*$V552,)</f>
        <v/>
      </c>
      <c r="DC552" s="128">
        <f>IFERROR(AQ552*$V552,)</f>
        <v/>
      </c>
      <c r="DD552" s="128">
        <f>IFERROR(AR552*$V552,)</f>
        <v/>
      </c>
      <c r="DE552" s="128">
        <f>IFERROR(AS552*$V552,)</f>
        <v/>
      </c>
      <c r="DF552" s="128">
        <f>IFERROR(AT552*$V552,)</f>
        <v/>
      </c>
      <c r="DG552" s="128">
        <f>IFERROR(AU552*$V552,)</f>
        <v/>
      </c>
      <c r="DH552" s="128">
        <f>IFERROR(AV552*$V552,)</f>
        <v/>
      </c>
      <c r="DI552" s="128">
        <f>IFERROR(AW552*$V552,)</f>
        <v/>
      </c>
      <c r="DJ552" s="128">
        <f>IFERROR(AX552*$V552,)</f>
        <v/>
      </c>
      <c r="DK552" s="128">
        <f>IFERROR(AY552*$V552,)</f>
        <v/>
      </c>
      <c r="DL552" s="128">
        <f>IFERROR(AZ552*$V552,)</f>
        <v/>
      </c>
      <c r="DM552" s="129">
        <f>IFERROR(if($X552=0,($V552/1.2)*BA552,
BA552*$X552),)</f>
        <v/>
      </c>
      <c r="DN552" s="129">
        <f>IFERROR(if($X552=0,($V552/1.2)*BB552,
BB552*$X552),)</f>
        <v/>
      </c>
      <c r="DO552" s="129">
        <f>IFERROR(if($X552=0,($V552/1.2)*BC552,
BC552*$X552),)</f>
        <v/>
      </c>
      <c r="DP552" s="130">
        <f>IFERROR(if($Z552=0,($V552/1.35)*BD552,
BD552*$Z552),)</f>
        <v/>
      </c>
      <c r="DQ552" s="130">
        <f>IFERROR(if($Z552=0,($V552/1.35)*BE552,
BE552*$Z552),)</f>
        <v/>
      </c>
      <c r="DR552" s="130">
        <f>IFERROR(if($Z552=0,($V552/1.35)*BF552,
BF552*$Z552),)</f>
        <v/>
      </c>
      <c r="DS552" s="128">
        <f>IFERROR(IF($AB552=0,($V552/0.74)*BG552,
BG552*$AB552),)</f>
        <v/>
      </c>
      <c r="DT552" s="128">
        <f>IFERROR(IF($AB552=0,($V552/0.74)*BH552,
BH552*$AB552),)</f>
        <v/>
      </c>
      <c r="DU552" s="128">
        <f>IFERROR(IF($AB552=0,($V552/0.74)*BI552,
BI552*$AB552),)</f>
        <v/>
      </c>
    </row>
    <row r="553" ht="131.25" customHeight="1" s="162">
      <c r="A553" s="115" t="n"/>
      <c r="B553" s="115" t="n"/>
      <c r="C553" s="115" t="n"/>
      <c r="D553" s="115" t="n"/>
      <c r="E553" s="115" t="n"/>
      <c r="F553" s="115" t="n"/>
      <c r="G553" s="115" t="n"/>
      <c r="H553" s="115" t="n"/>
      <c r="I553" s="115" t="n"/>
      <c r="J553" s="115" t="n"/>
      <c r="K553" s="115" t="n"/>
      <c r="L553" s="115" t="n"/>
      <c r="M553" s="115" t="n"/>
      <c r="N553" s="115" t="n"/>
      <c r="O553" s="115" t="n"/>
      <c r="P553" s="115" t="n"/>
      <c r="Q553" s="115" t="n"/>
      <c r="R553" s="115" t="n"/>
      <c r="S553" s="115" t="n"/>
      <c r="T553" s="115" t="n"/>
      <c r="U553" s="116" t="n"/>
      <c r="V553" s="116" t="n"/>
      <c r="W553" s="117" t="n"/>
      <c r="X553" s="118" t="n"/>
      <c r="Y553" s="119" t="n"/>
      <c r="Z553" s="120" t="n"/>
      <c r="AA553" s="121" t="n"/>
      <c r="AB553" s="122" t="n"/>
      <c r="AC553" s="117" t="n"/>
      <c r="AD553" s="123">
        <f>IF(SUM($AE553:$AH553)=0,"",SUM($AE553:$AH553))</f>
        <v/>
      </c>
      <c r="AE553" s="123">
        <f>iferror(IF(SUM($AI553:$AZ553)=0,"",SUM($AI553:$AZ553)),"")</f>
        <v/>
      </c>
      <c r="AF553" s="123">
        <f>iferror(IF(SUM($BA553:$BC553)=0,"",SUM($BA553:$BC553)),"")</f>
        <v/>
      </c>
      <c r="AG553" s="123">
        <f>iferror(IF(SUM($BD553:$BF553)=0,"",SUM($BD553:$BF553)),"")</f>
        <v/>
      </c>
      <c r="AH553" s="124">
        <f>iferror(IF(SUM($BG553:$BI553)=0,"",SUM($BG553:$BI553)),"")</f>
        <v/>
      </c>
      <c r="AI553" s="131" t="n"/>
      <c r="AJ553" s="132" t="n"/>
      <c r="AK553" s="132" t="n"/>
      <c r="AL553" s="132" t="n"/>
      <c r="AM553" s="132" t="n"/>
      <c r="AN553" s="132" t="n"/>
      <c r="AO553" s="132" t="n"/>
      <c r="AP553" s="132" t="n"/>
      <c r="AQ553" s="132" t="n"/>
      <c r="AR553" s="132" t="n"/>
      <c r="AS553" s="132" t="n"/>
      <c r="AT553" s="132" t="n"/>
      <c r="AU553" s="132" t="n"/>
      <c r="AV553" s="132" t="n"/>
      <c r="AW553" s="132" t="n"/>
      <c r="AX553" s="132" t="n"/>
      <c r="AY553" s="132" t="n"/>
      <c r="AZ553" s="133" t="n"/>
      <c r="BA553" s="131" t="n"/>
      <c r="BB553" s="132" t="n"/>
      <c r="BC553" s="133" t="n"/>
      <c r="BD553" s="131" t="n"/>
      <c r="BE553" s="132" t="n"/>
      <c r="BF553" s="133" t="n"/>
      <c r="BG553" s="131" t="n"/>
      <c r="BH553" s="132" t="n"/>
      <c r="BI553" s="132" t="n"/>
      <c r="BJ553" s="128">
        <f>iferror(SUM($BK553,($BL553*1.2),($BM553*1.35),($BN553*0.74)),)</f>
        <v/>
      </c>
      <c r="BK553" s="128">
        <f>IFERROR(SUM($BT553:$CK553),)</f>
        <v/>
      </c>
      <c r="BL553" s="129">
        <f>IFERROR(SUM($CL553:$CN553),)</f>
        <v/>
      </c>
      <c r="BM553" s="130">
        <f>IFERROR(SUM($CO553:$CQ553),)</f>
        <v/>
      </c>
      <c r="BN553" s="128">
        <f>IFERROR(SUM($CR553:$CT553),)</f>
        <v/>
      </c>
      <c r="BO553" s="128">
        <f>iferror(SUM($BP553,($BQ553*1.2),($BR553*1.35),($BS553*0.74)),)</f>
        <v/>
      </c>
      <c r="BP553" s="128">
        <f>IFERROR(SUM($CU553:$DL553),)</f>
        <v/>
      </c>
      <c r="BQ553" s="128">
        <f>IFERROR(SUM($DM553:$DO553),)</f>
        <v/>
      </c>
      <c r="BR553" s="128">
        <f>IFERROR(SUM($DP553:$DR553),)</f>
        <v/>
      </c>
      <c r="BS553" s="128">
        <f>IFERROR(SUM($DS553:$DU553),)</f>
        <v/>
      </c>
      <c r="BT553" s="128">
        <f>IFERROR(AI553*$W553,)</f>
        <v/>
      </c>
      <c r="BU553" s="128">
        <f>IFERROR(AJ553*$W553,)</f>
        <v/>
      </c>
      <c r="BV553" s="128">
        <f>IFERROR(AK553*$W553,)</f>
        <v/>
      </c>
      <c r="BW553" s="128">
        <f>IFERROR(AL553*$W553,)</f>
        <v/>
      </c>
      <c r="BX553" s="128">
        <f>IFERROR(AM553*$W553,)</f>
        <v/>
      </c>
      <c r="BY553" s="128">
        <f>IFERROR(AN553*$W553,)</f>
        <v/>
      </c>
      <c r="BZ553" s="128">
        <f>IFERROR(AO553*$W553,)</f>
        <v/>
      </c>
      <c r="CA553" s="128">
        <f>IFERROR(AP553*$W553,)</f>
        <v/>
      </c>
      <c r="CB553" s="128">
        <f>IFERROR(AQ553*$W553,)</f>
        <v/>
      </c>
      <c r="CC553" s="128">
        <f>IFERROR(AR553*$W553,)</f>
        <v/>
      </c>
      <c r="CD553" s="128">
        <f>IFERROR(AS553*$W553,)</f>
        <v/>
      </c>
      <c r="CE553" s="128">
        <f>IFERROR(AT553*$W553,)</f>
        <v/>
      </c>
      <c r="CF553" s="128">
        <f>IFERROR(AU553*$W553,)</f>
        <v/>
      </c>
      <c r="CG553" s="128">
        <f>IFERROR(AV553*$W553,)</f>
        <v/>
      </c>
      <c r="CH553" s="128">
        <f>IFERROR(AW553*$W553,)</f>
        <v/>
      </c>
      <c r="CI553" s="128">
        <f>IFERROR(AX553*$W553,)</f>
        <v/>
      </c>
      <c r="CJ553" s="128">
        <f>IFERROR(AY553*$W553,)</f>
        <v/>
      </c>
      <c r="CK553" s="128">
        <f>IFERROR(AZ553*$W553,)</f>
        <v/>
      </c>
      <c r="CL553" s="129">
        <f>IFERROR(if($Y553=0,BA553*($W553/1.2),BA553*$Y553),"")</f>
        <v/>
      </c>
      <c r="CM553" s="129">
        <f>IFERROR(if($Y553=0,BB553*($W553/1.2),BB553*$Y553),"")</f>
        <v/>
      </c>
      <c r="CN553" s="129">
        <f>IFERROR(if($Y553=0,BC553*($W553/1.2),BC553*$Y553),"")</f>
        <v/>
      </c>
      <c r="CO553" s="130">
        <f>IFERROR(if($AA553=0,($W553/1.35)*BD553,BD553*$AA553),)</f>
        <v/>
      </c>
      <c r="CP553" s="130">
        <f>IFERROR(if($AA553=0,($W553/1.35)*BE553,BE553*$AA553),)</f>
        <v/>
      </c>
      <c r="CQ553" s="130">
        <f>IFERROR(if($AA553=0,($W553/1.35)*BF553,BF553*$AA553),)</f>
        <v/>
      </c>
      <c r="CR553" s="128">
        <f>IFERROR(if($AC553=0,($W553/0.74)*BG553,
BG553*$AC553),)</f>
        <v/>
      </c>
      <c r="CS553" s="128">
        <f>IFERROR(if($AC553=0,($W553/0.74)*BH553,
BH553*$AC553),)</f>
        <v/>
      </c>
      <c r="CT553" s="128">
        <f>IFERROR(if($AC553=0,($W553/0.74)*BI553,
BI553*$AC553),)</f>
        <v/>
      </c>
      <c r="CU553" s="128">
        <f>IFERROR(AI553*$V553,)</f>
        <v/>
      </c>
      <c r="CV553" s="128">
        <f>IFERROR(AJ553*$V553,)</f>
        <v/>
      </c>
      <c r="CW553" s="128">
        <f>IFERROR(AK553*$V553,)</f>
        <v/>
      </c>
      <c r="CX553" s="128">
        <f>IFERROR(AL553*$V553,)</f>
        <v/>
      </c>
      <c r="CY553" s="128">
        <f>IFERROR(AM553*$V553,)</f>
        <v/>
      </c>
      <c r="CZ553" s="128">
        <f>IFERROR(AN553*$V553,)</f>
        <v/>
      </c>
      <c r="DA553" s="128">
        <f>IFERROR(AO553*$V553,)</f>
        <v/>
      </c>
      <c r="DB553" s="128">
        <f>IFERROR(AP553*$V553,)</f>
        <v/>
      </c>
      <c r="DC553" s="128">
        <f>IFERROR(AQ553*$V553,)</f>
        <v/>
      </c>
      <c r="DD553" s="128">
        <f>IFERROR(AR553*$V553,)</f>
        <v/>
      </c>
      <c r="DE553" s="128">
        <f>IFERROR(AS553*$V553,)</f>
        <v/>
      </c>
      <c r="DF553" s="128">
        <f>IFERROR(AT553*$V553,)</f>
        <v/>
      </c>
      <c r="DG553" s="128">
        <f>IFERROR(AU553*$V553,)</f>
        <v/>
      </c>
      <c r="DH553" s="128">
        <f>IFERROR(AV553*$V553,)</f>
        <v/>
      </c>
      <c r="DI553" s="128">
        <f>IFERROR(AW553*$V553,)</f>
        <v/>
      </c>
      <c r="DJ553" s="128">
        <f>IFERROR(AX553*$V553,)</f>
        <v/>
      </c>
      <c r="DK553" s="128">
        <f>IFERROR(AY553*$V553,)</f>
        <v/>
      </c>
      <c r="DL553" s="128">
        <f>IFERROR(AZ553*$V553,)</f>
        <v/>
      </c>
      <c r="DM553" s="129">
        <f>IFERROR(if($X553=0,($V553/1.2)*BA553,
BA553*$X553),)</f>
        <v/>
      </c>
      <c r="DN553" s="129">
        <f>IFERROR(if($X553=0,($V553/1.2)*BB553,
BB553*$X553),)</f>
        <v/>
      </c>
      <c r="DO553" s="129">
        <f>IFERROR(if($X553=0,($V553/1.2)*BC553,
BC553*$X553),)</f>
        <v/>
      </c>
      <c r="DP553" s="130">
        <f>IFERROR(if($Z553=0,($V553/1.35)*BD553,
BD553*$Z553),)</f>
        <v/>
      </c>
      <c r="DQ553" s="130">
        <f>IFERROR(if($Z553=0,($V553/1.35)*BE553,
BE553*$Z553),)</f>
        <v/>
      </c>
      <c r="DR553" s="130">
        <f>IFERROR(if($Z553=0,($V553/1.35)*BF553,
BF553*$Z553),)</f>
        <v/>
      </c>
      <c r="DS553" s="128">
        <f>IFERROR(IF($AB553=0,($V553/0.74)*BG553,
BG553*$AB553),)</f>
        <v/>
      </c>
      <c r="DT553" s="128">
        <f>IFERROR(IF($AB553=0,($V553/0.74)*BH553,
BH553*$AB553),)</f>
        <v/>
      </c>
      <c r="DU553" s="128">
        <f>IFERROR(IF($AB553=0,($V553/0.74)*BI553,
BI553*$AB553),)</f>
        <v/>
      </c>
    </row>
    <row r="554" ht="131.25" customHeight="1" s="162">
      <c r="A554" s="115" t="n"/>
      <c r="B554" s="115" t="n"/>
      <c r="C554" s="115" t="n"/>
      <c r="D554" s="115" t="n"/>
      <c r="E554" s="115" t="n"/>
      <c r="F554" s="115" t="n"/>
      <c r="G554" s="115" t="n"/>
      <c r="H554" s="115" t="n"/>
      <c r="I554" s="115" t="n"/>
      <c r="J554" s="115" t="n"/>
      <c r="K554" s="115" t="n"/>
      <c r="L554" s="115" t="n"/>
      <c r="M554" s="115" t="n"/>
      <c r="N554" s="115" t="n"/>
      <c r="O554" s="115" t="n"/>
      <c r="P554" s="115" t="n"/>
      <c r="Q554" s="115" t="n"/>
      <c r="R554" s="115" t="n"/>
      <c r="S554" s="115" t="n"/>
      <c r="T554" s="115" t="n"/>
      <c r="U554" s="116" t="n"/>
      <c r="V554" s="116" t="n"/>
      <c r="W554" s="117" t="n"/>
      <c r="X554" s="118" t="n"/>
      <c r="Y554" s="119" t="n"/>
      <c r="Z554" s="120" t="n"/>
      <c r="AA554" s="121" t="n"/>
      <c r="AB554" s="122" t="n"/>
      <c r="AC554" s="117" t="n"/>
      <c r="AD554" s="123">
        <f>IF(SUM($AE554:$AH554)=0,"",SUM($AE554:$AH554))</f>
        <v/>
      </c>
      <c r="AE554" s="123">
        <f>iferror(IF(SUM($AI554:$AZ554)=0,"",SUM($AI554:$AZ554)),"")</f>
        <v/>
      </c>
      <c r="AF554" s="123">
        <f>iferror(IF(SUM($BA554:$BC554)=0,"",SUM($BA554:$BC554)),"")</f>
        <v/>
      </c>
      <c r="AG554" s="123">
        <f>iferror(IF(SUM($BD554:$BF554)=0,"",SUM($BD554:$BF554)),"")</f>
        <v/>
      </c>
      <c r="AH554" s="124">
        <f>iferror(IF(SUM($BG554:$BI554)=0,"",SUM($BG554:$BI554)),"")</f>
        <v/>
      </c>
      <c r="AI554" s="131" t="n"/>
      <c r="AJ554" s="132" t="n"/>
      <c r="AK554" s="132" t="n"/>
      <c r="AL554" s="132" t="n"/>
      <c r="AM554" s="132" t="n"/>
      <c r="AN554" s="132" t="n"/>
      <c r="AO554" s="132" t="n"/>
      <c r="AP554" s="132" t="n"/>
      <c r="AQ554" s="132" t="n"/>
      <c r="AR554" s="132" t="n"/>
      <c r="AS554" s="132" t="n"/>
      <c r="AT554" s="132" t="n"/>
      <c r="AU554" s="132" t="n"/>
      <c r="AV554" s="132" t="n"/>
      <c r="AW554" s="132" t="n"/>
      <c r="AX554" s="132" t="n"/>
      <c r="AY554" s="132" t="n"/>
      <c r="AZ554" s="133" t="n"/>
      <c r="BA554" s="131" t="n"/>
      <c r="BB554" s="132" t="n"/>
      <c r="BC554" s="133" t="n"/>
      <c r="BD554" s="131" t="n"/>
      <c r="BE554" s="132" t="n"/>
      <c r="BF554" s="133" t="n"/>
      <c r="BG554" s="131" t="n"/>
      <c r="BH554" s="132" t="n"/>
      <c r="BI554" s="132" t="n"/>
      <c r="BJ554" s="128">
        <f>iferror(SUM($BK554,($BL554*1.2),($BM554*1.35),($BN554*0.74)),)</f>
        <v/>
      </c>
      <c r="BK554" s="128">
        <f>IFERROR(SUM($BT554:$CK554),)</f>
        <v/>
      </c>
      <c r="BL554" s="129">
        <f>IFERROR(SUM($CL554:$CN554),)</f>
        <v/>
      </c>
      <c r="BM554" s="130">
        <f>IFERROR(SUM($CO554:$CQ554),)</f>
        <v/>
      </c>
      <c r="BN554" s="128">
        <f>IFERROR(SUM($CR554:$CT554),)</f>
        <v/>
      </c>
      <c r="BO554" s="128">
        <f>iferror(SUM($BP554,($BQ554*1.2),($BR554*1.35),($BS554*0.74)),)</f>
        <v/>
      </c>
      <c r="BP554" s="128">
        <f>IFERROR(SUM($CU554:$DL554),)</f>
        <v/>
      </c>
      <c r="BQ554" s="128">
        <f>IFERROR(SUM($DM554:$DO554),)</f>
        <v/>
      </c>
      <c r="BR554" s="128">
        <f>IFERROR(SUM($DP554:$DR554),)</f>
        <v/>
      </c>
      <c r="BS554" s="128">
        <f>IFERROR(SUM($DS554:$DU554),)</f>
        <v/>
      </c>
      <c r="BT554" s="128">
        <f>IFERROR(AI554*$W554,)</f>
        <v/>
      </c>
      <c r="BU554" s="128">
        <f>IFERROR(AJ554*$W554,)</f>
        <v/>
      </c>
      <c r="BV554" s="128">
        <f>IFERROR(AK554*$W554,)</f>
        <v/>
      </c>
      <c r="BW554" s="128">
        <f>IFERROR(AL554*$W554,)</f>
        <v/>
      </c>
      <c r="BX554" s="128">
        <f>IFERROR(AM554*$W554,)</f>
        <v/>
      </c>
      <c r="BY554" s="128">
        <f>IFERROR(AN554*$W554,)</f>
        <v/>
      </c>
      <c r="BZ554" s="128">
        <f>IFERROR(AO554*$W554,)</f>
        <v/>
      </c>
      <c r="CA554" s="128">
        <f>IFERROR(AP554*$W554,)</f>
        <v/>
      </c>
      <c r="CB554" s="128">
        <f>IFERROR(AQ554*$W554,)</f>
        <v/>
      </c>
      <c r="CC554" s="128">
        <f>IFERROR(AR554*$W554,)</f>
        <v/>
      </c>
      <c r="CD554" s="128">
        <f>IFERROR(AS554*$W554,)</f>
        <v/>
      </c>
      <c r="CE554" s="128">
        <f>IFERROR(AT554*$W554,)</f>
        <v/>
      </c>
      <c r="CF554" s="128">
        <f>IFERROR(AU554*$W554,)</f>
        <v/>
      </c>
      <c r="CG554" s="128">
        <f>IFERROR(AV554*$W554,)</f>
        <v/>
      </c>
      <c r="CH554" s="128">
        <f>IFERROR(AW554*$W554,)</f>
        <v/>
      </c>
      <c r="CI554" s="128">
        <f>IFERROR(AX554*$W554,)</f>
        <v/>
      </c>
      <c r="CJ554" s="128">
        <f>IFERROR(AY554*$W554,)</f>
        <v/>
      </c>
      <c r="CK554" s="128">
        <f>IFERROR(AZ554*$W554,)</f>
        <v/>
      </c>
      <c r="CL554" s="129">
        <f>IFERROR(if($Y554=0,BA554*($W554/1.2),BA554*$Y554),"")</f>
        <v/>
      </c>
      <c r="CM554" s="129">
        <f>IFERROR(if($Y554=0,BB554*($W554/1.2),BB554*$Y554),"")</f>
        <v/>
      </c>
      <c r="CN554" s="129">
        <f>IFERROR(if($Y554=0,BC554*($W554/1.2),BC554*$Y554),"")</f>
        <v/>
      </c>
      <c r="CO554" s="130">
        <f>IFERROR(if($AA554=0,($W554/1.35)*BD554,BD554*$AA554),)</f>
        <v/>
      </c>
      <c r="CP554" s="130">
        <f>IFERROR(if($AA554=0,($W554/1.35)*BE554,BE554*$AA554),)</f>
        <v/>
      </c>
      <c r="CQ554" s="130">
        <f>IFERROR(if($AA554=0,($W554/1.35)*BF554,BF554*$AA554),)</f>
        <v/>
      </c>
      <c r="CR554" s="128">
        <f>IFERROR(if($AC554=0,($W554/0.74)*BG554,
BG554*$AC554),)</f>
        <v/>
      </c>
      <c r="CS554" s="128">
        <f>IFERROR(if($AC554=0,($W554/0.74)*BH554,
BH554*$AC554),)</f>
        <v/>
      </c>
      <c r="CT554" s="128">
        <f>IFERROR(if($AC554=0,($W554/0.74)*BI554,
BI554*$AC554),)</f>
        <v/>
      </c>
      <c r="CU554" s="128">
        <f>IFERROR(AI554*$V554,)</f>
        <v/>
      </c>
      <c r="CV554" s="128">
        <f>IFERROR(AJ554*$V554,)</f>
        <v/>
      </c>
      <c r="CW554" s="128">
        <f>IFERROR(AK554*$V554,)</f>
        <v/>
      </c>
      <c r="CX554" s="128">
        <f>IFERROR(AL554*$V554,)</f>
        <v/>
      </c>
      <c r="CY554" s="128">
        <f>IFERROR(AM554*$V554,)</f>
        <v/>
      </c>
      <c r="CZ554" s="128">
        <f>IFERROR(AN554*$V554,)</f>
        <v/>
      </c>
      <c r="DA554" s="128">
        <f>IFERROR(AO554*$V554,)</f>
        <v/>
      </c>
      <c r="DB554" s="128">
        <f>IFERROR(AP554*$V554,)</f>
        <v/>
      </c>
      <c r="DC554" s="128">
        <f>IFERROR(AQ554*$V554,)</f>
        <v/>
      </c>
      <c r="DD554" s="128">
        <f>IFERROR(AR554*$V554,)</f>
        <v/>
      </c>
      <c r="DE554" s="128">
        <f>IFERROR(AS554*$V554,)</f>
        <v/>
      </c>
      <c r="DF554" s="128">
        <f>IFERROR(AT554*$V554,)</f>
        <v/>
      </c>
      <c r="DG554" s="128">
        <f>IFERROR(AU554*$V554,)</f>
        <v/>
      </c>
      <c r="DH554" s="128">
        <f>IFERROR(AV554*$V554,)</f>
        <v/>
      </c>
      <c r="DI554" s="128">
        <f>IFERROR(AW554*$V554,)</f>
        <v/>
      </c>
      <c r="DJ554" s="128">
        <f>IFERROR(AX554*$V554,)</f>
        <v/>
      </c>
      <c r="DK554" s="128">
        <f>IFERROR(AY554*$V554,)</f>
        <v/>
      </c>
      <c r="DL554" s="128">
        <f>IFERROR(AZ554*$V554,)</f>
        <v/>
      </c>
      <c r="DM554" s="129">
        <f>IFERROR(if($X554=0,($V554/1.2)*BA554,
BA554*$X554),)</f>
        <v/>
      </c>
      <c r="DN554" s="129">
        <f>IFERROR(if($X554=0,($V554/1.2)*BB554,
BB554*$X554),)</f>
        <v/>
      </c>
      <c r="DO554" s="129">
        <f>IFERROR(if($X554=0,($V554/1.2)*BC554,
BC554*$X554),)</f>
        <v/>
      </c>
      <c r="DP554" s="130">
        <f>IFERROR(if($Z554=0,($V554/1.35)*BD554,
BD554*$Z554),)</f>
        <v/>
      </c>
      <c r="DQ554" s="130">
        <f>IFERROR(if($Z554=0,($V554/1.35)*BE554,
BE554*$Z554),)</f>
        <v/>
      </c>
      <c r="DR554" s="130">
        <f>IFERROR(if($Z554=0,($V554/1.35)*BF554,
BF554*$Z554),)</f>
        <v/>
      </c>
      <c r="DS554" s="128">
        <f>IFERROR(IF($AB554=0,($V554/0.74)*BG554,
BG554*$AB554),)</f>
        <v/>
      </c>
      <c r="DT554" s="128">
        <f>IFERROR(IF($AB554=0,($V554/0.74)*BH554,
BH554*$AB554),)</f>
        <v/>
      </c>
      <c r="DU554" s="128">
        <f>IFERROR(IF($AB554=0,($V554/0.74)*BI554,
BI554*$AB554),)</f>
        <v/>
      </c>
    </row>
    <row r="555" ht="131.25" customHeight="1" s="162">
      <c r="A555" s="115" t="n"/>
      <c r="B555" s="115" t="n"/>
      <c r="C555" s="115" t="n"/>
      <c r="D555" s="115" t="n"/>
      <c r="E555" s="115" t="n"/>
      <c r="F555" s="115" t="n"/>
      <c r="G555" s="115" t="n"/>
      <c r="H555" s="115" t="n"/>
      <c r="I555" s="115" t="n"/>
      <c r="J555" s="115" t="n"/>
      <c r="K555" s="115" t="n"/>
      <c r="L555" s="115" t="n"/>
      <c r="M555" s="115" t="n"/>
      <c r="N555" s="115" t="n"/>
      <c r="O555" s="115" t="n"/>
      <c r="P555" s="115" t="n"/>
      <c r="Q555" s="115" t="n"/>
      <c r="R555" s="115" t="n"/>
      <c r="S555" s="115" t="n"/>
      <c r="T555" s="115" t="n"/>
      <c r="U555" s="116" t="n"/>
      <c r="V555" s="116" t="n"/>
      <c r="W555" s="117" t="n"/>
      <c r="X555" s="118" t="n"/>
      <c r="Y555" s="119" t="n"/>
      <c r="Z555" s="120" t="n"/>
      <c r="AA555" s="121" t="n"/>
      <c r="AB555" s="122" t="n"/>
      <c r="AC555" s="117" t="n"/>
      <c r="AD555" s="123">
        <f>IF(SUM($AE555:$AH555)=0,"",SUM($AE555:$AH555))</f>
        <v/>
      </c>
      <c r="AE555" s="123">
        <f>iferror(IF(SUM($AI555:$AZ555)=0,"",SUM($AI555:$AZ555)),"")</f>
        <v/>
      </c>
      <c r="AF555" s="123">
        <f>iferror(IF(SUM($BA555:$BC555)=0,"",SUM($BA555:$BC555)),"")</f>
        <v/>
      </c>
      <c r="AG555" s="123">
        <f>iferror(IF(SUM($BD555:$BF555)=0,"",SUM($BD555:$BF555)),"")</f>
        <v/>
      </c>
      <c r="AH555" s="124">
        <f>iferror(IF(SUM($BG555:$BI555)=0,"",SUM($BG555:$BI555)),"")</f>
        <v/>
      </c>
      <c r="AI555" s="131" t="n"/>
      <c r="AJ555" s="132" t="n"/>
      <c r="AK555" s="132" t="n"/>
      <c r="AL555" s="132" t="n"/>
      <c r="AM555" s="132" t="n"/>
      <c r="AN555" s="132" t="n"/>
      <c r="AO555" s="132" t="n"/>
      <c r="AP555" s="132" t="n"/>
      <c r="AQ555" s="132" t="n"/>
      <c r="AR555" s="132" t="n"/>
      <c r="AS555" s="132" t="n"/>
      <c r="AT555" s="132" t="n"/>
      <c r="AU555" s="132" t="n"/>
      <c r="AV555" s="132" t="n"/>
      <c r="AW555" s="132" t="n"/>
      <c r="AX555" s="132" t="n"/>
      <c r="AY555" s="132" t="n"/>
      <c r="AZ555" s="133" t="n"/>
      <c r="BA555" s="131" t="n"/>
      <c r="BB555" s="132" t="n"/>
      <c r="BC555" s="133" t="n"/>
      <c r="BD555" s="131" t="n"/>
      <c r="BE555" s="132" t="n"/>
      <c r="BF555" s="133" t="n"/>
      <c r="BG555" s="131" t="n"/>
      <c r="BH555" s="132" t="n"/>
      <c r="BI555" s="132" t="n"/>
      <c r="BJ555" s="128">
        <f>iferror(SUM($BK555,($BL555*1.2),($BM555*1.35),($BN555*0.74)),)</f>
        <v/>
      </c>
      <c r="BK555" s="128">
        <f>IFERROR(SUM($BT555:$CK555),)</f>
        <v/>
      </c>
      <c r="BL555" s="129">
        <f>IFERROR(SUM($CL555:$CN555),)</f>
        <v/>
      </c>
      <c r="BM555" s="130">
        <f>IFERROR(SUM($CO555:$CQ555),)</f>
        <v/>
      </c>
      <c r="BN555" s="128">
        <f>IFERROR(SUM($CR555:$CT555),)</f>
        <v/>
      </c>
      <c r="BO555" s="128">
        <f>iferror(SUM($BP555,($BQ555*1.2),($BR555*1.35),($BS555*0.74)),)</f>
        <v/>
      </c>
      <c r="BP555" s="128">
        <f>IFERROR(SUM($CU555:$DL555),)</f>
        <v/>
      </c>
      <c r="BQ555" s="128">
        <f>IFERROR(SUM($DM555:$DO555),)</f>
        <v/>
      </c>
      <c r="BR555" s="128">
        <f>IFERROR(SUM($DP555:$DR555),)</f>
        <v/>
      </c>
      <c r="BS555" s="128">
        <f>IFERROR(SUM($DS555:$DU555),)</f>
        <v/>
      </c>
      <c r="BT555" s="128">
        <f>IFERROR(AI555*$W555,)</f>
        <v/>
      </c>
      <c r="BU555" s="128">
        <f>IFERROR(AJ555*$W555,)</f>
        <v/>
      </c>
      <c r="BV555" s="128">
        <f>IFERROR(AK555*$W555,)</f>
        <v/>
      </c>
      <c r="BW555" s="128">
        <f>IFERROR(AL555*$W555,)</f>
        <v/>
      </c>
      <c r="BX555" s="128">
        <f>IFERROR(AM555*$W555,)</f>
        <v/>
      </c>
      <c r="BY555" s="128">
        <f>IFERROR(AN555*$W555,)</f>
        <v/>
      </c>
      <c r="BZ555" s="128">
        <f>IFERROR(AO555*$W555,)</f>
        <v/>
      </c>
      <c r="CA555" s="128">
        <f>IFERROR(AP555*$W555,)</f>
        <v/>
      </c>
      <c r="CB555" s="128">
        <f>IFERROR(AQ555*$W555,)</f>
        <v/>
      </c>
      <c r="CC555" s="128">
        <f>IFERROR(AR555*$W555,)</f>
        <v/>
      </c>
      <c r="CD555" s="128">
        <f>IFERROR(AS555*$W555,)</f>
        <v/>
      </c>
      <c r="CE555" s="128">
        <f>IFERROR(AT555*$W555,)</f>
        <v/>
      </c>
      <c r="CF555" s="128">
        <f>IFERROR(AU555*$W555,)</f>
        <v/>
      </c>
      <c r="CG555" s="128">
        <f>IFERROR(AV555*$W555,)</f>
        <v/>
      </c>
      <c r="CH555" s="128">
        <f>IFERROR(AW555*$W555,)</f>
        <v/>
      </c>
      <c r="CI555" s="128">
        <f>IFERROR(AX555*$W555,)</f>
        <v/>
      </c>
      <c r="CJ555" s="128">
        <f>IFERROR(AY555*$W555,)</f>
        <v/>
      </c>
      <c r="CK555" s="128">
        <f>IFERROR(AZ555*$W555,)</f>
        <v/>
      </c>
      <c r="CL555" s="129">
        <f>IFERROR(if($Y555=0,BA555*($W555/1.2),BA555*$Y555),"")</f>
        <v/>
      </c>
      <c r="CM555" s="129">
        <f>IFERROR(if($Y555=0,BB555*($W555/1.2),BB555*$Y555),"")</f>
        <v/>
      </c>
      <c r="CN555" s="129">
        <f>IFERROR(if($Y555=0,BC555*($W555/1.2),BC555*$Y555),"")</f>
        <v/>
      </c>
      <c r="CO555" s="130">
        <f>IFERROR(if($AA555=0,($W555/1.35)*BD555,BD555*$AA555),)</f>
        <v/>
      </c>
      <c r="CP555" s="130">
        <f>IFERROR(if($AA555=0,($W555/1.35)*BE555,BE555*$AA555),)</f>
        <v/>
      </c>
      <c r="CQ555" s="130">
        <f>IFERROR(if($AA555=0,($W555/1.35)*BF555,BF555*$AA555),)</f>
        <v/>
      </c>
      <c r="CR555" s="128">
        <f>IFERROR(if($AC555=0,($W555/0.74)*BG555,
BG555*$AC555),)</f>
        <v/>
      </c>
      <c r="CS555" s="128">
        <f>IFERROR(if($AC555=0,($W555/0.74)*BH555,
BH555*$AC555),)</f>
        <v/>
      </c>
      <c r="CT555" s="128">
        <f>IFERROR(if($AC555=0,($W555/0.74)*BI555,
BI555*$AC555),)</f>
        <v/>
      </c>
      <c r="CU555" s="128">
        <f>IFERROR(AI555*$V555,)</f>
        <v/>
      </c>
      <c r="CV555" s="128">
        <f>IFERROR(AJ555*$V555,)</f>
        <v/>
      </c>
      <c r="CW555" s="128">
        <f>IFERROR(AK555*$V555,)</f>
        <v/>
      </c>
      <c r="CX555" s="128">
        <f>IFERROR(AL555*$V555,)</f>
        <v/>
      </c>
      <c r="CY555" s="128">
        <f>IFERROR(AM555*$V555,)</f>
        <v/>
      </c>
      <c r="CZ555" s="128">
        <f>IFERROR(AN555*$V555,)</f>
        <v/>
      </c>
      <c r="DA555" s="128">
        <f>IFERROR(AO555*$V555,)</f>
        <v/>
      </c>
      <c r="DB555" s="128">
        <f>IFERROR(AP555*$V555,)</f>
        <v/>
      </c>
      <c r="DC555" s="128">
        <f>IFERROR(AQ555*$V555,)</f>
        <v/>
      </c>
      <c r="DD555" s="128">
        <f>IFERROR(AR555*$V555,)</f>
        <v/>
      </c>
      <c r="DE555" s="128">
        <f>IFERROR(AS555*$V555,)</f>
        <v/>
      </c>
      <c r="DF555" s="128">
        <f>IFERROR(AT555*$V555,)</f>
        <v/>
      </c>
      <c r="DG555" s="128">
        <f>IFERROR(AU555*$V555,)</f>
        <v/>
      </c>
      <c r="DH555" s="128">
        <f>IFERROR(AV555*$V555,)</f>
        <v/>
      </c>
      <c r="DI555" s="128">
        <f>IFERROR(AW555*$V555,)</f>
        <v/>
      </c>
      <c r="DJ555" s="128">
        <f>IFERROR(AX555*$V555,)</f>
        <v/>
      </c>
      <c r="DK555" s="128">
        <f>IFERROR(AY555*$V555,)</f>
        <v/>
      </c>
      <c r="DL555" s="128">
        <f>IFERROR(AZ555*$V555,)</f>
        <v/>
      </c>
      <c r="DM555" s="129">
        <f>IFERROR(if($X555=0,($V555/1.2)*BA555,
BA555*$X555),)</f>
        <v/>
      </c>
      <c r="DN555" s="129">
        <f>IFERROR(if($X555=0,($V555/1.2)*BB555,
BB555*$X555),)</f>
        <v/>
      </c>
      <c r="DO555" s="129">
        <f>IFERROR(if($X555=0,($V555/1.2)*BC555,
BC555*$X555),)</f>
        <v/>
      </c>
      <c r="DP555" s="130">
        <f>IFERROR(if($Z555=0,($V555/1.35)*BD555,
BD555*$Z555),)</f>
        <v/>
      </c>
      <c r="DQ555" s="130">
        <f>IFERROR(if($Z555=0,($V555/1.35)*BE555,
BE555*$Z555),)</f>
        <v/>
      </c>
      <c r="DR555" s="130">
        <f>IFERROR(if($Z555=0,($V555/1.35)*BF555,
BF555*$Z555),)</f>
        <v/>
      </c>
      <c r="DS555" s="128">
        <f>IFERROR(IF($AB555=0,($V555/0.74)*BG555,
BG555*$AB555),)</f>
        <v/>
      </c>
      <c r="DT555" s="128">
        <f>IFERROR(IF($AB555=0,($V555/0.74)*BH555,
BH555*$AB555),)</f>
        <v/>
      </c>
      <c r="DU555" s="128">
        <f>IFERROR(IF($AB555=0,($V555/0.74)*BI555,
BI555*$AB555),)</f>
        <v/>
      </c>
    </row>
    <row r="556" ht="131.25" customHeight="1" s="162">
      <c r="A556" s="115" t="n"/>
      <c r="B556" s="115" t="n"/>
      <c r="C556" s="115" t="n"/>
      <c r="D556" s="115" t="n"/>
      <c r="E556" s="115" t="n"/>
      <c r="F556" s="115" t="n"/>
      <c r="G556" s="115" t="n"/>
      <c r="H556" s="115" t="n"/>
      <c r="I556" s="115" t="n"/>
      <c r="J556" s="115" t="n"/>
      <c r="K556" s="115" t="n"/>
      <c r="L556" s="115" t="n"/>
      <c r="M556" s="115" t="n"/>
      <c r="N556" s="115" t="n"/>
      <c r="O556" s="115" t="n"/>
      <c r="P556" s="115" t="n"/>
      <c r="Q556" s="115" t="n"/>
      <c r="R556" s="115" t="n"/>
      <c r="S556" s="115" t="n"/>
      <c r="T556" s="115" t="n"/>
      <c r="U556" s="116" t="n"/>
      <c r="V556" s="116" t="n"/>
      <c r="W556" s="117" t="n"/>
      <c r="X556" s="118" t="n"/>
      <c r="Y556" s="119" t="n"/>
      <c r="Z556" s="120" t="n"/>
      <c r="AA556" s="121" t="n"/>
      <c r="AB556" s="122" t="n"/>
      <c r="AC556" s="117" t="n"/>
      <c r="AD556" s="123">
        <f>IF(SUM($AE556:$AH556)=0,"",SUM($AE556:$AH556))</f>
        <v/>
      </c>
      <c r="AE556" s="123">
        <f>iferror(IF(SUM($AI556:$AZ556)=0,"",SUM($AI556:$AZ556)),"")</f>
        <v/>
      </c>
      <c r="AF556" s="123">
        <f>iferror(IF(SUM($BA556:$BC556)=0,"",SUM($BA556:$BC556)),"")</f>
        <v/>
      </c>
      <c r="AG556" s="123">
        <f>iferror(IF(SUM($BD556:$BF556)=0,"",SUM($BD556:$BF556)),"")</f>
        <v/>
      </c>
      <c r="AH556" s="124">
        <f>iferror(IF(SUM($BG556:$BI556)=0,"",SUM($BG556:$BI556)),"")</f>
        <v/>
      </c>
      <c r="AI556" s="131" t="n"/>
      <c r="AJ556" s="132" t="n"/>
      <c r="AK556" s="132" t="n"/>
      <c r="AL556" s="132" t="n"/>
      <c r="AM556" s="132" t="n"/>
      <c r="AN556" s="132" t="n"/>
      <c r="AO556" s="132" t="n"/>
      <c r="AP556" s="132" t="n"/>
      <c r="AQ556" s="132" t="n"/>
      <c r="AR556" s="132" t="n"/>
      <c r="AS556" s="132" t="n"/>
      <c r="AT556" s="132" t="n"/>
      <c r="AU556" s="132" t="n"/>
      <c r="AV556" s="132" t="n"/>
      <c r="AW556" s="132" t="n"/>
      <c r="AX556" s="132" t="n"/>
      <c r="AY556" s="132" t="n"/>
      <c r="AZ556" s="133" t="n"/>
      <c r="BA556" s="131" t="n"/>
      <c r="BB556" s="132" t="n"/>
      <c r="BC556" s="133" t="n"/>
      <c r="BD556" s="131" t="n"/>
      <c r="BE556" s="132" t="n"/>
      <c r="BF556" s="133" t="n"/>
      <c r="BG556" s="131" t="n"/>
      <c r="BH556" s="132" t="n"/>
      <c r="BI556" s="132" t="n"/>
      <c r="BJ556" s="128">
        <f>iferror(SUM($BK556,($BL556*1.2),($BM556*1.35),($BN556*0.74)),)</f>
        <v/>
      </c>
      <c r="BK556" s="128">
        <f>IFERROR(SUM($BT556:$CK556),)</f>
        <v/>
      </c>
      <c r="BL556" s="129">
        <f>IFERROR(SUM($CL556:$CN556),)</f>
        <v/>
      </c>
      <c r="BM556" s="130">
        <f>IFERROR(SUM($CO556:$CQ556),)</f>
        <v/>
      </c>
      <c r="BN556" s="128">
        <f>IFERROR(SUM($CR556:$CT556),)</f>
        <v/>
      </c>
      <c r="BO556" s="128">
        <f>iferror(SUM($BP556,($BQ556*1.2),($BR556*1.35),($BS556*0.74)),)</f>
        <v/>
      </c>
      <c r="BP556" s="128">
        <f>IFERROR(SUM($CU556:$DL556),)</f>
        <v/>
      </c>
      <c r="BQ556" s="128">
        <f>IFERROR(SUM($DM556:$DO556),)</f>
        <v/>
      </c>
      <c r="BR556" s="128">
        <f>IFERROR(SUM($DP556:$DR556),)</f>
        <v/>
      </c>
      <c r="BS556" s="128">
        <f>IFERROR(SUM($DS556:$DU556),)</f>
        <v/>
      </c>
      <c r="BT556" s="128">
        <f>IFERROR(AI556*$W556,)</f>
        <v/>
      </c>
      <c r="BU556" s="128">
        <f>IFERROR(AJ556*$W556,)</f>
        <v/>
      </c>
      <c r="BV556" s="128">
        <f>IFERROR(AK556*$W556,)</f>
        <v/>
      </c>
      <c r="BW556" s="128">
        <f>IFERROR(AL556*$W556,)</f>
        <v/>
      </c>
      <c r="BX556" s="128">
        <f>IFERROR(AM556*$W556,)</f>
        <v/>
      </c>
      <c r="BY556" s="128">
        <f>IFERROR(AN556*$W556,)</f>
        <v/>
      </c>
      <c r="BZ556" s="128">
        <f>IFERROR(AO556*$W556,)</f>
        <v/>
      </c>
      <c r="CA556" s="128">
        <f>IFERROR(AP556*$W556,)</f>
        <v/>
      </c>
      <c r="CB556" s="128">
        <f>IFERROR(AQ556*$W556,)</f>
        <v/>
      </c>
      <c r="CC556" s="128">
        <f>IFERROR(AR556*$W556,)</f>
        <v/>
      </c>
      <c r="CD556" s="128">
        <f>IFERROR(AS556*$W556,)</f>
        <v/>
      </c>
      <c r="CE556" s="128">
        <f>IFERROR(AT556*$W556,)</f>
        <v/>
      </c>
      <c r="CF556" s="128">
        <f>IFERROR(AU556*$W556,)</f>
        <v/>
      </c>
      <c r="CG556" s="128">
        <f>IFERROR(AV556*$W556,)</f>
        <v/>
      </c>
      <c r="CH556" s="128">
        <f>IFERROR(AW556*$W556,)</f>
        <v/>
      </c>
      <c r="CI556" s="128">
        <f>IFERROR(AX556*$W556,)</f>
        <v/>
      </c>
      <c r="CJ556" s="128">
        <f>IFERROR(AY556*$W556,)</f>
        <v/>
      </c>
      <c r="CK556" s="128">
        <f>IFERROR(AZ556*$W556,)</f>
        <v/>
      </c>
      <c r="CL556" s="129">
        <f>IFERROR(if($Y556=0,BA556*($W556/1.2),BA556*$Y556),"")</f>
        <v/>
      </c>
      <c r="CM556" s="129">
        <f>IFERROR(if($Y556=0,BB556*($W556/1.2),BB556*$Y556),"")</f>
        <v/>
      </c>
      <c r="CN556" s="129">
        <f>IFERROR(if($Y556=0,BC556*($W556/1.2),BC556*$Y556),"")</f>
        <v/>
      </c>
      <c r="CO556" s="130">
        <f>IFERROR(if($AA556=0,($W556/1.35)*BD556,BD556*$AA556),)</f>
        <v/>
      </c>
      <c r="CP556" s="130">
        <f>IFERROR(if($AA556=0,($W556/1.35)*BE556,BE556*$AA556),)</f>
        <v/>
      </c>
      <c r="CQ556" s="130">
        <f>IFERROR(if($AA556=0,($W556/1.35)*BF556,BF556*$AA556),)</f>
        <v/>
      </c>
      <c r="CR556" s="128">
        <f>IFERROR(if($AC556=0,($W556/0.74)*BG556,
BG556*$AC556),)</f>
        <v/>
      </c>
      <c r="CS556" s="128">
        <f>IFERROR(if($AC556=0,($W556/0.74)*BH556,
BH556*$AC556),)</f>
        <v/>
      </c>
      <c r="CT556" s="128">
        <f>IFERROR(if($AC556=0,($W556/0.74)*BI556,
BI556*$AC556),)</f>
        <v/>
      </c>
      <c r="CU556" s="128">
        <f>IFERROR(AI556*$V556,)</f>
        <v/>
      </c>
      <c r="CV556" s="128">
        <f>IFERROR(AJ556*$V556,)</f>
        <v/>
      </c>
      <c r="CW556" s="128">
        <f>IFERROR(AK556*$V556,)</f>
        <v/>
      </c>
      <c r="CX556" s="128">
        <f>IFERROR(AL556*$V556,)</f>
        <v/>
      </c>
      <c r="CY556" s="128">
        <f>IFERROR(AM556*$V556,)</f>
        <v/>
      </c>
      <c r="CZ556" s="128">
        <f>IFERROR(AN556*$V556,)</f>
        <v/>
      </c>
      <c r="DA556" s="128">
        <f>IFERROR(AO556*$V556,)</f>
        <v/>
      </c>
      <c r="DB556" s="128">
        <f>IFERROR(AP556*$V556,)</f>
        <v/>
      </c>
      <c r="DC556" s="128">
        <f>IFERROR(AQ556*$V556,)</f>
        <v/>
      </c>
      <c r="DD556" s="128">
        <f>IFERROR(AR556*$V556,)</f>
        <v/>
      </c>
      <c r="DE556" s="128">
        <f>IFERROR(AS556*$V556,)</f>
        <v/>
      </c>
      <c r="DF556" s="128">
        <f>IFERROR(AT556*$V556,)</f>
        <v/>
      </c>
      <c r="DG556" s="128">
        <f>IFERROR(AU556*$V556,)</f>
        <v/>
      </c>
      <c r="DH556" s="128">
        <f>IFERROR(AV556*$V556,)</f>
        <v/>
      </c>
      <c r="DI556" s="128">
        <f>IFERROR(AW556*$V556,)</f>
        <v/>
      </c>
      <c r="DJ556" s="128">
        <f>IFERROR(AX556*$V556,)</f>
        <v/>
      </c>
      <c r="DK556" s="128">
        <f>IFERROR(AY556*$V556,)</f>
        <v/>
      </c>
      <c r="DL556" s="128">
        <f>IFERROR(AZ556*$V556,)</f>
        <v/>
      </c>
      <c r="DM556" s="129">
        <f>IFERROR(if($X556=0,($V556/1.2)*BA556,
BA556*$X556),)</f>
        <v/>
      </c>
      <c r="DN556" s="129">
        <f>IFERROR(if($X556=0,($V556/1.2)*BB556,
BB556*$X556),)</f>
        <v/>
      </c>
      <c r="DO556" s="129">
        <f>IFERROR(if($X556=0,($V556/1.2)*BC556,
BC556*$X556),)</f>
        <v/>
      </c>
      <c r="DP556" s="130">
        <f>IFERROR(if($Z556=0,($V556/1.35)*BD556,
BD556*$Z556),)</f>
        <v/>
      </c>
      <c r="DQ556" s="130">
        <f>IFERROR(if($Z556=0,($V556/1.35)*BE556,
BE556*$Z556),)</f>
        <v/>
      </c>
      <c r="DR556" s="130">
        <f>IFERROR(if($Z556=0,($V556/1.35)*BF556,
BF556*$Z556),)</f>
        <v/>
      </c>
      <c r="DS556" s="128">
        <f>IFERROR(IF($AB556=0,($V556/0.74)*BG556,
BG556*$AB556),)</f>
        <v/>
      </c>
      <c r="DT556" s="128">
        <f>IFERROR(IF($AB556=0,($V556/0.74)*BH556,
BH556*$AB556),)</f>
        <v/>
      </c>
      <c r="DU556" s="128">
        <f>IFERROR(IF($AB556=0,($V556/0.74)*BI556,
BI556*$AB556),)</f>
        <v/>
      </c>
    </row>
    <row r="557" ht="131.25" customHeight="1" s="162">
      <c r="A557" s="115" t="n"/>
      <c r="B557" s="115" t="n"/>
      <c r="C557" s="115" t="n"/>
      <c r="D557" s="115" t="n"/>
      <c r="E557" s="115" t="n"/>
      <c r="F557" s="115" t="n"/>
      <c r="G557" s="115" t="n"/>
      <c r="H557" s="115" t="n"/>
      <c r="I557" s="115" t="n"/>
      <c r="J557" s="115" t="n"/>
      <c r="K557" s="115" t="n"/>
      <c r="L557" s="115" t="n"/>
      <c r="M557" s="115" t="n"/>
      <c r="N557" s="115" t="n"/>
      <c r="O557" s="115" t="n"/>
      <c r="P557" s="115" t="n"/>
      <c r="Q557" s="115" t="n"/>
      <c r="R557" s="115" t="n"/>
      <c r="S557" s="115" t="n"/>
      <c r="T557" s="115" t="n"/>
      <c r="U557" s="116" t="n"/>
      <c r="V557" s="116" t="n"/>
      <c r="W557" s="117" t="n"/>
      <c r="X557" s="118" t="n"/>
      <c r="Y557" s="119" t="n"/>
      <c r="Z557" s="120" t="n"/>
      <c r="AA557" s="121" t="n"/>
      <c r="AB557" s="122" t="n"/>
      <c r="AC557" s="117" t="n"/>
      <c r="AD557" s="123">
        <f>IF(SUM($AE557:$AH557)=0,"",SUM($AE557:$AH557))</f>
        <v/>
      </c>
      <c r="AE557" s="123">
        <f>iferror(IF(SUM($AI557:$AZ557)=0,"",SUM($AI557:$AZ557)),"")</f>
        <v/>
      </c>
      <c r="AF557" s="123">
        <f>iferror(IF(SUM($BA557:$BC557)=0,"",SUM($BA557:$BC557)),"")</f>
        <v/>
      </c>
      <c r="AG557" s="123">
        <f>iferror(IF(SUM($BD557:$BF557)=0,"",SUM($BD557:$BF557)),"")</f>
        <v/>
      </c>
      <c r="AH557" s="124">
        <f>iferror(IF(SUM($BG557:$BI557)=0,"",SUM($BG557:$BI557)),"")</f>
        <v/>
      </c>
      <c r="AI557" s="131" t="n"/>
      <c r="AJ557" s="132" t="n"/>
      <c r="AK557" s="132" t="n"/>
      <c r="AL557" s="132" t="n"/>
      <c r="AM557" s="132" t="n"/>
      <c r="AN557" s="132" t="n"/>
      <c r="AO557" s="132" t="n"/>
      <c r="AP557" s="132" t="n"/>
      <c r="AQ557" s="132" t="n"/>
      <c r="AR557" s="132" t="n"/>
      <c r="AS557" s="132" t="n"/>
      <c r="AT557" s="132" t="n"/>
      <c r="AU557" s="132" t="n"/>
      <c r="AV557" s="132" t="n"/>
      <c r="AW557" s="132" t="n"/>
      <c r="AX557" s="132" t="n"/>
      <c r="AY557" s="132" t="n"/>
      <c r="AZ557" s="133" t="n"/>
      <c r="BA557" s="131" t="n"/>
      <c r="BB557" s="132" t="n"/>
      <c r="BC557" s="133" t="n"/>
      <c r="BD557" s="131" t="n"/>
      <c r="BE557" s="132" t="n"/>
      <c r="BF557" s="133" t="n"/>
      <c r="BG557" s="131" t="n"/>
      <c r="BH557" s="132" t="n"/>
      <c r="BI557" s="132" t="n"/>
      <c r="BJ557" s="128">
        <f>iferror(SUM($BK557,($BL557*1.2),($BM557*1.35),($BN557*0.74)),)</f>
        <v/>
      </c>
      <c r="BK557" s="128">
        <f>IFERROR(SUM($BT557:$CK557),)</f>
        <v/>
      </c>
      <c r="BL557" s="129">
        <f>IFERROR(SUM($CL557:$CN557),)</f>
        <v/>
      </c>
      <c r="BM557" s="130">
        <f>IFERROR(SUM($CO557:$CQ557),)</f>
        <v/>
      </c>
      <c r="BN557" s="128">
        <f>IFERROR(SUM($CR557:$CT557),)</f>
        <v/>
      </c>
      <c r="BO557" s="128">
        <f>iferror(SUM($BP557,($BQ557*1.2),($BR557*1.35),($BS557*0.74)),)</f>
        <v/>
      </c>
      <c r="BP557" s="128">
        <f>IFERROR(SUM($CU557:$DL557),)</f>
        <v/>
      </c>
      <c r="BQ557" s="128">
        <f>IFERROR(SUM($DM557:$DO557),)</f>
        <v/>
      </c>
      <c r="BR557" s="128">
        <f>IFERROR(SUM($DP557:$DR557),)</f>
        <v/>
      </c>
      <c r="BS557" s="128">
        <f>IFERROR(SUM($DS557:$DU557),)</f>
        <v/>
      </c>
      <c r="BT557" s="128">
        <f>IFERROR(AI557*$W557,)</f>
        <v/>
      </c>
      <c r="BU557" s="128">
        <f>IFERROR(AJ557*$W557,)</f>
        <v/>
      </c>
      <c r="BV557" s="128">
        <f>IFERROR(AK557*$W557,)</f>
        <v/>
      </c>
      <c r="BW557" s="128">
        <f>IFERROR(AL557*$W557,)</f>
        <v/>
      </c>
      <c r="BX557" s="128">
        <f>IFERROR(AM557*$W557,)</f>
        <v/>
      </c>
      <c r="BY557" s="128">
        <f>IFERROR(AN557*$W557,)</f>
        <v/>
      </c>
      <c r="BZ557" s="128">
        <f>IFERROR(AO557*$W557,)</f>
        <v/>
      </c>
      <c r="CA557" s="128">
        <f>IFERROR(AP557*$W557,)</f>
        <v/>
      </c>
      <c r="CB557" s="128">
        <f>IFERROR(AQ557*$W557,)</f>
        <v/>
      </c>
      <c r="CC557" s="128">
        <f>IFERROR(AR557*$W557,)</f>
        <v/>
      </c>
      <c r="CD557" s="128">
        <f>IFERROR(AS557*$W557,)</f>
        <v/>
      </c>
      <c r="CE557" s="128">
        <f>IFERROR(AT557*$W557,)</f>
        <v/>
      </c>
      <c r="CF557" s="128">
        <f>IFERROR(AU557*$W557,)</f>
        <v/>
      </c>
      <c r="CG557" s="128">
        <f>IFERROR(AV557*$W557,)</f>
        <v/>
      </c>
      <c r="CH557" s="128">
        <f>IFERROR(AW557*$W557,)</f>
        <v/>
      </c>
      <c r="CI557" s="128">
        <f>IFERROR(AX557*$W557,)</f>
        <v/>
      </c>
      <c r="CJ557" s="128">
        <f>IFERROR(AY557*$W557,)</f>
        <v/>
      </c>
      <c r="CK557" s="128">
        <f>IFERROR(AZ557*$W557,)</f>
        <v/>
      </c>
      <c r="CL557" s="129">
        <f>IFERROR(if($Y557=0,BA557*($W557/1.2),BA557*$Y557),"")</f>
        <v/>
      </c>
      <c r="CM557" s="129">
        <f>IFERROR(if($Y557=0,BB557*($W557/1.2),BB557*$Y557),"")</f>
        <v/>
      </c>
      <c r="CN557" s="129">
        <f>IFERROR(if($Y557=0,BC557*($W557/1.2),BC557*$Y557),"")</f>
        <v/>
      </c>
      <c r="CO557" s="130">
        <f>IFERROR(if($AA557=0,($W557/1.35)*BD557,BD557*$AA557),)</f>
        <v/>
      </c>
      <c r="CP557" s="130">
        <f>IFERROR(if($AA557=0,($W557/1.35)*BE557,BE557*$AA557),)</f>
        <v/>
      </c>
      <c r="CQ557" s="130">
        <f>IFERROR(if($AA557=0,($W557/1.35)*BF557,BF557*$AA557),)</f>
        <v/>
      </c>
      <c r="CR557" s="128">
        <f>IFERROR(if($AC557=0,($W557/0.74)*BG557,
BG557*$AC557),)</f>
        <v/>
      </c>
      <c r="CS557" s="128">
        <f>IFERROR(if($AC557=0,($W557/0.74)*BH557,
BH557*$AC557),)</f>
        <v/>
      </c>
      <c r="CT557" s="128">
        <f>IFERROR(if($AC557=0,($W557/0.74)*BI557,
BI557*$AC557),)</f>
        <v/>
      </c>
      <c r="CU557" s="128">
        <f>IFERROR(AI557*$V557,)</f>
        <v/>
      </c>
      <c r="CV557" s="128">
        <f>IFERROR(AJ557*$V557,)</f>
        <v/>
      </c>
      <c r="CW557" s="128">
        <f>IFERROR(AK557*$V557,)</f>
        <v/>
      </c>
      <c r="CX557" s="128">
        <f>IFERROR(AL557*$V557,)</f>
        <v/>
      </c>
      <c r="CY557" s="128">
        <f>IFERROR(AM557*$V557,)</f>
        <v/>
      </c>
      <c r="CZ557" s="128">
        <f>IFERROR(AN557*$V557,)</f>
        <v/>
      </c>
      <c r="DA557" s="128">
        <f>IFERROR(AO557*$V557,)</f>
        <v/>
      </c>
      <c r="DB557" s="128">
        <f>IFERROR(AP557*$V557,)</f>
        <v/>
      </c>
      <c r="DC557" s="128">
        <f>IFERROR(AQ557*$V557,)</f>
        <v/>
      </c>
      <c r="DD557" s="128">
        <f>IFERROR(AR557*$V557,)</f>
        <v/>
      </c>
      <c r="DE557" s="128">
        <f>IFERROR(AS557*$V557,)</f>
        <v/>
      </c>
      <c r="DF557" s="128">
        <f>IFERROR(AT557*$V557,)</f>
        <v/>
      </c>
      <c r="DG557" s="128">
        <f>IFERROR(AU557*$V557,)</f>
        <v/>
      </c>
      <c r="DH557" s="128">
        <f>IFERROR(AV557*$V557,)</f>
        <v/>
      </c>
      <c r="DI557" s="128">
        <f>IFERROR(AW557*$V557,)</f>
        <v/>
      </c>
      <c r="DJ557" s="128">
        <f>IFERROR(AX557*$V557,)</f>
        <v/>
      </c>
      <c r="DK557" s="128">
        <f>IFERROR(AY557*$V557,)</f>
        <v/>
      </c>
      <c r="DL557" s="128">
        <f>IFERROR(AZ557*$V557,)</f>
        <v/>
      </c>
      <c r="DM557" s="129">
        <f>IFERROR(if($X557=0,($V557/1.2)*BA557,
BA557*$X557),)</f>
        <v/>
      </c>
      <c r="DN557" s="129">
        <f>IFERROR(if($X557=0,($V557/1.2)*BB557,
BB557*$X557),)</f>
        <v/>
      </c>
      <c r="DO557" s="129">
        <f>IFERROR(if($X557=0,($V557/1.2)*BC557,
BC557*$X557),)</f>
        <v/>
      </c>
      <c r="DP557" s="130">
        <f>IFERROR(if($Z557=0,($V557/1.35)*BD557,
BD557*$Z557),)</f>
        <v/>
      </c>
      <c r="DQ557" s="130">
        <f>IFERROR(if($Z557=0,($V557/1.35)*BE557,
BE557*$Z557),)</f>
        <v/>
      </c>
      <c r="DR557" s="130">
        <f>IFERROR(if($Z557=0,($V557/1.35)*BF557,
BF557*$Z557),)</f>
        <v/>
      </c>
      <c r="DS557" s="128">
        <f>IFERROR(IF($AB557=0,($V557/0.74)*BG557,
BG557*$AB557),)</f>
        <v/>
      </c>
      <c r="DT557" s="128">
        <f>IFERROR(IF($AB557=0,($V557/0.74)*BH557,
BH557*$AB557),)</f>
        <v/>
      </c>
      <c r="DU557" s="128">
        <f>IFERROR(IF($AB557=0,($V557/0.74)*BI557,
BI557*$AB557),)</f>
        <v/>
      </c>
    </row>
    <row r="558" ht="131.25" customHeight="1" s="162">
      <c r="A558" s="115" t="n"/>
      <c r="B558" s="115" t="n"/>
      <c r="C558" s="115" t="n"/>
      <c r="D558" s="115" t="n"/>
      <c r="E558" s="115" t="n"/>
      <c r="F558" s="115" t="n"/>
      <c r="G558" s="115" t="n"/>
      <c r="H558" s="115" t="n"/>
      <c r="I558" s="115" t="n"/>
      <c r="J558" s="115" t="n"/>
      <c r="K558" s="115" t="n"/>
      <c r="L558" s="115" t="n"/>
      <c r="M558" s="115" t="n"/>
      <c r="N558" s="115" t="n"/>
      <c r="O558" s="115" t="n"/>
      <c r="P558" s="115" t="n"/>
      <c r="Q558" s="115" t="n"/>
      <c r="R558" s="115" t="n"/>
      <c r="S558" s="115" t="n"/>
      <c r="T558" s="115" t="n"/>
      <c r="U558" s="116" t="n"/>
      <c r="V558" s="116" t="n"/>
      <c r="W558" s="117" t="n"/>
      <c r="X558" s="118" t="n"/>
      <c r="Y558" s="119" t="n"/>
      <c r="Z558" s="120" t="n"/>
      <c r="AA558" s="121" t="n"/>
      <c r="AB558" s="122" t="n"/>
      <c r="AC558" s="117" t="n"/>
      <c r="AD558" s="123">
        <f>IF(SUM($AE558:$AH558)=0,"",SUM($AE558:$AH558))</f>
        <v/>
      </c>
      <c r="AE558" s="123">
        <f>iferror(IF(SUM($AI558:$AZ558)=0,"",SUM($AI558:$AZ558)),"")</f>
        <v/>
      </c>
      <c r="AF558" s="123">
        <f>iferror(IF(SUM($BA558:$BC558)=0,"",SUM($BA558:$BC558)),"")</f>
        <v/>
      </c>
      <c r="AG558" s="123">
        <f>iferror(IF(SUM($BD558:$BF558)=0,"",SUM($BD558:$BF558)),"")</f>
        <v/>
      </c>
      <c r="AH558" s="124">
        <f>iferror(IF(SUM($BG558:$BI558)=0,"",SUM($BG558:$BI558)),"")</f>
        <v/>
      </c>
      <c r="AI558" s="131" t="n"/>
      <c r="AJ558" s="132" t="n"/>
      <c r="AK558" s="132" t="n"/>
      <c r="AL558" s="132" t="n"/>
      <c r="AM558" s="132" t="n"/>
      <c r="AN558" s="132" t="n"/>
      <c r="AO558" s="132" t="n"/>
      <c r="AP558" s="132" t="n"/>
      <c r="AQ558" s="132" t="n"/>
      <c r="AR558" s="132" t="n"/>
      <c r="AS558" s="132" t="n"/>
      <c r="AT558" s="132" t="n"/>
      <c r="AU558" s="132" t="n"/>
      <c r="AV558" s="132" t="n"/>
      <c r="AW558" s="132" t="n"/>
      <c r="AX558" s="132" t="n"/>
      <c r="AY558" s="132" t="n"/>
      <c r="AZ558" s="133" t="n"/>
      <c r="BA558" s="131" t="n"/>
      <c r="BB558" s="132" t="n"/>
      <c r="BC558" s="133" t="n"/>
      <c r="BD558" s="131" t="n"/>
      <c r="BE558" s="132" t="n"/>
      <c r="BF558" s="133" t="n"/>
      <c r="BG558" s="131" t="n"/>
      <c r="BH558" s="132" t="n"/>
      <c r="BI558" s="132" t="n"/>
      <c r="BJ558" s="128">
        <f>iferror(SUM($BK558,($BL558*1.2),($BM558*1.35),($BN558*0.74)),)</f>
        <v/>
      </c>
      <c r="BK558" s="128">
        <f>IFERROR(SUM($BT558:$CK558),)</f>
        <v/>
      </c>
      <c r="BL558" s="129">
        <f>IFERROR(SUM($CL558:$CN558),)</f>
        <v/>
      </c>
      <c r="BM558" s="130">
        <f>IFERROR(SUM($CO558:$CQ558),)</f>
        <v/>
      </c>
      <c r="BN558" s="128">
        <f>IFERROR(SUM($CR558:$CT558),)</f>
        <v/>
      </c>
      <c r="BO558" s="128">
        <f>iferror(SUM($BP558,($BQ558*1.2),($BR558*1.35),($BS558*0.74)),)</f>
        <v/>
      </c>
      <c r="BP558" s="128">
        <f>IFERROR(SUM($CU558:$DL558),)</f>
        <v/>
      </c>
      <c r="BQ558" s="128">
        <f>IFERROR(SUM($DM558:$DO558),)</f>
        <v/>
      </c>
      <c r="BR558" s="128">
        <f>IFERROR(SUM($DP558:$DR558),)</f>
        <v/>
      </c>
      <c r="BS558" s="128">
        <f>IFERROR(SUM($DS558:$DU558),)</f>
        <v/>
      </c>
      <c r="BT558" s="128">
        <f>IFERROR(AI558*$W558,)</f>
        <v/>
      </c>
      <c r="BU558" s="128">
        <f>IFERROR(AJ558*$W558,)</f>
        <v/>
      </c>
      <c r="BV558" s="128">
        <f>IFERROR(AK558*$W558,)</f>
        <v/>
      </c>
      <c r="BW558" s="128">
        <f>IFERROR(AL558*$W558,)</f>
        <v/>
      </c>
      <c r="BX558" s="128">
        <f>IFERROR(AM558*$W558,)</f>
        <v/>
      </c>
      <c r="BY558" s="128">
        <f>IFERROR(AN558*$W558,)</f>
        <v/>
      </c>
      <c r="BZ558" s="128">
        <f>IFERROR(AO558*$W558,)</f>
        <v/>
      </c>
      <c r="CA558" s="128">
        <f>IFERROR(AP558*$W558,)</f>
        <v/>
      </c>
      <c r="CB558" s="128">
        <f>IFERROR(AQ558*$W558,)</f>
        <v/>
      </c>
      <c r="CC558" s="128">
        <f>IFERROR(AR558*$W558,)</f>
        <v/>
      </c>
      <c r="CD558" s="128">
        <f>IFERROR(AS558*$W558,)</f>
        <v/>
      </c>
      <c r="CE558" s="128">
        <f>IFERROR(AT558*$W558,)</f>
        <v/>
      </c>
      <c r="CF558" s="128">
        <f>IFERROR(AU558*$W558,)</f>
        <v/>
      </c>
      <c r="CG558" s="128">
        <f>IFERROR(AV558*$W558,)</f>
        <v/>
      </c>
      <c r="CH558" s="128">
        <f>IFERROR(AW558*$W558,)</f>
        <v/>
      </c>
      <c r="CI558" s="128">
        <f>IFERROR(AX558*$W558,)</f>
        <v/>
      </c>
      <c r="CJ558" s="128">
        <f>IFERROR(AY558*$W558,)</f>
        <v/>
      </c>
      <c r="CK558" s="128">
        <f>IFERROR(AZ558*$W558,)</f>
        <v/>
      </c>
      <c r="CL558" s="129">
        <f>IFERROR(if($Y558=0,BA558*($W558/1.2),BA558*$Y558),"")</f>
        <v/>
      </c>
      <c r="CM558" s="129">
        <f>IFERROR(if($Y558=0,BB558*($W558/1.2),BB558*$Y558),"")</f>
        <v/>
      </c>
      <c r="CN558" s="129">
        <f>IFERROR(if($Y558=0,BC558*($W558/1.2),BC558*$Y558),"")</f>
        <v/>
      </c>
      <c r="CO558" s="130">
        <f>IFERROR(if($AA558=0,($W558/1.35)*BD558,BD558*$AA558),)</f>
        <v/>
      </c>
      <c r="CP558" s="130">
        <f>IFERROR(if($AA558=0,($W558/1.35)*BE558,BE558*$AA558),)</f>
        <v/>
      </c>
      <c r="CQ558" s="130">
        <f>IFERROR(if($AA558=0,($W558/1.35)*BF558,BF558*$AA558),)</f>
        <v/>
      </c>
      <c r="CR558" s="128">
        <f>IFERROR(if($AC558=0,($W558/0.74)*BG558,
BG558*$AC558),)</f>
        <v/>
      </c>
      <c r="CS558" s="128">
        <f>IFERROR(if($AC558=0,($W558/0.74)*BH558,
BH558*$AC558),)</f>
        <v/>
      </c>
      <c r="CT558" s="128">
        <f>IFERROR(if($AC558=0,($W558/0.74)*BI558,
BI558*$AC558),)</f>
        <v/>
      </c>
      <c r="CU558" s="128">
        <f>IFERROR(AI558*$V558,)</f>
        <v/>
      </c>
      <c r="CV558" s="128">
        <f>IFERROR(AJ558*$V558,)</f>
        <v/>
      </c>
      <c r="CW558" s="128">
        <f>IFERROR(AK558*$V558,)</f>
        <v/>
      </c>
      <c r="CX558" s="128">
        <f>IFERROR(AL558*$V558,)</f>
        <v/>
      </c>
      <c r="CY558" s="128">
        <f>IFERROR(AM558*$V558,)</f>
        <v/>
      </c>
      <c r="CZ558" s="128">
        <f>IFERROR(AN558*$V558,)</f>
        <v/>
      </c>
      <c r="DA558" s="128">
        <f>IFERROR(AO558*$V558,)</f>
        <v/>
      </c>
      <c r="DB558" s="128">
        <f>IFERROR(AP558*$V558,)</f>
        <v/>
      </c>
      <c r="DC558" s="128">
        <f>IFERROR(AQ558*$V558,)</f>
        <v/>
      </c>
      <c r="DD558" s="128">
        <f>IFERROR(AR558*$V558,)</f>
        <v/>
      </c>
      <c r="DE558" s="128">
        <f>IFERROR(AS558*$V558,)</f>
        <v/>
      </c>
      <c r="DF558" s="128">
        <f>IFERROR(AT558*$V558,)</f>
        <v/>
      </c>
      <c r="DG558" s="128">
        <f>IFERROR(AU558*$V558,)</f>
        <v/>
      </c>
      <c r="DH558" s="128">
        <f>IFERROR(AV558*$V558,)</f>
        <v/>
      </c>
      <c r="DI558" s="128">
        <f>IFERROR(AW558*$V558,)</f>
        <v/>
      </c>
      <c r="DJ558" s="128">
        <f>IFERROR(AX558*$V558,)</f>
        <v/>
      </c>
      <c r="DK558" s="128">
        <f>IFERROR(AY558*$V558,)</f>
        <v/>
      </c>
      <c r="DL558" s="128">
        <f>IFERROR(AZ558*$V558,)</f>
        <v/>
      </c>
      <c r="DM558" s="129">
        <f>IFERROR(if($X558=0,($V558/1.2)*BA558,
BA558*$X558),)</f>
        <v/>
      </c>
      <c r="DN558" s="129">
        <f>IFERROR(if($X558=0,($V558/1.2)*BB558,
BB558*$X558),)</f>
        <v/>
      </c>
      <c r="DO558" s="129">
        <f>IFERROR(if($X558=0,($V558/1.2)*BC558,
BC558*$X558),)</f>
        <v/>
      </c>
      <c r="DP558" s="130">
        <f>IFERROR(if($Z558=0,($V558/1.35)*BD558,
BD558*$Z558),)</f>
        <v/>
      </c>
      <c r="DQ558" s="130">
        <f>IFERROR(if($Z558=0,($V558/1.35)*BE558,
BE558*$Z558),)</f>
        <v/>
      </c>
      <c r="DR558" s="130">
        <f>IFERROR(if($Z558=0,($V558/1.35)*BF558,
BF558*$Z558),)</f>
        <v/>
      </c>
      <c r="DS558" s="128">
        <f>IFERROR(IF($AB558=0,($V558/0.74)*BG558,
BG558*$AB558),)</f>
        <v/>
      </c>
      <c r="DT558" s="128">
        <f>IFERROR(IF($AB558=0,($V558/0.74)*BH558,
BH558*$AB558),)</f>
        <v/>
      </c>
      <c r="DU558" s="128">
        <f>IFERROR(IF($AB558=0,($V558/0.74)*BI558,
BI558*$AB558),)</f>
        <v/>
      </c>
    </row>
    <row r="559" ht="131.25" customHeight="1" s="162">
      <c r="A559" s="115" t="n"/>
      <c r="B559" s="115" t="n"/>
      <c r="C559" s="115" t="n"/>
      <c r="D559" s="115" t="n"/>
      <c r="E559" s="115" t="n"/>
      <c r="F559" s="115" t="n"/>
      <c r="G559" s="115" t="n"/>
      <c r="H559" s="115" t="n"/>
      <c r="I559" s="115" t="n"/>
      <c r="J559" s="115" t="n"/>
      <c r="K559" s="115" t="n"/>
      <c r="L559" s="115" t="n"/>
      <c r="M559" s="115" t="n"/>
      <c r="N559" s="115" t="n"/>
      <c r="O559" s="115" t="n"/>
      <c r="P559" s="115" t="n"/>
      <c r="Q559" s="115" t="n"/>
      <c r="R559" s="115" t="n"/>
      <c r="S559" s="115" t="n"/>
      <c r="T559" s="115" t="n"/>
      <c r="U559" s="116" t="n"/>
      <c r="V559" s="116" t="n"/>
      <c r="W559" s="117" t="n"/>
      <c r="X559" s="118" t="n"/>
      <c r="Y559" s="119" t="n"/>
      <c r="Z559" s="120" t="n"/>
      <c r="AA559" s="121" t="n"/>
      <c r="AB559" s="122" t="n"/>
      <c r="AC559" s="117" t="n"/>
      <c r="AD559" s="123">
        <f>IF(SUM($AE559:$AH559)=0,"",SUM($AE559:$AH559))</f>
        <v/>
      </c>
      <c r="AE559" s="123">
        <f>iferror(IF(SUM($AI559:$AZ559)=0,"",SUM($AI559:$AZ559)),"")</f>
        <v/>
      </c>
      <c r="AF559" s="123">
        <f>iferror(IF(SUM($BA559:$BC559)=0,"",SUM($BA559:$BC559)),"")</f>
        <v/>
      </c>
      <c r="AG559" s="123">
        <f>iferror(IF(SUM($BD559:$BF559)=0,"",SUM($BD559:$BF559)),"")</f>
        <v/>
      </c>
      <c r="AH559" s="124">
        <f>iferror(IF(SUM($BG559:$BI559)=0,"",SUM($BG559:$BI559)),"")</f>
        <v/>
      </c>
      <c r="AI559" s="131" t="n"/>
      <c r="AJ559" s="132" t="n"/>
      <c r="AK559" s="132" t="n"/>
      <c r="AL559" s="132" t="n"/>
      <c r="AM559" s="132" t="n"/>
      <c r="AN559" s="132" t="n"/>
      <c r="AO559" s="132" t="n"/>
      <c r="AP559" s="132" t="n"/>
      <c r="AQ559" s="132" t="n"/>
      <c r="AR559" s="132" t="n"/>
      <c r="AS559" s="132" t="n"/>
      <c r="AT559" s="132" t="n"/>
      <c r="AU559" s="132" t="n"/>
      <c r="AV559" s="132" t="n"/>
      <c r="AW559" s="132" t="n"/>
      <c r="AX559" s="132" t="n"/>
      <c r="AY559" s="132" t="n"/>
      <c r="AZ559" s="133" t="n"/>
      <c r="BA559" s="131" t="n"/>
      <c r="BB559" s="132" t="n"/>
      <c r="BC559" s="133" t="n"/>
      <c r="BD559" s="131" t="n"/>
      <c r="BE559" s="132" t="n"/>
      <c r="BF559" s="133" t="n"/>
      <c r="BG559" s="131" t="n"/>
      <c r="BH559" s="132" t="n"/>
      <c r="BI559" s="132" t="n"/>
      <c r="BJ559" s="128">
        <f>iferror(SUM($BK559,($BL559*1.2),($BM559*1.35),($BN559*0.74)),)</f>
        <v/>
      </c>
      <c r="BK559" s="128">
        <f>IFERROR(SUM($BT559:$CK559),)</f>
        <v/>
      </c>
      <c r="BL559" s="129">
        <f>IFERROR(SUM($CL559:$CN559),)</f>
        <v/>
      </c>
      <c r="BM559" s="130">
        <f>IFERROR(SUM($CO559:$CQ559),)</f>
        <v/>
      </c>
      <c r="BN559" s="128">
        <f>IFERROR(SUM($CR559:$CT559),)</f>
        <v/>
      </c>
      <c r="BO559" s="128">
        <f>iferror(SUM($BP559,($BQ559*1.2),($BR559*1.35),($BS559*0.74)),)</f>
        <v/>
      </c>
      <c r="BP559" s="128">
        <f>IFERROR(SUM($CU559:$DL559),)</f>
        <v/>
      </c>
      <c r="BQ559" s="128">
        <f>IFERROR(SUM($DM559:$DO559),)</f>
        <v/>
      </c>
      <c r="BR559" s="128">
        <f>IFERROR(SUM($DP559:$DR559),)</f>
        <v/>
      </c>
      <c r="BS559" s="128">
        <f>IFERROR(SUM($DS559:$DU559),)</f>
        <v/>
      </c>
      <c r="BT559" s="128">
        <f>IFERROR(AI559*$W559,)</f>
        <v/>
      </c>
      <c r="BU559" s="128">
        <f>IFERROR(AJ559*$W559,)</f>
        <v/>
      </c>
      <c r="BV559" s="128">
        <f>IFERROR(AK559*$W559,)</f>
        <v/>
      </c>
      <c r="BW559" s="128">
        <f>IFERROR(AL559*$W559,)</f>
        <v/>
      </c>
      <c r="BX559" s="128">
        <f>IFERROR(AM559*$W559,)</f>
        <v/>
      </c>
      <c r="BY559" s="128">
        <f>IFERROR(AN559*$W559,)</f>
        <v/>
      </c>
      <c r="BZ559" s="128">
        <f>IFERROR(AO559*$W559,)</f>
        <v/>
      </c>
      <c r="CA559" s="128">
        <f>IFERROR(AP559*$W559,)</f>
        <v/>
      </c>
      <c r="CB559" s="128">
        <f>IFERROR(AQ559*$W559,)</f>
        <v/>
      </c>
      <c r="CC559" s="128">
        <f>IFERROR(AR559*$W559,)</f>
        <v/>
      </c>
      <c r="CD559" s="128">
        <f>IFERROR(AS559*$W559,)</f>
        <v/>
      </c>
      <c r="CE559" s="128">
        <f>IFERROR(AT559*$W559,)</f>
        <v/>
      </c>
      <c r="CF559" s="128">
        <f>IFERROR(AU559*$W559,)</f>
        <v/>
      </c>
      <c r="CG559" s="128">
        <f>IFERROR(AV559*$W559,)</f>
        <v/>
      </c>
      <c r="CH559" s="128">
        <f>IFERROR(AW559*$W559,)</f>
        <v/>
      </c>
      <c r="CI559" s="128">
        <f>IFERROR(AX559*$W559,)</f>
        <v/>
      </c>
      <c r="CJ559" s="128">
        <f>IFERROR(AY559*$W559,)</f>
        <v/>
      </c>
      <c r="CK559" s="128">
        <f>IFERROR(AZ559*$W559,)</f>
        <v/>
      </c>
      <c r="CL559" s="129">
        <f>IFERROR(if($Y559=0,BA559*($W559/1.2),BA559*$Y559),"")</f>
        <v/>
      </c>
      <c r="CM559" s="129">
        <f>IFERROR(if($Y559=0,BB559*($W559/1.2),BB559*$Y559),"")</f>
        <v/>
      </c>
      <c r="CN559" s="129">
        <f>IFERROR(if($Y559=0,BC559*($W559/1.2),BC559*$Y559),"")</f>
        <v/>
      </c>
      <c r="CO559" s="130">
        <f>IFERROR(if($AA559=0,($W559/1.35)*BD559,BD559*$AA559),)</f>
        <v/>
      </c>
      <c r="CP559" s="130">
        <f>IFERROR(if($AA559=0,($W559/1.35)*BE559,BE559*$AA559),)</f>
        <v/>
      </c>
      <c r="CQ559" s="130">
        <f>IFERROR(if($AA559=0,($W559/1.35)*BF559,BF559*$AA559),)</f>
        <v/>
      </c>
      <c r="CR559" s="128">
        <f>IFERROR(if($AC559=0,($W559/0.74)*BG559,
BG559*$AC559),)</f>
        <v/>
      </c>
      <c r="CS559" s="128">
        <f>IFERROR(if($AC559=0,($W559/0.74)*BH559,
BH559*$AC559),)</f>
        <v/>
      </c>
      <c r="CT559" s="128">
        <f>IFERROR(if($AC559=0,($W559/0.74)*BI559,
BI559*$AC559),)</f>
        <v/>
      </c>
      <c r="CU559" s="128">
        <f>IFERROR(AI559*$V559,)</f>
        <v/>
      </c>
      <c r="CV559" s="128">
        <f>IFERROR(AJ559*$V559,)</f>
        <v/>
      </c>
      <c r="CW559" s="128">
        <f>IFERROR(AK559*$V559,)</f>
        <v/>
      </c>
      <c r="CX559" s="128">
        <f>IFERROR(AL559*$V559,)</f>
        <v/>
      </c>
      <c r="CY559" s="128">
        <f>IFERROR(AM559*$V559,)</f>
        <v/>
      </c>
      <c r="CZ559" s="128">
        <f>IFERROR(AN559*$V559,)</f>
        <v/>
      </c>
      <c r="DA559" s="128">
        <f>IFERROR(AO559*$V559,)</f>
        <v/>
      </c>
      <c r="DB559" s="128">
        <f>IFERROR(AP559*$V559,)</f>
        <v/>
      </c>
      <c r="DC559" s="128">
        <f>IFERROR(AQ559*$V559,)</f>
        <v/>
      </c>
      <c r="DD559" s="128">
        <f>IFERROR(AR559*$V559,)</f>
        <v/>
      </c>
      <c r="DE559" s="128">
        <f>IFERROR(AS559*$V559,)</f>
        <v/>
      </c>
      <c r="DF559" s="128">
        <f>IFERROR(AT559*$V559,)</f>
        <v/>
      </c>
      <c r="DG559" s="128">
        <f>IFERROR(AU559*$V559,)</f>
        <v/>
      </c>
      <c r="DH559" s="128">
        <f>IFERROR(AV559*$V559,)</f>
        <v/>
      </c>
      <c r="DI559" s="128">
        <f>IFERROR(AW559*$V559,)</f>
        <v/>
      </c>
      <c r="DJ559" s="128">
        <f>IFERROR(AX559*$V559,)</f>
        <v/>
      </c>
      <c r="DK559" s="128">
        <f>IFERROR(AY559*$V559,)</f>
        <v/>
      </c>
      <c r="DL559" s="128">
        <f>IFERROR(AZ559*$V559,)</f>
        <v/>
      </c>
      <c r="DM559" s="129">
        <f>IFERROR(if($X559=0,($V559/1.2)*BA559,
BA559*$X559),)</f>
        <v/>
      </c>
      <c r="DN559" s="129">
        <f>IFERROR(if($X559=0,($V559/1.2)*BB559,
BB559*$X559),)</f>
        <v/>
      </c>
      <c r="DO559" s="129">
        <f>IFERROR(if($X559=0,($V559/1.2)*BC559,
BC559*$X559),)</f>
        <v/>
      </c>
      <c r="DP559" s="130">
        <f>IFERROR(if($Z559=0,($V559/1.35)*BD559,
BD559*$Z559),)</f>
        <v/>
      </c>
      <c r="DQ559" s="130">
        <f>IFERROR(if($Z559=0,($V559/1.35)*BE559,
BE559*$Z559),)</f>
        <v/>
      </c>
      <c r="DR559" s="130">
        <f>IFERROR(if($Z559=0,($V559/1.35)*BF559,
BF559*$Z559),)</f>
        <v/>
      </c>
      <c r="DS559" s="128">
        <f>IFERROR(IF($AB559=0,($V559/0.74)*BG559,
BG559*$AB559),)</f>
        <v/>
      </c>
      <c r="DT559" s="128">
        <f>IFERROR(IF($AB559=0,($V559/0.74)*BH559,
BH559*$AB559),)</f>
        <v/>
      </c>
      <c r="DU559" s="128">
        <f>IFERROR(IF($AB559=0,($V559/0.74)*BI559,
BI559*$AB559),)</f>
        <v/>
      </c>
    </row>
    <row r="560" ht="131.25" customHeight="1" s="162">
      <c r="A560" s="115" t="n"/>
      <c r="B560" s="115" t="n"/>
      <c r="C560" s="115" t="n"/>
      <c r="D560" s="115" t="n"/>
      <c r="E560" s="115" t="n"/>
      <c r="F560" s="115" t="n"/>
      <c r="G560" s="115" t="n"/>
      <c r="H560" s="115" t="n"/>
      <c r="I560" s="115" t="n"/>
      <c r="J560" s="115" t="n"/>
      <c r="K560" s="115" t="n"/>
      <c r="L560" s="115" t="n"/>
      <c r="M560" s="115" t="n"/>
      <c r="N560" s="115" t="n"/>
      <c r="O560" s="115" t="n"/>
      <c r="P560" s="115" t="n"/>
      <c r="Q560" s="115" t="n"/>
      <c r="R560" s="115" t="n"/>
      <c r="S560" s="115" t="n"/>
      <c r="T560" s="115" t="n"/>
      <c r="U560" s="116" t="n"/>
      <c r="V560" s="116" t="n"/>
      <c r="W560" s="117" t="n"/>
      <c r="X560" s="118" t="n"/>
      <c r="Y560" s="119" t="n"/>
      <c r="Z560" s="120" t="n"/>
      <c r="AA560" s="121" t="n"/>
      <c r="AB560" s="122" t="n"/>
      <c r="AC560" s="117" t="n"/>
      <c r="AD560" s="123">
        <f>IF(SUM($AE560:$AH560)=0,"",SUM($AE560:$AH560))</f>
        <v/>
      </c>
      <c r="AE560" s="123">
        <f>iferror(IF(SUM($AI560:$AZ560)=0,"",SUM($AI560:$AZ560)),"")</f>
        <v/>
      </c>
      <c r="AF560" s="123">
        <f>iferror(IF(SUM($BA560:$BC560)=0,"",SUM($BA560:$BC560)),"")</f>
        <v/>
      </c>
      <c r="AG560" s="123">
        <f>iferror(IF(SUM($BD560:$BF560)=0,"",SUM($BD560:$BF560)),"")</f>
        <v/>
      </c>
      <c r="AH560" s="124">
        <f>iferror(IF(SUM($BG560:$BI560)=0,"",SUM($BG560:$BI560)),"")</f>
        <v/>
      </c>
      <c r="AI560" s="131" t="n"/>
      <c r="AJ560" s="132" t="n"/>
      <c r="AK560" s="132" t="n"/>
      <c r="AL560" s="132" t="n"/>
      <c r="AM560" s="132" t="n"/>
      <c r="AN560" s="132" t="n"/>
      <c r="AO560" s="132" t="n"/>
      <c r="AP560" s="132" t="n"/>
      <c r="AQ560" s="132" t="n"/>
      <c r="AR560" s="132" t="n"/>
      <c r="AS560" s="132" t="n"/>
      <c r="AT560" s="132" t="n"/>
      <c r="AU560" s="132" t="n"/>
      <c r="AV560" s="132" t="n"/>
      <c r="AW560" s="132" t="n"/>
      <c r="AX560" s="132" t="n"/>
      <c r="AY560" s="132" t="n"/>
      <c r="AZ560" s="133" t="n"/>
      <c r="BA560" s="131" t="n"/>
      <c r="BB560" s="132" t="n"/>
      <c r="BC560" s="133" t="n"/>
      <c r="BD560" s="131" t="n"/>
      <c r="BE560" s="132" t="n"/>
      <c r="BF560" s="133" t="n"/>
      <c r="BG560" s="131" t="n"/>
      <c r="BH560" s="132" t="n"/>
      <c r="BI560" s="132" t="n"/>
      <c r="BJ560" s="128">
        <f>iferror(SUM($BK560,($BL560*1.2),($BM560*1.35),($BN560*0.74)),)</f>
        <v/>
      </c>
      <c r="BK560" s="128">
        <f>IFERROR(SUM($BT560:$CK560),)</f>
        <v/>
      </c>
      <c r="BL560" s="129">
        <f>IFERROR(SUM($CL560:$CN560),)</f>
        <v/>
      </c>
      <c r="BM560" s="130">
        <f>IFERROR(SUM($CO560:$CQ560),)</f>
        <v/>
      </c>
      <c r="BN560" s="128">
        <f>IFERROR(SUM($CR560:$CT560),)</f>
        <v/>
      </c>
      <c r="BO560" s="128">
        <f>iferror(SUM($BP560,($BQ560*1.2),($BR560*1.35),($BS560*0.74)),)</f>
        <v/>
      </c>
      <c r="BP560" s="128">
        <f>IFERROR(SUM($CU560:$DL560),)</f>
        <v/>
      </c>
      <c r="BQ560" s="128">
        <f>IFERROR(SUM($DM560:$DO560),)</f>
        <v/>
      </c>
      <c r="BR560" s="128">
        <f>IFERROR(SUM($DP560:$DR560),)</f>
        <v/>
      </c>
      <c r="BS560" s="128">
        <f>IFERROR(SUM($DS560:$DU560),)</f>
        <v/>
      </c>
      <c r="BT560" s="128">
        <f>IFERROR(AI560*$W560,)</f>
        <v/>
      </c>
      <c r="BU560" s="128">
        <f>IFERROR(AJ560*$W560,)</f>
        <v/>
      </c>
      <c r="BV560" s="128">
        <f>IFERROR(AK560*$W560,)</f>
        <v/>
      </c>
      <c r="BW560" s="128">
        <f>IFERROR(AL560*$W560,)</f>
        <v/>
      </c>
      <c r="BX560" s="128">
        <f>IFERROR(AM560*$W560,)</f>
        <v/>
      </c>
      <c r="BY560" s="128">
        <f>IFERROR(AN560*$W560,)</f>
        <v/>
      </c>
      <c r="BZ560" s="128">
        <f>IFERROR(AO560*$W560,)</f>
        <v/>
      </c>
      <c r="CA560" s="128">
        <f>IFERROR(AP560*$W560,)</f>
        <v/>
      </c>
      <c r="CB560" s="128">
        <f>IFERROR(AQ560*$W560,)</f>
        <v/>
      </c>
      <c r="CC560" s="128">
        <f>IFERROR(AR560*$W560,)</f>
        <v/>
      </c>
      <c r="CD560" s="128">
        <f>IFERROR(AS560*$W560,)</f>
        <v/>
      </c>
      <c r="CE560" s="128">
        <f>IFERROR(AT560*$W560,)</f>
        <v/>
      </c>
      <c r="CF560" s="128">
        <f>IFERROR(AU560*$W560,)</f>
        <v/>
      </c>
      <c r="CG560" s="128">
        <f>IFERROR(AV560*$W560,)</f>
        <v/>
      </c>
      <c r="CH560" s="128">
        <f>IFERROR(AW560*$W560,)</f>
        <v/>
      </c>
      <c r="CI560" s="128">
        <f>IFERROR(AX560*$W560,)</f>
        <v/>
      </c>
      <c r="CJ560" s="128">
        <f>IFERROR(AY560*$W560,)</f>
        <v/>
      </c>
      <c r="CK560" s="128">
        <f>IFERROR(AZ560*$W560,)</f>
        <v/>
      </c>
      <c r="CL560" s="129">
        <f>IFERROR(if($Y560=0,BA560*($W560/1.2),BA560*$Y560),"")</f>
        <v/>
      </c>
      <c r="CM560" s="129">
        <f>IFERROR(if($Y560=0,BB560*($W560/1.2),BB560*$Y560),"")</f>
        <v/>
      </c>
      <c r="CN560" s="129">
        <f>IFERROR(if($Y560=0,BC560*($W560/1.2),BC560*$Y560),"")</f>
        <v/>
      </c>
      <c r="CO560" s="130">
        <f>IFERROR(if($AA560=0,($W560/1.35)*BD560,BD560*$AA560),)</f>
        <v/>
      </c>
      <c r="CP560" s="130">
        <f>IFERROR(if($AA560=0,($W560/1.35)*BE560,BE560*$AA560),)</f>
        <v/>
      </c>
      <c r="CQ560" s="130">
        <f>IFERROR(if($AA560=0,($W560/1.35)*BF560,BF560*$AA560),)</f>
        <v/>
      </c>
      <c r="CR560" s="128">
        <f>IFERROR(if($AC560=0,($W560/0.74)*BG560,
BG560*$AC560),)</f>
        <v/>
      </c>
      <c r="CS560" s="128">
        <f>IFERROR(if($AC560=0,($W560/0.74)*BH560,
BH560*$AC560),)</f>
        <v/>
      </c>
      <c r="CT560" s="128">
        <f>IFERROR(if($AC560=0,($W560/0.74)*BI560,
BI560*$AC560),)</f>
        <v/>
      </c>
      <c r="CU560" s="128">
        <f>IFERROR(AI560*$V560,)</f>
        <v/>
      </c>
      <c r="CV560" s="128">
        <f>IFERROR(AJ560*$V560,)</f>
        <v/>
      </c>
      <c r="CW560" s="128">
        <f>IFERROR(AK560*$V560,)</f>
        <v/>
      </c>
      <c r="CX560" s="128">
        <f>IFERROR(AL560*$V560,)</f>
        <v/>
      </c>
      <c r="CY560" s="128">
        <f>IFERROR(AM560*$V560,)</f>
        <v/>
      </c>
      <c r="CZ560" s="128">
        <f>IFERROR(AN560*$V560,)</f>
        <v/>
      </c>
      <c r="DA560" s="128">
        <f>IFERROR(AO560*$V560,)</f>
        <v/>
      </c>
      <c r="DB560" s="128">
        <f>IFERROR(AP560*$V560,)</f>
        <v/>
      </c>
      <c r="DC560" s="128">
        <f>IFERROR(AQ560*$V560,)</f>
        <v/>
      </c>
      <c r="DD560" s="128">
        <f>IFERROR(AR560*$V560,)</f>
        <v/>
      </c>
      <c r="DE560" s="128">
        <f>IFERROR(AS560*$V560,)</f>
        <v/>
      </c>
      <c r="DF560" s="128">
        <f>IFERROR(AT560*$V560,)</f>
        <v/>
      </c>
      <c r="DG560" s="128">
        <f>IFERROR(AU560*$V560,)</f>
        <v/>
      </c>
      <c r="DH560" s="128">
        <f>IFERROR(AV560*$V560,)</f>
        <v/>
      </c>
      <c r="DI560" s="128">
        <f>IFERROR(AW560*$V560,)</f>
        <v/>
      </c>
      <c r="DJ560" s="128">
        <f>IFERROR(AX560*$V560,)</f>
        <v/>
      </c>
      <c r="DK560" s="128">
        <f>IFERROR(AY560*$V560,)</f>
        <v/>
      </c>
      <c r="DL560" s="128">
        <f>IFERROR(AZ560*$V560,)</f>
        <v/>
      </c>
      <c r="DM560" s="129">
        <f>IFERROR(if($X560=0,($V560/1.2)*BA560,
BA560*$X560),)</f>
        <v/>
      </c>
      <c r="DN560" s="129">
        <f>IFERROR(if($X560=0,($V560/1.2)*BB560,
BB560*$X560),)</f>
        <v/>
      </c>
      <c r="DO560" s="129">
        <f>IFERROR(if($X560=0,($V560/1.2)*BC560,
BC560*$X560),)</f>
        <v/>
      </c>
      <c r="DP560" s="130">
        <f>IFERROR(if($Z560=0,($V560/1.35)*BD560,
BD560*$Z560),)</f>
        <v/>
      </c>
      <c r="DQ560" s="130">
        <f>IFERROR(if($Z560=0,($V560/1.35)*BE560,
BE560*$Z560),)</f>
        <v/>
      </c>
      <c r="DR560" s="130">
        <f>IFERROR(if($Z560=0,($V560/1.35)*BF560,
BF560*$Z560),)</f>
        <v/>
      </c>
      <c r="DS560" s="128">
        <f>IFERROR(IF($AB560=0,($V560/0.74)*BG560,
BG560*$AB560),)</f>
        <v/>
      </c>
      <c r="DT560" s="128">
        <f>IFERROR(IF($AB560=0,($V560/0.74)*BH560,
BH560*$AB560),)</f>
        <v/>
      </c>
      <c r="DU560" s="128">
        <f>IFERROR(IF($AB560=0,($V560/0.74)*BI560,
BI560*$AB560),)</f>
        <v/>
      </c>
    </row>
    <row r="561" ht="131.25" customHeight="1" s="162">
      <c r="A561" s="115" t="n"/>
      <c r="B561" s="115" t="n"/>
      <c r="C561" s="115" t="n"/>
      <c r="D561" s="115" t="n"/>
      <c r="E561" s="115" t="n"/>
      <c r="F561" s="115" t="n"/>
      <c r="G561" s="115" t="n"/>
      <c r="H561" s="115" t="n"/>
      <c r="I561" s="115" t="n"/>
      <c r="J561" s="115" t="n"/>
      <c r="K561" s="115" t="n"/>
      <c r="L561" s="115" t="n"/>
      <c r="M561" s="115" t="n"/>
      <c r="N561" s="115" t="n"/>
      <c r="O561" s="115" t="n"/>
      <c r="P561" s="115" t="n"/>
      <c r="Q561" s="115" t="n"/>
      <c r="R561" s="115" t="n"/>
      <c r="S561" s="115" t="n"/>
      <c r="T561" s="115" t="n"/>
      <c r="U561" s="116" t="n"/>
      <c r="V561" s="116" t="n"/>
      <c r="W561" s="117" t="n"/>
      <c r="X561" s="118" t="n"/>
      <c r="Y561" s="119" t="n"/>
      <c r="Z561" s="120" t="n"/>
      <c r="AA561" s="121" t="n"/>
      <c r="AB561" s="122" t="n"/>
      <c r="AC561" s="117" t="n"/>
      <c r="AD561" s="123">
        <f>IF(SUM($AE561:$AH561)=0,"",SUM($AE561:$AH561))</f>
        <v/>
      </c>
      <c r="AE561" s="123">
        <f>iferror(IF(SUM($AI561:$AZ561)=0,"",SUM($AI561:$AZ561)),"")</f>
        <v/>
      </c>
      <c r="AF561" s="123">
        <f>iferror(IF(SUM($BA561:$BC561)=0,"",SUM($BA561:$BC561)),"")</f>
        <v/>
      </c>
      <c r="AG561" s="123">
        <f>iferror(IF(SUM($BD561:$BF561)=0,"",SUM($BD561:$BF561)),"")</f>
        <v/>
      </c>
      <c r="AH561" s="124">
        <f>iferror(IF(SUM($BG561:$BI561)=0,"",SUM($BG561:$BI561)),"")</f>
        <v/>
      </c>
      <c r="AI561" s="131" t="n"/>
      <c r="AJ561" s="132" t="n"/>
      <c r="AK561" s="132" t="n"/>
      <c r="AL561" s="132" t="n"/>
      <c r="AM561" s="132" t="n"/>
      <c r="AN561" s="132" t="n"/>
      <c r="AO561" s="132" t="n"/>
      <c r="AP561" s="132" t="n"/>
      <c r="AQ561" s="132" t="n"/>
      <c r="AR561" s="132" t="n"/>
      <c r="AS561" s="132" t="n"/>
      <c r="AT561" s="132" t="n"/>
      <c r="AU561" s="132" t="n"/>
      <c r="AV561" s="132" t="n"/>
      <c r="AW561" s="132" t="n"/>
      <c r="AX561" s="132" t="n"/>
      <c r="AY561" s="132" t="n"/>
      <c r="AZ561" s="133" t="n"/>
      <c r="BA561" s="131" t="n"/>
      <c r="BB561" s="132" t="n"/>
      <c r="BC561" s="133" t="n"/>
      <c r="BD561" s="131" t="n"/>
      <c r="BE561" s="132" t="n"/>
      <c r="BF561" s="133" t="n"/>
      <c r="BG561" s="131" t="n"/>
      <c r="BH561" s="132" t="n"/>
      <c r="BI561" s="132" t="n"/>
      <c r="BJ561" s="128">
        <f>iferror(SUM($BK561,($BL561*1.2),($BM561*1.35),($BN561*0.74)),)</f>
        <v/>
      </c>
      <c r="BK561" s="128">
        <f>IFERROR(SUM($BT561:$CK561),)</f>
        <v/>
      </c>
      <c r="BL561" s="129">
        <f>IFERROR(SUM($CL561:$CN561),)</f>
        <v/>
      </c>
      <c r="BM561" s="130">
        <f>IFERROR(SUM($CO561:$CQ561),)</f>
        <v/>
      </c>
      <c r="BN561" s="128">
        <f>IFERROR(SUM($CR561:$CT561),)</f>
        <v/>
      </c>
      <c r="BO561" s="128">
        <f>iferror(SUM($BP561,($BQ561*1.2),($BR561*1.35),($BS561*0.74)),)</f>
        <v/>
      </c>
      <c r="BP561" s="128">
        <f>IFERROR(SUM($CU561:$DL561),)</f>
        <v/>
      </c>
      <c r="BQ561" s="128">
        <f>IFERROR(SUM($DM561:$DO561),)</f>
        <v/>
      </c>
      <c r="BR561" s="128">
        <f>IFERROR(SUM($DP561:$DR561),)</f>
        <v/>
      </c>
      <c r="BS561" s="128">
        <f>IFERROR(SUM($DS561:$DU561),)</f>
        <v/>
      </c>
      <c r="BT561" s="128">
        <f>IFERROR(AI561*$W561,)</f>
        <v/>
      </c>
      <c r="BU561" s="128">
        <f>IFERROR(AJ561*$W561,)</f>
        <v/>
      </c>
      <c r="BV561" s="128">
        <f>IFERROR(AK561*$W561,)</f>
        <v/>
      </c>
      <c r="BW561" s="128">
        <f>IFERROR(AL561*$W561,)</f>
        <v/>
      </c>
      <c r="BX561" s="128">
        <f>IFERROR(AM561*$W561,)</f>
        <v/>
      </c>
      <c r="BY561" s="128">
        <f>IFERROR(AN561*$W561,)</f>
        <v/>
      </c>
      <c r="BZ561" s="128">
        <f>IFERROR(AO561*$W561,)</f>
        <v/>
      </c>
      <c r="CA561" s="128">
        <f>IFERROR(AP561*$W561,)</f>
        <v/>
      </c>
      <c r="CB561" s="128">
        <f>IFERROR(AQ561*$W561,)</f>
        <v/>
      </c>
      <c r="CC561" s="128">
        <f>IFERROR(AR561*$W561,)</f>
        <v/>
      </c>
      <c r="CD561" s="128">
        <f>IFERROR(AS561*$W561,)</f>
        <v/>
      </c>
      <c r="CE561" s="128">
        <f>IFERROR(AT561*$W561,)</f>
        <v/>
      </c>
      <c r="CF561" s="128">
        <f>IFERROR(AU561*$W561,)</f>
        <v/>
      </c>
      <c r="CG561" s="128">
        <f>IFERROR(AV561*$W561,)</f>
        <v/>
      </c>
      <c r="CH561" s="128">
        <f>IFERROR(AW561*$W561,)</f>
        <v/>
      </c>
      <c r="CI561" s="128">
        <f>IFERROR(AX561*$W561,)</f>
        <v/>
      </c>
      <c r="CJ561" s="128">
        <f>IFERROR(AY561*$W561,)</f>
        <v/>
      </c>
      <c r="CK561" s="128">
        <f>IFERROR(AZ561*$W561,)</f>
        <v/>
      </c>
      <c r="CL561" s="129">
        <f>IFERROR(if($Y561=0,BA561*($W561/1.2),BA561*$Y561),"")</f>
        <v/>
      </c>
      <c r="CM561" s="129">
        <f>IFERROR(if($Y561=0,BB561*($W561/1.2),BB561*$Y561),"")</f>
        <v/>
      </c>
      <c r="CN561" s="129">
        <f>IFERROR(if($Y561=0,BC561*($W561/1.2),BC561*$Y561),"")</f>
        <v/>
      </c>
      <c r="CO561" s="130">
        <f>IFERROR(if($AA561=0,($W561/1.35)*BD561,BD561*$AA561),)</f>
        <v/>
      </c>
      <c r="CP561" s="130">
        <f>IFERROR(if($AA561=0,($W561/1.35)*BE561,BE561*$AA561),)</f>
        <v/>
      </c>
      <c r="CQ561" s="130">
        <f>IFERROR(if($AA561=0,($W561/1.35)*BF561,BF561*$AA561),)</f>
        <v/>
      </c>
      <c r="CR561" s="128">
        <f>IFERROR(if($AC561=0,($W561/0.74)*BG561,
BG561*$AC561),)</f>
        <v/>
      </c>
      <c r="CS561" s="128">
        <f>IFERROR(if($AC561=0,($W561/0.74)*BH561,
BH561*$AC561),)</f>
        <v/>
      </c>
      <c r="CT561" s="128">
        <f>IFERROR(if($AC561=0,($W561/0.74)*BI561,
BI561*$AC561),)</f>
        <v/>
      </c>
      <c r="CU561" s="128">
        <f>IFERROR(AI561*$V561,)</f>
        <v/>
      </c>
      <c r="CV561" s="128">
        <f>IFERROR(AJ561*$V561,)</f>
        <v/>
      </c>
      <c r="CW561" s="128">
        <f>IFERROR(AK561*$V561,)</f>
        <v/>
      </c>
      <c r="CX561" s="128">
        <f>IFERROR(AL561*$V561,)</f>
        <v/>
      </c>
      <c r="CY561" s="128">
        <f>IFERROR(AM561*$V561,)</f>
        <v/>
      </c>
      <c r="CZ561" s="128">
        <f>IFERROR(AN561*$V561,)</f>
        <v/>
      </c>
      <c r="DA561" s="128">
        <f>IFERROR(AO561*$V561,)</f>
        <v/>
      </c>
      <c r="DB561" s="128">
        <f>IFERROR(AP561*$V561,)</f>
        <v/>
      </c>
      <c r="DC561" s="128">
        <f>IFERROR(AQ561*$V561,)</f>
        <v/>
      </c>
      <c r="DD561" s="128">
        <f>IFERROR(AR561*$V561,)</f>
        <v/>
      </c>
      <c r="DE561" s="128">
        <f>IFERROR(AS561*$V561,)</f>
        <v/>
      </c>
      <c r="DF561" s="128">
        <f>IFERROR(AT561*$V561,)</f>
        <v/>
      </c>
      <c r="DG561" s="128">
        <f>IFERROR(AU561*$V561,)</f>
        <v/>
      </c>
      <c r="DH561" s="128">
        <f>IFERROR(AV561*$V561,)</f>
        <v/>
      </c>
      <c r="DI561" s="128">
        <f>IFERROR(AW561*$V561,)</f>
        <v/>
      </c>
      <c r="DJ561" s="128">
        <f>IFERROR(AX561*$V561,)</f>
        <v/>
      </c>
      <c r="DK561" s="128">
        <f>IFERROR(AY561*$V561,)</f>
        <v/>
      </c>
      <c r="DL561" s="128">
        <f>IFERROR(AZ561*$V561,)</f>
        <v/>
      </c>
      <c r="DM561" s="129">
        <f>IFERROR(if($X561=0,($V561/1.2)*BA561,
BA561*$X561),)</f>
        <v/>
      </c>
      <c r="DN561" s="129">
        <f>IFERROR(if($X561=0,($V561/1.2)*BB561,
BB561*$X561),)</f>
        <v/>
      </c>
      <c r="DO561" s="129">
        <f>IFERROR(if($X561=0,($V561/1.2)*BC561,
BC561*$X561),)</f>
        <v/>
      </c>
      <c r="DP561" s="130">
        <f>IFERROR(if($Z561=0,($V561/1.35)*BD561,
BD561*$Z561),)</f>
        <v/>
      </c>
      <c r="DQ561" s="130">
        <f>IFERROR(if($Z561=0,($V561/1.35)*BE561,
BE561*$Z561),)</f>
        <v/>
      </c>
      <c r="DR561" s="130">
        <f>IFERROR(if($Z561=0,($V561/1.35)*BF561,
BF561*$Z561),)</f>
        <v/>
      </c>
      <c r="DS561" s="128">
        <f>IFERROR(IF($AB561=0,($V561/0.74)*BG561,
BG561*$AB561),)</f>
        <v/>
      </c>
      <c r="DT561" s="128">
        <f>IFERROR(IF($AB561=0,($V561/0.74)*BH561,
BH561*$AB561),)</f>
        <v/>
      </c>
      <c r="DU561" s="128">
        <f>IFERROR(IF($AB561=0,($V561/0.74)*BI561,
BI561*$AB561),)</f>
        <v/>
      </c>
    </row>
    <row r="562" ht="131.25" customHeight="1" s="162">
      <c r="A562" s="115" t="n"/>
      <c r="B562" s="115" t="n"/>
      <c r="C562" s="115" t="n"/>
      <c r="D562" s="115" t="n"/>
      <c r="E562" s="115" t="n"/>
      <c r="F562" s="115" t="n"/>
      <c r="G562" s="115" t="n"/>
      <c r="H562" s="115" t="n"/>
      <c r="I562" s="115" t="n"/>
      <c r="J562" s="115" t="n"/>
      <c r="K562" s="115" t="n"/>
      <c r="L562" s="115" t="n"/>
      <c r="M562" s="115" t="n"/>
      <c r="N562" s="115" t="n"/>
      <c r="O562" s="115" t="n"/>
      <c r="P562" s="115" t="n"/>
      <c r="Q562" s="115" t="n"/>
      <c r="R562" s="115" t="n"/>
      <c r="S562" s="115" t="n"/>
      <c r="T562" s="115" t="n"/>
      <c r="U562" s="116" t="n"/>
      <c r="V562" s="116" t="n"/>
      <c r="W562" s="117" t="n"/>
      <c r="X562" s="118" t="n"/>
      <c r="Y562" s="119" t="n"/>
      <c r="Z562" s="120" t="n"/>
      <c r="AA562" s="121" t="n"/>
      <c r="AB562" s="122" t="n"/>
      <c r="AC562" s="117" t="n"/>
      <c r="AD562" s="123">
        <f>IF(SUM($AE562:$AH562)=0,"",SUM($AE562:$AH562))</f>
        <v/>
      </c>
      <c r="AE562" s="123">
        <f>iferror(IF(SUM($AI562:$AZ562)=0,"",SUM($AI562:$AZ562)),"")</f>
        <v/>
      </c>
      <c r="AF562" s="123">
        <f>iferror(IF(SUM($BA562:$BC562)=0,"",SUM($BA562:$BC562)),"")</f>
        <v/>
      </c>
      <c r="AG562" s="123">
        <f>iferror(IF(SUM($BD562:$BF562)=0,"",SUM($BD562:$BF562)),"")</f>
        <v/>
      </c>
      <c r="AH562" s="124">
        <f>iferror(IF(SUM($BG562:$BI562)=0,"",SUM($BG562:$BI562)),"")</f>
        <v/>
      </c>
      <c r="AI562" s="131" t="n"/>
      <c r="AJ562" s="132" t="n"/>
      <c r="AK562" s="132" t="n"/>
      <c r="AL562" s="132" t="n"/>
      <c r="AM562" s="132" t="n"/>
      <c r="AN562" s="132" t="n"/>
      <c r="AO562" s="132" t="n"/>
      <c r="AP562" s="132" t="n"/>
      <c r="AQ562" s="132" t="n"/>
      <c r="AR562" s="132" t="n"/>
      <c r="AS562" s="132" t="n"/>
      <c r="AT562" s="132" t="n"/>
      <c r="AU562" s="132" t="n"/>
      <c r="AV562" s="132" t="n"/>
      <c r="AW562" s="132" t="n"/>
      <c r="AX562" s="132" t="n"/>
      <c r="AY562" s="132" t="n"/>
      <c r="AZ562" s="133" t="n"/>
      <c r="BA562" s="131" t="n"/>
      <c r="BB562" s="132" t="n"/>
      <c r="BC562" s="133" t="n"/>
      <c r="BD562" s="131" t="n"/>
      <c r="BE562" s="132" t="n"/>
      <c r="BF562" s="133" t="n"/>
      <c r="BG562" s="131" t="n"/>
      <c r="BH562" s="132" t="n"/>
      <c r="BI562" s="132" t="n"/>
      <c r="BJ562" s="128">
        <f>iferror(SUM($BK562,($BL562*1.2),($BM562*1.35),($BN562*0.74)),)</f>
        <v/>
      </c>
      <c r="BK562" s="128">
        <f>IFERROR(SUM($BT562:$CK562),)</f>
        <v/>
      </c>
      <c r="BL562" s="129">
        <f>IFERROR(SUM($CL562:$CN562),)</f>
        <v/>
      </c>
      <c r="BM562" s="130">
        <f>IFERROR(SUM($CO562:$CQ562),)</f>
        <v/>
      </c>
      <c r="BN562" s="128">
        <f>IFERROR(SUM($CR562:$CT562),)</f>
        <v/>
      </c>
      <c r="BO562" s="128">
        <f>iferror(SUM($BP562,($BQ562*1.2),($BR562*1.35),($BS562*0.74)),)</f>
        <v/>
      </c>
      <c r="BP562" s="128">
        <f>IFERROR(SUM($CU562:$DL562),)</f>
        <v/>
      </c>
      <c r="BQ562" s="128">
        <f>IFERROR(SUM($DM562:$DO562),)</f>
        <v/>
      </c>
      <c r="BR562" s="128">
        <f>IFERROR(SUM($DP562:$DR562),)</f>
        <v/>
      </c>
      <c r="BS562" s="128">
        <f>IFERROR(SUM($DS562:$DU562),)</f>
        <v/>
      </c>
      <c r="BT562" s="128">
        <f>IFERROR(AI562*$W562,)</f>
        <v/>
      </c>
      <c r="BU562" s="128">
        <f>IFERROR(AJ562*$W562,)</f>
        <v/>
      </c>
      <c r="BV562" s="128">
        <f>IFERROR(AK562*$W562,)</f>
        <v/>
      </c>
      <c r="BW562" s="128">
        <f>IFERROR(AL562*$W562,)</f>
        <v/>
      </c>
      <c r="BX562" s="128">
        <f>IFERROR(AM562*$W562,)</f>
        <v/>
      </c>
      <c r="BY562" s="128">
        <f>IFERROR(AN562*$W562,)</f>
        <v/>
      </c>
      <c r="BZ562" s="128">
        <f>IFERROR(AO562*$W562,)</f>
        <v/>
      </c>
      <c r="CA562" s="128">
        <f>IFERROR(AP562*$W562,)</f>
        <v/>
      </c>
      <c r="CB562" s="128">
        <f>IFERROR(AQ562*$W562,)</f>
        <v/>
      </c>
      <c r="CC562" s="128">
        <f>IFERROR(AR562*$W562,)</f>
        <v/>
      </c>
      <c r="CD562" s="128">
        <f>IFERROR(AS562*$W562,)</f>
        <v/>
      </c>
      <c r="CE562" s="128">
        <f>IFERROR(AT562*$W562,)</f>
        <v/>
      </c>
      <c r="CF562" s="128">
        <f>IFERROR(AU562*$W562,)</f>
        <v/>
      </c>
      <c r="CG562" s="128">
        <f>IFERROR(AV562*$W562,)</f>
        <v/>
      </c>
      <c r="CH562" s="128">
        <f>IFERROR(AW562*$W562,)</f>
        <v/>
      </c>
      <c r="CI562" s="128">
        <f>IFERROR(AX562*$W562,)</f>
        <v/>
      </c>
      <c r="CJ562" s="128">
        <f>IFERROR(AY562*$W562,)</f>
        <v/>
      </c>
      <c r="CK562" s="128">
        <f>IFERROR(AZ562*$W562,)</f>
        <v/>
      </c>
      <c r="CL562" s="129">
        <f>IFERROR(if($Y562=0,BA562*($W562/1.2),BA562*$Y562),"")</f>
        <v/>
      </c>
      <c r="CM562" s="129">
        <f>IFERROR(if($Y562=0,BB562*($W562/1.2),BB562*$Y562),"")</f>
        <v/>
      </c>
      <c r="CN562" s="129">
        <f>IFERROR(if($Y562=0,BC562*($W562/1.2),BC562*$Y562),"")</f>
        <v/>
      </c>
      <c r="CO562" s="130">
        <f>IFERROR(if($AA562=0,($W562/1.35)*BD562,BD562*$AA562),)</f>
        <v/>
      </c>
      <c r="CP562" s="130">
        <f>IFERROR(if($AA562=0,($W562/1.35)*BE562,BE562*$AA562),)</f>
        <v/>
      </c>
      <c r="CQ562" s="130">
        <f>IFERROR(if($AA562=0,($W562/1.35)*BF562,BF562*$AA562),)</f>
        <v/>
      </c>
      <c r="CR562" s="128">
        <f>IFERROR(if($AC562=0,($W562/0.74)*BG562,
BG562*$AC562),)</f>
        <v/>
      </c>
      <c r="CS562" s="128">
        <f>IFERROR(if($AC562=0,($W562/0.74)*BH562,
BH562*$AC562),)</f>
        <v/>
      </c>
      <c r="CT562" s="128">
        <f>IFERROR(if($AC562=0,($W562/0.74)*BI562,
BI562*$AC562),)</f>
        <v/>
      </c>
      <c r="CU562" s="128">
        <f>IFERROR(AI562*$V562,)</f>
        <v/>
      </c>
      <c r="CV562" s="128">
        <f>IFERROR(AJ562*$V562,)</f>
        <v/>
      </c>
      <c r="CW562" s="128">
        <f>IFERROR(AK562*$V562,)</f>
        <v/>
      </c>
      <c r="CX562" s="128">
        <f>IFERROR(AL562*$V562,)</f>
        <v/>
      </c>
      <c r="CY562" s="128">
        <f>IFERROR(AM562*$V562,)</f>
        <v/>
      </c>
      <c r="CZ562" s="128">
        <f>IFERROR(AN562*$V562,)</f>
        <v/>
      </c>
      <c r="DA562" s="128">
        <f>IFERROR(AO562*$V562,)</f>
        <v/>
      </c>
      <c r="DB562" s="128">
        <f>IFERROR(AP562*$V562,)</f>
        <v/>
      </c>
      <c r="DC562" s="128">
        <f>IFERROR(AQ562*$V562,)</f>
        <v/>
      </c>
      <c r="DD562" s="128">
        <f>IFERROR(AR562*$V562,)</f>
        <v/>
      </c>
      <c r="DE562" s="128">
        <f>IFERROR(AS562*$V562,)</f>
        <v/>
      </c>
      <c r="DF562" s="128">
        <f>IFERROR(AT562*$V562,)</f>
        <v/>
      </c>
      <c r="DG562" s="128">
        <f>IFERROR(AU562*$V562,)</f>
        <v/>
      </c>
      <c r="DH562" s="128">
        <f>IFERROR(AV562*$V562,)</f>
        <v/>
      </c>
      <c r="DI562" s="128">
        <f>IFERROR(AW562*$V562,)</f>
        <v/>
      </c>
      <c r="DJ562" s="128">
        <f>IFERROR(AX562*$V562,)</f>
        <v/>
      </c>
      <c r="DK562" s="128">
        <f>IFERROR(AY562*$V562,)</f>
        <v/>
      </c>
      <c r="DL562" s="128">
        <f>IFERROR(AZ562*$V562,)</f>
        <v/>
      </c>
      <c r="DM562" s="129">
        <f>IFERROR(if($X562=0,($V562/1.2)*BA562,
BA562*$X562),)</f>
        <v/>
      </c>
      <c r="DN562" s="129">
        <f>IFERROR(if($X562=0,($V562/1.2)*BB562,
BB562*$X562),)</f>
        <v/>
      </c>
      <c r="DO562" s="129">
        <f>IFERROR(if($X562=0,($V562/1.2)*BC562,
BC562*$X562),)</f>
        <v/>
      </c>
      <c r="DP562" s="130">
        <f>IFERROR(if($Z562=0,($V562/1.35)*BD562,
BD562*$Z562),)</f>
        <v/>
      </c>
      <c r="DQ562" s="130">
        <f>IFERROR(if($Z562=0,($V562/1.35)*BE562,
BE562*$Z562),)</f>
        <v/>
      </c>
      <c r="DR562" s="130">
        <f>IFERROR(if($Z562=0,($V562/1.35)*BF562,
BF562*$Z562),)</f>
        <v/>
      </c>
      <c r="DS562" s="128">
        <f>IFERROR(IF($AB562=0,($V562/0.74)*BG562,
BG562*$AB562),)</f>
        <v/>
      </c>
      <c r="DT562" s="128">
        <f>IFERROR(IF($AB562=0,($V562/0.74)*BH562,
BH562*$AB562),)</f>
        <v/>
      </c>
      <c r="DU562" s="128">
        <f>IFERROR(IF($AB562=0,($V562/0.74)*BI562,
BI562*$AB562),)</f>
        <v/>
      </c>
    </row>
    <row r="563" ht="131.25" customHeight="1" s="162">
      <c r="A563" s="115" t="n"/>
      <c r="B563" s="115" t="n"/>
      <c r="C563" s="115" t="n"/>
      <c r="D563" s="115" t="n"/>
      <c r="E563" s="115" t="n"/>
      <c r="F563" s="115" t="n"/>
      <c r="G563" s="115" t="n"/>
      <c r="H563" s="115" t="n"/>
      <c r="I563" s="115" t="n"/>
      <c r="J563" s="115" t="n"/>
      <c r="K563" s="115" t="n"/>
      <c r="L563" s="115" t="n"/>
      <c r="M563" s="115" t="n"/>
      <c r="N563" s="115" t="n"/>
      <c r="O563" s="115" t="n"/>
      <c r="P563" s="115" t="n"/>
      <c r="Q563" s="115" t="n"/>
      <c r="R563" s="115" t="n"/>
      <c r="S563" s="115" t="n"/>
      <c r="T563" s="115" t="n"/>
      <c r="U563" s="116" t="n"/>
      <c r="V563" s="116" t="n"/>
      <c r="W563" s="117" t="n"/>
      <c r="X563" s="118" t="n"/>
      <c r="Y563" s="119" t="n"/>
      <c r="Z563" s="120" t="n"/>
      <c r="AA563" s="121" t="n"/>
      <c r="AB563" s="122" t="n"/>
      <c r="AC563" s="117" t="n"/>
      <c r="AD563" s="123">
        <f>IF(SUM($AE563:$AH563)=0,"",SUM($AE563:$AH563))</f>
        <v/>
      </c>
      <c r="AE563" s="123">
        <f>iferror(IF(SUM($AI563:$AZ563)=0,"",SUM($AI563:$AZ563)),"")</f>
        <v/>
      </c>
      <c r="AF563" s="123">
        <f>iferror(IF(SUM($BA563:$BC563)=0,"",SUM($BA563:$BC563)),"")</f>
        <v/>
      </c>
      <c r="AG563" s="123">
        <f>iferror(IF(SUM($BD563:$BF563)=0,"",SUM($BD563:$BF563)),"")</f>
        <v/>
      </c>
      <c r="AH563" s="124">
        <f>iferror(IF(SUM($BG563:$BI563)=0,"",SUM($BG563:$BI563)),"")</f>
        <v/>
      </c>
      <c r="AI563" s="131" t="n"/>
      <c r="AJ563" s="132" t="n"/>
      <c r="AK563" s="132" t="n"/>
      <c r="AL563" s="132" t="n"/>
      <c r="AM563" s="132" t="n"/>
      <c r="AN563" s="132" t="n"/>
      <c r="AO563" s="132" t="n"/>
      <c r="AP563" s="132" t="n"/>
      <c r="AQ563" s="132" t="n"/>
      <c r="AR563" s="132" t="n"/>
      <c r="AS563" s="132" t="n"/>
      <c r="AT563" s="132" t="n"/>
      <c r="AU563" s="132" t="n"/>
      <c r="AV563" s="132" t="n"/>
      <c r="AW563" s="132" t="n"/>
      <c r="AX563" s="132" t="n"/>
      <c r="AY563" s="132" t="n"/>
      <c r="AZ563" s="133" t="n"/>
      <c r="BA563" s="131" t="n"/>
      <c r="BB563" s="132" t="n"/>
      <c r="BC563" s="133" t="n"/>
      <c r="BD563" s="131" t="n"/>
      <c r="BE563" s="132" t="n"/>
      <c r="BF563" s="133" t="n"/>
      <c r="BG563" s="131" t="n"/>
      <c r="BH563" s="132" t="n"/>
      <c r="BI563" s="132" t="n"/>
      <c r="BJ563" s="128">
        <f>iferror(SUM($BK563,($BL563*1.2),($BM563*1.35),($BN563*0.74)),)</f>
        <v/>
      </c>
      <c r="BK563" s="128">
        <f>IFERROR(SUM($BT563:$CK563),)</f>
        <v/>
      </c>
      <c r="BL563" s="129">
        <f>IFERROR(SUM($CL563:$CN563),)</f>
        <v/>
      </c>
      <c r="BM563" s="130">
        <f>IFERROR(SUM($CO563:$CQ563),)</f>
        <v/>
      </c>
      <c r="BN563" s="128">
        <f>IFERROR(SUM($CR563:$CT563),)</f>
        <v/>
      </c>
      <c r="BO563" s="128">
        <f>iferror(SUM($BP563,($BQ563*1.2),($BR563*1.35),($BS563*0.74)),)</f>
        <v/>
      </c>
      <c r="BP563" s="128">
        <f>IFERROR(SUM($CU563:$DL563),)</f>
        <v/>
      </c>
      <c r="BQ563" s="128">
        <f>IFERROR(SUM($DM563:$DO563),)</f>
        <v/>
      </c>
      <c r="BR563" s="128">
        <f>IFERROR(SUM($DP563:$DR563),)</f>
        <v/>
      </c>
      <c r="BS563" s="128">
        <f>IFERROR(SUM($DS563:$DU563),)</f>
        <v/>
      </c>
      <c r="BT563" s="128">
        <f>IFERROR(AI563*$W563,)</f>
        <v/>
      </c>
      <c r="BU563" s="128">
        <f>IFERROR(AJ563*$W563,)</f>
        <v/>
      </c>
      <c r="BV563" s="128">
        <f>IFERROR(AK563*$W563,)</f>
        <v/>
      </c>
      <c r="BW563" s="128">
        <f>IFERROR(AL563*$W563,)</f>
        <v/>
      </c>
      <c r="BX563" s="128">
        <f>IFERROR(AM563*$W563,)</f>
        <v/>
      </c>
      <c r="BY563" s="128">
        <f>IFERROR(AN563*$W563,)</f>
        <v/>
      </c>
      <c r="BZ563" s="128">
        <f>IFERROR(AO563*$W563,)</f>
        <v/>
      </c>
      <c r="CA563" s="128">
        <f>IFERROR(AP563*$W563,)</f>
        <v/>
      </c>
      <c r="CB563" s="128">
        <f>IFERROR(AQ563*$W563,)</f>
        <v/>
      </c>
      <c r="CC563" s="128">
        <f>IFERROR(AR563*$W563,)</f>
        <v/>
      </c>
      <c r="CD563" s="128">
        <f>IFERROR(AS563*$W563,)</f>
        <v/>
      </c>
      <c r="CE563" s="128">
        <f>IFERROR(AT563*$W563,)</f>
        <v/>
      </c>
      <c r="CF563" s="128">
        <f>IFERROR(AU563*$W563,)</f>
        <v/>
      </c>
      <c r="CG563" s="128">
        <f>IFERROR(AV563*$W563,)</f>
        <v/>
      </c>
      <c r="CH563" s="128">
        <f>IFERROR(AW563*$W563,)</f>
        <v/>
      </c>
      <c r="CI563" s="128">
        <f>IFERROR(AX563*$W563,)</f>
        <v/>
      </c>
      <c r="CJ563" s="128">
        <f>IFERROR(AY563*$W563,)</f>
        <v/>
      </c>
      <c r="CK563" s="128">
        <f>IFERROR(AZ563*$W563,)</f>
        <v/>
      </c>
      <c r="CL563" s="129">
        <f>IFERROR(if($Y563=0,BA563*($W563/1.2),BA563*$Y563),"")</f>
        <v/>
      </c>
      <c r="CM563" s="129">
        <f>IFERROR(if($Y563=0,BB563*($W563/1.2),BB563*$Y563),"")</f>
        <v/>
      </c>
      <c r="CN563" s="129">
        <f>IFERROR(if($Y563=0,BC563*($W563/1.2),BC563*$Y563),"")</f>
        <v/>
      </c>
      <c r="CO563" s="130">
        <f>IFERROR(if($AA563=0,($W563/1.35)*BD563,BD563*$AA563),)</f>
        <v/>
      </c>
      <c r="CP563" s="130">
        <f>IFERROR(if($AA563=0,($W563/1.35)*BE563,BE563*$AA563),)</f>
        <v/>
      </c>
      <c r="CQ563" s="130">
        <f>IFERROR(if($AA563=0,($W563/1.35)*BF563,BF563*$AA563),)</f>
        <v/>
      </c>
      <c r="CR563" s="128">
        <f>IFERROR(if($AC563=0,($W563/0.74)*BG563,
BG563*$AC563),)</f>
        <v/>
      </c>
      <c r="CS563" s="128">
        <f>IFERROR(if($AC563=0,($W563/0.74)*BH563,
BH563*$AC563),)</f>
        <v/>
      </c>
      <c r="CT563" s="128">
        <f>IFERROR(if($AC563=0,($W563/0.74)*BI563,
BI563*$AC563),)</f>
        <v/>
      </c>
      <c r="CU563" s="128">
        <f>IFERROR(AI563*$V563,)</f>
        <v/>
      </c>
      <c r="CV563" s="128">
        <f>IFERROR(AJ563*$V563,)</f>
        <v/>
      </c>
      <c r="CW563" s="128">
        <f>IFERROR(AK563*$V563,)</f>
        <v/>
      </c>
      <c r="CX563" s="128">
        <f>IFERROR(AL563*$V563,)</f>
        <v/>
      </c>
      <c r="CY563" s="128">
        <f>IFERROR(AM563*$V563,)</f>
        <v/>
      </c>
      <c r="CZ563" s="128">
        <f>IFERROR(AN563*$V563,)</f>
        <v/>
      </c>
      <c r="DA563" s="128">
        <f>IFERROR(AO563*$V563,)</f>
        <v/>
      </c>
      <c r="DB563" s="128">
        <f>IFERROR(AP563*$V563,)</f>
        <v/>
      </c>
      <c r="DC563" s="128">
        <f>IFERROR(AQ563*$V563,)</f>
        <v/>
      </c>
      <c r="DD563" s="128">
        <f>IFERROR(AR563*$V563,)</f>
        <v/>
      </c>
      <c r="DE563" s="128">
        <f>IFERROR(AS563*$V563,)</f>
        <v/>
      </c>
      <c r="DF563" s="128">
        <f>IFERROR(AT563*$V563,)</f>
        <v/>
      </c>
      <c r="DG563" s="128">
        <f>IFERROR(AU563*$V563,)</f>
        <v/>
      </c>
      <c r="DH563" s="128">
        <f>IFERROR(AV563*$V563,)</f>
        <v/>
      </c>
      <c r="DI563" s="128">
        <f>IFERROR(AW563*$V563,)</f>
        <v/>
      </c>
      <c r="DJ563" s="128">
        <f>IFERROR(AX563*$V563,)</f>
        <v/>
      </c>
      <c r="DK563" s="128">
        <f>IFERROR(AY563*$V563,)</f>
        <v/>
      </c>
      <c r="DL563" s="128">
        <f>IFERROR(AZ563*$V563,)</f>
        <v/>
      </c>
      <c r="DM563" s="129">
        <f>IFERROR(if($X563=0,($V563/1.2)*BA563,
BA563*$X563),)</f>
        <v/>
      </c>
      <c r="DN563" s="129">
        <f>IFERROR(if($X563=0,($V563/1.2)*BB563,
BB563*$X563),)</f>
        <v/>
      </c>
      <c r="DO563" s="129">
        <f>IFERROR(if($X563=0,($V563/1.2)*BC563,
BC563*$X563),)</f>
        <v/>
      </c>
      <c r="DP563" s="130">
        <f>IFERROR(if($Z563=0,($V563/1.35)*BD563,
BD563*$Z563),)</f>
        <v/>
      </c>
      <c r="DQ563" s="130">
        <f>IFERROR(if($Z563=0,($V563/1.35)*BE563,
BE563*$Z563),)</f>
        <v/>
      </c>
      <c r="DR563" s="130">
        <f>IFERROR(if($Z563=0,($V563/1.35)*BF563,
BF563*$Z563),)</f>
        <v/>
      </c>
      <c r="DS563" s="128">
        <f>IFERROR(IF($AB563=0,($V563/0.74)*BG563,
BG563*$AB563),)</f>
        <v/>
      </c>
      <c r="DT563" s="128">
        <f>IFERROR(IF($AB563=0,($V563/0.74)*BH563,
BH563*$AB563),)</f>
        <v/>
      </c>
      <c r="DU563" s="128">
        <f>IFERROR(IF($AB563=0,($V563/0.74)*BI563,
BI563*$AB563),)</f>
        <v/>
      </c>
    </row>
    <row r="564" ht="131.25" customHeight="1" s="162">
      <c r="A564" s="115" t="n"/>
      <c r="B564" s="115" t="n"/>
      <c r="C564" s="115" t="n"/>
      <c r="D564" s="115" t="n"/>
      <c r="E564" s="115" t="n"/>
      <c r="F564" s="115" t="n"/>
      <c r="G564" s="115" t="n"/>
      <c r="H564" s="115" t="n"/>
      <c r="I564" s="115" t="n"/>
      <c r="J564" s="115" t="n"/>
      <c r="K564" s="115" t="n"/>
      <c r="L564" s="115" t="n"/>
      <c r="M564" s="115" t="n"/>
      <c r="N564" s="115" t="n"/>
      <c r="O564" s="115" t="n"/>
      <c r="P564" s="115" t="n"/>
      <c r="Q564" s="115" t="n"/>
      <c r="R564" s="115" t="n"/>
      <c r="S564" s="115" t="n"/>
      <c r="T564" s="115" t="n"/>
      <c r="U564" s="116" t="n"/>
      <c r="V564" s="116" t="n"/>
      <c r="W564" s="117" t="n"/>
      <c r="X564" s="118" t="n"/>
      <c r="Y564" s="119" t="n"/>
      <c r="Z564" s="120" t="n"/>
      <c r="AA564" s="121" t="n"/>
      <c r="AB564" s="122" t="n"/>
      <c r="AC564" s="117" t="n"/>
      <c r="AD564" s="123">
        <f>IF(SUM($AE564:$AH564)=0,"",SUM($AE564:$AH564))</f>
        <v/>
      </c>
      <c r="AE564" s="123">
        <f>iferror(IF(SUM($AI564:$AZ564)=0,"",SUM($AI564:$AZ564)),"")</f>
        <v/>
      </c>
      <c r="AF564" s="123">
        <f>iferror(IF(SUM($BA564:$BC564)=0,"",SUM($BA564:$BC564)),"")</f>
        <v/>
      </c>
      <c r="AG564" s="123">
        <f>iferror(IF(SUM($BD564:$BF564)=0,"",SUM($BD564:$BF564)),"")</f>
        <v/>
      </c>
      <c r="AH564" s="124">
        <f>iferror(IF(SUM($BG564:$BI564)=0,"",SUM($BG564:$BI564)),"")</f>
        <v/>
      </c>
      <c r="AI564" s="131" t="n"/>
      <c r="AJ564" s="132" t="n"/>
      <c r="AK564" s="132" t="n"/>
      <c r="AL564" s="132" t="n"/>
      <c r="AM564" s="132" t="n"/>
      <c r="AN564" s="132" t="n"/>
      <c r="AO564" s="132" t="n"/>
      <c r="AP564" s="132" t="n"/>
      <c r="AQ564" s="132" t="n"/>
      <c r="AR564" s="132" t="n"/>
      <c r="AS564" s="132" t="n"/>
      <c r="AT564" s="132" t="n"/>
      <c r="AU564" s="132" t="n"/>
      <c r="AV564" s="132" t="n"/>
      <c r="AW564" s="132" t="n"/>
      <c r="AX564" s="132" t="n"/>
      <c r="AY564" s="132" t="n"/>
      <c r="AZ564" s="133" t="n"/>
      <c r="BA564" s="131" t="n"/>
      <c r="BB564" s="132" t="n"/>
      <c r="BC564" s="133" t="n"/>
      <c r="BD564" s="131" t="n"/>
      <c r="BE564" s="132" t="n"/>
      <c r="BF564" s="133" t="n"/>
      <c r="BG564" s="131" t="n"/>
      <c r="BH564" s="132" t="n"/>
      <c r="BI564" s="132" t="n"/>
      <c r="BJ564" s="128">
        <f>iferror(SUM($BK564,($BL564*1.2),($BM564*1.35),($BN564*0.74)),)</f>
        <v/>
      </c>
      <c r="BK564" s="128">
        <f>IFERROR(SUM($BT564:$CK564),)</f>
        <v/>
      </c>
      <c r="BL564" s="129">
        <f>IFERROR(SUM($CL564:$CN564),)</f>
        <v/>
      </c>
      <c r="BM564" s="130">
        <f>IFERROR(SUM($CO564:$CQ564),)</f>
        <v/>
      </c>
      <c r="BN564" s="128">
        <f>IFERROR(SUM($CR564:$CT564),)</f>
        <v/>
      </c>
      <c r="BO564" s="128">
        <f>iferror(SUM($BP564,($BQ564*1.2),($BR564*1.35),($BS564*0.74)),)</f>
        <v/>
      </c>
      <c r="BP564" s="128">
        <f>IFERROR(SUM($CU564:$DL564),)</f>
        <v/>
      </c>
      <c r="BQ564" s="128">
        <f>IFERROR(SUM($DM564:$DO564),)</f>
        <v/>
      </c>
      <c r="BR564" s="128">
        <f>IFERROR(SUM($DP564:$DR564),)</f>
        <v/>
      </c>
      <c r="BS564" s="128">
        <f>IFERROR(SUM($DS564:$DU564),)</f>
        <v/>
      </c>
      <c r="BT564" s="128">
        <f>IFERROR(AI564*$W564,)</f>
        <v/>
      </c>
      <c r="BU564" s="128">
        <f>IFERROR(AJ564*$W564,)</f>
        <v/>
      </c>
      <c r="BV564" s="128">
        <f>IFERROR(AK564*$W564,)</f>
        <v/>
      </c>
      <c r="BW564" s="128">
        <f>IFERROR(AL564*$W564,)</f>
        <v/>
      </c>
      <c r="BX564" s="128">
        <f>IFERROR(AM564*$W564,)</f>
        <v/>
      </c>
      <c r="BY564" s="128">
        <f>IFERROR(AN564*$W564,)</f>
        <v/>
      </c>
      <c r="BZ564" s="128">
        <f>IFERROR(AO564*$W564,)</f>
        <v/>
      </c>
      <c r="CA564" s="128">
        <f>IFERROR(AP564*$W564,)</f>
        <v/>
      </c>
      <c r="CB564" s="128">
        <f>IFERROR(AQ564*$W564,)</f>
        <v/>
      </c>
      <c r="CC564" s="128">
        <f>IFERROR(AR564*$W564,)</f>
        <v/>
      </c>
      <c r="CD564" s="128">
        <f>IFERROR(AS564*$W564,)</f>
        <v/>
      </c>
      <c r="CE564" s="128">
        <f>IFERROR(AT564*$W564,)</f>
        <v/>
      </c>
      <c r="CF564" s="128">
        <f>IFERROR(AU564*$W564,)</f>
        <v/>
      </c>
      <c r="CG564" s="128">
        <f>IFERROR(AV564*$W564,)</f>
        <v/>
      </c>
      <c r="CH564" s="128">
        <f>IFERROR(AW564*$W564,)</f>
        <v/>
      </c>
      <c r="CI564" s="128">
        <f>IFERROR(AX564*$W564,)</f>
        <v/>
      </c>
      <c r="CJ564" s="128">
        <f>IFERROR(AY564*$W564,)</f>
        <v/>
      </c>
      <c r="CK564" s="128">
        <f>IFERROR(AZ564*$W564,)</f>
        <v/>
      </c>
      <c r="CL564" s="129">
        <f>IFERROR(if($Y564=0,BA564*($W564/1.2),BA564*$Y564),"")</f>
        <v/>
      </c>
      <c r="CM564" s="129">
        <f>IFERROR(if($Y564=0,BB564*($W564/1.2),BB564*$Y564),"")</f>
        <v/>
      </c>
      <c r="CN564" s="129">
        <f>IFERROR(if($Y564=0,BC564*($W564/1.2),BC564*$Y564),"")</f>
        <v/>
      </c>
      <c r="CO564" s="130">
        <f>IFERROR(if($AA564=0,($W564/1.35)*BD564,BD564*$AA564),)</f>
        <v/>
      </c>
      <c r="CP564" s="130">
        <f>IFERROR(if($AA564=0,($W564/1.35)*BE564,BE564*$AA564),)</f>
        <v/>
      </c>
      <c r="CQ564" s="130">
        <f>IFERROR(if($AA564=0,($W564/1.35)*BF564,BF564*$AA564),)</f>
        <v/>
      </c>
      <c r="CR564" s="128">
        <f>IFERROR(if($AC564=0,($W564/0.74)*BG564,
BG564*$AC564),)</f>
        <v/>
      </c>
      <c r="CS564" s="128">
        <f>IFERROR(if($AC564=0,($W564/0.74)*BH564,
BH564*$AC564),)</f>
        <v/>
      </c>
      <c r="CT564" s="128">
        <f>IFERROR(if($AC564=0,($W564/0.74)*BI564,
BI564*$AC564),)</f>
        <v/>
      </c>
      <c r="CU564" s="128">
        <f>IFERROR(AI564*$V564,)</f>
        <v/>
      </c>
      <c r="CV564" s="128">
        <f>IFERROR(AJ564*$V564,)</f>
        <v/>
      </c>
      <c r="CW564" s="128">
        <f>IFERROR(AK564*$V564,)</f>
        <v/>
      </c>
      <c r="CX564" s="128">
        <f>IFERROR(AL564*$V564,)</f>
        <v/>
      </c>
      <c r="CY564" s="128">
        <f>IFERROR(AM564*$V564,)</f>
        <v/>
      </c>
      <c r="CZ564" s="128">
        <f>IFERROR(AN564*$V564,)</f>
        <v/>
      </c>
      <c r="DA564" s="128">
        <f>IFERROR(AO564*$V564,)</f>
        <v/>
      </c>
      <c r="DB564" s="128">
        <f>IFERROR(AP564*$V564,)</f>
        <v/>
      </c>
      <c r="DC564" s="128">
        <f>IFERROR(AQ564*$V564,)</f>
        <v/>
      </c>
      <c r="DD564" s="128">
        <f>IFERROR(AR564*$V564,)</f>
        <v/>
      </c>
      <c r="DE564" s="128">
        <f>IFERROR(AS564*$V564,)</f>
        <v/>
      </c>
      <c r="DF564" s="128">
        <f>IFERROR(AT564*$V564,)</f>
        <v/>
      </c>
      <c r="DG564" s="128">
        <f>IFERROR(AU564*$V564,)</f>
        <v/>
      </c>
      <c r="DH564" s="128">
        <f>IFERROR(AV564*$V564,)</f>
        <v/>
      </c>
      <c r="DI564" s="128">
        <f>IFERROR(AW564*$V564,)</f>
        <v/>
      </c>
      <c r="DJ564" s="128">
        <f>IFERROR(AX564*$V564,)</f>
        <v/>
      </c>
      <c r="DK564" s="128">
        <f>IFERROR(AY564*$V564,)</f>
        <v/>
      </c>
      <c r="DL564" s="128">
        <f>IFERROR(AZ564*$V564,)</f>
        <v/>
      </c>
      <c r="DM564" s="129">
        <f>IFERROR(if($X564=0,($V564/1.2)*BA564,
BA564*$X564),)</f>
        <v/>
      </c>
      <c r="DN564" s="129">
        <f>IFERROR(if($X564=0,($V564/1.2)*BB564,
BB564*$X564),)</f>
        <v/>
      </c>
      <c r="DO564" s="129">
        <f>IFERROR(if($X564=0,($V564/1.2)*BC564,
BC564*$X564),)</f>
        <v/>
      </c>
      <c r="DP564" s="130">
        <f>IFERROR(if($Z564=0,($V564/1.35)*BD564,
BD564*$Z564),)</f>
        <v/>
      </c>
      <c r="DQ564" s="130">
        <f>IFERROR(if($Z564=0,($V564/1.35)*BE564,
BE564*$Z564),)</f>
        <v/>
      </c>
      <c r="DR564" s="130">
        <f>IFERROR(if($Z564=0,($V564/1.35)*BF564,
BF564*$Z564),)</f>
        <v/>
      </c>
      <c r="DS564" s="128">
        <f>IFERROR(IF($AB564=0,($V564/0.74)*BG564,
BG564*$AB564),)</f>
        <v/>
      </c>
      <c r="DT564" s="128">
        <f>IFERROR(IF($AB564=0,($V564/0.74)*BH564,
BH564*$AB564),)</f>
        <v/>
      </c>
      <c r="DU564" s="128">
        <f>IFERROR(IF($AB564=0,($V564/0.74)*BI564,
BI564*$AB564),)</f>
        <v/>
      </c>
    </row>
    <row r="565" ht="131.25" customHeight="1" s="162">
      <c r="A565" s="115" t="n"/>
      <c r="B565" s="115" t="n"/>
      <c r="C565" s="115" t="n"/>
      <c r="D565" s="115" t="n"/>
      <c r="E565" s="115" t="n"/>
      <c r="F565" s="115" t="n"/>
      <c r="G565" s="115" t="n"/>
      <c r="H565" s="115" t="n"/>
      <c r="I565" s="115" t="n"/>
      <c r="J565" s="115" t="n"/>
      <c r="K565" s="115" t="n"/>
      <c r="L565" s="115" t="n"/>
      <c r="M565" s="115" t="n"/>
      <c r="N565" s="115" t="n"/>
      <c r="O565" s="115" t="n"/>
      <c r="P565" s="115" t="n"/>
      <c r="Q565" s="115" t="n"/>
      <c r="R565" s="115" t="n"/>
      <c r="S565" s="115" t="n"/>
      <c r="T565" s="115" t="n"/>
      <c r="U565" s="116" t="n"/>
      <c r="V565" s="116" t="n"/>
      <c r="W565" s="117" t="n"/>
      <c r="X565" s="118" t="n"/>
      <c r="Y565" s="119" t="n"/>
      <c r="Z565" s="120" t="n"/>
      <c r="AA565" s="121" t="n"/>
      <c r="AB565" s="122" t="n"/>
      <c r="AC565" s="117" t="n"/>
      <c r="AD565" s="123">
        <f>IF(SUM($AE565:$AH565)=0,"",SUM($AE565:$AH565))</f>
        <v/>
      </c>
      <c r="AE565" s="123">
        <f>iferror(IF(SUM($AI565:$AZ565)=0,"",SUM($AI565:$AZ565)),"")</f>
        <v/>
      </c>
      <c r="AF565" s="123">
        <f>iferror(IF(SUM($BA565:$BC565)=0,"",SUM($BA565:$BC565)),"")</f>
        <v/>
      </c>
      <c r="AG565" s="123">
        <f>iferror(IF(SUM($BD565:$BF565)=0,"",SUM($BD565:$BF565)),"")</f>
        <v/>
      </c>
      <c r="AH565" s="124">
        <f>iferror(IF(SUM($BG565:$BI565)=0,"",SUM($BG565:$BI565)),"")</f>
        <v/>
      </c>
      <c r="AI565" s="131" t="n"/>
      <c r="AJ565" s="132" t="n"/>
      <c r="AK565" s="132" t="n"/>
      <c r="AL565" s="132" t="n"/>
      <c r="AM565" s="132" t="n"/>
      <c r="AN565" s="132" t="n"/>
      <c r="AO565" s="132" t="n"/>
      <c r="AP565" s="132" t="n"/>
      <c r="AQ565" s="132" t="n"/>
      <c r="AR565" s="132" t="n"/>
      <c r="AS565" s="132" t="n"/>
      <c r="AT565" s="132" t="n"/>
      <c r="AU565" s="132" t="n"/>
      <c r="AV565" s="132" t="n"/>
      <c r="AW565" s="132" t="n"/>
      <c r="AX565" s="132" t="n"/>
      <c r="AY565" s="132" t="n"/>
      <c r="AZ565" s="133" t="n"/>
      <c r="BA565" s="131" t="n"/>
      <c r="BB565" s="132" t="n"/>
      <c r="BC565" s="133" t="n"/>
      <c r="BD565" s="131" t="n"/>
      <c r="BE565" s="132" t="n"/>
      <c r="BF565" s="133" t="n"/>
      <c r="BG565" s="131" t="n"/>
      <c r="BH565" s="132" t="n"/>
      <c r="BI565" s="132" t="n"/>
      <c r="BJ565" s="128">
        <f>iferror(SUM($BK565,($BL565*1.2),($BM565*1.35),($BN565*0.74)),)</f>
        <v/>
      </c>
      <c r="BK565" s="128">
        <f>IFERROR(SUM($BT565:$CK565),)</f>
        <v/>
      </c>
      <c r="BL565" s="129">
        <f>IFERROR(SUM($CL565:$CN565),)</f>
        <v/>
      </c>
      <c r="BM565" s="130">
        <f>IFERROR(SUM($CO565:$CQ565),)</f>
        <v/>
      </c>
      <c r="BN565" s="128">
        <f>IFERROR(SUM($CR565:$CT565),)</f>
        <v/>
      </c>
      <c r="BO565" s="128">
        <f>iferror(SUM($BP565,($BQ565*1.2),($BR565*1.35),($BS565*0.74)),)</f>
        <v/>
      </c>
      <c r="BP565" s="128">
        <f>IFERROR(SUM($CU565:$DL565),)</f>
        <v/>
      </c>
      <c r="BQ565" s="128">
        <f>IFERROR(SUM($DM565:$DO565),)</f>
        <v/>
      </c>
      <c r="BR565" s="128">
        <f>IFERROR(SUM($DP565:$DR565),)</f>
        <v/>
      </c>
      <c r="BS565" s="128">
        <f>IFERROR(SUM($DS565:$DU565),)</f>
        <v/>
      </c>
      <c r="BT565" s="128">
        <f>IFERROR(AI565*$W565,)</f>
        <v/>
      </c>
      <c r="BU565" s="128">
        <f>IFERROR(AJ565*$W565,)</f>
        <v/>
      </c>
      <c r="BV565" s="128">
        <f>IFERROR(AK565*$W565,)</f>
        <v/>
      </c>
      <c r="BW565" s="128">
        <f>IFERROR(AL565*$W565,)</f>
        <v/>
      </c>
      <c r="BX565" s="128">
        <f>IFERROR(AM565*$W565,)</f>
        <v/>
      </c>
      <c r="BY565" s="128">
        <f>IFERROR(AN565*$W565,)</f>
        <v/>
      </c>
      <c r="BZ565" s="128">
        <f>IFERROR(AO565*$W565,)</f>
        <v/>
      </c>
      <c r="CA565" s="128">
        <f>IFERROR(AP565*$W565,)</f>
        <v/>
      </c>
      <c r="CB565" s="128">
        <f>IFERROR(AQ565*$W565,)</f>
        <v/>
      </c>
      <c r="CC565" s="128">
        <f>IFERROR(AR565*$W565,)</f>
        <v/>
      </c>
      <c r="CD565" s="128">
        <f>IFERROR(AS565*$W565,)</f>
        <v/>
      </c>
      <c r="CE565" s="128">
        <f>IFERROR(AT565*$W565,)</f>
        <v/>
      </c>
      <c r="CF565" s="128">
        <f>IFERROR(AU565*$W565,)</f>
        <v/>
      </c>
      <c r="CG565" s="128">
        <f>IFERROR(AV565*$W565,)</f>
        <v/>
      </c>
      <c r="CH565" s="128">
        <f>IFERROR(AW565*$W565,)</f>
        <v/>
      </c>
      <c r="CI565" s="128">
        <f>IFERROR(AX565*$W565,)</f>
        <v/>
      </c>
      <c r="CJ565" s="128">
        <f>IFERROR(AY565*$W565,)</f>
        <v/>
      </c>
      <c r="CK565" s="128">
        <f>IFERROR(AZ565*$W565,)</f>
        <v/>
      </c>
      <c r="CL565" s="129">
        <f>IFERROR(if($Y565=0,BA565*($W565/1.2),BA565*$Y565),"")</f>
        <v/>
      </c>
      <c r="CM565" s="129">
        <f>IFERROR(if($Y565=0,BB565*($W565/1.2),BB565*$Y565),"")</f>
        <v/>
      </c>
      <c r="CN565" s="129">
        <f>IFERROR(if($Y565=0,BC565*($W565/1.2),BC565*$Y565),"")</f>
        <v/>
      </c>
      <c r="CO565" s="130">
        <f>IFERROR(if($AA565=0,($W565/1.35)*BD565,BD565*$AA565),)</f>
        <v/>
      </c>
      <c r="CP565" s="130">
        <f>IFERROR(if($AA565=0,($W565/1.35)*BE565,BE565*$AA565),)</f>
        <v/>
      </c>
      <c r="CQ565" s="130">
        <f>IFERROR(if($AA565=0,($W565/1.35)*BF565,BF565*$AA565),)</f>
        <v/>
      </c>
      <c r="CR565" s="128">
        <f>IFERROR(if($AC565=0,($W565/0.74)*BG565,
BG565*$AC565),)</f>
        <v/>
      </c>
      <c r="CS565" s="128">
        <f>IFERROR(if($AC565=0,($W565/0.74)*BH565,
BH565*$AC565),)</f>
        <v/>
      </c>
      <c r="CT565" s="128">
        <f>IFERROR(if($AC565=0,($W565/0.74)*BI565,
BI565*$AC565),)</f>
        <v/>
      </c>
      <c r="CU565" s="128">
        <f>IFERROR(AI565*$V565,)</f>
        <v/>
      </c>
      <c r="CV565" s="128">
        <f>IFERROR(AJ565*$V565,)</f>
        <v/>
      </c>
      <c r="CW565" s="128">
        <f>IFERROR(AK565*$V565,)</f>
        <v/>
      </c>
      <c r="CX565" s="128">
        <f>IFERROR(AL565*$V565,)</f>
        <v/>
      </c>
      <c r="CY565" s="128">
        <f>IFERROR(AM565*$V565,)</f>
        <v/>
      </c>
      <c r="CZ565" s="128">
        <f>IFERROR(AN565*$V565,)</f>
        <v/>
      </c>
      <c r="DA565" s="128">
        <f>IFERROR(AO565*$V565,)</f>
        <v/>
      </c>
      <c r="DB565" s="128">
        <f>IFERROR(AP565*$V565,)</f>
        <v/>
      </c>
      <c r="DC565" s="128">
        <f>IFERROR(AQ565*$V565,)</f>
        <v/>
      </c>
      <c r="DD565" s="128">
        <f>IFERROR(AR565*$V565,)</f>
        <v/>
      </c>
      <c r="DE565" s="128">
        <f>IFERROR(AS565*$V565,)</f>
        <v/>
      </c>
      <c r="DF565" s="128">
        <f>IFERROR(AT565*$V565,)</f>
        <v/>
      </c>
      <c r="DG565" s="128">
        <f>IFERROR(AU565*$V565,)</f>
        <v/>
      </c>
      <c r="DH565" s="128">
        <f>IFERROR(AV565*$V565,)</f>
        <v/>
      </c>
      <c r="DI565" s="128">
        <f>IFERROR(AW565*$V565,)</f>
        <v/>
      </c>
      <c r="DJ565" s="128">
        <f>IFERROR(AX565*$V565,)</f>
        <v/>
      </c>
      <c r="DK565" s="128">
        <f>IFERROR(AY565*$V565,)</f>
        <v/>
      </c>
      <c r="DL565" s="128">
        <f>IFERROR(AZ565*$V565,)</f>
        <v/>
      </c>
      <c r="DM565" s="129">
        <f>IFERROR(if($X565=0,($V565/1.2)*BA565,
BA565*$X565),)</f>
        <v/>
      </c>
      <c r="DN565" s="129">
        <f>IFERROR(if($X565=0,($V565/1.2)*BB565,
BB565*$X565),)</f>
        <v/>
      </c>
      <c r="DO565" s="129">
        <f>IFERROR(if($X565=0,($V565/1.2)*BC565,
BC565*$X565),)</f>
        <v/>
      </c>
      <c r="DP565" s="130">
        <f>IFERROR(if($Z565=0,($V565/1.35)*BD565,
BD565*$Z565),)</f>
        <v/>
      </c>
      <c r="DQ565" s="130">
        <f>IFERROR(if($Z565=0,($V565/1.35)*BE565,
BE565*$Z565),)</f>
        <v/>
      </c>
      <c r="DR565" s="130">
        <f>IFERROR(if($Z565=0,($V565/1.35)*BF565,
BF565*$Z565),)</f>
        <v/>
      </c>
      <c r="DS565" s="128">
        <f>IFERROR(IF($AB565=0,($V565/0.74)*BG565,
BG565*$AB565),)</f>
        <v/>
      </c>
      <c r="DT565" s="128">
        <f>IFERROR(IF($AB565=0,($V565/0.74)*BH565,
BH565*$AB565),)</f>
        <v/>
      </c>
      <c r="DU565" s="128">
        <f>IFERROR(IF($AB565=0,($V565/0.74)*BI565,
BI565*$AB565),)</f>
        <v/>
      </c>
    </row>
    <row r="566" ht="131.25" customHeight="1" s="162">
      <c r="A566" s="115" t="n"/>
      <c r="B566" s="115" t="n"/>
      <c r="C566" s="115" t="n"/>
      <c r="D566" s="115" t="n"/>
      <c r="E566" s="115" t="n"/>
      <c r="F566" s="115" t="n"/>
      <c r="G566" s="115" t="n"/>
      <c r="H566" s="115" t="n"/>
      <c r="I566" s="115" t="n"/>
      <c r="J566" s="115" t="n"/>
      <c r="K566" s="115" t="n"/>
      <c r="L566" s="115" t="n"/>
      <c r="M566" s="115" t="n"/>
      <c r="N566" s="115" t="n"/>
      <c r="O566" s="115" t="n"/>
      <c r="P566" s="115" t="n"/>
      <c r="Q566" s="115" t="n"/>
      <c r="R566" s="115" t="n"/>
      <c r="S566" s="115" t="n"/>
      <c r="T566" s="115" t="n"/>
      <c r="U566" s="116" t="n"/>
      <c r="V566" s="116" t="n"/>
      <c r="W566" s="117" t="n"/>
      <c r="X566" s="118" t="n"/>
      <c r="Y566" s="119" t="n"/>
      <c r="Z566" s="120" t="n"/>
      <c r="AA566" s="121" t="n"/>
      <c r="AB566" s="122" t="n"/>
      <c r="AC566" s="117" t="n"/>
      <c r="AD566" s="123">
        <f>IF(SUM($AE566:$AH566)=0,"",SUM($AE566:$AH566))</f>
        <v/>
      </c>
      <c r="AE566" s="123">
        <f>iferror(IF(SUM($AI566:$AZ566)=0,"",SUM($AI566:$AZ566)),"")</f>
        <v/>
      </c>
      <c r="AF566" s="123">
        <f>iferror(IF(SUM($BA566:$BC566)=0,"",SUM($BA566:$BC566)),"")</f>
        <v/>
      </c>
      <c r="AG566" s="123">
        <f>iferror(IF(SUM($BD566:$BF566)=0,"",SUM($BD566:$BF566)),"")</f>
        <v/>
      </c>
      <c r="AH566" s="124">
        <f>iferror(IF(SUM($BG566:$BI566)=0,"",SUM($BG566:$BI566)),"")</f>
        <v/>
      </c>
      <c r="AI566" s="131" t="n"/>
      <c r="AJ566" s="132" t="n"/>
      <c r="AK566" s="132" t="n"/>
      <c r="AL566" s="132" t="n"/>
      <c r="AM566" s="132" t="n"/>
      <c r="AN566" s="132" t="n"/>
      <c r="AO566" s="132" t="n"/>
      <c r="AP566" s="132" t="n"/>
      <c r="AQ566" s="132" t="n"/>
      <c r="AR566" s="132" t="n"/>
      <c r="AS566" s="132" t="n"/>
      <c r="AT566" s="132" t="n"/>
      <c r="AU566" s="132" t="n"/>
      <c r="AV566" s="132" t="n"/>
      <c r="AW566" s="132" t="n"/>
      <c r="AX566" s="132" t="n"/>
      <c r="AY566" s="132" t="n"/>
      <c r="AZ566" s="133" t="n"/>
      <c r="BA566" s="131" t="n"/>
      <c r="BB566" s="132" t="n"/>
      <c r="BC566" s="133" t="n"/>
      <c r="BD566" s="131" t="n"/>
      <c r="BE566" s="132" t="n"/>
      <c r="BF566" s="133" t="n"/>
      <c r="BG566" s="131" t="n"/>
      <c r="BH566" s="132" t="n"/>
      <c r="BI566" s="132" t="n"/>
      <c r="BJ566" s="128">
        <f>iferror(SUM($BK566,($BL566*1.2),($BM566*1.35),($BN566*0.74)),)</f>
        <v/>
      </c>
      <c r="BK566" s="128">
        <f>IFERROR(SUM($BT566:$CK566),)</f>
        <v/>
      </c>
      <c r="BL566" s="129">
        <f>IFERROR(SUM($CL566:$CN566),)</f>
        <v/>
      </c>
      <c r="BM566" s="130">
        <f>IFERROR(SUM($CO566:$CQ566),)</f>
        <v/>
      </c>
      <c r="BN566" s="128">
        <f>IFERROR(SUM($CR566:$CT566),)</f>
        <v/>
      </c>
      <c r="BO566" s="128">
        <f>iferror(SUM($BP566,($BQ566*1.2),($BR566*1.35),($BS566*0.74)),)</f>
        <v/>
      </c>
      <c r="BP566" s="128">
        <f>IFERROR(SUM($CU566:$DL566),)</f>
        <v/>
      </c>
      <c r="BQ566" s="128">
        <f>IFERROR(SUM($DM566:$DO566),)</f>
        <v/>
      </c>
      <c r="BR566" s="128">
        <f>IFERROR(SUM($DP566:$DR566),)</f>
        <v/>
      </c>
      <c r="BS566" s="128">
        <f>IFERROR(SUM($DS566:$DU566),)</f>
        <v/>
      </c>
      <c r="BT566" s="128">
        <f>IFERROR(AI566*$W566,)</f>
        <v/>
      </c>
      <c r="BU566" s="128">
        <f>IFERROR(AJ566*$W566,)</f>
        <v/>
      </c>
      <c r="BV566" s="128">
        <f>IFERROR(AK566*$W566,)</f>
        <v/>
      </c>
      <c r="BW566" s="128">
        <f>IFERROR(AL566*$W566,)</f>
        <v/>
      </c>
      <c r="BX566" s="128">
        <f>IFERROR(AM566*$W566,)</f>
        <v/>
      </c>
      <c r="BY566" s="128">
        <f>IFERROR(AN566*$W566,)</f>
        <v/>
      </c>
      <c r="BZ566" s="128">
        <f>IFERROR(AO566*$W566,)</f>
        <v/>
      </c>
      <c r="CA566" s="128">
        <f>IFERROR(AP566*$W566,)</f>
        <v/>
      </c>
      <c r="CB566" s="128">
        <f>IFERROR(AQ566*$W566,)</f>
        <v/>
      </c>
      <c r="CC566" s="128">
        <f>IFERROR(AR566*$W566,)</f>
        <v/>
      </c>
      <c r="CD566" s="128">
        <f>IFERROR(AS566*$W566,)</f>
        <v/>
      </c>
      <c r="CE566" s="128">
        <f>IFERROR(AT566*$W566,)</f>
        <v/>
      </c>
      <c r="CF566" s="128">
        <f>IFERROR(AU566*$W566,)</f>
        <v/>
      </c>
      <c r="CG566" s="128">
        <f>IFERROR(AV566*$W566,)</f>
        <v/>
      </c>
      <c r="CH566" s="128">
        <f>IFERROR(AW566*$W566,)</f>
        <v/>
      </c>
      <c r="CI566" s="128">
        <f>IFERROR(AX566*$W566,)</f>
        <v/>
      </c>
      <c r="CJ566" s="128">
        <f>IFERROR(AY566*$W566,)</f>
        <v/>
      </c>
      <c r="CK566" s="128">
        <f>IFERROR(AZ566*$W566,)</f>
        <v/>
      </c>
      <c r="CL566" s="129">
        <f>IFERROR(if($Y566=0,BA566*($W566/1.2),BA566*$Y566),"")</f>
        <v/>
      </c>
      <c r="CM566" s="129">
        <f>IFERROR(if($Y566=0,BB566*($W566/1.2),BB566*$Y566),"")</f>
        <v/>
      </c>
      <c r="CN566" s="129">
        <f>IFERROR(if($Y566=0,BC566*($W566/1.2),BC566*$Y566),"")</f>
        <v/>
      </c>
      <c r="CO566" s="130">
        <f>IFERROR(if($AA566=0,($W566/1.35)*BD566,BD566*$AA566),)</f>
        <v/>
      </c>
      <c r="CP566" s="130">
        <f>IFERROR(if($AA566=0,($W566/1.35)*BE566,BE566*$AA566),)</f>
        <v/>
      </c>
      <c r="CQ566" s="130">
        <f>IFERROR(if($AA566=0,($W566/1.35)*BF566,BF566*$AA566),)</f>
        <v/>
      </c>
      <c r="CR566" s="128">
        <f>IFERROR(if($AC566=0,($W566/0.74)*BG566,
BG566*$AC566),)</f>
        <v/>
      </c>
      <c r="CS566" s="128">
        <f>IFERROR(if($AC566=0,($W566/0.74)*BH566,
BH566*$AC566),)</f>
        <v/>
      </c>
      <c r="CT566" s="128">
        <f>IFERROR(if($AC566=0,($W566/0.74)*BI566,
BI566*$AC566),)</f>
        <v/>
      </c>
      <c r="CU566" s="128">
        <f>IFERROR(AI566*$V566,)</f>
        <v/>
      </c>
      <c r="CV566" s="128">
        <f>IFERROR(AJ566*$V566,)</f>
        <v/>
      </c>
      <c r="CW566" s="128">
        <f>IFERROR(AK566*$V566,)</f>
        <v/>
      </c>
      <c r="CX566" s="128">
        <f>IFERROR(AL566*$V566,)</f>
        <v/>
      </c>
      <c r="CY566" s="128">
        <f>IFERROR(AM566*$V566,)</f>
        <v/>
      </c>
      <c r="CZ566" s="128">
        <f>IFERROR(AN566*$V566,)</f>
        <v/>
      </c>
      <c r="DA566" s="128">
        <f>IFERROR(AO566*$V566,)</f>
        <v/>
      </c>
      <c r="DB566" s="128">
        <f>IFERROR(AP566*$V566,)</f>
        <v/>
      </c>
      <c r="DC566" s="128">
        <f>IFERROR(AQ566*$V566,)</f>
        <v/>
      </c>
      <c r="DD566" s="128">
        <f>IFERROR(AR566*$V566,)</f>
        <v/>
      </c>
      <c r="DE566" s="128">
        <f>IFERROR(AS566*$V566,)</f>
        <v/>
      </c>
      <c r="DF566" s="128">
        <f>IFERROR(AT566*$V566,)</f>
        <v/>
      </c>
      <c r="DG566" s="128">
        <f>IFERROR(AU566*$V566,)</f>
        <v/>
      </c>
      <c r="DH566" s="128">
        <f>IFERROR(AV566*$V566,)</f>
        <v/>
      </c>
      <c r="DI566" s="128">
        <f>IFERROR(AW566*$V566,)</f>
        <v/>
      </c>
      <c r="DJ566" s="128">
        <f>IFERROR(AX566*$V566,)</f>
        <v/>
      </c>
      <c r="DK566" s="128">
        <f>IFERROR(AY566*$V566,)</f>
        <v/>
      </c>
      <c r="DL566" s="128">
        <f>IFERROR(AZ566*$V566,)</f>
        <v/>
      </c>
      <c r="DM566" s="129">
        <f>IFERROR(if($X566=0,($V566/1.2)*BA566,
BA566*$X566),)</f>
        <v/>
      </c>
      <c r="DN566" s="129">
        <f>IFERROR(if($X566=0,($V566/1.2)*BB566,
BB566*$X566),)</f>
        <v/>
      </c>
      <c r="DO566" s="129">
        <f>IFERROR(if($X566=0,($V566/1.2)*BC566,
BC566*$X566),)</f>
        <v/>
      </c>
      <c r="DP566" s="130">
        <f>IFERROR(if($Z566=0,($V566/1.35)*BD566,
BD566*$Z566),)</f>
        <v/>
      </c>
      <c r="DQ566" s="130">
        <f>IFERROR(if($Z566=0,($V566/1.35)*BE566,
BE566*$Z566),)</f>
        <v/>
      </c>
      <c r="DR566" s="130">
        <f>IFERROR(if($Z566=0,($V566/1.35)*BF566,
BF566*$Z566),)</f>
        <v/>
      </c>
      <c r="DS566" s="128">
        <f>IFERROR(IF($AB566=0,($V566/0.74)*BG566,
BG566*$AB566),)</f>
        <v/>
      </c>
      <c r="DT566" s="128">
        <f>IFERROR(IF($AB566=0,($V566/0.74)*BH566,
BH566*$AB566),)</f>
        <v/>
      </c>
      <c r="DU566" s="128">
        <f>IFERROR(IF($AB566=0,($V566/0.74)*BI566,
BI566*$AB566),)</f>
        <v/>
      </c>
    </row>
    <row r="567" ht="131.25" customHeight="1" s="162">
      <c r="A567" s="115" t="n"/>
      <c r="B567" s="115" t="n"/>
      <c r="C567" s="115" t="n"/>
      <c r="D567" s="115" t="n"/>
      <c r="E567" s="115" t="n"/>
      <c r="F567" s="115" t="n"/>
      <c r="G567" s="115" t="n"/>
      <c r="H567" s="115" t="n"/>
      <c r="I567" s="115" t="n"/>
      <c r="J567" s="115" t="n"/>
      <c r="K567" s="115" t="n"/>
      <c r="L567" s="115" t="n"/>
      <c r="M567" s="115" t="n"/>
      <c r="N567" s="115" t="n"/>
      <c r="O567" s="115" t="n"/>
      <c r="P567" s="115" t="n"/>
      <c r="Q567" s="115" t="n"/>
      <c r="R567" s="115" t="n"/>
      <c r="S567" s="115" t="n"/>
      <c r="T567" s="115" t="n"/>
      <c r="U567" s="116" t="n"/>
      <c r="V567" s="116" t="n"/>
      <c r="W567" s="117" t="n"/>
      <c r="X567" s="118" t="n"/>
      <c r="Y567" s="119" t="n"/>
      <c r="Z567" s="120" t="n"/>
      <c r="AA567" s="121" t="n"/>
      <c r="AB567" s="122" t="n"/>
      <c r="AC567" s="117" t="n"/>
      <c r="AD567" s="123">
        <f>IF(SUM($AE567:$AH567)=0,"",SUM($AE567:$AH567))</f>
        <v/>
      </c>
      <c r="AE567" s="123">
        <f>iferror(IF(SUM($AI567:$AZ567)=0,"",SUM($AI567:$AZ567)),"")</f>
        <v/>
      </c>
      <c r="AF567" s="123">
        <f>iferror(IF(SUM($BA567:$BC567)=0,"",SUM($BA567:$BC567)),"")</f>
        <v/>
      </c>
      <c r="AG567" s="123">
        <f>iferror(IF(SUM($BD567:$BF567)=0,"",SUM($BD567:$BF567)),"")</f>
        <v/>
      </c>
      <c r="AH567" s="124">
        <f>iferror(IF(SUM($BG567:$BI567)=0,"",SUM($BG567:$BI567)),"")</f>
        <v/>
      </c>
      <c r="AI567" s="131" t="n"/>
      <c r="AJ567" s="132" t="n"/>
      <c r="AK567" s="132" t="n"/>
      <c r="AL567" s="132" t="n"/>
      <c r="AM567" s="132" t="n"/>
      <c r="AN567" s="132" t="n"/>
      <c r="AO567" s="132" t="n"/>
      <c r="AP567" s="132" t="n"/>
      <c r="AQ567" s="132" t="n"/>
      <c r="AR567" s="132" t="n"/>
      <c r="AS567" s="132" t="n"/>
      <c r="AT567" s="132" t="n"/>
      <c r="AU567" s="132" t="n"/>
      <c r="AV567" s="132" t="n"/>
      <c r="AW567" s="132" t="n"/>
      <c r="AX567" s="132" t="n"/>
      <c r="AY567" s="132" t="n"/>
      <c r="AZ567" s="133" t="n"/>
      <c r="BA567" s="131" t="n"/>
      <c r="BB567" s="132" t="n"/>
      <c r="BC567" s="133" t="n"/>
      <c r="BD567" s="131" t="n"/>
      <c r="BE567" s="132" t="n"/>
      <c r="BF567" s="133" t="n"/>
      <c r="BG567" s="131" t="n"/>
      <c r="BH567" s="132" t="n"/>
      <c r="BI567" s="132" t="n"/>
      <c r="BJ567" s="128">
        <f>iferror(SUM($BK567,($BL567*1.2),($BM567*1.35),($BN567*0.74)),)</f>
        <v/>
      </c>
      <c r="BK567" s="128">
        <f>IFERROR(SUM($BT567:$CK567),)</f>
        <v/>
      </c>
      <c r="BL567" s="129">
        <f>IFERROR(SUM($CL567:$CN567),)</f>
        <v/>
      </c>
      <c r="BM567" s="130">
        <f>IFERROR(SUM($CO567:$CQ567),)</f>
        <v/>
      </c>
      <c r="BN567" s="128">
        <f>IFERROR(SUM($CR567:$CT567),)</f>
        <v/>
      </c>
      <c r="BO567" s="128">
        <f>iferror(SUM($BP567,($BQ567*1.2),($BR567*1.35),($BS567*0.74)),)</f>
        <v/>
      </c>
      <c r="BP567" s="128">
        <f>IFERROR(SUM($CU567:$DL567),)</f>
        <v/>
      </c>
      <c r="BQ567" s="128">
        <f>IFERROR(SUM($DM567:$DO567),)</f>
        <v/>
      </c>
      <c r="BR567" s="128">
        <f>IFERROR(SUM($DP567:$DR567),)</f>
        <v/>
      </c>
      <c r="BS567" s="128">
        <f>IFERROR(SUM($DS567:$DU567),)</f>
        <v/>
      </c>
      <c r="BT567" s="128">
        <f>IFERROR(AI567*$W567,)</f>
        <v/>
      </c>
      <c r="BU567" s="128">
        <f>IFERROR(AJ567*$W567,)</f>
        <v/>
      </c>
      <c r="BV567" s="128">
        <f>IFERROR(AK567*$W567,)</f>
        <v/>
      </c>
      <c r="BW567" s="128">
        <f>IFERROR(AL567*$W567,)</f>
        <v/>
      </c>
      <c r="BX567" s="128">
        <f>IFERROR(AM567*$W567,)</f>
        <v/>
      </c>
      <c r="BY567" s="128">
        <f>IFERROR(AN567*$W567,)</f>
        <v/>
      </c>
      <c r="BZ567" s="128">
        <f>IFERROR(AO567*$W567,)</f>
        <v/>
      </c>
      <c r="CA567" s="128">
        <f>IFERROR(AP567*$W567,)</f>
        <v/>
      </c>
      <c r="CB567" s="128">
        <f>IFERROR(AQ567*$W567,)</f>
        <v/>
      </c>
      <c r="CC567" s="128">
        <f>IFERROR(AR567*$W567,)</f>
        <v/>
      </c>
      <c r="CD567" s="128">
        <f>IFERROR(AS567*$W567,)</f>
        <v/>
      </c>
      <c r="CE567" s="128">
        <f>IFERROR(AT567*$W567,)</f>
        <v/>
      </c>
      <c r="CF567" s="128">
        <f>IFERROR(AU567*$W567,)</f>
        <v/>
      </c>
      <c r="CG567" s="128">
        <f>IFERROR(AV567*$W567,)</f>
        <v/>
      </c>
      <c r="CH567" s="128">
        <f>IFERROR(AW567*$W567,)</f>
        <v/>
      </c>
      <c r="CI567" s="128">
        <f>IFERROR(AX567*$W567,)</f>
        <v/>
      </c>
      <c r="CJ567" s="128">
        <f>IFERROR(AY567*$W567,)</f>
        <v/>
      </c>
      <c r="CK567" s="128">
        <f>IFERROR(AZ567*$W567,)</f>
        <v/>
      </c>
      <c r="CL567" s="129">
        <f>IFERROR(if($Y567=0,BA567*($W567/1.2),BA567*$Y567),"")</f>
        <v/>
      </c>
      <c r="CM567" s="129">
        <f>IFERROR(if($Y567=0,BB567*($W567/1.2),BB567*$Y567),"")</f>
        <v/>
      </c>
      <c r="CN567" s="129">
        <f>IFERROR(if($Y567=0,BC567*($W567/1.2),BC567*$Y567),"")</f>
        <v/>
      </c>
      <c r="CO567" s="130">
        <f>IFERROR(if($AA567=0,($W567/1.35)*BD567,BD567*$AA567),)</f>
        <v/>
      </c>
      <c r="CP567" s="130">
        <f>IFERROR(if($AA567=0,($W567/1.35)*BE567,BE567*$AA567),)</f>
        <v/>
      </c>
      <c r="CQ567" s="130">
        <f>IFERROR(if($AA567=0,($W567/1.35)*BF567,BF567*$AA567),)</f>
        <v/>
      </c>
      <c r="CR567" s="128">
        <f>IFERROR(if($AC567=0,($W567/0.74)*BG567,
BG567*$AC567),)</f>
        <v/>
      </c>
      <c r="CS567" s="128">
        <f>IFERROR(if($AC567=0,($W567/0.74)*BH567,
BH567*$AC567),)</f>
        <v/>
      </c>
      <c r="CT567" s="128">
        <f>IFERROR(if($AC567=0,($W567/0.74)*BI567,
BI567*$AC567),)</f>
        <v/>
      </c>
      <c r="CU567" s="128">
        <f>IFERROR(AI567*$V567,)</f>
        <v/>
      </c>
      <c r="CV567" s="128">
        <f>IFERROR(AJ567*$V567,)</f>
        <v/>
      </c>
      <c r="CW567" s="128">
        <f>IFERROR(AK567*$V567,)</f>
        <v/>
      </c>
      <c r="CX567" s="128">
        <f>IFERROR(AL567*$V567,)</f>
        <v/>
      </c>
      <c r="CY567" s="128">
        <f>IFERROR(AM567*$V567,)</f>
        <v/>
      </c>
      <c r="CZ567" s="128">
        <f>IFERROR(AN567*$V567,)</f>
        <v/>
      </c>
      <c r="DA567" s="128">
        <f>IFERROR(AO567*$V567,)</f>
        <v/>
      </c>
      <c r="DB567" s="128">
        <f>IFERROR(AP567*$V567,)</f>
        <v/>
      </c>
      <c r="DC567" s="128">
        <f>IFERROR(AQ567*$V567,)</f>
        <v/>
      </c>
      <c r="DD567" s="128">
        <f>IFERROR(AR567*$V567,)</f>
        <v/>
      </c>
      <c r="DE567" s="128">
        <f>IFERROR(AS567*$V567,)</f>
        <v/>
      </c>
      <c r="DF567" s="128">
        <f>IFERROR(AT567*$V567,)</f>
        <v/>
      </c>
      <c r="DG567" s="128">
        <f>IFERROR(AU567*$V567,)</f>
        <v/>
      </c>
      <c r="DH567" s="128">
        <f>IFERROR(AV567*$V567,)</f>
        <v/>
      </c>
      <c r="DI567" s="128">
        <f>IFERROR(AW567*$V567,)</f>
        <v/>
      </c>
      <c r="DJ567" s="128">
        <f>IFERROR(AX567*$V567,)</f>
        <v/>
      </c>
      <c r="DK567" s="128">
        <f>IFERROR(AY567*$V567,)</f>
        <v/>
      </c>
      <c r="DL567" s="128">
        <f>IFERROR(AZ567*$V567,)</f>
        <v/>
      </c>
      <c r="DM567" s="129">
        <f>IFERROR(if($X567=0,($V567/1.2)*BA567,
BA567*$X567),)</f>
        <v/>
      </c>
      <c r="DN567" s="129">
        <f>IFERROR(if($X567=0,($V567/1.2)*BB567,
BB567*$X567),)</f>
        <v/>
      </c>
      <c r="DO567" s="129">
        <f>IFERROR(if($X567=0,($V567/1.2)*BC567,
BC567*$X567),)</f>
        <v/>
      </c>
      <c r="DP567" s="130">
        <f>IFERROR(if($Z567=0,($V567/1.35)*BD567,
BD567*$Z567),)</f>
        <v/>
      </c>
      <c r="DQ567" s="130">
        <f>IFERROR(if($Z567=0,($V567/1.35)*BE567,
BE567*$Z567),)</f>
        <v/>
      </c>
      <c r="DR567" s="130">
        <f>IFERROR(if($Z567=0,($V567/1.35)*BF567,
BF567*$Z567),)</f>
        <v/>
      </c>
      <c r="DS567" s="128">
        <f>IFERROR(IF($AB567=0,($V567/0.74)*BG567,
BG567*$AB567),)</f>
        <v/>
      </c>
      <c r="DT567" s="128">
        <f>IFERROR(IF($AB567=0,($V567/0.74)*BH567,
BH567*$AB567),)</f>
        <v/>
      </c>
      <c r="DU567" s="128">
        <f>IFERROR(IF($AB567=0,($V567/0.74)*BI567,
BI567*$AB567),)</f>
        <v/>
      </c>
    </row>
    <row r="568" ht="131.25" customHeight="1" s="162">
      <c r="A568" s="115" t="n"/>
      <c r="B568" s="115" t="n"/>
      <c r="C568" s="115" t="n"/>
      <c r="D568" s="115" t="n"/>
      <c r="E568" s="115" t="n"/>
      <c r="F568" s="115" t="n"/>
      <c r="G568" s="115" t="n"/>
      <c r="H568" s="115" t="n"/>
      <c r="I568" s="115" t="n"/>
      <c r="J568" s="115" t="n"/>
      <c r="K568" s="115" t="n"/>
      <c r="L568" s="115" t="n"/>
      <c r="M568" s="115" t="n"/>
      <c r="N568" s="115" t="n"/>
      <c r="O568" s="115" t="n"/>
      <c r="P568" s="115" t="n"/>
      <c r="Q568" s="115" t="n"/>
      <c r="R568" s="115" t="n"/>
      <c r="S568" s="115" t="n"/>
      <c r="T568" s="115" t="n"/>
      <c r="U568" s="116" t="n"/>
      <c r="V568" s="116" t="n"/>
      <c r="W568" s="117" t="n"/>
      <c r="X568" s="118" t="n"/>
      <c r="Y568" s="119" t="n"/>
      <c r="Z568" s="120" t="n"/>
      <c r="AA568" s="121" t="n"/>
      <c r="AB568" s="122" t="n"/>
      <c r="AC568" s="117" t="n"/>
      <c r="AD568" s="123">
        <f>IF(SUM($AE568:$AH568)=0,"",SUM($AE568:$AH568))</f>
        <v/>
      </c>
      <c r="AE568" s="123">
        <f>iferror(IF(SUM($AI568:$AZ568)=0,"",SUM($AI568:$AZ568)),"")</f>
        <v/>
      </c>
      <c r="AF568" s="123">
        <f>iferror(IF(SUM($BA568:$BC568)=0,"",SUM($BA568:$BC568)),"")</f>
        <v/>
      </c>
      <c r="AG568" s="123">
        <f>iferror(IF(SUM($BD568:$BF568)=0,"",SUM($BD568:$BF568)),"")</f>
        <v/>
      </c>
      <c r="AH568" s="124">
        <f>iferror(IF(SUM($BG568:$BI568)=0,"",SUM($BG568:$BI568)),"")</f>
        <v/>
      </c>
      <c r="AI568" s="131" t="n"/>
      <c r="AJ568" s="132" t="n"/>
      <c r="AK568" s="132" t="n"/>
      <c r="AL568" s="132" t="n"/>
      <c r="AM568" s="132" t="n"/>
      <c r="AN568" s="132" t="n"/>
      <c r="AO568" s="132" t="n"/>
      <c r="AP568" s="132" t="n"/>
      <c r="AQ568" s="132" t="n"/>
      <c r="AR568" s="132" t="n"/>
      <c r="AS568" s="132" t="n"/>
      <c r="AT568" s="132" t="n"/>
      <c r="AU568" s="132" t="n"/>
      <c r="AV568" s="132" t="n"/>
      <c r="AW568" s="132" t="n"/>
      <c r="AX568" s="132" t="n"/>
      <c r="AY568" s="132" t="n"/>
      <c r="AZ568" s="133" t="n"/>
      <c r="BA568" s="131" t="n"/>
      <c r="BB568" s="132" t="n"/>
      <c r="BC568" s="133" t="n"/>
      <c r="BD568" s="131" t="n"/>
      <c r="BE568" s="132" t="n"/>
      <c r="BF568" s="133" t="n"/>
      <c r="BG568" s="131" t="n"/>
      <c r="BH568" s="132" t="n"/>
      <c r="BI568" s="132" t="n"/>
      <c r="BJ568" s="128">
        <f>iferror(SUM($BK568,($BL568*1.2),($BM568*1.35),($BN568*0.74)),)</f>
        <v/>
      </c>
      <c r="BK568" s="128">
        <f>IFERROR(SUM($BT568:$CK568),)</f>
        <v/>
      </c>
      <c r="BL568" s="129">
        <f>IFERROR(SUM($CL568:$CN568),)</f>
        <v/>
      </c>
      <c r="BM568" s="130">
        <f>IFERROR(SUM($CO568:$CQ568),)</f>
        <v/>
      </c>
      <c r="BN568" s="128">
        <f>IFERROR(SUM($CR568:$CT568),)</f>
        <v/>
      </c>
      <c r="BO568" s="128">
        <f>iferror(SUM($BP568,($BQ568*1.2),($BR568*1.35),($BS568*0.74)),)</f>
        <v/>
      </c>
      <c r="BP568" s="128">
        <f>IFERROR(SUM($CU568:$DL568),)</f>
        <v/>
      </c>
      <c r="BQ568" s="128">
        <f>IFERROR(SUM($DM568:$DO568),)</f>
        <v/>
      </c>
      <c r="BR568" s="128">
        <f>IFERROR(SUM($DP568:$DR568),)</f>
        <v/>
      </c>
      <c r="BS568" s="128">
        <f>IFERROR(SUM($DS568:$DU568),)</f>
        <v/>
      </c>
      <c r="BT568" s="128">
        <f>IFERROR(AI568*$W568,)</f>
        <v/>
      </c>
      <c r="BU568" s="128">
        <f>IFERROR(AJ568*$W568,)</f>
        <v/>
      </c>
      <c r="BV568" s="128">
        <f>IFERROR(AK568*$W568,)</f>
        <v/>
      </c>
      <c r="BW568" s="128">
        <f>IFERROR(AL568*$W568,)</f>
        <v/>
      </c>
      <c r="BX568" s="128">
        <f>IFERROR(AM568*$W568,)</f>
        <v/>
      </c>
      <c r="BY568" s="128">
        <f>IFERROR(AN568*$W568,)</f>
        <v/>
      </c>
      <c r="BZ568" s="128">
        <f>IFERROR(AO568*$W568,)</f>
        <v/>
      </c>
      <c r="CA568" s="128">
        <f>IFERROR(AP568*$W568,)</f>
        <v/>
      </c>
      <c r="CB568" s="128">
        <f>IFERROR(AQ568*$W568,)</f>
        <v/>
      </c>
      <c r="CC568" s="128">
        <f>IFERROR(AR568*$W568,)</f>
        <v/>
      </c>
      <c r="CD568" s="128">
        <f>IFERROR(AS568*$W568,)</f>
        <v/>
      </c>
      <c r="CE568" s="128">
        <f>IFERROR(AT568*$W568,)</f>
        <v/>
      </c>
      <c r="CF568" s="128">
        <f>IFERROR(AU568*$W568,)</f>
        <v/>
      </c>
      <c r="CG568" s="128">
        <f>IFERROR(AV568*$W568,)</f>
        <v/>
      </c>
      <c r="CH568" s="128">
        <f>IFERROR(AW568*$W568,)</f>
        <v/>
      </c>
      <c r="CI568" s="128">
        <f>IFERROR(AX568*$W568,)</f>
        <v/>
      </c>
      <c r="CJ568" s="128">
        <f>IFERROR(AY568*$W568,)</f>
        <v/>
      </c>
      <c r="CK568" s="128">
        <f>IFERROR(AZ568*$W568,)</f>
        <v/>
      </c>
      <c r="CL568" s="129">
        <f>IFERROR(if($Y568=0,BA568*($W568/1.2),BA568*$Y568),"")</f>
        <v/>
      </c>
      <c r="CM568" s="129">
        <f>IFERROR(if($Y568=0,BB568*($W568/1.2),BB568*$Y568),"")</f>
        <v/>
      </c>
      <c r="CN568" s="129">
        <f>IFERROR(if($Y568=0,BC568*($W568/1.2),BC568*$Y568),"")</f>
        <v/>
      </c>
      <c r="CO568" s="130">
        <f>IFERROR(if($AA568=0,($W568/1.35)*BD568,BD568*$AA568),)</f>
        <v/>
      </c>
      <c r="CP568" s="130">
        <f>IFERROR(if($AA568=0,($W568/1.35)*BE568,BE568*$AA568),)</f>
        <v/>
      </c>
      <c r="CQ568" s="130">
        <f>IFERROR(if($AA568=0,($W568/1.35)*BF568,BF568*$AA568),)</f>
        <v/>
      </c>
      <c r="CR568" s="128">
        <f>IFERROR(if($AC568=0,($W568/0.74)*BG568,
BG568*$AC568),)</f>
        <v/>
      </c>
      <c r="CS568" s="128">
        <f>IFERROR(if($AC568=0,($W568/0.74)*BH568,
BH568*$AC568),)</f>
        <v/>
      </c>
      <c r="CT568" s="128">
        <f>IFERROR(if($AC568=0,($W568/0.74)*BI568,
BI568*$AC568),)</f>
        <v/>
      </c>
      <c r="CU568" s="128">
        <f>IFERROR(AI568*$V568,)</f>
        <v/>
      </c>
      <c r="CV568" s="128">
        <f>IFERROR(AJ568*$V568,)</f>
        <v/>
      </c>
      <c r="CW568" s="128">
        <f>IFERROR(AK568*$V568,)</f>
        <v/>
      </c>
      <c r="CX568" s="128">
        <f>IFERROR(AL568*$V568,)</f>
        <v/>
      </c>
      <c r="CY568" s="128">
        <f>IFERROR(AM568*$V568,)</f>
        <v/>
      </c>
      <c r="CZ568" s="128">
        <f>IFERROR(AN568*$V568,)</f>
        <v/>
      </c>
      <c r="DA568" s="128">
        <f>IFERROR(AO568*$V568,)</f>
        <v/>
      </c>
      <c r="DB568" s="128">
        <f>IFERROR(AP568*$V568,)</f>
        <v/>
      </c>
      <c r="DC568" s="128">
        <f>IFERROR(AQ568*$V568,)</f>
        <v/>
      </c>
      <c r="DD568" s="128">
        <f>IFERROR(AR568*$V568,)</f>
        <v/>
      </c>
      <c r="DE568" s="128">
        <f>IFERROR(AS568*$V568,)</f>
        <v/>
      </c>
      <c r="DF568" s="128">
        <f>IFERROR(AT568*$V568,)</f>
        <v/>
      </c>
      <c r="DG568" s="128">
        <f>IFERROR(AU568*$V568,)</f>
        <v/>
      </c>
      <c r="DH568" s="128">
        <f>IFERROR(AV568*$V568,)</f>
        <v/>
      </c>
      <c r="DI568" s="128">
        <f>IFERROR(AW568*$V568,)</f>
        <v/>
      </c>
      <c r="DJ568" s="128">
        <f>IFERROR(AX568*$V568,)</f>
        <v/>
      </c>
      <c r="DK568" s="128">
        <f>IFERROR(AY568*$V568,)</f>
        <v/>
      </c>
      <c r="DL568" s="128">
        <f>IFERROR(AZ568*$V568,)</f>
        <v/>
      </c>
      <c r="DM568" s="129">
        <f>IFERROR(if($X568=0,($V568/1.2)*BA568,
BA568*$X568),)</f>
        <v/>
      </c>
      <c r="DN568" s="129">
        <f>IFERROR(if($X568=0,($V568/1.2)*BB568,
BB568*$X568),)</f>
        <v/>
      </c>
      <c r="DO568" s="129">
        <f>IFERROR(if($X568=0,($V568/1.2)*BC568,
BC568*$X568),)</f>
        <v/>
      </c>
      <c r="DP568" s="130">
        <f>IFERROR(if($Z568=0,($V568/1.35)*BD568,
BD568*$Z568),)</f>
        <v/>
      </c>
      <c r="DQ568" s="130">
        <f>IFERROR(if($Z568=0,($V568/1.35)*BE568,
BE568*$Z568),)</f>
        <v/>
      </c>
      <c r="DR568" s="130">
        <f>IFERROR(if($Z568=0,($V568/1.35)*BF568,
BF568*$Z568),)</f>
        <v/>
      </c>
      <c r="DS568" s="128">
        <f>IFERROR(IF($AB568=0,($V568/0.74)*BG568,
BG568*$AB568),)</f>
        <v/>
      </c>
      <c r="DT568" s="128">
        <f>IFERROR(IF($AB568=0,($V568/0.74)*BH568,
BH568*$AB568),)</f>
        <v/>
      </c>
      <c r="DU568" s="128">
        <f>IFERROR(IF($AB568=0,($V568/0.74)*BI568,
BI568*$AB568),)</f>
        <v/>
      </c>
    </row>
    <row r="569" ht="131.25" customHeight="1" s="162">
      <c r="A569" s="115" t="n"/>
      <c r="B569" s="115" t="n"/>
      <c r="C569" s="115" t="n"/>
      <c r="D569" s="115" t="n"/>
      <c r="E569" s="115" t="n"/>
      <c r="F569" s="115" t="n"/>
      <c r="G569" s="115" t="n"/>
      <c r="H569" s="115" t="n"/>
      <c r="I569" s="115" t="n"/>
      <c r="J569" s="115" t="n"/>
      <c r="K569" s="115" t="n"/>
      <c r="L569" s="115" t="n"/>
      <c r="M569" s="115" t="n"/>
      <c r="N569" s="115" t="n"/>
      <c r="O569" s="115" t="n"/>
      <c r="P569" s="115" t="n"/>
      <c r="Q569" s="115" t="n"/>
      <c r="R569" s="115" t="n"/>
      <c r="S569" s="115" t="n"/>
      <c r="T569" s="115" t="n"/>
      <c r="U569" s="116" t="n"/>
      <c r="V569" s="116" t="n"/>
      <c r="W569" s="117" t="n"/>
      <c r="X569" s="118" t="n"/>
      <c r="Y569" s="119" t="n"/>
      <c r="Z569" s="120" t="n"/>
      <c r="AA569" s="121" t="n"/>
      <c r="AB569" s="122" t="n"/>
      <c r="AC569" s="117" t="n"/>
      <c r="AD569" s="123">
        <f>IF(SUM($AE569:$AH569)=0,"",SUM($AE569:$AH569))</f>
        <v/>
      </c>
      <c r="AE569" s="123">
        <f>iferror(IF(SUM($AI569:$AZ569)=0,"",SUM($AI569:$AZ569)),"")</f>
        <v/>
      </c>
      <c r="AF569" s="123">
        <f>iferror(IF(SUM($BA569:$BC569)=0,"",SUM($BA569:$BC569)),"")</f>
        <v/>
      </c>
      <c r="AG569" s="123">
        <f>iferror(IF(SUM($BD569:$BF569)=0,"",SUM($BD569:$BF569)),"")</f>
        <v/>
      </c>
      <c r="AH569" s="124">
        <f>iferror(IF(SUM($BG569:$BI569)=0,"",SUM($BG569:$BI569)),"")</f>
        <v/>
      </c>
      <c r="AI569" s="131" t="n"/>
      <c r="AJ569" s="132" t="n"/>
      <c r="AK569" s="132" t="n"/>
      <c r="AL569" s="132" t="n"/>
      <c r="AM569" s="132" t="n"/>
      <c r="AN569" s="132" t="n"/>
      <c r="AO569" s="132" t="n"/>
      <c r="AP569" s="132" t="n"/>
      <c r="AQ569" s="132" t="n"/>
      <c r="AR569" s="132" t="n"/>
      <c r="AS569" s="132" t="n"/>
      <c r="AT569" s="132" t="n"/>
      <c r="AU569" s="132" t="n"/>
      <c r="AV569" s="132" t="n"/>
      <c r="AW569" s="132" t="n"/>
      <c r="AX569" s="132" t="n"/>
      <c r="AY569" s="132" t="n"/>
      <c r="AZ569" s="133" t="n"/>
      <c r="BA569" s="131" t="n"/>
      <c r="BB569" s="132" t="n"/>
      <c r="BC569" s="133" t="n"/>
      <c r="BD569" s="131" t="n"/>
      <c r="BE569" s="132" t="n"/>
      <c r="BF569" s="133" t="n"/>
      <c r="BG569" s="131" t="n"/>
      <c r="BH569" s="132" t="n"/>
      <c r="BI569" s="132" t="n"/>
      <c r="BJ569" s="128">
        <f>iferror(SUM($BK569,($BL569*1.2),($BM569*1.35),($BN569*0.74)),)</f>
        <v/>
      </c>
      <c r="BK569" s="128">
        <f>IFERROR(SUM($BT569:$CK569),)</f>
        <v/>
      </c>
      <c r="BL569" s="129">
        <f>IFERROR(SUM($CL569:$CN569),)</f>
        <v/>
      </c>
      <c r="BM569" s="130">
        <f>IFERROR(SUM($CO569:$CQ569),)</f>
        <v/>
      </c>
      <c r="BN569" s="128">
        <f>IFERROR(SUM($CR569:$CT569),)</f>
        <v/>
      </c>
      <c r="BO569" s="128">
        <f>iferror(SUM($BP569,($BQ569*1.2),($BR569*1.35),($BS569*0.74)),)</f>
        <v/>
      </c>
      <c r="BP569" s="128">
        <f>IFERROR(SUM($CU569:$DL569),)</f>
        <v/>
      </c>
      <c r="BQ569" s="128">
        <f>IFERROR(SUM($DM569:$DO569),)</f>
        <v/>
      </c>
      <c r="BR569" s="128">
        <f>IFERROR(SUM($DP569:$DR569),)</f>
        <v/>
      </c>
      <c r="BS569" s="128">
        <f>IFERROR(SUM($DS569:$DU569),)</f>
        <v/>
      </c>
      <c r="BT569" s="128">
        <f>IFERROR(AI569*$W569,)</f>
        <v/>
      </c>
      <c r="BU569" s="128">
        <f>IFERROR(AJ569*$W569,)</f>
        <v/>
      </c>
      <c r="BV569" s="128">
        <f>IFERROR(AK569*$W569,)</f>
        <v/>
      </c>
      <c r="BW569" s="128">
        <f>IFERROR(AL569*$W569,)</f>
        <v/>
      </c>
      <c r="BX569" s="128">
        <f>IFERROR(AM569*$W569,)</f>
        <v/>
      </c>
      <c r="BY569" s="128">
        <f>IFERROR(AN569*$W569,)</f>
        <v/>
      </c>
      <c r="BZ569" s="128">
        <f>IFERROR(AO569*$W569,)</f>
        <v/>
      </c>
      <c r="CA569" s="128">
        <f>IFERROR(AP569*$W569,)</f>
        <v/>
      </c>
      <c r="CB569" s="128">
        <f>IFERROR(AQ569*$W569,)</f>
        <v/>
      </c>
      <c r="CC569" s="128">
        <f>IFERROR(AR569*$W569,)</f>
        <v/>
      </c>
      <c r="CD569" s="128">
        <f>IFERROR(AS569*$W569,)</f>
        <v/>
      </c>
      <c r="CE569" s="128">
        <f>IFERROR(AT569*$W569,)</f>
        <v/>
      </c>
      <c r="CF569" s="128">
        <f>IFERROR(AU569*$W569,)</f>
        <v/>
      </c>
      <c r="CG569" s="128">
        <f>IFERROR(AV569*$W569,)</f>
        <v/>
      </c>
      <c r="CH569" s="128">
        <f>IFERROR(AW569*$W569,)</f>
        <v/>
      </c>
      <c r="CI569" s="128">
        <f>IFERROR(AX569*$W569,)</f>
        <v/>
      </c>
      <c r="CJ569" s="128">
        <f>IFERROR(AY569*$W569,)</f>
        <v/>
      </c>
      <c r="CK569" s="128">
        <f>IFERROR(AZ569*$W569,)</f>
        <v/>
      </c>
      <c r="CL569" s="129">
        <f>IFERROR(if($Y569=0,BA569*($W569/1.2),BA569*$Y569),"")</f>
        <v/>
      </c>
      <c r="CM569" s="129">
        <f>IFERROR(if($Y569=0,BB569*($W569/1.2),BB569*$Y569),"")</f>
        <v/>
      </c>
      <c r="CN569" s="129">
        <f>IFERROR(if($Y569=0,BC569*($W569/1.2),BC569*$Y569),"")</f>
        <v/>
      </c>
      <c r="CO569" s="130">
        <f>IFERROR(if($AA569=0,($W569/1.35)*BD569,BD569*$AA569),)</f>
        <v/>
      </c>
      <c r="CP569" s="130">
        <f>IFERROR(if($AA569=0,($W569/1.35)*BE569,BE569*$AA569),)</f>
        <v/>
      </c>
      <c r="CQ569" s="130">
        <f>IFERROR(if($AA569=0,($W569/1.35)*BF569,BF569*$AA569),)</f>
        <v/>
      </c>
      <c r="CR569" s="128">
        <f>IFERROR(if($AC569=0,($W569/0.74)*BG569,
BG569*$AC569),)</f>
        <v/>
      </c>
      <c r="CS569" s="128">
        <f>IFERROR(if($AC569=0,($W569/0.74)*BH569,
BH569*$AC569),)</f>
        <v/>
      </c>
      <c r="CT569" s="128">
        <f>IFERROR(if($AC569=0,($W569/0.74)*BI569,
BI569*$AC569),)</f>
        <v/>
      </c>
      <c r="CU569" s="128">
        <f>IFERROR(AI569*$V569,)</f>
        <v/>
      </c>
      <c r="CV569" s="128">
        <f>IFERROR(AJ569*$V569,)</f>
        <v/>
      </c>
      <c r="CW569" s="128">
        <f>IFERROR(AK569*$V569,)</f>
        <v/>
      </c>
      <c r="CX569" s="128">
        <f>IFERROR(AL569*$V569,)</f>
        <v/>
      </c>
      <c r="CY569" s="128">
        <f>IFERROR(AM569*$V569,)</f>
        <v/>
      </c>
      <c r="CZ569" s="128">
        <f>IFERROR(AN569*$V569,)</f>
        <v/>
      </c>
      <c r="DA569" s="128">
        <f>IFERROR(AO569*$V569,)</f>
        <v/>
      </c>
      <c r="DB569" s="128">
        <f>IFERROR(AP569*$V569,)</f>
        <v/>
      </c>
      <c r="DC569" s="128">
        <f>IFERROR(AQ569*$V569,)</f>
        <v/>
      </c>
      <c r="DD569" s="128">
        <f>IFERROR(AR569*$V569,)</f>
        <v/>
      </c>
      <c r="DE569" s="128">
        <f>IFERROR(AS569*$V569,)</f>
        <v/>
      </c>
      <c r="DF569" s="128">
        <f>IFERROR(AT569*$V569,)</f>
        <v/>
      </c>
      <c r="DG569" s="128">
        <f>IFERROR(AU569*$V569,)</f>
        <v/>
      </c>
      <c r="DH569" s="128">
        <f>IFERROR(AV569*$V569,)</f>
        <v/>
      </c>
      <c r="DI569" s="128">
        <f>IFERROR(AW569*$V569,)</f>
        <v/>
      </c>
      <c r="DJ569" s="128">
        <f>IFERROR(AX569*$V569,)</f>
        <v/>
      </c>
      <c r="DK569" s="128">
        <f>IFERROR(AY569*$V569,)</f>
        <v/>
      </c>
      <c r="DL569" s="128">
        <f>IFERROR(AZ569*$V569,)</f>
        <v/>
      </c>
      <c r="DM569" s="129">
        <f>IFERROR(if($X569=0,($V569/1.2)*BA569,
BA569*$X569),)</f>
        <v/>
      </c>
      <c r="DN569" s="129">
        <f>IFERROR(if($X569=0,($V569/1.2)*BB569,
BB569*$X569),)</f>
        <v/>
      </c>
      <c r="DO569" s="129">
        <f>IFERROR(if($X569=0,($V569/1.2)*BC569,
BC569*$X569),)</f>
        <v/>
      </c>
      <c r="DP569" s="130">
        <f>IFERROR(if($Z569=0,($V569/1.35)*BD569,
BD569*$Z569),)</f>
        <v/>
      </c>
      <c r="DQ569" s="130">
        <f>IFERROR(if($Z569=0,($V569/1.35)*BE569,
BE569*$Z569),)</f>
        <v/>
      </c>
      <c r="DR569" s="130">
        <f>IFERROR(if($Z569=0,($V569/1.35)*BF569,
BF569*$Z569),)</f>
        <v/>
      </c>
      <c r="DS569" s="128">
        <f>IFERROR(IF($AB569=0,($V569/0.74)*BG569,
BG569*$AB569),)</f>
        <v/>
      </c>
      <c r="DT569" s="128">
        <f>IFERROR(IF($AB569=0,($V569/0.74)*BH569,
BH569*$AB569),)</f>
        <v/>
      </c>
      <c r="DU569" s="128">
        <f>IFERROR(IF($AB569=0,($V569/0.74)*BI569,
BI569*$AB569),)</f>
        <v/>
      </c>
    </row>
    <row r="570" ht="131.25" customHeight="1" s="162">
      <c r="A570" s="115" t="n"/>
      <c r="B570" s="115" t="n"/>
      <c r="C570" s="115" t="n"/>
      <c r="D570" s="115" t="n"/>
      <c r="E570" s="115" t="n"/>
      <c r="F570" s="115" t="n"/>
      <c r="G570" s="115" t="n"/>
      <c r="H570" s="115" t="n"/>
      <c r="I570" s="115" t="n"/>
      <c r="J570" s="115" t="n"/>
      <c r="K570" s="115" t="n"/>
      <c r="L570" s="115" t="n"/>
      <c r="M570" s="115" t="n"/>
      <c r="N570" s="115" t="n"/>
      <c r="O570" s="115" t="n"/>
      <c r="P570" s="115" t="n"/>
      <c r="Q570" s="115" t="n"/>
      <c r="R570" s="115" t="n"/>
      <c r="S570" s="115" t="n"/>
      <c r="T570" s="115" t="n"/>
      <c r="U570" s="116" t="n"/>
      <c r="V570" s="116" t="n"/>
      <c r="W570" s="117" t="n"/>
      <c r="X570" s="118" t="n"/>
      <c r="Y570" s="119" t="n"/>
      <c r="Z570" s="120" t="n"/>
      <c r="AA570" s="121" t="n"/>
      <c r="AB570" s="122" t="n"/>
      <c r="AC570" s="117" t="n"/>
      <c r="AD570" s="123">
        <f>IF(SUM($AE570:$AH570)=0,"",SUM($AE570:$AH570))</f>
        <v/>
      </c>
      <c r="AE570" s="123">
        <f>iferror(IF(SUM($AI570:$AZ570)=0,"",SUM($AI570:$AZ570)),"")</f>
        <v/>
      </c>
      <c r="AF570" s="123">
        <f>iferror(IF(SUM($BA570:$BC570)=0,"",SUM($BA570:$BC570)),"")</f>
        <v/>
      </c>
      <c r="AG570" s="123">
        <f>iferror(IF(SUM($BD570:$BF570)=0,"",SUM($BD570:$BF570)),"")</f>
        <v/>
      </c>
      <c r="AH570" s="124">
        <f>iferror(IF(SUM($BG570:$BI570)=0,"",SUM($BG570:$BI570)),"")</f>
        <v/>
      </c>
      <c r="AI570" s="131" t="n"/>
      <c r="AJ570" s="132" t="n"/>
      <c r="AK570" s="132" t="n"/>
      <c r="AL570" s="132" t="n"/>
      <c r="AM570" s="132" t="n"/>
      <c r="AN570" s="132" t="n"/>
      <c r="AO570" s="132" t="n"/>
      <c r="AP570" s="132" t="n"/>
      <c r="AQ570" s="132" t="n"/>
      <c r="AR570" s="132" t="n"/>
      <c r="AS570" s="132" t="n"/>
      <c r="AT570" s="132" t="n"/>
      <c r="AU570" s="132" t="n"/>
      <c r="AV570" s="132" t="n"/>
      <c r="AW570" s="132" t="n"/>
      <c r="AX570" s="132" t="n"/>
      <c r="AY570" s="132" t="n"/>
      <c r="AZ570" s="133" t="n"/>
      <c r="BA570" s="131" t="n"/>
      <c r="BB570" s="132" t="n"/>
      <c r="BC570" s="133" t="n"/>
      <c r="BD570" s="131" t="n"/>
      <c r="BE570" s="132" t="n"/>
      <c r="BF570" s="133" t="n"/>
      <c r="BG570" s="131" t="n"/>
      <c r="BH570" s="132" t="n"/>
      <c r="BI570" s="132" t="n"/>
      <c r="BJ570" s="128">
        <f>iferror(SUM($BK570,($BL570*1.2),($BM570*1.35),($BN570*0.74)),)</f>
        <v/>
      </c>
      <c r="BK570" s="128">
        <f>IFERROR(SUM($BT570:$CK570),)</f>
        <v/>
      </c>
      <c r="BL570" s="129">
        <f>IFERROR(SUM($CL570:$CN570),)</f>
        <v/>
      </c>
      <c r="BM570" s="130">
        <f>IFERROR(SUM($CO570:$CQ570),)</f>
        <v/>
      </c>
      <c r="BN570" s="128">
        <f>IFERROR(SUM($CR570:$CT570),)</f>
        <v/>
      </c>
      <c r="BO570" s="128">
        <f>iferror(SUM($BP570,($BQ570*1.2),($BR570*1.35),($BS570*0.74)),)</f>
        <v/>
      </c>
      <c r="BP570" s="128">
        <f>IFERROR(SUM($CU570:$DL570),)</f>
        <v/>
      </c>
      <c r="BQ570" s="128">
        <f>IFERROR(SUM($DM570:$DO570),)</f>
        <v/>
      </c>
      <c r="BR570" s="128">
        <f>IFERROR(SUM($DP570:$DR570),)</f>
        <v/>
      </c>
      <c r="BS570" s="128">
        <f>IFERROR(SUM($DS570:$DU570),)</f>
        <v/>
      </c>
      <c r="BT570" s="128">
        <f>IFERROR(AI570*$W570,)</f>
        <v/>
      </c>
      <c r="BU570" s="128">
        <f>IFERROR(AJ570*$W570,)</f>
        <v/>
      </c>
      <c r="BV570" s="128">
        <f>IFERROR(AK570*$W570,)</f>
        <v/>
      </c>
      <c r="BW570" s="128">
        <f>IFERROR(AL570*$W570,)</f>
        <v/>
      </c>
      <c r="BX570" s="128">
        <f>IFERROR(AM570*$W570,)</f>
        <v/>
      </c>
      <c r="BY570" s="128">
        <f>IFERROR(AN570*$W570,)</f>
        <v/>
      </c>
      <c r="BZ570" s="128">
        <f>IFERROR(AO570*$W570,)</f>
        <v/>
      </c>
      <c r="CA570" s="128">
        <f>IFERROR(AP570*$W570,)</f>
        <v/>
      </c>
      <c r="CB570" s="128">
        <f>IFERROR(AQ570*$W570,)</f>
        <v/>
      </c>
      <c r="CC570" s="128">
        <f>IFERROR(AR570*$W570,)</f>
        <v/>
      </c>
      <c r="CD570" s="128">
        <f>IFERROR(AS570*$W570,)</f>
        <v/>
      </c>
      <c r="CE570" s="128">
        <f>IFERROR(AT570*$W570,)</f>
        <v/>
      </c>
      <c r="CF570" s="128">
        <f>IFERROR(AU570*$W570,)</f>
        <v/>
      </c>
      <c r="CG570" s="128">
        <f>IFERROR(AV570*$W570,)</f>
        <v/>
      </c>
      <c r="CH570" s="128">
        <f>IFERROR(AW570*$W570,)</f>
        <v/>
      </c>
      <c r="CI570" s="128">
        <f>IFERROR(AX570*$W570,)</f>
        <v/>
      </c>
      <c r="CJ570" s="128">
        <f>IFERROR(AY570*$W570,)</f>
        <v/>
      </c>
      <c r="CK570" s="128">
        <f>IFERROR(AZ570*$W570,)</f>
        <v/>
      </c>
      <c r="CL570" s="129">
        <f>IFERROR(if($Y570=0,BA570*($W570/1.2),BA570*$Y570),"")</f>
        <v/>
      </c>
      <c r="CM570" s="129">
        <f>IFERROR(if($Y570=0,BB570*($W570/1.2),BB570*$Y570),"")</f>
        <v/>
      </c>
      <c r="CN570" s="129">
        <f>IFERROR(if($Y570=0,BC570*($W570/1.2),BC570*$Y570),"")</f>
        <v/>
      </c>
      <c r="CO570" s="130">
        <f>IFERROR(if($AA570=0,($W570/1.35)*BD570,BD570*$AA570),)</f>
        <v/>
      </c>
      <c r="CP570" s="130">
        <f>IFERROR(if($AA570=0,($W570/1.35)*BE570,BE570*$AA570),)</f>
        <v/>
      </c>
      <c r="CQ570" s="130">
        <f>IFERROR(if($AA570=0,($W570/1.35)*BF570,BF570*$AA570),)</f>
        <v/>
      </c>
      <c r="CR570" s="128">
        <f>IFERROR(if($AC570=0,($W570/0.74)*BG570,
BG570*$AC570),)</f>
        <v/>
      </c>
      <c r="CS570" s="128">
        <f>IFERROR(if($AC570=0,($W570/0.74)*BH570,
BH570*$AC570),)</f>
        <v/>
      </c>
      <c r="CT570" s="128">
        <f>IFERROR(if($AC570=0,($W570/0.74)*BI570,
BI570*$AC570),)</f>
        <v/>
      </c>
      <c r="CU570" s="128">
        <f>IFERROR(AI570*$V570,)</f>
        <v/>
      </c>
      <c r="CV570" s="128">
        <f>IFERROR(AJ570*$V570,)</f>
        <v/>
      </c>
      <c r="CW570" s="128">
        <f>IFERROR(AK570*$V570,)</f>
        <v/>
      </c>
      <c r="CX570" s="128">
        <f>IFERROR(AL570*$V570,)</f>
        <v/>
      </c>
      <c r="CY570" s="128">
        <f>IFERROR(AM570*$V570,)</f>
        <v/>
      </c>
      <c r="CZ570" s="128">
        <f>IFERROR(AN570*$V570,)</f>
        <v/>
      </c>
      <c r="DA570" s="128">
        <f>IFERROR(AO570*$V570,)</f>
        <v/>
      </c>
      <c r="DB570" s="128">
        <f>IFERROR(AP570*$V570,)</f>
        <v/>
      </c>
      <c r="DC570" s="128">
        <f>IFERROR(AQ570*$V570,)</f>
        <v/>
      </c>
      <c r="DD570" s="128">
        <f>IFERROR(AR570*$V570,)</f>
        <v/>
      </c>
      <c r="DE570" s="128">
        <f>IFERROR(AS570*$V570,)</f>
        <v/>
      </c>
      <c r="DF570" s="128">
        <f>IFERROR(AT570*$V570,)</f>
        <v/>
      </c>
      <c r="DG570" s="128">
        <f>IFERROR(AU570*$V570,)</f>
        <v/>
      </c>
      <c r="DH570" s="128">
        <f>IFERROR(AV570*$V570,)</f>
        <v/>
      </c>
      <c r="DI570" s="128">
        <f>IFERROR(AW570*$V570,)</f>
        <v/>
      </c>
      <c r="DJ570" s="128">
        <f>IFERROR(AX570*$V570,)</f>
        <v/>
      </c>
      <c r="DK570" s="128">
        <f>IFERROR(AY570*$V570,)</f>
        <v/>
      </c>
      <c r="DL570" s="128">
        <f>IFERROR(AZ570*$V570,)</f>
        <v/>
      </c>
      <c r="DM570" s="129">
        <f>IFERROR(if($X570=0,($V570/1.2)*BA570,
BA570*$X570),)</f>
        <v/>
      </c>
      <c r="DN570" s="129">
        <f>IFERROR(if($X570=0,($V570/1.2)*BB570,
BB570*$X570),)</f>
        <v/>
      </c>
      <c r="DO570" s="129">
        <f>IFERROR(if($X570=0,($V570/1.2)*BC570,
BC570*$X570),)</f>
        <v/>
      </c>
      <c r="DP570" s="130">
        <f>IFERROR(if($Z570=0,($V570/1.35)*BD570,
BD570*$Z570),)</f>
        <v/>
      </c>
      <c r="DQ570" s="130">
        <f>IFERROR(if($Z570=0,($V570/1.35)*BE570,
BE570*$Z570),)</f>
        <v/>
      </c>
      <c r="DR570" s="130">
        <f>IFERROR(if($Z570=0,($V570/1.35)*BF570,
BF570*$Z570),)</f>
        <v/>
      </c>
      <c r="DS570" s="128">
        <f>IFERROR(IF($AB570=0,($V570/0.74)*BG570,
BG570*$AB570),)</f>
        <v/>
      </c>
      <c r="DT570" s="128">
        <f>IFERROR(IF($AB570=0,($V570/0.74)*BH570,
BH570*$AB570),)</f>
        <v/>
      </c>
      <c r="DU570" s="128">
        <f>IFERROR(IF($AB570=0,($V570/0.74)*BI570,
BI570*$AB570),)</f>
        <v/>
      </c>
    </row>
    <row r="571" ht="131.25" customHeight="1" s="162">
      <c r="A571" s="115" t="n"/>
      <c r="B571" s="115" t="n"/>
      <c r="C571" s="115" t="n"/>
      <c r="D571" s="115" t="n"/>
      <c r="E571" s="115" t="n"/>
      <c r="F571" s="115" t="n"/>
      <c r="G571" s="115" t="n"/>
      <c r="H571" s="115" t="n"/>
      <c r="I571" s="115" t="n"/>
      <c r="J571" s="115" t="n"/>
      <c r="K571" s="115" t="n"/>
      <c r="L571" s="115" t="n"/>
      <c r="M571" s="115" t="n"/>
      <c r="N571" s="115" t="n"/>
      <c r="O571" s="115" t="n"/>
      <c r="P571" s="115" t="n"/>
      <c r="Q571" s="115" t="n"/>
      <c r="R571" s="115" t="n"/>
      <c r="S571" s="115" t="n"/>
      <c r="T571" s="115" t="n"/>
      <c r="U571" s="116" t="n"/>
      <c r="V571" s="116" t="n"/>
      <c r="W571" s="117" t="n"/>
      <c r="X571" s="118" t="n"/>
      <c r="Y571" s="119" t="n"/>
      <c r="Z571" s="120" t="n"/>
      <c r="AA571" s="121" t="n"/>
      <c r="AB571" s="122" t="n"/>
      <c r="AC571" s="117" t="n"/>
      <c r="AD571" s="123">
        <f>IF(SUM($AE571:$AH571)=0,"",SUM($AE571:$AH571))</f>
        <v/>
      </c>
      <c r="AE571" s="123">
        <f>iferror(IF(SUM($AI571:$AZ571)=0,"",SUM($AI571:$AZ571)),"")</f>
        <v/>
      </c>
      <c r="AF571" s="123">
        <f>iferror(IF(SUM($BA571:$BC571)=0,"",SUM($BA571:$BC571)),"")</f>
        <v/>
      </c>
      <c r="AG571" s="123">
        <f>iferror(IF(SUM($BD571:$BF571)=0,"",SUM($BD571:$BF571)),"")</f>
        <v/>
      </c>
      <c r="AH571" s="124">
        <f>iferror(IF(SUM($BG571:$BI571)=0,"",SUM($BG571:$BI571)),"")</f>
        <v/>
      </c>
      <c r="AI571" s="131" t="n"/>
      <c r="AJ571" s="132" t="n"/>
      <c r="AK571" s="132" t="n"/>
      <c r="AL571" s="132" t="n"/>
      <c r="AM571" s="132" t="n"/>
      <c r="AN571" s="132" t="n"/>
      <c r="AO571" s="132" t="n"/>
      <c r="AP571" s="132" t="n"/>
      <c r="AQ571" s="132" t="n"/>
      <c r="AR571" s="132" t="n"/>
      <c r="AS571" s="132" t="n"/>
      <c r="AT571" s="132" t="n"/>
      <c r="AU571" s="132" t="n"/>
      <c r="AV571" s="132" t="n"/>
      <c r="AW571" s="132" t="n"/>
      <c r="AX571" s="132" t="n"/>
      <c r="AY571" s="132" t="n"/>
      <c r="AZ571" s="133" t="n"/>
      <c r="BA571" s="131" t="n"/>
      <c r="BB571" s="132" t="n"/>
      <c r="BC571" s="133" t="n"/>
      <c r="BD571" s="131" t="n"/>
      <c r="BE571" s="132" t="n"/>
      <c r="BF571" s="133" t="n"/>
      <c r="BG571" s="131" t="n"/>
      <c r="BH571" s="132" t="n"/>
      <c r="BI571" s="132" t="n"/>
      <c r="BJ571" s="128">
        <f>iferror(SUM($BK571,($BL571*1.2),($BM571*1.35),($BN571*0.74)),)</f>
        <v/>
      </c>
      <c r="BK571" s="128">
        <f>IFERROR(SUM($BT571:$CK571),)</f>
        <v/>
      </c>
      <c r="BL571" s="129">
        <f>IFERROR(SUM($CL571:$CN571),)</f>
        <v/>
      </c>
      <c r="BM571" s="130">
        <f>IFERROR(SUM($CO571:$CQ571),)</f>
        <v/>
      </c>
      <c r="BN571" s="128">
        <f>IFERROR(SUM($CR571:$CT571),)</f>
        <v/>
      </c>
      <c r="BO571" s="128">
        <f>iferror(SUM($BP571,($BQ571*1.2),($BR571*1.35),($BS571*0.74)),)</f>
        <v/>
      </c>
      <c r="BP571" s="128">
        <f>IFERROR(SUM($CU571:$DL571),)</f>
        <v/>
      </c>
      <c r="BQ571" s="128">
        <f>IFERROR(SUM($DM571:$DO571),)</f>
        <v/>
      </c>
      <c r="BR571" s="128">
        <f>IFERROR(SUM($DP571:$DR571),)</f>
        <v/>
      </c>
      <c r="BS571" s="128">
        <f>IFERROR(SUM($DS571:$DU571),)</f>
        <v/>
      </c>
      <c r="BT571" s="128">
        <f>IFERROR(AI571*$W571,)</f>
        <v/>
      </c>
      <c r="BU571" s="128">
        <f>IFERROR(AJ571*$W571,)</f>
        <v/>
      </c>
      <c r="BV571" s="128">
        <f>IFERROR(AK571*$W571,)</f>
        <v/>
      </c>
      <c r="BW571" s="128">
        <f>IFERROR(AL571*$W571,)</f>
        <v/>
      </c>
      <c r="BX571" s="128">
        <f>IFERROR(AM571*$W571,)</f>
        <v/>
      </c>
      <c r="BY571" s="128">
        <f>IFERROR(AN571*$W571,)</f>
        <v/>
      </c>
      <c r="BZ571" s="128">
        <f>IFERROR(AO571*$W571,)</f>
        <v/>
      </c>
      <c r="CA571" s="128">
        <f>IFERROR(AP571*$W571,)</f>
        <v/>
      </c>
      <c r="CB571" s="128">
        <f>IFERROR(AQ571*$W571,)</f>
        <v/>
      </c>
      <c r="CC571" s="128">
        <f>IFERROR(AR571*$W571,)</f>
        <v/>
      </c>
      <c r="CD571" s="128">
        <f>IFERROR(AS571*$W571,)</f>
        <v/>
      </c>
      <c r="CE571" s="128">
        <f>IFERROR(AT571*$W571,)</f>
        <v/>
      </c>
      <c r="CF571" s="128">
        <f>IFERROR(AU571*$W571,)</f>
        <v/>
      </c>
      <c r="CG571" s="128">
        <f>IFERROR(AV571*$W571,)</f>
        <v/>
      </c>
      <c r="CH571" s="128">
        <f>IFERROR(AW571*$W571,)</f>
        <v/>
      </c>
      <c r="CI571" s="128">
        <f>IFERROR(AX571*$W571,)</f>
        <v/>
      </c>
      <c r="CJ571" s="128">
        <f>IFERROR(AY571*$W571,)</f>
        <v/>
      </c>
      <c r="CK571" s="128">
        <f>IFERROR(AZ571*$W571,)</f>
        <v/>
      </c>
      <c r="CL571" s="129">
        <f>IFERROR(if($Y571=0,BA571*($W571/1.2),BA571*$Y571),"")</f>
        <v/>
      </c>
      <c r="CM571" s="129">
        <f>IFERROR(if($Y571=0,BB571*($W571/1.2),BB571*$Y571),"")</f>
        <v/>
      </c>
      <c r="CN571" s="129">
        <f>IFERROR(if($Y571=0,BC571*($W571/1.2),BC571*$Y571),"")</f>
        <v/>
      </c>
      <c r="CO571" s="130">
        <f>IFERROR(if($AA571=0,($W571/1.35)*BD571,BD571*$AA571),)</f>
        <v/>
      </c>
      <c r="CP571" s="130">
        <f>IFERROR(if($AA571=0,($W571/1.35)*BE571,BE571*$AA571),)</f>
        <v/>
      </c>
      <c r="CQ571" s="130">
        <f>IFERROR(if($AA571=0,($W571/1.35)*BF571,BF571*$AA571),)</f>
        <v/>
      </c>
      <c r="CR571" s="128">
        <f>IFERROR(if($AC571=0,($W571/0.74)*BG571,
BG571*$AC571),)</f>
        <v/>
      </c>
      <c r="CS571" s="128">
        <f>IFERROR(if($AC571=0,($W571/0.74)*BH571,
BH571*$AC571),)</f>
        <v/>
      </c>
      <c r="CT571" s="128">
        <f>IFERROR(if($AC571=0,($W571/0.74)*BI571,
BI571*$AC571),)</f>
        <v/>
      </c>
      <c r="CU571" s="128">
        <f>IFERROR(AI571*$V571,)</f>
        <v/>
      </c>
      <c r="CV571" s="128">
        <f>IFERROR(AJ571*$V571,)</f>
        <v/>
      </c>
      <c r="CW571" s="128">
        <f>IFERROR(AK571*$V571,)</f>
        <v/>
      </c>
      <c r="CX571" s="128">
        <f>IFERROR(AL571*$V571,)</f>
        <v/>
      </c>
      <c r="CY571" s="128">
        <f>IFERROR(AM571*$V571,)</f>
        <v/>
      </c>
      <c r="CZ571" s="128">
        <f>IFERROR(AN571*$V571,)</f>
        <v/>
      </c>
      <c r="DA571" s="128">
        <f>IFERROR(AO571*$V571,)</f>
        <v/>
      </c>
      <c r="DB571" s="128">
        <f>IFERROR(AP571*$V571,)</f>
        <v/>
      </c>
      <c r="DC571" s="128">
        <f>IFERROR(AQ571*$V571,)</f>
        <v/>
      </c>
      <c r="DD571" s="128">
        <f>IFERROR(AR571*$V571,)</f>
        <v/>
      </c>
      <c r="DE571" s="128">
        <f>IFERROR(AS571*$V571,)</f>
        <v/>
      </c>
      <c r="DF571" s="128">
        <f>IFERROR(AT571*$V571,)</f>
        <v/>
      </c>
      <c r="DG571" s="128">
        <f>IFERROR(AU571*$V571,)</f>
        <v/>
      </c>
      <c r="DH571" s="128">
        <f>IFERROR(AV571*$V571,)</f>
        <v/>
      </c>
      <c r="DI571" s="128">
        <f>IFERROR(AW571*$V571,)</f>
        <v/>
      </c>
      <c r="DJ571" s="128">
        <f>IFERROR(AX571*$V571,)</f>
        <v/>
      </c>
      <c r="DK571" s="128">
        <f>IFERROR(AY571*$V571,)</f>
        <v/>
      </c>
      <c r="DL571" s="128">
        <f>IFERROR(AZ571*$V571,)</f>
        <v/>
      </c>
      <c r="DM571" s="129">
        <f>IFERROR(if($X571=0,($V571/1.2)*BA571,
BA571*$X571),)</f>
        <v/>
      </c>
      <c r="DN571" s="129">
        <f>IFERROR(if($X571=0,($V571/1.2)*BB571,
BB571*$X571),)</f>
        <v/>
      </c>
      <c r="DO571" s="129">
        <f>IFERROR(if($X571=0,($V571/1.2)*BC571,
BC571*$X571),)</f>
        <v/>
      </c>
      <c r="DP571" s="130">
        <f>IFERROR(if($Z571=0,($V571/1.35)*BD571,
BD571*$Z571),)</f>
        <v/>
      </c>
      <c r="DQ571" s="130">
        <f>IFERROR(if($Z571=0,($V571/1.35)*BE571,
BE571*$Z571),)</f>
        <v/>
      </c>
      <c r="DR571" s="130">
        <f>IFERROR(if($Z571=0,($V571/1.35)*BF571,
BF571*$Z571),)</f>
        <v/>
      </c>
      <c r="DS571" s="128">
        <f>IFERROR(IF($AB571=0,($V571/0.74)*BG571,
BG571*$AB571),)</f>
        <v/>
      </c>
      <c r="DT571" s="128">
        <f>IFERROR(IF($AB571=0,($V571/0.74)*BH571,
BH571*$AB571),)</f>
        <v/>
      </c>
      <c r="DU571" s="128">
        <f>IFERROR(IF($AB571=0,($V571/0.74)*BI571,
BI571*$AB571),)</f>
        <v/>
      </c>
    </row>
    <row r="572" ht="131.25" customHeight="1" s="162">
      <c r="A572" s="115" t="n"/>
      <c r="B572" s="115" t="n"/>
      <c r="C572" s="115" t="n"/>
      <c r="D572" s="115" t="n"/>
      <c r="E572" s="115" t="n"/>
      <c r="F572" s="115" t="n"/>
      <c r="G572" s="115" t="n"/>
      <c r="H572" s="115" t="n"/>
      <c r="I572" s="115" t="n"/>
      <c r="J572" s="115" t="n"/>
      <c r="K572" s="115" t="n"/>
      <c r="L572" s="115" t="n"/>
      <c r="M572" s="115" t="n"/>
      <c r="N572" s="115" t="n"/>
      <c r="O572" s="115" t="n"/>
      <c r="P572" s="115" t="n"/>
      <c r="Q572" s="115" t="n"/>
      <c r="R572" s="115" t="n"/>
      <c r="S572" s="115" t="n"/>
      <c r="T572" s="115" t="n"/>
      <c r="U572" s="116" t="n"/>
      <c r="V572" s="116" t="n"/>
      <c r="W572" s="117" t="n"/>
      <c r="X572" s="118" t="n"/>
      <c r="Y572" s="119" t="n"/>
      <c r="Z572" s="120" t="n"/>
      <c r="AA572" s="121" t="n"/>
      <c r="AB572" s="122" t="n"/>
      <c r="AC572" s="117" t="n"/>
      <c r="AD572" s="123">
        <f>IF(SUM($AE572:$AH572)=0,"",SUM($AE572:$AH572))</f>
        <v/>
      </c>
      <c r="AE572" s="123">
        <f>iferror(IF(SUM($AI572:$AZ572)=0,"",SUM($AI572:$AZ572)),"")</f>
        <v/>
      </c>
      <c r="AF572" s="123">
        <f>iferror(IF(SUM($BA572:$BC572)=0,"",SUM($BA572:$BC572)),"")</f>
        <v/>
      </c>
      <c r="AG572" s="123">
        <f>iferror(IF(SUM($BD572:$BF572)=0,"",SUM($BD572:$BF572)),"")</f>
        <v/>
      </c>
      <c r="AH572" s="124">
        <f>iferror(IF(SUM($BG572:$BI572)=0,"",SUM($BG572:$BI572)),"")</f>
        <v/>
      </c>
      <c r="AI572" s="131" t="n"/>
      <c r="AJ572" s="132" t="n"/>
      <c r="AK572" s="132" t="n"/>
      <c r="AL572" s="132" t="n"/>
      <c r="AM572" s="132" t="n"/>
      <c r="AN572" s="132" t="n"/>
      <c r="AO572" s="132" t="n"/>
      <c r="AP572" s="132" t="n"/>
      <c r="AQ572" s="132" t="n"/>
      <c r="AR572" s="132" t="n"/>
      <c r="AS572" s="132" t="n"/>
      <c r="AT572" s="132" t="n"/>
      <c r="AU572" s="132" t="n"/>
      <c r="AV572" s="132" t="n"/>
      <c r="AW572" s="132" t="n"/>
      <c r="AX572" s="132" t="n"/>
      <c r="AY572" s="132" t="n"/>
      <c r="AZ572" s="133" t="n"/>
      <c r="BA572" s="131" t="n"/>
      <c r="BB572" s="132" t="n"/>
      <c r="BC572" s="133" t="n"/>
      <c r="BD572" s="131" t="n"/>
      <c r="BE572" s="132" t="n"/>
      <c r="BF572" s="133" t="n"/>
      <c r="BG572" s="131" t="n"/>
      <c r="BH572" s="132" t="n"/>
      <c r="BI572" s="132" t="n"/>
      <c r="BJ572" s="128">
        <f>iferror(SUM($BK572,($BL572*1.2),($BM572*1.35),($BN572*0.74)),)</f>
        <v/>
      </c>
      <c r="BK572" s="128">
        <f>IFERROR(SUM($BT572:$CK572),)</f>
        <v/>
      </c>
      <c r="BL572" s="129">
        <f>IFERROR(SUM($CL572:$CN572),)</f>
        <v/>
      </c>
      <c r="BM572" s="130">
        <f>IFERROR(SUM($CO572:$CQ572),)</f>
        <v/>
      </c>
      <c r="BN572" s="128">
        <f>IFERROR(SUM($CR572:$CT572),)</f>
        <v/>
      </c>
      <c r="BO572" s="128">
        <f>iferror(SUM($BP572,($BQ572*1.2),($BR572*1.35),($BS572*0.74)),)</f>
        <v/>
      </c>
      <c r="BP572" s="128">
        <f>IFERROR(SUM($CU572:$DL572),)</f>
        <v/>
      </c>
      <c r="BQ572" s="128">
        <f>IFERROR(SUM($DM572:$DO572),)</f>
        <v/>
      </c>
      <c r="BR572" s="128">
        <f>IFERROR(SUM($DP572:$DR572),)</f>
        <v/>
      </c>
      <c r="BS572" s="128">
        <f>IFERROR(SUM($DS572:$DU572),)</f>
        <v/>
      </c>
      <c r="BT572" s="128">
        <f>IFERROR(AI572*$W572,)</f>
        <v/>
      </c>
      <c r="BU572" s="128">
        <f>IFERROR(AJ572*$W572,)</f>
        <v/>
      </c>
      <c r="BV572" s="128">
        <f>IFERROR(AK572*$W572,)</f>
        <v/>
      </c>
      <c r="BW572" s="128">
        <f>IFERROR(AL572*$W572,)</f>
        <v/>
      </c>
      <c r="BX572" s="128">
        <f>IFERROR(AM572*$W572,)</f>
        <v/>
      </c>
      <c r="BY572" s="128">
        <f>IFERROR(AN572*$W572,)</f>
        <v/>
      </c>
      <c r="BZ572" s="128">
        <f>IFERROR(AO572*$W572,)</f>
        <v/>
      </c>
      <c r="CA572" s="128">
        <f>IFERROR(AP572*$W572,)</f>
        <v/>
      </c>
      <c r="CB572" s="128">
        <f>IFERROR(AQ572*$W572,)</f>
        <v/>
      </c>
      <c r="CC572" s="128">
        <f>IFERROR(AR572*$W572,)</f>
        <v/>
      </c>
      <c r="CD572" s="128">
        <f>IFERROR(AS572*$W572,)</f>
        <v/>
      </c>
      <c r="CE572" s="128">
        <f>IFERROR(AT572*$W572,)</f>
        <v/>
      </c>
      <c r="CF572" s="128">
        <f>IFERROR(AU572*$W572,)</f>
        <v/>
      </c>
      <c r="CG572" s="128">
        <f>IFERROR(AV572*$W572,)</f>
        <v/>
      </c>
      <c r="CH572" s="128">
        <f>IFERROR(AW572*$W572,)</f>
        <v/>
      </c>
      <c r="CI572" s="128">
        <f>IFERROR(AX572*$W572,)</f>
        <v/>
      </c>
      <c r="CJ572" s="128">
        <f>IFERROR(AY572*$W572,)</f>
        <v/>
      </c>
      <c r="CK572" s="128">
        <f>IFERROR(AZ572*$W572,)</f>
        <v/>
      </c>
      <c r="CL572" s="129">
        <f>IFERROR(if($Y572=0,BA572*($W572/1.2),BA572*$Y572),"")</f>
        <v/>
      </c>
      <c r="CM572" s="129">
        <f>IFERROR(if($Y572=0,BB572*($W572/1.2),BB572*$Y572),"")</f>
        <v/>
      </c>
      <c r="CN572" s="129">
        <f>IFERROR(if($Y572=0,BC572*($W572/1.2),BC572*$Y572),"")</f>
        <v/>
      </c>
      <c r="CO572" s="130">
        <f>IFERROR(if($AA572=0,($W572/1.35)*BD572,BD572*$AA572),)</f>
        <v/>
      </c>
      <c r="CP572" s="130">
        <f>IFERROR(if($AA572=0,($W572/1.35)*BE572,BE572*$AA572),)</f>
        <v/>
      </c>
      <c r="CQ572" s="130">
        <f>IFERROR(if($AA572=0,($W572/1.35)*BF572,BF572*$AA572),)</f>
        <v/>
      </c>
      <c r="CR572" s="128">
        <f>IFERROR(if($AC572=0,($W572/0.74)*BG572,
BG572*$AC572),)</f>
        <v/>
      </c>
      <c r="CS572" s="128">
        <f>IFERROR(if($AC572=0,($W572/0.74)*BH572,
BH572*$AC572),)</f>
        <v/>
      </c>
      <c r="CT572" s="128">
        <f>IFERROR(if($AC572=0,($W572/0.74)*BI572,
BI572*$AC572),)</f>
        <v/>
      </c>
      <c r="CU572" s="128">
        <f>IFERROR(AI572*$V572,)</f>
        <v/>
      </c>
      <c r="CV572" s="128">
        <f>IFERROR(AJ572*$V572,)</f>
        <v/>
      </c>
      <c r="CW572" s="128">
        <f>IFERROR(AK572*$V572,)</f>
        <v/>
      </c>
      <c r="CX572" s="128">
        <f>IFERROR(AL572*$V572,)</f>
        <v/>
      </c>
      <c r="CY572" s="128">
        <f>IFERROR(AM572*$V572,)</f>
        <v/>
      </c>
      <c r="CZ572" s="128">
        <f>IFERROR(AN572*$V572,)</f>
        <v/>
      </c>
      <c r="DA572" s="128">
        <f>IFERROR(AO572*$V572,)</f>
        <v/>
      </c>
      <c r="DB572" s="128">
        <f>IFERROR(AP572*$V572,)</f>
        <v/>
      </c>
      <c r="DC572" s="128">
        <f>IFERROR(AQ572*$V572,)</f>
        <v/>
      </c>
      <c r="DD572" s="128">
        <f>IFERROR(AR572*$V572,)</f>
        <v/>
      </c>
      <c r="DE572" s="128">
        <f>IFERROR(AS572*$V572,)</f>
        <v/>
      </c>
      <c r="DF572" s="128">
        <f>IFERROR(AT572*$V572,)</f>
        <v/>
      </c>
      <c r="DG572" s="128">
        <f>IFERROR(AU572*$V572,)</f>
        <v/>
      </c>
      <c r="DH572" s="128">
        <f>IFERROR(AV572*$V572,)</f>
        <v/>
      </c>
      <c r="DI572" s="128">
        <f>IFERROR(AW572*$V572,)</f>
        <v/>
      </c>
      <c r="DJ572" s="128">
        <f>IFERROR(AX572*$V572,)</f>
        <v/>
      </c>
      <c r="DK572" s="128">
        <f>IFERROR(AY572*$V572,)</f>
        <v/>
      </c>
      <c r="DL572" s="128">
        <f>IFERROR(AZ572*$V572,)</f>
        <v/>
      </c>
      <c r="DM572" s="129">
        <f>IFERROR(if($X572=0,($V572/1.2)*BA572,
BA572*$X572),)</f>
        <v/>
      </c>
      <c r="DN572" s="129">
        <f>IFERROR(if($X572=0,($V572/1.2)*BB572,
BB572*$X572),)</f>
        <v/>
      </c>
      <c r="DO572" s="129">
        <f>IFERROR(if($X572=0,($V572/1.2)*BC572,
BC572*$X572),)</f>
        <v/>
      </c>
      <c r="DP572" s="130">
        <f>IFERROR(if($Z572=0,($V572/1.35)*BD572,
BD572*$Z572),)</f>
        <v/>
      </c>
      <c r="DQ572" s="130">
        <f>IFERROR(if($Z572=0,($V572/1.35)*BE572,
BE572*$Z572),)</f>
        <v/>
      </c>
      <c r="DR572" s="130">
        <f>IFERROR(if($Z572=0,($V572/1.35)*BF572,
BF572*$Z572),)</f>
        <v/>
      </c>
      <c r="DS572" s="128">
        <f>IFERROR(IF($AB572=0,($V572/0.74)*BG572,
BG572*$AB572),)</f>
        <v/>
      </c>
      <c r="DT572" s="128">
        <f>IFERROR(IF($AB572=0,($V572/0.74)*BH572,
BH572*$AB572),)</f>
        <v/>
      </c>
      <c r="DU572" s="128">
        <f>IFERROR(IF($AB572=0,($V572/0.74)*BI572,
BI572*$AB572),)</f>
        <v/>
      </c>
    </row>
    <row r="573" ht="131.25" customHeight="1" s="162">
      <c r="A573" s="115" t="n"/>
      <c r="B573" s="115" t="n"/>
      <c r="C573" s="115" t="n"/>
      <c r="D573" s="115" t="n"/>
      <c r="E573" s="115" t="n"/>
      <c r="F573" s="115" t="n"/>
      <c r="G573" s="115" t="n"/>
      <c r="H573" s="115" t="n"/>
      <c r="I573" s="115" t="n"/>
      <c r="J573" s="115" t="n"/>
      <c r="K573" s="115" t="n"/>
      <c r="L573" s="115" t="n"/>
      <c r="M573" s="115" t="n"/>
      <c r="N573" s="115" t="n"/>
      <c r="O573" s="115" t="n"/>
      <c r="P573" s="115" t="n"/>
      <c r="Q573" s="115" t="n"/>
      <c r="R573" s="115" t="n"/>
      <c r="S573" s="115" t="n"/>
      <c r="T573" s="115" t="n"/>
      <c r="U573" s="116" t="n"/>
      <c r="V573" s="116" t="n"/>
      <c r="W573" s="117" t="n"/>
      <c r="X573" s="118" t="n"/>
      <c r="Y573" s="119" t="n"/>
      <c r="Z573" s="120" t="n"/>
      <c r="AA573" s="121" t="n"/>
      <c r="AB573" s="122" t="n"/>
      <c r="AC573" s="117" t="n"/>
      <c r="AD573" s="123">
        <f>IF(SUM($AE573:$AH573)=0,"",SUM($AE573:$AH573))</f>
        <v/>
      </c>
      <c r="AE573" s="123">
        <f>iferror(IF(SUM($AI573:$AZ573)=0,"",SUM($AI573:$AZ573)),"")</f>
        <v/>
      </c>
      <c r="AF573" s="123">
        <f>iferror(IF(SUM($BA573:$BC573)=0,"",SUM($BA573:$BC573)),"")</f>
        <v/>
      </c>
      <c r="AG573" s="123">
        <f>iferror(IF(SUM($BD573:$BF573)=0,"",SUM($BD573:$BF573)),"")</f>
        <v/>
      </c>
      <c r="AH573" s="124">
        <f>iferror(IF(SUM($BG573:$BI573)=0,"",SUM($BG573:$BI573)),"")</f>
        <v/>
      </c>
      <c r="AI573" s="131" t="n"/>
      <c r="AJ573" s="132" t="n"/>
      <c r="AK573" s="132" t="n"/>
      <c r="AL573" s="132" t="n"/>
      <c r="AM573" s="132" t="n"/>
      <c r="AN573" s="132" t="n"/>
      <c r="AO573" s="132" t="n"/>
      <c r="AP573" s="132" t="n"/>
      <c r="AQ573" s="132" t="n"/>
      <c r="AR573" s="132" t="n"/>
      <c r="AS573" s="132" t="n"/>
      <c r="AT573" s="132" t="n"/>
      <c r="AU573" s="132" t="n"/>
      <c r="AV573" s="132" t="n"/>
      <c r="AW573" s="132" t="n"/>
      <c r="AX573" s="132" t="n"/>
      <c r="AY573" s="132" t="n"/>
      <c r="AZ573" s="133" t="n"/>
      <c r="BA573" s="131" t="n"/>
      <c r="BB573" s="132" t="n"/>
      <c r="BC573" s="133" t="n"/>
      <c r="BD573" s="131" t="n"/>
      <c r="BE573" s="132" t="n"/>
      <c r="BF573" s="133" t="n"/>
      <c r="BG573" s="131" t="n"/>
      <c r="BH573" s="132" t="n"/>
      <c r="BI573" s="132" t="n"/>
      <c r="BJ573" s="128">
        <f>iferror(SUM($BK573,($BL573*1.2),($BM573*1.35),($BN573*0.74)),)</f>
        <v/>
      </c>
      <c r="BK573" s="128">
        <f>IFERROR(SUM($BT573:$CK573),)</f>
        <v/>
      </c>
      <c r="BL573" s="129">
        <f>IFERROR(SUM($CL573:$CN573),)</f>
        <v/>
      </c>
      <c r="BM573" s="130">
        <f>IFERROR(SUM($CO573:$CQ573),)</f>
        <v/>
      </c>
      <c r="BN573" s="128">
        <f>IFERROR(SUM($CR573:$CT573),)</f>
        <v/>
      </c>
      <c r="BO573" s="128">
        <f>iferror(SUM($BP573,($BQ573*1.2),($BR573*1.35),($BS573*0.74)),)</f>
        <v/>
      </c>
      <c r="BP573" s="128">
        <f>IFERROR(SUM($CU573:$DL573),)</f>
        <v/>
      </c>
      <c r="BQ573" s="128">
        <f>IFERROR(SUM($DM573:$DO573),)</f>
        <v/>
      </c>
      <c r="BR573" s="128">
        <f>IFERROR(SUM($DP573:$DR573),)</f>
        <v/>
      </c>
      <c r="BS573" s="128">
        <f>IFERROR(SUM($DS573:$DU573),)</f>
        <v/>
      </c>
      <c r="BT573" s="128">
        <f>IFERROR(AI573*$W573,)</f>
        <v/>
      </c>
      <c r="BU573" s="128">
        <f>IFERROR(AJ573*$W573,)</f>
        <v/>
      </c>
      <c r="BV573" s="128">
        <f>IFERROR(AK573*$W573,)</f>
        <v/>
      </c>
      <c r="BW573" s="128">
        <f>IFERROR(AL573*$W573,)</f>
        <v/>
      </c>
      <c r="BX573" s="128">
        <f>IFERROR(AM573*$W573,)</f>
        <v/>
      </c>
      <c r="BY573" s="128">
        <f>IFERROR(AN573*$W573,)</f>
        <v/>
      </c>
      <c r="BZ573" s="128">
        <f>IFERROR(AO573*$W573,)</f>
        <v/>
      </c>
      <c r="CA573" s="128">
        <f>IFERROR(AP573*$W573,)</f>
        <v/>
      </c>
      <c r="CB573" s="128">
        <f>IFERROR(AQ573*$W573,)</f>
        <v/>
      </c>
      <c r="CC573" s="128">
        <f>IFERROR(AR573*$W573,)</f>
        <v/>
      </c>
      <c r="CD573" s="128">
        <f>IFERROR(AS573*$W573,)</f>
        <v/>
      </c>
      <c r="CE573" s="128">
        <f>IFERROR(AT573*$W573,)</f>
        <v/>
      </c>
      <c r="CF573" s="128">
        <f>IFERROR(AU573*$W573,)</f>
        <v/>
      </c>
      <c r="CG573" s="128">
        <f>IFERROR(AV573*$W573,)</f>
        <v/>
      </c>
      <c r="CH573" s="128">
        <f>IFERROR(AW573*$W573,)</f>
        <v/>
      </c>
      <c r="CI573" s="128">
        <f>IFERROR(AX573*$W573,)</f>
        <v/>
      </c>
      <c r="CJ573" s="128">
        <f>IFERROR(AY573*$W573,)</f>
        <v/>
      </c>
      <c r="CK573" s="128">
        <f>IFERROR(AZ573*$W573,)</f>
        <v/>
      </c>
      <c r="CL573" s="129">
        <f>IFERROR(if($Y573=0,BA573*($W573/1.2),BA573*$Y573),"")</f>
        <v/>
      </c>
      <c r="CM573" s="129">
        <f>IFERROR(if($Y573=0,BB573*($W573/1.2),BB573*$Y573),"")</f>
        <v/>
      </c>
      <c r="CN573" s="129">
        <f>IFERROR(if($Y573=0,BC573*($W573/1.2),BC573*$Y573),"")</f>
        <v/>
      </c>
      <c r="CO573" s="130">
        <f>IFERROR(if($AA573=0,($W573/1.35)*BD573,BD573*$AA573),)</f>
        <v/>
      </c>
      <c r="CP573" s="130">
        <f>IFERROR(if($AA573=0,($W573/1.35)*BE573,BE573*$AA573),)</f>
        <v/>
      </c>
      <c r="CQ573" s="130">
        <f>IFERROR(if($AA573=0,($W573/1.35)*BF573,BF573*$AA573),)</f>
        <v/>
      </c>
      <c r="CR573" s="128">
        <f>IFERROR(if($AC573=0,($W573/0.74)*BG573,
BG573*$AC573),)</f>
        <v/>
      </c>
      <c r="CS573" s="128">
        <f>IFERROR(if($AC573=0,($W573/0.74)*BH573,
BH573*$AC573),)</f>
        <v/>
      </c>
      <c r="CT573" s="128">
        <f>IFERROR(if($AC573=0,($W573/0.74)*BI573,
BI573*$AC573),)</f>
        <v/>
      </c>
      <c r="CU573" s="128">
        <f>IFERROR(AI573*$V573,)</f>
        <v/>
      </c>
      <c r="CV573" s="128">
        <f>IFERROR(AJ573*$V573,)</f>
        <v/>
      </c>
      <c r="CW573" s="128">
        <f>IFERROR(AK573*$V573,)</f>
        <v/>
      </c>
      <c r="CX573" s="128">
        <f>IFERROR(AL573*$V573,)</f>
        <v/>
      </c>
      <c r="CY573" s="128">
        <f>IFERROR(AM573*$V573,)</f>
        <v/>
      </c>
      <c r="CZ573" s="128">
        <f>IFERROR(AN573*$V573,)</f>
        <v/>
      </c>
      <c r="DA573" s="128">
        <f>IFERROR(AO573*$V573,)</f>
        <v/>
      </c>
      <c r="DB573" s="128">
        <f>IFERROR(AP573*$V573,)</f>
        <v/>
      </c>
      <c r="DC573" s="128">
        <f>IFERROR(AQ573*$V573,)</f>
        <v/>
      </c>
      <c r="DD573" s="128">
        <f>IFERROR(AR573*$V573,)</f>
        <v/>
      </c>
      <c r="DE573" s="128">
        <f>IFERROR(AS573*$V573,)</f>
        <v/>
      </c>
      <c r="DF573" s="128">
        <f>IFERROR(AT573*$V573,)</f>
        <v/>
      </c>
      <c r="DG573" s="128">
        <f>IFERROR(AU573*$V573,)</f>
        <v/>
      </c>
      <c r="DH573" s="128">
        <f>IFERROR(AV573*$V573,)</f>
        <v/>
      </c>
      <c r="DI573" s="128">
        <f>IFERROR(AW573*$V573,)</f>
        <v/>
      </c>
      <c r="DJ573" s="128">
        <f>IFERROR(AX573*$V573,)</f>
        <v/>
      </c>
      <c r="DK573" s="128">
        <f>IFERROR(AY573*$V573,)</f>
        <v/>
      </c>
      <c r="DL573" s="128">
        <f>IFERROR(AZ573*$V573,)</f>
        <v/>
      </c>
      <c r="DM573" s="129">
        <f>IFERROR(if($X573=0,($V573/1.2)*BA573,
BA573*$X573),)</f>
        <v/>
      </c>
      <c r="DN573" s="129">
        <f>IFERROR(if($X573=0,($V573/1.2)*BB573,
BB573*$X573),)</f>
        <v/>
      </c>
      <c r="DO573" s="129">
        <f>IFERROR(if($X573=0,($V573/1.2)*BC573,
BC573*$X573),)</f>
        <v/>
      </c>
      <c r="DP573" s="130">
        <f>IFERROR(if($Z573=0,($V573/1.35)*BD573,
BD573*$Z573),)</f>
        <v/>
      </c>
      <c r="DQ573" s="130">
        <f>IFERROR(if($Z573=0,($V573/1.35)*BE573,
BE573*$Z573),)</f>
        <v/>
      </c>
      <c r="DR573" s="130">
        <f>IFERROR(if($Z573=0,($V573/1.35)*BF573,
BF573*$Z573),)</f>
        <v/>
      </c>
      <c r="DS573" s="128">
        <f>IFERROR(IF($AB573=0,($V573/0.74)*BG573,
BG573*$AB573),)</f>
        <v/>
      </c>
      <c r="DT573" s="128">
        <f>IFERROR(IF($AB573=0,($V573/0.74)*BH573,
BH573*$AB573),)</f>
        <v/>
      </c>
      <c r="DU573" s="128">
        <f>IFERROR(IF($AB573=0,($V573/0.74)*BI573,
BI573*$AB573),)</f>
        <v/>
      </c>
    </row>
    <row r="574" ht="131.25" customHeight="1" s="162">
      <c r="A574" s="115" t="n"/>
      <c r="B574" s="115" t="n"/>
      <c r="C574" s="115" t="n"/>
      <c r="D574" s="115" t="n"/>
      <c r="E574" s="115" t="n"/>
      <c r="F574" s="115" t="n"/>
      <c r="G574" s="115" t="n"/>
      <c r="H574" s="115" t="n"/>
      <c r="I574" s="115" t="n"/>
      <c r="J574" s="115" t="n"/>
      <c r="K574" s="115" t="n"/>
      <c r="L574" s="115" t="n"/>
      <c r="M574" s="115" t="n"/>
      <c r="N574" s="115" t="n"/>
      <c r="O574" s="115" t="n"/>
      <c r="P574" s="115" t="n"/>
      <c r="Q574" s="115" t="n"/>
      <c r="R574" s="115" t="n"/>
      <c r="S574" s="115" t="n"/>
      <c r="T574" s="115" t="n"/>
      <c r="U574" s="116" t="n"/>
      <c r="V574" s="116" t="n"/>
      <c r="W574" s="117" t="n"/>
      <c r="X574" s="118" t="n"/>
      <c r="Y574" s="119" t="n"/>
      <c r="Z574" s="120" t="n"/>
      <c r="AA574" s="121" t="n"/>
      <c r="AB574" s="122" t="n"/>
      <c r="AC574" s="117" t="n"/>
      <c r="AD574" s="123">
        <f>IF(SUM($AE574:$AH574)=0,"",SUM($AE574:$AH574))</f>
        <v/>
      </c>
      <c r="AE574" s="123">
        <f>iferror(IF(SUM($AI574:$AZ574)=0,"",SUM($AI574:$AZ574)),"")</f>
        <v/>
      </c>
      <c r="AF574" s="123">
        <f>iferror(IF(SUM($BA574:$BC574)=0,"",SUM($BA574:$BC574)),"")</f>
        <v/>
      </c>
      <c r="AG574" s="123">
        <f>iferror(IF(SUM($BD574:$BF574)=0,"",SUM($BD574:$BF574)),"")</f>
        <v/>
      </c>
      <c r="AH574" s="124">
        <f>iferror(IF(SUM($BG574:$BI574)=0,"",SUM($BG574:$BI574)),"")</f>
        <v/>
      </c>
      <c r="AI574" s="131" t="n"/>
      <c r="AJ574" s="132" t="n"/>
      <c r="AK574" s="132" t="n"/>
      <c r="AL574" s="132" t="n"/>
      <c r="AM574" s="132" t="n"/>
      <c r="AN574" s="132" t="n"/>
      <c r="AO574" s="132" t="n"/>
      <c r="AP574" s="132" t="n"/>
      <c r="AQ574" s="132" t="n"/>
      <c r="AR574" s="132" t="n"/>
      <c r="AS574" s="132" t="n"/>
      <c r="AT574" s="132" t="n"/>
      <c r="AU574" s="132" t="n"/>
      <c r="AV574" s="132" t="n"/>
      <c r="AW574" s="132" t="n"/>
      <c r="AX574" s="132" t="n"/>
      <c r="AY574" s="132" t="n"/>
      <c r="AZ574" s="133" t="n"/>
      <c r="BA574" s="131" t="n"/>
      <c r="BB574" s="132" t="n"/>
      <c r="BC574" s="133" t="n"/>
      <c r="BD574" s="131" t="n"/>
      <c r="BE574" s="132" t="n"/>
      <c r="BF574" s="133" t="n"/>
      <c r="BG574" s="131" t="n"/>
      <c r="BH574" s="132" t="n"/>
      <c r="BI574" s="132" t="n"/>
      <c r="BJ574" s="128">
        <f>iferror(SUM($BK574,($BL574*1.2),($BM574*1.35),($BN574*0.74)),)</f>
        <v/>
      </c>
      <c r="BK574" s="128">
        <f>IFERROR(SUM($BT574:$CK574),)</f>
        <v/>
      </c>
      <c r="BL574" s="129">
        <f>IFERROR(SUM($CL574:$CN574),)</f>
        <v/>
      </c>
      <c r="BM574" s="130">
        <f>IFERROR(SUM($CO574:$CQ574),)</f>
        <v/>
      </c>
      <c r="BN574" s="128">
        <f>IFERROR(SUM($CR574:$CT574),)</f>
        <v/>
      </c>
      <c r="BO574" s="128">
        <f>iferror(SUM($BP574,($BQ574*1.2),($BR574*1.35),($BS574*0.74)),)</f>
        <v/>
      </c>
      <c r="BP574" s="128">
        <f>IFERROR(SUM($CU574:$DL574),)</f>
        <v/>
      </c>
      <c r="BQ574" s="128">
        <f>IFERROR(SUM($DM574:$DO574),)</f>
        <v/>
      </c>
      <c r="BR574" s="128">
        <f>IFERROR(SUM($DP574:$DR574),)</f>
        <v/>
      </c>
      <c r="BS574" s="128">
        <f>IFERROR(SUM($DS574:$DU574),)</f>
        <v/>
      </c>
      <c r="BT574" s="128">
        <f>IFERROR(AI574*$W574,)</f>
        <v/>
      </c>
      <c r="BU574" s="128">
        <f>IFERROR(AJ574*$W574,)</f>
        <v/>
      </c>
      <c r="BV574" s="128">
        <f>IFERROR(AK574*$W574,)</f>
        <v/>
      </c>
      <c r="BW574" s="128">
        <f>IFERROR(AL574*$W574,)</f>
        <v/>
      </c>
      <c r="BX574" s="128">
        <f>IFERROR(AM574*$W574,)</f>
        <v/>
      </c>
      <c r="BY574" s="128">
        <f>IFERROR(AN574*$W574,)</f>
        <v/>
      </c>
      <c r="BZ574" s="128">
        <f>IFERROR(AO574*$W574,)</f>
        <v/>
      </c>
      <c r="CA574" s="128">
        <f>IFERROR(AP574*$W574,)</f>
        <v/>
      </c>
      <c r="CB574" s="128">
        <f>IFERROR(AQ574*$W574,)</f>
        <v/>
      </c>
      <c r="CC574" s="128">
        <f>IFERROR(AR574*$W574,)</f>
        <v/>
      </c>
      <c r="CD574" s="128">
        <f>IFERROR(AS574*$W574,)</f>
        <v/>
      </c>
      <c r="CE574" s="128">
        <f>IFERROR(AT574*$W574,)</f>
        <v/>
      </c>
      <c r="CF574" s="128">
        <f>IFERROR(AU574*$W574,)</f>
        <v/>
      </c>
      <c r="CG574" s="128">
        <f>IFERROR(AV574*$W574,)</f>
        <v/>
      </c>
      <c r="CH574" s="128">
        <f>IFERROR(AW574*$W574,)</f>
        <v/>
      </c>
      <c r="CI574" s="128">
        <f>IFERROR(AX574*$W574,)</f>
        <v/>
      </c>
      <c r="CJ574" s="128">
        <f>IFERROR(AY574*$W574,)</f>
        <v/>
      </c>
      <c r="CK574" s="128">
        <f>IFERROR(AZ574*$W574,)</f>
        <v/>
      </c>
      <c r="CL574" s="129">
        <f>IFERROR(if($Y574=0,BA574*($W574/1.2),BA574*$Y574),"")</f>
        <v/>
      </c>
      <c r="CM574" s="129">
        <f>IFERROR(if($Y574=0,BB574*($W574/1.2),BB574*$Y574),"")</f>
        <v/>
      </c>
      <c r="CN574" s="129">
        <f>IFERROR(if($Y574=0,BC574*($W574/1.2),BC574*$Y574),"")</f>
        <v/>
      </c>
      <c r="CO574" s="130">
        <f>IFERROR(if($AA574=0,($W574/1.35)*BD574,BD574*$AA574),)</f>
        <v/>
      </c>
      <c r="CP574" s="130">
        <f>IFERROR(if($AA574=0,($W574/1.35)*BE574,BE574*$AA574),)</f>
        <v/>
      </c>
      <c r="CQ574" s="130">
        <f>IFERROR(if($AA574=0,($W574/1.35)*BF574,BF574*$AA574),)</f>
        <v/>
      </c>
      <c r="CR574" s="128">
        <f>IFERROR(if($AC574=0,($W574/0.74)*BG574,
BG574*$AC574),)</f>
        <v/>
      </c>
      <c r="CS574" s="128">
        <f>IFERROR(if($AC574=0,($W574/0.74)*BH574,
BH574*$AC574),)</f>
        <v/>
      </c>
      <c r="CT574" s="128">
        <f>IFERROR(if($AC574=0,($W574/0.74)*BI574,
BI574*$AC574),)</f>
        <v/>
      </c>
      <c r="CU574" s="128">
        <f>IFERROR(AI574*$V574,)</f>
        <v/>
      </c>
      <c r="CV574" s="128">
        <f>IFERROR(AJ574*$V574,)</f>
        <v/>
      </c>
      <c r="CW574" s="128">
        <f>IFERROR(AK574*$V574,)</f>
        <v/>
      </c>
      <c r="CX574" s="128">
        <f>IFERROR(AL574*$V574,)</f>
        <v/>
      </c>
      <c r="CY574" s="128">
        <f>IFERROR(AM574*$V574,)</f>
        <v/>
      </c>
      <c r="CZ574" s="128">
        <f>IFERROR(AN574*$V574,)</f>
        <v/>
      </c>
      <c r="DA574" s="128">
        <f>IFERROR(AO574*$V574,)</f>
        <v/>
      </c>
      <c r="DB574" s="128">
        <f>IFERROR(AP574*$V574,)</f>
        <v/>
      </c>
      <c r="DC574" s="128">
        <f>IFERROR(AQ574*$V574,)</f>
        <v/>
      </c>
      <c r="DD574" s="128">
        <f>IFERROR(AR574*$V574,)</f>
        <v/>
      </c>
      <c r="DE574" s="128">
        <f>IFERROR(AS574*$V574,)</f>
        <v/>
      </c>
      <c r="DF574" s="128">
        <f>IFERROR(AT574*$V574,)</f>
        <v/>
      </c>
      <c r="DG574" s="128">
        <f>IFERROR(AU574*$V574,)</f>
        <v/>
      </c>
      <c r="DH574" s="128">
        <f>IFERROR(AV574*$V574,)</f>
        <v/>
      </c>
      <c r="DI574" s="128">
        <f>IFERROR(AW574*$V574,)</f>
        <v/>
      </c>
      <c r="DJ574" s="128">
        <f>IFERROR(AX574*$V574,)</f>
        <v/>
      </c>
      <c r="DK574" s="128">
        <f>IFERROR(AY574*$V574,)</f>
        <v/>
      </c>
      <c r="DL574" s="128">
        <f>IFERROR(AZ574*$V574,)</f>
        <v/>
      </c>
      <c r="DM574" s="129">
        <f>IFERROR(if($X574=0,($V574/1.2)*BA574,
BA574*$X574),)</f>
        <v/>
      </c>
      <c r="DN574" s="129">
        <f>IFERROR(if($X574=0,($V574/1.2)*BB574,
BB574*$X574),)</f>
        <v/>
      </c>
      <c r="DO574" s="129">
        <f>IFERROR(if($X574=0,($V574/1.2)*BC574,
BC574*$X574),)</f>
        <v/>
      </c>
      <c r="DP574" s="130">
        <f>IFERROR(if($Z574=0,($V574/1.35)*BD574,
BD574*$Z574),)</f>
        <v/>
      </c>
      <c r="DQ574" s="130">
        <f>IFERROR(if($Z574=0,($V574/1.35)*BE574,
BE574*$Z574),)</f>
        <v/>
      </c>
      <c r="DR574" s="130">
        <f>IFERROR(if($Z574=0,($V574/1.35)*BF574,
BF574*$Z574),)</f>
        <v/>
      </c>
      <c r="DS574" s="128">
        <f>IFERROR(IF($AB574=0,($V574/0.74)*BG574,
BG574*$AB574),)</f>
        <v/>
      </c>
      <c r="DT574" s="128">
        <f>IFERROR(IF($AB574=0,($V574/0.74)*BH574,
BH574*$AB574),)</f>
        <v/>
      </c>
      <c r="DU574" s="128">
        <f>IFERROR(IF($AB574=0,($V574/0.74)*BI574,
BI574*$AB574),)</f>
        <v/>
      </c>
    </row>
    <row r="575" ht="131.25" customHeight="1" s="162">
      <c r="A575" s="115" t="n"/>
      <c r="B575" s="115" t="n"/>
      <c r="C575" s="115" t="n"/>
      <c r="D575" s="115" t="n"/>
      <c r="E575" s="115" t="n"/>
      <c r="F575" s="115" t="n"/>
      <c r="G575" s="115" t="n"/>
      <c r="H575" s="115" t="n"/>
      <c r="I575" s="115" t="n"/>
      <c r="J575" s="115" t="n"/>
      <c r="K575" s="115" t="n"/>
      <c r="L575" s="115" t="n"/>
      <c r="M575" s="115" t="n"/>
      <c r="N575" s="115" t="n"/>
      <c r="O575" s="115" t="n"/>
      <c r="P575" s="115" t="n"/>
      <c r="Q575" s="115" t="n"/>
      <c r="R575" s="115" t="n"/>
      <c r="S575" s="115" t="n"/>
      <c r="T575" s="115" t="n"/>
      <c r="U575" s="116" t="n"/>
      <c r="V575" s="116" t="n"/>
      <c r="W575" s="117" t="n"/>
      <c r="X575" s="118" t="n"/>
      <c r="Y575" s="119" t="n"/>
      <c r="Z575" s="120" t="n"/>
      <c r="AA575" s="121" t="n"/>
      <c r="AB575" s="122" t="n"/>
      <c r="AC575" s="117" t="n"/>
      <c r="AD575" s="123">
        <f>IF(SUM($AE575:$AH575)=0,"",SUM($AE575:$AH575))</f>
        <v/>
      </c>
      <c r="AE575" s="123">
        <f>iferror(IF(SUM($AI575:$AZ575)=0,"",SUM($AI575:$AZ575)),"")</f>
        <v/>
      </c>
      <c r="AF575" s="123">
        <f>iferror(IF(SUM($BA575:$BC575)=0,"",SUM($BA575:$BC575)),"")</f>
        <v/>
      </c>
      <c r="AG575" s="123">
        <f>iferror(IF(SUM($BD575:$BF575)=0,"",SUM($BD575:$BF575)),"")</f>
        <v/>
      </c>
      <c r="AH575" s="124">
        <f>iferror(IF(SUM($BG575:$BI575)=0,"",SUM($BG575:$BI575)),"")</f>
        <v/>
      </c>
      <c r="AI575" s="131" t="n"/>
      <c r="AJ575" s="132" t="n"/>
      <c r="AK575" s="132" t="n"/>
      <c r="AL575" s="132" t="n"/>
      <c r="AM575" s="132" t="n"/>
      <c r="AN575" s="132" t="n"/>
      <c r="AO575" s="132" t="n"/>
      <c r="AP575" s="132" t="n"/>
      <c r="AQ575" s="132" t="n"/>
      <c r="AR575" s="132" t="n"/>
      <c r="AS575" s="132" t="n"/>
      <c r="AT575" s="132" t="n"/>
      <c r="AU575" s="132" t="n"/>
      <c r="AV575" s="132" t="n"/>
      <c r="AW575" s="132" t="n"/>
      <c r="AX575" s="132" t="n"/>
      <c r="AY575" s="132" t="n"/>
      <c r="AZ575" s="133" t="n"/>
      <c r="BA575" s="131" t="n"/>
      <c r="BB575" s="132" t="n"/>
      <c r="BC575" s="133" t="n"/>
      <c r="BD575" s="131" t="n"/>
      <c r="BE575" s="132" t="n"/>
      <c r="BF575" s="133" t="n"/>
      <c r="BG575" s="131" t="n"/>
      <c r="BH575" s="132" t="n"/>
      <c r="BI575" s="132" t="n"/>
      <c r="BJ575" s="128">
        <f>iferror(SUM($BK575,($BL575*1.2),($BM575*1.35),($BN575*0.74)),)</f>
        <v/>
      </c>
      <c r="BK575" s="128">
        <f>IFERROR(SUM($BT575:$CK575),)</f>
        <v/>
      </c>
      <c r="BL575" s="129">
        <f>IFERROR(SUM($CL575:$CN575),)</f>
        <v/>
      </c>
      <c r="BM575" s="130">
        <f>IFERROR(SUM($CO575:$CQ575),)</f>
        <v/>
      </c>
      <c r="BN575" s="128">
        <f>IFERROR(SUM($CR575:$CT575),)</f>
        <v/>
      </c>
      <c r="BO575" s="128">
        <f>iferror(SUM($BP575,($BQ575*1.2),($BR575*1.35),($BS575*0.74)),)</f>
        <v/>
      </c>
      <c r="BP575" s="128">
        <f>IFERROR(SUM($CU575:$DL575),)</f>
        <v/>
      </c>
      <c r="BQ575" s="128">
        <f>IFERROR(SUM($DM575:$DO575),)</f>
        <v/>
      </c>
      <c r="BR575" s="128">
        <f>IFERROR(SUM($DP575:$DR575),)</f>
        <v/>
      </c>
      <c r="BS575" s="128">
        <f>IFERROR(SUM($DS575:$DU575),)</f>
        <v/>
      </c>
      <c r="BT575" s="128">
        <f>IFERROR(AI575*$W575,)</f>
        <v/>
      </c>
      <c r="BU575" s="128">
        <f>IFERROR(AJ575*$W575,)</f>
        <v/>
      </c>
      <c r="BV575" s="128">
        <f>IFERROR(AK575*$W575,)</f>
        <v/>
      </c>
      <c r="BW575" s="128">
        <f>IFERROR(AL575*$W575,)</f>
        <v/>
      </c>
      <c r="BX575" s="128">
        <f>IFERROR(AM575*$W575,)</f>
        <v/>
      </c>
      <c r="BY575" s="128">
        <f>IFERROR(AN575*$W575,)</f>
        <v/>
      </c>
      <c r="BZ575" s="128">
        <f>IFERROR(AO575*$W575,)</f>
        <v/>
      </c>
      <c r="CA575" s="128">
        <f>IFERROR(AP575*$W575,)</f>
        <v/>
      </c>
      <c r="CB575" s="128">
        <f>IFERROR(AQ575*$W575,)</f>
        <v/>
      </c>
      <c r="CC575" s="128">
        <f>IFERROR(AR575*$W575,)</f>
        <v/>
      </c>
      <c r="CD575" s="128">
        <f>IFERROR(AS575*$W575,)</f>
        <v/>
      </c>
      <c r="CE575" s="128">
        <f>IFERROR(AT575*$W575,)</f>
        <v/>
      </c>
      <c r="CF575" s="128">
        <f>IFERROR(AU575*$W575,)</f>
        <v/>
      </c>
      <c r="CG575" s="128">
        <f>IFERROR(AV575*$W575,)</f>
        <v/>
      </c>
      <c r="CH575" s="128">
        <f>IFERROR(AW575*$W575,)</f>
        <v/>
      </c>
      <c r="CI575" s="128">
        <f>IFERROR(AX575*$W575,)</f>
        <v/>
      </c>
      <c r="CJ575" s="128">
        <f>IFERROR(AY575*$W575,)</f>
        <v/>
      </c>
      <c r="CK575" s="128">
        <f>IFERROR(AZ575*$W575,)</f>
        <v/>
      </c>
      <c r="CL575" s="129">
        <f>IFERROR(if($Y575=0,BA575*($W575/1.2),BA575*$Y575),"")</f>
        <v/>
      </c>
      <c r="CM575" s="129">
        <f>IFERROR(if($Y575=0,BB575*($W575/1.2),BB575*$Y575),"")</f>
        <v/>
      </c>
      <c r="CN575" s="129">
        <f>IFERROR(if($Y575=0,BC575*($W575/1.2),BC575*$Y575),"")</f>
        <v/>
      </c>
      <c r="CO575" s="130">
        <f>IFERROR(if($AA575=0,($W575/1.35)*BD575,BD575*$AA575),)</f>
        <v/>
      </c>
      <c r="CP575" s="130">
        <f>IFERROR(if($AA575=0,($W575/1.35)*BE575,BE575*$AA575),)</f>
        <v/>
      </c>
      <c r="CQ575" s="130">
        <f>IFERROR(if($AA575=0,($W575/1.35)*BF575,BF575*$AA575),)</f>
        <v/>
      </c>
      <c r="CR575" s="128">
        <f>IFERROR(if($AC575=0,($W575/0.74)*BG575,
BG575*$AC575),)</f>
        <v/>
      </c>
      <c r="CS575" s="128">
        <f>IFERROR(if($AC575=0,($W575/0.74)*BH575,
BH575*$AC575),)</f>
        <v/>
      </c>
      <c r="CT575" s="128">
        <f>IFERROR(if($AC575=0,($W575/0.74)*BI575,
BI575*$AC575),)</f>
        <v/>
      </c>
      <c r="CU575" s="128">
        <f>IFERROR(AI575*$V575,)</f>
        <v/>
      </c>
      <c r="CV575" s="128">
        <f>IFERROR(AJ575*$V575,)</f>
        <v/>
      </c>
      <c r="CW575" s="128">
        <f>IFERROR(AK575*$V575,)</f>
        <v/>
      </c>
      <c r="CX575" s="128">
        <f>IFERROR(AL575*$V575,)</f>
        <v/>
      </c>
      <c r="CY575" s="128">
        <f>IFERROR(AM575*$V575,)</f>
        <v/>
      </c>
      <c r="CZ575" s="128">
        <f>IFERROR(AN575*$V575,)</f>
        <v/>
      </c>
      <c r="DA575" s="128">
        <f>IFERROR(AO575*$V575,)</f>
        <v/>
      </c>
      <c r="DB575" s="128">
        <f>IFERROR(AP575*$V575,)</f>
        <v/>
      </c>
      <c r="DC575" s="128">
        <f>IFERROR(AQ575*$V575,)</f>
        <v/>
      </c>
      <c r="DD575" s="128">
        <f>IFERROR(AR575*$V575,)</f>
        <v/>
      </c>
      <c r="DE575" s="128">
        <f>IFERROR(AS575*$V575,)</f>
        <v/>
      </c>
      <c r="DF575" s="128">
        <f>IFERROR(AT575*$V575,)</f>
        <v/>
      </c>
      <c r="DG575" s="128">
        <f>IFERROR(AU575*$V575,)</f>
        <v/>
      </c>
      <c r="DH575" s="128">
        <f>IFERROR(AV575*$V575,)</f>
        <v/>
      </c>
      <c r="DI575" s="128">
        <f>IFERROR(AW575*$V575,)</f>
        <v/>
      </c>
      <c r="DJ575" s="128">
        <f>IFERROR(AX575*$V575,)</f>
        <v/>
      </c>
      <c r="DK575" s="128">
        <f>IFERROR(AY575*$V575,)</f>
        <v/>
      </c>
      <c r="DL575" s="128">
        <f>IFERROR(AZ575*$V575,)</f>
        <v/>
      </c>
      <c r="DM575" s="129">
        <f>IFERROR(if($X575=0,($V575/1.2)*BA575,
BA575*$X575),)</f>
        <v/>
      </c>
      <c r="DN575" s="129">
        <f>IFERROR(if($X575=0,($V575/1.2)*BB575,
BB575*$X575),)</f>
        <v/>
      </c>
      <c r="DO575" s="129">
        <f>IFERROR(if($X575=0,($V575/1.2)*BC575,
BC575*$X575),)</f>
        <v/>
      </c>
      <c r="DP575" s="130">
        <f>IFERROR(if($Z575=0,($V575/1.35)*BD575,
BD575*$Z575),)</f>
        <v/>
      </c>
      <c r="DQ575" s="130">
        <f>IFERROR(if($Z575=0,($V575/1.35)*BE575,
BE575*$Z575),)</f>
        <v/>
      </c>
      <c r="DR575" s="130">
        <f>IFERROR(if($Z575=0,($V575/1.35)*BF575,
BF575*$Z575),)</f>
        <v/>
      </c>
      <c r="DS575" s="128">
        <f>IFERROR(IF($AB575=0,($V575/0.74)*BG575,
BG575*$AB575),)</f>
        <v/>
      </c>
      <c r="DT575" s="128">
        <f>IFERROR(IF($AB575=0,($V575/0.74)*BH575,
BH575*$AB575),)</f>
        <v/>
      </c>
      <c r="DU575" s="128">
        <f>IFERROR(IF($AB575=0,($V575/0.74)*BI575,
BI575*$AB575),)</f>
        <v/>
      </c>
    </row>
    <row r="576" ht="131.25" customHeight="1" s="162">
      <c r="A576" s="115" t="n"/>
      <c r="B576" s="115" t="n"/>
      <c r="C576" s="115" t="n"/>
      <c r="D576" s="115" t="n"/>
      <c r="E576" s="115" t="n"/>
      <c r="F576" s="115" t="n"/>
      <c r="G576" s="115" t="n"/>
      <c r="H576" s="115" t="n"/>
      <c r="I576" s="115" t="n"/>
      <c r="J576" s="115" t="n"/>
      <c r="K576" s="115" t="n"/>
      <c r="L576" s="115" t="n"/>
      <c r="M576" s="115" t="n"/>
      <c r="N576" s="115" t="n"/>
      <c r="O576" s="115" t="n"/>
      <c r="P576" s="115" t="n"/>
      <c r="Q576" s="115" t="n"/>
      <c r="R576" s="115" t="n"/>
      <c r="S576" s="115" t="n"/>
      <c r="T576" s="115" t="n"/>
      <c r="U576" s="116" t="n"/>
      <c r="V576" s="116" t="n"/>
      <c r="W576" s="117" t="n"/>
      <c r="X576" s="118" t="n"/>
      <c r="Y576" s="119" t="n"/>
      <c r="Z576" s="120" t="n"/>
      <c r="AA576" s="121" t="n"/>
      <c r="AB576" s="122" t="n"/>
      <c r="AC576" s="117" t="n"/>
      <c r="AD576" s="123">
        <f>IF(SUM($AE576:$AH576)=0,"",SUM($AE576:$AH576))</f>
        <v/>
      </c>
      <c r="AE576" s="123">
        <f>iferror(IF(SUM($AI576:$AZ576)=0,"",SUM($AI576:$AZ576)),"")</f>
        <v/>
      </c>
      <c r="AF576" s="123">
        <f>iferror(IF(SUM($BA576:$BC576)=0,"",SUM($BA576:$BC576)),"")</f>
        <v/>
      </c>
      <c r="AG576" s="123">
        <f>iferror(IF(SUM($BD576:$BF576)=0,"",SUM($BD576:$BF576)),"")</f>
        <v/>
      </c>
      <c r="AH576" s="124">
        <f>iferror(IF(SUM($BG576:$BI576)=0,"",SUM($BG576:$BI576)),"")</f>
        <v/>
      </c>
      <c r="AI576" s="131" t="n"/>
      <c r="AJ576" s="132" t="n"/>
      <c r="AK576" s="132" t="n"/>
      <c r="AL576" s="132" t="n"/>
      <c r="AM576" s="132" t="n"/>
      <c r="AN576" s="132" t="n"/>
      <c r="AO576" s="132" t="n"/>
      <c r="AP576" s="132" t="n"/>
      <c r="AQ576" s="132" t="n"/>
      <c r="AR576" s="132" t="n"/>
      <c r="AS576" s="132" t="n"/>
      <c r="AT576" s="132" t="n"/>
      <c r="AU576" s="132" t="n"/>
      <c r="AV576" s="132" t="n"/>
      <c r="AW576" s="132" t="n"/>
      <c r="AX576" s="132" t="n"/>
      <c r="AY576" s="132" t="n"/>
      <c r="AZ576" s="133" t="n"/>
      <c r="BA576" s="131" t="n"/>
      <c r="BB576" s="132" t="n"/>
      <c r="BC576" s="133" t="n"/>
      <c r="BD576" s="131" t="n"/>
      <c r="BE576" s="132" t="n"/>
      <c r="BF576" s="133" t="n"/>
      <c r="BG576" s="131" t="n"/>
      <c r="BH576" s="132" t="n"/>
      <c r="BI576" s="132" t="n"/>
      <c r="BJ576" s="128">
        <f>iferror(SUM($BK576,($BL576*1.2),($BM576*1.35),($BN576*0.74)),)</f>
        <v/>
      </c>
      <c r="BK576" s="128">
        <f>IFERROR(SUM($BT576:$CK576),)</f>
        <v/>
      </c>
      <c r="BL576" s="129">
        <f>IFERROR(SUM($CL576:$CN576),)</f>
        <v/>
      </c>
      <c r="BM576" s="130">
        <f>IFERROR(SUM($CO576:$CQ576),)</f>
        <v/>
      </c>
      <c r="BN576" s="128">
        <f>IFERROR(SUM($CR576:$CT576),)</f>
        <v/>
      </c>
      <c r="BO576" s="128">
        <f>iferror(SUM($BP576,($BQ576*1.2),($BR576*1.35),($BS576*0.74)),)</f>
        <v/>
      </c>
      <c r="BP576" s="128">
        <f>IFERROR(SUM($CU576:$DL576),)</f>
        <v/>
      </c>
      <c r="BQ576" s="128">
        <f>IFERROR(SUM($DM576:$DO576),)</f>
        <v/>
      </c>
      <c r="BR576" s="128">
        <f>IFERROR(SUM($DP576:$DR576),)</f>
        <v/>
      </c>
      <c r="BS576" s="128">
        <f>IFERROR(SUM($DS576:$DU576),)</f>
        <v/>
      </c>
      <c r="BT576" s="128">
        <f>IFERROR(AI576*$W576,)</f>
        <v/>
      </c>
      <c r="BU576" s="128">
        <f>IFERROR(AJ576*$W576,)</f>
        <v/>
      </c>
      <c r="BV576" s="128">
        <f>IFERROR(AK576*$W576,)</f>
        <v/>
      </c>
      <c r="BW576" s="128">
        <f>IFERROR(AL576*$W576,)</f>
        <v/>
      </c>
      <c r="BX576" s="128">
        <f>IFERROR(AM576*$W576,)</f>
        <v/>
      </c>
      <c r="BY576" s="128">
        <f>IFERROR(AN576*$W576,)</f>
        <v/>
      </c>
      <c r="BZ576" s="128">
        <f>IFERROR(AO576*$W576,)</f>
        <v/>
      </c>
      <c r="CA576" s="128">
        <f>IFERROR(AP576*$W576,)</f>
        <v/>
      </c>
      <c r="CB576" s="128">
        <f>IFERROR(AQ576*$W576,)</f>
        <v/>
      </c>
      <c r="CC576" s="128">
        <f>IFERROR(AR576*$W576,)</f>
        <v/>
      </c>
      <c r="CD576" s="128">
        <f>IFERROR(AS576*$W576,)</f>
        <v/>
      </c>
      <c r="CE576" s="128">
        <f>IFERROR(AT576*$W576,)</f>
        <v/>
      </c>
      <c r="CF576" s="128">
        <f>IFERROR(AU576*$W576,)</f>
        <v/>
      </c>
      <c r="CG576" s="128">
        <f>IFERROR(AV576*$W576,)</f>
        <v/>
      </c>
      <c r="CH576" s="128">
        <f>IFERROR(AW576*$W576,)</f>
        <v/>
      </c>
      <c r="CI576" s="128">
        <f>IFERROR(AX576*$W576,)</f>
        <v/>
      </c>
      <c r="CJ576" s="128">
        <f>IFERROR(AY576*$W576,)</f>
        <v/>
      </c>
      <c r="CK576" s="128">
        <f>IFERROR(AZ576*$W576,)</f>
        <v/>
      </c>
      <c r="CL576" s="129">
        <f>IFERROR(if($Y576=0,BA576*($W576/1.2),BA576*$Y576),"")</f>
        <v/>
      </c>
      <c r="CM576" s="129">
        <f>IFERROR(if($Y576=0,BB576*($W576/1.2),BB576*$Y576),"")</f>
        <v/>
      </c>
      <c r="CN576" s="129">
        <f>IFERROR(if($Y576=0,BC576*($W576/1.2),BC576*$Y576),"")</f>
        <v/>
      </c>
      <c r="CO576" s="130">
        <f>IFERROR(if($AA576=0,($W576/1.35)*BD576,BD576*$AA576),)</f>
        <v/>
      </c>
      <c r="CP576" s="130">
        <f>IFERROR(if($AA576=0,($W576/1.35)*BE576,BE576*$AA576),)</f>
        <v/>
      </c>
      <c r="CQ576" s="130">
        <f>IFERROR(if($AA576=0,($W576/1.35)*BF576,BF576*$AA576),)</f>
        <v/>
      </c>
      <c r="CR576" s="128">
        <f>IFERROR(if($AC576=0,($W576/0.74)*BG576,
BG576*$AC576),)</f>
        <v/>
      </c>
      <c r="CS576" s="128">
        <f>IFERROR(if($AC576=0,($W576/0.74)*BH576,
BH576*$AC576),)</f>
        <v/>
      </c>
      <c r="CT576" s="128">
        <f>IFERROR(if($AC576=0,($W576/0.74)*BI576,
BI576*$AC576),)</f>
        <v/>
      </c>
      <c r="CU576" s="128">
        <f>IFERROR(AI576*$V576,)</f>
        <v/>
      </c>
      <c r="CV576" s="128">
        <f>IFERROR(AJ576*$V576,)</f>
        <v/>
      </c>
      <c r="CW576" s="128">
        <f>IFERROR(AK576*$V576,)</f>
        <v/>
      </c>
      <c r="CX576" s="128">
        <f>IFERROR(AL576*$V576,)</f>
        <v/>
      </c>
      <c r="CY576" s="128">
        <f>IFERROR(AM576*$V576,)</f>
        <v/>
      </c>
      <c r="CZ576" s="128">
        <f>IFERROR(AN576*$V576,)</f>
        <v/>
      </c>
      <c r="DA576" s="128">
        <f>IFERROR(AO576*$V576,)</f>
        <v/>
      </c>
      <c r="DB576" s="128">
        <f>IFERROR(AP576*$V576,)</f>
        <v/>
      </c>
      <c r="DC576" s="128">
        <f>IFERROR(AQ576*$V576,)</f>
        <v/>
      </c>
      <c r="DD576" s="128">
        <f>IFERROR(AR576*$V576,)</f>
        <v/>
      </c>
      <c r="DE576" s="128">
        <f>IFERROR(AS576*$V576,)</f>
        <v/>
      </c>
      <c r="DF576" s="128">
        <f>IFERROR(AT576*$V576,)</f>
        <v/>
      </c>
      <c r="DG576" s="128">
        <f>IFERROR(AU576*$V576,)</f>
        <v/>
      </c>
      <c r="DH576" s="128">
        <f>IFERROR(AV576*$V576,)</f>
        <v/>
      </c>
      <c r="DI576" s="128">
        <f>IFERROR(AW576*$V576,)</f>
        <v/>
      </c>
      <c r="DJ576" s="128">
        <f>IFERROR(AX576*$V576,)</f>
        <v/>
      </c>
      <c r="DK576" s="128">
        <f>IFERROR(AY576*$V576,)</f>
        <v/>
      </c>
      <c r="DL576" s="128">
        <f>IFERROR(AZ576*$V576,)</f>
        <v/>
      </c>
      <c r="DM576" s="129">
        <f>IFERROR(if($X576=0,($V576/1.2)*BA576,
BA576*$X576),)</f>
        <v/>
      </c>
      <c r="DN576" s="129">
        <f>IFERROR(if($X576=0,($V576/1.2)*BB576,
BB576*$X576),)</f>
        <v/>
      </c>
      <c r="DO576" s="129">
        <f>IFERROR(if($X576=0,($V576/1.2)*BC576,
BC576*$X576),)</f>
        <v/>
      </c>
      <c r="DP576" s="130">
        <f>IFERROR(if($Z576=0,($V576/1.35)*BD576,
BD576*$Z576),)</f>
        <v/>
      </c>
      <c r="DQ576" s="130">
        <f>IFERROR(if($Z576=0,($V576/1.35)*BE576,
BE576*$Z576),)</f>
        <v/>
      </c>
      <c r="DR576" s="130">
        <f>IFERROR(if($Z576=0,($V576/1.35)*BF576,
BF576*$Z576),)</f>
        <v/>
      </c>
      <c r="DS576" s="128">
        <f>IFERROR(IF($AB576=0,($V576/0.74)*BG576,
BG576*$AB576),)</f>
        <v/>
      </c>
      <c r="DT576" s="128">
        <f>IFERROR(IF($AB576=0,($V576/0.74)*BH576,
BH576*$AB576),)</f>
        <v/>
      </c>
      <c r="DU576" s="128">
        <f>IFERROR(IF($AB576=0,($V576/0.74)*BI576,
BI576*$AB576),)</f>
        <v/>
      </c>
    </row>
    <row r="577" ht="131.25" customHeight="1" s="162">
      <c r="A577" s="115" t="n"/>
      <c r="B577" s="115" t="n"/>
      <c r="C577" s="115" t="n"/>
      <c r="D577" s="115" t="n"/>
      <c r="E577" s="115" t="n"/>
      <c r="F577" s="115" t="n"/>
      <c r="G577" s="115" t="n"/>
      <c r="H577" s="115" t="n"/>
      <c r="I577" s="115" t="n"/>
      <c r="J577" s="115" t="n"/>
      <c r="K577" s="115" t="n"/>
      <c r="L577" s="115" t="n"/>
      <c r="M577" s="115" t="n"/>
      <c r="N577" s="115" t="n"/>
      <c r="O577" s="115" t="n"/>
      <c r="P577" s="115" t="n"/>
      <c r="Q577" s="115" t="n"/>
      <c r="R577" s="115" t="n"/>
      <c r="S577" s="115" t="n"/>
      <c r="T577" s="115" t="n"/>
      <c r="U577" s="116" t="n"/>
      <c r="V577" s="116" t="n"/>
      <c r="W577" s="117" t="n"/>
      <c r="X577" s="118" t="n"/>
      <c r="Y577" s="119" t="n"/>
      <c r="Z577" s="120" t="n"/>
      <c r="AA577" s="121" t="n"/>
      <c r="AB577" s="122" t="n"/>
      <c r="AC577" s="117" t="n"/>
      <c r="AD577" s="123">
        <f>IF(SUM($AE577:$AH577)=0,"",SUM($AE577:$AH577))</f>
        <v/>
      </c>
      <c r="AE577" s="123">
        <f>iferror(IF(SUM($AI577:$AZ577)=0,"",SUM($AI577:$AZ577)),"")</f>
        <v/>
      </c>
      <c r="AF577" s="123">
        <f>iferror(IF(SUM($BA577:$BC577)=0,"",SUM($BA577:$BC577)),"")</f>
        <v/>
      </c>
      <c r="AG577" s="123">
        <f>iferror(IF(SUM($BD577:$BF577)=0,"",SUM($BD577:$BF577)),"")</f>
        <v/>
      </c>
      <c r="AH577" s="124">
        <f>iferror(IF(SUM($BG577:$BI577)=0,"",SUM($BG577:$BI577)),"")</f>
        <v/>
      </c>
      <c r="AI577" s="131" t="n"/>
      <c r="AJ577" s="132" t="n"/>
      <c r="AK577" s="132" t="n"/>
      <c r="AL577" s="132" t="n"/>
      <c r="AM577" s="132" t="n"/>
      <c r="AN577" s="132" t="n"/>
      <c r="AO577" s="132" t="n"/>
      <c r="AP577" s="132" t="n"/>
      <c r="AQ577" s="132" t="n"/>
      <c r="AR577" s="132" t="n"/>
      <c r="AS577" s="132" t="n"/>
      <c r="AT577" s="132" t="n"/>
      <c r="AU577" s="132" t="n"/>
      <c r="AV577" s="132" t="n"/>
      <c r="AW577" s="132" t="n"/>
      <c r="AX577" s="132" t="n"/>
      <c r="AY577" s="132" t="n"/>
      <c r="AZ577" s="133" t="n"/>
      <c r="BA577" s="131" t="n"/>
      <c r="BB577" s="132" t="n"/>
      <c r="BC577" s="133" t="n"/>
      <c r="BD577" s="131" t="n"/>
      <c r="BE577" s="132" t="n"/>
      <c r="BF577" s="133" t="n"/>
      <c r="BG577" s="131" t="n"/>
      <c r="BH577" s="132" t="n"/>
      <c r="BI577" s="132" t="n"/>
      <c r="BJ577" s="128">
        <f>iferror(SUM($BK577,($BL577*1.2),($BM577*1.35),($BN577*0.74)),)</f>
        <v/>
      </c>
      <c r="BK577" s="128">
        <f>IFERROR(SUM($BT577:$CK577),)</f>
        <v/>
      </c>
      <c r="BL577" s="129">
        <f>IFERROR(SUM($CL577:$CN577),)</f>
        <v/>
      </c>
      <c r="BM577" s="130">
        <f>IFERROR(SUM($CO577:$CQ577),)</f>
        <v/>
      </c>
      <c r="BN577" s="128">
        <f>IFERROR(SUM($CR577:$CT577),)</f>
        <v/>
      </c>
      <c r="BO577" s="128">
        <f>iferror(SUM($BP577,($BQ577*1.2),($BR577*1.35),($BS577*0.74)),)</f>
        <v/>
      </c>
      <c r="BP577" s="128">
        <f>IFERROR(SUM($CU577:$DL577),)</f>
        <v/>
      </c>
      <c r="BQ577" s="128">
        <f>IFERROR(SUM($DM577:$DO577),)</f>
        <v/>
      </c>
      <c r="BR577" s="128">
        <f>IFERROR(SUM($DP577:$DR577),)</f>
        <v/>
      </c>
      <c r="BS577" s="128">
        <f>IFERROR(SUM($DS577:$DU577),)</f>
        <v/>
      </c>
      <c r="BT577" s="128">
        <f>IFERROR(AI577*$W577,)</f>
        <v/>
      </c>
      <c r="BU577" s="128">
        <f>IFERROR(AJ577*$W577,)</f>
        <v/>
      </c>
      <c r="BV577" s="128">
        <f>IFERROR(AK577*$W577,)</f>
        <v/>
      </c>
      <c r="BW577" s="128">
        <f>IFERROR(AL577*$W577,)</f>
        <v/>
      </c>
      <c r="BX577" s="128">
        <f>IFERROR(AM577*$W577,)</f>
        <v/>
      </c>
      <c r="BY577" s="128">
        <f>IFERROR(AN577*$W577,)</f>
        <v/>
      </c>
      <c r="BZ577" s="128">
        <f>IFERROR(AO577*$W577,)</f>
        <v/>
      </c>
      <c r="CA577" s="128">
        <f>IFERROR(AP577*$W577,)</f>
        <v/>
      </c>
      <c r="CB577" s="128">
        <f>IFERROR(AQ577*$W577,)</f>
        <v/>
      </c>
      <c r="CC577" s="128">
        <f>IFERROR(AR577*$W577,)</f>
        <v/>
      </c>
      <c r="CD577" s="128">
        <f>IFERROR(AS577*$W577,)</f>
        <v/>
      </c>
      <c r="CE577" s="128">
        <f>IFERROR(AT577*$W577,)</f>
        <v/>
      </c>
      <c r="CF577" s="128">
        <f>IFERROR(AU577*$W577,)</f>
        <v/>
      </c>
      <c r="CG577" s="128">
        <f>IFERROR(AV577*$W577,)</f>
        <v/>
      </c>
      <c r="CH577" s="128">
        <f>IFERROR(AW577*$W577,)</f>
        <v/>
      </c>
      <c r="CI577" s="128">
        <f>IFERROR(AX577*$W577,)</f>
        <v/>
      </c>
      <c r="CJ577" s="128">
        <f>IFERROR(AY577*$W577,)</f>
        <v/>
      </c>
      <c r="CK577" s="128">
        <f>IFERROR(AZ577*$W577,)</f>
        <v/>
      </c>
      <c r="CL577" s="129">
        <f>IFERROR(if($Y577=0,BA577*($W577/1.2),BA577*$Y577),"")</f>
        <v/>
      </c>
      <c r="CM577" s="129">
        <f>IFERROR(if($Y577=0,BB577*($W577/1.2),BB577*$Y577),"")</f>
        <v/>
      </c>
      <c r="CN577" s="129">
        <f>IFERROR(if($Y577=0,BC577*($W577/1.2),BC577*$Y577),"")</f>
        <v/>
      </c>
      <c r="CO577" s="130">
        <f>IFERROR(if($AA577=0,($W577/1.35)*BD577,BD577*$AA577),)</f>
        <v/>
      </c>
      <c r="CP577" s="130">
        <f>IFERROR(if($AA577=0,($W577/1.35)*BE577,BE577*$AA577),)</f>
        <v/>
      </c>
      <c r="CQ577" s="130">
        <f>IFERROR(if($AA577=0,($W577/1.35)*BF577,BF577*$AA577),)</f>
        <v/>
      </c>
      <c r="CR577" s="128">
        <f>IFERROR(if($AC577=0,($W577/0.74)*BG577,
BG577*$AC577),)</f>
        <v/>
      </c>
      <c r="CS577" s="128">
        <f>IFERROR(if($AC577=0,($W577/0.74)*BH577,
BH577*$AC577),)</f>
        <v/>
      </c>
      <c r="CT577" s="128">
        <f>IFERROR(if($AC577=0,($W577/0.74)*BI577,
BI577*$AC577),)</f>
        <v/>
      </c>
      <c r="CU577" s="128">
        <f>IFERROR(AI577*$V577,)</f>
        <v/>
      </c>
      <c r="CV577" s="128">
        <f>IFERROR(AJ577*$V577,)</f>
        <v/>
      </c>
      <c r="CW577" s="128">
        <f>IFERROR(AK577*$V577,)</f>
        <v/>
      </c>
      <c r="CX577" s="128">
        <f>IFERROR(AL577*$V577,)</f>
        <v/>
      </c>
      <c r="CY577" s="128">
        <f>IFERROR(AM577*$V577,)</f>
        <v/>
      </c>
      <c r="CZ577" s="128">
        <f>IFERROR(AN577*$V577,)</f>
        <v/>
      </c>
      <c r="DA577" s="128">
        <f>IFERROR(AO577*$V577,)</f>
        <v/>
      </c>
      <c r="DB577" s="128">
        <f>IFERROR(AP577*$V577,)</f>
        <v/>
      </c>
      <c r="DC577" s="128">
        <f>IFERROR(AQ577*$V577,)</f>
        <v/>
      </c>
      <c r="DD577" s="128">
        <f>IFERROR(AR577*$V577,)</f>
        <v/>
      </c>
      <c r="DE577" s="128">
        <f>IFERROR(AS577*$V577,)</f>
        <v/>
      </c>
      <c r="DF577" s="128">
        <f>IFERROR(AT577*$V577,)</f>
        <v/>
      </c>
      <c r="DG577" s="128">
        <f>IFERROR(AU577*$V577,)</f>
        <v/>
      </c>
      <c r="DH577" s="128">
        <f>IFERROR(AV577*$V577,)</f>
        <v/>
      </c>
      <c r="DI577" s="128">
        <f>IFERROR(AW577*$V577,)</f>
        <v/>
      </c>
      <c r="DJ577" s="128">
        <f>IFERROR(AX577*$V577,)</f>
        <v/>
      </c>
      <c r="DK577" s="128">
        <f>IFERROR(AY577*$V577,)</f>
        <v/>
      </c>
      <c r="DL577" s="128">
        <f>IFERROR(AZ577*$V577,)</f>
        <v/>
      </c>
      <c r="DM577" s="129">
        <f>IFERROR(if($X577=0,($V577/1.2)*BA577,
BA577*$X577),)</f>
        <v/>
      </c>
      <c r="DN577" s="129">
        <f>IFERROR(if($X577=0,($V577/1.2)*BB577,
BB577*$X577),)</f>
        <v/>
      </c>
      <c r="DO577" s="129">
        <f>IFERROR(if($X577=0,($V577/1.2)*BC577,
BC577*$X577),)</f>
        <v/>
      </c>
      <c r="DP577" s="130">
        <f>IFERROR(if($Z577=0,($V577/1.35)*BD577,
BD577*$Z577),)</f>
        <v/>
      </c>
      <c r="DQ577" s="130">
        <f>IFERROR(if($Z577=0,($V577/1.35)*BE577,
BE577*$Z577),)</f>
        <v/>
      </c>
      <c r="DR577" s="130">
        <f>IFERROR(if($Z577=0,($V577/1.35)*BF577,
BF577*$Z577),)</f>
        <v/>
      </c>
      <c r="DS577" s="128">
        <f>IFERROR(IF($AB577=0,($V577/0.74)*BG577,
BG577*$AB577),)</f>
        <v/>
      </c>
      <c r="DT577" s="128">
        <f>IFERROR(IF($AB577=0,($V577/0.74)*BH577,
BH577*$AB577),)</f>
        <v/>
      </c>
      <c r="DU577" s="128">
        <f>IFERROR(IF($AB577=0,($V577/0.74)*BI577,
BI577*$AB577),)</f>
        <v/>
      </c>
    </row>
    <row r="578" ht="131.25" customHeight="1" s="162">
      <c r="A578" s="115" t="n"/>
      <c r="B578" s="115" t="n"/>
      <c r="C578" s="115" t="n"/>
      <c r="D578" s="115" t="n"/>
      <c r="E578" s="115" t="n"/>
      <c r="F578" s="115" t="n"/>
      <c r="G578" s="115" t="n"/>
      <c r="H578" s="115" t="n"/>
      <c r="I578" s="115" t="n"/>
      <c r="J578" s="115" t="n"/>
      <c r="K578" s="115" t="n"/>
      <c r="L578" s="115" t="n"/>
      <c r="M578" s="115" t="n"/>
      <c r="N578" s="115" t="n"/>
      <c r="O578" s="115" t="n"/>
      <c r="P578" s="115" t="n"/>
      <c r="Q578" s="115" t="n"/>
      <c r="R578" s="115" t="n"/>
      <c r="S578" s="115" t="n"/>
      <c r="T578" s="115" t="n"/>
      <c r="U578" s="116" t="n"/>
      <c r="V578" s="116" t="n"/>
      <c r="W578" s="117" t="n"/>
      <c r="X578" s="118" t="n"/>
      <c r="Y578" s="119" t="n"/>
      <c r="Z578" s="120" t="n"/>
      <c r="AA578" s="121" t="n"/>
      <c r="AB578" s="122" t="n"/>
      <c r="AC578" s="117" t="n"/>
      <c r="AD578" s="123">
        <f>IF(SUM($AE578:$AH578)=0,"",SUM($AE578:$AH578))</f>
        <v/>
      </c>
      <c r="AE578" s="123">
        <f>iferror(IF(SUM($AI578:$AZ578)=0,"",SUM($AI578:$AZ578)),"")</f>
        <v/>
      </c>
      <c r="AF578" s="123">
        <f>iferror(IF(SUM($BA578:$BC578)=0,"",SUM($BA578:$BC578)),"")</f>
        <v/>
      </c>
      <c r="AG578" s="123">
        <f>iferror(IF(SUM($BD578:$BF578)=0,"",SUM($BD578:$BF578)),"")</f>
        <v/>
      </c>
      <c r="AH578" s="124">
        <f>iferror(IF(SUM($BG578:$BI578)=0,"",SUM($BG578:$BI578)),"")</f>
        <v/>
      </c>
      <c r="AI578" s="131" t="n"/>
      <c r="AJ578" s="132" t="n"/>
      <c r="AK578" s="132" t="n"/>
      <c r="AL578" s="132" t="n"/>
      <c r="AM578" s="132" t="n"/>
      <c r="AN578" s="132" t="n"/>
      <c r="AO578" s="132" t="n"/>
      <c r="AP578" s="132" t="n"/>
      <c r="AQ578" s="132" t="n"/>
      <c r="AR578" s="132" t="n"/>
      <c r="AS578" s="132" t="n"/>
      <c r="AT578" s="132" t="n"/>
      <c r="AU578" s="132" t="n"/>
      <c r="AV578" s="132" t="n"/>
      <c r="AW578" s="132" t="n"/>
      <c r="AX578" s="132" t="n"/>
      <c r="AY578" s="132" t="n"/>
      <c r="AZ578" s="133" t="n"/>
      <c r="BA578" s="131" t="n"/>
      <c r="BB578" s="132" t="n"/>
      <c r="BC578" s="133" t="n"/>
      <c r="BD578" s="131" t="n"/>
      <c r="BE578" s="132" t="n"/>
      <c r="BF578" s="133" t="n"/>
      <c r="BG578" s="131" t="n"/>
      <c r="BH578" s="132" t="n"/>
      <c r="BI578" s="132" t="n"/>
      <c r="BJ578" s="128">
        <f>iferror(SUM($BK578,($BL578*1.2),($BM578*1.35),($BN578*0.74)),)</f>
        <v/>
      </c>
      <c r="BK578" s="128">
        <f>IFERROR(SUM($BT578:$CK578),)</f>
        <v/>
      </c>
      <c r="BL578" s="129">
        <f>IFERROR(SUM($CL578:$CN578),)</f>
        <v/>
      </c>
      <c r="BM578" s="130">
        <f>IFERROR(SUM($CO578:$CQ578),)</f>
        <v/>
      </c>
      <c r="BN578" s="128">
        <f>IFERROR(SUM($CR578:$CT578),)</f>
        <v/>
      </c>
      <c r="BO578" s="128">
        <f>iferror(SUM($BP578,($BQ578*1.2),($BR578*1.35),($BS578*0.74)),)</f>
        <v/>
      </c>
      <c r="BP578" s="128">
        <f>IFERROR(SUM($CU578:$DL578),)</f>
        <v/>
      </c>
      <c r="BQ578" s="128">
        <f>IFERROR(SUM($DM578:$DO578),)</f>
        <v/>
      </c>
      <c r="BR578" s="128">
        <f>IFERROR(SUM($DP578:$DR578),)</f>
        <v/>
      </c>
      <c r="BS578" s="128">
        <f>IFERROR(SUM($DS578:$DU578),)</f>
        <v/>
      </c>
      <c r="BT578" s="128">
        <f>IFERROR(AI578*$W578,)</f>
        <v/>
      </c>
      <c r="BU578" s="128">
        <f>IFERROR(AJ578*$W578,)</f>
        <v/>
      </c>
      <c r="BV578" s="128">
        <f>IFERROR(AK578*$W578,)</f>
        <v/>
      </c>
      <c r="BW578" s="128">
        <f>IFERROR(AL578*$W578,)</f>
        <v/>
      </c>
      <c r="BX578" s="128">
        <f>IFERROR(AM578*$W578,)</f>
        <v/>
      </c>
      <c r="BY578" s="128">
        <f>IFERROR(AN578*$W578,)</f>
        <v/>
      </c>
      <c r="BZ578" s="128">
        <f>IFERROR(AO578*$W578,)</f>
        <v/>
      </c>
      <c r="CA578" s="128">
        <f>IFERROR(AP578*$W578,)</f>
        <v/>
      </c>
      <c r="CB578" s="128">
        <f>IFERROR(AQ578*$W578,)</f>
        <v/>
      </c>
      <c r="CC578" s="128">
        <f>IFERROR(AR578*$W578,)</f>
        <v/>
      </c>
      <c r="CD578" s="128">
        <f>IFERROR(AS578*$W578,)</f>
        <v/>
      </c>
      <c r="CE578" s="128">
        <f>IFERROR(AT578*$W578,)</f>
        <v/>
      </c>
      <c r="CF578" s="128">
        <f>IFERROR(AU578*$W578,)</f>
        <v/>
      </c>
      <c r="CG578" s="128">
        <f>IFERROR(AV578*$W578,)</f>
        <v/>
      </c>
      <c r="CH578" s="128">
        <f>IFERROR(AW578*$W578,)</f>
        <v/>
      </c>
      <c r="CI578" s="128">
        <f>IFERROR(AX578*$W578,)</f>
        <v/>
      </c>
      <c r="CJ578" s="128">
        <f>IFERROR(AY578*$W578,)</f>
        <v/>
      </c>
      <c r="CK578" s="128">
        <f>IFERROR(AZ578*$W578,)</f>
        <v/>
      </c>
      <c r="CL578" s="129">
        <f>IFERROR(if($Y578=0,BA578*($W578/1.2),BA578*$Y578),"")</f>
        <v/>
      </c>
      <c r="CM578" s="129">
        <f>IFERROR(if($Y578=0,BB578*($W578/1.2),BB578*$Y578),"")</f>
        <v/>
      </c>
      <c r="CN578" s="129">
        <f>IFERROR(if($Y578=0,BC578*($W578/1.2),BC578*$Y578),"")</f>
        <v/>
      </c>
      <c r="CO578" s="130">
        <f>IFERROR(if($AA578=0,($W578/1.35)*BD578,BD578*$AA578),)</f>
        <v/>
      </c>
      <c r="CP578" s="130">
        <f>IFERROR(if($AA578=0,($W578/1.35)*BE578,BE578*$AA578),)</f>
        <v/>
      </c>
      <c r="CQ578" s="130">
        <f>IFERROR(if($AA578=0,($W578/1.35)*BF578,BF578*$AA578),)</f>
        <v/>
      </c>
      <c r="CR578" s="128">
        <f>IFERROR(if($AC578=0,($W578/0.74)*BG578,
BG578*$AC578),)</f>
        <v/>
      </c>
      <c r="CS578" s="128">
        <f>IFERROR(if($AC578=0,($W578/0.74)*BH578,
BH578*$AC578),)</f>
        <v/>
      </c>
      <c r="CT578" s="128">
        <f>IFERROR(if($AC578=0,($W578/0.74)*BI578,
BI578*$AC578),)</f>
        <v/>
      </c>
      <c r="CU578" s="128">
        <f>IFERROR(AI578*$V578,)</f>
        <v/>
      </c>
      <c r="CV578" s="128">
        <f>IFERROR(AJ578*$V578,)</f>
        <v/>
      </c>
      <c r="CW578" s="128">
        <f>IFERROR(AK578*$V578,)</f>
        <v/>
      </c>
      <c r="CX578" s="128">
        <f>IFERROR(AL578*$V578,)</f>
        <v/>
      </c>
      <c r="CY578" s="128">
        <f>IFERROR(AM578*$V578,)</f>
        <v/>
      </c>
      <c r="CZ578" s="128">
        <f>IFERROR(AN578*$V578,)</f>
        <v/>
      </c>
      <c r="DA578" s="128">
        <f>IFERROR(AO578*$V578,)</f>
        <v/>
      </c>
      <c r="DB578" s="128">
        <f>IFERROR(AP578*$V578,)</f>
        <v/>
      </c>
      <c r="DC578" s="128">
        <f>IFERROR(AQ578*$V578,)</f>
        <v/>
      </c>
      <c r="DD578" s="128">
        <f>IFERROR(AR578*$V578,)</f>
        <v/>
      </c>
      <c r="DE578" s="128">
        <f>IFERROR(AS578*$V578,)</f>
        <v/>
      </c>
      <c r="DF578" s="128">
        <f>IFERROR(AT578*$V578,)</f>
        <v/>
      </c>
      <c r="DG578" s="128">
        <f>IFERROR(AU578*$V578,)</f>
        <v/>
      </c>
      <c r="DH578" s="128">
        <f>IFERROR(AV578*$V578,)</f>
        <v/>
      </c>
      <c r="DI578" s="128">
        <f>IFERROR(AW578*$V578,)</f>
        <v/>
      </c>
      <c r="DJ578" s="128">
        <f>IFERROR(AX578*$V578,)</f>
        <v/>
      </c>
      <c r="DK578" s="128">
        <f>IFERROR(AY578*$V578,)</f>
        <v/>
      </c>
      <c r="DL578" s="128">
        <f>IFERROR(AZ578*$V578,)</f>
        <v/>
      </c>
      <c r="DM578" s="129">
        <f>IFERROR(if($X578=0,($V578/1.2)*BA578,
BA578*$X578),)</f>
        <v/>
      </c>
      <c r="DN578" s="129">
        <f>IFERROR(if($X578=0,($V578/1.2)*BB578,
BB578*$X578),)</f>
        <v/>
      </c>
      <c r="DO578" s="129">
        <f>IFERROR(if($X578=0,($V578/1.2)*BC578,
BC578*$X578),)</f>
        <v/>
      </c>
      <c r="DP578" s="130">
        <f>IFERROR(if($Z578=0,($V578/1.35)*BD578,
BD578*$Z578),)</f>
        <v/>
      </c>
      <c r="DQ578" s="130">
        <f>IFERROR(if($Z578=0,($V578/1.35)*BE578,
BE578*$Z578),)</f>
        <v/>
      </c>
      <c r="DR578" s="130">
        <f>IFERROR(if($Z578=0,($V578/1.35)*BF578,
BF578*$Z578),)</f>
        <v/>
      </c>
      <c r="DS578" s="128">
        <f>IFERROR(IF($AB578=0,($V578/0.74)*BG578,
BG578*$AB578),)</f>
        <v/>
      </c>
      <c r="DT578" s="128">
        <f>IFERROR(IF($AB578=0,($V578/0.74)*BH578,
BH578*$AB578),)</f>
        <v/>
      </c>
      <c r="DU578" s="128">
        <f>IFERROR(IF($AB578=0,($V578/0.74)*BI578,
BI578*$AB578),)</f>
        <v/>
      </c>
    </row>
    <row r="579" ht="131.25" customHeight="1" s="162">
      <c r="A579" s="115" t="n"/>
      <c r="B579" s="115" t="n"/>
      <c r="C579" s="115" t="n"/>
      <c r="D579" s="115" t="n"/>
      <c r="E579" s="115" t="n"/>
      <c r="F579" s="115" t="n"/>
      <c r="G579" s="115" t="n"/>
      <c r="H579" s="115" t="n"/>
      <c r="I579" s="115" t="n"/>
      <c r="J579" s="115" t="n"/>
      <c r="K579" s="115" t="n"/>
      <c r="L579" s="115" t="n"/>
      <c r="M579" s="115" t="n"/>
      <c r="N579" s="115" t="n"/>
      <c r="O579" s="115" t="n"/>
      <c r="P579" s="115" t="n"/>
      <c r="Q579" s="115" t="n"/>
      <c r="R579" s="115" t="n"/>
      <c r="S579" s="115" t="n"/>
      <c r="T579" s="115" t="n"/>
      <c r="U579" s="116" t="n"/>
      <c r="V579" s="116" t="n"/>
      <c r="W579" s="117" t="n"/>
      <c r="X579" s="118" t="n"/>
      <c r="Y579" s="119" t="n"/>
      <c r="Z579" s="120" t="n"/>
      <c r="AA579" s="121" t="n"/>
      <c r="AB579" s="122" t="n"/>
      <c r="AC579" s="117" t="n"/>
      <c r="AD579" s="123">
        <f>IF(SUM($AE579:$AH579)=0,"",SUM($AE579:$AH579))</f>
        <v/>
      </c>
      <c r="AE579" s="123">
        <f>iferror(IF(SUM($AI579:$AZ579)=0,"",SUM($AI579:$AZ579)),"")</f>
        <v/>
      </c>
      <c r="AF579" s="123">
        <f>iferror(IF(SUM($BA579:$BC579)=0,"",SUM($BA579:$BC579)),"")</f>
        <v/>
      </c>
      <c r="AG579" s="123">
        <f>iferror(IF(SUM($BD579:$BF579)=0,"",SUM($BD579:$BF579)),"")</f>
        <v/>
      </c>
      <c r="AH579" s="124">
        <f>iferror(IF(SUM($BG579:$BI579)=0,"",SUM($BG579:$BI579)),"")</f>
        <v/>
      </c>
      <c r="AI579" s="131" t="n"/>
      <c r="AJ579" s="132" t="n"/>
      <c r="AK579" s="132" t="n"/>
      <c r="AL579" s="132" t="n"/>
      <c r="AM579" s="132" t="n"/>
      <c r="AN579" s="132" t="n"/>
      <c r="AO579" s="132" t="n"/>
      <c r="AP579" s="132" t="n"/>
      <c r="AQ579" s="132" t="n"/>
      <c r="AR579" s="132" t="n"/>
      <c r="AS579" s="132" t="n"/>
      <c r="AT579" s="132" t="n"/>
      <c r="AU579" s="132" t="n"/>
      <c r="AV579" s="132" t="n"/>
      <c r="AW579" s="132" t="n"/>
      <c r="AX579" s="132" t="n"/>
      <c r="AY579" s="132" t="n"/>
      <c r="AZ579" s="133" t="n"/>
      <c r="BA579" s="131" t="n"/>
      <c r="BB579" s="132" t="n"/>
      <c r="BC579" s="133" t="n"/>
      <c r="BD579" s="131" t="n"/>
      <c r="BE579" s="132" t="n"/>
      <c r="BF579" s="133" t="n"/>
      <c r="BG579" s="131" t="n"/>
      <c r="BH579" s="132" t="n"/>
      <c r="BI579" s="132" t="n"/>
      <c r="BJ579" s="128">
        <f>iferror(SUM($BK579,($BL579*1.2),($BM579*1.35),($BN579*0.74)),)</f>
        <v/>
      </c>
      <c r="BK579" s="128">
        <f>IFERROR(SUM($BT579:$CK579),)</f>
        <v/>
      </c>
      <c r="BL579" s="129">
        <f>IFERROR(SUM($CL579:$CN579),)</f>
        <v/>
      </c>
      <c r="BM579" s="130">
        <f>IFERROR(SUM($CO579:$CQ579),)</f>
        <v/>
      </c>
      <c r="BN579" s="128">
        <f>IFERROR(SUM($CR579:$CT579),)</f>
        <v/>
      </c>
      <c r="BO579" s="128">
        <f>iferror(SUM($BP579,($BQ579*1.2),($BR579*1.35),($BS579*0.74)),)</f>
        <v/>
      </c>
      <c r="BP579" s="128">
        <f>IFERROR(SUM($CU579:$DL579),)</f>
        <v/>
      </c>
      <c r="BQ579" s="128">
        <f>IFERROR(SUM($DM579:$DO579),)</f>
        <v/>
      </c>
      <c r="BR579" s="128">
        <f>IFERROR(SUM($DP579:$DR579),)</f>
        <v/>
      </c>
      <c r="BS579" s="128">
        <f>IFERROR(SUM($DS579:$DU579),)</f>
        <v/>
      </c>
      <c r="BT579" s="128">
        <f>IFERROR(AI579*$W579,)</f>
        <v/>
      </c>
      <c r="BU579" s="128">
        <f>IFERROR(AJ579*$W579,)</f>
        <v/>
      </c>
      <c r="BV579" s="128">
        <f>IFERROR(AK579*$W579,)</f>
        <v/>
      </c>
      <c r="BW579" s="128">
        <f>IFERROR(AL579*$W579,)</f>
        <v/>
      </c>
      <c r="BX579" s="128">
        <f>IFERROR(AM579*$W579,)</f>
        <v/>
      </c>
      <c r="BY579" s="128">
        <f>IFERROR(AN579*$W579,)</f>
        <v/>
      </c>
      <c r="BZ579" s="128">
        <f>IFERROR(AO579*$W579,)</f>
        <v/>
      </c>
      <c r="CA579" s="128">
        <f>IFERROR(AP579*$W579,)</f>
        <v/>
      </c>
      <c r="CB579" s="128">
        <f>IFERROR(AQ579*$W579,)</f>
        <v/>
      </c>
      <c r="CC579" s="128">
        <f>IFERROR(AR579*$W579,)</f>
        <v/>
      </c>
      <c r="CD579" s="128">
        <f>IFERROR(AS579*$W579,)</f>
        <v/>
      </c>
      <c r="CE579" s="128">
        <f>IFERROR(AT579*$W579,)</f>
        <v/>
      </c>
      <c r="CF579" s="128">
        <f>IFERROR(AU579*$W579,)</f>
        <v/>
      </c>
      <c r="CG579" s="128">
        <f>IFERROR(AV579*$W579,)</f>
        <v/>
      </c>
      <c r="CH579" s="128">
        <f>IFERROR(AW579*$W579,)</f>
        <v/>
      </c>
      <c r="CI579" s="128">
        <f>IFERROR(AX579*$W579,)</f>
        <v/>
      </c>
      <c r="CJ579" s="128">
        <f>IFERROR(AY579*$W579,)</f>
        <v/>
      </c>
      <c r="CK579" s="128">
        <f>IFERROR(AZ579*$W579,)</f>
        <v/>
      </c>
      <c r="CL579" s="129">
        <f>IFERROR(if($Y579=0,BA579*($W579/1.2),BA579*$Y579),"")</f>
        <v/>
      </c>
      <c r="CM579" s="129">
        <f>IFERROR(if($Y579=0,BB579*($W579/1.2),BB579*$Y579),"")</f>
        <v/>
      </c>
      <c r="CN579" s="129">
        <f>IFERROR(if($Y579=0,BC579*($W579/1.2),BC579*$Y579),"")</f>
        <v/>
      </c>
      <c r="CO579" s="130">
        <f>IFERROR(if($AA579=0,($W579/1.35)*BD579,BD579*$AA579),)</f>
        <v/>
      </c>
      <c r="CP579" s="130">
        <f>IFERROR(if($AA579=0,($W579/1.35)*BE579,BE579*$AA579),)</f>
        <v/>
      </c>
      <c r="CQ579" s="130">
        <f>IFERROR(if($AA579=0,($W579/1.35)*BF579,BF579*$AA579),)</f>
        <v/>
      </c>
      <c r="CR579" s="128">
        <f>IFERROR(if($AC579=0,($W579/0.74)*BG579,
BG579*$AC579),)</f>
        <v/>
      </c>
      <c r="CS579" s="128">
        <f>IFERROR(if($AC579=0,($W579/0.74)*BH579,
BH579*$AC579),)</f>
        <v/>
      </c>
      <c r="CT579" s="128">
        <f>IFERROR(if($AC579=0,($W579/0.74)*BI579,
BI579*$AC579),)</f>
        <v/>
      </c>
      <c r="CU579" s="128">
        <f>IFERROR(AI579*$V579,)</f>
        <v/>
      </c>
      <c r="CV579" s="128">
        <f>IFERROR(AJ579*$V579,)</f>
        <v/>
      </c>
      <c r="CW579" s="128">
        <f>IFERROR(AK579*$V579,)</f>
        <v/>
      </c>
      <c r="CX579" s="128">
        <f>IFERROR(AL579*$V579,)</f>
        <v/>
      </c>
      <c r="CY579" s="128">
        <f>IFERROR(AM579*$V579,)</f>
        <v/>
      </c>
      <c r="CZ579" s="128">
        <f>IFERROR(AN579*$V579,)</f>
        <v/>
      </c>
      <c r="DA579" s="128">
        <f>IFERROR(AO579*$V579,)</f>
        <v/>
      </c>
      <c r="DB579" s="128">
        <f>IFERROR(AP579*$V579,)</f>
        <v/>
      </c>
      <c r="DC579" s="128">
        <f>IFERROR(AQ579*$V579,)</f>
        <v/>
      </c>
      <c r="DD579" s="128">
        <f>IFERROR(AR579*$V579,)</f>
        <v/>
      </c>
      <c r="DE579" s="128">
        <f>IFERROR(AS579*$V579,)</f>
        <v/>
      </c>
      <c r="DF579" s="128">
        <f>IFERROR(AT579*$V579,)</f>
        <v/>
      </c>
      <c r="DG579" s="128">
        <f>IFERROR(AU579*$V579,)</f>
        <v/>
      </c>
      <c r="DH579" s="128">
        <f>IFERROR(AV579*$V579,)</f>
        <v/>
      </c>
      <c r="DI579" s="128">
        <f>IFERROR(AW579*$V579,)</f>
        <v/>
      </c>
      <c r="DJ579" s="128">
        <f>IFERROR(AX579*$V579,)</f>
        <v/>
      </c>
      <c r="DK579" s="128">
        <f>IFERROR(AY579*$V579,)</f>
        <v/>
      </c>
      <c r="DL579" s="128">
        <f>IFERROR(AZ579*$V579,)</f>
        <v/>
      </c>
      <c r="DM579" s="129">
        <f>IFERROR(if($X579=0,($V579/1.2)*BA579,
BA579*$X579),)</f>
        <v/>
      </c>
      <c r="DN579" s="129">
        <f>IFERROR(if($X579=0,($V579/1.2)*BB579,
BB579*$X579),)</f>
        <v/>
      </c>
      <c r="DO579" s="129">
        <f>IFERROR(if($X579=0,($V579/1.2)*BC579,
BC579*$X579),)</f>
        <v/>
      </c>
      <c r="DP579" s="130">
        <f>IFERROR(if($Z579=0,($V579/1.35)*BD579,
BD579*$Z579),)</f>
        <v/>
      </c>
      <c r="DQ579" s="130">
        <f>IFERROR(if($Z579=0,($V579/1.35)*BE579,
BE579*$Z579),)</f>
        <v/>
      </c>
      <c r="DR579" s="130">
        <f>IFERROR(if($Z579=0,($V579/1.35)*BF579,
BF579*$Z579),)</f>
        <v/>
      </c>
      <c r="DS579" s="128">
        <f>IFERROR(IF($AB579=0,($V579/0.74)*BG579,
BG579*$AB579),)</f>
        <v/>
      </c>
      <c r="DT579" s="128">
        <f>IFERROR(IF($AB579=0,($V579/0.74)*BH579,
BH579*$AB579),)</f>
        <v/>
      </c>
      <c r="DU579" s="128">
        <f>IFERROR(IF($AB579=0,($V579/0.74)*BI579,
BI579*$AB579),)</f>
        <v/>
      </c>
    </row>
    <row r="580" ht="131.25" customHeight="1" s="162">
      <c r="A580" s="115" t="n"/>
      <c r="B580" s="115" t="n"/>
      <c r="C580" s="115" t="n"/>
      <c r="D580" s="115" t="n"/>
      <c r="E580" s="115" t="n"/>
      <c r="F580" s="115" t="n"/>
      <c r="G580" s="115" t="n"/>
      <c r="H580" s="115" t="n"/>
      <c r="I580" s="115" t="n"/>
      <c r="J580" s="115" t="n"/>
      <c r="K580" s="115" t="n"/>
      <c r="L580" s="115" t="n"/>
      <c r="M580" s="115" t="n"/>
      <c r="N580" s="115" t="n"/>
      <c r="O580" s="115" t="n"/>
      <c r="P580" s="115" t="n"/>
      <c r="Q580" s="115" t="n"/>
      <c r="R580" s="115" t="n"/>
      <c r="S580" s="115" t="n"/>
      <c r="T580" s="115" t="n"/>
      <c r="U580" s="116" t="n"/>
      <c r="V580" s="116" t="n"/>
      <c r="W580" s="117" t="n"/>
      <c r="X580" s="118" t="n"/>
      <c r="Y580" s="119" t="n"/>
      <c r="Z580" s="120" t="n"/>
      <c r="AA580" s="121" t="n"/>
      <c r="AB580" s="122" t="n"/>
      <c r="AC580" s="117" t="n"/>
      <c r="AD580" s="123">
        <f>IF(SUM($AE580:$AH580)=0,"",SUM($AE580:$AH580))</f>
        <v/>
      </c>
      <c r="AE580" s="123">
        <f>iferror(IF(SUM($AI580:$AZ580)=0,"",SUM($AI580:$AZ580)),"")</f>
        <v/>
      </c>
      <c r="AF580" s="123">
        <f>iferror(IF(SUM($BA580:$BC580)=0,"",SUM($BA580:$BC580)),"")</f>
        <v/>
      </c>
      <c r="AG580" s="123">
        <f>iferror(IF(SUM($BD580:$BF580)=0,"",SUM($BD580:$BF580)),"")</f>
        <v/>
      </c>
      <c r="AH580" s="124">
        <f>iferror(IF(SUM($BG580:$BI580)=0,"",SUM($BG580:$BI580)),"")</f>
        <v/>
      </c>
      <c r="AI580" s="131" t="n"/>
      <c r="AJ580" s="132" t="n"/>
      <c r="AK580" s="132" t="n"/>
      <c r="AL580" s="132" t="n"/>
      <c r="AM580" s="132" t="n"/>
      <c r="AN580" s="132" t="n"/>
      <c r="AO580" s="132" t="n"/>
      <c r="AP580" s="132" t="n"/>
      <c r="AQ580" s="132" t="n"/>
      <c r="AR580" s="132" t="n"/>
      <c r="AS580" s="132" t="n"/>
      <c r="AT580" s="132" t="n"/>
      <c r="AU580" s="132" t="n"/>
      <c r="AV580" s="132" t="n"/>
      <c r="AW580" s="132" t="n"/>
      <c r="AX580" s="132" t="n"/>
      <c r="AY580" s="132" t="n"/>
      <c r="AZ580" s="133" t="n"/>
      <c r="BA580" s="131" t="n"/>
      <c r="BB580" s="132" t="n"/>
      <c r="BC580" s="133" t="n"/>
      <c r="BD580" s="131" t="n"/>
      <c r="BE580" s="132" t="n"/>
      <c r="BF580" s="133" t="n"/>
      <c r="BG580" s="131" t="n"/>
      <c r="BH580" s="132" t="n"/>
      <c r="BI580" s="132" t="n"/>
      <c r="BJ580" s="128">
        <f>iferror(SUM($BK580,($BL580*1.2),($BM580*1.35),($BN580*0.74)),)</f>
        <v/>
      </c>
      <c r="BK580" s="128">
        <f>IFERROR(SUM($BT580:$CK580),)</f>
        <v/>
      </c>
      <c r="BL580" s="129">
        <f>IFERROR(SUM($CL580:$CN580),)</f>
        <v/>
      </c>
      <c r="BM580" s="130">
        <f>IFERROR(SUM($CO580:$CQ580),)</f>
        <v/>
      </c>
      <c r="BN580" s="128">
        <f>IFERROR(SUM($CR580:$CT580),)</f>
        <v/>
      </c>
      <c r="BO580" s="128">
        <f>iferror(SUM($BP580,($BQ580*1.2),($BR580*1.35),($BS580*0.74)),)</f>
        <v/>
      </c>
      <c r="BP580" s="128">
        <f>IFERROR(SUM($CU580:$DL580),)</f>
        <v/>
      </c>
      <c r="BQ580" s="128">
        <f>IFERROR(SUM($DM580:$DO580),)</f>
        <v/>
      </c>
      <c r="BR580" s="128">
        <f>IFERROR(SUM($DP580:$DR580),)</f>
        <v/>
      </c>
      <c r="BS580" s="128">
        <f>IFERROR(SUM($DS580:$DU580),)</f>
        <v/>
      </c>
      <c r="BT580" s="128">
        <f>IFERROR(AI580*$W580,)</f>
        <v/>
      </c>
      <c r="BU580" s="128">
        <f>IFERROR(AJ580*$W580,)</f>
        <v/>
      </c>
      <c r="BV580" s="128">
        <f>IFERROR(AK580*$W580,)</f>
        <v/>
      </c>
      <c r="BW580" s="128">
        <f>IFERROR(AL580*$W580,)</f>
        <v/>
      </c>
      <c r="BX580" s="128">
        <f>IFERROR(AM580*$W580,)</f>
        <v/>
      </c>
      <c r="BY580" s="128">
        <f>IFERROR(AN580*$W580,)</f>
        <v/>
      </c>
      <c r="BZ580" s="128">
        <f>IFERROR(AO580*$W580,)</f>
        <v/>
      </c>
      <c r="CA580" s="128">
        <f>IFERROR(AP580*$W580,)</f>
        <v/>
      </c>
      <c r="CB580" s="128">
        <f>IFERROR(AQ580*$W580,)</f>
        <v/>
      </c>
      <c r="CC580" s="128">
        <f>IFERROR(AR580*$W580,)</f>
        <v/>
      </c>
      <c r="CD580" s="128">
        <f>IFERROR(AS580*$W580,)</f>
        <v/>
      </c>
      <c r="CE580" s="128">
        <f>IFERROR(AT580*$W580,)</f>
        <v/>
      </c>
      <c r="CF580" s="128">
        <f>IFERROR(AU580*$W580,)</f>
        <v/>
      </c>
      <c r="CG580" s="128">
        <f>IFERROR(AV580*$W580,)</f>
        <v/>
      </c>
      <c r="CH580" s="128">
        <f>IFERROR(AW580*$W580,)</f>
        <v/>
      </c>
      <c r="CI580" s="128">
        <f>IFERROR(AX580*$W580,)</f>
        <v/>
      </c>
      <c r="CJ580" s="128">
        <f>IFERROR(AY580*$W580,)</f>
        <v/>
      </c>
      <c r="CK580" s="128">
        <f>IFERROR(AZ580*$W580,)</f>
        <v/>
      </c>
      <c r="CL580" s="129">
        <f>IFERROR(if($Y580=0,BA580*($W580/1.2),BA580*$Y580),"")</f>
        <v/>
      </c>
      <c r="CM580" s="129">
        <f>IFERROR(if($Y580=0,BB580*($W580/1.2),BB580*$Y580),"")</f>
        <v/>
      </c>
      <c r="CN580" s="129">
        <f>IFERROR(if($Y580=0,BC580*($W580/1.2),BC580*$Y580),"")</f>
        <v/>
      </c>
      <c r="CO580" s="130">
        <f>IFERROR(if($AA580=0,($W580/1.35)*BD580,BD580*$AA580),)</f>
        <v/>
      </c>
      <c r="CP580" s="130">
        <f>IFERROR(if($AA580=0,($W580/1.35)*BE580,BE580*$AA580),)</f>
        <v/>
      </c>
      <c r="CQ580" s="130">
        <f>IFERROR(if($AA580=0,($W580/1.35)*BF580,BF580*$AA580),)</f>
        <v/>
      </c>
      <c r="CR580" s="128">
        <f>IFERROR(if($AC580=0,($W580/0.74)*BG580,
BG580*$AC580),)</f>
        <v/>
      </c>
      <c r="CS580" s="128">
        <f>IFERROR(if($AC580=0,($W580/0.74)*BH580,
BH580*$AC580),)</f>
        <v/>
      </c>
      <c r="CT580" s="128">
        <f>IFERROR(if($AC580=0,($W580/0.74)*BI580,
BI580*$AC580),)</f>
        <v/>
      </c>
      <c r="CU580" s="128">
        <f>IFERROR(AI580*$V580,)</f>
        <v/>
      </c>
      <c r="CV580" s="128">
        <f>IFERROR(AJ580*$V580,)</f>
        <v/>
      </c>
      <c r="CW580" s="128">
        <f>IFERROR(AK580*$V580,)</f>
        <v/>
      </c>
      <c r="CX580" s="128">
        <f>IFERROR(AL580*$V580,)</f>
        <v/>
      </c>
      <c r="CY580" s="128">
        <f>IFERROR(AM580*$V580,)</f>
        <v/>
      </c>
      <c r="CZ580" s="128">
        <f>IFERROR(AN580*$V580,)</f>
        <v/>
      </c>
      <c r="DA580" s="128">
        <f>IFERROR(AO580*$V580,)</f>
        <v/>
      </c>
      <c r="DB580" s="128">
        <f>IFERROR(AP580*$V580,)</f>
        <v/>
      </c>
      <c r="DC580" s="128">
        <f>IFERROR(AQ580*$V580,)</f>
        <v/>
      </c>
      <c r="DD580" s="128">
        <f>IFERROR(AR580*$V580,)</f>
        <v/>
      </c>
      <c r="DE580" s="128">
        <f>IFERROR(AS580*$V580,)</f>
        <v/>
      </c>
      <c r="DF580" s="128">
        <f>IFERROR(AT580*$V580,)</f>
        <v/>
      </c>
      <c r="DG580" s="128">
        <f>IFERROR(AU580*$V580,)</f>
        <v/>
      </c>
      <c r="DH580" s="128">
        <f>IFERROR(AV580*$V580,)</f>
        <v/>
      </c>
      <c r="DI580" s="128">
        <f>IFERROR(AW580*$V580,)</f>
        <v/>
      </c>
      <c r="DJ580" s="128">
        <f>IFERROR(AX580*$V580,)</f>
        <v/>
      </c>
      <c r="DK580" s="128">
        <f>IFERROR(AY580*$V580,)</f>
        <v/>
      </c>
      <c r="DL580" s="128">
        <f>IFERROR(AZ580*$V580,)</f>
        <v/>
      </c>
      <c r="DM580" s="129">
        <f>IFERROR(if($X580=0,($V580/1.2)*BA580,
BA580*$X580),)</f>
        <v/>
      </c>
      <c r="DN580" s="129">
        <f>IFERROR(if($X580=0,($V580/1.2)*BB580,
BB580*$X580),)</f>
        <v/>
      </c>
      <c r="DO580" s="129">
        <f>IFERROR(if($X580=0,($V580/1.2)*BC580,
BC580*$X580),)</f>
        <v/>
      </c>
      <c r="DP580" s="130">
        <f>IFERROR(if($Z580=0,($V580/1.35)*BD580,
BD580*$Z580),)</f>
        <v/>
      </c>
      <c r="DQ580" s="130">
        <f>IFERROR(if($Z580=0,($V580/1.35)*BE580,
BE580*$Z580),)</f>
        <v/>
      </c>
      <c r="DR580" s="130">
        <f>IFERROR(if($Z580=0,($V580/1.35)*BF580,
BF580*$Z580),)</f>
        <v/>
      </c>
      <c r="DS580" s="128">
        <f>IFERROR(IF($AB580=0,($V580/0.74)*BG580,
BG580*$AB580),)</f>
        <v/>
      </c>
      <c r="DT580" s="128">
        <f>IFERROR(IF($AB580=0,($V580/0.74)*BH580,
BH580*$AB580),)</f>
        <v/>
      </c>
      <c r="DU580" s="128">
        <f>IFERROR(IF($AB580=0,($V580/0.74)*BI580,
BI580*$AB580),)</f>
        <v/>
      </c>
    </row>
    <row r="581" ht="131.25" customHeight="1" s="162">
      <c r="A581" s="115" t="n"/>
      <c r="B581" s="115" t="n"/>
      <c r="C581" s="115" t="n"/>
      <c r="D581" s="115" t="n"/>
      <c r="E581" s="115" t="n"/>
      <c r="F581" s="115" t="n"/>
      <c r="G581" s="115" t="n"/>
      <c r="H581" s="115" t="n"/>
      <c r="I581" s="115" t="n"/>
      <c r="J581" s="115" t="n"/>
      <c r="K581" s="115" t="n"/>
      <c r="L581" s="115" t="n"/>
      <c r="M581" s="115" t="n"/>
      <c r="N581" s="115" t="n"/>
      <c r="O581" s="115" t="n"/>
      <c r="P581" s="115" t="n"/>
      <c r="Q581" s="115" t="n"/>
      <c r="R581" s="115" t="n"/>
      <c r="S581" s="115" t="n"/>
      <c r="T581" s="115" t="n"/>
      <c r="U581" s="116" t="n"/>
      <c r="V581" s="116" t="n"/>
      <c r="W581" s="117" t="n"/>
      <c r="X581" s="118" t="n"/>
      <c r="Y581" s="119" t="n"/>
      <c r="Z581" s="120" t="n"/>
      <c r="AA581" s="121" t="n"/>
      <c r="AB581" s="122" t="n"/>
      <c r="AC581" s="117" t="n"/>
      <c r="AD581" s="123">
        <f>IF(SUM($AE581:$AH581)=0,"",SUM($AE581:$AH581))</f>
        <v/>
      </c>
      <c r="AE581" s="123">
        <f>iferror(IF(SUM($AI581:$AZ581)=0,"",SUM($AI581:$AZ581)),"")</f>
        <v/>
      </c>
      <c r="AF581" s="123">
        <f>iferror(IF(SUM($BA581:$BC581)=0,"",SUM($BA581:$BC581)),"")</f>
        <v/>
      </c>
      <c r="AG581" s="123">
        <f>iferror(IF(SUM($BD581:$BF581)=0,"",SUM($BD581:$BF581)),"")</f>
        <v/>
      </c>
      <c r="AH581" s="124">
        <f>iferror(IF(SUM($BG581:$BI581)=0,"",SUM($BG581:$BI581)),"")</f>
        <v/>
      </c>
      <c r="AI581" s="131" t="n"/>
      <c r="AJ581" s="132" t="n"/>
      <c r="AK581" s="132" t="n"/>
      <c r="AL581" s="132" t="n"/>
      <c r="AM581" s="132" t="n"/>
      <c r="AN581" s="132" t="n"/>
      <c r="AO581" s="132" t="n"/>
      <c r="AP581" s="132" t="n"/>
      <c r="AQ581" s="132" t="n"/>
      <c r="AR581" s="132" t="n"/>
      <c r="AS581" s="132" t="n"/>
      <c r="AT581" s="132" t="n"/>
      <c r="AU581" s="132" t="n"/>
      <c r="AV581" s="132" t="n"/>
      <c r="AW581" s="132" t="n"/>
      <c r="AX581" s="132" t="n"/>
      <c r="AY581" s="132" t="n"/>
      <c r="AZ581" s="133" t="n"/>
      <c r="BA581" s="131" t="n"/>
      <c r="BB581" s="132" t="n"/>
      <c r="BC581" s="133" t="n"/>
      <c r="BD581" s="131" t="n"/>
      <c r="BE581" s="132" t="n"/>
      <c r="BF581" s="133" t="n"/>
      <c r="BG581" s="131" t="n"/>
      <c r="BH581" s="132" t="n"/>
      <c r="BI581" s="132" t="n"/>
      <c r="BJ581" s="128">
        <f>iferror(SUM($BK581,($BL581*1.2),($BM581*1.35),($BN581*0.74)),)</f>
        <v/>
      </c>
      <c r="BK581" s="128">
        <f>IFERROR(SUM($BT581:$CK581),)</f>
        <v/>
      </c>
      <c r="BL581" s="129">
        <f>IFERROR(SUM($CL581:$CN581),)</f>
        <v/>
      </c>
      <c r="BM581" s="130">
        <f>IFERROR(SUM($CO581:$CQ581),)</f>
        <v/>
      </c>
      <c r="BN581" s="128">
        <f>IFERROR(SUM($CR581:$CT581),)</f>
        <v/>
      </c>
      <c r="BO581" s="128">
        <f>iferror(SUM($BP581,($BQ581*1.2),($BR581*1.35),($BS581*0.74)),)</f>
        <v/>
      </c>
      <c r="BP581" s="128">
        <f>IFERROR(SUM($CU581:$DL581),)</f>
        <v/>
      </c>
      <c r="BQ581" s="128">
        <f>IFERROR(SUM($DM581:$DO581),)</f>
        <v/>
      </c>
      <c r="BR581" s="128">
        <f>IFERROR(SUM($DP581:$DR581),)</f>
        <v/>
      </c>
      <c r="BS581" s="128">
        <f>IFERROR(SUM($DS581:$DU581),)</f>
        <v/>
      </c>
      <c r="BT581" s="128">
        <f>IFERROR(AI581*$W581,)</f>
        <v/>
      </c>
      <c r="BU581" s="128">
        <f>IFERROR(AJ581*$W581,)</f>
        <v/>
      </c>
      <c r="BV581" s="128">
        <f>IFERROR(AK581*$W581,)</f>
        <v/>
      </c>
      <c r="BW581" s="128">
        <f>IFERROR(AL581*$W581,)</f>
        <v/>
      </c>
      <c r="BX581" s="128">
        <f>IFERROR(AM581*$W581,)</f>
        <v/>
      </c>
      <c r="BY581" s="128">
        <f>IFERROR(AN581*$W581,)</f>
        <v/>
      </c>
      <c r="BZ581" s="128">
        <f>IFERROR(AO581*$W581,)</f>
        <v/>
      </c>
      <c r="CA581" s="128">
        <f>IFERROR(AP581*$W581,)</f>
        <v/>
      </c>
      <c r="CB581" s="128">
        <f>IFERROR(AQ581*$W581,)</f>
        <v/>
      </c>
      <c r="CC581" s="128">
        <f>IFERROR(AR581*$W581,)</f>
        <v/>
      </c>
      <c r="CD581" s="128">
        <f>IFERROR(AS581*$W581,)</f>
        <v/>
      </c>
      <c r="CE581" s="128">
        <f>IFERROR(AT581*$W581,)</f>
        <v/>
      </c>
      <c r="CF581" s="128">
        <f>IFERROR(AU581*$W581,)</f>
        <v/>
      </c>
      <c r="CG581" s="128">
        <f>IFERROR(AV581*$W581,)</f>
        <v/>
      </c>
      <c r="CH581" s="128">
        <f>IFERROR(AW581*$W581,)</f>
        <v/>
      </c>
      <c r="CI581" s="128">
        <f>IFERROR(AX581*$W581,)</f>
        <v/>
      </c>
      <c r="CJ581" s="128">
        <f>IFERROR(AY581*$W581,)</f>
        <v/>
      </c>
      <c r="CK581" s="128">
        <f>IFERROR(AZ581*$W581,)</f>
        <v/>
      </c>
      <c r="CL581" s="129">
        <f>IFERROR(if($Y581=0,BA581*($W581/1.2),BA581*$Y581),"")</f>
        <v/>
      </c>
      <c r="CM581" s="129">
        <f>IFERROR(if($Y581=0,BB581*($W581/1.2),BB581*$Y581),"")</f>
        <v/>
      </c>
      <c r="CN581" s="129">
        <f>IFERROR(if($Y581=0,BC581*($W581/1.2),BC581*$Y581),"")</f>
        <v/>
      </c>
      <c r="CO581" s="130">
        <f>IFERROR(if($AA581=0,($W581/1.35)*BD581,BD581*$AA581),)</f>
        <v/>
      </c>
      <c r="CP581" s="130">
        <f>IFERROR(if($AA581=0,($W581/1.35)*BE581,BE581*$AA581),)</f>
        <v/>
      </c>
      <c r="CQ581" s="130">
        <f>IFERROR(if($AA581=0,($W581/1.35)*BF581,BF581*$AA581),)</f>
        <v/>
      </c>
      <c r="CR581" s="128">
        <f>IFERROR(if($AC581=0,($W581/0.74)*BG581,
BG581*$AC581),)</f>
        <v/>
      </c>
      <c r="CS581" s="128">
        <f>IFERROR(if($AC581=0,($W581/0.74)*BH581,
BH581*$AC581),)</f>
        <v/>
      </c>
      <c r="CT581" s="128">
        <f>IFERROR(if($AC581=0,($W581/0.74)*BI581,
BI581*$AC581),)</f>
        <v/>
      </c>
      <c r="CU581" s="128">
        <f>IFERROR(AI581*$V581,)</f>
        <v/>
      </c>
      <c r="CV581" s="128">
        <f>IFERROR(AJ581*$V581,)</f>
        <v/>
      </c>
      <c r="CW581" s="128">
        <f>IFERROR(AK581*$V581,)</f>
        <v/>
      </c>
      <c r="CX581" s="128">
        <f>IFERROR(AL581*$V581,)</f>
        <v/>
      </c>
      <c r="CY581" s="128">
        <f>IFERROR(AM581*$V581,)</f>
        <v/>
      </c>
      <c r="CZ581" s="128">
        <f>IFERROR(AN581*$V581,)</f>
        <v/>
      </c>
      <c r="DA581" s="128">
        <f>IFERROR(AO581*$V581,)</f>
        <v/>
      </c>
      <c r="DB581" s="128">
        <f>IFERROR(AP581*$V581,)</f>
        <v/>
      </c>
      <c r="DC581" s="128">
        <f>IFERROR(AQ581*$V581,)</f>
        <v/>
      </c>
      <c r="DD581" s="128">
        <f>IFERROR(AR581*$V581,)</f>
        <v/>
      </c>
      <c r="DE581" s="128">
        <f>IFERROR(AS581*$V581,)</f>
        <v/>
      </c>
      <c r="DF581" s="128">
        <f>IFERROR(AT581*$V581,)</f>
        <v/>
      </c>
      <c r="DG581" s="128">
        <f>IFERROR(AU581*$V581,)</f>
        <v/>
      </c>
      <c r="DH581" s="128">
        <f>IFERROR(AV581*$V581,)</f>
        <v/>
      </c>
      <c r="DI581" s="128">
        <f>IFERROR(AW581*$V581,)</f>
        <v/>
      </c>
      <c r="DJ581" s="128">
        <f>IFERROR(AX581*$V581,)</f>
        <v/>
      </c>
      <c r="DK581" s="128">
        <f>IFERROR(AY581*$V581,)</f>
        <v/>
      </c>
      <c r="DL581" s="128">
        <f>IFERROR(AZ581*$V581,)</f>
        <v/>
      </c>
      <c r="DM581" s="129">
        <f>IFERROR(if($X581=0,($V581/1.2)*BA581,
BA581*$X581),)</f>
        <v/>
      </c>
      <c r="DN581" s="129">
        <f>IFERROR(if($X581=0,($V581/1.2)*BB581,
BB581*$X581),)</f>
        <v/>
      </c>
      <c r="DO581" s="129">
        <f>IFERROR(if($X581=0,($V581/1.2)*BC581,
BC581*$X581),)</f>
        <v/>
      </c>
      <c r="DP581" s="130">
        <f>IFERROR(if($Z581=0,($V581/1.35)*BD581,
BD581*$Z581),)</f>
        <v/>
      </c>
      <c r="DQ581" s="130">
        <f>IFERROR(if($Z581=0,($V581/1.35)*BE581,
BE581*$Z581),)</f>
        <v/>
      </c>
      <c r="DR581" s="130">
        <f>IFERROR(if($Z581=0,($V581/1.35)*BF581,
BF581*$Z581),)</f>
        <v/>
      </c>
      <c r="DS581" s="128">
        <f>IFERROR(IF($AB581=0,($V581/0.74)*BG581,
BG581*$AB581),)</f>
        <v/>
      </c>
      <c r="DT581" s="128">
        <f>IFERROR(IF($AB581=0,($V581/0.74)*BH581,
BH581*$AB581),)</f>
        <v/>
      </c>
      <c r="DU581" s="128">
        <f>IFERROR(IF($AB581=0,($V581/0.74)*BI581,
BI581*$AB581),)</f>
        <v/>
      </c>
    </row>
    <row r="582" ht="131.25" customHeight="1" s="162">
      <c r="A582" s="115" t="n"/>
      <c r="B582" s="115" t="n"/>
      <c r="C582" s="115" t="n"/>
      <c r="D582" s="115" t="n"/>
      <c r="E582" s="115" t="n"/>
      <c r="F582" s="115" t="n"/>
      <c r="G582" s="115" t="n"/>
      <c r="H582" s="115" t="n"/>
      <c r="I582" s="115" t="n"/>
      <c r="J582" s="115" t="n"/>
      <c r="K582" s="115" t="n"/>
      <c r="L582" s="115" t="n"/>
      <c r="M582" s="115" t="n"/>
      <c r="N582" s="115" t="n"/>
      <c r="O582" s="115" t="n"/>
      <c r="P582" s="115" t="n"/>
      <c r="Q582" s="115" t="n"/>
      <c r="R582" s="115" t="n"/>
      <c r="S582" s="115" t="n"/>
      <c r="T582" s="115" t="n"/>
      <c r="U582" s="116" t="n"/>
      <c r="V582" s="116" t="n"/>
      <c r="W582" s="117" t="n"/>
      <c r="X582" s="118" t="n"/>
      <c r="Y582" s="119" t="n"/>
      <c r="Z582" s="120" t="n"/>
      <c r="AA582" s="121" t="n"/>
      <c r="AB582" s="122" t="n"/>
      <c r="AC582" s="117" t="n"/>
      <c r="AD582" s="123">
        <f>IF(SUM($AE582:$AH582)=0,"",SUM($AE582:$AH582))</f>
        <v/>
      </c>
      <c r="AE582" s="123">
        <f>iferror(IF(SUM($AI582:$AZ582)=0,"",SUM($AI582:$AZ582)),"")</f>
        <v/>
      </c>
      <c r="AF582" s="123">
        <f>iferror(IF(SUM($BA582:$BC582)=0,"",SUM($BA582:$BC582)),"")</f>
        <v/>
      </c>
      <c r="AG582" s="123">
        <f>iferror(IF(SUM($BD582:$BF582)=0,"",SUM($BD582:$BF582)),"")</f>
        <v/>
      </c>
      <c r="AH582" s="124">
        <f>iferror(IF(SUM($BG582:$BI582)=0,"",SUM($BG582:$BI582)),"")</f>
        <v/>
      </c>
      <c r="AI582" s="131" t="n"/>
      <c r="AJ582" s="132" t="n"/>
      <c r="AK582" s="132" t="n"/>
      <c r="AL582" s="132" t="n"/>
      <c r="AM582" s="132" t="n"/>
      <c r="AN582" s="132" t="n"/>
      <c r="AO582" s="132" t="n"/>
      <c r="AP582" s="132" t="n"/>
      <c r="AQ582" s="132" t="n"/>
      <c r="AR582" s="132" t="n"/>
      <c r="AS582" s="132" t="n"/>
      <c r="AT582" s="132" t="n"/>
      <c r="AU582" s="132" t="n"/>
      <c r="AV582" s="132" t="n"/>
      <c r="AW582" s="132" t="n"/>
      <c r="AX582" s="132" t="n"/>
      <c r="AY582" s="132" t="n"/>
      <c r="AZ582" s="133" t="n"/>
      <c r="BA582" s="131" t="n"/>
      <c r="BB582" s="132" t="n"/>
      <c r="BC582" s="133" t="n"/>
      <c r="BD582" s="131" t="n"/>
      <c r="BE582" s="132" t="n"/>
      <c r="BF582" s="133" t="n"/>
      <c r="BG582" s="131" t="n"/>
      <c r="BH582" s="132" t="n"/>
      <c r="BI582" s="132" t="n"/>
      <c r="BJ582" s="128">
        <f>iferror(SUM($BK582,($BL582*1.2),($BM582*1.35),($BN582*0.74)),)</f>
        <v/>
      </c>
      <c r="BK582" s="128">
        <f>IFERROR(SUM($BT582:$CK582),)</f>
        <v/>
      </c>
      <c r="BL582" s="129">
        <f>IFERROR(SUM($CL582:$CN582),)</f>
        <v/>
      </c>
      <c r="BM582" s="130">
        <f>IFERROR(SUM($CO582:$CQ582),)</f>
        <v/>
      </c>
      <c r="BN582" s="128">
        <f>IFERROR(SUM($CR582:$CT582),)</f>
        <v/>
      </c>
      <c r="BO582" s="128">
        <f>iferror(SUM($BP582,($BQ582*1.2),($BR582*1.35),($BS582*0.74)),)</f>
        <v/>
      </c>
      <c r="BP582" s="128">
        <f>IFERROR(SUM($CU582:$DL582),)</f>
        <v/>
      </c>
      <c r="BQ582" s="128">
        <f>IFERROR(SUM($DM582:$DO582),)</f>
        <v/>
      </c>
      <c r="BR582" s="128">
        <f>IFERROR(SUM($DP582:$DR582),)</f>
        <v/>
      </c>
      <c r="BS582" s="128">
        <f>IFERROR(SUM($DS582:$DU582),)</f>
        <v/>
      </c>
      <c r="BT582" s="128">
        <f>IFERROR(AI582*$W582,)</f>
        <v/>
      </c>
      <c r="BU582" s="128">
        <f>IFERROR(AJ582*$W582,)</f>
        <v/>
      </c>
      <c r="BV582" s="128">
        <f>IFERROR(AK582*$W582,)</f>
        <v/>
      </c>
      <c r="BW582" s="128">
        <f>IFERROR(AL582*$W582,)</f>
        <v/>
      </c>
      <c r="BX582" s="128">
        <f>IFERROR(AM582*$W582,)</f>
        <v/>
      </c>
      <c r="BY582" s="128">
        <f>IFERROR(AN582*$W582,)</f>
        <v/>
      </c>
      <c r="BZ582" s="128">
        <f>IFERROR(AO582*$W582,)</f>
        <v/>
      </c>
      <c r="CA582" s="128">
        <f>IFERROR(AP582*$W582,)</f>
        <v/>
      </c>
      <c r="CB582" s="128">
        <f>IFERROR(AQ582*$W582,)</f>
        <v/>
      </c>
      <c r="CC582" s="128">
        <f>IFERROR(AR582*$W582,)</f>
        <v/>
      </c>
      <c r="CD582" s="128">
        <f>IFERROR(AS582*$W582,)</f>
        <v/>
      </c>
      <c r="CE582" s="128">
        <f>IFERROR(AT582*$W582,)</f>
        <v/>
      </c>
      <c r="CF582" s="128">
        <f>IFERROR(AU582*$W582,)</f>
        <v/>
      </c>
      <c r="CG582" s="128">
        <f>IFERROR(AV582*$W582,)</f>
        <v/>
      </c>
      <c r="CH582" s="128">
        <f>IFERROR(AW582*$W582,)</f>
        <v/>
      </c>
      <c r="CI582" s="128">
        <f>IFERROR(AX582*$W582,)</f>
        <v/>
      </c>
      <c r="CJ582" s="128">
        <f>IFERROR(AY582*$W582,)</f>
        <v/>
      </c>
      <c r="CK582" s="128">
        <f>IFERROR(AZ582*$W582,)</f>
        <v/>
      </c>
      <c r="CL582" s="129">
        <f>IFERROR(if($Y582=0,BA582*($W582/1.2),BA582*$Y582),"")</f>
        <v/>
      </c>
      <c r="CM582" s="129">
        <f>IFERROR(if($Y582=0,BB582*($W582/1.2),BB582*$Y582),"")</f>
        <v/>
      </c>
      <c r="CN582" s="129">
        <f>IFERROR(if($Y582=0,BC582*($W582/1.2),BC582*$Y582),"")</f>
        <v/>
      </c>
      <c r="CO582" s="130">
        <f>IFERROR(if($AA582=0,($W582/1.35)*BD582,BD582*$AA582),)</f>
        <v/>
      </c>
      <c r="CP582" s="130">
        <f>IFERROR(if($AA582=0,($W582/1.35)*BE582,BE582*$AA582),)</f>
        <v/>
      </c>
      <c r="CQ582" s="130">
        <f>IFERROR(if($AA582=0,($W582/1.35)*BF582,BF582*$AA582),)</f>
        <v/>
      </c>
      <c r="CR582" s="128">
        <f>IFERROR(if($AC582=0,($W582/0.74)*BG582,
BG582*$AC582),)</f>
        <v/>
      </c>
      <c r="CS582" s="128">
        <f>IFERROR(if($AC582=0,($W582/0.74)*BH582,
BH582*$AC582),)</f>
        <v/>
      </c>
      <c r="CT582" s="128">
        <f>IFERROR(if($AC582=0,($W582/0.74)*BI582,
BI582*$AC582),)</f>
        <v/>
      </c>
      <c r="CU582" s="128">
        <f>IFERROR(AI582*$V582,)</f>
        <v/>
      </c>
      <c r="CV582" s="128">
        <f>IFERROR(AJ582*$V582,)</f>
        <v/>
      </c>
      <c r="CW582" s="128">
        <f>IFERROR(AK582*$V582,)</f>
        <v/>
      </c>
      <c r="CX582" s="128">
        <f>IFERROR(AL582*$V582,)</f>
        <v/>
      </c>
      <c r="CY582" s="128">
        <f>IFERROR(AM582*$V582,)</f>
        <v/>
      </c>
      <c r="CZ582" s="128">
        <f>IFERROR(AN582*$V582,)</f>
        <v/>
      </c>
      <c r="DA582" s="128">
        <f>IFERROR(AO582*$V582,)</f>
        <v/>
      </c>
      <c r="DB582" s="128">
        <f>IFERROR(AP582*$V582,)</f>
        <v/>
      </c>
      <c r="DC582" s="128">
        <f>IFERROR(AQ582*$V582,)</f>
        <v/>
      </c>
      <c r="DD582" s="128">
        <f>IFERROR(AR582*$V582,)</f>
        <v/>
      </c>
      <c r="DE582" s="128">
        <f>IFERROR(AS582*$V582,)</f>
        <v/>
      </c>
      <c r="DF582" s="128">
        <f>IFERROR(AT582*$V582,)</f>
        <v/>
      </c>
      <c r="DG582" s="128">
        <f>IFERROR(AU582*$V582,)</f>
        <v/>
      </c>
      <c r="DH582" s="128">
        <f>IFERROR(AV582*$V582,)</f>
        <v/>
      </c>
      <c r="DI582" s="128">
        <f>IFERROR(AW582*$V582,)</f>
        <v/>
      </c>
      <c r="DJ582" s="128">
        <f>IFERROR(AX582*$V582,)</f>
        <v/>
      </c>
      <c r="DK582" s="128">
        <f>IFERROR(AY582*$V582,)</f>
        <v/>
      </c>
      <c r="DL582" s="128">
        <f>IFERROR(AZ582*$V582,)</f>
        <v/>
      </c>
      <c r="DM582" s="129">
        <f>IFERROR(if($X582=0,($V582/1.2)*BA582,
BA582*$X582),)</f>
        <v/>
      </c>
      <c r="DN582" s="129">
        <f>IFERROR(if($X582=0,($V582/1.2)*BB582,
BB582*$X582),)</f>
        <v/>
      </c>
      <c r="DO582" s="129">
        <f>IFERROR(if($X582=0,($V582/1.2)*BC582,
BC582*$X582),)</f>
        <v/>
      </c>
      <c r="DP582" s="130">
        <f>IFERROR(if($Z582=0,($V582/1.35)*BD582,
BD582*$Z582),)</f>
        <v/>
      </c>
      <c r="DQ582" s="130">
        <f>IFERROR(if($Z582=0,($V582/1.35)*BE582,
BE582*$Z582),)</f>
        <v/>
      </c>
      <c r="DR582" s="130">
        <f>IFERROR(if($Z582=0,($V582/1.35)*BF582,
BF582*$Z582),)</f>
        <v/>
      </c>
      <c r="DS582" s="128">
        <f>IFERROR(IF($AB582=0,($V582/0.74)*BG582,
BG582*$AB582),)</f>
        <v/>
      </c>
      <c r="DT582" s="128">
        <f>IFERROR(IF($AB582=0,($V582/0.74)*BH582,
BH582*$AB582),)</f>
        <v/>
      </c>
      <c r="DU582" s="128">
        <f>IFERROR(IF($AB582=0,($V582/0.74)*BI582,
BI582*$AB582),)</f>
        <v/>
      </c>
    </row>
    <row r="583" ht="131.25" customHeight="1" s="162">
      <c r="A583" s="115" t="n"/>
      <c r="B583" s="115" t="n"/>
      <c r="C583" s="115" t="n"/>
      <c r="D583" s="115" t="n"/>
      <c r="E583" s="115" t="n"/>
      <c r="F583" s="115" t="n"/>
      <c r="G583" s="115" t="n"/>
      <c r="H583" s="115" t="n"/>
      <c r="I583" s="115" t="n"/>
      <c r="J583" s="115" t="n"/>
      <c r="K583" s="115" t="n"/>
      <c r="L583" s="115" t="n"/>
      <c r="M583" s="115" t="n"/>
      <c r="N583" s="115" t="n"/>
      <c r="O583" s="115" t="n"/>
      <c r="P583" s="115" t="n"/>
      <c r="Q583" s="115" t="n"/>
      <c r="R583" s="115" t="n"/>
      <c r="S583" s="115" t="n"/>
      <c r="T583" s="115" t="n"/>
      <c r="U583" s="116" t="n"/>
      <c r="V583" s="116" t="n"/>
      <c r="W583" s="117" t="n"/>
      <c r="X583" s="118" t="n"/>
      <c r="Y583" s="119" t="n"/>
      <c r="Z583" s="120" t="n"/>
      <c r="AA583" s="121" t="n"/>
      <c r="AB583" s="122" t="n"/>
      <c r="AC583" s="117" t="n"/>
      <c r="AD583" s="123">
        <f>IF(SUM($AE583:$AH583)=0,"",SUM($AE583:$AH583))</f>
        <v/>
      </c>
      <c r="AE583" s="123">
        <f>iferror(IF(SUM($AI583:$AZ583)=0,"",SUM($AI583:$AZ583)),"")</f>
        <v/>
      </c>
      <c r="AF583" s="123">
        <f>iferror(IF(SUM($BA583:$BC583)=0,"",SUM($BA583:$BC583)),"")</f>
        <v/>
      </c>
      <c r="AG583" s="123">
        <f>iferror(IF(SUM($BD583:$BF583)=0,"",SUM($BD583:$BF583)),"")</f>
        <v/>
      </c>
      <c r="AH583" s="124">
        <f>iferror(IF(SUM($BG583:$BI583)=0,"",SUM($BG583:$BI583)),"")</f>
        <v/>
      </c>
      <c r="AI583" s="131" t="n"/>
      <c r="AJ583" s="132" t="n"/>
      <c r="AK583" s="132" t="n"/>
      <c r="AL583" s="132" t="n"/>
      <c r="AM583" s="132" t="n"/>
      <c r="AN583" s="132" t="n"/>
      <c r="AO583" s="132" t="n"/>
      <c r="AP583" s="132" t="n"/>
      <c r="AQ583" s="132" t="n"/>
      <c r="AR583" s="132" t="n"/>
      <c r="AS583" s="132" t="n"/>
      <c r="AT583" s="132" t="n"/>
      <c r="AU583" s="132" t="n"/>
      <c r="AV583" s="132" t="n"/>
      <c r="AW583" s="132" t="n"/>
      <c r="AX583" s="132" t="n"/>
      <c r="AY583" s="132" t="n"/>
      <c r="AZ583" s="133" t="n"/>
      <c r="BA583" s="131" t="n"/>
      <c r="BB583" s="132" t="n"/>
      <c r="BC583" s="133" t="n"/>
      <c r="BD583" s="131" t="n"/>
      <c r="BE583" s="132" t="n"/>
      <c r="BF583" s="133" t="n"/>
      <c r="BG583" s="131" t="n"/>
      <c r="BH583" s="132" t="n"/>
      <c r="BI583" s="132" t="n"/>
      <c r="BJ583" s="128">
        <f>iferror(SUM($BK583,($BL583*1.2),($BM583*1.35),($BN583*0.74)),)</f>
        <v/>
      </c>
      <c r="BK583" s="128">
        <f>IFERROR(SUM($BT583:$CK583),)</f>
        <v/>
      </c>
      <c r="BL583" s="129">
        <f>IFERROR(SUM($CL583:$CN583),)</f>
        <v/>
      </c>
      <c r="BM583" s="130">
        <f>IFERROR(SUM($CO583:$CQ583),)</f>
        <v/>
      </c>
      <c r="BN583" s="128">
        <f>IFERROR(SUM($CR583:$CT583),)</f>
        <v/>
      </c>
      <c r="BO583" s="128">
        <f>iferror(SUM($BP583,($BQ583*1.2),($BR583*1.35),($BS583*0.74)),)</f>
        <v/>
      </c>
      <c r="BP583" s="128">
        <f>IFERROR(SUM($CU583:$DL583),)</f>
        <v/>
      </c>
      <c r="BQ583" s="128">
        <f>IFERROR(SUM($DM583:$DO583),)</f>
        <v/>
      </c>
      <c r="BR583" s="128">
        <f>IFERROR(SUM($DP583:$DR583),)</f>
        <v/>
      </c>
      <c r="BS583" s="128">
        <f>IFERROR(SUM($DS583:$DU583),)</f>
        <v/>
      </c>
      <c r="BT583" s="128">
        <f>IFERROR(AI583*$W583,)</f>
        <v/>
      </c>
      <c r="BU583" s="128">
        <f>IFERROR(AJ583*$W583,)</f>
        <v/>
      </c>
      <c r="BV583" s="128">
        <f>IFERROR(AK583*$W583,)</f>
        <v/>
      </c>
      <c r="BW583" s="128">
        <f>IFERROR(AL583*$W583,)</f>
        <v/>
      </c>
      <c r="BX583" s="128">
        <f>IFERROR(AM583*$W583,)</f>
        <v/>
      </c>
      <c r="BY583" s="128">
        <f>IFERROR(AN583*$W583,)</f>
        <v/>
      </c>
      <c r="BZ583" s="128">
        <f>IFERROR(AO583*$W583,)</f>
        <v/>
      </c>
      <c r="CA583" s="128">
        <f>IFERROR(AP583*$W583,)</f>
        <v/>
      </c>
      <c r="CB583" s="128">
        <f>IFERROR(AQ583*$W583,)</f>
        <v/>
      </c>
      <c r="CC583" s="128">
        <f>IFERROR(AR583*$W583,)</f>
        <v/>
      </c>
      <c r="CD583" s="128">
        <f>IFERROR(AS583*$W583,)</f>
        <v/>
      </c>
      <c r="CE583" s="128">
        <f>IFERROR(AT583*$W583,)</f>
        <v/>
      </c>
      <c r="CF583" s="128">
        <f>IFERROR(AU583*$W583,)</f>
        <v/>
      </c>
      <c r="CG583" s="128">
        <f>IFERROR(AV583*$W583,)</f>
        <v/>
      </c>
      <c r="CH583" s="128">
        <f>IFERROR(AW583*$W583,)</f>
        <v/>
      </c>
      <c r="CI583" s="128">
        <f>IFERROR(AX583*$W583,)</f>
        <v/>
      </c>
      <c r="CJ583" s="128">
        <f>IFERROR(AY583*$W583,)</f>
        <v/>
      </c>
      <c r="CK583" s="128">
        <f>IFERROR(AZ583*$W583,)</f>
        <v/>
      </c>
      <c r="CL583" s="129">
        <f>IFERROR(if($Y583=0,BA583*($W583/1.2),BA583*$Y583),"")</f>
        <v/>
      </c>
      <c r="CM583" s="129">
        <f>IFERROR(if($Y583=0,BB583*($W583/1.2),BB583*$Y583),"")</f>
        <v/>
      </c>
      <c r="CN583" s="129">
        <f>IFERROR(if($Y583=0,BC583*($W583/1.2),BC583*$Y583),"")</f>
        <v/>
      </c>
      <c r="CO583" s="130">
        <f>IFERROR(if($AA583=0,($W583/1.35)*BD583,BD583*$AA583),)</f>
        <v/>
      </c>
      <c r="CP583" s="130">
        <f>IFERROR(if($AA583=0,($W583/1.35)*BE583,BE583*$AA583),)</f>
        <v/>
      </c>
      <c r="CQ583" s="130">
        <f>IFERROR(if($AA583=0,($W583/1.35)*BF583,BF583*$AA583),)</f>
        <v/>
      </c>
      <c r="CR583" s="128">
        <f>IFERROR(if($AC583=0,($W583/0.74)*BG583,
BG583*$AC583),)</f>
        <v/>
      </c>
      <c r="CS583" s="128">
        <f>IFERROR(if($AC583=0,($W583/0.74)*BH583,
BH583*$AC583),)</f>
        <v/>
      </c>
      <c r="CT583" s="128">
        <f>IFERROR(if($AC583=0,($W583/0.74)*BI583,
BI583*$AC583),)</f>
        <v/>
      </c>
      <c r="CU583" s="128">
        <f>IFERROR(AI583*$V583,)</f>
        <v/>
      </c>
      <c r="CV583" s="128">
        <f>IFERROR(AJ583*$V583,)</f>
        <v/>
      </c>
      <c r="CW583" s="128">
        <f>IFERROR(AK583*$V583,)</f>
        <v/>
      </c>
      <c r="CX583" s="128">
        <f>IFERROR(AL583*$V583,)</f>
        <v/>
      </c>
      <c r="CY583" s="128">
        <f>IFERROR(AM583*$V583,)</f>
        <v/>
      </c>
      <c r="CZ583" s="128">
        <f>IFERROR(AN583*$V583,)</f>
        <v/>
      </c>
      <c r="DA583" s="128">
        <f>IFERROR(AO583*$V583,)</f>
        <v/>
      </c>
      <c r="DB583" s="128">
        <f>IFERROR(AP583*$V583,)</f>
        <v/>
      </c>
      <c r="DC583" s="128">
        <f>IFERROR(AQ583*$V583,)</f>
        <v/>
      </c>
      <c r="DD583" s="128">
        <f>IFERROR(AR583*$V583,)</f>
        <v/>
      </c>
      <c r="DE583" s="128">
        <f>IFERROR(AS583*$V583,)</f>
        <v/>
      </c>
      <c r="DF583" s="128">
        <f>IFERROR(AT583*$V583,)</f>
        <v/>
      </c>
      <c r="DG583" s="128">
        <f>IFERROR(AU583*$V583,)</f>
        <v/>
      </c>
      <c r="DH583" s="128">
        <f>IFERROR(AV583*$V583,)</f>
        <v/>
      </c>
      <c r="DI583" s="128">
        <f>IFERROR(AW583*$V583,)</f>
        <v/>
      </c>
      <c r="DJ583" s="128">
        <f>IFERROR(AX583*$V583,)</f>
        <v/>
      </c>
      <c r="DK583" s="128">
        <f>IFERROR(AY583*$V583,)</f>
        <v/>
      </c>
      <c r="DL583" s="128">
        <f>IFERROR(AZ583*$V583,)</f>
        <v/>
      </c>
      <c r="DM583" s="129">
        <f>IFERROR(if($X583=0,($V583/1.2)*BA583,
BA583*$X583),)</f>
        <v/>
      </c>
      <c r="DN583" s="129">
        <f>IFERROR(if($X583=0,($V583/1.2)*BB583,
BB583*$X583),)</f>
        <v/>
      </c>
      <c r="DO583" s="129">
        <f>IFERROR(if($X583=0,($V583/1.2)*BC583,
BC583*$X583),)</f>
        <v/>
      </c>
      <c r="DP583" s="130">
        <f>IFERROR(if($Z583=0,($V583/1.35)*BD583,
BD583*$Z583),)</f>
        <v/>
      </c>
      <c r="DQ583" s="130">
        <f>IFERROR(if($Z583=0,($V583/1.35)*BE583,
BE583*$Z583),)</f>
        <v/>
      </c>
      <c r="DR583" s="130">
        <f>IFERROR(if($Z583=0,($V583/1.35)*BF583,
BF583*$Z583),)</f>
        <v/>
      </c>
      <c r="DS583" s="128">
        <f>IFERROR(IF($AB583=0,($V583/0.74)*BG583,
BG583*$AB583),)</f>
        <v/>
      </c>
      <c r="DT583" s="128">
        <f>IFERROR(IF($AB583=0,($V583/0.74)*BH583,
BH583*$AB583),)</f>
        <v/>
      </c>
      <c r="DU583" s="128">
        <f>IFERROR(IF($AB583=0,($V583/0.74)*BI583,
BI583*$AB583),)</f>
        <v/>
      </c>
    </row>
    <row r="584" ht="131.25" customHeight="1" s="162">
      <c r="A584" s="115" t="n"/>
      <c r="B584" s="115" t="n"/>
      <c r="C584" s="115" t="n"/>
      <c r="D584" s="115" t="n"/>
      <c r="E584" s="115" t="n"/>
      <c r="F584" s="115" t="n"/>
      <c r="G584" s="115" t="n"/>
      <c r="H584" s="115" t="n"/>
      <c r="I584" s="115" t="n"/>
      <c r="J584" s="115" t="n"/>
      <c r="K584" s="115" t="n"/>
      <c r="L584" s="115" t="n"/>
      <c r="M584" s="115" t="n"/>
      <c r="N584" s="115" t="n"/>
      <c r="O584" s="115" t="n"/>
      <c r="P584" s="115" t="n"/>
      <c r="Q584" s="115" t="n"/>
      <c r="R584" s="115" t="n"/>
      <c r="S584" s="115" t="n"/>
      <c r="T584" s="115" t="n"/>
      <c r="U584" s="116" t="n"/>
      <c r="V584" s="116" t="n"/>
      <c r="W584" s="117" t="n"/>
      <c r="X584" s="118" t="n"/>
      <c r="Y584" s="119" t="n"/>
      <c r="Z584" s="120" t="n"/>
      <c r="AA584" s="121" t="n"/>
      <c r="AB584" s="122" t="n"/>
      <c r="AC584" s="117" t="n"/>
      <c r="AD584" s="123">
        <f>IF(SUM($AE584:$AH584)=0,"",SUM($AE584:$AH584))</f>
        <v/>
      </c>
      <c r="AE584" s="123">
        <f>iferror(IF(SUM($AI584:$AZ584)=0,"",SUM($AI584:$AZ584)),"")</f>
        <v/>
      </c>
      <c r="AF584" s="123">
        <f>iferror(IF(SUM($BA584:$BC584)=0,"",SUM($BA584:$BC584)),"")</f>
        <v/>
      </c>
      <c r="AG584" s="123">
        <f>iferror(IF(SUM($BD584:$BF584)=0,"",SUM($BD584:$BF584)),"")</f>
        <v/>
      </c>
      <c r="AH584" s="124">
        <f>iferror(IF(SUM($BG584:$BI584)=0,"",SUM($BG584:$BI584)),"")</f>
        <v/>
      </c>
      <c r="AI584" s="131" t="n"/>
      <c r="AJ584" s="132" t="n"/>
      <c r="AK584" s="132" t="n"/>
      <c r="AL584" s="132" t="n"/>
      <c r="AM584" s="132" t="n"/>
      <c r="AN584" s="132" t="n"/>
      <c r="AO584" s="132" t="n"/>
      <c r="AP584" s="132" t="n"/>
      <c r="AQ584" s="132" t="n"/>
      <c r="AR584" s="132" t="n"/>
      <c r="AS584" s="132" t="n"/>
      <c r="AT584" s="132" t="n"/>
      <c r="AU584" s="132" t="n"/>
      <c r="AV584" s="132" t="n"/>
      <c r="AW584" s="132" t="n"/>
      <c r="AX584" s="132" t="n"/>
      <c r="AY584" s="132" t="n"/>
      <c r="AZ584" s="133" t="n"/>
      <c r="BA584" s="131" t="n"/>
      <c r="BB584" s="132" t="n"/>
      <c r="BC584" s="133" t="n"/>
      <c r="BD584" s="131" t="n"/>
      <c r="BE584" s="132" t="n"/>
      <c r="BF584" s="133" t="n"/>
      <c r="BG584" s="131" t="n"/>
      <c r="BH584" s="132" t="n"/>
      <c r="BI584" s="132" t="n"/>
      <c r="BJ584" s="128">
        <f>iferror(SUM($BK584,($BL584*1.2),($BM584*1.35),($BN584*0.74)),)</f>
        <v/>
      </c>
      <c r="BK584" s="128">
        <f>IFERROR(SUM($BT584:$CK584),)</f>
        <v/>
      </c>
      <c r="BL584" s="129">
        <f>IFERROR(SUM($CL584:$CN584),)</f>
        <v/>
      </c>
      <c r="BM584" s="130">
        <f>IFERROR(SUM($CO584:$CQ584),)</f>
        <v/>
      </c>
      <c r="BN584" s="128">
        <f>IFERROR(SUM($CR584:$CT584),)</f>
        <v/>
      </c>
      <c r="BO584" s="128">
        <f>iferror(SUM($BP584,($BQ584*1.2),($BR584*1.35),($BS584*0.74)),)</f>
        <v/>
      </c>
      <c r="BP584" s="128">
        <f>IFERROR(SUM($CU584:$DL584),)</f>
        <v/>
      </c>
      <c r="BQ584" s="128">
        <f>IFERROR(SUM($DM584:$DO584),)</f>
        <v/>
      </c>
      <c r="BR584" s="128">
        <f>IFERROR(SUM($DP584:$DR584),)</f>
        <v/>
      </c>
      <c r="BS584" s="128">
        <f>IFERROR(SUM($DS584:$DU584),)</f>
        <v/>
      </c>
      <c r="BT584" s="128">
        <f>IFERROR(AI584*$W584,)</f>
        <v/>
      </c>
      <c r="BU584" s="128">
        <f>IFERROR(AJ584*$W584,)</f>
        <v/>
      </c>
      <c r="BV584" s="128">
        <f>IFERROR(AK584*$W584,)</f>
        <v/>
      </c>
      <c r="BW584" s="128">
        <f>IFERROR(AL584*$W584,)</f>
        <v/>
      </c>
      <c r="BX584" s="128">
        <f>IFERROR(AM584*$W584,)</f>
        <v/>
      </c>
      <c r="BY584" s="128">
        <f>IFERROR(AN584*$W584,)</f>
        <v/>
      </c>
      <c r="BZ584" s="128">
        <f>IFERROR(AO584*$W584,)</f>
        <v/>
      </c>
      <c r="CA584" s="128">
        <f>IFERROR(AP584*$W584,)</f>
        <v/>
      </c>
      <c r="CB584" s="128">
        <f>IFERROR(AQ584*$W584,)</f>
        <v/>
      </c>
      <c r="CC584" s="128">
        <f>IFERROR(AR584*$W584,)</f>
        <v/>
      </c>
      <c r="CD584" s="128">
        <f>IFERROR(AS584*$W584,)</f>
        <v/>
      </c>
      <c r="CE584" s="128">
        <f>IFERROR(AT584*$W584,)</f>
        <v/>
      </c>
      <c r="CF584" s="128">
        <f>IFERROR(AU584*$W584,)</f>
        <v/>
      </c>
      <c r="CG584" s="128">
        <f>IFERROR(AV584*$W584,)</f>
        <v/>
      </c>
      <c r="CH584" s="128">
        <f>IFERROR(AW584*$W584,)</f>
        <v/>
      </c>
      <c r="CI584" s="128">
        <f>IFERROR(AX584*$W584,)</f>
        <v/>
      </c>
      <c r="CJ584" s="128">
        <f>IFERROR(AY584*$W584,)</f>
        <v/>
      </c>
      <c r="CK584" s="128">
        <f>IFERROR(AZ584*$W584,)</f>
        <v/>
      </c>
      <c r="CL584" s="129">
        <f>IFERROR(if($Y584=0,BA584*($W584/1.2),BA584*$Y584),"")</f>
        <v/>
      </c>
      <c r="CM584" s="129">
        <f>IFERROR(if($Y584=0,BB584*($W584/1.2),BB584*$Y584),"")</f>
        <v/>
      </c>
      <c r="CN584" s="129">
        <f>IFERROR(if($Y584=0,BC584*($W584/1.2),BC584*$Y584),"")</f>
        <v/>
      </c>
      <c r="CO584" s="130">
        <f>IFERROR(if($AA584=0,($W584/1.35)*BD584,BD584*$AA584),)</f>
        <v/>
      </c>
      <c r="CP584" s="130">
        <f>IFERROR(if($AA584=0,($W584/1.35)*BE584,BE584*$AA584),)</f>
        <v/>
      </c>
      <c r="CQ584" s="130">
        <f>IFERROR(if($AA584=0,($W584/1.35)*BF584,BF584*$AA584),)</f>
        <v/>
      </c>
      <c r="CR584" s="128">
        <f>IFERROR(if($AC584=0,($W584/0.74)*BG584,
BG584*$AC584),)</f>
        <v/>
      </c>
      <c r="CS584" s="128">
        <f>IFERROR(if($AC584=0,($W584/0.74)*BH584,
BH584*$AC584),)</f>
        <v/>
      </c>
      <c r="CT584" s="128">
        <f>IFERROR(if($AC584=0,($W584/0.74)*BI584,
BI584*$AC584),)</f>
        <v/>
      </c>
      <c r="CU584" s="128">
        <f>IFERROR(AI584*$V584,)</f>
        <v/>
      </c>
      <c r="CV584" s="128">
        <f>IFERROR(AJ584*$V584,)</f>
        <v/>
      </c>
      <c r="CW584" s="128">
        <f>IFERROR(AK584*$V584,)</f>
        <v/>
      </c>
      <c r="CX584" s="128">
        <f>IFERROR(AL584*$V584,)</f>
        <v/>
      </c>
      <c r="CY584" s="128">
        <f>IFERROR(AM584*$V584,)</f>
        <v/>
      </c>
      <c r="CZ584" s="128">
        <f>IFERROR(AN584*$V584,)</f>
        <v/>
      </c>
      <c r="DA584" s="128">
        <f>IFERROR(AO584*$V584,)</f>
        <v/>
      </c>
      <c r="DB584" s="128">
        <f>IFERROR(AP584*$V584,)</f>
        <v/>
      </c>
      <c r="DC584" s="128">
        <f>IFERROR(AQ584*$V584,)</f>
        <v/>
      </c>
      <c r="DD584" s="128">
        <f>IFERROR(AR584*$V584,)</f>
        <v/>
      </c>
      <c r="DE584" s="128">
        <f>IFERROR(AS584*$V584,)</f>
        <v/>
      </c>
      <c r="DF584" s="128">
        <f>IFERROR(AT584*$V584,)</f>
        <v/>
      </c>
      <c r="DG584" s="128">
        <f>IFERROR(AU584*$V584,)</f>
        <v/>
      </c>
      <c r="DH584" s="128">
        <f>IFERROR(AV584*$V584,)</f>
        <v/>
      </c>
      <c r="DI584" s="128">
        <f>IFERROR(AW584*$V584,)</f>
        <v/>
      </c>
      <c r="DJ584" s="128">
        <f>IFERROR(AX584*$V584,)</f>
        <v/>
      </c>
      <c r="DK584" s="128">
        <f>IFERROR(AY584*$V584,)</f>
        <v/>
      </c>
      <c r="DL584" s="128">
        <f>IFERROR(AZ584*$V584,)</f>
        <v/>
      </c>
      <c r="DM584" s="129">
        <f>IFERROR(if($X584=0,($V584/1.2)*BA584,
BA584*$X584),)</f>
        <v/>
      </c>
      <c r="DN584" s="129">
        <f>IFERROR(if($X584=0,($V584/1.2)*BB584,
BB584*$X584),)</f>
        <v/>
      </c>
      <c r="DO584" s="129">
        <f>IFERROR(if($X584=0,($V584/1.2)*BC584,
BC584*$X584),)</f>
        <v/>
      </c>
      <c r="DP584" s="130">
        <f>IFERROR(if($Z584=0,($V584/1.35)*BD584,
BD584*$Z584),)</f>
        <v/>
      </c>
      <c r="DQ584" s="130">
        <f>IFERROR(if($Z584=0,($V584/1.35)*BE584,
BE584*$Z584),)</f>
        <v/>
      </c>
      <c r="DR584" s="130">
        <f>IFERROR(if($Z584=0,($V584/1.35)*BF584,
BF584*$Z584),)</f>
        <v/>
      </c>
      <c r="DS584" s="128">
        <f>IFERROR(IF($AB584=0,($V584/0.74)*BG584,
BG584*$AB584),)</f>
        <v/>
      </c>
      <c r="DT584" s="128">
        <f>IFERROR(IF($AB584=0,($V584/0.74)*BH584,
BH584*$AB584),)</f>
        <v/>
      </c>
      <c r="DU584" s="128">
        <f>IFERROR(IF($AB584=0,($V584/0.74)*BI584,
BI584*$AB584),)</f>
        <v/>
      </c>
    </row>
    <row r="585" ht="131.25" customHeight="1" s="162">
      <c r="A585" s="115" t="n"/>
      <c r="B585" s="115" t="n"/>
      <c r="C585" s="115" t="n"/>
      <c r="D585" s="115" t="n"/>
      <c r="E585" s="115" t="n"/>
      <c r="F585" s="115" t="n"/>
      <c r="G585" s="115" t="n"/>
      <c r="H585" s="115" t="n"/>
      <c r="I585" s="115" t="n"/>
      <c r="J585" s="115" t="n"/>
      <c r="K585" s="115" t="n"/>
      <c r="L585" s="115" t="n"/>
      <c r="M585" s="115" t="n"/>
      <c r="N585" s="115" t="n"/>
      <c r="O585" s="115" t="n"/>
      <c r="P585" s="115" t="n"/>
      <c r="Q585" s="115" t="n"/>
      <c r="R585" s="115" t="n"/>
      <c r="S585" s="115" t="n"/>
      <c r="T585" s="115" t="n"/>
      <c r="U585" s="116" t="n"/>
      <c r="V585" s="116" t="n"/>
      <c r="W585" s="117" t="n"/>
      <c r="X585" s="118" t="n"/>
      <c r="Y585" s="119" t="n"/>
      <c r="Z585" s="120" t="n"/>
      <c r="AA585" s="121" t="n"/>
      <c r="AB585" s="122" t="n"/>
      <c r="AC585" s="117" t="n"/>
      <c r="AD585" s="123">
        <f>IF(SUM($AE585:$AH585)=0,"",SUM($AE585:$AH585))</f>
        <v/>
      </c>
      <c r="AE585" s="123">
        <f>iferror(IF(SUM($AI585:$AZ585)=0,"",SUM($AI585:$AZ585)),"")</f>
        <v/>
      </c>
      <c r="AF585" s="123">
        <f>iferror(IF(SUM($BA585:$BC585)=0,"",SUM($BA585:$BC585)),"")</f>
        <v/>
      </c>
      <c r="AG585" s="123">
        <f>iferror(IF(SUM($BD585:$BF585)=0,"",SUM($BD585:$BF585)),"")</f>
        <v/>
      </c>
      <c r="AH585" s="124">
        <f>iferror(IF(SUM($BG585:$BI585)=0,"",SUM($BG585:$BI585)),"")</f>
        <v/>
      </c>
      <c r="AI585" s="131" t="n"/>
      <c r="AJ585" s="132" t="n"/>
      <c r="AK585" s="132" t="n"/>
      <c r="AL585" s="132" t="n"/>
      <c r="AM585" s="132" t="n"/>
      <c r="AN585" s="132" t="n"/>
      <c r="AO585" s="132" t="n"/>
      <c r="AP585" s="132" t="n"/>
      <c r="AQ585" s="132" t="n"/>
      <c r="AR585" s="132" t="n"/>
      <c r="AS585" s="132" t="n"/>
      <c r="AT585" s="132" t="n"/>
      <c r="AU585" s="132" t="n"/>
      <c r="AV585" s="132" t="n"/>
      <c r="AW585" s="132" t="n"/>
      <c r="AX585" s="132" t="n"/>
      <c r="AY585" s="132" t="n"/>
      <c r="AZ585" s="133" t="n"/>
      <c r="BA585" s="131" t="n"/>
      <c r="BB585" s="132" t="n"/>
      <c r="BC585" s="133" t="n"/>
      <c r="BD585" s="131" t="n"/>
      <c r="BE585" s="132" t="n"/>
      <c r="BF585" s="133" t="n"/>
      <c r="BG585" s="131" t="n"/>
      <c r="BH585" s="132" t="n"/>
      <c r="BI585" s="132" t="n"/>
      <c r="BJ585" s="128">
        <f>iferror(SUM($BK585,($BL585*1.2),($BM585*1.35),($BN585*0.74)),)</f>
        <v/>
      </c>
      <c r="BK585" s="128">
        <f>IFERROR(SUM($BT585:$CK585),)</f>
        <v/>
      </c>
      <c r="BL585" s="129">
        <f>IFERROR(SUM($CL585:$CN585),)</f>
        <v/>
      </c>
      <c r="BM585" s="130">
        <f>IFERROR(SUM($CO585:$CQ585),)</f>
        <v/>
      </c>
      <c r="BN585" s="128">
        <f>IFERROR(SUM($CR585:$CT585),)</f>
        <v/>
      </c>
      <c r="BO585" s="128">
        <f>iferror(SUM($BP585,($BQ585*1.2),($BR585*1.35),($BS585*0.74)),)</f>
        <v/>
      </c>
      <c r="BP585" s="128">
        <f>IFERROR(SUM($CU585:$DL585),)</f>
        <v/>
      </c>
      <c r="BQ585" s="128">
        <f>IFERROR(SUM($DM585:$DO585),)</f>
        <v/>
      </c>
      <c r="BR585" s="128">
        <f>IFERROR(SUM($DP585:$DR585),)</f>
        <v/>
      </c>
      <c r="BS585" s="128">
        <f>IFERROR(SUM($DS585:$DU585),)</f>
        <v/>
      </c>
      <c r="BT585" s="128">
        <f>IFERROR(AI585*$W585,)</f>
        <v/>
      </c>
      <c r="BU585" s="128">
        <f>IFERROR(AJ585*$W585,)</f>
        <v/>
      </c>
      <c r="BV585" s="128">
        <f>IFERROR(AK585*$W585,)</f>
        <v/>
      </c>
      <c r="BW585" s="128">
        <f>IFERROR(AL585*$W585,)</f>
        <v/>
      </c>
      <c r="BX585" s="128">
        <f>IFERROR(AM585*$W585,)</f>
        <v/>
      </c>
      <c r="BY585" s="128">
        <f>IFERROR(AN585*$W585,)</f>
        <v/>
      </c>
      <c r="BZ585" s="128">
        <f>IFERROR(AO585*$W585,)</f>
        <v/>
      </c>
      <c r="CA585" s="128">
        <f>IFERROR(AP585*$W585,)</f>
        <v/>
      </c>
      <c r="CB585" s="128">
        <f>IFERROR(AQ585*$W585,)</f>
        <v/>
      </c>
      <c r="CC585" s="128">
        <f>IFERROR(AR585*$W585,)</f>
        <v/>
      </c>
      <c r="CD585" s="128">
        <f>IFERROR(AS585*$W585,)</f>
        <v/>
      </c>
      <c r="CE585" s="128">
        <f>IFERROR(AT585*$W585,)</f>
        <v/>
      </c>
      <c r="CF585" s="128">
        <f>IFERROR(AU585*$W585,)</f>
        <v/>
      </c>
      <c r="CG585" s="128">
        <f>IFERROR(AV585*$W585,)</f>
        <v/>
      </c>
      <c r="CH585" s="128">
        <f>IFERROR(AW585*$W585,)</f>
        <v/>
      </c>
      <c r="CI585" s="128">
        <f>IFERROR(AX585*$W585,)</f>
        <v/>
      </c>
      <c r="CJ585" s="128">
        <f>IFERROR(AY585*$W585,)</f>
        <v/>
      </c>
      <c r="CK585" s="128">
        <f>IFERROR(AZ585*$W585,)</f>
        <v/>
      </c>
      <c r="CL585" s="129">
        <f>IFERROR(if($Y585=0,BA585*($W585/1.2),BA585*$Y585),"")</f>
        <v/>
      </c>
      <c r="CM585" s="129">
        <f>IFERROR(if($Y585=0,BB585*($W585/1.2),BB585*$Y585),"")</f>
        <v/>
      </c>
      <c r="CN585" s="129">
        <f>IFERROR(if($Y585=0,BC585*($W585/1.2),BC585*$Y585),"")</f>
        <v/>
      </c>
      <c r="CO585" s="130">
        <f>IFERROR(if($AA585=0,($W585/1.35)*BD585,BD585*$AA585),)</f>
        <v/>
      </c>
      <c r="CP585" s="130">
        <f>IFERROR(if($AA585=0,($W585/1.35)*BE585,BE585*$AA585),)</f>
        <v/>
      </c>
      <c r="CQ585" s="130">
        <f>IFERROR(if($AA585=0,($W585/1.35)*BF585,BF585*$AA585),)</f>
        <v/>
      </c>
      <c r="CR585" s="128">
        <f>IFERROR(if($AC585=0,($W585/0.74)*BG585,
BG585*$AC585),)</f>
        <v/>
      </c>
      <c r="CS585" s="128">
        <f>IFERROR(if($AC585=0,($W585/0.74)*BH585,
BH585*$AC585),)</f>
        <v/>
      </c>
      <c r="CT585" s="128">
        <f>IFERROR(if($AC585=0,($W585/0.74)*BI585,
BI585*$AC585),)</f>
        <v/>
      </c>
      <c r="CU585" s="128">
        <f>IFERROR(AI585*$V585,)</f>
        <v/>
      </c>
      <c r="CV585" s="128">
        <f>IFERROR(AJ585*$V585,)</f>
        <v/>
      </c>
      <c r="CW585" s="128">
        <f>IFERROR(AK585*$V585,)</f>
        <v/>
      </c>
      <c r="CX585" s="128">
        <f>IFERROR(AL585*$V585,)</f>
        <v/>
      </c>
      <c r="CY585" s="128">
        <f>IFERROR(AM585*$V585,)</f>
        <v/>
      </c>
      <c r="CZ585" s="128">
        <f>IFERROR(AN585*$V585,)</f>
        <v/>
      </c>
      <c r="DA585" s="128">
        <f>IFERROR(AO585*$V585,)</f>
        <v/>
      </c>
      <c r="DB585" s="128">
        <f>IFERROR(AP585*$V585,)</f>
        <v/>
      </c>
      <c r="DC585" s="128">
        <f>IFERROR(AQ585*$V585,)</f>
        <v/>
      </c>
      <c r="DD585" s="128">
        <f>IFERROR(AR585*$V585,)</f>
        <v/>
      </c>
      <c r="DE585" s="128">
        <f>IFERROR(AS585*$V585,)</f>
        <v/>
      </c>
      <c r="DF585" s="128">
        <f>IFERROR(AT585*$V585,)</f>
        <v/>
      </c>
      <c r="DG585" s="128">
        <f>IFERROR(AU585*$V585,)</f>
        <v/>
      </c>
      <c r="DH585" s="128">
        <f>IFERROR(AV585*$V585,)</f>
        <v/>
      </c>
      <c r="DI585" s="128">
        <f>IFERROR(AW585*$V585,)</f>
        <v/>
      </c>
      <c r="DJ585" s="128">
        <f>IFERROR(AX585*$V585,)</f>
        <v/>
      </c>
      <c r="DK585" s="128">
        <f>IFERROR(AY585*$V585,)</f>
        <v/>
      </c>
      <c r="DL585" s="128">
        <f>IFERROR(AZ585*$V585,)</f>
        <v/>
      </c>
      <c r="DM585" s="129">
        <f>IFERROR(if($X585=0,($V585/1.2)*BA585,
BA585*$X585),)</f>
        <v/>
      </c>
      <c r="DN585" s="129">
        <f>IFERROR(if($X585=0,($V585/1.2)*BB585,
BB585*$X585),)</f>
        <v/>
      </c>
      <c r="DO585" s="129">
        <f>IFERROR(if($X585=0,($V585/1.2)*BC585,
BC585*$X585),)</f>
        <v/>
      </c>
      <c r="DP585" s="130">
        <f>IFERROR(if($Z585=0,($V585/1.35)*BD585,
BD585*$Z585),)</f>
        <v/>
      </c>
      <c r="DQ585" s="130">
        <f>IFERROR(if($Z585=0,($V585/1.35)*BE585,
BE585*$Z585),)</f>
        <v/>
      </c>
      <c r="DR585" s="130">
        <f>IFERROR(if($Z585=0,($V585/1.35)*BF585,
BF585*$Z585),)</f>
        <v/>
      </c>
      <c r="DS585" s="128">
        <f>IFERROR(IF($AB585=0,($V585/0.74)*BG585,
BG585*$AB585),)</f>
        <v/>
      </c>
      <c r="DT585" s="128">
        <f>IFERROR(IF($AB585=0,($V585/0.74)*BH585,
BH585*$AB585),)</f>
        <v/>
      </c>
      <c r="DU585" s="128">
        <f>IFERROR(IF($AB585=0,($V585/0.74)*BI585,
BI585*$AB585),)</f>
        <v/>
      </c>
    </row>
    <row r="586" ht="131.25" customHeight="1" s="162">
      <c r="A586" s="115" t="n"/>
      <c r="B586" s="115" t="n"/>
      <c r="C586" s="115" t="n"/>
      <c r="D586" s="115" t="n"/>
      <c r="E586" s="115" t="n"/>
      <c r="F586" s="115" t="n"/>
      <c r="G586" s="115" t="n"/>
      <c r="H586" s="115" t="n"/>
      <c r="I586" s="115" t="n"/>
      <c r="J586" s="115" t="n"/>
      <c r="K586" s="115" t="n"/>
      <c r="L586" s="115" t="n"/>
      <c r="M586" s="115" t="n"/>
      <c r="N586" s="115" t="n"/>
      <c r="O586" s="115" t="n"/>
      <c r="P586" s="115" t="n"/>
      <c r="Q586" s="115" t="n"/>
      <c r="R586" s="115" t="n"/>
      <c r="S586" s="115" t="n"/>
      <c r="T586" s="115" t="n"/>
      <c r="U586" s="116" t="n"/>
      <c r="V586" s="116" t="n"/>
      <c r="W586" s="117" t="n"/>
      <c r="X586" s="118" t="n"/>
      <c r="Y586" s="119" t="n"/>
      <c r="Z586" s="120" t="n"/>
      <c r="AA586" s="121" t="n"/>
      <c r="AB586" s="122" t="n"/>
      <c r="AC586" s="117" t="n"/>
      <c r="AD586" s="123">
        <f>IF(SUM($AE586:$AH586)=0,"",SUM($AE586:$AH586))</f>
        <v/>
      </c>
      <c r="AE586" s="123">
        <f>iferror(IF(SUM($AI586:$AZ586)=0,"",SUM($AI586:$AZ586)),"")</f>
        <v/>
      </c>
      <c r="AF586" s="123">
        <f>iferror(IF(SUM($BA586:$BC586)=0,"",SUM($BA586:$BC586)),"")</f>
        <v/>
      </c>
      <c r="AG586" s="123">
        <f>iferror(IF(SUM($BD586:$BF586)=0,"",SUM($BD586:$BF586)),"")</f>
        <v/>
      </c>
      <c r="AH586" s="124">
        <f>iferror(IF(SUM($BG586:$BI586)=0,"",SUM($BG586:$BI586)),"")</f>
        <v/>
      </c>
      <c r="AI586" s="131" t="n"/>
      <c r="AJ586" s="132" t="n"/>
      <c r="AK586" s="132" t="n"/>
      <c r="AL586" s="132" t="n"/>
      <c r="AM586" s="132" t="n"/>
      <c r="AN586" s="132" t="n"/>
      <c r="AO586" s="132" t="n"/>
      <c r="AP586" s="132" t="n"/>
      <c r="AQ586" s="132" t="n"/>
      <c r="AR586" s="132" t="n"/>
      <c r="AS586" s="132" t="n"/>
      <c r="AT586" s="132" t="n"/>
      <c r="AU586" s="132" t="n"/>
      <c r="AV586" s="132" t="n"/>
      <c r="AW586" s="132" t="n"/>
      <c r="AX586" s="132" t="n"/>
      <c r="AY586" s="132" t="n"/>
      <c r="AZ586" s="133" t="n"/>
      <c r="BA586" s="131" t="n"/>
      <c r="BB586" s="132" t="n"/>
      <c r="BC586" s="133" t="n"/>
      <c r="BD586" s="131" t="n"/>
      <c r="BE586" s="132" t="n"/>
      <c r="BF586" s="133" t="n"/>
      <c r="BG586" s="131" t="n"/>
      <c r="BH586" s="132" t="n"/>
      <c r="BI586" s="132" t="n"/>
      <c r="BJ586" s="128">
        <f>iferror(SUM($BK586,($BL586*1.2),($BM586*1.35),($BN586*0.74)),)</f>
        <v/>
      </c>
      <c r="BK586" s="128">
        <f>IFERROR(SUM($BT586:$CK586),)</f>
        <v/>
      </c>
      <c r="BL586" s="129">
        <f>IFERROR(SUM($CL586:$CN586),)</f>
        <v/>
      </c>
      <c r="BM586" s="130">
        <f>IFERROR(SUM($CO586:$CQ586),)</f>
        <v/>
      </c>
      <c r="BN586" s="128">
        <f>IFERROR(SUM($CR586:$CT586),)</f>
        <v/>
      </c>
      <c r="BO586" s="128">
        <f>iferror(SUM($BP586,($BQ586*1.2),($BR586*1.35),($BS586*0.74)),)</f>
        <v/>
      </c>
      <c r="BP586" s="128">
        <f>IFERROR(SUM($CU586:$DL586),)</f>
        <v/>
      </c>
      <c r="BQ586" s="128">
        <f>IFERROR(SUM($DM586:$DO586),)</f>
        <v/>
      </c>
      <c r="BR586" s="128">
        <f>IFERROR(SUM($DP586:$DR586),)</f>
        <v/>
      </c>
      <c r="BS586" s="128">
        <f>IFERROR(SUM($DS586:$DU586),)</f>
        <v/>
      </c>
      <c r="BT586" s="128">
        <f>IFERROR(AI586*$W586,)</f>
        <v/>
      </c>
      <c r="BU586" s="128">
        <f>IFERROR(AJ586*$W586,)</f>
        <v/>
      </c>
      <c r="BV586" s="128">
        <f>IFERROR(AK586*$W586,)</f>
        <v/>
      </c>
      <c r="BW586" s="128">
        <f>IFERROR(AL586*$W586,)</f>
        <v/>
      </c>
      <c r="BX586" s="128">
        <f>IFERROR(AM586*$W586,)</f>
        <v/>
      </c>
      <c r="BY586" s="128">
        <f>IFERROR(AN586*$W586,)</f>
        <v/>
      </c>
      <c r="BZ586" s="128">
        <f>IFERROR(AO586*$W586,)</f>
        <v/>
      </c>
      <c r="CA586" s="128">
        <f>IFERROR(AP586*$W586,)</f>
        <v/>
      </c>
      <c r="CB586" s="128">
        <f>IFERROR(AQ586*$W586,)</f>
        <v/>
      </c>
      <c r="CC586" s="128">
        <f>IFERROR(AR586*$W586,)</f>
        <v/>
      </c>
      <c r="CD586" s="128">
        <f>IFERROR(AS586*$W586,)</f>
        <v/>
      </c>
      <c r="CE586" s="128">
        <f>IFERROR(AT586*$W586,)</f>
        <v/>
      </c>
      <c r="CF586" s="128">
        <f>IFERROR(AU586*$W586,)</f>
        <v/>
      </c>
      <c r="CG586" s="128">
        <f>IFERROR(AV586*$W586,)</f>
        <v/>
      </c>
      <c r="CH586" s="128">
        <f>IFERROR(AW586*$W586,)</f>
        <v/>
      </c>
      <c r="CI586" s="128">
        <f>IFERROR(AX586*$W586,)</f>
        <v/>
      </c>
      <c r="CJ586" s="128">
        <f>IFERROR(AY586*$W586,)</f>
        <v/>
      </c>
      <c r="CK586" s="128">
        <f>IFERROR(AZ586*$W586,)</f>
        <v/>
      </c>
      <c r="CL586" s="129">
        <f>IFERROR(if($Y586=0,BA586*($W586/1.2),BA586*$Y586),"")</f>
        <v/>
      </c>
      <c r="CM586" s="129">
        <f>IFERROR(if($Y586=0,BB586*($W586/1.2),BB586*$Y586),"")</f>
        <v/>
      </c>
      <c r="CN586" s="129">
        <f>IFERROR(if($Y586=0,BC586*($W586/1.2),BC586*$Y586),"")</f>
        <v/>
      </c>
      <c r="CO586" s="130">
        <f>IFERROR(if($AA586=0,($W586/1.35)*BD586,BD586*$AA586),)</f>
        <v/>
      </c>
      <c r="CP586" s="130">
        <f>IFERROR(if($AA586=0,($W586/1.35)*BE586,BE586*$AA586),)</f>
        <v/>
      </c>
      <c r="CQ586" s="130">
        <f>IFERROR(if($AA586=0,($W586/1.35)*BF586,BF586*$AA586),)</f>
        <v/>
      </c>
      <c r="CR586" s="128">
        <f>IFERROR(if($AC586=0,($W586/0.74)*BG586,
BG586*$AC586),)</f>
        <v/>
      </c>
      <c r="CS586" s="128">
        <f>IFERROR(if($AC586=0,($W586/0.74)*BH586,
BH586*$AC586),)</f>
        <v/>
      </c>
      <c r="CT586" s="128">
        <f>IFERROR(if($AC586=0,($W586/0.74)*BI586,
BI586*$AC586),)</f>
        <v/>
      </c>
      <c r="CU586" s="128">
        <f>IFERROR(AI586*$V586,)</f>
        <v/>
      </c>
      <c r="CV586" s="128">
        <f>IFERROR(AJ586*$V586,)</f>
        <v/>
      </c>
      <c r="CW586" s="128">
        <f>IFERROR(AK586*$V586,)</f>
        <v/>
      </c>
      <c r="CX586" s="128">
        <f>IFERROR(AL586*$V586,)</f>
        <v/>
      </c>
      <c r="CY586" s="128">
        <f>IFERROR(AM586*$V586,)</f>
        <v/>
      </c>
      <c r="CZ586" s="128">
        <f>IFERROR(AN586*$V586,)</f>
        <v/>
      </c>
      <c r="DA586" s="128">
        <f>IFERROR(AO586*$V586,)</f>
        <v/>
      </c>
      <c r="DB586" s="128">
        <f>IFERROR(AP586*$V586,)</f>
        <v/>
      </c>
      <c r="DC586" s="128">
        <f>IFERROR(AQ586*$V586,)</f>
        <v/>
      </c>
      <c r="DD586" s="128">
        <f>IFERROR(AR586*$V586,)</f>
        <v/>
      </c>
      <c r="DE586" s="128">
        <f>IFERROR(AS586*$V586,)</f>
        <v/>
      </c>
      <c r="DF586" s="128">
        <f>IFERROR(AT586*$V586,)</f>
        <v/>
      </c>
      <c r="DG586" s="128">
        <f>IFERROR(AU586*$V586,)</f>
        <v/>
      </c>
      <c r="DH586" s="128">
        <f>IFERROR(AV586*$V586,)</f>
        <v/>
      </c>
      <c r="DI586" s="128">
        <f>IFERROR(AW586*$V586,)</f>
        <v/>
      </c>
      <c r="DJ586" s="128">
        <f>IFERROR(AX586*$V586,)</f>
        <v/>
      </c>
      <c r="DK586" s="128">
        <f>IFERROR(AY586*$V586,)</f>
        <v/>
      </c>
      <c r="DL586" s="128">
        <f>IFERROR(AZ586*$V586,)</f>
        <v/>
      </c>
      <c r="DM586" s="129">
        <f>IFERROR(if($X586=0,($V586/1.2)*BA586,
BA586*$X586),)</f>
        <v/>
      </c>
      <c r="DN586" s="129">
        <f>IFERROR(if($X586=0,($V586/1.2)*BB586,
BB586*$X586),)</f>
        <v/>
      </c>
      <c r="DO586" s="129">
        <f>IFERROR(if($X586=0,($V586/1.2)*BC586,
BC586*$X586),)</f>
        <v/>
      </c>
      <c r="DP586" s="130">
        <f>IFERROR(if($Z586=0,($V586/1.35)*BD586,
BD586*$Z586),)</f>
        <v/>
      </c>
      <c r="DQ586" s="130">
        <f>IFERROR(if($Z586=0,($V586/1.35)*BE586,
BE586*$Z586),)</f>
        <v/>
      </c>
      <c r="DR586" s="130">
        <f>IFERROR(if($Z586=0,($V586/1.35)*BF586,
BF586*$Z586),)</f>
        <v/>
      </c>
      <c r="DS586" s="128">
        <f>IFERROR(IF($AB586=0,($V586/0.74)*BG586,
BG586*$AB586),)</f>
        <v/>
      </c>
      <c r="DT586" s="128">
        <f>IFERROR(IF($AB586=0,($V586/0.74)*BH586,
BH586*$AB586),)</f>
        <v/>
      </c>
      <c r="DU586" s="128">
        <f>IFERROR(IF($AB586=0,($V586/0.74)*BI586,
BI586*$AB586),)</f>
        <v/>
      </c>
    </row>
    <row r="587" ht="131.25" customHeight="1" s="162">
      <c r="A587" s="115" t="n"/>
      <c r="B587" s="115" t="n"/>
      <c r="C587" s="115" t="n"/>
      <c r="D587" s="115" t="n"/>
      <c r="E587" s="115" t="n"/>
      <c r="F587" s="115" t="n"/>
      <c r="G587" s="115" t="n"/>
      <c r="H587" s="115" t="n"/>
      <c r="I587" s="115" t="n"/>
      <c r="J587" s="115" t="n"/>
      <c r="K587" s="115" t="n"/>
      <c r="L587" s="115" t="n"/>
      <c r="M587" s="115" t="n"/>
      <c r="N587" s="115" t="n"/>
      <c r="O587" s="115" t="n"/>
      <c r="P587" s="115" t="n"/>
      <c r="Q587" s="115" t="n"/>
      <c r="R587" s="115" t="n"/>
      <c r="S587" s="115" t="n"/>
      <c r="T587" s="115" t="n"/>
      <c r="U587" s="116" t="n"/>
      <c r="V587" s="116" t="n"/>
      <c r="W587" s="117" t="n"/>
      <c r="X587" s="118" t="n"/>
      <c r="Y587" s="119" t="n"/>
      <c r="Z587" s="120" t="n"/>
      <c r="AA587" s="121" t="n"/>
      <c r="AB587" s="122" t="n"/>
      <c r="AC587" s="117" t="n"/>
      <c r="AD587" s="123">
        <f>IF(SUM($AE587:$AH587)=0,"",SUM($AE587:$AH587))</f>
        <v/>
      </c>
      <c r="AE587" s="123">
        <f>iferror(IF(SUM($AI587:$AZ587)=0,"",SUM($AI587:$AZ587)),"")</f>
        <v/>
      </c>
      <c r="AF587" s="123">
        <f>iferror(IF(SUM($BA587:$BC587)=0,"",SUM($BA587:$BC587)),"")</f>
        <v/>
      </c>
      <c r="AG587" s="123">
        <f>iferror(IF(SUM($BD587:$BF587)=0,"",SUM($BD587:$BF587)),"")</f>
        <v/>
      </c>
      <c r="AH587" s="124">
        <f>iferror(IF(SUM($BG587:$BI587)=0,"",SUM($BG587:$BI587)),"")</f>
        <v/>
      </c>
      <c r="AI587" s="131" t="n"/>
      <c r="AJ587" s="132" t="n"/>
      <c r="AK587" s="132" t="n"/>
      <c r="AL587" s="132" t="n"/>
      <c r="AM587" s="132" t="n"/>
      <c r="AN587" s="132" t="n"/>
      <c r="AO587" s="132" t="n"/>
      <c r="AP587" s="132" t="n"/>
      <c r="AQ587" s="132" t="n"/>
      <c r="AR587" s="132" t="n"/>
      <c r="AS587" s="132" t="n"/>
      <c r="AT587" s="132" t="n"/>
      <c r="AU587" s="132" t="n"/>
      <c r="AV587" s="132" t="n"/>
      <c r="AW587" s="132" t="n"/>
      <c r="AX587" s="132" t="n"/>
      <c r="AY587" s="132" t="n"/>
      <c r="AZ587" s="133" t="n"/>
      <c r="BA587" s="131" t="n"/>
      <c r="BB587" s="132" t="n"/>
      <c r="BC587" s="133" t="n"/>
      <c r="BD587" s="131" t="n"/>
      <c r="BE587" s="132" t="n"/>
      <c r="BF587" s="133" t="n"/>
      <c r="BG587" s="131" t="n"/>
      <c r="BH587" s="132" t="n"/>
      <c r="BI587" s="132" t="n"/>
      <c r="BJ587" s="128">
        <f>iferror(SUM($BK587,($BL587*1.2),($BM587*1.35),($BN587*0.74)),)</f>
        <v/>
      </c>
      <c r="BK587" s="128">
        <f>IFERROR(SUM($BT587:$CK587),)</f>
        <v/>
      </c>
      <c r="BL587" s="129">
        <f>IFERROR(SUM($CL587:$CN587),)</f>
        <v/>
      </c>
      <c r="BM587" s="130">
        <f>IFERROR(SUM($CO587:$CQ587),)</f>
        <v/>
      </c>
      <c r="BN587" s="128">
        <f>IFERROR(SUM($CR587:$CT587),)</f>
        <v/>
      </c>
      <c r="BO587" s="128">
        <f>iferror(SUM($BP587,($BQ587*1.2),($BR587*1.35),($BS587*0.74)),)</f>
        <v/>
      </c>
      <c r="BP587" s="128">
        <f>IFERROR(SUM($CU587:$DL587),)</f>
        <v/>
      </c>
      <c r="BQ587" s="128">
        <f>IFERROR(SUM($DM587:$DO587),)</f>
        <v/>
      </c>
      <c r="BR587" s="128">
        <f>IFERROR(SUM($DP587:$DR587),)</f>
        <v/>
      </c>
      <c r="BS587" s="128">
        <f>IFERROR(SUM($DS587:$DU587),)</f>
        <v/>
      </c>
      <c r="BT587" s="128">
        <f>IFERROR(AI587*$W587,)</f>
        <v/>
      </c>
      <c r="BU587" s="128">
        <f>IFERROR(AJ587*$W587,)</f>
        <v/>
      </c>
      <c r="BV587" s="128">
        <f>IFERROR(AK587*$W587,)</f>
        <v/>
      </c>
      <c r="BW587" s="128">
        <f>IFERROR(AL587*$W587,)</f>
        <v/>
      </c>
      <c r="BX587" s="128">
        <f>IFERROR(AM587*$W587,)</f>
        <v/>
      </c>
      <c r="BY587" s="128">
        <f>IFERROR(AN587*$W587,)</f>
        <v/>
      </c>
      <c r="BZ587" s="128">
        <f>IFERROR(AO587*$W587,)</f>
        <v/>
      </c>
      <c r="CA587" s="128">
        <f>IFERROR(AP587*$W587,)</f>
        <v/>
      </c>
      <c r="CB587" s="128">
        <f>IFERROR(AQ587*$W587,)</f>
        <v/>
      </c>
      <c r="CC587" s="128">
        <f>IFERROR(AR587*$W587,)</f>
        <v/>
      </c>
      <c r="CD587" s="128">
        <f>IFERROR(AS587*$W587,)</f>
        <v/>
      </c>
      <c r="CE587" s="128">
        <f>IFERROR(AT587*$W587,)</f>
        <v/>
      </c>
      <c r="CF587" s="128">
        <f>IFERROR(AU587*$W587,)</f>
        <v/>
      </c>
      <c r="CG587" s="128">
        <f>IFERROR(AV587*$W587,)</f>
        <v/>
      </c>
      <c r="CH587" s="128">
        <f>IFERROR(AW587*$W587,)</f>
        <v/>
      </c>
      <c r="CI587" s="128">
        <f>IFERROR(AX587*$W587,)</f>
        <v/>
      </c>
      <c r="CJ587" s="128">
        <f>IFERROR(AY587*$W587,)</f>
        <v/>
      </c>
      <c r="CK587" s="128">
        <f>IFERROR(AZ587*$W587,)</f>
        <v/>
      </c>
      <c r="CL587" s="129">
        <f>IFERROR(if($Y587=0,BA587*($W587/1.2),BA587*$Y587),"")</f>
        <v/>
      </c>
      <c r="CM587" s="129">
        <f>IFERROR(if($Y587=0,BB587*($W587/1.2),BB587*$Y587),"")</f>
        <v/>
      </c>
      <c r="CN587" s="129">
        <f>IFERROR(if($Y587=0,BC587*($W587/1.2),BC587*$Y587),"")</f>
        <v/>
      </c>
      <c r="CO587" s="130">
        <f>IFERROR(if($AA587=0,($W587/1.35)*BD587,BD587*$AA587),)</f>
        <v/>
      </c>
      <c r="CP587" s="130">
        <f>IFERROR(if($AA587=0,($W587/1.35)*BE587,BE587*$AA587),)</f>
        <v/>
      </c>
      <c r="CQ587" s="130">
        <f>IFERROR(if($AA587=0,($W587/1.35)*BF587,BF587*$AA587),)</f>
        <v/>
      </c>
      <c r="CR587" s="128">
        <f>IFERROR(if($AC587=0,($W587/0.74)*BG587,
BG587*$AC587),)</f>
        <v/>
      </c>
      <c r="CS587" s="128">
        <f>IFERROR(if($AC587=0,($W587/0.74)*BH587,
BH587*$AC587),)</f>
        <v/>
      </c>
      <c r="CT587" s="128">
        <f>IFERROR(if($AC587=0,($W587/0.74)*BI587,
BI587*$AC587),)</f>
        <v/>
      </c>
      <c r="CU587" s="128">
        <f>IFERROR(AI587*$V587,)</f>
        <v/>
      </c>
      <c r="CV587" s="128">
        <f>IFERROR(AJ587*$V587,)</f>
        <v/>
      </c>
      <c r="CW587" s="128">
        <f>IFERROR(AK587*$V587,)</f>
        <v/>
      </c>
      <c r="CX587" s="128">
        <f>IFERROR(AL587*$V587,)</f>
        <v/>
      </c>
      <c r="CY587" s="128">
        <f>IFERROR(AM587*$V587,)</f>
        <v/>
      </c>
      <c r="CZ587" s="128">
        <f>IFERROR(AN587*$V587,)</f>
        <v/>
      </c>
      <c r="DA587" s="128">
        <f>IFERROR(AO587*$V587,)</f>
        <v/>
      </c>
      <c r="DB587" s="128">
        <f>IFERROR(AP587*$V587,)</f>
        <v/>
      </c>
      <c r="DC587" s="128">
        <f>IFERROR(AQ587*$V587,)</f>
        <v/>
      </c>
      <c r="DD587" s="128">
        <f>IFERROR(AR587*$V587,)</f>
        <v/>
      </c>
      <c r="DE587" s="128">
        <f>IFERROR(AS587*$V587,)</f>
        <v/>
      </c>
      <c r="DF587" s="128">
        <f>IFERROR(AT587*$V587,)</f>
        <v/>
      </c>
      <c r="DG587" s="128">
        <f>IFERROR(AU587*$V587,)</f>
        <v/>
      </c>
      <c r="DH587" s="128">
        <f>IFERROR(AV587*$V587,)</f>
        <v/>
      </c>
      <c r="DI587" s="128">
        <f>IFERROR(AW587*$V587,)</f>
        <v/>
      </c>
      <c r="DJ587" s="128">
        <f>IFERROR(AX587*$V587,)</f>
        <v/>
      </c>
      <c r="DK587" s="128">
        <f>IFERROR(AY587*$V587,)</f>
        <v/>
      </c>
      <c r="DL587" s="128">
        <f>IFERROR(AZ587*$V587,)</f>
        <v/>
      </c>
      <c r="DM587" s="129">
        <f>IFERROR(if($X587=0,($V587/1.2)*BA587,
BA587*$X587),)</f>
        <v/>
      </c>
      <c r="DN587" s="129">
        <f>IFERROR(if($X587=0,($V587/1.2)*BB587,
BB587*$X587),)</f>
        <v/>
      </c>
      <c r="DO587" s="129">
        <f>IFERROR(if($X587=0,($V587/1.2)*BC587,
BC587*$X587),)</f>
        <v/>
      </c>
      <c r="DP587" s="130">
        <f>IFERROR(if($Z587=0,($V587/1.35)*BD587,
BD587*$Z587),)</f>
        <v/>
      </c>
      <c r="DQ587" s="130">
        <f>IFERROR(if($Z587=0,($V587/1.35)*BE587,
BE587*$Z587),)</f>
        <v/>
      </c>
      <c r="DR587" s="130">
        <f>IFERROR(if($Z587=0,($V587/1.35)*BF587,
BF587*$Z587),)</f>
        <v/>
      </c>
      <c r="DS587" s="128">
        <f>IFERROR(IF($AB587=0,($V587/0.74)*BG587,
BG587*$AB587),)</f>
        <v/>
      </c>
      <c r="DT587" s="128">
        <f>IFERROR(IF($AB587=0,($V587/0.74)*BH587,
BH587*$AB587),)</f>
        <v/>
      </c>
      <c r="DU587" s="128">
        <f>IFERROR(IF($AB587=0,($V587/0.74)*BI587,
BI587*$AB587),)</f>
        <v/>
      </c>
    </row>
    <row r="588" ht="131.25" customHeight="1" s="162">
      <c r="A588" s="115" t="n"/>
      <c r="B588" s="115" t="n"/>
      <c r="C588" s="115" t="n"/>
      <c r="D588" s="115" t="n"/>
      <c r="E588" s="115" t="n"/>
      <c r="F588" s="115" t="n"/>
      <c r="G588" s="115" t="n"/>
      <c r="H588" s="115" t="n"/>
      <c r="I588" s="115" t="n"/>
      <c r="J588" s="115" t="n"/>
      <c r="K588" s="115" t="n"/>
      <c r="L588" s="115" t="n"/>
      <c r="M588" s="115" t="n"/>
      <c r="N588" s="115" t="n"/>
      <c r="O588" s="115" t="n"/>
      <c r="P588" s="115" t="n"/>
      <c r="Q588" s="115" t="n"/>
      <c r="R588" s="115" t="n"/>
      <c r="S588" s="115" t="n"/>
      <c r="T588" s="115" t="n"/>
      <c r="U588" s="116" t="n"/>
      <c r="V588" s="116" t="n"/>
      <c r="W588" s="117" t="n"/>
      <c r="X588" s="118" t="n"/>
      <c r="Y588" s="119" t="n"/>
      <c r="Z588" s="120" t="n"/>
      <c r="AA588" s="121" t="n"/>
      <c r="AB588" s="122" t="n"/>
      <c r="AC588" s="117" t="n"/>
      <c r="AD588" s="123">
        <f>IF(SUM($AE588:$AH588)=0,"",SUM($AE588:$AH588))</f>
        <v/>
      </c>
      <c r="AE588" s="123">
        <f>iferror(IF(SUM($AI588:$AZ588)=0,"",SUM($AI588:$AZ588)),"")</f>
        <v/>
      </c>
      <c r="AF588" s="123">
        <f>iferror(IF(SUM($BA588:$BC588)=0,"",SUM($BA588:$BC588)),"")</f>
        <v/>
      </c>
      <c r="AG588" s="123">
        <f>iferror(IF(SUM($BD588:$BF588)=0,"",SUM($BD588:$BF588)),"")</f>
        <v/>
      </c>
      <c r="AH588" s="124">
        <f>iferror(IF(SUM($BG588:$BI588)=0,"",SUM($BG588:$BI588)),"")</f>
        <v/>
      </c>
      <c r="AI588" s="131" t="n"/>
      <c r="AJ588" s="132" t="n"/>
      <c r="AK588" s="132" t="n"/>
      <c r="AL588" s="132" t="n"/>
      <c r="AM588" s="132" t="n"/>
      <c r="AN588" s="132" t="n"/>
      <c r="AO588" s="132" t="n"/>
      <c r="AP588" s="132" t="n"/>
      <c r="AQ588" s="132" t="n"/>
      <c r="AR588" s="132" t="n"/>
      <c r="AS588" s="132" t="n"/>
      <c r="AT588" s="132" t="n"/>
      <c r="AU588" s="132" t="n"/>
      <c r="AV588" s="132" t="n"/>
      <c r="AW588" s="132" t="n"/>
      <c r="AX588" s="132" t="n"/>
      <c r="AY588" s="132" t="n"/>
      <c r="AZ588" s="133" t="n"/>
      <c r="BA588" s="131" t="n"/>
      <c r="BB588" s="132" t="n"/>
      <c r="BC588" s="133" t="n"/>
      <c r="BD588" s="131" t="n"/>
      <c r="BE588" s="132" t="n"/>
      <c r="BF588" s="133" t="n"/>
      <c r="BG588" s="131" t="n"/>
      <c r="BH588" s="132" t="n"/>
      <c r="BI588" s="132" t="n"/>
      <c r="BJ588" s="128">
        <f>iferror(SUM($BK588,($BL588*1.2),($BM588*1.35),($BN588*0.74)),)</f>
        <v/>
      </c>
      <c r="BK588" s="128">
        <f>IFERROR(SUM($BT588:$CK588),)</f>
        <v/>
      </c>
      <c r="BL588" s="129">
        <f>IFERROR(SUM($CL588:$CN588),)</f>
        <v/>
      </c>
      <c r="BM588" s="130">
        <f>IFERROR(SUM($CO588:$CQ588),)</f>
        <v/>
      </c>
      <c r="BN588" s="128">
        <f>IFERROR(SUM($CR588:$CT588),)</f>
        <v/>
      </c>
      <c r="BO588" s="128">
        <f>iferror(SUM($BP588,($BQ588*1.2),($BR588*1.35),($BS588*0.74)),)</f>
        <v/>
      </c>
      <c r="BP588" s="128">
        <f>IFERROR(SUM($CU588:$DL588),)</f>
        <v/>
      </c>
      <c r="BQ588" s="128">
        <f>IFERROR(SUM($DM588:$DO588),)</f>
        <v/>
      </c>
      <c r="BR588" s="128">
        <f>IFERROR(SUM($DP588:$DR588),)</f>
        <v/>
      </c>
      <c r="BS588" s="128">
        <f>IFERROR(SUM($DS588:$DU588),)</f>
        <v/>
      </c>
      <c r="BT588" s="128">
        <f>IFERROR(AI588*$W588,)</f>
        <v/>
      </c>
      <c r="BU588" s="128">
        <f>IFERROR(AJ588*$W588,)</f>
        <v/>
      </c>
      <c r="BV588" s="128">
        <f>IFERROR(AK588*$W588,)</f>
        <v/>
      </c>
      <c r="BW588" s="128">
        <f>IFERROR(AL588*$W588,)</f>
        <v/>
      </c>
      <c r="BX588" s="128">
        <f>IFERROR(AM588*$W588,)</f>
        <v/>
      </c>
      <c r="BY588" s="128">
        <f>IFERROR(AN588*$W588,)</f>
        <v/>
      </c>
      <c r="BZ588" s="128">
        <f>IFERROR(AO588*$W588,)</f>
        <v/>
      </c>
      <c r="CA588" s="128">
        <f>IFERROR(AP588*$W588,)</f>
        <v/>
      </c>
      <c r="CB588" s="128">
        <f>IFERROR(AQ588*$W588,)</f>
        <v/>
      </c>
      <c r="CC588" s="128">
        <f>IFERROR(AR588*$W588,)</f>
        <v/>
      </c>
      <c r="CD588" s="128">
        <f>IFERROR(AS588*$W588,)</f>
        <v/>
      </c>
      <c r="CE588" s="128">
        <f>IFERROR(AT588*$W588,)</f>
        <v/>
      </c>
      <c r="CF588" s="128">
        <f>IFERROR(AU588*$W588,)</f>
        <v/>
      </c>
      <c r="CG588" s="128">
        <f>IFERROR(AV588*$W588,)</f>
        <v/>
      </c>
      <c r="CH588" s="128">
        <f>IFERROR(AW588*$W588,)</f>
        <v/>
      </c>
      <c r="CI588" s="128">
        <f>IFERROR(AX588*$W588,)</f>
        <v/>
      </c>
      <c r="CJ588" s="128">
        <f>IFERROR(AY588*$W588,)</f>
        <v/>
      </c>
      <c r="CK588" s="128">
        <f>IFERROR(AZ588*$W588,)</f>
        <v/>
      </c>
      <c r="CL588" s="129">
        <f>IFERROR(if($Y588=0,BA588*($W588/1.2),BA588*$Y588),"")</f>
        <v/>
      </c>
      <c r="CM588" s="129">
        <f>IFERROR(if($Y588=0,BB588*($W588/1.2),BB588*$Y588),"")</f>
        <v/>
      </c>
      <c r="CN588" s="129">
        <f>IFERROR(if($Y588=0,BC588*($W588/1.2),BC588*$Y588),"")</f>
        <v/>
      </c>
      <c r="CO588" s="130">
        <f>IFERROR(if($AA588=0,($W588/1.35)*BD588,BD588*$AA588),)</f>
        <v/>
      </c>
      <c r="CP588" s="130">
        <f>IFERROR(if($AA588=0,($W588/1.35)*BE588,BE588*$AA588),)</f>
        <v/>
      </c>
      <c r="CQ588" s="130">
        <f>IFERROR(if($AA588=0,($W588/1.35)*BF588,BF588*$AA588),)</f>
        <v/>
      </c>
      <c r="CR588" s="128">
        <f>IFERROR(if($AC588=0,($W588/0.74)*BG588,
BG588*$AC588),)</f>
        <v/>
      </c>
      <c r="CS588" s="128">
        <f>IFERROR(if($AC588=0,($W588/0.74)*BH588,
BH588*$AC588),)</f>
        <v/>
      </c>
      <c r="CT588" s="128">
        <f>IFERROR(if($AC588=0,($W588/0.74)*BI588,
BI588*$AC588),)</f>
        <v/>
      </c>
      <c r="CU588" s="128">
        <f>IFERROR(AI588*$V588,)</f>
        <v/>
      </c>
      <c r="CV588" s="128">
        <f>IFERROR(AJ588*$V588,)</f>
        <v/>
      </c>
      <c r="CW588" s="128">
        <f>IFERROR(AK588*$V588,)</f>
        <v/>
      </c>
      <c r="CX588" s="128">
        <f>IFERROR(AL588*$V588,)</f>
        <v/>
      </c>
      <c r="CY588" s="128">
        <f>IFERROR(AM588*$V588,)</f>
        <v/>
      </c>
      <c r="CZ588" s="128">
        <f>IFERROR(AN588*$V588,)</f>
        <v/>
      </c>
      <c r="DA588" s="128">
        <f>IFERROR(AO588*$V588,)</f>
        <v/>
      </c>
      <c r="DB588" s="128">
        <f>IFERROR(AP588*$V588,)</f>
        <v/>
      </c>
      <c r="DC588" s="128">
        <f>IFERROR(AQ588*$V588,)</f>
        <v/>
      </c>
      <c r="DD588" s="128">
        <f>IFERROR(AR588*$V588,)</f>
        <v/>
      </c>
      <c r="DE588" s="128">
        <f>IFERROR(AS588*$V588,)</f>
        <v/>
      </c>
      <c r="DF588" s="128">
        <f>IFERROR(AT588*$V588,)</f>
        <v/>
      </c>
      <c r="DG588" s="128">
        <f>IFERROR(AU588*$V588,)</f>
        <v/>
      </c>
      <c r="DH588" s="128">
        <f>IFERROR(AV588*$V588,)</f>
        <v/>
      </c>
      <c r="DI588" s="128">
        <f>IFERROR(AW588*$V588,)</f>
        <v/>
      </c>
      <c r="DJ588" s="128">
        <f>IFERROR(AX588*$V588,)</f>
        <v/>
      </c>
      <c r="DK588" s="128">
        <f>IFERROR(AY588*$V588,)</f>
        <v/>
      </c>
      <c r="DL588" s="128">
        <f>IFERROR(AZ588*$V588,)</f>
        <v/>
      </c>
      <c r="DM588" s="129">
        <f>IFERROR(if($X588=0,($V588/1.2)*BA588,
BA588*$X588),)</f>
        <v/>
      </c>
      <c r="DN588" s="129">
        <f>IFERROR(if($X588=0,($V588/1.2)*BB588,
BB588*$X588),)</f>
        <v/>
      </c>
      <c r="DO588" s="129">
        <f>IFERROR(if($X588=0,($V588/1.2)*BC588,
BC588*$X588),)</f>
        <v/>
      </c>
      <c r="DP588" s="130">
        <f>IFERROR(if($Z588=0,($V588/1.35)*BD588,
BD588*$Z588),)</f>
        <v/>
      </c>
      <c r="DQ588" s="130">
        <f>IFERROR(if($Z588=0,($V588/1.35)*BE588,
BE588*$Z588),)</f>
        <v/>
      </c>
      <c r="DR588" s="130">
        <f>IFERROR(if($Z588=0,($V588/1.35)*BF588,
BF588*$Z588),)</f>
        <v/>
      </c>
      <c r="DS588" s="128">
        <f>IFERROR(IF($AB588=0,($V588/0.74)*BG588,
BG588*$AB588),)</f>
        <v/>
      </c>
      <c r="DT588" s="128">
        <f>IFERROR(IF($AB588=0,($V588/0.74)*BH588,
BH588*$AB588),)</f>
        <v/>
      </c>
      <c r="DU588" s="128">
        <f>IFERROR(IF($AB588=0,($V588/0.74)*BI588,
BI588*$AB588),)</f>
        <v/>
      </c>
    </row>
    <row r="589" ht="131.25" customHeight="1" s="162">
      <c r="A589" s="115" t="n"/>
      <c r="B589" s="115" t="n"/>
      <c r="C589" s="115" t="n"/>
      <c r="D589" s="115" t="n"/>
      <c r="E589" s="115" t="n"/>
      <c r="F589" s="115" t="n"/>
      <c r="G589" s="115" t="n"/>
      <c r="H589" s="115" t="n"/>
      <c r="I589" s="115" t="n"/>
      <c r="J589" s="115" t="n"/>
      <c r="K589" s="115" t="n"/>
      <c r="L589" s="115" t="n"/>
      <c r="M589" s="115" t="n"/>
      <c r="N589" s="115" t="n"/>
      <c r="O589" s="115" t="n"/>
      <c r="P589" s="115" t="n"/>
      <c r="Q589" s="115" t="n"/>
      <c r="R589" s="115" t="n"/>
      <c r="S589" s="115" t="n"/>
      <c r="T589" s="115" t="n"/>
      <c r="U589" s="116" t="n"/>
      <c r="V589" s="116" t="n"/>
      <c r="W589" s="117" t="n"/>
      <c r="X589" s="118" t="n"/>
      <c r="Y589" s="119" t="n"/>
      <c r="Z589" s="120" t="n"/>
      <c r="AA589" s="121" t="n"/>
      <c r="AB589" s="122" t="n"/>
      <c r="AC589" s="117" t="n"/>
      <c r="AD589" s="123">
        <f>IF(SUM($AE589:$AH589)=0,"",SUM($AE589:$AH589))</f>
        <v/>
      </c>
      <c r="AE589" s="123">
        <f>iferror(IF(SUM($AI589:$AZ589)=0,"",SUM($AI589:$AZ589)),"")</f>
        <v/>
      </c>
      <c r="AF589" s="123">
        <f>iferror(IF(SUM($BA589:$BC589)=0,"",SUM($BA589:$BC589)),"")</f>
        <v/>
      </c>
      <c r="AG589" s="123">
        <f>iferror(IF(SUM($BD589:$BF589)=0,"",SUM($BD589:$BF589)),"")</f>
        <v/>
      </c>
      <c r="AH589" s="124">
        <f>iferror(IF(SUM($BG589:$BI589)=0,"",SUM($BG589:$BI589)),"")</f>
        <v/>
      </c>
      <c r="AI589" s="131" t="n"/>
      <c r="AJ589" s="132" t="n"/>
      <c r="AK589" s="132" t="n"/>
      <c r="AL589" s="132" t="n"/>
      <c r="AM589" s="132" t="n"/>
      <c r="AN589" s="132" t="n"/>
      <c r="AO589" s="132" t="n"/>
      <c r="AP589" s="132" t="n"/>
      <c r="AQ589" s="132" t="n"/>
      <c r="AR589" s="132" t="n"/>
      <c r="AS589" s="132" t="n"/>
      <c r="AT589" s="132" t="n"/>
      <c r="AU589" s="132" t="n"/>
      <c r="AV589" s="132" t="n"/>
      <c r="AW589" s="132" t="n"/>
      <c r="AX589" s="132" t="n"/>
      <c r="AY589" s="132" t="n"/>
      <c r="AZ589" s="133" t="n"/>
      <c r="BA589" s="131" t="n"/>
      <c r="BB589" s="132" t="n"/>
      <c r="BC589" s="133" t="n"/>
      <c r="BD589" s="131" t="n"/>
      <c r="BE589" s="132" t="n"/>
      <c r="BF589" s="133" t="n"/>
      <c r="BG589" s="131" t="n"/>
      <c r="BH589" s="132" t="n"/>
      <c r="BI589" s="132" t="n"/>
      <c r="BJ589" s="128">
        <f>iferror(SUM($BK589,($BL589*1.2),($BM589*1.35),($BN589*0.74)),)</f>
        <v/>
      </c>
      <c r="BK589" s="128">
        <f>IFERROR(SUM($BT589:$CK589),)</f>
        <v/>
      </c>
      <c r="BL589" s="129">
        <f>IFERROR(SUM($CL589:$CN589),)</f>
        <v/>
      </c>
      <c r="BM589" s="130">
        <f>IFERROR(SUM($CO589:$CQ589),)</f>
        <v/>
      </c>
      <c r="BN589" s="128">
        <f>IFERROR(SUM($CR589:$CT589),)</f>
        <v/>
      </c>
      <c r="BO589" s="128">
        <f>iferror(SUM($BP589,($BQ589*1.2),($BR589*1.35),($BS589*0.74)),)</f>
        <v/>
      </c>
      <c r="BP589" s="128">
        <f>IFERROR(SUM($CU589:$DL589),)</f>
        <v/>
      </c>
      <c r="BQ589" s="128">
        <f>IFERROR(SUM($DM589:$DO589),)</f>
        <v/>
      </c>
      <c r="BR589" s="128">
        <f>IFERROR(SUM($DP589:$DR589),)</f>
        <v/>
      </c>
      <c r="BS589" s="128">
        <f>IFERROR(SUM($DS589:$DU589),)</f>
        <v/>
      </c>
      <c r="BT589" s="128">
        <f>IFERROR(AI589*$W589,)</f>
        <v/>
      </c>
      <c r="BU589" s="128">
        <f>IFERROR(AJ589*$W589,)</f>
        <v/>
      </c>
      <c r="BV589" s="128">
        <f>IFERROR(AK589*$W589,)</f>
        <v/>
      </c>
      <c r="BW589" s="128">
        <f>IFERROR(AL589*$W589,)</f>
        <v/>
      </c>
      <c r="BX589" s="128">
        <f>IFERROR(AM589*$W589,)</f>
        <v/>
      </c>
      <c r="BY589" s="128">
        <f>IFERROR(AN589*$W589,)</f>
        <v/>
      </c>
      <c r="BZ589" s="128">
        <f>IFERROR(AO589*$W589,)</f>
        <v/>
      </c>
      <c r="CA589" s="128">
        <f>IFERROR(AP589*$W589,)</f>
        <v/>
      </c>
      <c r="CB589" s="128">
        <f>IFERROR(AQ589*$W589,)</f>
        <v/>
      </c>
      <c r="CC589" s="128">
        <f>IFERROR(AR589*$W589,)</f>
        <v/>
      </c>
      <c r="CD589" s="128">
        <f>IFERROR(AS589*$W589,)</f>
        <v/>
      </c>
      <c r="CE589" s="128">
        <f>IFERROR(AT589*$W589,)</f>
        <v/>
      </c>
      <c r="CF589" s="128">
        <f>IFERROR(AU589*$W589,)</f>
        <v/>
      </c>
      <c r="CG589" s="128">
        <f>IFERROR(AV589*$W589,)</f>
        <v/>
      </c>
      <c r="CH589" s="128">
        <f>IFERROR(AW589*$W589,)</f>
        <v/>
      </c>
      <c r="CI589" s="128">
        <f>IFERROR(AX589*$W589,)</f>
        <v/>
      </c>
      <c r="CJ589" s="128">
        <f>IFERROR(AY589*$W589,)</f>
        <v/>
      </c>
      <c r="CK589" s="128">
        <f>IFERROR(AZ589*$W589,)</f>
        <v/>
      </c>
      <c r="CL589" s="129">
        <f>IFERROR(if($Y589=0,BA589*($W589/1.2),BA589*$Y589),"")</f>
        <v/>
      </c>
      <c r="CM589" s="129">
        <f>IFERROR(if($Y589=0,BB589*($W589/1.2),BB589*$Y589),"")</f>
        <v/>
      </c>
      <c r="CN589" s="129">
        <f>IFERROR(if($Y589=0,BC589*($W589/1.2),BC589*$Y589),"")</f>
        <v/>
      </c>
      <c r="CO589" s="130">
        <f>IFERROR(if($AA589=0,($W589/1.35)*BD589,BD589*$AA589),)</f>
        <v/>
      </c>
      <c r="CP589" s="130">
        <f>IFERROR(if($AA589=0,($W589/1.35)*BE589,BE589*$AA589),)</f>
        <v/>
      </c>
      <c r="CQ589" s="130">
        <f>IFERROR(if($AA589=0,($W589/1.35)*BF589,BF589*$AA589),)</f>
        <v/>
      </c>
      <c r="CR589" s="128">
        <f>IFERROR(if($AC589=0,($W589/0.74)*BG589,
BG589*$AC589),)</f>
        <v/>
      </c>
      <c r="CS589" s="128">
        <f>IFERROR(if($AC589=0,($W589/0.74)*BH589,
BH589*$AC589),)</f>
        <v/>
      </c>
      <c r="CT589" s="128">
        <f>IFERROR(if($AC589=0,($W589/0.74)*BI589,
BI589*$AC589),)</f>
        <v/>
      </c>
      <c r="CU589" s="128">
        <f>IFERROR(AI589*$V589,)</f>
        <v/>
      </c>
      <c r="CV589" s="128">
        <f>IFERROR(AJ589*$V589,)</f>
        <v/>
      </c>
      <c r="CW589" s="128">
        <f>IFERROR(AK589*$V589,)</f>
        <v/>
      </c>
      <c r="CX589" s="128">
        <f>IFERROR(AL589*$V589,)</f>
        <v/>
      </c>
      <c r="CY589" s="128">
        <f>IFERROR(AM589*$V589,)</f>
        <v/>
      </c>
      <c r="CZ589" s="128">
        <f>IFERROR(AN589*$V589,)</f>
        <v/>
      </c>
      <c r="DA589" s="128">
        <f>IFERROR(AO589*$V589,)</f>
        <v/>
      </c>
      <c r="DB589" s="128">
        <f>IFERROR(AP589*$V589,)</f>
        <v/>
      </c>
      <c r="DC589" s="128">
        <f>IFERROR(AQ589*$V589,)</f>
        <v/>
      </c>
      <c r="DD589" s="128">
        <f>IFERROR(AR589*$V589,)</f>
        <v/>
      </c>
      <c r="DE589" s="128">
        <f>IFERROR(AS589*$V589,)</f>
        <v/>
      </c>
      <c r="DF589" s="128">
        <f>IFERROR(AT589*$V589,)</f>
        <v/>
      </c>
      <c r="DG589" s="128">
        <f>IFERROR(AU589*$V589,)</f>
        <v/>
      </c>
      <c r="DH589" s="128">
        <f>IFERROR(AV589*$V589,)</f>
        <v/>
      </c>
      <c r="DI589" s="128">
        <f>IFERROR(AW589*$V589,)</f>
        <v/>
      </c>
      <c r="DJ589" s="128">
        <f>IFERROR(AX589*$V589,)</f>
        <v/>
      </c>
      <c r="DK589" s="128">
        <f>IFERROR(AY589*$V589,)</f>
        <v/>
      </c>
      <c r="DL589" s="128">
        <f>IFERROR(AZ589*$V589,)</f>
        <v/>
      </c>
      <c r="DM589" s="129">
        <f>IFERROR(if($X589=0,($V589/1.2)*BA589,
BA589*$X589),)</f>
        <v/>
      </c>
      <c r="DN589" s="129">
        <f>IFERROR(if($X589=0,($V589/1.2)*BB589,
BB589*$X589),)</f>
        <v/>
      </c>
      <c r="DO589" s="129">
        <f>IFERROR(if($X589=0,($V589/1.2)*BC589,
BC589*$X589),)</f>
        <v/>
      </c>
      <c r="DP589" s="130">
        <f>IFERROR(if($Z589=0,($V589/1.35)*BD589,
BD589*$Z589),)</f>
        <v/>
      </c>
      <c r="DQ589" s="130">
        <f>IFERROR(if($Z589=0,($V589/1.35)*BE589,
BE589*$Z589),)</f>
        <v/>
      </c>
      <c r="DR589" s="130">
        <f>IFERROR(if($Z589=0,($V589/1.35)*BF589,
BF589*$Z589),)</f>
        <v/>
      </c>
      <c r="DS589" s="128">
        <f>IFERROR(IF($AB589=0,($V589/0.74)*BG589,
BG589*$AB589),)</f>
        <v/>
      </c>
      <c r="DT589" s="128">
        <f>IFERROR(IF($AB589=0,($V589/0.74)*BH589,
BH589*$AB589),)</f>
        <v/>
      </c>
      <c r="DU589" s="128">
        <f>IFERROR(IF($AB589=0,($V589/0.74)*BI589,
BI589*$AB589),)</f>
        <v/>
      </c>
    </row>
    <row r="590" ht="131.25" customHeight="1" s="162">
      <c r="A590" s="115" t="n"/>
      <c r="B590" s="115" t="n"/>
      <c r="C590" s="115" t="n"/>
      <c r="D590" s="115" t="n"/>
      <c r="E590" s="115" t="n"/>
      <c r="F590" s="115" t="n"/>
      <c r="G590" s="115" t="n"/>
      <c r="H590" s="115" t="n"/>
      <c r="I590" s="115" t="n"/>
      <c r="J590" s="115" t="n"/>
      <c r="K590" s="115" t="n"/>
      <c r="L590" s="115" t="n"/>
      <c r="M590" s="115" t="n"/>
      <c r="N590" s="115" t="n"/>
      <c r="O590" s="115" t="n"/>
      <c r="P590" s="115" t="n"/>
      <c r="Q590" s="115" t="n"/>
      <c r="R590" s="115" t="n"/>
      <c r="S590" s="115" t="n"/>
      <c r="T590" s="115" t="n"/>
      <c r="U590" s="116" t="n"/>
      <c r="V590" s="116" t="n"/>
      <c r="W590" s="117" t="n"/>
      <c r="X590" s="118" t="n"/>
      <c r="Y590" s="119" t="n"/>
      <c r="Z590" s="120" t="n"/>
      <c r="AA590" s="121" t="n"/>
      <c r="AB590" s="122" t="n"/>
      <c r="AC590" s="117" t="n"/>
      <c r="AD590" s="123">
        <f>IF(SUM($AE590:$AH590)=0,"",SUM($AE590:$AH590))</f>
        <v/>
      </c>
      <c r="AE590" s="123">
        <f>iferror(IF(SUM($AI590:$AZ590)=0,"",SUM($AI590:$AZ590)),"")</f>
        <v/>
      </c>
      <c r="AF590" s="123">
        <f>iferror(IF(SUM($BA590:$BC590)=0,"",SUM($BA590:$BC590)),"")</f>
        <v/>
      </c>
      <c r="AG590" s="123">
        <f>iferror(IF(SUM($BD590:$BF590)=0,"",SUM($BD590:$BF590)),"")</f>
        <v/>
      </c>
      <c r="AH590" s="124">
        <f>iferror(IF(SUM($BG590:$BI590)=0,"",SUM($BG590:$BI590)),"")</f>
        <v/>
      </c>
      <c r="AI590" s="131" t="n"/>
      <c r="AJ590" s="132" t="n"/>
      <c r="AK590" s="132" t="n"/>
      <c r="AL590" s="132" t="n"/>
      <c r="AM590" s="132" t="n"/>
      <c r="AN590" s="132" t="n"/>
      <c r="AO590" s="132" t="n"/>
      <c r="AP590" s="132" t="n"/>
      <c r="AQ590" s="132" t="n"/>
      <c r="AR590" s="132" t="n"/>
      <c r="AS590" s="132" t="n"/>
      <c r="AT590" s="132" t="n"/>
      <c r="AU590" s="132" t="n"/>
      <c r="AV590" s="132" t="n"/>
      <c r="AW590" s="132" t="n"/>
      <c r="AX590" s="132" t="n"/>
      <c r="AY590" s="132" t="n"/>
      <c r="AZ590" s="133" t="n"/>
      <c r="BA590" s="131" t="n"/>
      <c r="BB590" s="132" t="n"/>
      <c r="BC590" s="133" t="n"/>
      <c r="BD590" s="131" t="n"/>
      <c r="BE590" s="132" t="n"/>
      <c r="BF590" s="133" t="n"/>
      <c r="BG590" s="131" t="n"/>
      <c r="BH590" s="132" t="n"/>
      <c r="BI590" s="132" t="n"/>
      <c r="BJ590" s="128">
        <f>iferror(SUM($BK590,($BL590*1.2),($BM590*1.35),($BN590*0.74)),)</f>
        <v/>
      </c>
      <c r="BK590" s="128">
        <f>IFERROR(SUM($BT590:$CK590),)</f>
        <v/>
      </c>
      <c r="BL590" s="129">
        <f>IFERROR(SUM($CL590:$CN590),)</f>
        <v/>
      </c>
      <c r="BM590" s="130">
        <f>IFERROR(SUM($CO590:$CQ590),)</f>
        <v/>
      </c>
      <c r="BN590" s="128">
        <f>IFERROR(SUM($CR590:$CT590),)</f>
        <v/>
      </c>
      <c r="BO590" s="128">
        <f>iferror(SUM($BP590,($BQ590*1.2),($BR590*1.35),($BS590*0.74)),)</f>
        <v/>
      </c>
      <c r="BP590" s="128">
        <f>IFERROR(SUM($CU590:$DL590),)</f>
        <v/>
      </c>
      <c r="BQ590" s="128">
        <f>IFERROR(SUM($DM590:$DO590),)</f>
        <v/>
      </c>
      <c r="BR590" s="128">
        <f>IFERROR(SUM($DP590:$DR590),)</f>
        <v/>
      </c>
      <c r="BS590" s="128">
        <f>IFERROR(SUM($DS590:$DU590),)</f>
        <v/>
      </c>
      <c r="BT590" s="128">
        <f>IFERROR(AI590*$W590,)</f>
        <v/>
      </c>
      <c r="BU590" s="128">
        <f>IFERROR(AJ590*$W590,)</f>
        <v/>
      </c>
      <c r="BV590" s="128">
        <f>IFERROR(AK590*$W590,)</f>
        <v/>
      </c>
      <c r="BW590" s="128">
        <f>IFERROR(AL590*$W590,)</f>
        <v/>
      </c>
      <c r="BX590" s="128">
        <f>IFERROR(AM590*$W590,)</f>
        <v/>
      </c>
      <c r="BY590" s="128">
        <f>IFERROR(AN590*$W590,)</f>
        <v/>
      </c>
      <c r="BZ590" s="128">
        <f>IFERROR(AO590*$W590,)</f>
        <v/>
      </c>
      <c r="CA590" s="128">
        <f>IFERROR(AP590*$W590,)</f>
        <v/>
      </c>
      <c r="CB590" s="128">
        <f>IFERROR(AQ590*$W590,)</f>
        <v/>
      </c>
      <c r="CC590" s="128">
        <f>IFERROR(AR590*$W590,)</f>
        <v/>
      </c>
      <c r="CD590" s="128">
        <f>IFERROR(AS590*$W590,)</f>
        <v/>
      </c>
      <c r="CE590" s="128">
        <f>IFERROR(AT590*$W590,)</f>
        <v/>
      </c>
      <c r="CF590" s="128">
        <f>IFERROR(AU590*$W590,)</f>
        <v/>
      </c>
      <c r="CG590" s="128">
        <f>IFERROR(AV590*$W590,)</f>
        <v/>
      </c>
      <c r="CH590" s="128">
        <f>IFERROR(AW590*$W590,)</f>
        <v/>
      </c>
      <c r="CI590" s="128">
        <f>IFERROR(AX590*$W590,)</f>
        <v/>
      </c>
      <c r="CJ590" s="128">
        <f>IFERROR(AY590*$W590,)</f>
        <v/>
      </c>
      <c r="CK590" s="128">
        <f>IFERROR(AZ590*$W590,)</f>
        <v/>
      </c>
      <c r="CL590" s="129">
        <f>IFERROR(if($Y590=0,BA590*($W590/1.2),BA590*$Y590),"")</f>
        <v/>
      </c>
      <c r="CM590" s="129">
        <f>IFERROR(if($Y590=0,BB590*($W590/1.2),BB590*$Y590),"")</f>
        <v/>
      </c>
      <c r="CN590" s="129">
        <f>IFERROR(if($Y590=0,BC590*($W590/1.2),BC590*$Y590),"")</f>
        <v/>
      </c>
      <c r="CO590" s="130">
        <f>IFERROR(if($AA590=0,($W590/1.35)*BD590,BD590*$AA590),)</f>
        <v/>
      </c>
      <c r="CP590" s="130">
        <f>IFERROR(if($AA590=0,($W590/1.35)*BE590,BE590*$AA590),)</f>
        <v/>
      </c>
      <c r="CQ590" s="130">
        <f>IFERROR(if($AA590=0,($W590/1.35)*BF590,BF590*$AA590),)</f>
        <v/>
      </c>
      <c r="CR590" s="128">
        <f>IFERROR(if($AC590=0,($W590/0.74)*BG590,
BG590*$AC590),)</f>
        <v/>
      </c>
      <c r="CS590" s="128">
        <f>IFERROR(if($AC590=0,($W590/0.74)*BH590,
BH590*$AC590),)</f>
        <v/>
      </c>
      <c r="CT590" s="128">
        <f>IFERROR(if($AC590=0,($W590/0.74)*BI590,
BI590*$AC590),)</f>
        <v/>
      </c>
      <c r="CU590" s="128">
        <f>IFERROR(AI590*$V590,)</f>
        <v/>
      </c>
      <c r="CV590" s="128">
        <f>IFERROR(AJ590*$V590,)</f>
        <v/>
      </c>
      <c r="CW590" s="128">
        <f>IFERROR(AK590*$V590,)</f>
        <v/>
      </c>
      <c r="CX590" s="128">
        <f>IFERROR(AL590*$V590,)</f>
        <v/>
      </c>
      <c r="CY590" s="128">
        <f>IFERROR(AM590*$V590,)</f>
        <v/>
      </c>
      <c r="CZ590" s="128">
        <f>IFERROR(AN590*$V590,)</f>
        <v/>
      </c>
      <c r="DA590" s="128">
        <f>IFERROR(AO590*$V590,)</f>
        <v/>
      </c>
      <c r="DB590" s="128">
        <f>IFERROR(AP590*$V590,)</f>
        <v/>
      </c>
      <c r="DC590" s="128">
        <f>IFERROR(AQ590*$V590,)</f>
        <v/>
      </c>
      <c r="DD590" s="128">
        <f>IFERROR(AR590*$V590,)</f>
        <v/>
      </c>
      <c r="DE590" s="128">
        <f>IFERROR(AS590*$V590,)</f>
        <v/>
      </c>
      <c r="DF590" s="128">
        <f>IFERROR(AT590*$V590,)</f>
        <v/>
      </c>
      <c r="DG590" s="128">
        <f>IFERROR(AU590*$V590,)</f>
        <v/>
      </c>
      <c r="DH590" s="128">
        <f>IFERROR(AV590*$V590,)</f>
        <v/>
      </c>
      <c r="DI590" s="128">
        <f>IFERROR(AW590*$V590,)</f>
        <v/>
      </c>
      <c r="DJ590" s="128">
        <f>IFERROR(AX590*$V590,)</f>
        <v/>
      </c>
      <c r="DK590" s="128">
        <f>IFERROR(AY590*$V590,)</f>
        <v/>
      </c>
      <c r="DL590" s="128">
        <f>IFERROR(AZ590*$V590,)</f>
        <v/>
      </c>
      <c r="DM590" s="129">
        <f>IFERROR(if($X590=0,($V590/1.2)*BA590,
BA590*$X590),)</f>
        <v/>
      </c>
      <c r="DN590" s="129">
        <f>IFERROR(if($X590=0,($V590/1.2)*BB590,
BB590*$X590),)</f>
        <v/>
      </c>
      <c r="DO590" s="129">
        <f>IFERROR(if($X590=0,($V590/1.2)*BC590,
BC590*$X590),)</f>
        <v/>
      </c>
      <c r="DP590" s="130">
        <f>IFERROR(if($Z590=0,($V590/1.35)*BD590,
BD590*$Z590),)</f>
        <v/>
      </c>
      <c r="DQ590" s="130">
        <f>IFERROR(if($Z590=0,($V590/1.35)*BE590,
BE590*$Z590),)</f>
        <v/>
      </c>
      <c r="DR590" s="130">
        <f>IFERROR(if($Z590=0,($V590/1.35)*BF590,
BF590*$Z590),)</f>
        <v/>
      </c>
      <c r="DS590" s="128">
        <f>IFERROR(IF($AB590=0,($V590/0.74)*BG590,
BG590*$AB590),)</f>
        <v/>
      </c>
      <c r="DT590" s="128">
        <f>IFERROR(IF($AB590=0,($V590/0.74)*BH590,
BH590*$AB590),)</f>
        <v/>
      </c>
      <c r="DU590" s="128">
        <f>IFERROR(IF($AB590=0,($V590/0.74)*BI590,
BI590*$AB590),)</f>
        <v/>
      </c>
    </row>
    <row r="591" ht="131.25" customHeight="1" s="162">
      <c r="A591" s="115" t="n"/>
      <c r="B591" s="115" t="n"/>
      <c r="C591" s="115" t="n"/>
      <c r="D591" s="115" t="n"/>
      <c r="E591" s="115" t="n"/>
      <c r="F591" s="115" t="n"/>
      <c r="G591" s="115" t="n"/>
      <c r="H591" s="115" t="n"/>
      <c r="I591" s="115" t="n"/>
      <c r="J591" s="115" t="n"/>
      <c r="K591" s="115" t="n"/>
      <c r="L591" s="115" t="n"/>
      <c r="M591" s="115" t="n"/>
      <c r="N591" s="115" t="n"/>
      <c r="O591" s="115" t="n"/>
      <c r="P591" s="115" t="n"/>
      <c r="Q591" s="115" t="n"/>
      <c r="R591" s="115" t="n"/>
      <c r="S591" s="115" t="n"/>
      <c r="T591" s="115" t="n"/>
      <c r="U591" s="116" t="n"/>
      <c r="V591" s="116" t="n"/>
      <c r="W591" s="117" t="n"/>
      <c r="X591" s="118" t="n"/>
      <c r="Y591" s="119" t="n"/>
      <c r="Z591" s="120" t="n"/>
      <c r="AA591" s="121" t="n"/>
      <c r="AB591" s="122" t="n"/>
      <c r="AC591" s="117" t="n"/>
      <c r="AD591" s="123">
        <f>IF(SUM($AE591:$AH591)=0,"",SUM($AE591:$AH591))</f>
        <v/>
      </c>
      <c r="AE591" s="123">
        <f>iferror(IF(SUM($AI591:$AZ591)=0,"",SUM($AI591:$AZ591)),"")</f>
        <v/>
      </c>
      <c r="AF591" s="123">
        <f>iferror(IF(SUM($BA591:$BC591)=0,"",SUM($BA591:$BC591)),"")</f>
        <v/>
      </c>
      <c r="AG591" s="123">
        <f>iferror(IF(SUM($BD591:$BF591)=0,"",SUM($BD591:$BF591)),"")</f>
        <v/>
      </c>
      <c r="AH591" s="124">
        <f>iferror(IF(SUM($BG591:$BI591)=0,"",SUM($BG591:$BI591)),"")</f>
        <v/>
      </c>
      <c r="AI591" s="131" t="n"/>
      <c r="AJ591" s="132" t="n"/>
      <c r="AK591" s="132" t="n"/>
      <c r="AL591" s="132" t="n"/>
      <c r="AM591" s="132" t="n"/>
      <c r="AN591" s="132" t="n"/>
      <c r="AO591" s="132" t="n"/>
      <c r="AP591" s="132" t="n"/>
      <c r="AQ591" s="132" t="n"/>
      <c r="AR591" s="132" t="n"/>
      <c r="AS591" s="132" t="n"/>
      <c r="AT591" s="132" t="n"/>
      <c r="AU591" s="132" t="n"/>
      <c r="AV591" s="132" t="n"/>
      <c r="AW591" s="132" t="n"/>
      <c r="AX591" s="132" t="n"/>
      <c r="AY591" s="132" t="n"/>
      <c r="AZ591" s="133" t="n"/>
      <c r="BA591" s="131" t="n"/>
      <c r="BB591" s="132" t="n"/>
      <c r="BC591" s="133" t="n"/>
      <c r="BD591" s="131" t="n"/>
      <c r="BE591" s="132" t="n"/>
      <c r="BF591" s="133" t="n"/>
      <c r="BG591" s="131" t="n"/>
      <c r="BH591" s="132" t="n"/>
      <c r="BI591" s="132" t="n"/>
      <c r="BJ591" s="128">
        <f>iferror(SUM($BK591,($BL591*1.2),($BM591*1.35),($BN591*0.74)),)</f>
        <v/>
      </c>
      <c r="BK591" s="128">
        <f>IFERROR(SUM($BT591:$CK591),)</f>
        <v/>
      </c>
      <c r="BL591" s="129">
        <f>IFERROR(SUM($CL591:$CN591),)</f>
        <v/>
      </c>
      <c r="BM591" s="130">
        <f>IFERROR(SUM($CO591:$CQ591),)</f>
        <v/>
      </c>
      <c r="BN591" s="128">
        <f>IFERROR(SUM($CR591:$CT591),)</f>
        <v/>
      </c>
      <c r="BO591" s="128">
        <f>iferror(SUM($BP591,($BQ591*1.2),($BR591*1.35),($BS591*0.74)),)</f>
        <v/>
      </c>
      <c r="BP591" s="128">
        <f>IFERROR(SUM($CU591:$DL591),)</f>
        <v/>
      </c>
      <c r="BQ591" s="128">
        <f>IFERROR(SUM($DM591:$DO591),)</f>
        <v/>
      </c>
      <c r="BR591" s="128">
        <f>IFERROR(SUM($DP591:$DR591),)</f>
        <v/>
      </c>
      <c r="BS591" s="128">
        <f>IFERROR(SUM($DS591:$DU591),)</f>
        <v/>
      </c>
      <c r="BT591" s="128">
        <f>IFERROR(AI591*$W591,)</f>
        <v/>
      </c>
      <c r="BU591" s="128">
        <f>IFERROR(AJ591*$W591,)</f>
        <v/>
      </c>
      <c r="BV591" s="128">
        <f>IFERROR(AK591*$W591,)</f>
        <v/>
      </c>
      <c r="BW591" s="128">
        <f>IFERROR(AL591*$W591,)</f>
        <v/>
      </c>
      <c r="BX591" s="128">
        <f>IFERROR(AM591*$W591,)</f>
        <v/>
      </c>
      <c r="BY591" s="128">
        <f>IFERROR(AN591*$W591,)</f>
        <v/>
      </c>
      <c r="BZ591" s="128">
        <f>IFERROR(AO591*$W591,)</f>
        <v/>
      </c>
      <c r="CA591" s="128">
        <f>IFERROR(AP591*$W591,)</f>
        <v/>
      </c>
      <c r="CB591" s="128">
        <f>IFERROR(AQ591*$W591,)</f>
        <v/>
      </c>
      <c r="CC591" s="128">
        <f>IFERROR(AR591*$W591,)</f>
        <v/>
      </c>
      <c r="CD591" s="128">
        <f>IFERROR(AS591*$W591,)</f>
        <v/>
      </c>
      <c r="CE591" s="128">
        <f>IFERROR(AT591*$W591,)</f>
        <v/>
      </c>
      <c r="CF591" s="128">
        <f>IFERROR(AU591*$W591,)</f>
        <v/>
      </c>
      <c r="CG591" s="128">
        <f>IFERROR(AV591*$W591,)</f>
        <v/>
      </c>
      <c r="CH591" s="128">
        <f>IFERROR(AW591*$W591,)</f>
        <v/>
      </c>
      <c r="CI591" s="128">
        <f>IFERROR(AX591*$W591,)</f>
        <v/>
      </c>
      <c r="CJ591" s="128">
        <f>IFERROR(AY591*$W591,)</f>
        <v/>
      </c>
      <c r="CK591" s="128">
        <f>IFERROR(AZ591*$W591,)</f>
        <v/>
      </c>
      <c r="CL591" s="129">
        <f>IFERROR(if($Y591=0,BA591*($W591/1.2),BA591*$Y591),"")</f>
        <v/>
      </c>
      <c r="CM591" s="129">
        <f>IFERROR(if($Y591=0,BB591*($W591/1.2),BB591*$Y591),"")</f>
        <v/>
      </c>
      <c r="CN591" s="129">
        <f>IFERROR(if($Y591=0,BC591*($W591/1.2),BC591*$Y591),"")</f>
        <v/>
      </c>
      <c r="CO591" s="130">
        <f>IFERROR(if($AA591=0,($W591/1.35)*BD591,BD591*$AA591),)</f>
        <v/>
      </c>
      <c r="CP591" s="130">
        <f>IFERROR(if($AA591=0,($W591/1.35)*BE591,BE591*$AA591),)</f>
        <v/>
      </c>
      <c r="CQ591" s="130">
        <f>IFERROR(if($AA591=0,($W591/1.35)*BF591,BF591*$AA591),)</f>
        <v/>
      </c>
      <c r="CR591" s="128">
        <f>IFERROR(if($AC591=0,($W591/0.74)*BG591,
BG591*$AC591),)</f>
        <v/>
      </c>
      <c r="CS591" s="128">
        <f>IFERROR(if($AC591=0,($W591/0.74)*BH591,
BH591*$AC591),)</f>
        <v/>
      </c>
      <c r="CT591" s="128">
        <f>IFERROR(if($AC591=0,($W591/0.74)*BI591,
BI591*$AC591),)</f>
        <v/>
      </c>
      <c r="CU591" s="128">
        <f>IFERROR(AI591*$V591,)</f>
        <v/>
      </c>
      <c r="CV591" s="128">
        <f>IFERROR(AJ591*$V591,)</f>
        <v/>
      </c>
      <c r="CW591" s="128">
        <f>IFERROR(AK591*$V591,)</f>
        <v/>
      </c>
      <c r="CX591" s="128">
        <f>IFERROR(AL591*$V591,)</f>
        <v/>
      </c>
      <c r="CY591" s="128">
        <f>IFERROR(AM591*$V591,)</f>
        <v/>
      </c>
      <c r="CZ591" s="128">
        <f>IFERROR(AN591*$V591,)</f>
        <v/>
      </c>
      <c r="DA591" s="128">
        <f>IFERROR(AO591*$V591,)</f>
        <v/>
      </c>
      <c r="DB591" s="128">
        <f>IFERROR(AP591*$V591,)</f>
        <v/>
      </c>
      <c r="DC591" s="128">
        <f>IFERROR(AQ591*$V591,)</f>
        <v/>
      </c>
      <c r="DD591" s="128">
        <f>IFERROR(AR591*$V591,)</f>
        <v/>
      </c>
      <c r="DE591" s="128">
        <f>IFERROR(AS591*$V591,)</f>
        <v/>
      </c>
      <c r="DF591" s="128">
        <f>IFERROR(AT591*$V591,)</f>
        <v/>
      </c>
      <c r="DG591" s="128">
        <f>IFERROR(AU591*$V591,)</f>
        <v/>
      </c>
      <c r="DH591" s="128">
        <f>IFERROR(AV591*$V591,)</f>
        <v/>
      </c>
      <c r="DI591" s="128">
        <f>IFERROR(AW591*$V591,)</f>
        <v/>
      </c>
      <c r="DJ591" s="128">
        <f>IFERROR(AX591*$V591,)</f>
        <v/>
      </c>
      <c r="DK591" s="128">
        <f>IFERROR(AY591*$V591,)</f>
        <v/>
      </c>
      <c r="DL591" s="128">
        <f>IFERROR(AZ591*$V591,)</f>
        <v/>
      </c>
      <c r="DM591" s="129">
        <f>IFERROR(if($X591=0,($V591/1.2)*BA591,
BA591*$X591),)</f>
        <v/>
      </c>
      <c r="DN591" s="129">
        <f>IFERROR(if($X591=0,($V591/1.2)*BB591,
BB591*$X591),)</f>
        <v/>
      </c>
      <c r="DO591" s="129">
        <f>IFERROR(if($X591=0,($V591/1.2)*BC591,
BC591*$X591),)</f>
        <v/>
      </c>
      <c r="DP591" s="130">
        <f>IFERROR(if($Z591=0,($V591/1.35)*BD591,
BD591*$Z591),)</f>
        <v/>
      </c>
      <c r="DQ591" s="130">
        <f>IFERROR(if($Z591=0,($V591/1.35)*BE591,
BE591*$Z591),)</f>
        <v/>
      </c>
      <c r="DR591" s="130">
        <f>IFERROR(if($Z591=0,($V591/1.35)*BF591,
BF591*$Z591),)</f>
        <v/>
      </c>
      <c r="DS591" s="128">
        <f>IFERROR(IF($AB591=0,($V591/0.74)*BG591,
BG591*$AB591),)</f>
        <v/>
      </c>
      <c r="DT591" s="128">
        <f>IFERROR(IF($AB591=0,($V591/0.74)*BH591,
BH591*$AB591),)</f>
        <v/>
      </c>
      <c r="DU591" s="128">
        <f>IFERROR(IF($AB591=0,($V591/0.74)*BI591,
BI591*$AB591),)</f>
        <v/>
      </c>
    </row>
    <row r="592" ht="131.25" customHeight="1" s="162">
      <c r="A592" s="115" t="n"/>
      <c r="B592" s="115" t="n"/>
      <c r="C592" s="115" t="n"/>
      <c r="D592" s="115" t="n"/>
      <c r="E592" s="115" t="n"/>
      <c r="F592" s="115" t="n"/>
      <c r="G592" s="115" t="n"/>
      <c r="H592" s="115" t="n"/>
      <c r="I592" s="115" t="n"/>
      <c r="J592" s="115" t="n"/>
      <c r="K592" s="115" t="n"/>
      <c r="L592" s="115" t="n"/>
      <c r="M592" s="115" t="n"/>
      <c r="N592" s="115" t="n"/>
      <c r="O592" s="115" t="n"/>
      <c r="P592" s="115" t="n"/>
      <c r="Q592" s="115" t="n"/>
      <c r="R592" s="115" t="n"/>
      <c r="S592" s="115" t="n"/>
      <c r="T592" s="115" t="n"/>
      <c r="U592" s="116" t="n"/>
      <c r="V592" s="116" t="n"/>
      <c r="W592" s="117" t="n"/>
      <c r="X592" s="118" t="n"/>
      <c r="Y592" s="119" t="n"/>
      <c r="Z592" s="120" t="n"/>
      <c r="AA592" s="121" t="n"/>
      <c r="AB592" s="122" t="n"/>
      <c r="AC592" s="117" t="n"/>
      <c r="AD592" s="123">
        <f>IF(SUM($AE592:$AH592)=0,"",SUM($AE592:$AH592))</f>
        <v/>
      </c>
      <c r="AE592" s="123">
        <f>iferror(IF(SUM($AI592:$AZ592)=0,"",SUM($AI592:$AZ592)),"")</f>
        <v/>
      </c>
      <c r="AF592" s="123">
        <f>iferror(IF(SUM($BA592:$BC592)=0,"",SUM($BA592:$BC592)),"")</f>
        <v/>
      </c>
      <c r="AG592" s="123">
        <f>iferror(IF(SUM($BD592:$BF592)=0,"",SUM($BD592:$BF592)),"")</f>
        <v/>
      </c>
      <c r="AH592" s="124">
        <f>iferror(IF(SUM($BG592:$BI592)=0,"",SUM($BG592:$BI592)),"")</f>
        <v/>
      </c>
      <c r="AI592" s="131" t="n"/>
      <c r="AJ592" s="132" t="n"/>
      <c r="AK592" s="132" t="n"/>
      <c r="AL592" s="132" t="n"/>
      <c r="AM592" s="132" t="n"/>
      <c r="AN592" s="132" t="n"/>
      <c r="AO592" s="132" t="n"/>
      <c r="AP592" s="132" t="n"/>
      <c r="AQ592" s="132" t="n"/>
      <c r="AR592" s="132" t="n"/>
      <c r="AS592" s="132" t="n"/>
      <c r="AT592" s="132" t="n"/>
      <c r="AU592" s="132" t="n"/>
      <c r="AV592" s="132" t="n"/>
      <c r="AW592" s="132" t="n"/>
      <c r="AX592" s="132" t="n"/>
      <c r="AY592" s="132" t="n"/>
      <c r="AZ592" s="133" t="n"/>
      <c r="BA592" s="131" t="n"/>
      <c r="BB592" s="132" t="n"/>
      <c r="BC592" s="133" t="n"/>
      <c r="BD592" s="131" t="n"/>
      <c r="BE592" s="132" t="n"/>
      <c r="BF592" s="133" t="n"/>
      <c r="BG592" s="131" t="n"/>
      <c r="BH592" s="132" t="n"/>
      <c r="BI592" s="132" t="n"/>
      <c r="BJ592" s="128">
        <f>iferror(SUM($BK592,($BL592*1.2),($BM592*1.35),($BN592*0.74)),)</f>
        <v/>
      </c>
      <c r="BK592" s="128">
        <f>IFERROR(SUM($BT592:$CK592),)</f>
        <v/>
      </c>
      <c r="BL592" s="129">
        <f>IFERROR(SUM($CL592:$CN592),)</f>
        <v/>
      </c>
      <c r="BM592" s="130">
        <f>IFERROR(SUM($CO592:$CQ592),)</f>
        <v/>
      </c>
      <c r="BN592" s="128">
        <f>IFERROR(SUM($CR592:$CT592),)</f>
        <v/>
      </c>
      <c r="BO592" s="128">
        <f>iferror(SUM($BP592,($BQ592*1.2),($BR592*1.35),($BS592*0.74)),)</f>
        <v/>
      </c>
      <c r="BP592" s="128">
        <f>IFERROR(SUM($CU592:$DL592),)</f>
        <v/>
      </c>
      <c r="BQ592" s="128">
        <f>IFERROR(SUM($DM592:$DO592),)</f>
        <v/>
      </c>
      <c r="BR592" s="128">
        <f>IFERROR(SUM($DP592:$DR592),)</f>
        <v/>
      </c>
      <c r="BS592" s="128">
        <f>IFERROR(SUM($DS592:$DU592),)</f>
        <v/>
      </c>
      <c r="BT592" s="128">
        <f>IFERROR(AI592*$W592,)</f>
        <v/>
      </c>
      <c r="BU592" s="128">
        <f>IFERROR(AJ592*$W592,)</f>
        <v/>
      </c>
      <c r="BV592" s="128">
        <f>IFERROR(AK592*$W592,)</f>
        <v/>
      </c>
      <c r="BW592" s="128">
        <f>IFERROR(AL592*$W592,)</f>
        <v/>
      </c>
      <c r="BX592" s="128">
        <f>IFERROR(AM592*$W592,)</f>
        <v/>
      </c>
      <c r="BY592" s="128">
        <f>IFERROR(AN592*$W592,)</f>
        <v/>
      </c>
      <c r="BZ592" s="128">
        <f>IFERROR(AO592*$W592,)</f>
        <v/>
      </c>
      <c r="CA592" s="128">
        <f>IFERROR(AP592*$W592,)</f>
        <v/>
      </c>
      <c r="CB592" s="128">
        <f>IFERROR(AQ592*$W592,)</f>
        <v/>
      </c>
      <c r="CC592" s="128">
        <f>IFERROR(AR592*$W592,)</f>
        <v/>
      </c>
      <c r="CD592" s="128">
        <f>IFERROR(AS592*$W592,)</f>
        <v/>
      </c>
      <c r="CE592" s="128">
        <f>IFERROR(AT592*$W592,)</f>
        <v/>
      </c>
      <c r="CF592" s="128">
        <f>IFERROR(AU592*$W592,)</f>
        <v/>
      </c>
      <c r="CG592" s="128">
        <f>IFERROR(AV592*$W592,)</f>
        <v/>
      </c>
      <c r="CH592" s="128">
        <f>IFERROR(AW592*$W592,)</f>
        <v/>
      </c>
      <c r="CI592" s="128">
        <f>IFERROR(AX592*$W592,)</f>
        <v/>
      </c>
      <c r="CJ592" s="128">
        <f>IFERROR(AY592*$W592,)</f>
        <v/>
      </c>
      <c r="CK592" s="128">
        <f>IFERROR(AZ592*$W592,)</f>
        <v/>
      </c>
      <c r="CL592" s="129">
        <f>IFERROR(if($Y592=0,BA592*($W592/1.2),BA592*$Y592),"")</f>
        <v/>
      </c>
      <c r="CM592" s="129">
        <f>IFERROR(if($Y592=0,BB592*($W592/1.2),BB592*$Y592),"")</f>
        <v/>
      </c>
      <c r="CN592" s="129">
        <f>IFERROR(if($Y592=0,BC592*($W592/1.2),BC592*$Y592),"")</f>
        <v/>
      </c>
      <c r="CO592" s="130">
        <f>IFERROR(if($AA592=0,($W592/1.35)*BD592,BD592*$AA592),)</f>
        <v/>
      </c>
      <c r="CP592" s="130">
        <f>IFERROR(if($AA592=0,($W592/1.35)*BE592,BE592*$AA592),)</f>
        <v/>
      </c>
      <c r="CQ592" s="130">
        <f>IFERROR(if($AA592=0,($W592/1.35)*BF592,BF592*$AA592),)</f>
        <v/>
      </c>
      <c r="CR592" s="128">
        <f>IFERROR(if($AC592=0,($W592/0.74)*BG592,
BG592*$AC592),)</f>
        <v/>
      </c>
      <c r="CS592" s="128">
        <f>IFERROR(if($AC592=0,($W592/0.74)*BH592,
BH592*$AC592),)</f>
        <v/>
      </c>
      <c r="CT592" s="128">
        <f>IFERROR(if($AC592=0,($W592/0.74)*BI592,
BI592*$AC592),)</f>
        <v/>
      </c>
      <c r="CU592" s="128">
        <f>IFERROR(AI592*$V592,)</f>
        <v/>
      </c>
      <c r="CV592" s="128">
        <f>IFERROR(AJ592*$V592,)</f>
        <v/>
      </c>
      <c r="CW592" s="128">
        <f>IFERROR(AK592*$V592,)</f>
        <v/>
      </c>
      <c r="CX592" s="128">
        <f>IFERROR(AL592*$V592,)</f>
        <v/>
      </c>
      <c r="CY592" s="128">
        <f>IFERROR(AM592*$V592,)</f>
        <v/>
      </c>
      <c r="CZ592" s="128">
        <f>IFERROR(AN592*$V592,)</f>
        <v/>
      </c>
      <c r="DA592" s="128">
        <f>IFERROR(AO592*$V592,)</f>
        <v/>
      </c>
      <c r="DB592" s="128">
        <f>IFERROR(AP592*$V592,)</f>
        <v/>
      </c>
      <c r="DC592" s="128">
        <f>IFERROR(AQ592*$V592,)</f>
        <v/>
      </c>
      <c r="DD592" s="128">
        <f>IFERROR(AR592*$V592,)</f>
        <v/>
      </c>
      <c r="DE592" s="128">
        <f>IFERROR(AS592*$V592,)</f>
        <v/>
      </c>
      <c r="DF592" s="128">
        <f>IFERROR(AT592*$V592,)</f>
        <v/>
      </c>
      <c r="DG592" s="128">
        <f>IFERROR(AU592*$V592,)</f>
        <v/>
      </c>
      <c r="DH592" s="128">
        <f>IFERROR(AV592*$V592,)</f>
        <v/>
      </c>
      <c r="DI592" s="128">
        <f>IFERROR(AW592*$V592,)</f>
        <v/>
      </c>
      <c r="DJ592" s="128">
        <f>IFERROR(AX592*$V592,)</f>
        <v/>
      </c>
      <c r="DK592" s="128">
        <f>IFERROR(AY592*$V592,)</f>
        <v/>
      </c>
      <c r="DL592" s="128">
        <f>IFERROR(AZ592*$V592,)</f>
        <v/>
      </c>
      <c r="DM592" s="129">
        <f>IFERROR(if($X592=0,($V592/1.2)*BA592,
BA592*$X592),)</f>
        <v/>
      </c>
      <c r="DN592" s="129">
        <f>IFERROR(if($X592=0,($V592/1.2)*BB592,
BB592*$X592),)</f>
        <v/>
      </c>
      <c r="DO592" s="129">
        <f>IFERROR(if($X592=0,($V592/1.2)*BC592,
BC592*$X592),)</f>
        <v/>
      </c>
      <c r="DP592" s="130">
        <f>IFERROR(if($Z592=0,($V592/1.35)*BD592,
BD592*$Z592),)</f>
        <v/>
      </c>
      <c r="DQ592" s="130">
        <f>IFERROR(if($Z592=0,($V592/1.35)*BE592,
BE592*$Z592),)</f>
        <v/>
      </c>
      <c r="DR592" s="130">
        <f>IFERROR(if($Z592=0,($V592/1.35)*BF592,
BF592*$Z592),)</f>
        <v/>
      </c>
      <c r="DS592" s="128">
        <f>IFERROR(IF($AB592=0,($V592/0.74)*BG592,
BG592*$AB592),)</f>
        <v/>
      </c>
      <c r="DT592" s="128">
        <f>IFERROR(IF($AB592=0,($V592/0.74)*BH592,
BH592*$AB592),)</f>
        <v/>
      </c>
      <c r="DU592" s="128">
        <f>IFERROR(IF($AB592=0,($V592/0.74)*BI592,
BI592*$AB592),)</f>
        <v/>
      </c>
    </row>
    <row r="593" ht="131.25" customHeight="1" s="162">
      <c r="A593" s="115" t="n"/>
      <c r="B593" s="115" t="n"/>
      <c r="C593" s="115" t="n"/>
      <c r="D593" s="115" t="n"/>
      <c r="E593" s="115" t="n"/>
      <c r="F593" s="115" t="n"/>
      <c r="G593" s="115" t="n"/>
      <c r="H593" s="115" t="n"/>
      <c r="I593" s="115" t="n"/>
      <c r="J593" s="115" t="n"/>
      <c r="K593" s="115" t="n"/>
      <c r="L593" s="115" t="n"/>
      <c r="M593" s="115" t="n"/>
      <c r="N593" s="115" t="n"/>
      <c r="O593" s="115" t="n"/>
      <c r="P593" s="115" t="n"/>
      <c r="Q593" s="115" t="n"/>
      <c r="R593" s="115" t="n"/>
      <c r="S593" s="115" t="n"/>
      <c r="T593" s="115" t="n"/>
      <c r="U593" s="116" t="n"/>
      <c r="V593" s="116" t="n"/>
      <c r="W593" s="117" t="n"/>
      <c r="X593" s="118" t="n"/>
      <c r="Y593" s="119" t="n"/>
      <c r="Z593" s="120" t="n"/>
      <c r="AA593" s="121" t="n"/>
      <c r="AB593" s="122" t="n"/>
      <c r="AC593" s="117" t="n"/>
      <c r="AD593" s="123">
        <f>IF(SUM($AE593:$AH593)=0,"",SUM($AE593:$AH593))</f>
        <v/>
      </c>
      <c r="AE593" s="123">
        <f>iferror(IF(SUM($AI593:$AZ593)=0,"",SUM($AI593:$AZ593)),"")</f>
        <v/>
      </c>
      <c r="AF593" s="123">
        <f>iferror(IF(SUM($BA593:$BC593)=0,"",SUM($BA593:$BC593)),"")</f>
        <v/>
      </c>
      <c r="AG593" s="123">
        <f>iferror(IF(SUM($BD593:$BF593)=0,"",SUM($BD593:$BF593)),"")</f>
        <v/>
      </c>
      <c r="AH593" s="124">
        <f>iferror(IF(SUM($BG593:$BI593)=0,"",SUM($BG593:$BI593)),"")</f>
        <v/>
      </c>
      <c r="AI593" s="131" t="n"/>
      <c r="AJ593" s="132" t="n"/>
      <c r="AK593" s="132" t="n"/>
      <c r="AL593" s="132" t="n"/>
      <c r="AM593" s="132" t="n"/>
      <c r="AN593" s="132" t="n"/>
      <c r="AO593" s="132" t="n"/>
      <c r="AP593" s="132" t="n"/>
      <c r="AQ593" s="132" t="n"/>
      <c r="AR593" s="132" t="n"/>
      <c r="AS593" s="132" t="n"/>
      <c r="AT593" s="132" t="n"/>
      <c r="AU593" s="132" t="n"/>
      <c r="AV593" s="132" t="n"/>
      <c r="AW593" s="132" t="n"/>
      <c r="AX593" s="132" t="n"/>
      <c r="AY593" s="132" t="n"/>
      <c r="AZ593" s="133" t="n"/>
      <c r="BA593" s="131" t="n"/>
      <c r="BB593" s="132" t="n"/>
      <c r="BC593" s="133" t="n"/>
      <c r="BD593" s="131" t="n"/>
      <c r="BE593" s="132" t="n"/>
      <c r="BF593" s="133" t="n"/>
      <c r="BG593" s="131" t="n"/>
      <c r="BH593" s="132" t="n"/>
      <c r="BI593" s="132" t="n"/>
      <c r="BJ593" s="128">
        <f>iferror(SUM($BK593,($BL593*1.2),($BM593*1.35),($BN593*0.74)),)</f>
        <v/>
      </c>
      <c r="BK593" s="128">
        <f>IFERROR(SUM($BT593:$CK593),)</f>
        <v/>
      </c>
      <c r="BL593" s="129">
        <f>IFERROR(SUM($CL593:$CN593),)</f>
        <v/>
      </c>
      <c r="BM593" s="130">
        <f>IFERROR(SUM($CO593:$CQ593),)</f>
        <v/>
      </c>
      <c r="BN593" s="128">
        <f>IFERROR(SUM($CR593:$CT593),)</f>
        <v/>
      </c>
      <c r="BO593" s="128">
        <f>iferror(SUM($BP593,($BQ593*1.2),($BR593*1.35),($BS593*0.74)),)</f>
        <v/>
      </c>
      <c r="BP593" s="128">
        <f>IFERROR(SUM($CU593:$DL593),)</f>
        <v/>
      </c>
      <c r="BQ593" s="128">
        <f>IFERROR(SUM($DM593:$DO593),)</f>
        <v/>
      </c>
      <c r="BR593" s="128">
        <f>IFERROR(SUM($DP593:$DR593),)</f>
        <v/>
      </c>
      <c r="BS593" s="128">
        <f>IFERROR(SUM($DS593:$DU593),)</f>
        <v/>
      </c>
      <c r="BT593" s="128">
        <f>IFERROR(AI593*$W593,)</f>
        <v/>
      </c>
      <c r="BU593" s="128">
        <f>IFERROR(AJ593*$W593,)</f>
        <v/>
      </c>
      <c r="BV593" s="128">
        <f>IFERROR(AK593*$W593,)</f>
        <v/>
      </c>
      <c r="BW593" s="128">
        <f>IFERROR(AL593*$W593,)</f>
        <v/>
      </c>
      <c r="BX593" s="128">
        <f>IFERROR(AM593*$W593,)</f>
        <v/>
      </c>
      <c r="BY593" s="128">
        <f>IFERROR(AN593*$W593,)</f>
        <v/>
      </c>
      <c r="BZ593" s="128">
        <f>IFERROR(AO593*$W593,)</f>
        <v/>
      </c>
      <c r="CA593" s="128">
        <f>IFERROR(AP593*$W593,)</f>
        <v/>
      </c>
      <c r="CB593" s="128">
        <f>IFERROR(AQ593*$W593,)</f>
        <v/>
      </c>
      <c r="CC593" s="128">
        <f>IFERROR(AR593*$W593,)</f>
        <v/>
      </c>
      <c r="CD593" s="128">
        <f>IFERROR(AS593*$W593,)</f>
        <v/>
      </c>
      <c r="CE593" s="128">
        <f>IFERROR(AT593*$W593,)</f>
        <v/>
      </c>
      <c r="CF593" s="128">
        <f>IFERROR(AU593*$W593,)</f>
        <v/>
      </c>
      <c r="CG593" s="128">
        <f>IFERROR(AV593*$W593,)</f>
        <v/>
      </c>
      <c r="CH593" s="128">
        <f>IFERROR(AW593*$W593,)</f>
        <v/>
      </c>
      <c r="CI593" s="128">
        <f>IFERROR(AX593*$W593,)</f>
        <v/>
      </c>
      <c r="CJ593" s="128">
        <f>IFERROR(AY593*$W593,)</f>
        <v/>
      </c>
      <c r="CK593" s="128">
        <f>IFERROR(AZ593*$W593,)</f>
        <v/>
      </c>
      <c r="CL593" s="129">
        <f>IFERROR(if($Y593=0,BA593*($W593/1.2),BA593*$Y593),"")</f>
        <v/>
      </c>
      <c r="CM593" s="129">
        <f>IFERROR(if($Y593=0,BB593*($W593/1.2),BB593*$Y593),"")</f>
        <v/>
      </c>
      <c r="CN593" s="129">
        <f>IFERROR(if($Y593=0,BC593*($W593/1.2),BC593*$Y593),"")</f>
        <v/>
      </c>
      <c r="CO593" s="130">
        <f>IFERROR(if($AA593=0,($W593/1.35)*BD593,BD593*$AA593),)</f>
        <v/>
      </c>
      <c r="CP593" s="130">
        <f>IFERROR(if($AA593=0,($W593/1.35)*BE593,BE593*$AA593),)</f>
        <v/>
      </c>
      <c r="CQ593" s="130">
        <f>IFERROR(if($AA593=0,($W593/1.35)*BF593,BF593*$AA593),)</f>
        <v/>
      </c>
      <c r="CR593" s="128">
        <f>IFERROR(if($AC593=0,($W593/0.74)*BG593,
BG593*$AC593),)</f>
        <v/>
      </c>
      <c r="CS593" s="128">
        <f>IFERROR(if($AC593=0,($W593/0.74)*BH593,
BH593*$AC593),)</f>
        <v/>
      </c>
      <c r="CT593" s="128">
        <f>IFERROR(if($AC593=0,($W593/0.74)*BI593,
BI593*$AC593),)</f>
        <v/>
      </c>
      <c r="CU593" s="128">
        <f>IFERROR(AI593*$V593,)</f>
        <v/>
      </c>
      <c r="CV593" s="128">
        <f>IFERROR(AJ593*$V593,)</f>
        <v/>
      </c>
      <c r="CW593" s="128">
        <f>IFERROR(AK593*$V593,)</f>
        <v/>
      </c>
      <c r="CX593" s="128">
        <f>IFERROR(AL593*$V593,)</f>
        <v/>
      </c>
      <c r="CY593" s="128">
        <f>IFERROR(AM593*$V593,)</f>
        <v/>
      </c>
      <c r="CZ593" s="128">
        <f>IFERROR(AN593*$V593,)</f>
        <v/>
      </c>
      <c r="DA593" s="128">
        <f>IFERROR(AO593*$V593,)</f>
        <v/>
      </c>
      <c r="DB593" s="128">
        <f>IFERROR(AP593*$V593,)</f>
        <v/>
      </c>
      <c r="DC593" s="128">
        <f>IFERROR(AQ593*$V593,)</f>
        <v/>
      </c>
      <c r="DD593" s="128">
        <f>IFERROR(AR593*$V593,)</f>
        <v/>
      </c>
      <c r="DE593" s="128">
        <f>IFERROR(AS593*$V593,)</f>
        <v/>
      </c>
      <c r="DF593" s="128">
        <f>IFERROR(AT593*$V593,)</f>
        <v/>
      </c>
      <c r="DG593" s="128">
        <f>IFERROR(AU593*$V593,)</f>
        <v/>
      </c>
      <c r="DH593" s="128">
        <f>IFERROR(AV593*$V593,)</f>
        <v/>
      </c>
      <c r="DI593" s="128">
        <f>IFERROR(AW593*$V593,)</f>
        <v/>
      </c>
      <c r="DJ593" s="128">
        <f>IFERROR(AX593*$V593,)</f>
        <v/>
      </c>
      <c r="DK593" s="128">
        <f>IFERROR(AY593*$V593,)</f>
        <v/>
      </c>
      <c r="DL593" s="128">
        <f>IFERROR(AZ593*$V593,)</f>
        <v/>
      </c>
      <c r="DM593" s="129">
        <f>IFERROR(if($X593=0,($V593/1.2)*BA593,
BA593*$X593),)</f>
        <v/>
      </c>
      <c r="DN593" s="129">
        <f>IFERROR(if($X593=0,($V593/1.2)*BB593,
BB593*$X593),)</f>
        <v/>
      </c>
      <c r="DO593" s="129">
        <f>IFERROR(if($X593=0,($V593/1.2)*BC593,
BC593*$X593),)</f>
        <v/>
      </c>
      <c r="DP593" s="130">
        <f>IFERROR(if($Z593=0,($V593/1.35)*BD593,
BD593*$Z593),)</f>
        <v/>
      </c>
      <c r="DQ593" s="130">
        <f>IFERROR(if($Z593=0,($V593/1.35)*BE593,
BE593*$Z593),)</f>
        <v/>
      </c>
      <c r="DR593" s="130">
        <f>IFERROR(if($Z593=0,($V593/1.35)*BF593,
BF593*$Z593),)</f>
        <v/>
      </c>
      <c r="DS593" s="128">
        <f>IFERROR(IF($AB593=0,($V593/0.74)*BG593,
BG593*$AB593),)</f>
        <v/>
      </c>
      <c r="DT593" s="128">
        <f>IFERROR(IF($AB593=0,($V593/0.74)*BH593,
BH593*$AB593),)</f>
        <v/>
      </c>
      <c r="DU593" s="128">
        <f>IFERROR(IF($AB593=0,($V593/0.74)*BI593,
BI593*$AB593),)</f>
        <v/>
      </c>
    </row>
    <row r="594" ht="131.25" customHeight="1" s="162">
      <c r="A594" s="115" t="n"/>
      <c r="B594" s="115" t="n"/>
      <c r="C594" s="115" t="n"/>
      <c r="D594" s="115" t="n"/>
      <c r="E594" s="115" t="n"/>
      <c r="F594" s="115" t="n"/>
      <c r="G594" s="115" t="n"/>
      <c r="H594" s="115" t="n"/>
      <c r="I594" s="115" t="n"/>
      <c r="J594" s="115" t="n"/>
      <c r="K594" s="115" t="n"/>
      <c r="L594" s="115" t="n"/>
      <c r="M594" s="115" t="n"/>
      <c r="N594" s="115" t="n"/>
      <c r="O594" s="115" t="n"/>
      <c r="P594" s="115" t="n"/>
      <c r="Q594" s="115" t="n"/>
      <c r="R594" s="115" t="n"/>
      <c r="S594" s="115" t="n"/>
      <c r="T594" s="115" t="n"/>
      <c r="U594" s="116" t="n"/>
      <c r="V594" s="116" t="n"/>
      <c r="W594" s="117" t="n"/>
      <c r="X594" s="118" t="n"/>
      <c r="Y594" s="119" t="n"/>
      <c r="Z594" s="120" t="n"/>
      <c r="AA594" s="121" t="n"/>
      <c r="AB594" s="122" t="n"/>
      <c r="AC594" s="117" t="n"/>
      <c r="AD594" s="123">
        <f>IF(SUM($AE594:$AH594)=0,"",SUM($AE594:$AH594))</f>
        <v/>
      </c>
      <c r="AE594" s="123">
        <f>iferror(IF(SUM($AI594:$AZ594)=0,"",SUM($AI594:$AZ594)),"")</f>
        <v/>
      </c>
      <c r="AF594" s="123">
        <f>iferror(IF(SUM($BA594:$BC594)=0,"",SUM($BA594:$BC594)),"")</f>
        <v/>
      </c>
      <c r="AG594" s="123">
        <f>iferror(IF(SUM($BD594:$BF594)=0,"",SUM($BD594:$BF594)),"")</f>
        <v/>
      </c>
      <c r="AH594" s="124">
        <f>iferror(IF(SUM($BG594:$BI594)=0,"",SUM($BG594:$BI594)),"")</f>
        <v/>
      </c>
      <c r="AI594" s="131" t="n"/>
      <c r="AJ594" s="132" t="n"/>
      <c r="AK594" s="132" t="n"/>
      <c r="AL594" s="132" t="n"/>
      <c r="AM594" s="132" t="n"/>
      <c r="AN594" s="132" t="n"/>
      <c r="AO594" s="132" t="n"/>
      <c r="AP594" s="132" t="n"/>
      <c r="AQ594" s="132" t="n"/>
      <c r="AR594" s="132" t="n"/>
      <c r="AS594" s="132" t="n"/>
      <c r="AT594" s="132" t="n"/>
      <c r="AU594" s="132" t="n"/>
      <c r="AV594" s="132" t="n"/>
      <c r="AW594" s="132" t="n"/>
      <c r="AX594" s="132" t="n"/>
      <c r="AY594" s="132" t="n"/>
      <c r="AZ594" s="133" t="n"/>
      <c r="BA594" s="131" t="n"/>
      <c r="BB594" s="132" t="n"/>
      <c r="BC594" s="133" t="n"/>
      <c r="BD594" s="131" t="n"/>
      <c r="BE594" s="132" t="n"/>
      <c r="BF594" s="133" t="n"/>
      <c r="BG594" s="131" t="n"/>
      <c r="BH594" s="132" t="n"/>
      <c r="BI594" s="132" t="n"/>
      <c r="BJ594" s="128">
        <f>iferror(SUM($BK594,($BL594*1.2),($BM594*1.35),($BN594*0.74)),)</f>
        <v/>
      </c>
      <c r="BK594" s="128">
        <f>IFERROR(SUM($BT594:$CK594),)</f>
        <v/>
      </c>
      <c r="BL594" s="129">
        <f>IFERROR(SUM($CL594:$CN594),)</f>
        <v/>
      </c>
      <c r="BM594" s="130">
        <f>IFERROR(SUM($CO594:$CQ594),)</f>
        <v/>
      </c>
      <c r="BN594" s="128">
        <f>IFERROR(SUM($CR594:$CT594),)</f>
        <v/>
      </c>
      <c r="BO594" s="128">
        <f>iferror(SUM($BP594,($BQ594*1.2),($BR594*1.35),($BS594*0.74)),)</f>
        <v/>
      </c>
      <c r="BP594" s="128">
        <f>IFERROR(SUM($CU594:$DL594),)</f>
        <v/>
      </c>
      <c r="BQ594" s="128">
        <f>IFERROR(SUM($DM594:$DO594),)</f>
        <v/>
      </c>
      <c r="BR594" s="128">
        <f>IFERROR(SUM($DP594:$DR594),)</f>
        <v/>
      </c>
      <c r="BS594" s="128">
        <f>IFERROR(SUM($DS594:$DU594),)</f>
        <v/>
      </c>
      <c r="BT594" s="128">
        <f>IFERROR(AI594*$W594,)</f>
        <v/>
      </c>
      <c r="BU594" s="128">
        <f>IFERROR(AJ594*$W594,)</f>
        <v/>
      </c>
      <c r="BV594" s="128">
        <f>IFERROR(AK594*$W594,)</f>
        <v/>
      </c>
      <c r="BW594" s="128">
        <f>IFERROR(AL594*$W594,)</f>
        <v/>
      </c>
      <c r="BX594" s="128">
        <f>IFERROR(AM594*$W594,)</f>
        <v/>
      </c>
      <c r="BY594" s="128">
        <f>IFERROR(AN594*$W594,)</f>
        <v/>
      </c>
      <c r="BZ594" s="128">
        <f>IFERROR(AO594*$W594,)</f>
        <v/>
      </c>
      <c r="CA594" s="128">
        <f>IFERROR(AP594*$W594,)</f>
        <v/>
      </c>
      <c r="CB594" s="128">
        <f>IFERROR(AQ594*$W594,)</f>
        <v/>
      </c>
      <c r="CC594" s="128">
        <f>IFERROR(AR594*$W594,)</f>
        <v/>
      </c>
      <c r="CD594" s="128">
        <f>IFERROR(AS594*$W594,)</f>
        <v/>
      </c>
      <c r="CE594" s="128">
        <f>IFERROR(AT594*$W594,)</f>
        <v/>
      </c>
      <c r="CF594" s="128">
        <f>IFERROR(AU594*$W594,)</f>
        <v/>
      </c>
      <c r="CG594" s="128">
        <f>IFERROR(AV594*$W594,)</f>
        <v/>
      </c>
      <c r="CH594" s="128">
        <f>IFERROR(AW594*$W594,)</f>
        <v/>
      </c>
      <c r="CI594" s="128">
        <f>IFERROR(AX594*$W594,)</f>
        <v/>
      </c>
      <c r="CJ594" s="128">
        <f>IFERROR(AY594*$W594,)</f>
        <v/>
      </c>
      <c r="CK594" s="128">
        <f>IFERROR(AZ594*$W594,)</f>
        <v/>
      </c>
      <c r="CL594" s="129">
        <f>IFERROR(if($Y594=0,BA594*($W594/1.2),BA594*$Y594),"")</f>
        <v/>
      </c>
      <c r="CM594" s="129">
        <f>IFERROR(if($Y594=0,BB594*($W594/1.2),BB594*$Y594),"")</f>
        <v/>
      </c>
      <c r="CN594" s="129">
        <f>IFERROR(if($Y594=0,BC594*($W594/1.2),BC594*$Y594),"")</f>
        <v/>
      </c>
      <c r="CO594" s="130">
        <f>IFERROR(if($AA594=0,($W594/1.35)*BD594,BD594*$AA594),)</f>
        <v/>
      </c>
      <c r="CP594" s="130">
        <f>IFERROR(if($AA594=0,($W594/1.35)*BE594,BE594*$AA594),)</f>
        <v/>
      </c>
      <c r="CQ594" s="130">
        <f>IFERROR(if($AA594=0,($W594/1.35)*BF594,BF594*$AA594),)</f>
        <v/>
      </c>
      <c r="CR594" s="128">
        <f>IFERROR(if($AC594=0,($W594/0.74)*BG594,
BG594*$AC594),)</f>
        <v/>
      </c>
      <c r="CS594" s="128">
        <f>IFERROR(if($AC594=0,($W594/0.74)*BH594,
BH594*$AC594),)</f>
        <v/>
      </c>
      <c r="CT594" s="128">
        <f>IFERROR(if($AC594=0,($W594/0.74)*BI594,
BI594*$AC594),)</f>
        <v/>
      </c>
      <c r="CU594" s="128">
        <f>IFERROR(AI594*$V594,)</f>
        <v/>
      </c>
      <c r="CV594" s="128">
        <f>IFERROR(AJ594*$V594,)</f>
        <v/>
      </c>
      <c r="CW594" s="128">
        <f>IFERROR(AK594*$V594,)</f>
        <v/>
      </c>
      <c r="CX594" s="128">
        <f>IFERROR(AL594*$V594,)</f>
        <v/>
      </c>
      <c r="CY594" s="128">
        <f>IFERROR(AM594*$V594,)</f>
        <v/>
      </c>
      <c r="CZ594" s="128">
        <f>IFERROR(AN594*$V594,)</f>
        <v/>
      </c>
      <c r="DA594" s="128">
        <f>IFERROR(AO594*$V594,)</f>
        <v/>
      </c>
      <c r="DB594" s="128">
        <f>IFERROR(AP594*$V594,)</f>
        <v/>
      </c>
      <c r="DC594" s="128">
        <f>IFERROR(AQ594*$V594,)</f>
        <v/>
      </c>
      <c r="DD594" s="128">
        <f>IFERROR(AR594*$V594,)</f>
        <v/>
      </c>
      <c r="DE594" s="128">
        <f>IFERROR(AS594*$V594,)</f>
        <v/>
      </c>
      <c r="DF594" s="128">
        <f>IFERROR(AT594*$V594,)</f>
        <v/>
      </c>
      <c r="DG594" s="128">
        <f>IFERROR(AU594*$V594,)</f>
        <v/>
      </c>
      <c r="DH594" s="128">
        <f>IFERROR(AV594*$V594,)</f>
        <v/>
      </c>
      <c r="DI594" s="128">
        <f>IFERROR(AW594*$V594,)</f>
        <v/>
      </c>
      <c r="DJ594" s="128">
        <f>IFERROR(AX594*$V594,)</f>
        <v/>
      </c>
      <c r="DK594" s="128">
        <f>IFERROR(AY594*$V594,)</f>
        <v/>
      </c>
      <c r="DL594" s="128">
        <f>IFERROR(AZ594*$V594,)</f>
        <v/>
      </c>
      <c r="DM594" s="129">
        <f>IFERROR(if($X594=0,($V594/1.2)*BA594,
BA594*$X594),)</f>
        <v/>
      </c>
      <c r="DN594" s="129">
        <f>IFERROR(if($X594=0,($V594/1.2)*BB594,
BB594*$X594),)</f>
        <v/>
      </c>
      <c r="DO594" s="129">
        <f>IFERROR(if($X594=0,($V594/1.2)*BC594,
BC594*$X594),)</f>
        <v/>
      </c>
      <c r="DP594" s="130">
        <f>IFERROR(if($Z594=0,($V594/1.35)*BD594,
BD594*$Z594),)</f>
        <v/>
      </c>
      <c r="DQ594" s="130">
        <f>IFERROR(if($Z594=0,($V594/1.35)*BE594,
BE594*$Z594),)</f>
        <v/>
      </c>
      <c r="DR594" s="130">
        <f>IFERROR(if($Z594=0,($V594/1.35)*BF594,
BF594*$Z594),)</f>
        <v/>
      </c>
      <c r="DS594" s="128">
        <f>IFERROR(IF($AB594=0,($V594/0.74)*BG594,
BG594*$AB594),)</f>
        <v/>
      </c>
      <c r="DT594" s="128">
        <f>IFERROR(IF($AB594=0,($V594/0.74)*BH594,
BH594*$AB594),)</f>
        <v/>
      </c>
      <c r="DU594" s="128">
        <f>IFERROR(IF($AB594=0,($V594/0.74)*BI594,
BI594*$AB594),)</f>
        <v/>
      </c>
    </row>
    <row r="595" ht="131.25" customHeight="1" s="162">
      <c r="A595" s="115" t="n"/>
      <c r="B595" s="115" t="n"/>
      <c r="C595" s="115" t="n"/>
      <c r="D595" s="115" t="n"/>
      <c r="E595" s="115" t="n"/>
      <c r="F595" s="115" t="n"/>
      <c r="G595" s="115" t="n"/>
      <c r="H595" s="115" t="n"/>
      <c r="I595" s="115" t="n"/>
      <c r="J595" s="115" t="n"/>
      <c r="K595" s="115" t="n"/>
      <c r="L595" s="115" t="n"/>
      <c r="M595" s="115" t="n"/>
      <c r="N595" s="115" t="n"/>
      <c r="O595" s="115" t="n"/>
      <c r="P595" s="115" t="n"/>
      <c r="Q595" s="115" t="n"/>
      <c r="R595" s="115" t="n"/>
      <c r="S595" s="115" t="n"/>
      <c r="T595" s="115" t="n"/>
      <c r="U595" s="116" t="n"/>
      <c r="V595" s="116" t="n"/>
      <c r="W595" s="117" t="n"/>
      <c r="X595" s="118" t="n"/>
      <c r="Y595" s="119" t="n"/>
      <c r="Z595" s="120" t="n"/>
      <c r="AA595" s="121" t="n"/>
      <c r="AB595" s="122" t="n"/>
      <c r="AC595" s="117" t="n"/>
      <c r="AD595" s="123">
        <f>IF(SUM($AE595:$AH595)=0,"",SUM($AE595:$AH595))</f>
        <v/>
      </c>
      <c r="AE595" s="123">
        <f>iferror(IF(SUM($AI595:$AZ595)=0,"",SUM($AI595:$AZ595)),"")</f>
        <v/>
      </c>
      <c r="AF595" s="123">
        <f>iferror(IF(SUM($BA595:$BC595)=0,"",SUM($BA595:$BC595)),"")</f>
        <v/>
      </c>
      <c r="AG595" s="123">
        <f>iferror(IF(SUM($BD595:$BF595)=0,"",SUM($BD595:$BF595)),"")</f>
        <v/>
      </c>
      <c r="AH595" s="124">
        <f>iferror(IF(SUM($BG595:$BI595)=0,"",SUM($BG595:$BI595)),"")</f>
        <v/>
      </c>
      <c r="AI595" s="131" t="n"/>
      <c r="AJ595" s="132" t="n"/>
      <c r="AK595" s="132" t="n"/>
      <c r="AL595" s="132" t="n"/>
      <c r="AM595" s="132" t="n"/>
      <c r="AN595" s="132" t="n"/>
      <c r="AO595" s="132" t="n"/>
      <c r="AP595" s="132" t="n"/>
      <c r="AQ595" s="132" t="n"/>
      <c r="AR595" s="132" t="n"/>
      <c r="AS595" s="132" t="n"/>
      <c r="AT595" s="132" t="n"/>
      <c r="AU595" s="132" t="n"/>
      <c r="AV595" s="132" t="n"/>
      <c r="AW595" s="132" t="n"/>
      <c r="AX595" s="132" t="n"/>
      <c r="AY595" s="132" t="n"/>
      <c r="AZ595" s="133" t="n"/>
      <c r="BA595" s="131" t="n"/>
      <c r="BB595" s="132" t="n"/>
      <c r="BC595" s="133" t="n"/>
      <c r="BD595" s="131" t="n"/>
      <c r="BE595" s="132" t="n"/>
      <c r="BF595" s="133" t="n"/>
      <c r="BG595" s="131" t="n"/>
      <c r="BH595" s="132" t="n"/>
      <c r="BI595" s="132" t="n"/>
      <c r="BJ595" s="128">
        <f>iferror(SUM($BK595,($BL595*1.2),($BM595*1.35),($BN595*0.74)),)</f>
        <v/>
      </c>
      <c r="BK595" s="128">
        <f>IFERROR(SUM($BT595:$CK595),)</f>
        <v/>
      </c>
      <c r="BL595" s="129">
        <f>IFERROR(SUM($CL595:$CN595),)</f>
        <v/>
      </c>
      <c r="BM595" s="130">
        <f>IFERROR(SUM($CO595:$CQ595),)</f>
        <v/>
      </c>
      <c r="BN595" s="128">
        <f>IFERROR(SUM($CR595:$CT595),)</f>
        <v/>
      </c>
      <c r="BO595" s="128">
        <f>iferror(SUM($BP595,($BQ595*1.2),($BR595*1.35),($BS595*0.74)),)</f>
        <v/>
      </c>
      <c r="BP595" s="128">
        <f>IFERROR(SUM($CU595:$DL595),)</f>
        <v/>
      </c>
      <c r="BQ595" s="128">
        <f>IFERROR(SUM($DM595:$DO595),)</f>
        <v/>
      </c>
      <c r="BR595" s="128">
        <f>IFERROR(SUM($DP595:$DR595),)</f>
        <v/>
      </c>
      <c r="BS595" s="128">
        <f>IFERROR(SUM($DS595:$DU595),)</f>
        <v/>
      </c>
      <c r="BT595" s="128">
        <f>IFERROR(AI595*$W595,)</f>
        <v/>
      </c>
      <c r="BU595" s="128">
        <f>IFERROR(AJ595*$W595,)</f>
        <v/>
      </c>
      <c r="BV595" s="128">
        <f>IFERROR(AK595*$W595,)</f>
        <v/>
      </c>
      <c r="BW595" s="128">
        <f>IFERROR(AL595*$W595,)</f>
        <v/>
      </c>
      <c r="BX595" s="128">
        <f>IFERROR(AM595*$W595,)</f>
        <v/>
      </c>
      <c r="BY595" s="128">
        <f>IFERROR(AN595*$W595,)</f>
        <v/>
      </c>
      <c r="BZ595" s="128">
        <f>IFERROR(AO595*$W595,)</f>
        <v/>
      </c>
      <c r="CA595" s="128">
        <f>IFERROR(AP595*$W595,)</f>
        <v/>
      </c>
      <c r="CB595" s="128">
        <f>IFERROR(AQ595*$W595,)</f>
        <v/>
      </c>
      <c r="CC595" s="128">
        <f>IFERROR(AR595*$W595,)</f>
        <v/>
      </c>
      <c r="CD595" s="128">
        <f>IFERROR(AS595*$W595,)</f>
        <v/>
      </c>
      <c r="CE595" s="128">
        <f>IFERROR(AT595*$W595,)</f>
        <v/>
      </c>
      <c r="CF595" s="128">
        <f>IFERROR(AU595*$W595,)</f>
        <v/>
      </c>
      <c r="CG595" s="128">
        <f>IFERROR(AV595*$W595,)</f>
        <v/>
      </c>
      <c r="CH595" s="128">
        <f>IFERROR(AW595*$W595,)</f>
        <v/>
      </c>
      <c r="CI595" s="128">
        <f>IFERROR(AX595*$W595,)</f>
        <v/>
      </c>
      <c r="CJ595" s="128">
        <f>IFERROR(AY595*$W595,)</f>
        <v/>
      </c>
      <c r="CK595" s="128">
        <f>IFERROR(AZ595*$W595,)</f>
        <v/>
      </c>
      <c r="CL595" s="129">
        <f>IFERROR(if($Y595=0,BA595*($W595/1.2),BA595*$Y595),"")</f>
        <v/>
      </c>
      <c r="CM595" s="129">
        <f>IFERROR(if($Y595=0,BB595*($W595/1.2),BB595*$Y595),"")</f>
        <v/>
      </c>
      <c r="CN595" s="129">
        <f>IFERROR(if($Y595=0,BC595*($W595/1.2),BC595*$Y595),"")</f>
        <v/>
      </c>
      <c r="CO595" s="130">
        <f>IFERROR(if($AA595=0,($W595/1.35)*BD595,BD595*$AA595),)</f>
        <v/>
      </c>
      <c r="CP595" s="130">
        <f>IFERROR(if($AA595=0,($W595/1.35)*BE595,BE595*$AA595),)</f>
        <v/>
      </c>
      <c r="CQ595" s="130">
        <f>IFERROR(if($AA595=0,($W595/1.35)*BF595,BF595*$AA595),)</f>
        <v/>
      </c>
      <c r="CR595" s="128">
        <f>IFERROR(if($AC595=0,($W595/0.74)*BG595,
BG595*$AC595),)</f>
        <v/>
      </c>
      <c r="CS595" s="128">
        <f>IFERROR(if($AC595=0,($W595/0.74)*BH595,
BH595*$AC595),)</f>
        <v/>
      </c>
      <c r="CT595" s="128">
        <f>IFERROR(if($AC595=0,($W595/0.74)*BI595,
BI595*$AC595),)</f>
        <v/>
      </c>
      <c r="CU595" s="128">
        <f>IFERROR(AI595*$V595,)</f>
        <v/>
      </c>
      <c r="CV595" s="128">
        <f>IFERROR(AJ595*$V595,)</f>
        <v/>
      </c>
      <c r="CW595" s="128">
        <f>IFERROR(AK595*$V595,)</f>
        <v/>
      </c>
      <c r="CX595" s="128">
        <f>IFERROR(AL595*$V595,)</f>
        <v/>
      </c>
      <c r="CY595" s="128">
        <f>IFERROR(AM595*$V595,)</f>
        <v/>
      </c>
      <c r="CZ595" s="128">
        <f>IFERROR(AN595*$V595,)</f>
        <v/>
      </c>
      <c r="DA595" s="128">
        <f>IFERROR(AO595*$V595,)</f>
        <v/>
      </c>
      <c r="DB595" s="128">
        <f>IFERROR(AP595*$V595,)</f>
        <v/>
      </c>
      <c r="DC595" s="128">
        <f>IFERROR(AQ595*$V595,)</f>
        <v/>
      </c>
      <c r="DD595" s="128">
        <f>IFERROR(AR595*$V595,)</f>
        <v/>
      </c>
      <c r="DE595" s="128">
        <f>IFERROR(AS595*$V595,)</f>
        <v/>
      </c>
      <c r="DF595" s="128">
        <f>IFERROR(AT595*$V595,)</f>
        <v/>
      </c>
      <c r="DG595" s="128">
        <f>IFERROR(AU595*$V595,)</f>
        <v/>
      </c>
      <c r="DH595" s="128">
        <f>IFERROR(AV595*$V595,)</f>
        <v/>
      </c>
      <c r="DI595" s="128">
        <f>IFERROR(AW595*$V595,)</f>
        <v/>
      </c>
      <c r="DJ595" s="128">
        <f>IFERROR(AX595*$V595,)</f>
        <v/>
      </c>
      <c r="DK595" s="128">
        <f>IFERROR(AY595*$V595,)</f>
        <v/>
      </c>
      <c r="DL595" s="128">
        <f>IFERROR(AZ595*$V595,)</f>
        <v/>
      </c>
      <c r="DM595" s="129">
        <f>IFERROR(if($X595=0,($V595/1.2)*BA595,
BA595*$X595),)</f>
        <v/>
      </c>
      <c r="DN595" s="129">
        <f>IFERROR(if($X595=0,($V595/1.2)*BB595,
BB595*$X595),)</f>
        <v/>
      </c>
      <c r="DO595" s="129">
        <f>IFERROR(if($X595=0,($V595/1.2)*BC595,
BC595*$X595),)</f>
        <v/>
      </c>
      <c r="DP595" s="130">
        <f>IFERROR(if($Z595=0,($V595/1.35)*BD595,
BD595*$Z595),)</f>
        <v/>
      </c>
      <c r="DQ595" s="130">
        <f>IFERROR(if($Z595=0,($V595/1.35)*BE595,
BE595*$Z595),)</f>
        <v/>
      </c>
      <c r="DR595" s="130">
        <f>IFERROR(if($Z595=0,($V595/1.35)*BF595,
BF595*$Z595),)</f>
        <v/>
      </c>
      <c r="DS595" s="128">
        <f>IFERROR(IF($AB595=0,($V595/0.74)*BG595,
BG595*$AB595),)</f>
        <v/>
      </c>
      <c r="DT595" s="128">
        <f>IFERROR(IF($AB595=0,($V595/0.74)*BH595,
BH595*$AB595),)</f>
        <v/>
      </c>
      <c r="DU595" s="128">
        <f>IFERROR(IF($AB595=0,($V595/0.74)*BI595,
BI595*$AB595),)</f>
        <v/>
      </c>
    </row>
    <row r="596" ht="131.25" customHeight="1" s="162">
      <c r="A596" s="115" t="n"/>
      <c r="B596" s="115" t="n"/>
      <c r="C596" s="115" t="n"/>
      <c r="D596" s="115" t="n"/>
      <c r="E596" s="115" t="n"/>
      <c r="F596" s="115" t="n"/>
      <c r="G596" s="115" t="n"/>
      <c r="H596" s="115" t="n"/>
      <c r="I596" s="115" t="n"/>
      <c r="J596" s="115" t="n"/>
      <c r="K596" s="115" t="n"/>
      <c r="L596" s="115" t="n"/>
      <c r="M596" s="115" t="n"/>
      <c r="N596" s="115" t="n"/>
      <c r="O596" s="115" t="n"/>
      <c r="P596" s="115" t="n"/>
      <c r="Q596" s="115" t="n"/>
      <c r="R596" s="115" t="n"/>
      <c r="S596" s="115" t="n"/>
      <c r="T596" s="115" t="n"/>
      <c r="U596" s="116" t="n"/>
      <c r="V596" s="116" t="n"/>
      <c r="W596" s="117" t="n"/>
      <c r="X596" s="118" t="n"/>
      <c r="Y596" s="119" t="n"/>
      <c r="Z596" s="120" t="n"/>
      <c r="AA596" s="121" t="n"/>
      <c r="AB596" s="122" t="n"/>
      <c r="AC596" s="117" t="n"/>
      <c r="AD596" s="123">
        <f>IF(SUM($AE596:$AH596)=0,"",SUM($AE596:$AH596))</f>
        <v/>
      </c>
      <c r="AE596" s="123">
        <f>iferror(IF(SUM($AI596:$AZ596)=0,"",SUM($AI596:$AZ596)),"")</f>
        <v/>
      </c>
      <c r="AF596" s="123">
        <f>iferror(IF(SUM($BA596:$BC596)=0,"",SUM($BA596:$BC596)),"")</f>
        <v/>
      </c>
      <c r="AG596" s="123">
        <f>iferror(IF(SUM($BD596:$BF596)=0,"",SUM($BD596:$BF596)),"")</f>
        <v/>
      </c>
      <c r="AH596" s="124">
        <f>iferror(IF(SUM($BG596:$BI596)=0,"",SUM($BG596:$BI596)),"")</f>
        <v/>
      </c>
      <c r="AI596" s="131" t="n"/>
      <c r="AJ596" s="132" t="n"/>
      <c r="AK596" s="132" t="n"/>
      <c r="AL596" s="132" t="n"/>
      <c r="AM596" s="132" t="n"/>
      <c r="AN596" s="132" t="n"/>
      <c r="AO596" s="132" t="n"/>
      <c r="AP596" s="132" t="n"/>
      <c r="AQ596" s="132" t="n"/>
      <c r="AR596" s="132" t="n"/>
      <c r="AS596" s="132" t="n"/>
      <c r="AT596" s="132" t="n"/>
      <c r="AU596" s="132" t="n"/>
      <c r="AV596" s="132" t="n"/>
      <c r="AW596" s="132" t="n"/>
      <c r="AX596" s="132" t="n"/>
      <c r="AY596" s="132" t="n"/>
      <c r="AZ596" s="133" t="n"/>
      <c r="BA596" s="131" t="n"/>
      <c r="BB596" s="132" t="n"/>
      <c r="BC596" s="133" t="n"/>
      <c r="BD596" s="131" t="n"/>
      <c r="BE596" s="132" t="n"/>
      <c r="BF596" s="133" t="n"/>
      <c r="BG596" s="131" t="n"/>
      <c r="BH596" s="132" t="n"/>
      <c r="BI596" s="132" t="n"/>
      <c r="BJ596" s="128">
        <f>iferror(SUM($BK596,($BL596*1.2),($BM596*1.35),($BN596*0.74)),)</f>
        <v/>
      </c>
      <c r="BK596" s="128">
        <f>IFERROR(SUM($BT596:$CK596),)</f>
        <v/>
      </c>
      <c r="BL596" s="129">
        <f>IFERROR(SUM($CL596:$CN596),)</f>
        <v/>
      </c>
      <c r="BM596" s="130">
        <f>IFERROR(SUM($CO596:$CQ596),)</f>
        <v/>
      </c>
      <c r="BN596" s="128">
        <f>IFERROR(SUM($CR596:$CT596),)</f>
        <v/>
      </c>
      <c r="BO596" s="128">
        <f>iferror(SUM($BP596,($BQ596*1.2),($BR596*1.35),($BS596*0.74)),)</f>
        <v/>
      </c>
      <c r="BP596" s="128">
        <f>IFERROR(SUM($CU596:$DL596),)</f>
        <v/>
      </c>
      <c r="BQ596" s="128">
        <f>IFERROR(SUM($DM596:$DO596),)</f>
        <v/>
      </c>
      <c r="BR596" s="128">
        <f>IFERROR(SUM($DP596:$DR596),)</f>
        <v/>
      </c>
      <c r="BS596" s="128">
        <f>IFERROR(SUM($DS596:$DU596),)</f>
        <v/>
      </c>
      <c r="BT596" s="128">
        <f>IFERROR(AI596*$W596,)</f>
        <v/>
      </c>
      <c r="BU596" s="128">
        <f>IFERROR(AJ596*$W596,)</f>
        <v/>
      </c>
      <c r="BV596" s="128">
        <f>IFERROR(AK596*$W596,)</f>
        <v/>
      </c>
      <c r="BW596" s="128">
        <f>IFERROR(AL596*$W596,)</f>
        <v/>
      </c>
      <c r="BX596" s="128">
        <f>IFERROR(AM596*$W596,)</f>
        <v/>
      </c>
      <c r="BY596" s="128">
        <f>IFERROR(AN596*$W596,)</f>
        <v/>
      </c>
      <c r="BZ596" s="128">
        <f>IFERROR(AO596*$W596,)</f>
        <v/>
      </c>
      <c r="CA596" s="128">
        <f>IFERROR(AP596*$W596,)</f>
        <v/>
      </c>
      <c r="CB596" s="128">
        <f>IFERROR(AQ596*$W596,)</f>
        <v/>
      </c>
      <c r="CC596" s="128">
        <f>IFERROR(AR596*$W596,)</f>
        <v/>
      </c>
      <c r="CD596" s="128">
        <f>IFERROR(AS596*$W596,)</f>
        <v/>
      </c>
      <c r="CE596" s="128">
        <f>IFERROR(AT596*$W596,)</f>
        <v/>
      </c>
      <c r="CF596" s="128">
        <f>IFERROR(AU596*$W596,)</f>
        <v/>
      </c>
      <c r="CG596" s="128">
        <f>IFERROR(AV596*$W596,)</f>
        <v/>
      </c>
      <c r="CH596" s="128">
        <f>IFERROR(AW596*$W596,)</f>
        <v/>
      </c>
      <c r="CI596" s="128">
        <f>IFERROR(AX596*$W596,)</f>
        <v/>
      </c>
      <c r="CJ596" s="128">
        <f>IFERROR(AY596*$W596,)</f>
        <v/>
      </c>
      <c r="CK596" s="128">
        <f>IFERROR(AZ596*$W596,)</f>
        <v/>
      </c>
      <c r="CL596" s="129">
        <f>IFERROR(if($Y596=0,BA596*($W596/1.2),BA596*$Y596),"")</f>
        <v/>
      </c>
      <c r="CM596" s="129">
        <f>IFERROR(if($Y596=0,BB596*($W596/1.2),BB596*$Y596),"")</f>
        <v/>
      </c>
      <c r="CN596" s="129">
        <f>IFERROR(if($Y596=0,BC596*($W596/1.2),BC596*$Y596),"")</f>
        <v/>
      </c>
      <c r="CO596" s="130">
        <f>IFERROR(if($AA596=0,($W596/1.35)*BD596,BD596*$AA596),)</f>
        <v/>
      </c>
      <c r="CP596" s="130">
        <f>IFERROR(if($AA596=0,($W596/1.35)*BE596,BE596*$AA596),)</f>
        <v/>
      </c>
      <c r="CQ596" s="130">
        <f>IFERROR(if($AA596=0,($W596/1.35)*BF596,BF596*$AA596),)</f>
        <v/>
      </c>
      <c r="CR596" s="128">
        <f>IFERROR(if($AC596=0,($W596/0.74)*BG596,
BG596*$AC596),)</f>
        <v/>
      </c>
      <c r="CS596" s="128">
        <f>IFERROR(if($AC596=0,($W596/0.74)*BH596,
BH596*$AC596),)</f>
        <v/>
      </c>
      <c r="CT596" s="128">
        <f>IFERROR(if($AC596=0,($W596/0.74)*BI596,
BI596*$AC596),)</f>
        <v/>
      </c>
      <c r="CU596" s="128">
        <f>IFERROR(AI596*$V596,)</f>
        <v/>
      </c>
      <c r="CV596" s="128">
        <f>IFERROR(AJ596*$V596,)</f>
        <v/>
      </c>
      <c r="CW596" s="128">
        <f>IFERROR(AK596*$V596,)</f>
        <v/>
      </c>
      <c r="CX596" s="128">
        <f>IFERROR(AL596*$V596,)</f>
        <v/>
      </c>
      <c r="CY596" s="128">
        <f>IFERROR(AM596*$V596,)</f>
        <v/>
      </c>
      <c r="CZ596" s="128">
        <f>IFERROR(AN596*$V596,)</f>
        <v/>
      </c>
      <c r="DA596" s="128">
        <f>IFERROR(AO596*$V596,)</f>
        <v/>
      </c>
      <c r="DB596" s="128">
        <f>IFERROR(AP596*$V596,)</f>
        <v/>
      </c>
      <c r="DC596" s="128">
        <f>IFERROR(AQ596*$V596,)</f>
        <v/>
      </c>
      <c r="DD596" s="128">
        <f>IFERROR(AR596*$V596,)</f>
        <v/>
      </c>
      <c r="DE596" s="128">
        <f>IFERROR(AS596*$V596,)</f>
        <v/>
      </c>
      <c r="DF596" s="128">
        <f>IFERROR(AT596*$V596,)</f>
        <v/>
      </c>
      <c r="DG596" s="128">
        <f>IFERROR(AU596*$V596,)</f>
        <v/>
      </c>
      <c r="DH596" s="128">
        <f>IFERROR(AV596*$V596,)</f>
        <v/>
      </c>
      <c r="DI596" s="128">
        <f>IFERROR(AW596*$V596,)</f>
        <v/>
      </c>
      <c r="DJ596" s="128">
        <f>IFERROR(AX596*$V596,)</f>
        <v/>
      </c>
      <c r="DK596" s="128">
        <f>IFERROR(AY596*$V596,)</f>
        <v/>
      </c>
      <c r="DL596" s="128">
        <f>IFERROR(AZ596*$V596,)</f>
        <v/>
      </c>
      <c r="DM596" s="129">
        <f>IFERROR(if($X596=0,($V596/1.2)*BA596,
BA596*$X596),)</f>
        <v/>
      </c>
      <c r="DN596" s="129">
        <f>IFERROR(if($X596=0,($V596/1.2)*BB596,
BB596*$X596),)</f>
        <v/>
      </c>
      <c r="DO596" s="129">
        <f>IFERROR(if($X596=0,($V596/1.2)*BC596,
BC596*$X596),)</f>
        <v/>
      </c>
      <c r="DP596" s="130">
        <f>IFERROR(if($Z596=0,($V596/1.35)*BD596,
BD596*$Z596),)</f>
        <v/>
      </c>
      <c r="DQ596" s="130">
        <f>IFERROR(if($Z596=0,($V596/1.35)*BE596,
BE596*$Z596),)</f>
        <v/>
      </c>
      <c r="DR596" s="130">
        <f>IFERROR(if($Z596=0,($V596/1.35)*BF596,
BF596*$Z596),)</f>
        <v/>
      </c>
      <c r="DS596" s="128">
        <f>IFERROR(IF($AB596=0,($V596/0.74)*BG596,
BG596*$AB596),)</f>
        <v/>
      </c>
      <c r="DT596" s="128">
        <f>IFERROR(IF($AB596=0,($V596/0.74)*BH596,
BH596*$AB596),)</f>
        <v/>
      </c>
      <c r="DU596" s="128">
        <f>IFERROR(IF($AB596=0,($V596/0.74)*BI596,
BI596*$AB596),)</f>
        <v/>
      </c>
    </row>
    <row r="597" ht="131.25" customHeight="1" s="162">
      <c r="A597" s="115" t="n"/>
      <c r="B597" s="115" t="n"/>
      <c r="C597" s="115" t="n"/>
      <c r="D597" s="115" t="n"/>
      <c r="E597" s="115" t="n"/>
      <c r="F597" s="115" t="n"/>
      <c r="G597" s="115" t="n"/>
      <c r="H597" s="115" t="n"/>
      <c r="I597" s="115" t="n"/>
      <c r="J597" s="115" t="n"/>
      <c r="K597" s="115" t="n"/>
      <c r="L597" s="115" t="n"/>
      <c r="M597" s="115" t="n"/>
      <c r="N597" s="115" t="n"/>
      <c r="O597" s="115" t="n"/>
      <c r="P597" s="115" t="n"/>
      <c r="Q597" s="115" t="n"/>
      <c r="R597" s="115" t="n"/>
      <c r="S597" s="115" t="n"/>
      <c r="T597" s="115" t="n"/>
      <c r="U597" s="116" t="n"/>
      <c r="V597" s="116" t="n"/>
      <c r="W597" s="117" t="n"/>
      <c r="X597" s="118" t="n"/>
      <c r="Y597" s="119" t="n"/>
      <c r="Z597" s="120" t="n"/>
      <c r="AA597" s="121" t="n"/>
      <c r="AB597" s="122" t="n"/>
      <c r="AC597" s="117" t="n"/>
      <c r="AD597" s="123">
        <f>IF(SUM($AE597:$AH597)=0,"",SUM($AE597:$AH597))</f>
        <v/>
      </c>
      <c r="AE597" s="123">
        <f>iferror(IF(SUM($AI597:$AZ597)=0,"",SUM($AI597:$AZ597)),"")</f>
        <v/>
      </c>
      <c r="AF597" s="123">
        <f>iferror(IF(SUM($BA597:$BC597)=0,"",SUM($BA597:$BC597)),"")</f>
        <v/>
      </c>
      <c r="AG597" s="123">
        <f>iferror(IF(SUM($BD597:$BF597)=0,"",SUM($BD597:$BF597)),"")</f>
        <v/>
      </c>
      <c r="AH597" s="124">
        <f>iferror(IF(SUM($BG597:$BI597)=0,"",SUM($BG597:$BI597)),"")</f>
        <v/>
      </c>
      <c r="AI597" s="131" t="n"/>
      <c r="AJ597" s="132" t="n"/>
      <c r="AK597" s="132" t="n"/>
      <c r="AL597" s="132" t="n"/>
      <c r="AM597" s="132" t="n"/>
      <c r="AN597" s="132" t="n"/>
      <c r="AO597" s="132" t="n"/>
      <c r="AP597" s="132" t="n"/>
      <c r="AQ597" s="132" t="n"/>
      <c r="AR597" s="132" t="n"/>
      <c r="AS597" s="132" t="n"/>
      <c r="AT597" s="132" t="n"/>
      <c r="AU597" s="132" t="n"/>
      <c r="AV597" s="132" t="n"/>
      <c r="AW597" s="132" t="n"/>
      <c r="AX597" s="132" t="n"/>
      <c r="AY597" s="132" t="n"/>
      <c r="AZ597" s="133" t="n"/>
      <c r="BA597" s="131" t="n"/>
      <c r="BB597" s="132" t="n"/>
      <c r="BC597" s="133" t="n"/>
      <c r="BD597" s="131" t="n"/>
      <c r="BE597" s="132" t="n"/>
      <c r="BF597" s="133" t="n"/>
      <c r="BG597" s="131" t="n"/>
      <c r="BH597" s="132" t="n"/>
      <c r="BI597" s="132" t="n"/>
      <c r="BJ597" s="128">
        <f>iferror(SUM($BK597,($BL597*1.2),($BM597*1.35),($BN597*0.74)),)</f>
        <v/>
      </c>
      <c r="BK597" s="128">
        <f>IFERROR(SUM($BT597:$CK597),)</f>
        <v/>
      </c>
      <c r="BL597" s="129">
        <f>IFERROR(SUM($CL597:$CN597),)</f>
        <v/>
      </c>
      <c r="BM597" s="130">
        <f>IFERROR(SUM($CO597:$CQ597),)</f>
        <v/>
      </c>
      <c r="BN597" s="128">
        <f>IFERROR(SUM($CR597:$CT597),)</f>
        <v/>
      </c>
      <c r="BO597" s="128">
        <f>iferror(SUM($BP597,($BQ597*1.2),($BR597*1.35),($BS597*0.74)),)</f>
        <v/>
      </c>
      <c r="BP597" s="128">
        <f>IFERROR(SUM($CU597:$DL597),)</f>
        <v/>
      </c>
      <c r="BQ597" s="128">
        <f>IFERROR(SUM($DM597:$DO597),)</f>
        <v/>
      </c>
      <c r="BR597" s="128">
        <f>IFERROR(SUM($DP597:$DR597),)</f>
        <v/>
      </c>
      <c r="BS597" s="128">
        <f>IFERROR(SUM($DS597:$DU597),)</f>
        <v/>
      </c>
      <c r="BT597" s="128">
        <f>IFERROR(AI597*$W597,)</f>
        <v/>
      </c>
      <c r="BU597" s="128">
        <f>IFERROR(AJ597*$W597,)</f>
        <v/>
      </c>
      <c r="BV597" s="128">
        <f>IFERROR(AK597*$W597,)</f>
        <v/>
      </c>
      <c r="BW597" s="128">
        <f>IFERROR(AL597*$W597,)</f>
        <v/>
      </c>
      <c r="BX597" s="128">
        <f>IFERROR(AM597*$W597,)</f>
        <v/>
      </c>
      <c r="BY597" s="128">
        <f>IFERROR(AN597*$W597,)</f>
        <v/>
      </c>
      <c r="BZ597" s="128">
        <f>IFERROR(AO597*$W597,)</f>
        <v/>
      </c>
      <c r="CA597" s="128">
        <f>IFERROR(AP597*$W597,)</f>
        <v/>
      </c>
      <c r="CB597" s="128">
        <f>IFERROR(AQ597*$W597,)</f>
        <v/>
      </c>
      <c r="CC597" s="128">
        <f>IFERROR(AR597*$W597,)</f>
        <v/>
      </c>
      <c r="CD597" s="128">
        <f>IFERROR(AS597*$W597,)</f>
        <v/>
      </c>
      <c r="CE597" s="128">
        <f>IFERROR(AT597*$W597,)</f>
        <v/>
      </c>
      <c r="CF597" s="128">
        <f>IFERROR(AU597*$W597,)</f>
        <v/>
      </c>
      <c r="CG597" s="128">
        <f>IFERROR(AV597*$W597,)</f>
        <v/>
      </c>
      <c r="CH597" s="128">
        <f>IFERROR(AW597*$W597,)</f>
        <v/>
      </c>
      <c r="CI597" s="128">
        <f>IFERROR(AX597*$W597,)</f>
        <v/>
      </c>
      <c r="CJ597" s="128">
        <f>IFERROR(AY597*$W597,)</f>
        <v/>
      </c>
      <c r="CK597" s="128">
        <f>IFERROR(AZ597*$W597,)</f>
        <v/>
      </c>
      <c r="CL597" s="129">
        <f>IFERROR(if($Y597=0,BA597*($W597/1.2),BA597*$Y597),"")</f>
        <v/>
      </c>
      <c r="CM597" s="129">
        <f>IFERROR(if($Y597=0,BB597*($W597/1.2),BB597*$Y597),"")</f>
        <v/>
      </c>
      <c r="CN597" s="129">
        <f>IFERROR(if($Y597=0,BC597*($W597/1.2),BC597*$Y597),"")</f>
        <v/>
      </c>
      <c r="CO597" s="130">
        <f>IFERROR(if($AA597=0,($W597/1.35)*BD597,BD597*$AA597),)</f>
        <v/>
      </c>
      <c r="CP597" s="130">
        <f>IFERROR(if($AA597=0,($W597/1.35)*BE597,BE597*$AA597),)</f>
        <v/>
      </c>
      <c r="CQ597" s="130">
        <f>IFERROR(if($AA597=0,($W597/1.35)*BF597,BF597*$AA597),)</f>
        <v/>
      </c>
      <c r="CR597" s="128">
        <f>IFERROR(if($AC597=0,($W597/0.74)*BG597,
BG597*$AC597),)</f>
        <v/>
      </c>
      <c r="CS597" s="128">
        <f>IFERROR(if($AC597=0,($W597/0.74)*BH597,
BH597*$AC597),)</f>
        <v/>
      </c>
      <c r="CT597" s="128">
        <f>IFERROR(if($AC597=0,($W597/0.74)*BI597,
BI597*$AC597),)</f>
        <v/>
      </c>
      <c r="CU597" s="128">
        <f>IFERROR(AI597*$V597,)</f>
        <v/>
      </c>
      <c r="CV597" s="128">
        <f>IFERROR(AJ597*$V597,)</f>
        <v/>
      </c>
      <c r="CW597" s="128">
        <f>IFERROR(AK597*$V597,)</f>
        <v/>
      </c>
      <c r="CX597" s="128">
        <f>IFERROR(AL597*$V597,)</f>
        <v/>
      </c>
      <c r="CY597" s="128">
        <f>IFERROR(AM597*$V597,)</f>
        <v/>
      </c>
      <c r="CZ597" s="128">
        <f>IFERROR(AN597*$V597,)</f>
        <v/>
      </c>
      <c r="DA597" s="128">
        <f>IFERROR(AO597*$V597,)</f>
        <v/>
      </c>
      <c r="DB597" s="128">
        <f>IFERROR(AP597*$V597,)</f>
        <v/>
      </c>
      <c r="DC597" s="128">
        <f>IFERROR(AQ597*$V597,)</f>
        <v/>
      </c>
      <c r="DD597" s="128">
        <f>IFERROR(AR597*$V597,)</f>
        <v/>
      </c>
      <c r="DE597" s="128">
        <f>IFERROR(AS597*$V597,)</f>
        <v/>
      </c>
      <c r="DF597" s="128">
        <f>IFERROR(AT597*$V597,)</f>
        <v/>
      </c>
      <c r="DG597" s="128">
        <f>IFERROR(AU597*$V597,)</f>
        <v/>
      </c>
      <c r="DH597" s="128">
        <f>IFERROR(AV597*$V597,)</f>
        <v/>
      </c>
      <c r="DI597" s="128">
        <f>IFERROR(AW597*$V597,)</f>
        <v/>
      </c>
      <c r="DJ597" s="128">
        <f>IFERROR(AX597*$V597,)</f>
        <v/>
      </c>
      <c r="DK597" s="128">
        <f>IFERROR(AY597*$V597,)</f>
        <v/>
      </c>
      <c r="DL597" s="128">
        <f>IFERROR(AZ597*$V597,)</f>
        <v/>
      </c>
      <c r="DM597" s="129">
        <f>IFERROR(if($X597=0,($V597/1.2)*BA597,
BA597*$X597),)</f>
        <v/>
      </c>
      <c r="DN597" s="129">
        <f>IFERROR(if($X597=0,($V597/1.2)*BB597,
BB597*$X597),)</f>
        <v/>
      </c>
      <c r="DO597" s="129">
        <f>IFERROR(if($X597=0,($V597/1.2)*BC597,
BC597*$X597),)</f>
        <v/>
      </c>
      <c r="DP597" s="130">
        <f>IFERROR(if($Z597=0,($V597/1.35)*BD597,
BD597*$Z597),)</f>
        <v/>
      </c>
      <c r="DQ597" s="130">
        <f>IFERROR(if($Z597=0,($V597/1.35)*BE597,
BE597*$Z597),)</f>
        <v/>
      </c>
      <c r="DR597" s="130">
        <f>IFERROR(if($Z597=0,($V597/1.35)*BF597,
BF597*$Z597),)</f>
        <v/>
      </c>
      <c r="DS597" s="128">
        <f>IFERROR(IF($AB597=0,($V597/0.74)*BG597,
BG597*$AB597),)</f>
        <v/>
      </c>
      <c r="DT597" s="128">
        <f>IFERROR(IF($AB597=0,($V597/0.74)*BH597,
BH597*$AB597),)</f>
        <v/>
      </c>
      <c r="DU597" s="128">
        <f>IFERROR(IF($AB597=0,($V597/0.74)*BI597,
BI597*$AB597),)</f>
        <v/>
      </c>
    </row>
    <row r="598" ht="131.25" customHeight="1" s="162">
      <c r="A598" s="115" t="n"/>
      <c r="B598" s="115" t="n"/>
      <c r="C598" s="115" t="n"/>
      <c r="D598" s="115" t="n"/>
      <c r="E598" s="115" t="n"/>
      <c r="F598" s="115" t="n"/>
      <c r="G598" s="115" t="n"/>
      <c r="H598" s="115" t="n"/>
      <c r="I598" s="115" t="n"/>
      <c r="J598" s="115" t="n"/>
      <c r="K598" s="115" t="n"/>
      <c r="L598" s="115" t="n"/>
      <c r="M598" s="115" t="n"/>
      <c r="N598" s="115" t="n"/>
      <c r="O598" s="115" t="n"/>
      <c r="P598" s="115" t="n"/>
      <c r="Q598" s="115" t="n"/>
      <c r="R598" s="115" t="n"/>
      <c r="S598" s="115" t="n"/>
      <c r="T598" s="115" t="n"/>
      <c r="U598" s="116" t="n"/>
      <c r="V598" s="116" t="n"/>
      <c r="W598" s="117" t="n"/>
      <c r="X598" s="118" t="n"/>
      <c r="Y598" s="119" t="n"/>
      <c r="Z598" s="120" t="n"/>
      <c r="AA598" s="121" t="n"/>
      <c r="AB598" s="122" t="n"/>
      <c r="AC598" s="117" t="n"/>
      <c r="AD598" s="123">
        <f>IF(SUM($AE598:$AH598)=0,"",SUM($AE598:$AH598))</f>
        <v/>
      </c>
      <c r="AE598" s="123">
        <f>iferror(IF(SUM($AI598:$AZ598)=0,"",SUM($AI598:$AZ598)),"")</f>
        <v/>
      </c>
      <c r="AF598" s="123">
        <f>iferror(IF(SUM($BA598:$BC598)=0,"",SUM($BA598:$BC598)),"")</f>
        <v/>
      </c>
      <c r="AG598" s="123">
        <f>iferror(IF(SUM($BD598:$BF598)=0,"",SUM($BD598:$BF598)),"")</f>
        <v/>
      </c>
      <c r="AH598" s="124">
        <f>iferror(IF(SUM($BG598:$BI598)=0,"",SUM($BG598:$BI598)),"")</f>
        <v/>
      </c>
      <c r="AI598" s="131" t="n"/>
      <c r="AJ598" s="132" t="n"/>
      <c r="AK598" s="132" t="n"/>
      <c r="AL598" s="132" t="n"/>
      <c r="AM598" s="132" t="n"/>
      <c r="AN598" s="132" t="n"/>
      <c r="AO598" s="132" t="n"/>
      <c r="AP598" s="132" t="n"/>
      <c r="AQ598" s="132" t="n"/>
      <c r="AR598" s="132" t="n"/>
      <c r="AS598" s="132" t="n"/>
      <c r="AT598" s="132" t="n"/>
      <c r="AU598" s="132" t="n"/>
      <c r="AV598" s="132" t="n"/>
      <c r="AW598" s="132" t="n"/>
      <c r="AX598" s="132" t="n"/>
      <c r="AY598" s="132" t="n"/>
      <c r="AZ598" s="133" t="n"/>
      <c r="BA598" s="131" t="n"/>
      <c r="BB598" s="132" t="n"/>
      <c r="BC598" s="133" t="n"/>
      <c r="BD598" s="131" t="n"/>
      <c r="BE598" s="132" t="n"/>
      <c r="BF598" s="133" t="n"/>
      <c r="BG598" s="131" t="n"/>
      <c r="BH598" s="132" t="n"/>
      <c r="BI598" s="132" t="n"/>
      <c r="BJ598" s="128">
        <f>iferror(SUM($BK598,($BL598*1.2),($BM598*1.35),($BN598*0.74)),)</f>
        <v/>
      </c>
      <c r="BK598" s="128">
        <f>IFERROR(SUM($BT598:$CK598),)</f>
        <v/>
      </c>
      <c r="BL598" s="129">
        <f>IFERROR(SUM($CL598:$CN598),)</f>
        <v/>
      </c>
      <c r="BM598" s="130">
        <f>IFERROR(SUM($CO598:$CQ598),)</f>
        <v/>
      </c>
      <c r="BN598" s="128">
        <f>IFERROR(SUM($CR598:$CT598),)</f>
        <v/>
      </c>
      <c r="BO598" s="128">
        <f>iferror(SUM($BP598,($BQ598*1.2),($BR598*1.35),($BS598*0.74)),)</f>
        <v/>
      </c>
      <c r="BP598" s="128">
        <f>IFERROR(SUM($CU598:$DL598),)</f>
        <v/>
      </c>
      <c r="BQ598" s="128">
        <f>IFERROR(SUM($DM598:$DO598),)</f>
        <v/>
      </c>
      <c r="BR598" s="128">
        <f>IFERROR(SUM($DP598:$DR598),)</f>
        <v/>
      </c>
      <c r="BS598" s="128">
        <f>IFERROR(SUM($DS598:$DU598),)</f>
        <v/>
      </c>
      <c r="BT598" s="128">
        <f>IFERROR(AI598*$W598,)</f>
        <v/>
      </c>
      <c r="BU598" s="128">
        <f>IFERROR(AJ598*$W598,)</f>
        <v/>
      </c>
      <c r="BV598" s="128">
        <f>IFERROR(AK598*$W598,)</f>
        <v/>
      </c>
      <c r="BW598" s="128">
        <f>IFERROR(AL598*$W598,)</f>
        <v/>
      </c>
      <c r="BX598" s="128">
        <f>IFERROR(AM598*$W598,)</f>
        <v/>
      </c>
      <c r="BY598" s="128">
        <f>IFERROR(AN598*$W598,)</f>
        <v/>
      </c>
      <c r="BZ598" s="128">
        <f>IFERROR(AO598*$W598,)</f>
        <v/>
      </c>
      <c r="CA598" s="128">
        <f>IFERROR(AP598*$W598,)</f>
        <v/>
      </c>
      <c r="CB598" s="128">
        <f>IFERROR(AQ598*$W598,)</f>
        <v/>
      </c>
      <c r="CC598" s="128">
        <f>IFERROR(AR598*$W598,)</f>
        <v/>
      </c>
      <c r="CD598" s="128">
        <f>IFERROR(AS598*$W598,)</f>
        <v/>
      </c>
      <c r="CE598" s="128">
        <f>IFERROR(AT598*$W598,)</f>
        <v/>
      </c>
      <c r="CF598" s="128">
        <f>IFERROR(AU598*$W598,)</f>
        <v/>
      </c>
      <c r="CG598" s="128">
        <f>IFERROR(AV598*$W598,)</f>
        <v/>
      </c>
      <c r="CH598" s="128">
        <f>IFERROR(AW598*$W598,)</f>
        <v/>
      </c>
      <c r="CI598" s="128">
        <f>IFERROR(AX598*$W598,)</f>
        <v/>
      </c>
      <c r="CJ598" s="128">
        <f>IFERROR(AY598*$W598,)</f>
        <v/>
      </c>
      <c r="CK598" s="128">
        <f>IFERROR(AZ598*$W598,)</f>
        <v/>
      </c>
      <c r="CL598" s="129">
        <f>IFERROR(if($Y598=0,BA598*($W598/1.2),BA598*$Y598),"")</f>
        <v/>
      </c>
      <c r="CM598" s="129">
        <f>IFERROR(if($Y598=0,BB598*($W598/1.2),BB598*$Y598),"")</f>
        <v/>
      </c>
      <c r="CN598" s="129">
        <f>IFERROR(if($Y598=0,BC598*($W598/1.2),BC598*$Y598),"")</f>
        <v/>
      </c>
      <c r="CO598" s="130">
        <f>IFERROR(if($AA598=0,($W598/1.35)*BD598,BD598*$AA598),)</f>
        <v/>
      </c>
      <c r="CP598" s="130">
        <f>IFERROR(if($AA598=0,($W598/1.35)*BE598,BE598*$AA598),)</f>
        <v/>
      </c>
      <c r="CQ598" s="130">
        <f>IFERROR(if($AA598=0,($W598/1.35)*BF598,BF598*$AA598),)</f>
        <v/>
      </c>
      <c r="CR598" s="128">
        <f>IFERROR(if($AC598=0,($W598/0.74)*BG598,
BG598*$AC598),)</f>
        <v/>
      </c>
      <c r="CS598" s="128">
        <f>IFERROR(if($AC598=0,($W598/0.74)*BH598,
BH598*$AC598),)</f>
        <v/>
      </c>
      <c r="CT598" s="128">
        <f>IFERROR(if($AC598=0,($W598/0.74)*BI598,
BI598*$AC598),)</f>
        <v/>
      </c>
      <c r="CU598" s="128">
        <f>IFERROR(AI598*$V598,)</f>
        <v/>
      </c>
      <c r="CV598" s="128">
        <f>IFERROR(AJ598*$V598,)</f>
        <v/>
      </c>
      <c r="CW598" s="128">
        <f>IFERROR(AK598*$V598,)</f>
        <v/>
      </c>
      <c r="CX598" s="128">
        <f>IFERROR(AL598*$V598,)</f>
        <v/>
      </c>
      <c r="CY598" s="128">
        <f>IFERROR(AM598*$V598,)</f>
        <v/>
      </c>
      <c r="CZ598" s="128">
        <f>IFERROR(AN598*$V598,)</f>
        <v/>
      </c>
      <c r="DA598" s="128">
        <f>IFERROR(AO598*$V598,)</f>
        <v/>
      </c>
      <c r="DB598" s="128">
        <f>IFERROR(AP598*$V598,)</f>
        <v/>
      </c>
      <c r="DC598" s="128">
        <f>IFERROR(AQ598*$V598,)</f>
        <v/>
      </c>
      <c r="DD598" s="128">
        <f>IFERROR(AR598*$V598,)</f>
        <v/>
      </c>
      <c r="DE598" s="128">
        <f>IFERROR(AS598*$V598,)</f>
        <v/>
      </c>
      <c r="DF598" s="128">
        <f>IFERROR(AT598*$V598,)</f>
        <v/>
      </c>
      <c r="DG598" s="128">
        <f>IFERROR(AU598*$V598,)</f>
        <v/>
      </c>
      <c r="DH598" s="128">
        <f>IFERROR(AV598*$V598,)</f>
        <v/>
      </c>
      <c r="DI598" s="128">
        <f>IFERROR(AW598*$V598,)</f>
        <v/>
      </c>
      <c r="DJ598" s="128">
        <f>IFERROR(AX598*$V598,)</f>
        <v/>
      </c>
      <c r="DK598" s="128">
        <f>IFERROR(AY598*$V598,)</f>
        <v/>
      </c>
      <c r="DL598" s="128">
        <f>IFERROR(AZ598*$V598,)</f>
        <v/>
      </c>
      <c r="DM598" s="129">
        <f>IFERROR(if($X598=0,($V598/1.2)*BA598,
BA598*$X598),)</f>
        <v/>
      </c>
      <c r="DN598" s="129">
        <f>IFERROR(if($X598=0,($V598/1.2)*BB598,
BB598*$X598),)</f>
        <v/>
      </c>
      <c r="DO598" s="129">
        <f>IFERROR(if($X598=0,($V598/1.2)*BC598,
BC598*$X598),)</f>
        <v/>
      </c>
      <c r="DP598" s="130">
        <f>IFERROR(if($Z598=0,($V598/1.35)*BD598,
BD598*$Z598),)</f>
        <v/>
      </c>
      <c r="DQ598" s="130">
        <f>IFERROR(if($Z598=0,($V598/1.35)*BE598,
BE598*$Z598),)</f>
        <v/>
      </c>
      <c r="DR598" s="130">
        <f>IFERROR(if($Z598=0,($V598/1.35)*BF598,
BF598*$Z598),)</f>
        <v/>
      </c>
      <c r="DS598" s="128">
        <f>IFERROR(IF($AB598=0,($V598/0.74)*BG598,
BG598*$AB598),)</f>
        <v/>
      </c>
      <c r="DT598" s="128">
        <f>IFERROR(IF($AB598=0,($V598/0.74)*BH598,
BH598*$AB598),)</f>
        <v/>
      </c>
      <c r="DU598" s="128">
        <f>IFERROR(IF($AB598=0,($V598/0.74)*BI598,
BI598*$AB598),)</f>
        <v/>
      </c>
    </row>
    <row r="599" ht="131.25" customHeight="1" s="162">
      <c r="A599" s="115" t="n"/>
      <c r="B599" s="115" t="n"/>
      <c r="C599" s="115" t="n"/>
      <c r="D599" s="115" t="n"/>
      <c r="E599" s="115" t="n"/>
      <c r="F599" s="115" t="n"/>
      <c r="G599" s="115" t="n"/>
      <c r="H599" s="115" t="n"/>
      <c r="I599" s="115" t="n"/>
      <c r="J599" s="115" t="n"/>
      <c r="K599" s="115" t="n"/>
      <c r="L599" s="115" t="n"/>
      <c r="M599" s="115" t="n"/>
      <c r="N599" s="115" t="n"/>
      <c r="O599" s="115" t="n"/>
      <c r="P599" s="115" t="n"/>
      <c r="Q599" s="115" t="n"/>
      <c r="R599" s="115" t="n"/>
      <c r="S599" s="115" t="n"/>
      <c r="T599" s="115" t="n"/>
      <c r="U599" s="116" t="n"/>
      <c r="V599" s="116" t="n"/>
      <c r="W599" s="117" t="n"/>
      <c r="X599" s="118" t="n"/>
      <c r="Y599" s="119" t="n"/>
      <c r="Z599" s="120" t="n"/>
      <c r="AA599" s="121" t="n"/>
      <c r="AB599" s="122" t="n"/>
      <c r="AC599" s="117" t="n"/>
      <c r="AD599" s="123">
        <f>IF(SUM($AE599:$AH599)=0,"",SUM($AE599:$AH599))</f>
        <v/>
      </c>
      <c r="AE599" s="123">
        <f>iferror(IF(SUM($AI599:$AZ599)=0,"",SUM($AI599:$AZ599)),"")</f>
        <v/>
      </c>
      <c r="AF599" s="123">
        <f>iferror(IF(SUM($BA599:$BC599)=0,"",SUM($BA599:$BC599)),"")</f>
        <v/>
      </c>
      <c r="AG599" s="123">
        <f>iferror(IF(SUM($BD599:$BF599)=0,"",SUM($BD599:$BF599)),"")</f>
        <v/>
      </c>
      <c r="AH599" s="124">
        <f>iferror(IF(SUM($BG599:$BI599)=0,"",SUM($BG599:$BI599)),"")</f>
        <v/>
      </c>
      <c r="AI599" s="131" t="n"/>
      <c r="AJ599" s="132" t="n"/>
      <c r="AK599" s="132" t="n"/>
      <c r="AL599" s="132" t="n"/>
      <c r="AM599" s="132" t="n"/>
      <c r="AN599" s="132" t="n"/>
      <c r="AO599" s="132" t="n"/>
      <c r="AP599" s="132" t="n"/>
      <c r="AQ599" s="132" t="n"/>
      <c r="AR599" s="132" t="n"/>
      <c r="AS599" s="132" t="n"/>
      <c r="AT599" s="132" t="n"/>
      <c r="AU599" s="132" t="n"/>
      <c r="AV599" s="132" t="n"/>
      <c r="AW599" s="132" t="n"/>
      <c r="AX599" s="132" t="n"/>
      <c r="AY599" s="132" t="n"/>
      <c r="AZ599" s="133" t="n"/>
      <c r="BA599" s="131" t="n"/>
      <c r="BB599" s="132" t="n"/>
      <c r="BC599" s="133" t="n"/>
      <c r="BD599" s="131" t="n"/>
      <c r="BE599" s="132" t="n"/>
      <c r="BF599" s="133" t="n"/>
      <c r="BG599" s="131" t="n"/>
      <c r="BH599" s="132" t="n"/>
      <c r="BI599" s="132" t="n"/>
      <c r="BJ599" s="128">
        <f>iferror(SUM($BK599,($BL599*1.2),($BM599*1.35),($BN599*0.74)),)</f>
        <v/>
      </c>
      <c r="BK599" s="128">
        <f>IFERROR(SUM($BT599:$CK599),)</f>
        <v/>
      </c>
      <c r="BL599" s="129">
        <f>IFERROR(SUM($CL599:$CN599),)</f>
        <v/>
      </c>
      <c r="BM599" s="130">
        <f>IFERROR(SUM($CO599:$CQ599),)</f>
        <v/>
      </c>
      <c r="BN599" s="128">
        <f>IFERROR(SUM($CR599:$CT599),)</f>
        <v/>
      </c>
      <c r="BO599" s="128">
        <f>iferror(SUM($BP599,($BQ599*1.2),($BR599*1.35),($BS599*0.74)),)</f>
        <v/>
      </c>
      <c r="BP599" s="128">
        <f>IFERROR(SUM($CU599:$DL599),)</f>
        <v/>
      </c>
      <c r="BQ599" s="128">
        <f>IFERROR(SUM($DM599:$DO599),)</f>
        <v/>
      </c>
      <c r="BR599" s="128">
        <f>IFERROR(SUM($DP599:$DR599),)</f>
        <v/>
      </c>
      <c r="BS599" s="128">
        <f>IFERROR(SUM($DS599:$DU599),)</f>
        <v/>
      </c>
      <c r="BT599" s="128">
        <f>IFERROR(AI599*$W599,)</f>
        <v/>
      </c>
      <c r="BU599" s="128">
        <f>IFERROR(AJ599*$W599,)</f>
        <v/>
      </c>
      <c r="BV599" s="128">
        <f>IFERROR(AK599*$W599,)</f>
        <v/>
      </c>
      <c r="BW599" s="128">
        <f>IFERROR(AL599*$W599,)</f>
        <v/>
      </c>
      <c r="BX599" s="128">
        <f>IFERROR(AM599*$W599,)</f>
        <v/>
      </c>
      <c r="BY599" s="128">
        <f>IFERROR(AN599*$W599,)</f>
        <v/>
      </c>
      <c r="BZ599" s="128">
        <f>IFERROR(AO599*$W599,)</f>
        <v/>
      </c>
      <c r="CA599" s="128">
        <f>IFERROR(AP599*$W599,)</f>
        <v/>
      </c>
      <c r="CB599" s="128">
        <f>IFERROR(AQ599*$W599,)</f>
        <v/>
      </c>
      <c r="CC599" s="128">
        <f>IFERROR(AR599*$W599,)</f>
        <v/>
      </c>
      <c r="CD599" s="128">
        <f>IFERROR(AS599*$W599,)</f>
        <v/>
      </c>
      <c r="CE599" s="128">
        <f>IFERROR(AT599*$W599,)</f>
        <v/>
      </c>
      <c r="CF599" s="128">
        <f>IFERROR(AU599*$W599,)</f>
        <v/>
      </c>
      <c r="CG599" s="128">
        <f>IFERROR(AV599*$W599,)</f>
        <v/>
      </c>
      <c r="CH599" s="128">
        <f>IFERROR(AW599*$W599,)</f>
        <v/>
      </c>
      <c r="CI599" s="128">
        <f>IFERROR(AX599*$W599,)</f>
        <v/>
      </c>
      <c r="CJ599" s="128">
        <f>IFERROR(AY599*$W599,)</f>
        <v/>
      </c>
      <c r="CK599" s="128">
        <f>IFERROR(AZ599*$W599,)</f>
        <v/>
      </c>
      <c r="CL599" s="129">
        <f>IFERROR(if($Y599=0,BA599*($W599/1.2),BA599*$Y599),"")</f>
        <v/>
      </c>
      <c r="CM599" s="129">
        <f>IFERROR(if($Y599=0,BB599*($W599/1.2),BB599*$Y599),"")</f>
        <v/>
      </c>
      <c r="CN599" s="129">
        <f>IFERROR(if($Y599=0,BC599*($W599/1.2),BC599*$Y599),"")</f>
        <v/>
      </c>
      <c r="CO599" s="130">
        <f>IFERROR(if($AA599=0,($W599/1.35)*BD599,BD599*$AA599),)</f>
        <v/>
      </c>
      <c r="CP599" s="130">
        <f>IFERROR(if($AA599=0,($W599/1.35)*BE599,BE599*$AA599),)</f>
        <v/>
      </c>
      <c r="CQ599" s="130">
        <f>IFERROR(if($AA599=0,($W599/1.35)*BF599,BF599*$AA599),)</f>
        <v/>
      </c>
      <c r="CR599" s="128">
        <f>IFERROR(if($AC599=0,($W599/0.74)*BG599,
BG599*$AC599),)</f>
        <v/>
      </c>
      <c r="CS599" s="128">
        <f>IFERROR(if($AC599=0,($W599/0.74)*BH599,
BH599*$AC599),)</f>
        <v/>
      </c>
      <c r="CT599" s="128">
        <f>IFERROR(if($AC599=0,($W599/0.74)*BI599,
BI599*$AC599),)</f>
        <v/>
      </c>
      <c r="CU599" s="128">
        <f>IFERROR(AI599*$V599,)</f>
        <v/>
      </c>
      <c r="CV599" s="128">
        <f>IFERROR(AJ599*$V599,)</f>
        <v/>
      </c>
      <c r="CW599" s="128">
        <f>IFERROR(AK599*$V599,)</f>
        <v/>
      </c>
      <c r="CX599" s="128">
        <f>IFERROR(AL599*$V599,)</f>
        <v/>
      </c>
      <c r="CY599" s="128">
        <f>IFERROR(AM599*$V599,)</f>
        <v/>
      </c>
      <c r="CZ599" s="128">
        <f>IFERROR(AN599*$V599,)</f>
        <v/>
      </c>
      <c r="DA599" s="128">
        <f>IFERROR(AO599*$V599,)</f>
        <v/>
      </c>
      <c r="DB599" s="128">
        <f>IFERROR(AP599*$V599,)</f>
        <v/>
      </c>
      <c r="DC599" s="128">
        <f>IFERROR(AQ599*$V599,)</f>
        <v/>
      </c>
      <c r="DD599" s="128">
        <f>IFERROR(AR599*$V599,)</f>
        <v/>
      </c>
      <c r="DE599" s="128">
        <f>IFERROR(AS599*$V599,)</f>
        <v/>
      </c>
      <c r="DF599" s="128">
        <f>IFERROR(AT599*$V599,)</f>
        <v/>
      </c>
      <c r="DG599" s="128">
        <f>IFERROR(AU599*$V599,)</f>
        <v/>
      </c>
      <c r="DH599" s="128">
        <f>IFERROR(AV599*$V599,)</f>
        <v/>
      </c>
      <c r="DI599" s="128">
        <f>IFERROR(AW599*$V599,)</f>
        <v/>
      </c>
      <c r="DJ599" s="128">
        <f>IFERROR(AX599*$V599,)</f>
        <v/>
      </c>
      <c r="DK599" s="128">
        <f>IFERROR(AY599*$V599,)</f>
        <v/>
      </c>
      <c r="DL599" s="128">
        <f>IFERROR(AZ599*$V599,)</f>
        <v/>
      </c>
      <c r="DM599" s="129">
        <f>IFERROR(if($X599=0,($V599/1.2)*BA599,
BA599*$X599),)</f>
        <v/>
      </c>
      <c r="DN599" s="129">
        <f>IFERROR(if($X599=0,($V599/1.2)*BB599,
BB599*$X599),)</f>
        <v/>
      </c>
      <c r="DO599" s="129">
        <f>IFERROR(if($X599=0,($V599/1.2)*BC599,
BC599*$X599),)</f>
        <v/>
      </c>
      <c r="DP599" s="130">
        <f>IFERROR(if($Z599=0,($V599/1.35)*BD599,
BD599*$Z599),)</f>
        <v/>
      </c>
      <c r="DQ599" s="130">
        <f>IFERROR(if($Z599=0,($V599/1.35)*BE599,
BE599*$Z599),)</f>
        <v/>
      </c>
      <c r="DR599" s="130">
        <f>IFERROR(if($Z599=0,($V599/1.35)*BF599,
BF599*$Z599),)</f>
        <v/>
      </c>
      <c r="DS599" s="128">
        <f>IFERROR(IF($AB599=0,($V599/0.74)*BG599,
BG599*$AB599),)</f>
        <v/>
      </c>
      <c r="DT599" s="128">
        <f>IFERROR(IF($AB599=0,($V599/0.74)*BH599,
BH599*$AB599),)</f>
        <v/>
      </c>
      <c r="DU599" s="128">
        <f>IFERROR(IF($AB599=0,($V599/0.74)*BI599,
BI599*$AB599),)</f>
        <v/>
      </c>
    </row>
    <row r="600" ht="131.25" customHeight="1" s="162">
      <c r="A600" s="115" t="n"/>
      <c r="B600" s="115" t="n"/>
      <c r="C600" s="115" t="n"/>
      <c r="D600" s="115" t="n"/>
      <c r="E600" s="115" t="n"/>
      <c r="F600" s="115" t="n"/>
      <c r="G600" s="115" t="n"/>
      <c r="H600" s="115" t="n"/>
      <c r="I600" s="115" t="n"/>
      <c r="J600" s="115" t="n"/>
      <c r="K600" s="115" t="n"/>
      <c r="L600" s="115" t="n"/>
      <c r="M600" s="115" t="n"/>
      <c r="N600" s="115" t="n"/>
      <c r="O600" s="115" t="n"/>
      <c r="P600" s="115" t="n"/>
      <c r="Q600" s="115" t="n"/>
      <c r="R600" s="115" t="n"/>
      <c r="S600" s="115" t="n"/>
      <c r="T600" s="115" t="n"/>
      <c r="U600" s="116" t="n"/>
      <c r="V600" s="116" t="n"/>
      <c r="W600" s="117" t="n"/>
      <c r="X600" s="118" t="n"/>
      <c r="Y600" s="119" t="n"/>
      <c r="Z600" s="120" t="n"/>
      <c r="AA600" s="121" t="n"/>
      <c r="AB600" s="122" t="n"/>
      <c r="AC600" s="117" t="n"/>
      <c r="AD600" s="123">
        <f>IF(SUM($AE600:$AH600)=0,"",SUM($AE600:$AH600))</f>
        <v/>
      </c>
      <c r="AE600" s="123">
        <f>iferror(IF(SUM($AI600:$AZ600)=0,"",SUM($AI600:$AZ600)),"")</f>
        <v/>
      </c>
      <c r="AF600" s="123">
        <f>iferror(IF(SUM($BA600:$BC600)=0,"",SUM($BA600:$BC600)),"")</f>
        <v/>
      </c>
      <c r="AG600" s="123">
        <f>iferror(IF(SUM($BD600:$BF600)=0,"",SUM($BD600:$BF600)),"")</f>
        <v/>
      </c>
      <c r="AH600" s="124">
        <f>iferror(IF(SUM($BG600:$BI600)=0,"",SUM($BG600:$BI600)),"")</f>
        <v/>
      </c>
      <c r="AI600" s="131" t="n"/>
      <c r="AJ600" s="132" t="n"/>
      <c r="AK600" s="132" t="n"/>
      <c r="AL600" s="132" t="n"/>
      <c r="AM600" s="132" t="n"/>
      <c r="AN600" s="132" t="n"/>
      <c r="AO600" s="132" t="n"/>
      <c r="AP600" s="132" t="n"/>
      <c r="AQ600" s="132" t="n"/>
      <c r="AR600" s="132" t="n"/>
      <c r="AS600" s="132" t="n"/>
      <c r="AT600" s="132" t="n"/>
      <c r="AU600" s="132" t="n"/>
      <c r="AV600" s="132" t="n"/>
      <c r="AW600" s="132" t="n"/>
      <c r="AX600" s="132" t="n"/>
      <c r="AY600" s="132" t="n"/>
      <c r="AZ600" s="133" t="n"/>
      <c r="BA600" s="131" t="n"/>
      <c r="BB600" s="132" t="n"/>
      <c r="BC600" s="133" t="n"/>
      <c r="BD600" s="131" t="n"/>
      <c r="BE600" s="132" t="n"/>
      <c r="BF600" s="133" t="n"/>
      <c r="BG600" s="131" t="n"/>
      <c r="BH600" s="132" t="n"/>
      <c r="BI600" s="132" t="n"/>
      <c r="BJ600" s="128">
        <f>iferror(SUM($BK600,($BL600*1.2),($BM600*1.35),($BN600*0.74)),)</f>
        <v/>
      </c>
      <c r="BK600" s="128">
        <f>IFERROR(SUM($BT600:$CK600),)</f>
        <v/>
      </c>
      <c r="BL600" s="129">
        <f>IFERROR(SUM($CL600:$CN600),)</f>
        <v/>
      </c>
      <c r="BM600" s="130">
        <f>IFERROR(SUM($CO600:$CQ600),)</f>
        <v/>
      </c>
      <c r="BN600" s="128">
        <f>IFERROR(SUM($CR600:$CT600),)</f>
        <v/>
      </c>
      <c r="BO600" s="128">
        <f>iferror(SUM($BP600,($BQ600*1.2),($BR600*1.35),($BS600*0.74)),)</f>
        <v/>
      </c>
      <c r="BP600" s="128">
        <f>IFERROR(SUM($CU600:$DL600),)</f>
        <v/>
      </c>
      <c r="BQ600" s="128">
        <f>IFERROR(SUM($DM600:$DO600),)</f>
        <v/>
      </c>
      <c r="BR600" s="128">
        <f>IFERROR(SUM($DP600:$DR600),)</f>
        <v/>
      </c>
      <c r="BS600" s="128">
        <f>IFERROR(SUM($DS600:$DU600),)</f>
        <v/>
      </c>
      <c r="BT600" s="128">
        <f>IFERROR(AI600*$W600,)</f>
        <v/>
      </c>
      <c r="BU600" s="128">
        <f>IFERROR(AJ600*$W600,)</f>
        <v/>
      </c>
      <c r="BV600" s="128">
        <f>IFERROR(AK600*$W600,)</f>
        <v/>
      </c>
      <c r="BW600" s="128">
        <f>IFERROR(AL600*$W600,)</f>
        <v/>
      </c>
      <c r="BX600" s="128">
        <f>IFERROR(AM600*$W600,)</f>
        <v/>
      </c>
      <c r="BY600" s="128">
        <f>IFERROR(AN600*$W600,)</f>
        <v/>
      </c>
      <c r="BZ600" s="128">
        <f>IFERROR(AO600*$W600,)</f>
        <v/>
      </c>
      <c r="CA600" s="128">
        <f>IFERROR(AP600*$W600,)</f>
        <v/>
      </c>
      <c r="CB600" s="128">
        <f>IFERROR(AQ600*$W600,)</f>
        <v/>
      </c>
      <c r="CC600" s="128">
        <f>IFERROR(AR600*$W600,)</f>
        <v/>
      </c>
      <c r="CD600" s="128">
        <f>IFERROR(AS600*$W600,)</f>
        <v/>
      </c>
      <c r="CE600" s="128">
        <f>IFERROR(AT600*$W600,)</f>
        <v/>
      </c>
      <c r="CF600" s="128">
        <f>IFERROR(AU600*$W600,)</f>
        <v/>
      </c>
      <c r="CG600" s="128">
        <f>IFERROR(AV600*$W600,)</f>
        <v/>
      </c>
      <c r="CH600" s="128">
        <f>IFERROR(AW600*$W600,)</f>
        <v/>
      </c>
      <c r="CI600" s="128">
        <f>IFERROR(AX600*$W600,)</f>
        <v/>
      </c>
      <c r="CJ600" s="128">
        <f>IFERROR(AY600*$W600,)</f>
        <v/>
      </c>
      <c r="CK600" s="128">
        <f>IFERROR(AZ600*$W600,)</f>
        <v/>
      </c>
      <c r="CL600" s="129">
        <f>IFERROR(if($Y600=0,BA600*($W600/1.2),BA600*$Y600),"")</f>
        <v/>
      </c>
      <c r="CM600" s="129">
        <f>IFERROR(if($Y600=0,BB600*($W600/1.2),BB600*$Y600),"")</f>
        <v/>
      </c>
      <c r="CN600" s="129">
        <f>IFERROR(if($Y600=0,BC600*($W600/1.2),BC600*$Y600),"")</f>
        <v/>
      </c>
      <c r="CO600" s="130">
        <f>IFERROR(if($AA600=0,($W600/1.35)*BD600,BD600*$AA600),)</f>
        <v/>
      </c>
      <c r="CP600" s="130">
        <f>IFERROR(if($AA600=0,($W600/1.35)*BE600,BE600*$AA600),)</f>
        <v/>
      </c>
      <c r="CQ600" s="130">
        <f>IFERROR(if($AA600=0,($W600/1.35)*BF600,BF600*$AA600),)</f>
        <v/>
      </c>
      <c r="CR600" s="128">
        <f>IFERROR(if($AC600=0,($W600/0.74)*BG600,
BG600*$AC600),)</f>
        <v/>
      </c>
      <c r="CS600" s="128">
        <f>IFERROR(if($AC600=0,($W600/0.74)*BH600,
BH600*$AC600),)</f>
        <v/>
      </c>
      <c r="CT600" s="128">
        <f>IFERROR(if($AC600=0,($W600/0.74)*BI600,
BI600*$AC600),)</f>
        <v/>
      </c>
      <c r="CU600" s="128">
        <f>IFERROR(AI600*$V600,)</f>
        <v/>
      </c>
      <c r="CV600" s="128">
        <f>IFERROR(AJ600*$V600,)</f>
        <v/>
      </c>
      <c r="CW600" s="128">
        <f>IFERROR(AK600*$V600,)</f>
        <v/>
      </c>
      <c r="CX600" s="128">
        <f>IFERROR(AL600*$V600,)</f>
        <v/>
      </c>
      <c r="CY600" s="128">
        <f>IFERROR(AM600*$V600,)</f>
        <v/>
      </c>
      <c r="CZ600" s="128">
        <f>IFERROR(AN600*$V600,)</f>
        <v/>
      </c>
      <c r="DA600" s="128">
        <f>IFERROR(AO600*$V600,)</f>
        <v/>
      </c>
      <c r="DB600" s="128">
        <f>IFERROR(AP600*$V600,)</f>
        <v/>
      </c>
      <c r="DC600" s="128">
        <f>IFERROR(AQ600*$V600,)</f>
        <v/>
      </c>
      <c r="DD600" s="128">
        <f>IFERROR(AR600*$V600,)</f>
        <v/>
      </c>
      <c r="DE600" s="128">
        <f>IFERROR(AS600*$V600,)</f>
        <v/>
      </c>
      <c r="DF600" s="128">
        <f>IFERROR(AT600*$V600,)</f>
        <v/>
      </c>
      <c r="DG600" s="128">
        <f>IFERROR(AU600*$V600,)</f>
        <v/>
      </c>
      <c r="DH600" s="128">
        <f>IFERROR(AV600*$V600,)</f>
        <v/>
      </c>
      <c r="DI600" s="128">
        <f>IFERROR(AW600*$V600,)</f>
        <v/>
      </c>
      <c r="DJ600" s="128">
        <f>IFERROR(AX600*$V600,)</f>
        <v/>
      </c>
      <c r="DK600" s="128">
        <f>IFERROR(AY600*$V600,)</f>
        <v/>
      </c>
      <c r="DL600" s="128">
        <f>IFERROR(AZ600*$V600,)</f>
        <v/>
      </c>
      <c r="DM600" s="129">
        <f>IFERROR(if($X600=0,($V600/1.2)*BA600,
BA600*$X600),)</f>
        <v/>
      </c>
      <c r="DN600" s="129">
        <f>IFERROR(if($X600=0,($V600/1.2)*BB600,
BB600*$X600),)</f>
        <v/>
      </c>
      <c r="DO600" s="129">
        <f>IFERROR(if($X600=0,($V600/1.2)*BC600,
BC600*$X600),)</f>
        <v/>
      </c>
      <c r="DP600" s="130">
        <f>IFERROR(if($Z600=0,($V600/1.35)*BD600,
BD600*$Z600),)</f>
        <v/>
      </c>
      <c r="DQ600" s="130">
        <f>IFERROR(if($Z600=0,($V600/1.35)*BE600,
BE600*$Z600),)</f>
        <v/>
      </c>
      <c r="DR600" s="130">
        <f>IFERROR(if($Z600=0,($V600/1.35)*BF600,
BF600*$Z600),)</f>
        <v/>
      </c>
      <c r="DS600" s="128">
        <f>IFERROR(IF($AB600=0,($V600/0.74)*BG600,
BG600*$AB600),)</f>
        <v/>
      </c>
      <c r="DT600" s="128">
        <f>IFERROR(IF($AB600=0,($V600/0.74)*BH600,
BH600*$AB600),)</f>
        <v/>
      </c>
      <c r="DU600" s="128">
        <f>IFERROR(IF($AB600=0,($V600/0.74)*BI600,
BI600*$AB600),)</f>
        <v/>
      </c>
    </row>
    <row r="601" ht="131.25" customHeight="1" s="162">
      <c r="A601" s="115" t="n"/>
      <c r="B601" s="115" t="n"/>
      <c r="C601" s="115" t="n"/>
      <c r="D601" s="115" t="n"/>
      <c r="E601" s="115" t="n"/>
      <c r="F601" s="115" t="n"/>
      <c r="G601" s="115" t="n"/>
      <c r="H601" s="115" t="n"/>
      <c r="I601" s="115" t="n"/>
      <c r="J601" s="115" t="n"/>
      <c r="K601" s="115" t="n"/>
      <c r="L601" s="115" t="n"/>
      <c r="M601" s="115" t="n"/>
      <c r="N601" s="115" t="n"/>
      <c r="O601" s="115" t="n"/>
      <c r="P601" s="115" t="n"/>
      <c r="Q601" s="115" t="n"/>
      <c r="R601" s="115" t="n"/>
      <c r="S601" s="115" t="n"/>
      <c r="T601" s="115" t="n"/>
      <c r="U601" s="116" t="n"/>
      <c r="V601" s="116" t="n"/>
      <c r="W601" s="117" t="n"/>
      <c r="X601" s="118" t="n"/>
      <c r="Y601" s="119" t="n"/>
      <c r="Z601" s="120" t="n"/>
      <c r="AA601" s="121" t="n"/>
      <c r="AB601" s="122" t="n"/>
      <c r="AC601" s="117" t="n"/>
      <c r="AD601" s="123">
        <f>IF(SUM($AE601:$AH601)=0,"",SUM($AE601:$AH601))</f>
        <v/>
      </c>
      <c r="AE601" s="123">
        <f>iferror(IF(SUM($AI601:$AZ601)=0,"",SUM($AI601:$AZ601)),"")</f>
        <v/>
      </c>
      <c r="AF601" s="123">
        <f>iferror(IF(SUM($BA601:$BC601)=0,"",SUM($BA601:$BC601)),"")</f>
        <v/>
      </c>
      <c r="AG601" s="123">
        <f>iferror(IF(SUM($BD601:$BF601)=0,"",SUM($BD601:$BF601)),"")</f>
        <v/>
      </c>
      <c r="AH601" s="124">
        <f>iferror(IF(SUM($BG601:$BI601)=0,"",SUM($BG601:$BI601)),"")</f>
        <v/>
      </c>
      <c r="AI601" s="131" t="n"/>
      <c r="AJ601" s="132" t="n"/>
      <c r="AK601" s="132" t="n"/>
      <c r="AL601" s="132" t="n"/>
      <c r="AM601" s="132" t="n"/>
      <c r="AN601" s="132" t="n"/>
      <c r="AO601" s="132" t="n"/>
      <c r="AP601" s="132" t="n"/>
      <c r="AQ601" s="132" t="n"/>
      <c r="AR601" s="132" t="n"/>
      <c r="AS601" s="132" t="n"/>
      <c r="AT601" s="132" t="n"/>
      <c r="AU601" s="132" t="n"/>
      <c r="AV601" s="132" t="n"/>
      <c r="AW601" s="132" t="n"/>
      <c r="AX601" s="132" t="n"/>
      <c r="AY601" s="132" t="n"/>
      <c r="AZ601" s="133" t="n"/>
      <c r="BA601" s="131" t="n"/>
      <c r="BB601" s="132" t="n"/>
      <c r="BC601" s="133" t="n"/>
      <c r="BD601" s="131" t="n"/>
      <c r="BE601" s="132" t="n"/>
      <c r="BF601" s="133" t="n"/>
      <c r="BG601" s="131" t="n"/>
      <c r="BH601" s="132" t="n"/>
      <c r="BI601" s="132" t="n"/>
      <c r="BJ601" s="128">
        <f>iferror(SUM($BK601,($BL601*1.2),($BM601*1.35),($BN601*0.74)),)</f>
        <v/>
      </c>
      <c r="BK601" s="128">
        <f>IFERROR(SUM($BT601:$CK601),)</f>
        <v/>
      </c>
      <c r="BL601" s="129">
        <f>IFERROR(SUM($CL601:$CN601),)</f>
        <v/>
      </c>
      <c r="BM601" s="130">
        <f>IFERROR(SUM($CO601:$CQ601),)</f>
        <v/>
      </c>
      <c r="BN601" s="128">
        <f>IFERROR(SUM($CR601:$CT601),)</f>
        <v/>
      </c>
      <c r="BO601" s="128">
        <f>iferror(SUM($BP601,($BQ601*1.2),($BR601*1.35),($BS601*0.74)),)</f>
        <v/>
      </c>
      <c r="BP601" s="128">
        <f>IFERROR(SUM($CU601:$DL601),)</f>
        <v/>
      </c>
      <c r="BQ601" s="128">
        <f>IFERROR(SUM($DM601:$DO601),)</f>
        <v/>
      </c>
      <c r="BR601" s="128">
        <f>IFERROR(SUM($DP601:$DR601),)</f>
        <v/>
      </c>
      <c r="BS601" s="128">
        <f>IFERROR(SUM($DS601:$DU601),)</f>
        <v/>
      </c>
      <c r="BT601" s="128">
        <f>IFERROR(AI601*$W601,)</f>
        <v/>
      </c>
      <c r="BU601" s="128">
        <f>IFERROR(AJ601*$W601,)</f>
        <v/>
      </c>
      <c r="BV601" s="128">
        <f>IFERROR(AK601*$W601,)</f>
        <v/>
      </c>
      <c r="BW601" s="128">
        <f>IFERROR(AL601*$W601,)</f>
        <v/>
      </c>
      <c r="BX601" s="128">
        <f>IFERROR(AM601*$W601,)</f>
        <v/>
      </c>
      <c r="BY601" s="128">
        <f>IFERROR(AN601*$W601,)</f>
        <v/>
      </c>
      <c r="BZ601" s="128">
        <f>IFERROR(AO601*$W601,)</f>
        <v/>
      </c>
      <c r="CA601" s="128">
        <f>IFERROR(AP601*$W601,)</f>
        <v/>
      </c>
      <c r="CB601" s="128">
        <f>IFERROR(AQ601*$W601,)</f>
        <v/>
      </c>
      <c r="CC601" s="128">
        <f>IFERROR(AR601*$W601,)</f>
        <v/>
      </c>
      <c r="CD601" s="128">
        <f>IFERROR(AS601*$W601,)</f>
        <v/>
      </c>
      <c r="CE601" s="128">
        <f>IFERROR(AT601*$W601,)</f>
        <v/>
      </c>
      <c r="CF601" s="128">
        <f>IFERROR(AU601*$W601,)</f>
        <v/>
      </c>
      <c r="CG601" s="128">
        <f>IFERROR(AV601*$W601,)</f>
        <v/>
      </c>
      <c r="CH601" s="128">
        <f>IFERROR(AW601*$W601,)</f>
        <v/>
      </c>
      <c r="CI601" s="128">
        <f>IFERROR(AX601*$W601,)</f>
        <v/>
      </c>
      <c r="CJ601" s="128">
        <f>IFERROR(AY601*$W601,)</f>
        <v/>
      </c>
      <c r="CK601" s="128">
        <f>IFERROR(AZ601*$W601,)</f>
        <v/>
      </c>
      <c r="CL601" s="129">
        <f>IFERROR(if($Y601=0,BA601*($W601/1.2),BA601*$Y601),"")</f>
        <v/>
      </c>
      <c r="CM601" s="129">
        <f>IFERROR(if($Y601=0,BB601*($W601/1.2),BB601*$Y601),"")</f>
        <v/>
      </c>
      <c r="CN601" s="129">
        <f>IFERROR(if($Y601=0,BC601*($W601/1.2),BC601*$Y601),"")</f>
        <v/>
      </c>
      <c r="CO601" s="130">
        <f>IFERROR(if($AA601=0,($W601/1.35)*BD601,BD601*$AA601),)</f>
        <v/>
      </c>
      <c r="CP601" s="130">
        <f>IFERROR(if($AA601=0,($W601/1.35)*BE601,BE601*$AA601),)</f>
        <v/>
      </c>
      <c r="CQ601" s="130">
        <f>IFERROR(if($AA601=0,($W601/1.35)*BF601,BF601*$AA601),)</f>
        <v/>
      </c>
      <c r="CR601" s="128">
        <f>IFERROR(if($AC601=0,($W601/0.74)*BG601,
BG601*$AC601),)</f>
        <v/>
      </c>
      <c r="CS601" s="128">
        <f>IFERROR(if($AC601=0,($W601/0.74)*BH601,
BH601*$AC601),)</f>
        <v/>
      </c>
      <c r="CT601" s="128">
        <f>IFERROR(if($AC601=0,($W601/0.74)*BI601,
BI601*$AC601),)</f>
        <v/>
      </c>
      <c r="CU601" s="128">
        <f>IFERROR(AI601*$V601,)</f>
        <v/>
      </c>
      <c r="CV601" s="128">
        <f>IFERROR(AJ601*$V601,)</f>
        <v/>
      </c>
      <c r="CW601" s="128">
        <f>IFERROR(AK601*$V601,)</f>
        <v/>
      </c>
      <c r="CX601" s="128">
        <f>IFERROR(AL601*$V601,)</f>
        <v/>
      </c>
      <c r="CY601" s="128">
        <f>IFERROR(AM601*$V601,)</f>
        <v/>
      </c>
      <c r="CZ601" s="128">
        <f>IFERROR(AN601*$V601,)</f>
        <v/>
      </c>
      <c r="DA601" s="128">
        <f>IFERROR(AO601*$V601,)</f>
        <v/>
      </c>
      <c r="DB601" s="128">
        <f>IFERROR(AP601*$V601,)</f>
        <v/>
      </c>
      <c r="DC601" s="128">
        <f>IFERROR(AQ601*$V601,)</f>
        <v/>
      </c>
      <c r="DD601" s="128">
        <f>IFERROR(AR601*$V601,)</f>
        <v/>
      </c>
      <c r="DE601" s="128">
        <f>IFERROR(AS601*$V601,)</f>
        <v/>
      </c>
      <c r="DF601" s="128">
        <f>IFERROR(AT601*$V601,)</f>
        <v/>
      </c>
      <c r="DG601" s="128">
        <f>IFERROR(AU601*$V601,)</f>
        <v/>
      </c>
      <c r="DH601" s="128">
        <f>IFERROR(AV601*$V601,)</f>
        <v/>
      </c>
      <c r="DI601" s="128">
        <f>IFERROR(AW601*$V601,)</f>
        <v/>
      </c>
      <c r="DJ601" s="128">
        <f>IFERROR(AX601*$V601,)</f>
        <v/>
      </c>
      <c r="DK601" s="128">
        <f>IFERROR(AY601*$V601,)</f>
        <v/>
      </c>
      <c r="DL601" s="128">
        <f>IFERROR(AZ601*$V601,)</f>
        <v/>
      </c>
      <c r="DM601" s="129">
        <f>IFERROR(if($X601=0,($V601/1.2)*BA601,
BA601*$X601),)</f>
        <v/>
      </c>
      <c r="DN601" s="129">
        <f>IFERROR(if($X601=0,($V601/1.2)*BB601,
BB601*$X601),)</f>
        <v/>
      </c>
      <c r="DO601" s="129">
        <f>IFERROR(if($X601=0,($V601/1.2)*BC601,
BC601*$X601),)</f>
        <v/>
      </c>
      <c r="DP601" s="130">
        <f>IFERROR(if($Z601=0,($V601/1.35)*BD601,
BD601*$Z601),)</f>
        <v/>
      </c>
      <c r="DQ601" s="130">
        <f>IFERROR(if($Z601=0,($V601/1.35)*BE601,
BE601*$Z601),)</f>
        <v/>
      </c>
      <c r="DR601" s="130">
        <f>IFERROR(if($Z601=0,($V601/1.35)*BF601,
BF601*$Z601),)</f>
        <v/>
      </c>
      <c r="DS601" s="128">
        <f>IFERROR(IF($AB601=0,($V601/0.74)*BG601,
BG601*$AB601),)</f>
        <v/>
      </c>
      <c r="DT601" s="128">
        <f>IFERROR(IF($AB601=0,($V601/0.74)*BH601,
BH601*$AB601),)</f>
        <v/>
      </c>
      <c r="DU601" s="128">
        <f>IFERROR(IF($AB601=0,($V601/0.74)*BI601,
BI601*$AB601),)</f>
        <v/>
      </c>
    </row>
    <row r="602" ht="131.25" customHeight="1" s="162">
      <c r="A602" s="115" t="n"/>
      <c r="B602" s="115" t="n"/>
      <c r="C602" s="115" t="n"/>
      <c r="D602" s="115" t="n"/>
      <c r="E602" s="115" t="n"/>
      <c r="F602" s="115" t="n"/>
      <c r="G602" s="115" t="n"/>
      <c r="H602" s="115" t="n"/>
      <c r="I602" s="115" t="n"/>
      <c r="J602" s="115" t="n"/>
      <c r="K602" s="115" t="n"/>
      <c r="L602" s="115" t="n"/>
      <c r="M602" s="115" t="n"/>
      <c r="N602" s="115" t="n"/>
      <c r="O602" s="115" t="n"/>
      <c r="P602" s="115" t="n"/>
      <c r="Q602" s="115" t="n"/>
      <c r="R602" s="115" t="n"/>
      <c r="S602" s="115" t="n"/>
      <c r="T602" s="115" t="n"/>
      <c r="U602" s="116" t="n"/>
      <c r="V602" s="116" t="n"/>
      <c r="W602" s="117" t="n"/>
      <c r="X602" s="118" t="n"/>
      <c r="Y602" s="119" t="n"/>
      <c r="Z602" s="120" t="n"/>
      <c r="AA602" s="121" t="n"/>
      <c r="AB602" s="122" t="n"/>
      <c r="AC602" s="117" t="n"/>
      <c r="AD602" s="123">
        <f>IF(SUM($AE602:$AH602)=0,"",SUM($AE602:$AH602))</f>
        <v/>
      </c>
      <c r="AE602" s="123">
        <f>iferror(IF(SUM($AI602:$AZ602)=0,"",SUM($AI602:$AZ602)),"")</f>
        <v/>
      </c>
      <c r="AF602" s="123">
        <f>iferror(IF(SUM($BA602:$BC602)=0,"",SUM($BA602:$BC602)),"")</f>
        <v/>
      </c>
      <c r="AG602" s="123">
        <f>iferror(IF(SUM($BD602:$BF602)=0,"",SUM($BD602:$BF602)),"")</f>
        <v/>
      </c>
      <c r="AH602" s="124">
        <f>iferror(IF(SUM($BG602:$BI602)=0,"",SUM($BG602:$BI602)),"")</f>
        <v/>
      </c>
      <c r="AI602" s="131" t="n"/>
      <c r="AJ602" s="132" t="n"/>
      <c r="AK602" s="132" t="n"/>
      <c r="AL602" s="132" t="n"/>
      <c r="AM602" s="132" t="n"/>
      <c r="AN602" s="132" t="n"/>
      <c r="AO602" s="132" t="n"/>
      <c r="AP602" s="132" t="n"/>
      <c r="AQ602" s="132" t="n"/>
      <c r="AR602" s="132" t="n"/>
      <c r="AS602" s="132" t="n"/>
      <c r="AT602" s="132" t="n"/>
      <c r="AU602" s="132" t="n"/>
      <c r="AV602" s="132" t="n"/>
      <c r="AW602" s="132" t="n"/>
      <c r="AX602" s="132" t="n"/>
      <c r="AY602" s="132" t="n"/>
      <c r="AZ602" s="133" t="n"/>
      <c r="BA602" s="131" t="n"/>
      <c r="BB602" s="132" t="n"/>
      <c r="BC602" s="133" t="n"/>
      <c r="BD602" s="131" t="n"/>
      <c r="BE602" s="132" t="n"/>
      <c r="BF602" s="133" t="n"/>
      <c r="BG602" s="131" t="n"/>
      <c r="BH602" s="132" t="n"/>
      <c r="BI602" s="132" t="n"/>
      <c r="BJ602" s="128">
        <f>iferror(SUM($BK602,($BL602*1.2),($BM602*1.35),($BN602*0.74)),)</f>
        <v/>
      </c>
      <c r="BK602" s="128">
        <f>IFERROR(SUM($BT602:$CK602),)</f>
        <v/>
      </c>
      <c r="BL602" s="129">
        <f>IFERROR(SUM($CL602:$CN602),)</f>
        <v/>
      </c>
      <c r="BM602" s="130">
        <f>IFERROR(SUM($CO602:$CQ602),)</f>
        <v/>
      </c>
      <c r="BN602" s="128">
        <f>IFERROR(SUM($CR602:$CT602),)</f>
        <v/>
      </c>
      <c r="BO602" s="128">
        <f>iferror(SUM($BP602,($BQ602*1.2),($BR602*1.35),($BS602*0.74)),)</f>
        <v/>
      </c>
      <c r="BP602" s="128">
        <f>IFERROR(SUM($CU602:$DL602),)</f>
        <v/>
      </c>
      <c r="BQ602" s="128">
        <f>IFERROR(SUM($DM602:$DO602),)</f>
        <v/>
      </c>
      <c r="BR602" s="128">
        <f>IFERROR(SUM($DP602:$DR602),)</f>
        <v/>
      </c>
      <c r="BS602" s="128">
        <f>IFERROR(SUM($DS602:$DU602),)</f>
        <v/>
      </c>
      <c r="BT602" s="128">
        <f>IFERROR(AI602*$W602,)</f>
        <v/>
      </c>
      <c r="BU602" s="128">
        <f>IFERROR(AJ602*$W602,)</f>
        <v/>
      </c>
      <c r="BV602" s="128">
        <f>IFERROR(AK602*$W602,)</f>
        <v/>
      </c>
      <c r="BW602" s="128">
        <f>IFERROR(AL602*$W602,)</f>
        <v/>
      </c>
      <c r="BX602" s="128">
        <f>IFERROR(AM602*$W602,)</f>
        <v/>
      </c>
      <c r="BY602" s="128">
        <f>IFERROR(AN602*$W602,)</f>
        <v/>
      </c>
      <c r="BZ602" s="128">
        <f>IFERROR(AO602*$W602,)</f>
        <v/>
      </c>
      <c r="CA602" s="128">
        <f>IFERROR(AP602*$W602,)</f>
        <v/>
      </c>
      <c r="CB602" s="128">
        <f>IFERROR(AQ602*$W602,)</f>
        <v/>
      </c>
      <c r="CC602" s="128">
        <f>IFERROR(AR602*$W602,)</f>
        <v/>
      </c>
      <c r="CD602" s="128">
        <f>IFERROR(AS602*$W602,)</f>
        <v/>
      </c>
      <c r="CE602" s="128">
        <f>IFERROR(AT602*$W602,)</f>
        <v/>
      </c>
      <c r="CF602" s="128">
        <f>IFERROR(AU602*$W602,)</f>
        <v/>
      </c>
      <c r="CG602" s="128">
        <f>IFERROR(AV602*$W602,)</f>
        <v/>
      </c>
      <c r="CH602" s="128">
        <f>IFERROR(AW602*$W602,)</f>
        <v/>
      </c>
      <c r="CI602" s="128">
        <f>IFERROR(AX602*$W602,)</f>
        <v/>
      </c>
      <c r="CJ602" s="128">
        <f>IFERROR(AY602*$W602,)</f>
        <v/>
      </c>
      <c r="CK602" s="128">
        <f>IFERROR(AZ602*$W602,)</f>
        <v/>
      </c>
      <c r="CL602" s="129">
        <f>IFERROR(if($Y602=0,BA602*($W602/1.2),BA602*$Y602),"")</f>
        <v/>
      </c>
      <c r="CM602" s="129">
        <f>IFERROR(if($Y602=0,BB602*($W602/1.2),BB602*$Y602),"")</f>
        <v/>
      </c>
      <c r="CN602" s="129">
        <f>IFERROR(if($Y602=0,BC602*($W602/1.2),BC602*$Y602),"")</f>
        <v/>
      </c>
      <c r="CO602" s="130">
        <f>IFERROR(if($AA602=0,($W602/1.35)*BD602,BD602*$AA602),)</f>
        <v/>
      </c>
      <c r="CP602" s="130">
        <f>IFERROR(if($AA602=0,($W602/1.35)*BE602,BE602*$AA602),)</f>
        <v/>
      </c>
      <c r="CQ602" s="130">
        <f>IFERROR(if($AA602=0,($W602/1.35)*BF602,BF602*$AA602),)</f>
        <v/>
      </c>
      <c r="CR602" s="128">
        <f>IFERROR(if($AC602=0,($W602/0.74)*BG602,
BG602*$AC602),)</f>
        <v/>
      </c>
      <c r="CS602" s="128">
        <f>IFERROR(if($AC602=0,($W602/0.74)*BH602,
BH602*$AC602),)</f>
        <v/>
      </c>
      <c r="CT602" s="128">
        <f>IFERROR(if($AC602=0,($W602/0.74)*BI602,
BI602*$AC602),)</f>
        <v/>
      </c>
      <c r="CU602" s="128">
        <f>IFERROR(AI602*$V602,)</f>
        <v/>
      </c>
      <c r="CV602" s="128">
        <f>IFERROR(AJ602*$V602,)</f>
        <v/>
      </c>
      <c r="CW602" s="128">
        <f>IFERROR(AK602*$V602,)</f>
        <v/>
      </c>
      <c r="CX602" s="128">
        <f>IFERROR(AL602*$V602,)</f>
        <v/>
      </c>
      <c r="CY602" s="128">
        <f>IFERROR(AM602*$V602,)</f>
        <v/>
      </c>
      <c r="CZ602" s="128">
        <f>IFERROR(AN602*$V602,)</f>
        <v/>
      </c>
      <c r="DA602" s="128">
        <f>IFERROR(AO602*$V602,)</f>
        <v/>
      </c>
      <c r="DB602" s="128">
        <f>IFERROR(AP602*$V602,)</f>
        <v/>
      </c>
      <c r="DC602" s="128">
        <f>IFERROR(AQ602*$V602,)</f>
        <v/>
      </c>
      <c r="DD602" s="128">
        <f>IFERROR(AR602*$V602,)</f>
        <v/>
      </c>
      <c r="DE602" s="128">
        <f>IFERROR(AS602*$V602,)</f>
        <v/>
      </c>
      <c r="DF602" s="128">
        <f>IFERROR(AT602*$V602,)</f>
        <v/>
      </c>
      <c r="DG602" s="128">
        <f>IFERROR(AU602*$V602,)</f>
        <v/>
      </c>
      <c r="DH602" s="128">
        <f>IFERROR(AV602*$V602,)</f>
        <v/>
      </c>
      <c r="DI602" s="128">
        <f>IFERROR(AW602*$V602,)</f>
        <v/>
      </c>
      <c r="DJ602" s="128">
        <f>IFERROR(AX602*$V602,)</f>
        <v/>
      </c>
      <c r="DK602" s="128">
        <f>IFERROR(AY602*$V602,)</f>
        <v/>
      </c>
      <c r="DL602" s="128">
        <f>IFERROR(AZ602*$V602,)</f>
        <v/>
      </c>
      <c r="DM602" s="129">
        <f>IFERROR(if($X602=0,($V602/1.2)*BA602,
BA602*$X602),)</f>
        <v/>
      </c>
      <c r="DN602" s="129">
        <f>IFERROR(if($X602=0,($V602/1.2)*BB602,
BB602*$X602),)</f>
        <v/>
      </c>
      <c r="DO602" s="129">
        <f>IFERROR(if($X602=0,($V602/1.2)*BC602,
BC602*$X602),)</f>
        <v/>
      </c>
      <c r="DP602" s="130">
        <f>IFERROR(if($Z602=0,($V602/1.35)*BD602,
BD602*$Z602),)</f>
        <v/>
      </c>
      <c r="DQ602" s="130">
        <f>IFERROR(if($Z602=0,($V602/1.35)*BE602,
BE602*$Z602),)</f>
        <v/>
      </c>
      <c r="DR602" s="130">
        <f>IFERROR(if($Z602=0,($V602/1.35)*BF602,
BF602*$Z602),)</f>
        <v/>
      </c>
      <c r="DS602" s="128">
        <f>IFERROR(IF($AB602=0,($V602/0.74)*BG602,
BG602*$AB602),)</f>
        <v/>
      </c>
      <c r="DT602" s="128">
        <f>IFERROR(IF($AB602=0,($V602/0.74)*BH602,
BH602*$AB602),)</f>
        <v/>
      </c>
      <c r="DU602" s="128">
        <f>IFERROR(IF($AB602=0,($V602/0.74)*BI602,
BI602*$AB602),)</f>
        <v/>
      </c>
    </row>
    <row r="603" ht="131.25" customHeight="1" s="162">
      <c r="A603" s="115" t="n"/>
      <c r="B603" s="115" t="n"/>
      <c r="C603" s="115" t="n"/>
      <c r="D603" s="115" t="n"/>
      <c r="E603" s="115" t="n"/>
      <c r="F603" s="115" t="n"/>
      <c r="G603" s="115" t="n"/>
      <c r="H603" s="115" t="n"/>
      <c r="I603" s="115" t="n"/>
      <c r="J603" s="115" t="n"/>
      <c r="K603" s="115" t="n"/>
      <c r="L603" s="115" t="n"/>
      <c r="M603" s="115" t="n"/>
      <c r="N603" s="115" t="n"/>
      <c r="O603" s="115" t="n"/>
      <c r="P603" s="115" t="n"/>
      <c r="Q603" s="115" t="n"/>
      <c r="R603" s="115" t="n"/>
      <c r="S603" s="115" t="n"/>
      <c r="T603" s="115" t="n"/>
      <c r="U603" s="116" t="n"/>
      <c r="V603" s="116" t="n"/>
      <c r="W603" s="117" t="n"/>
      <c r="X603" s="118" t="n"/>
      <c r="Y603" s="119" t="n"/>
      <c r="Z603" s="120" t="n"/>
      <c r="AA603" s="121" t="n"/>
      <c r="AB603" s="122" t="n"/>
      <c r="AC603" s="117" t="n"/>
      <c r="AD603" s="123">
        <f>IF(SUM($AE603:$AH603)=0,"",SUM($AE603:$AH603))</f>
        <v/>
      </c>
      <c r="AE603" s="123">
        <f>iferror(IF(SUM($AI603:$AZ603)=0,"",SUM($AI603:$AZ603)),"")</f>
        <v/>
      </c>
      <c r="AF603" s="123">
        <f>iferror(IF(SUM($BA603:$BC603)=0,"",SUM($BA603:$BC603)),"")</f>
        <v/>
      </c>
      <c r="AG603" s="123">
        <f>iferror(IF(SUM($BD603:$BF603)=0,"",SUM($BD603:$BF603)),"")</f>
        <v/>
      </c>
      <c r="AH603" s="124">
        <f>iferror(IF(SUM($BG603:$BI603)=0,"",SUM($BG603:$BI603)),"")</f>
        <v/>
      </c>
      <c r="AI603" s="131" t="n"/>
      <c r="AJ603" s="132" t="n"/>
      <c r="AK603" s="132" t="n"/>
      <c r="AL603" s="132" t="n"/>
      <c r="AM603" s="132" t="n"/>
      <c r="AN603" s="132" t="n"/>
      <c r="AO603" s="132" t="n"/>
      <c r="AP603" s="132" t="n"/>
      <c r="AQ603" s="132" t="n"/>
      <c r="AR603" s="132" t="n"/>
      <c r="AS603" s="132" t="n"/>
      <c r="AT603" s="132" t="n"/>
      <c r="AU603" s="132" t="n"/>
      <c r="AV603" s="132" t="n"/>
      <c r="AW603" s="132" t="n"/>
      <c r="AX603" s="132" t="n"/>
      <c r="AY603" s="132" t="n"/>
      <c r="AZ603" s="133" t="n"/>
      <c r="BA603" s="131" t="n"/>
      <c r="BB603" s="132" t="n"/>
      <c r="BC603" s="133" t="n"/>
      <c r="BD603" s="131" t="n"/>
      <c r="BE603" s="132" t="n"/>
      <c r="BF603" s="133" t="n"/>
      <c r="BG603" s="131" t="n"/>
      <c r="BH603" s="132" t="n"/>
      <c r="BI603" s="132" t="n"/>
      <c r="BJ603" s="128">
        <f>iferror(SUM($BK603,($BL603*1.2),($BM603*1.35),($BN603*0.74)),)</f>
        <v/>
      </c>
      <c r="BK603" s="128">
        <f>IFERROR(SUM($BT603:$CK603),)</f>
        <v/>
      </c>
      <c r="BL603" s="129">
        <f>IFERROR(SUM($CL603:$CN603),)</f>
        <v/>
      </c>
      <c r="BM603" s="130">
        <f>IFERROR(SUM($CO603:$CQ603),)</f>
        <v/>
      </c>
      <c r="BN603" s="128">
        <f>IFERROR(SUM($CR603:$CT603),)</f>
        <v/>
      </c>
      <c r="BO603" s="128">
        <f>iferror(SUM($BP603,($BQ603*1.2),($BR603*1.35),($BS603*0.74)),)</f>
        <v/>
      </c>
      <c r="BP603" s="128">
        <f>IFERROR(SUM($CU603:$DL603),)</f>
        <v/>
      </c>
      <c r="BQ603" s="128">
        <f>IFERROR(SUM($DM603:$DO603),)</f>
        <v/>
      </c>
      <c r="BR603" s="128">
        <f>IFERROR(SUM($DP603:$DR603),)</f>
        <v/>
      </c>
      <c r="BS603" s="128">
        <f>IFERROR(SUM($DS603:$DU603),)</f>
        <v/>
      </c>
      <c r="BT603" s="128">
        <f>IFERROR(AI603*$W603,)</f>
        <v/>
      </c>
      <c r="BU603" s="128">
        <f>IFERROR(AJ603*$W603,)</f>
        <v/>
      </c>
      <c r="BV603" s="128">
        <f>IFERROR(AK603*$W603,)</f>
        <v/>
      </c>
      <c r="BW603" s="128">
        <f>IFERROR(AL603*$W603,)</f>
        <v/>
      </c>
      <c r="BX603" s="128">
        <f>IFERROR(AM603*$W603,)</f>
        <v/>
      </c>
      <c r="BY603" s="128">
        <f>IFERROR(AN603*$W603,)</f>
        <v/>
      </c>
      <c r="BZ603" s="128">
        <f>IFERROR(AO603*$W603,)</f>
        <v/>
      </c>
      <c r="CA603" s="128">
        <f>IFERROR(AP603*$W603,)</f>
        <v/>
      </c>
      <c r="CB603" s="128">
        <f>IFERROR(AQ603*$W603,)</f>
        <v/>
      </c>
      <c r="CC603" s="128">
        <f>IFERROR(AR603*$W603,)</f>
        <v/>
      </c>
      <c r="CD603" s="128">
        <f>IFERROR(AS603*$W603,)</f>
        <v/>
      </c>
      <c r="CE603" s="128">
        <f>IFERROR(AT603*$W603,)</f>
        <v/>
      </c>
      <c r="CF603" s="128">
        <f>IFERROR(AU603*$W603,)</f>
        <v/>
      </c>
      <c r="CG603" s="128">
        <f>IFERROR(AV603*$W603,)</f>
        <v/>
      </c>
      <c r="CH603" s="128">
        <f>IFERROR(AW603*$W603,)</f>
        <v/>
      </c>
      <c r="CI603" s="128">
        <f>IFERROR(AX603*$W603,)</f>
        <v/>
      </c>
      <c r="CJ603" s="128">
        <f>IFERROR(AY603*$W603,)</f>
        <v/>
      </c>
      <c r="CK603" s="128">
        <f>IFERROR(AZ603*$W603,)</f>
        <v/>
      </c>
      <c r="CL603" s="129">
        <f>IFERROR(if($Y603=0,BA603*($W603/1.2),BA603*$Y603),"")</f>
        <v/>
      </c>
      <c r="CM603" s="129">
        <f>IFERROR(if($Y603=0,BB603*($W603/1.2),BB603*$Y603),"")</f>
        <v/>
      </c>
      <c r="CN603" s="129">
        <f>IFERROR(if($Y603=0,BC603*($W603/1.2),BC603*$Y603),"")</f>
        <v/>
      </c>
      <c r="CO603" s="130">
        <f>IFERROR(if($AA603=0,($W603/1.35)*BD603,BD603*$AA603),)</f>
        <v/>
      </c>
      <c r="CP603" s="130">
        <f>IFERROR(if($AA603=0,($W603/1.35)*BE603,BE603*$AA603),)</f>
        <v/>
      </c>
      <c r="CQ603" s="130">
        <f>IFERROR(if($AA603=0,($W603/1.35)*BF603,BF603*$AA603),)</f>
        <v/>
      </c>
      <c r="CR603" s="128">
        <f>IFERROR(if($AC603=0,($W603/0.74)*BG603,
BG603*$AC603),)</f>
        <v/>
      </c>
      <c r="CS603" s="128">
        <f>IFERROR(if($AC603=0,($W603/0.74)*BH603,
BH603*$AC603),)</f>
        <v/>
      </c>
      <c r="CT603" s="128">
        <f>IFERROR(if($AC603=0,($W603/0.74)*BI603,
BI603*$AC603),)</f>
        <v/>
      </c>
      <c r="CU603" s="128">
        <f>IFERROR(AI603*$V603,)</f>
        <v/>
      </c>
      <c r="CV603" s="128">
        <f>IFERROR(AJ603*$V603,)</f>
        <v/>
      </c>
      <c r="CW603" s="128">
        <f>IFERROR(AK603*$V603,)</f>
        <v/>
      </c>
      <c r="CX603" s="128">
        <f>IFERROR(AL603*$V603,)</f>
        <v/>
      </c>
      <c r="CY603" s="128">
        <f>IFERROR(AM603*$V603,)</f>
        <v/>
      </c>
      <c r="CZ603" s="128">
        <f>IFERROR(AN603*$V603,)</f>
        <v/>
      </c>
      <c r="DA603" s="128">
        <f>IFERROR(AO603*$V603,)</f>
        <v/>
      </c>
      <c r="DB603" s="128">
        <f>IFERROR(AP603*$V603,)</f>
        <v/>
      </c>
      <c r="DC603" s="128">
        <f>IFERROR(AQ603*$V603,)</f>
        <v/>
      </c>
      <c r="DD603" s="128">
        <f>IFERROR(AR603*$V603,)</f>
        <v/>
      </c>
      <c r="DE603" s="128">
        <f>IFERROR(AS603*$V603,)</f>
        <v/>
      </c>
      <c r="DF603" s="128">
        <f>IFERROR(AT603*$V603,)</f>
        <v/>
      </c>
      <c r="DG603" s="128">
        <f>IFERROR(AU603*$V603,)</f>
        <v/>
      </c>
      <c r="DH603" s="128">
        <f>IFERROR(AV603*$V603,)</f>
        <v/>
      </c>
      <c r="DI603" s="128">
        <f>IFERROR(AW603*$V603,)</f>
        <v/>
      </c>
      <c r="DJ603" s="128">
        <f>IFERROR(AX603*$V603,)</f>
        <v/>
      </c>
      <c r="DK603" s="128">
        <f>IFERROR(AY603*$V603,)</f>
        <v/>
      </c>
      <c r="DL603" s="128">
        <f>IFERROR(AZ603*$V603,)</f>
        <v/>
      </c>
      <c r="DM603" s="129">
        <f>IFERROR(if($X603=0,($V603/1.2)*BA603,
BA603*$X603),)</f>
        <v/>
      </c>
      <c r="DN603" s="129">
        <f>IFERROR(if($X603=0,($V603/1.2)*BB603,
BB603*$X603),)</f>
        <v/>
      </c>
      <c r="DO603" s="129">
        <f>IFERROR(if($X603=0,($V603/1.2)*BC603,
BC603*$X603),)</f>
        <v/>
      </c>
      <c r="DP603" s="130">
        <f>IFERROR(if($Z603=0,($V603/1.35)*BD603,
BD603*$Z603),)</f>
        <v/>
      </c>
      <c r="DQ603" s="130">
        <f>IFERROR(if($Z603=0,($V603/1.35)*BE603,
BE603*$Z603),)</f>
        <v/>
      </c>
      <c r="DR603" s="130">
        <f>IFERROR(if($Z603=0,($V603/1.35)*BF603,
BF603*$Z603),)</f>
        <v/>
      </c>
      <c r="DS603" s="128">
        <f>IFERROR(IF($AB603=0,($V603/0.74)*BG603,
BG603*$AB603),)</f>
        <v/>
      </c>
      <c r="DT603" s="128">
        <f>IFERROR(IF($AB603=0,($V603/0.74)*BH603,
BH603*$AB603),)</f>
        <v/>
      </c>
      <c r="DU603" s="128">
        <f>IFERROR(IF($AB603=0,($V603/0.74)*BI603,
BI603*$AB603),)</f>
        <v/>
      </c>
    </row>
    <row r="604" ht="131.25" customHeight="1" s="162">
      <c r="A604" s="115" t="n"/>
      <c r="B604" s="115" t="n"/>
      <c r="C604" s="115" t="n"/>
      <c r="D604" s="115" t="n"/>
      <c r="E604" s="115" t="n"/>
      <c r="F604" s="115" t="n"/>
      <c r="G604" s="115" t="n"/>
      <c r="H604" s="115" t="n"/>
      <c r="I604" s="115" t="n"/>
      <c r="J604" s="115" t="n"/>
      <c r="K604" s="115" t="n"/>
      <c r="L604" s="115" t="n"/>
      <c r="M604" s="115" t="n"/>
      <c r="N604" s="115" t="n"/>
      <c r="O604" s="115" t="n"/>
      <c r="P604" s="115" t="n"/>
      <c r="Q604" s="115" t="n"/>
      <c r="R604" s="115" t="n"/>
      <c r="S604" s="115" t="n"/>
      <c r="T604" s="115" t="n"/>
      <c r="U604" s="116" t="n"/>
      <c r="V604" s="116" t="n"/>
      <c r="W604" s="117" t="n"/>
      <c r="X604" s="118" t="n"/>
      <c r="Y604" s="119" t="n"/>
      <c r="Z604" s="120" t="n"/>
      <c r="AA604" s="121" t="n"/>
      <c r="AB604" s="122" t="n"/>
      <c r="AC604" s="117" t="n"/>
      <c r="AD604" s="123">
        <f>IF(SUM($AE604:$AH604)=0,"",SUM($AE604:$AH604))</f>
        <v/>
      </c>
      <c r="AE604" s="123">
        <f>iferror(IF(SUM($AI604:$AZ604)=0,"",SUM($AI604:$AZ604)),"")</f>
        <v/>
      </c>
      <c r="AF604" s="123">
        <f>iferror(IF(SUM($BA604:$BC604)=0,"",SUM($BA604:$BC604)),"")</f>
        <v/>
      </c>
      <c r="AG604" s="123">
        <f>iferror(IF(SUM($BD604:$BF604)=0,"",SUM($BD604:$BF604)),"")</f>
        <v/>
      </c>
      <c r="AH604" s="124">
        <f>iferror(IF(SUM($BG604:$BI604)=0,"",SUM($BG604:$BI604)),"")</f>
        <v/>
      </c>
      <c r="AI604" s="131" t="n"/>
      <c r="AJ604" s="132" t="n"/>
      <c r="AK604" s="132" t="n"/>
      <c r="AL604" s="132" t="n"/>
      <c r="AM604" s="132" t="n"/>
      <c r="AN604" s="132" t="n"/>
      <c r="AO604" s="132" t="n"/>
      <c r="AP604" s="132" t="n"/>
      <c r="AQ604" s="132" t="n"/>
      <c r="AR604" s="132" t="n"/>
      <c r="AS604" s="132" t="n"/>
      <c r="AT604" s="132" t="n"/>
      <c r="AU604" s="132" t="n"/>
      <c r="AV604" s="132" t="n"/>
      <c r="AW604" s="132" t="n"/>
      <c r="AX604" s="132" t="n"/>
      <c r="AY604" s="132" t="n"/>
      <c r="AZ604" s="133" t="n"/>
      <c r="BA604" s="131" t="n"/>
      <c r="BB604" s="132" t="n"/>
      <c r="BC604" s="133" t="n"/>
      <c r="BD604" s="131" t="n"/>
      <c r="BE604" s="132" t="n"/>
      <c r="BF604" s="133" t="n"/>
      <c r="BG604" s="131" t="n"/>
      <c r="BH604" s="132" t="n"/>
      <c r="BI604" s="132" t="n"/>
      <c r="BJ604" s="128">
        <f>iferror(SUM($BK604,($BL604*1.2),($BM604*1.35),($BN604*0.74)),)</f>
        <v/>
      </c>
      <c r="BK604" s="128">
        <f>IFERROR(SUM($BT604:$CK604),)</f>
        <v/>
      </c>
      <c r="BL604" s="129">
        <f>IFERROR(SUM($CL604:$CN604),)</f>
        <v/>
      </c>
      <c r="BM604" s="130">
        <f>IFERROR(SUM($CO604:$CQ604),)</f>
        <v/>
      </c>
      <c r="BN604" s="128">
        <f>IFERROR(SUM($CR604:$CT604),)</f>
        <v/>
      </c>
      <c r="BO604" s="128">
        <f>iferror(SUM($BP604,($BQ604*1.2),($BR604*1.35),($BS604*0.74)),)</f>
        <v/>
      </c>
      <c r="BP604" s="128">
        <f>IFERROR(SUM($CU604:$DL604),)</f>
        <v/>
      </c>
      <c r="BQ604" s="128">
        <f>IFERROR(SUM($DM604:$DO604),)</f>
        <v/>
      </c>
      <c r="BR604" s="128">
        <f>IFERROR(SUM($DP604:$DR604),)</f>
        <v/>
      </c>
      <c r="BS604" s="128">
        <f>IFERROR(SUM($DS604:$DU604),)</f>
        <v/>
      </c>
      <c r="BT604" s="128">
        <f>IFERROR(AI604*$W604,)</f>
        <v/>
      </c>
      <c r="BU604" s="128">
        <f>IFERROR(AJ604*$W604,)</f>
        <v/>
      </c>
      <c r="BV604" s="128">
        <f>IFERROR(AK604*$W604,)</f>
        <v/>
      </c>
      <c r="BW604" s="128">
        <f>IFERROR(AL604*$W604,)</f>
        <v/>
      </c>
      <c r="BX604" s="128">
        <f>IFERROR(AM604*$W604,)</f>
        <v/>
      </c>
      <c r="BY604" s="128">
        <f>IFERROR(AN604*$W604,)</f>
        <v/>
      </c>
      <c r="BZ604" s="128">
        <f>IFERROR(AO604*$W604,)</f>
        <v/>
      </c>
      <c r="CA604" s="128">
        <f>IFERROR(AP604*$W604,)</f>
        <v/>
      </c>
      <c r="CB604" s="128">
        <f>IFERROR(AQ604*$W604,)</f>
        <v/>
      </c>
      <c r="CC604" s="128">
        <f>IFERROR(AR604*$W604,)</f>
        <v/>
      </c>
      <c r="CD604" s="128">
        <f>IFERROR(AS604*$W604,)</f>
        <v/>
      </c>
      <c r="CE604" s="128">
        <f>IFERROR(AT604*$W604,)</f>
        <v/>
      </c>
      <c r="CF604" s="128">
        <f>IFERROR(AU604*$W604,)</f>
        <v/>
      </c>
      <c r="CG604" s="128">
        <f>IFERROR(AV604*$W604,)</f>
        <v/>
      </c>
      <c r="CH604" s="128">
        <f>IFERROR(AW604*$W604,)</f>
        <v/>
      </c>
      <c r="CI604" s="128">
        <f>IFERROR(AX604*$W604,)</f>
        <v/>
      </c>
      <c r="CJ604" s="128">
        <f>IFERROR(AY604*$W604,)</f>
        <v/>
      </c>
      <c r="CK604" s="128">
        <f>IFERROR(AZ604*$W604,)</f>
        <v/>
      </c>
      <c r="CL604" s="129">
        <f>IFERROR(if($Y604=0,BA604*($W604/1.2),BA604*$Y604),"")</f>
        <v/>
      </c>
      <c r="CM604" s="129">
        <f>IFERROR(if($Y604=0,BB604*($W604/1.2),BB604*$Y604),"")</f>
        <v/>
      </c>
      <c r="CN604" s="129">
        <f>IFERROR(if($Y604=0,BC604*($W604/1.2),BC604*$Y604),"")</f>
        <v/>
      </c>
      <c r="CO604" s="130">
        <f>IFERROR(if($AA604=0,($W604/1.35)*BD604,BD604*$AA604),)</f>
        <v/>
      </c>
      <c r="CP604" s="130">
        <f>IFERROR(if($AA604=0,($W604/1.35)*BE604,BE604*$AA604),)</f>
        <v/>
      </c>
      <c r="CQ604" s="130">
        <f>IFERROR(if($AA604=0,($W604/1.35)*BF604,BF604*$AA604),)</f>
        <v/>
      </c>
      <c r="CR604" s="128">
        <f>IFERROR(if($AC604=0,($W604/0.74)*BG604,
BG604*$AC604),)</f>
        <v/>
      </c>
      <c r="CS604" s="128">
        <f>IFERROR(if($AC604=0,($W604/0.74)*BH604,
BH604*$AC604),)</f>
        <v/>
      </c>
      <c r="CT604" s="128">
        <f>IFERROR(if($AC604=0,($W604/0.74)*BI604,
BI604*$AC604),)</f>
        <v/>
      </c>
      <c r="CU604" s="128">
        <f>IFERROR(AI604*$V604,)</f>
        <v/>
      </c>
      <c r="CV604" s="128">
        <f>IFERROR(AJ604*$V604,)</f>
        <v/>
      </c>
      <c r="CW604" s="128">
        <f>IFERROR(AK604*$V604,)</f>
        <v/>
      </c>
      <c r="CX604" s="128">
        <f>IFERROR(AL604*$V604,)</f>
        <v/>
      </c>
      <c r="CY604" s="128">
        <f>IFERROR(AM604*$V604,)</f>
        <v/>
      </c>
      <c r="CZ604" s="128">
        <f>IFERROR(AN604*$V604,)</f>
        <v/>
      </c>
      <c r="DA604" s="128">
        <f>IFERROR(AO604*$V604,)</f>
        <v/>
      </c>
      <c r="DB604" s="128">
        <f>IFERROR(AP604*$V604,)</f>
        <v/>
      </c>
      <c r="DC604" s="128">
        <f>IFERROR(AQ604*$V604,)</f>
        <v/>
      </c>
      <c r="DD604" s="128">
        <f>IFERROR(AR604*$V604,)</f>
        <v/>
      </c>
      <c r="DE604" s="128">
        <f>IFERROR(AS604*$V604,)</f>
        <v/>
      </c>
      <c r="DF604" s="128">
        <f>IFERROR(AT604*$V604,)</f>
        <v/>
      </c>
      <c r="DG604" s="128">
        <f>IFERROR(AU604*$V604,)</f>
        <v/>
      </c>
      <c r="DH604" s="128">
        <f>IFERROR(AV604*$V604,)</f>
        <v/>
      </c>
      <c r="DI604" s="128">
        <f>IFERROR(AW604*$V604,)</f>
        <v/>
      </c>
      <c r="DJ604" s="128">
        <f>IFERROR(AX604*$V604,)</f>
        <v/>
      </c>
      <c r="DK604" s="128">
        <f>IFERROR(AY604*$V604,)</f>
        <v/>
      </c>
      <c r="DL604" s="128">
        <f>IFERROR(AZ604*$V604,)</f>
        <v/>
      </c>
      <c r="DM604" s="129">
        <f>IFERROR(if($X604=0,($V604/1.2)*BA604,
BA604*$X604),)</f>
        <v/>
      </c>
      <c r="DN604" s="129">
        <f>IFERROR(if($X604=0,($V604/1.2)*BB604,
BB604*$X604),)</f>
        <v/>
      </c>
      <c r="DO604" s="129">
        <f>IFERROR(if($X604=0,($V604/1.2)*BC604,
BC604*$X604),)</f>
        <v/>
      </c>
      <c r="DP604" s="130">
        <f>IFERROR(if($Z604=0,($V604/1.35)*BD604,
BD604*$Z604),)</f>
        <v/>
      </c>
      <c r="DQ604" s="130">
        <f>IFERROR(if($Z604=0,($V604/1.35)*BE604,
BE604*$Z604),)</f>
        <v/>
      </c>
      <c r="DR604" s="130">
        <f>IFERROR(if($Z604=0,($V604/1.35)*BF604,
BF604*$Z604),)</f>
        <v/>
      </c>
      <c r="DS604" s="128">
        <f>IFERROR(IF($AB604=0,($V604/0.74)*BG604,
BG604*$AB604),)</f>
        <v/>
      </c>
      <c r="DT604" s="128">
        <f>IFERROR(IF($AB604=0,($V604/0.74)*BH604,
BH604*$AB604),)</f>
        <v/>
      </c>
      <c r="DU604" s="128">
        <f>IFERROR(IF($AB604=0,($V604/0.74)*BI604,
BI604*$AB604),)</f>
        <v/>
      </c>
    </row>
    <row r="605" ht="131.25" customHeight="1" s="162">
      <c r="A605" s="115" t="n"/>
      <c r="B605" s="115" t="n"/>
      <c r="C605" s="115" t="n"/>
      <c r="D605" s="115" t="n"/>
      <c r="E605" s="115" t="n"/>
      <c r="F605" s="115" t="n"/>
      <c r="G605" s="115" t="n"/>
      <c r="H605" s="115" t="n"/>
      <c r="I605" s="115" t="n"/>
      <c r="J605" s="115" t="n"/>
      <c r="K605" s="115" t="n"/>
      <c r="L605" s="115" t="n"/>
      <c r="M605" s="115" t="n"/>
      <c r="N605" s="115" t="n"/>
      <c r="O605" s="115" t="n"/>
      <c r="P605" s="115" t="n"/>
      <c r="Q605" s="115" t="n"/>
      <c r="R605" s="115" t="n"/>
      <c r="S605" s="115" t="n"/>
      <c r="T605" s="115" t="n"/>
      <c r="U605" s="116" t="n"/>
      <c r="V605" s="116" t="n"/>
      <c r="W605" s="117" t="n"/>
      <c r="X605" s="118" t="n"/>
      <c r="Y605" s="119" t="n"/>
      <c r="Z605" s="120" t="n"/>
      <c r="AA605" s="121" t="n"/>
      <c r="AB605" s="122" t="n"/>
      <c r="AC605" s="117" t="n"/>
      <c r="AD605" s="123">
        <f>IF(SUM($AE605:$AH605)=0,"",SUM($AE605:$AH605))</f>
        <v/>
      </c>
      <c r="AE605" s="123">
        <f>iferror(IF(SUM($AI605:$AZ605)=0,"",SUM($AI605:$AZ605)),"")</f>
        <v/>
      </c>
      <c r="AF605" s="123">
        <f>iferror(IF(SUM($BA605:$BC605)=0,"",SUM($BA605:$BC605)),"")</f>
        <v/>
      </c>
      <c r="AG605" s="123">
        <f>iferror(IF(SUM($BD605:$BF605)=0,"",SUM($BD605:$BF605)),"")</f>
        <v/>
      </c>
      <c r="AH605" s="124">
        <f>iferror(IF(SUM($BG605:$BI605)=0,"",SUM($BG605:$BI605)),"")</f>
        <v/>
      </c>
      <c r="AI605" s="131" t="n"/>
      <c r="AJ605" s="132" t="n"/>
      <c r="AK605" s="132" t="n"/>
      <c r="AL605" s="132" t="n"/>
      <c r="AM605" s="132" t="n"/>
      <c r="AN605" s="132" t="n"/>
      <c r="AO605" s="132" t="n"/>
      <c r="AP605" s="132" t="n"/>
      <c r="AQ605" s="132" t="n"/>
      <c r="AR605" s="132" t="n"/>
      <c r="AS605" s="132" t="n"/>
      <c r="AT605" s="132" t="n"/>
      <c r="AU605" s="132" t="n"/>
      <c r="AV605" s="132" t="n"/>
      <c r="AW605" s="132" t="n"/>
      <c r="AX605" s="132" t="n"/>
      <c r="AY605" s="132" t="n"/>
      <c r="AZ605" s="133" t="n"/>
      <c r="BA605" s="131" t="n"/>
      <c r="BB605" s="132" t="n"/>
      <c r="BC605" s="133" t="n"/>
      <c r="BD605" s="131" t="n"/>
      <c r="BE605" s="132" t="n"/>
      <c r="BF605" s="133" t="n"/>
      <c r="BG605" s="131" t="n"/>
      <c r="BH605" s="132" t="n"/>
      <c r="BI605" s="132" t="n"/>
      <c r="BJ605" s="128">
        <f>iferror(SUM($BK605,($BL605*1.2),($BM605*1.35),($BN605*0.74)),)</f>
        <v/>
      </c>
      <c r="BK605" s="128">
        <f>IFERROR(SUM($BT605:$CK605),)</f>
        <v/>
      </c>
      <c r="BL605" s="129">
        <f>IFERROR(SUM($CL605:$CN605),)</f>
        <v/>
      </c>
      <c r="BM605" s="130">
        <f>IFERROR(SUM($CO605:$CQ605),)</f>
        <v/>
      </c>
      <c r="BN605" s="128">
        <f>IFERROR(SUM($CR605:$CT605),)</f>
        <v/>
      </c>
      <c r="BO605" s="128">
        <f>iferror(SUM($BP605,($BQ605*1.2),($BR605*1.35),($BS605*0.74)),)</f>
        <v/>
      </c>
      <c r="BP605" s="128">
        <f>IFERROR(SUM($CU605:$DL605),)</f>
        <v/>
      </c>
      <c r="BQ605" s="128">
        <f>IFERROR(SUM($DM605:$DO605),)</f>
        <v/>
      </c>
      <c r="BR605" s="128">
        <f>IFERROR(SUM($DP605:$DR605),)</f>
        <v/>
      </c>
      <c r="BS605" s="128">
        <f>IFERROR(SUM($DS605:$DU605),)</f>
        <v/>
      </c>
      <c r="BT605" s="128">
        <f>IFERROR(AI605*$W605,)</f>
        <v/>
      </c>
      <c r="BU605" s="128">
        <f>IFERROR(AJ605*$W605,)</f>
        <v/>
      </c>
      <c r="BV605" s="128">
        <f>IFERROR(AK605*$W605,)</f>
        <v/>
      </c>
      <c r="BW605" s="128">
        <f>IFERROR(AL605*$W605,)</f>
        <v/>
      </c>
      <c r="BX605" s="128">
        <f>IFERROR(AM605*$W605,)</f>
        <v/>
      </c>
      <c r="BY605" s="128">
        <f>IFERROR(AN605*$W605,)</f>
        <v/>
      </c>
      <c r="BZ605" s="128">
        <f>IFERROR(AO605*$W605,)</f>
        <v/>
      </c>
      <c r="CA605" s="128">
        <f>IFERROR(AP605*$W605,)</f>
        <v/>
      </c>
      <c r="CB605" s="128">
        <f>IFERROR(AQ605*$W605,)</f>
        <v/>
      </c>
      <c r="CC605" s="128">
        <f>IFERROR(AR605*$W605,)</f>
        <v/>
      </c>
      <c r="CD605" s="128">
        <f>IFERROR(AS605*$W605,)</f>
        <v/>
      </c>
      <c r="CE605" s="128">
        <f>IFERROR(AT605*$W605,)</f>
        <v/>
      </c>
      <c r="CF605" s="128">
        <f>IFERROR(AU605*$W605,)</f>
        <v/>
      </c>
      <c r="CG605" s="128">
        <f>IFERROR(AV605*$W605,)</f>
        <v/>
      </c>
      <c r="CH605" s="128">
        <f>IFERROR(AW605*$W605,)</f>
        <v/>
      </c>
      <c r="CI605" s="128">
        <f>IFERROR(AX605*$W605,)</f>
        <v/>
      </c>
      <c r="CJ605" s="128">
        <f>IFERROR(AY605*$W605,)</f>
        <v/>
      </c>
      <c r="CK605" s="128">
        <f>IFERROR(AZ605*$W605,)</f>
        <v/>
      </c>
      <c r="CL605" s="129">
        <f>IFERROR(if($Y605=0,BA605*($W605/1.2),BA605*$Y605),"")</f>
        <v/>
      </c>
      <c r="CM605" s="129">
        <f>IFERROR(if($Y605=0,BB605*($W605/1.2),BB605*$Y605),"")</f>
        <v/>
      </c>
      <c r="CN605" s="129">
        <f>IFERROR(if($Y605=0,BC605*($W605/1.2),BC605*$Y605),"")</f>
        <v/>
      </c>
      <c r="CO605" s="130">
        <f>IFERROR(if($AA605=0,($W605/1.35)*BD605,BD605*$AA605),)</f>
        <v/>
      </c>
      <c r="CP605" s="130">
        <f>IFERROR(if($AA605=0,($W605/1.35)*BE605,BE605*$AA605),)</f>
        <v/>
      </c>
      <c r="CQ605" s="130">
        <f>IFERROR(if($AA605=0,($W605/1.35)*BF605,BF605*$AA605),)</f>
        <v/>
      </c>
      <c r="CR605" s="128">
        <f>IFERROR(if($AC605=0,($W605/0.74)*BG605,
BG605*$AC605),)</f>
        <v/>
      </c>
      <c r="CS605" s="128">
        <f>IFERROR(if($AC605=0,($W605/0.74)*BH605,
BH605*$AC605),)</f>
        <v/>
      </c>
      <c r="CT605" s="128">
        <f>IFERROR(if($AC605=0,($W605/0.74)*BI605,
BI605*$AC605),)</f>
        <v/>
      </c>
      <c r="CU605" s="128">
        <f>IFERROR(AI605*$V605,)</f>
        <v/>
      </c>
      <c r="CV605" s="128">
        <f>IFERROR(AJ605*$V605,)</f>
        <v/>
      </c>
      <c r="CW605" s="128">
        <f>IFERROR(AK605*$V605,)</f>
        <v/>
      </c>
      <c r="CX605" s="128">
        <f>IFERROR(AL605*$V605,)</f>
        <v/>
      </c>
      <c r="CY605" s="128">
        <f>IFERROR(AM605*$V605,)</f>
        <v/>
      </c>
      <c r="CZ605" s="128">
        <f>IFERROR(AN605*$V605,)</f>
        <v/>
      </c>
      <c r="DA605" s="128">
        <f>IFERROR(AO605*$V605,)</f>
        <v/>
      </c>
      <c r="DB605" s="128">
        <f>IFERROR(AP605*$V605,)</f>
        <v/>
      </c>
      <c r="DC605" s="128">
        <f>IFERROR(AQ605*$V605,)</f>
        <v/>
      </c>
      <c r="DD605" s="128">
        <f>IFERROR(AR605*$V605,)</f>
        <v/>
      </c>
      <c r="DE605" s="128">
        <f>IFERROR(AS605*$V605,)</f>
        <v/>
      </c>
      <c r="DF605" s="128">
        <f>IFERROR(AT605*$V605,)</f>
        <v/>
      </c>
      <c r="DG605" s="128">
        <f>IFERROR(AU605*$V605,)</f>
        <v/>
      </c>
      <c r="DH605" s="128">
        <f>IFERROR(AV605*$V605,)</f>
        <v/>
      </c>
      <c r="DI605" s="128">
        <f>IFERROR(AW605*$V605,)</f>
        <v/>
      </c>
      <c r="DJ605" s="128">
        <f>IFERROR(AX605*$V605,)</f>
        <v/>
      </c>
      <c r="DK605" s="128">
        <f>IFERROR(AY605*$V605,)</f>
        <v/>
      </c>
      <c r="DL605" s="128">
        <f>IFERROR(AZ605*$V605,)</f>
        <v/>
      </c>
      <c r="DM605" s="129">
        <f>IFERROR(if($X605=0,($V605/1.2)*BA605,
BA605*$X605),)</f>
        <v/>
      </c>
      <c r="DN605" s="129">
        <f>IFERROR(if($X605=0,($V605/1.2)*BB605,
BB605*$X605),)</f>
        <v/>
      </c>
      <c r="DO605" s="129">
        <f>IFERROR(if($X605=0,($V605/1.2)*BC605,
BC605*$X605),)</f>
        <v/>
      </c>
      <c r="DP605" s="130">
        <f>IFERROR(if($Z605=0,($V605/1.35)*BD605,
BD605*$Z605),)</f>
        <v/>
      </c>
      <c r="DQ605" s="130">
        <f>IFERROR(if($Z605=0,($V605/1.35)*BE605,
BE605*$Z605),)</f>
        <v/>
      </c>
      <c r="DR605" s="130">
        <f>IFERROR(if($Z605=0,($V605/1.35)*BF605,
BF605*$Z605),)</f>
        <v/>
      </c>
      <c r="DS605" s="128">
        <f>IFERROR(IF($AB605=0,($V605/0.74)*BG605,
BG605*$AB605),)</f>
        <v/>
      </c>
      <c r="DT605" s="128">
        <f>IFERROR(IF($AB605=0,($V605/0.74)*BH605,
BH605*$AB605),)</f>
        <v/>
      </c>
      <c r="DU605" s="128">
        <f>IFERROR(IF($AB605=0,($V605/0.74)*BI605,
BI605*$AB605),)</f>
        <v/>
      </c>
    </row>
    <row r="606" ht="131.25" customHeight="1" s="162">
      <c r="A606" s="115" t="n"/>
      <c r="B606" s="115" t="n"/>
      <c r="C606" s="115" t="n"/>
      <c r="D606" s="115" t="n"/>
      <c r="E606" s="115" t="n"/>
      <c r="F606" s="115" t="n"/>
      <c r="G606" s="115" t="n"/>
      <c r="H606" s="115" t="n"/>
      <c r="I606" s="115" t="n"/>
      <c r="J606" s="115" t="n"/>
      <c r="K606" s="115" t="n"/>
      <c r="L606" s="115" t="n"/>
      <c r="M606" s="115" t="n"/>
      <c r="N606" s="115" t="n"/>
      <c r="O606" s="115" t="n"/>
      <c r="P606" s="115" t="n"/>
      <c r="Q606" s="115" t="n"/>
      <c r="R606" s="115" t="n"/>
      <c r="S606" s="115" t="n"/>
      <c r="T606" s="115" t="n"/>
      <c r="U606" s="116" t="n"/>
      <c r="V606" s="116" t="n"/>
      <c r="W606" s="117" t="n"/>
      <c r="X606" s="118" t="n"/>
      <c r="Y606" s="119" t="n"/>
      <c r="Z606" s="120" t="n"/>
      <c r="AA606" s="121" t="n"/>
      <c r="AB606" s="122" t="n"/>
      <c r="AC606" s="117" t="n"/>
      <c r="AD606" s="123">
        <f>IF(SUM($AE606:$AH606)=0,"",SUM($AE606:$AH606))</f>
        <v/>
      </c>
      <c r="AE606" s="123">
        <f>iferror(IF(SUM($AI606:$AZ606)=0,"",SUM($AI606:$AZ606)),"")</f>
        <v/>
      </c>
      <c r="AF606" s="123">
        <f>iferror(IF(SUM($BA606:$BC606)=0,"",SUM($BA606:$BC606)),"")</f>
        <v/>
      </c>
      <c r="AG606" s="123">
        <f>iferror(IF(SUM($BD606:$BF606)=0,"",SUM($BD606:$BF606)),"")</f>
        <v/>
      </c>
      <c r="AH606" s="124">
        <f>iferror(IF(SUM($BG606:$BI606)=0,"",SUM($BG606:$BI606)),"")</f>
        <v/>
      </c>
      <c r="AI606" s="131" t="n"/>
      <c r="AJ606" s="132" t="n"/>
      <c r="AK606" s="132" t="n"/>
      <c r="AL606" s="132" t="n"/>
      <c r="AM606" s="132" t="n"/>
      <c r="AN606" s="132" t="n"/>
      <c r="AO606" s="132" t="n"/>
      <c r="AP606" s="132" t="n"/>
      <c r="AQ606" s="132" t="n"/>
      <c r="AR606" s="132" t="n"/>
      <c r="AS606" s="132" t="n"/>
      <c r="AT606" s="132" t="n"/>
      <c r="AU606" s="132" t="n"/>
      <c r="AV606" s="132" t="n"/>
      <c r="AW606" s="132" t="n"/>
      <c r="AX606" s="132" t="n"/>
      <c r="AY606" s="132" t="n"/>
      <c r="AZ606" s="133" t="n"/>
      <c r="BA606" s="131" t="n"/>
      <c r="BB606" s="132" t="n"/>
      <c r="BC606" s="133" t="n"/>
      <c r="BD606" s="131" t="n"/>
      <c r="BE606" s="132" t="n"/>
      <c r="BF606" s="133" t="n"/>
      <c r="BG606" s="131" t="n"/>
      <c r="BH606" s="132" t="n"/>
      <c r="BI606" s="132" t="n"/>
      <c r="BJ606" s="128">
        <f>iferror(SUM($BK606,($BL606*1.2),($BM606*1.35),($BN606*0.74)),)</f>
        <v/>
      </c>
      <c r="BK606" s="128">
        <f>IFERROR(SUM($BT606:$CK606),)</f>
        <v/>
      </c>
      <c r="BL606" s="129">
        <f>IFERROR(SUM($CL606:$CN606),)</f>
        <v/>
      </c>
      <c r="BM606" s="130">
        <f>IFERROR(SUM($CO606:$CQ606),)</f>
        <v/>
      </c>
      <c r="BN606" s="128">
        <f>IFERROR(SUM($CR606:$CT606),)</f>
        <v/>
      </c>
      <c r="BO606" s="128">
        <f>iferror(SUM($BP606,($BQ606*1.2),($BR606*1.35),($BS606*0.74)),)</f>
        <v/>
      </c>
      <c r="BP606" s="128">
        <f>IFERROR(SUM($CU606:$DL606),)</f>
        <v/>
      </c>
      <c r="BQ606" s="128">
        <f>IFERROR(SUM($DM606:$DO606),)</f>
        <v/>
      </c>
      <c r="BR606" s="128">
        <f>IFERROR(SUM($DP606:$DR606),)</f>
        <v/>
      </c>
      <c r="BS606" s="128">
        <f>IFERROR(SUM($DS606:$DU606),)</f>
        <v/>
      </c>
      <c r="BT606" s="128">
        <f>IFERROR(AI606*$W606,)</f>
        <v/>
      </c>
      <c r="BU606" s="128">
        <f>IFERROR(AJ606*$W606,)</f>
        <v/>
      </c>
      <c r="BV606" s="128">
        <f>IFERROR(AK606*$W606,)</f>
        <v/>
      </c>
      <c r="BW606" s="128">
        <f>IFERROR(AL606*$W606,)</f>
        <v/>
      </c>
      <c r="BX606" s="128">
        <f>IFERROR(AM606*$W606,)</f>
        <v/>
      </c>
      <c r="BY606" s="128">
        <f>IFERROR(AN606*$W606,)</f>
        <v/>
      </c>
      <c r="BZ606" s="128">
        <f>IFERROR(AO606*$W606,)</f>
        <v/>
      </c>
      <c r="CA606" s="128">
        <f>IFERROR(AP606*$W606,)</f>
        <v/>
      </c>
      <c r="CB606" s="128">
        <f>IFERROR(AQ606*$W606,)</f>
        <v/>
      </c>
      <c r="CC606" s="128">
        <f>IFERROR(AR606*$W606,)</f>
        <v/>
      </c>
      <c r="CD606" s="128">
        <f>IFERROR(AS606*$W606,)</f>
        <v/>
      </c>
      <c r="CE606" s="128">
        <f>IFERROR(AT606*$W606,)</f>
        <v/>
      </c>
      <c r="CF606" s="128">
        <f>IFERROR(AU606*$W606,)</f>
        <v/>
      </c>
      <c r="CG606" s="128">
        <f>IFERROR(AV606*$W606,)</f>
        <v/>
      </c>
      <c r="CH606" s="128">
        <f>IFERROR(AW606*$W606,)</f>
        <v/>
      </c>
      <c r="CI606" s="128">
        <f>IFERROR(AX606*$W606,)</f>
        <v/>
      </c>
      <c r="CJ606" s="128">
        <f>IFERROR(AY606*$W606,)</f>
        <v/>
      </c>
      <c r="CK606" s="128">
        <f>IFERROR(AZ606*$W606,)</f>
        <v/>
      </c>
      <c r="CL606" s="129">
        <f>IFERROR(if($Y606=0,BA606*($W606/1.2),BA606*$Y606),"")</f>
        <v/>
      </c>
      <c r="CM606" s="129">
        <f>IFERROR(if($Y606=0,BB606*($W606/1.2),BB606*$Y606),"")</f>
        <v/>
      </c>
      <c r="CN606" s="129">
        <f>IFERROR(if($Y606=0,BC606*($W606/1.2),BC606*$Y606),"")</f>
        <v/>
      </c>
      <c r="CO606" s="130">
        <f>IFERROR(if($AA606=0,($W606/1.35)*BD606,BD606*$AA606),)</f>
        <v/>
      </c>
      <c r="CP606" s="130">
        <f>IFERROR(if($AA606=0,($W606/1.35)*BE606,BE606*$AA606),)</f>
        <v/>
      </c>
      <c r="CQ606" s="130">
        <f>IFERROR(if($AA606=0,($W606/1.35)*BF606,BF606*$AA606),)</f>
        <v/>
      </c>
      <c r="CR606" s="128">
        <f>IFERROR(if($AC606=0,($W606/0.74)*BG606,
BG606*$AC606),)</f>
        <v/>
      </c>
      <c r="CS606" s="128">
        <f>IFERROR(if($AC606=0,($W606/0.74)*BH606,
BH606*$AC606),)</f>
        <v/>
      </c>
      <c r="CT606" s="128">
        <f>IFERROR(if($AC606=0,($W606/0.74)*BI606,
BI606*$AC606),)</f>
        <v/>
      </c>
      <c r="CU606" s="128">
        <f>IFERROR(AI606*$V606,)</f>
        <v/>
      </c>
      <c r="CV606" s="128">
        <f>IFERROR(AJ606*$V606,)</f>
        <v/>
      </c>
      <c r="CW606" s="128">
        <f>IFERROR(AK606*$V606,)</f>
        <v/>
      </c>
      <c r="CX606" s="128">
        <f>IFERROR(AL606*$V606,)</f>
        <v/>
      </c>
      <c r="CY606" s="128">
        <f>IFERROR(AM606*$V606,)</f>
        <v/>
      </c>
      <c r="CZ606" s="128">
        <f>IFERROR(AN606*$V606,)</f>
        <v/>
      </c>
      <c r="DA606" s="128">
        <f>IFERROR(AO606*$V606,)</f>
        <v/>
      </c>
      <c r="DB606" s="128">
        <f>IFERROR(AP606*$V606,)</f>
        <v/>
      </c>
      <c r="DC606" s="128">
        <f>IFERROR(AQ606*$V606,)</f>
        <v/>
      </c>
      <c r="DD606" s="128">
        <f>IFERROR(AR606*$V606,)</f>
        <v/>
      </c>
      <c r="DE606" s="128">
        <f>IFERROR(AS606*$V606,)</f>
        <v/>
      </c>
      <c r="DF606" s="128">
        <f>IFERROR(AT606*$V606,)</f>
        <v/>
      </c>
      <c r="DG606" s="128">
        <f>IFERROR(AU606*$V606,)</f>
        <v/>
      </c>
      <c r="DH606" s="128">
        <f>IFERROR(AV606*$V606,)</f>
        <v/>
      </c>
      <c r="DI606" s="128">
        <f>IFERROR(AW606*$V606,)</f>
        <v/>
      </c>
      <c r="DJ606" s="128">
        <f>IFERROR(AX606*$V606,)</f>
        <v/>
      </c>
      <c r="DK606" s="128">
        <f>IFERROR(AY606*$V606,)</f>
        <v/>
      </c>
      <c r="DL606" s="128">
        <f>IFERROR(AZ606*$V606,)</f>
        <v/>
      </c>
      <c r="DM606" s="129">
        <f>IFERROR(if($X606=0,($V606/1.2)*BA606,
BA606*$X606),)</f>
        <v/>
      </c>
      <c r="DN606" s="129">
        <f>IFERROR(if($X606=0,($V606/1.2)*BB606,
BB606*$X606),)</f>
        <v/>
      </c>
      <c r="DO606" s="129">
        <f>IFERROR(if($X606=0,($V606/1.2)*BC606,
BC606*$X606),)</f>
        <v/>
      </c>
      <c r="DP606" s="130">
        <f>IFERROR(if($Z606=0,($V606/1.35)*BD606,
BD606*$Z606),)</f>
        <v/>
      </c>
      <c r="DQ606" s="130">
        <f>IFERROR(if($Z606=0,($V606/1.35)*BE606,
BE606*$Z606),)</f>
        <v/>
      </c>
      <c r="DR606" s="130">
        <f>IFERROR(if($Z606=0,($V606/1.35)*BF606,
BF606*$Z606),)</f>
        <v/>
      </c>
      <c r="DS606" s="128">
        <f>IFERROR(IF($AB606=0,($V606/0.74)*BG606,
BG606*$AB606),)</f>
        <v/>
      </c>
      <c r="DT606" s="128">
        <f>IFERROR(IF($AB606=0,($V606/0.74)*BH606,
BH606*$AB606),)</f>
        <v/>
      </c>
      <c r="DU606" s="128">
        <f>IFERROR(IF($AB606=0,($V606/0.74)*BI606,
BI606*$AB606),)</f>
        <v/>
      </c>
    </row>
    <row r="607" ht="131.25" customHeight="1" s="162">
      <c r="A607" s="115" t="n"/>
      <c r="B607" s="115" t="n"/>
      <c r="C607" s="115" t="n"/>
      <c r="D607" s="115" t="n"/>
      <c r="E607" s="115" t="n"/>
      <c r="F607" s="115" t="n"/>
      <c r="G607" s="115" t="n"/>
      <c r="H607" s="115" t="n"/>
      <c r="I607" s="115" t="n"/>
      <c r="J607" s="115" t="n"/>
      <c r="K607" s="115" t="n"/>
      <c r="L607" s="115" t="n"/>
      <c r="M607" s="115" t="n"/>
      <c r="N607" s="115" t="n"/>
      <c r="O607" s="115" t="n"/>
      <c r="P607" s="115" t="n"/>
      <c r="Q607" s="115" t="n"/>
      <c r="R607" s="115" t="n"/>
      <c r="S607" s="115" t="n"/>
      <c r="T607" s="115" t="n"/>
      <c r="U607" s="116" t="n"/>
      <c r="V607" s="116" t="n"/>
      <c r="W607" s="117" t="n"/>
      <c r="X607" s="118" t="n"/>
      <c r="Y607" s="119" t="n"/>
      <c r="Z607" s="120" t="n"/>
      <c r="AA607" s="121" t="n"/>
      <c r="AB607" s="122" t="n"/>
      <c r="AC607" s="117" t="n"/>
      <c r="AD607" s="123">
        <f>IF(SUM($AE607:$AH607)=0,"",SUM($AE607:$AH607))</f>
        <v/>
      </c>
      <c r="AE607" s="123">
        <f>iferror(IF(SUM($AI607:$AZ607)=0,"",SUM($AI607:$AZ607)),"")</f>
        <v/>
      </c>
      <c r="AF607" s="123">
        <f>iferror(IF(SUM($BA607:$BC607)=0,"",SUM($BA607:$BC607)),"")</f>
        <v/>
      </c>
      <c r="AG607" s="123">
        <f>iferror(IF(SUM($BD607:$BF607)=0,"",SUM($BD607:$BF607)),"")</f>
        <v/>
      </c>
      <c r="AH607" s="124">
        <f>iferror(IF(SUM($BG607:$BI607)=0,"",SUM($BG607:$BI607)),"")</f>
        <v/>
      </c>
      <c r="AI607" s="131" t="n"/>
      <c r="AJ607" s="132" t="n"/>
      <c r="AK607" s="132" t="n"/>
      <c r="AL607" s="132" t="n"/>
      <c r="AM607" s="132" t="n"/>
      <c r="AN607" s="132" t="n"/>
      <c r="AO607" s="132" t="n"/>
      <c r="AP607" s="132" t="n"/>
      <c r="AQ607" s="132" t="n"/>
      <c r="AR607" s="132" t="n"/>
      <c r="AS607" s="132" t="n"/>
      <c r="AT607" s="132" t="n"/>
      <c r="AU607" s="132" t="n"/>
      <c r="AV607" s="132" t="n"/>
      <c r="AW607" s="132" t="n"/>
      <c r="AX607" s="132" t="n"/>
      <c r="AY607" s="132" t="n"/>
      <c r="AZ607" s="133" t="n"/>
      <c r="BA607" s="131" t="n"/>
      <c r="BB607" s="132" t="n"/>
      <c r="BC607" s="133" t="n"/>
      <c r="BD607" s="131" t="n"/>
      <c r="BE607" s="132" t="n"/>
      <c r="BF607" s="133" t="n"/>
      <c r="BG607" s="131" t="n"/>
      <c r="BH607" s="132" t="n"/>
      <c r="BI607" s="132" t="n"/>
      <c r="BJ607" s="128">
        <f>iferror(SUM($BK607,($BL607*1.2),($BM607*1.35),($BN607*0.74)),)</f>
        <v/>
      </c>
      <c r="BK607" s="128">
        <f>IFERROR(SUM($BT607:$CK607),)</f>
        <v/>
      </c>
      <c r="BL607" s="129">
        <f>IFERROR(SUM($CL607:$CN607),)</f>
        <v/>
      </c>
      <c r="BM607" s="130">
        <f>IFERROR(SUM($CO607:$CQ607),)</f>
        <v/>
      </c>
      <c r="BN607" s="128">
        <f>IFERROR(SUM($CR607:$CT607),)</f>
        <v/>
      </c>
      <c r="BO607" s="128">
        <f>iferror(SUM($BP607,($BQ607*1.2),($BR607*1.35),($BS607*0.74)),)</f>
        <v/>
      </c>
      <c r="BP607" s="128">
        <f>IFERROR(SUM($CU607:$DL607),)</f>
        <v/>
      </c>
      <c r="BQ607" s="128">
        <f>IFERROR(SUM($DM607:$DO607),)</f>
        <v/>
      </c>
      <c r="BR607" s="128">
        <f>IFERROR(SUM($DP607:$DR607),)</f>
        <v/>
      </c>
      <c r="BS607" s="128">
        <f>IFERROR(SUM($DS607:$DU607),)</f>
        <v/>
      </c>
      <c r="BT607" s="128">
        <f>IFERROR(AI607*$W607,)</f>
        <v/>
      </c>
      <c r="BU607" s="128">
        <f>IFERROR(AJ607*$W607,)</f>
        <v/>
      </c>
      <c r="BV607" s="128">
        <f>IFERROR(AK607*$W607,)</f>
        <v/>
      </c>
      <c r="BW607" s="128">
        <f>IFERROR(AL607*$W607,)</f>
        <v/>
      </c>
      <c r="BX607" s="128">
        <f>IFERROR(AM607*$W607,)</f>
        <v/>
      </c>
      <c r="BY607" s="128">
        <f>IFERROR(AN607*$W607,)</f>
        <v/>
      </c>
      <c r="BZ607" s="128">
        <f>IFERROR(AO607*$W607,)</f>
        <v/>
      </c>
      <c r="CA607" s="128">
        <f>IFERROR(AP607*$W607,)</f>
        <v/>
      </c>
      <c r="CB607" s="128">
        <f>IFERROR(AQ607*$W607,)</f>
        <v/>
      </c>
      <c r="CC607" s="128">
        <f>IFERROR(AR607*$W607,)</f>
        <v/>
      </c>
      <c r="CD607" s="128">
        <f>IFERROR(AS607*$W607,)</f>
        <v/>
      </c>
      <c r="CE607" s="128">
        <f>IFERROR(AT607*$W607,)</f>
        <v/>
      </c>
      <c r="CF607" s="128">
        <f>IFERROR(AU607*$W607,)</f>
        <v/>
      </c>
      <c r="CG607" s="128">
        <f>IFERROR(AV607*$W607,)</f>
        <v/>
      </c>
      <c r="CH607" s="128">
        <f>IFERROR(AW607*$W607,)</f>
        <v/>
      </c>
      <c r="CI607" s="128">
        <f>IFERROR(AX607*$W607,)</f>
        <v/>
      </c>
      <c r="CJ607" s="128">
        <f>IFERROR(AY607*$W607,)</f>
        <v/>
      </c>
      <c r="CK607" s="128">
        <f>IFERROR(AZ607*$W607,)</f>
        <v/>
      </c>
      <c r="CL607" s="129">
        <f>IFERROR(if($Y607=0,BA607*($W607/1.2),BA607*$Y607),"")</f>
        <v/>
      </c>
      <c r="CM607" s="129">
        <f>IFERROR(if($Y607=0,BB607*($W607/1.2),BB607*$Y607),"")</f>
        <v/>
      </c>
      <c r="CN607" s="129">
        <f>IFERROR(if($Y607=0,BC607*($W607/1.2),BC607*$Y607),"")</f>
        <v/>
      </c>
      <c r="CO607" s="130">
        <f>IFERROR(if($AA607=0,($W607/1.35)*BD607,BD607*$AA607),)</f>
        <v/>
      </c>
      <c r="CP607" s="130">
        <f>IFERROR(if($AA607=0,($W607/1.35)*BE607,BE607*$AA607),)</f>
        <v/>
      </c>
      <c r="CQ607" s="130">
        <f>IFERROR(if($AA607=0,($W607/1.35)*BF607,BF607*$AA607),)</f>
        <v/>
      </c>
      <c r="CR607" s="128">
        <f>IFERROR(if($AC607=0,($W607/0.74)*BG607,
BG607*$AC607),)</f>
        <v/>
      </c>
      <c r="CS607" s="128">
        <f>IFERROR(if($AC607=0,($W607/0.74)*BH607,
BH607*$AC607),)</f>
        <v/>
      </c>
      <c r="CT607" s="128">
        <f>IFERROR(if($AC607=0,($W607/0.74)*BI607,
BI607*$AC607),)</f>
        <v/>
      </c>
      <c r="CU607" s="128">
        <f>IFERROR(AI607*$V607,)</f>
        <v/>
      </c>
      <c r="CV607" s="128">
        <f>IFERROR(AJ607*$V607,)</f>
        <v/>
      </c>
      <c r="CW607" s="128">
        <f>IFERROR(AK607*$V607,)</f>
        <v/>
      </c>
      <c r="CX607" s="128">
        <f>IFERROR(AL607*$V607,)</f>
        <v/>
      </c>
      <c r="CY607" s="128">
        <f>IFERROR(AM607*$V607,)</f>
        <v/>
      </c>
      <c r="CZ607" s="128">
        <f>IFERROR(AN607*$V607,)</f>
        <v/>
      </c>
      <c r="DA607" s="128">
        <f>IFERROR(AO607*$V607,)</f>
        <v/>
      </c>
      <c r="DB607" s="128">
        <f>IFERROR(AP607*$V607,)</f>
        <v/>
      </c>
      <c r="DC607" s="128">
        <f>IFERROR(AQ607*$V607,)</f>
        <v/>
      </c>
      <c r="DD607" s="128">
        <f>IFERROR(AR607*$V607,)</f>
        <v/>
      </c>
      <c r="DE607" s="128">
        <f>IFERROR(AS607*$V607,)</f>
        <v/>
      </c>
      <c r="DF607" s="128">
        <f>IFERROR(AT607*$V607,)</f>
        <v/>
      </c>
      <c r="DG607" s="128">
        <f>IFERROR(AU607*$V607,)</f>
        <v/>
      </c>
      <c r="DH607" s="128">
        <f>IFERROR(AV607*$V607,)</f>
        <v/>
      </c>
      <c r="DI607" s="128">
        <f>IFERROR(AW607*$V607,)</f>
        <v/>
      </c>
      <c r="DJ607" s="128">
        <f>IFERROR(AX607*$V607,)</f>
        <v/>
      </c>
      <c r="DK607" s="128">
        <f>IFERROR(AY607*$V607,)</f>
        <v/>
      </c>
      <c r="DL607" s="128">
        <f>IFERROR(AZ607*$V607,)</f>
        <v/>
      </c>
      <c r="DM607" s="129">
        <f>IFERROR(if($X607=0,($V607/1.2)*BA607,
BA607*$X607),)</f>
        <v/>
      </c>
      <c r="DN607" s="129">
        <f>IFERROR(if($X607=0,($V607/1.2)*BB607,
BB607*$X607),)</f>
        <v/>
      </c>
      <c r="DO607" s="129">
        <f>IFERROR(if($X607=0,($V607/1.2)*BC607,
BC607*$X607),)</f>
        <v/>
      </c>
      <c r="DP607" s="130">
        <f>IFERROR(if($Z607=0,($V607/1.35)*BD607,
BD607*$Z607),)</f>
        <v/>
      </c>
      <c r="DQ607" s="130">
        <f>IFERROR(if($Z607=0,($V607/1.35)*BE607,
BE607*$Z607),)</f>
        <v/>
      </c>
      <c r="DR607" s="130">
        <f>IFERROR(if($Z607=0,($V607/1.35)*BF607,
BF607*$Z607),)</f>
        <v/>
      </c>
      <c r="DS607" s="128">
        <f>IFERROR(IF($AB607=0,($V607/0.74)*BG607,
BG607*$AB607),)</f>
        <v/>
      </c>
      <c r="DT607" s="128">
        <f>IFERROR(IF($AB607=0,($V607/0.74)*BH607,
BH607*$AB607),)</f>
        <v/>
      </c>
      <c r="DU607" s="128">
        <f>IFERROR(IF($AB607=0,($V607/0.74)*BI607,
BI607*$AB607),)</f>
        <v/>
      </c>
    </row>
    <row r="608" ht="131.25" customHeight="1" s="162">
      <c r="A608" s="115" t="n"/>
      <c r="B608" s="115" t="n"/>
      <c r="C608" s="115" t="n"/>
      <c r="D608" s="115" t="n"/>
      <c r="E608" s="115" t="n"/>
      <c r="F608" s="115" t="n"/>
      <c r="G608" s="115" t="n"/>
      <c r="H608" s="115" t="n"/>
      <c r="I608" s="115" t="n"/>
      <c r="J608" s="115" t="n"/>
      <c r="K608" s="115" t="n"/>
      <c r="L608" s="115" t="n"/>
      <c r="M608" s="115" t="n"/>
      <c r="N608" s="115" t="n"/>
      <c r="O608" s="115" t="n"/>
      <c r="P608" s="115" t="n"/>
      <c r="Q608" s="115" t="n"/>
      <c r="R608" s="115" t="n"/>
      <c r="S608" s="115" t="n"/>
      <c r="T608" s="115" t="n"/>
      <c r="U608" s="116" t="n"/>
      <c r="V608" s="116" t="n"/>
      <c r="W608" s="117" t="n"/>
      <c r="X608" s="118" t="n"/>
      <c r="Y608" s="119" t="n"/>
      <c r="Z608" s="120" t="n"/>
      <c r="AA608" s="121" t="n"/>
      <c r="AB608" s="122" t="n"/>
      <c r="AC608" s="117" t="n"/>
      <c r="AD608" s="123">
        <f>IF(SUM($AE608:$AH608)=0,"",SUM($AE608:$AH608))</f>
        <v/>
      </c>
      <c r="AE608" s="123">
        <f>iferror(IF(SUM($AI608:$AZ608)=0,"",SUM($AI608:$AZ608)),"")</f>
        <v/>
      </c>
      <c r="AF608" s="123">
        <f>iferror(IF(SUM($BA608:$BC608)=0,"",SUM($BA608:$BC608)),"")</f>
        <v/>
      </c>
      <c r="AG608" s="123">
        <f>iferror(IF(SUM($BD608:$BF608)=0,"",SUM($BD608:$BF608)),"")</f>
        <v/>
      </c>
      <c r="AH608" s="124">
        <f>iferror(IF(SUM($BG608:$BI608)=0,"",SUM($BG608:$BI608)),"")</f>
        <v/>
      </c>
      <c r="AI608" s="131" t="n"/>
      <c r="AJ608" s="132" t="n"/>
      <c r="AK608" s="132" t="n"/>
      <c r="AL608" s="132" t="n"/>
      <c r="AM608" s="132" t="n"/>
      <c r="AN608" s="132" t="n"/>
      <c r="AO608" s="132" t="n"/>
      <c r="AP608" s="132" t="n"/>
      <c r="AQ608" s="132" t="n"/>
      <c r="AR608" s="132" t="n"/>
      <c r="AS608" s="132" t="n"/>
      <c r="AT608" s="132" t="n"/>
      <c r="AU608" s="132" t="n"/>
      <c r="AV608" s="132" t="n"/>
      <c r="AW608" s="132" t="n"/>
      <c r="AX608" s="132" t="n"/>
      <c r="AY608" s="132" t="n"/>
      <c r="AZ608" s="133" t="n"/>
      <c r="BA608" s="131" t="n"/>
      <c r="BB608" s="132" t="n"/>
      <c r="BC608" s="133" t="n"/>
      <c r="BD608" s="131" t="n"/>
      <c r="BE608" s="132" t="n"/>
      <c r="BF608" s="133" t="n"/>
      <c r="BG608" s="131" t="n"/>
      <c r="BH608" s="132" t="n"/>
      <c r="BI608" s="132" t="n"/>
      <c r="BJ608" s="128">
        <f>iferror(SUM($BK608,($BL608*1.2),($BM608*1.35),($BN608*0.74)),)</f>
        <v/>
      </c>
      <c r="BK608" s="128">
        <f>IFERROR(SUM($BT608:$CK608),)</f>
        <v/>
      </c>
      <c r="BL608" s="129">
        <f>IFERROR(SUM($CL608:$CN608),)</f>
        <v/>
      </c>
      <c r="BM608" s="130">
        <f>IFERROR(SUM($CO608:$CQ608),)</f>
        <v/>
      </c>
      <c r="BN608" s="128">
        <f>IFERROR(SUM($CR608:$CT608),)</f>
        <v/>
      </c>
      <c r="BO608" s="128">
        <f>iferror(SUM($BP608,($BQ608*1.2),($BR608*1.35),($BS608*0.74)),)</f>
        <v/>
      </c>
      <c r="BP608" s="128">
        <f>IFERROR(SUM($CU608:$DL608),)</f>
        <v/>
      </c>
      <c r="BQ608" s="128">
        <f>IFERROR(SUM($DM608:$DO608),)</f>
        <v/>
      </c>
      <c r="BR608" s="128">
        <f>IFERROR(SUM($DP608:$DR608),)</f>
        <v/>
      </c>
      <c r="BS608" s="128">
        <f>IFERROR(SUM($DS608:$DU608),)</f>
        <v/>
      </c>
      <c r="BT608" s="128">
        <f>IFERROR(AI608*$W608,)</f>
        <v/>
      </c>
      <c r="BU608" s="128">
        <f>IFERROR(AJ608*$W608,)</f>
        <v/>
      </c>
      <c r="BV608" s="128">
        <f>IFERROR(AK608*$W608,)</f>
        <v/>
      </c>
      <c r="BW608" s="128">
        <f>IFERROR(AL608*$W608,)</f>
        <v/>
      </c>
      <c r="BX608" s="128">
        <f>IFERROR(AM608*$W608,)</f>
        <v/>
      </c>
      <c r="BY608" s="128">
        <f>IFERROR(AN608*$W608,)</f>
        <v/>
      </c>
      <c r="BZ608" s="128">
        <f>IFERROR(AO608*$W608,)</f>
        <v/>
      </c>
      <c r="CA608" s="128">
        <f>IFERROR(AP608*$W608,)</f>
        <v/>
      </c>
      <c r="CB608" s="128">
        <f>IFERROR(AQ608*$W608,)</f>
        <v/>
      </c>
      <c r="CC608" s="128">
        <f>IFERROR(AR608*$W608,)</f>
        <v/>
      </c>
      <c r="CD608" s="128">
        <f>IFERROR(AS608*$W608,)</f>
        <v/>
      </c>
      <c r="CE608" s="128">
        <f>IFERROR(AT608*$W608,)</f>
        <v/>
      </c>
      <c r="CF608" s="128">
        <f>IFERROR(AU608*$W608,)</f>
        <v/>
      </c>
      <c r="CG608" s="128">
        <f>IFERROR(AV608*$W608,)</f>
        <v/>
      </c>
      <c r="CH608" s="128">
        <f>IFERROR(AW608*$W608,)</f>
        <v/>
      </c>
      <c r="CI608" s="128">
        <f>IFERROR(AX608*$W608,)</f>
        <v/>
      </c>
      <c r="CJ608" s="128">
        <f>IFERROR(AY608*$W608,)</f>
        <v/>
      </c>
      <c r="CK608" s="128">
        <f>IFERROR(AZ608*$W608,)</f>
        <v/>
      </c>
      <c r="CL608" s="129">
        <f>IFERROR(if($Y608=0,BA608*($W608/1.2),BA608*$Y608),"")</f>
        <v/>
      </c>
      <c r="CM608" s="129">
        <f>IFERROR(if($Y608=0,BB608*($W608/1.2),BB608*$Y608),"")</f>
        <v/>
      </c>
      <c r="CN608" s="129">
        <f>IFERROR(if($Y608=0,BC608*($W608/1.2),BC608*$Y608),"")</f>
        <v/>
      </c>
      <c r="CO608" s="130">
        <f>IFERROR(if($AA608=0,($W608/1.35)*BD608,BD608*$AA608),)</f>
        <v/>
      </c>
      <c r="CP608" s="130">
        <f>IFERROR(if($AA608=0,($W608/1.35)*BE608,BE608*$AA608),)</f>
        <v/>
      </c>
      <c r="CQ608" s="130">
        <f>IFERROR(if($AA608=0,($W608/1.35)*BF608,BF608*$AA608),)</f>
        <v/>
      </c>
      <c r="CR608" s="128">
        <f>IFERROR(if($AC608=0,($W608/0.74)*BG608,
BG608*$AC608),)</f>
        <v/>
      </c>
      <c r="CS608" s="128">
        <f>IFERROR(if($AC608=0,($W608/0.74)*BH608,
BH608*$AC608),)</f>
        <v/>
      </c>
      <c r="CT608" s="128">
        <f>IFERROR(if($AC608=0,($W608/0.74)*BI608,
BI608*$AC608),)</f>
        <v/>
      </c>
      <c r="CU608" s="128">
        <f>IFERROR(AI608*$V608,)</f>
        <v/>
      </c>
      <c r="CV608" s="128">
        <f>IFERROR(AJ608*$V608,)</f>
        <v/>
      </c>
      <c r="CW608" s="128">
        <f>IFERROR(AK608*$V608,)</f>
        <v/>
      </c>
      <c r="CX608" s="128">
        <f>IFERROR(AL608*$V608,)</f>
        <v/>
      </c>
      <c r="CY608" s="128">
        <f>IFERROR(AM608*$V608,)</f>
        <v/>
      </c>
      <c r="CZ608" s="128">
        <f>IFERROR(AN608*$V608,)</f>
        <v/>
      </c>
      <c r="DA608" s="128">
        <f>IFERROR(AO608*$V608,)</f>
        <v/>
      </c>
      <c r="DB608" s="128">
        <f>IFERROR(AP608*$V608,)</f>
        <v/>
      </c>
      <c r="DC608" s="128">
        <f>IFERROR(AQ608*$V608,)</f>
        <v/>
      </c>
      <c r="DD608" s="128">
        <f>IFERROR(AR608*$V608,)</f>
        <v/>
      </c>
      <c r="DE608" s="128">
        <f>IFERROR(AS608*$V608,)</f>
        <v/>
      </c>
      <c r="DF608" s="128">
        <f>IFERROR(AT608*$V608,)</f>
        <v/>
      </c>
      <c r="DG608" s="128">
        <f>IFERROR(AU608*$V608,)</f>
        <v/>
      </c>
      <c r="DH608" s="128">
        <f>IFERROR(AV608*$V608,)</f>
        <v/>
      </c>
      <c r="DI608" s="128">
        <f>IFERROR(AW608*$V608,)</f>
        <v/>
      </c>
      <c r="DJ608" s="128">
        <f>IFERROR(AX608*$V608,)</f>
        <v/>
      </c>
      <c r="DK608" s="128">
        <f>IFERROR(AY608*$V608,)</f>
        <v/>
      </c>
      <c r="DL608" s="128">
        <f>IFERROR(AZ608*$V608,)</f>
        <v/>
      </c>
      <c r="DM608" s="129">
        <f>IFERROR(if($X608=0,($V608/1.2)*BA608,
BA608*$X608),)</f>
        <v/>
      </c>
      <c r="DN608" s="129">
        <f>IFERROR(if($X608=0,($V608/1.2)*BB608,
BB608*$X608),)</f>
        <v/>
      </c>
      <c r="DO608" s="129">
        <f>IFERROR(if($X608=0,($V608/1.2)*BC608,
BC608*$X608),)</f>
        <v/>
      </c>
      <c r="DP608" s="130">
        <f>IFERROR(if($Z608=0,($V608/1.35)*BD608,
BD608*$Z608),)</f>
        <v/>
      </c>
      <c r="DQ608" s="130">
        <f>IFERROR(if($Z608=0,($V608/1.35)*BE608,
BE608*$Z608),)</f>
        <v/>
      </c>
      <c r="DR608" s="130">
        <f>IFERROR(if($Z608=0,($V608/1.35)*BF608,
BF608*$Z608),)</f>
        <v/>
      </c>
      <c r="DS608" s="128">
        <f>IFERROR(IF($AB608=0,($V608/0.74)*BG608,
BG608*$AB608),)</f>
        <v/>
      </c>
      <c r="DT608" s="128">
        <f>IFERROR(IF($AB608=0,($V608/0.74)*BH608,
BH608*$AB608),)</f>
        <v/>
      </c>
      <c r="DU608" s="128">
        <f>IFERROR(IF($AB608=0,($V608/0.74)*BI608,
BI608*$AB608),)</f>
        <v/>
      </c>
    </row>
    <row r="609" ht="131.25" customHeight="1" s="162">
      <c r="A609" s="115" t="n"/>
      <c r="B609" s="115" t="n"/>
      <c r="C609" s="115" t="n"/>
      <c r="D609" s="115" t="n"/>
      <c r="E609" s="115" t="n"/>
      <c r="F609" s="115" t="n"/>
      <c r="G609" s="115" t="n"/>
      <c r="H609" s="115" t="n"/>
      <c r="I609" s="115" t="n"/>
      <c r="J609" s="115" t="n"/>
      <c r="K609" s="115" t="n"/>
      <c r="L609" s="115" t="n"/>
      <c r="M609" s="115" t="n"/>
      <c r="N609" s="115" t="n"/>
      <c r="O609" s="115" t="n"/>
      <c r="P609" s="115" t="n"/>
      <c r="Q609" s="115" t="n"/>
      <c r="R609" s="115" t="n"/>
      <c r="S609" s="115" t="n"/>
      <c r="T609" s="115" t="n"/>
      <c r="U609" s="116" t="n"/>
      <c r="V609" s="116" t="n"/>
      <c r="W609" s="117" t="n"/>
      <c r="X609" s="118" t="n"/>
      <c r="Y609" s="119" t="n"/>
      <c r="Z609" s="120" t="n"/>
      <c r="AA609" s="121" t="n"/>
      <c r="AB609" s="122" t="n"/>
      <c r="AC609" s="117" t="n"/>
      <c r="AD609" s="123">
        <f>IF(SUM($AE609:$AH609)=0,"",SUM($AE609:$AH609))</f>
        <v/>
      </c>
      <c r="AE609" s="123">
        <f>iferror(IF(SUM($AI609:$AZ609)=0,"",SUM($AI609:$AZ609)),"")</f>
        <v/>
      </c>
      <c r="AF609" s="123">
        <f>iferror(IF(SUM($BA609:$BC609)=0,"",SUM($BA609:$BC609)),"")</f>
        <v/>
      </c>
      <c r="AG609" s="123">
        <f>iferror(IF(SUM($BD609:$BF609)=0,"",SUM($BD609:$BF609)),"")</f>
        <v/>
      </c>
      <c r="AH609" s="124">
        <f>iferror(IF(SUM($BG609:$BI609)=0,"",SUM($BG609:$BI609)),"")</f>
        <v/>
      </c>
      <c r="AI609" s="131" t="n"/>
      <c r="AJ609" s="132" t="n"/>
      <c r="AK609" s="132" t="n"/>
      <c r="AL609" s="132" t="n"/>
      <c r="AM609" s="132" t="n"/>
      <c r="AN609" s="132" t="n"/>
      <c r="AO609" s="132" t="n"/>
      <c r="AP609" s="132" t="n"/>
      <c r="AQ609" s="132" t="n"/>
      <c r="AR609" s="132" t="n"/>
      <c r="AS609" s="132" t="n"/>
      <c r="AT609" s="132" t="n"/>
      <c r="AU609" s="132" t="n"/>
      <c r="AV609" s="132" t="n"/>
      <c r="AW609" s="132" t="n"/>
      <c r="AX609" s="132" t="n"/>
      <c r="AY609" s="132" t="n"/>
      <c r="AZ609" s="133" t="n"/>
      <c r="BA609" s="131" t="n"/>
      <c r="BB609" s="132" t="n"/>
      <c r="BC609" s="133" t="n"/>
      <c r="BD609" s="131" t="n"/>
      <c r="BE609" s="132" t="n"/>
      <c r="BF609" s="133" t="n"/>
      <c r="BG609" s="131" t="n"/>
      <c r="BH609" s="132" t="n"/>
      <c r="BI609" s="132" t="n"/>
      <c r="BJ609" s="128">
        <f>iferror(SUM($BK609,($BL609*1.2),($BM609*1.35),($BN609*0.74)),)</f>
        <v/>
      </c>
      <c r="BK609" s="128">
        <f>IFERROR(SUM($BT609:$CK609),)</f>
        <v/>
      </c>
      <c r="BL609" s="129">
        <f>IFERROR(SUM($CL609:$CN609),)</f>
        <v/>
      </c>
      <c r="BM609" s="130">
        <f>IFERROR(SUM($CO609:$CQ609),)</f>
        <v/>
      </c>
      <c r="BN609" s="128">
        <f>IFERROR(SUM($CR609:$CT609),)</f>
        <v/>
      </c>
      <c r="BO609" s="128">
        <f>iferror(SUM($BP609,($BQ609*1.2),($BR609*1.35),($BS609*0.74)),)</f>
        <v/>
      </c>
      <c r="BP609" s="128">
        <f>IFERROR(SUM($CU609:$DL609),)</f>
        <v/>
      </c>
      <c r="BQ609" s="128">
        <f>IFERROR(SUM($DM609:$DO609),)</f>
        <v/>
      </c>
      <c r="BR609" s="128">
        <f>IFERROR(SUM($DP609:$DR609),)</f>
        <v/>
      </c>
      <c r="BS609" s="128">
        <f>IFERROR(SUM($DS609:$DU609),)</f>
        <v/>
      </c>
      <c r="BT609" s="128">
        <f>IFERROR(AI609*$W609,)</f>
        <v/>
      </c>
      <c r="BU609" s="128">
        <f>IFERROR(AJ609*$W609,)</f>
        <v/>
      </c>
      <c r="BV609" s="128">
        <f>IFERROR(AK609*$W609,)</f>
        <v/>
      </c>
      <c r="BW609" s="128">
        <f>IFERROR(AL609*$W609,)</f>
        <v/>
      </c>
      <c r="BX609" s="128">
        <f>IFERROR(AM609*$W609,)</f>
        <v/>
      </c>
      <c r="BY609" s="128">
        <f>IFERROR(AN609*$W609,)</f>
        <v/>
      </c>
      <c r="BZ609" s="128">
        <f>IFERROR(AO609*$W609,)</f>
        <v/>
      </c>
      <c r="CA609" s="128">
        <f>IFERROR(AP609*$W609,)</f>
        <v/>
      </c>
      <c r="CB609" s="128">
        <f>IFERROR(AQ609*$W609,)</f>
        <v/>
      </c>
      <c r="CC609" s="128">
        <f>IFERROR(AR609*$W609,)</f>
        <v/>
      </c>
      <c r="CD609" s="128">
        <f>IFERROR(AS609*$W609,)</f>
        <v/>
      </c>
      <c r="CE609" s="128">
        <f>IFERROR(AT609*$W609,)</f>
        <v/>
      </c>
      <c r="CF609" s="128">
        <f>IFERROR(AU609*$W609,)</f>
        <v/>
      </c>
      <c r="CG609" s="128">
        <f>IFERROR(AV609*$W609,)</f>
        <v/>
      </c>
      <c r="CH609" s="128">
        <f>IFERROR(AW609*$W609,)</f>
        <v/>
      </c>
      <c r="CI609" s="128">
        <f>IFERROR(AX609*$W609,)</f>
        <v/>
      </c>
      <c r="CJ609" s="128">
        <f>IFERROR(AY609*$W609,)</f>
        <v/>
      </c>
      <c r="CK609" s="128">
        <f>IFERROR(AZ609*$W609,)</f>
        <v/>
      </c>
      <c r="CL609" s="129">
        <f>IFERROR(if($Y609=0,BA609*($W609/1.2),BA609*$Y609),"")</f>
        <v/>
      </c>
      <c r="CM609" s="129">
        <f>IFERROR(if($Y609=0,BB609*($W609/1.2),BB609*$Y609),"")</f>
        <v/>
      </c>
      <c r="CN609" s="129">
        <f>IFERROR(if($Y609=0,BC609*($W609/1.2),BC609*$Y609),"")</f>
        <v/>
      </c>
      <c r="CO609" s="130">
        <f>IFERROR(if($AA609=0,($W609/1.35)*BD609,BD609*$AA609),)</f>
        <v/>
      </c>
      <c r="CP609" s="130">
        <f>IFERROR(if($AA609=0,($W609/1.35)*BE609,BE609*$AA609),)</f>
        <v/>
      </c>
      <c r="CQ609" s="130">
        <f>IFERROR(if($AA609=0,($W609/1.35)*BF609,BF609*$AA609),)</f>
        <v/>
      </c>
      <c r="CR609" s="128">
        <f>IFERROR(if($AC609=0,($W609/0.74)*BG609,
BG609*$AC609),)</f>
        <v/>
      </c>
      <c r="CS609" s="128">
        <f>IFERROR(if($AC609=0,($W609/0.74)*BH609,
BH609*$AC609),)</f>
        <v/>
      </c>
      <c r="CT609" s="128">
        <f>IFERROR(if($AC609=0,($W609/0.74)*BI609,
BI609*$AC609),)</f>
        <v/>
      </c>
      <c r="CU609" s="128">
        <f>IFERROR(AI609*$V609,)</f>
        <v/>
      </c>
      <c r="CV609" s="128">
        <f>IFERROR(AJ609*$V609,)</f>
        <v/>
      </c>
      <c r="CW609" s="128">
        <f>IFERROR(AK609*$V609,)</f>
        <v/>
      </c>
      <c r="CX609" s="128">
        <f>IFERROR(AL609*$V609,)</f>
        <v/>
      </c>
      <c r="CY609" s="128">
        <f>IFERROR(AM609*$V609,)</f>
        <v/>
      </c>
      <c r="CZ609" s="128">
        <f>IFERROR(AN609*$V609,)</f>
        <v/>
      </c>
      <c r="DA609" s="128">
        <f>IFERROR(AO609*$V609,)</f>
        <v/>
      </c>
      <c r="DB609" s="128">
        <f>IFERROR(AP609*$V609,)</f>
        <v/>
      </c>
      <c r="DC609" s="128">
        <f>IFERROR(AQ609*$V609,)</f>
        <v/>
      </c>
      <c r="DD609" s="128">
        <f>IFERROR(AR609*$V609,)</f>
        <v/>
      </c>
      <c r="DE609" s="128">
        <f>IFERROR(AS609*$V609,)</f>
        <v/>
      </c>
      <c r="DF609" s="128">
        <f>IFERROR(AT609*$V609,)</f>
        <v/>
      </c>
      <c r="DG609" s="128">
        <f>IFERROR(AU609*$V609,)</f>
        <v/>
      </c>
      <c r="DH609" s="128">
        <f>IFERROR(AV609*$V609,)</f>
        <v/>
      </c>
      <c r="DI609" s="128">
        <f>IFERROR(AW609*$V609,)</f>
        <v/>
      </c>
      <c r="DJ609" s="128">
        <f>IFERROR(AX609*$V609,)</f>
        <v/>
      </c>
      <c r="DK609" s="128">
        <f>IFERROR(AY609*$V609,)</f>
        <v/>
      </c>
      <c r="DL609" s="128">
        <f>IFERROR(AZ609*$V609,)</f>
        <v/>
      </c>
      <c r="DM609" s="129">
        <f>IFERROR(if($X609=0,($V609/1.2)*BA609,
BA609*$X609),)</f>
        <v/>
      </c>
      <c r="DN609" s="129">
        <f>IFERROR(if($X609=0,($V609/1.2)*BB609,
BB609*$X609),)</f>
        <v/>
      </c>
      <c r="DO609" s="129">
        <f>IFERROR(if($X609=0,($V609/1.2)*BC609,
BC609*$X609),)</f>
        <v/>
      </c>
      <c r="DP609" s="130">
        <f>IFERROR(if($Z609=0,($V609/1.35)*BD609,
BD609*$Z609),)</f>
        <v/>
      </c>
      <c r="DQ609" s="130">
        <f>IFERROR(if($Z609=0,($V609/1.35)*BE609,
BE609*$Z609),)</f>
        <v/>
      </c>
      <c r="DR609" s="130">
        <f>IFERROR(if($Z609=0,($V609/1.35)*BF609,
BF609*$Z609),)</f>
        <v/>
      </c>
      <c r="DS609" s="128">
        <f>IFERROR(IF($AB609=0,($V609/0.74)*BG609,
BG609*$AB609),)</f>
        <v/>
      </c>
      <c r="DT609" s="128">
        <f>IFERROR(IF($AB609=0,($V609/0.74)*BH609,
BH609*$AB609),)</f>
        <v/>
      </c>
      <c r="DU609" s="128">
        <f>IFERROR(IF($AB609=0,($V609/0.74)*BI609,
BI609*$AB609),)</f>
        <v/>
      </c>
    </row>
    <row r="610" ht="131.25" customHeight="1" s="162">
      <c r="A610" s="115" t="n"/>
      <c r="B610" s="115" t="n"/>
      <c r="C610" s="115" t="n"/>
      <c r="D610" s="115" t="n"/>
      <c r="E610" s="115" t="n"/>
      <c r="F610" s="115" t="n"/>
      <c r="G610" s="115" t="n"/>
      <c r="H610" s="115" t="n"/>
      <c r="I610" s="115" t="n"/>
      <c r="J610" s="115" t="n"/>
      <c r="K610" s="115" t="n"/>
      <c r="L610" s="115" t="n"/>
      <c r="M610" s="115" t="n"/>
      <c r="N610" s="115" t="n"/>
      <c r="O610" s="115" t="n"/>
      <c r="P610" s="115" t="n"/>
      <c r="Q610" s="115" t="n"/>
      <c r="R610" s="115" t="n"/>
      <c r="S610" s="115" t="n"/>
      <c r="T610" s="115" t="n"/>
      <c r="U610" s="116" t="n"/>
      <c r="V610" s="116" t="n"/>
      <c r="W610" s="117" t="n"/>
      <c r="X610" s="118" t="n"/>
      <c r="Y610" s="119" t="n"/>
      <c r="Z610" s="120" t="n"/>
      <c r="AA610" s="121" t="n"/>
      <c r="AB610" s="122" t="n"/>
      <c r="AC610" s="117" t="n"/>
      <c r="AD610" s="123">
        <f>IF(SUM($AE610:$AH610)=0,"",SUM($AE610:$AH610))</f>
        <v/>
      </c>
      <c r="AE610" s="123">
        <f>iferror(IF(SUM($AI610:$AZ610)=0,"",SUM($AI610:$AZ610)),"")</f>
        <v/>
      </c>
      <c r="AF610" s="123">
        <f>iferror(IF(SUM($BA610:$BC610)=0,"",SUM($BA610:$BC610)),"")</f>
        <v/>
      </c>
      <c r="AG610" s="123">
        <f>iferror(IF(SUM($BD610:$BF610)=0,"",SUM($BD610:$BF610)),"")</f>
        <v/>
      </c>
      <c r="AH610" s="124">
        <f>iferror(IF(SUM($BG610:$BI610)=0,"",SUM($BG610:$BI610)),"")</f>
        <v/>
      </c>
      <c r="AI610" s="131" t="n"/>
      <c r="AJ610" s="132" t="n"/>
      <c r="AK610" s="132" t="n"/>
      <c r="AL610" s="132" t="n"/>
      <c r="AM610" s="132" t="n"/>
      <c r="AN610" s="132" t="n"/>
      <c r="AO610" s="132" t="n"/>
      <c r="AP610" s="132" t="n"/>
      <c r="AQ610" s="132" t="n"/>
      <c r="AR610" s="132" t="n"/>
      <c r="AS610" s="132" t="n"/>
      <c r="AT610" s="132" t="n"/>
      <c r="AU610" s="132" t="n"/>
      <c r="AV610" s="132" t="n"/>
      <c r="AW610" s="132" t="n"/>
      <c r="AX610" s="132" t="n"/>
      <c r="AY610" s="132" t="n"/>
      <c r="AZ610" s="133" t="n"/>
      <c r="BA610" s="131" t="n"/>
      <c r="BB610" s="132" t="n"/>
      <c r="BC610" s="133" t="n"/>
      <c r="BD610" s="131" t="n"/>
      <c r="BE610" s="132" t="n"/>
      <c r="BF610" s="133" t="n"/>
      <c r="BG610" s="131" t="n"/>
      <c r="BH610" s="132" t="n"/>
      <c r="BI610" s="132" t="n"/>
      <c r="BJ610" s="128">
        <f>iferror(SUM($BK610,($BL610*1.2),($BM610*1.35),($BN610*0.74)),)</f>
        <v/>
      </c>
      <c r="BK610" s="128">
        <f>IFERROR(SUM($BT610:$CK610),)</f>
        <v/>
      </c>
      <c r="BL610" s="129">
        <f>IFERROR(SUM($CL610:$CN610),)</f>
        <v/>
      </c>
      <c r="BM610" s="130">
        <f>IFERROR(SUM($CO610:$CQ610),)</f>
        <v/>
      </c>
      <c r="BN610" s="128">
        <f>IFERROR(SUM($CR610:$CT610),)</f>
        <v/>
      </c>
      <c r="BO610" s="128">
        <f>iferror(SUM($BP610,($BQ610*1.2),($BR610*1.35),($BS610*0.74)),)</f>
        <v/>
      </c>
      <c r="BP610" s="128">
        <f>IFERROR(SUM($CU610:$DL610),)</f>
        <v/>
      </c>
      <c r="BQ610" s="128">
        <f>IFERROR(SUM($DM610:$DO610),)</f>
        <v/>
      </c>
      <c r="BR610" s="128">
        <f>IFERROR(SUM($DP610:$DR610),)</f>
        <v/>
      </c>
      <c r="BS610" s="128">
        <f>IFERROR(SUM($DS610:$DU610),)</f>
        <v/>
      </c>
      <c r="BT610" s="128">
        <f>IFERROR(AI610*$W610,)</f>
        <v/>
      </c>
      <c r="BU610" s="128">
        <f>IFERROR(AJ610*$W610,)</f>
        <v/>
      </c>
      <c r="BV610" s="128">
        <f>IFERROR(AK610*$W610,)</f>
        <v/>
      </c>
      <c r="BW610" s="128">
        <f>IFERROR(AL610*$W610,)</f>
        <v/>
      </c>
      <c r="BX610" s="128">
        <f>IFERROR(AM610*$W610,)</f>
        <v/>
      </c>
      <c r="BY610" s="128">
        <f>IFERROR(AN610*$W610,)</f>
        <v/>
      </c>
      <c r="BZ610" s="128">
        <f>IFERROR(AO610*$W610,)</f>
        <v/>
      </c>
      <c r="CA610" s="128">
        <f>IFERROR(AP610*$W610,)</f>
        <v/>
      </c>
      <c r="CB610" s="128">
        <f>IFERROR(AQ610*$W610,)</f>
        <v/>
      </c>
      <c r="CC610" s="128">
        <f>IFERROR(AR610*$W610,)</f>
        <v/>
      </c>
      <c r="CD610" s="128">
        <f>IFERROR(AS610*$W610,)</f>
        <v/>
      </c>
      <c r="CE610" s="128">
        <f>IFERROR(AT610*$W610,)</f>
        <v/>
      </c>
      <c r="CF610" s="128">
        <f>IFERROR(AU610*$W610,)</f>
        <v/>
      </c>
      <c r="CG610" s="128">
        <f>IFERROR(AV610*$W610,)</f>
        <v/>
      </c>
      <c r="CH610" s="128">
        <f>IFERROR(AW610*$W610,)</f>
        <v/>
      </c>
      <c r="CI610" s="128">
        <f>IFERROR(AX610*$W610,)</f>
        <v/>
      </c>
      <c r="CJ610" s="128">
        <f>IFERROR(AY610*$W610,)</f>
        <v/>
      </c>
      <c r="CK610" s="128">
        <f>IFERROR(AZ610*$W610,)</f>
        <v/>
      </c>
      <c r="CL610" s="129">
        <f>IFERROR(if($Y610=0,BA610*($W610/1.2),BA610*$Y610),"")</f>
        <v/>
      </c>
      <c r="CM610" s="129">
        <f>IFERROR(if($Y610=0,BB610*($W610/1.2),BB610*$Y610),"")</f>
        <v/>
      </c>
      <c r="CN610" s="129">
        <f>IFERROR(if($Y610=0,BC610*($W610/1.2),BC610*$Y610),"")</f>
        <v/>
      </c>
      <c r="CO610" s="130">
        <f>IFERROR(if($AA610=0,($W610/1.35)*BD610,BD610*$AA610),)</f>
        <v/>
      </c>
      <c r="CP610" s="130">
        <f>IFERROR(if($AA610=0,($W610/1.35)*BE610,BE610*$AA610),)</f>
        <v/>
      </c>
      <c r="CQ610" s="130">
        <f>IFERROR(if($AA610=0,($W610/1.35)*BF610,BF610*$AA610),)</f>
        <v/>
      </c>
      <c r="CR610" s="128">
        <f>IFERROR(if($AC610=0,($W610/0.74)*BG610,
BG610*$AC610),)</f>
        <v/>
      </c>
      <c r="CS610" s="128">
        <f>IFERROR(if($AC610=0,($W610/0.74)*BH610,
BH610*$AC610),)</f>
        <v/>
      </c>
      <c r="CT610" s="128">
        <f>IFERROR(if($AC610=0,($W610/0.74)*BI610,
BI610*$AC610),)</f>
        <v/>
      </c>
      <c r="CU610" s="128">
        <f>IFERROR(AI610*$V610,)</f>
        <v/>
      </c>
      <c r="CV610" s="128">
        <f>IFERROR(AJ610*$V610,)</f>
        <v/>
      </c>
      <c r="CW610" s="128">
        <f>IFERROR(AK610*$V610,)</f>
        <v/>
      </c>
      <c r="CX610" s="128">
        <f>IFERROR(AL610*$V610,)</f>
        <v/>
      </c>
      <c r="CY610" s="128">
        <f>IFERROR(AM610*$V610,)</f>
        <v/>
      </c>
      <c r="CZ610" s="128">
        <f>IFERROR(AN610*$V610,)</f>
        <v/>
      </c>
      <c r="DA610" s="128">
        <f>IFERROR(AO610*$V610,)</f>
        <v/>
      </c>
      <c r="DB610" s="128">
        <f>IFERROR(AP610*$V610,)</f>
        <v/>
      </c>
      <c r="DC610" s="128">
        <f>IFERROR(AQ610*$V610,)</f>
        <v/>
      </c>
      <c r="DD610" s="128">
        <f>IFERROR(AR610*$V610,)</f>
        <v/>
      </c>
      <c r="DE610" s="128">
        <f>IFERROR(AS610*$V610,)</f>
        <v/>
      </c>
      <c r="DF610" s="128">
        <f>IFERROR(AT610*$V610,)</f>
        <v/>
      </c>
      <c r="DG610" s="128">
        <f>IFERROR(AU610*$V610,)</f>
        <v/>
      </c>
      <c r="DH610" s="128">
        <f>IFERROR(AV610*$V610,)</f>
        <v/>
      </c>
      <c r="DI610" s="128">
        <f>IFERROR(AW610*$V610,)</f>
        <v/>
      </c>
      <c r="DJ610" s="128">
        <f>IFERROR(AX610*$V610,)</f>
        <v/>
      </c>
      <c r="DK610" s="128">
        <f>IFERROR(AY610*$V610,)</f>
        <v/>
      </c>
      <c r="DL610" s="128">
        <f>IFERROR(AZ610*$V610,)</f>
        <v/>
      </c>
      <c r="DM610" s="129">
        <f>IFERROR(if($X610=0,($V610/1.2)*BA610,
BA610*$X610),)</f>
        <v/>
      </c>
      <c r="DN610" s="129">
        <f>IFERROR(if($X610=0,($V610/1.2)*BB610,
BB610*$X610),)</f>
        <v/>
      </c>
      <c r="DO610" s="129">
        <f>IFERROR(if($X610=0,($V610/1.2)*BC610,
BC610*$X610),)</f>
        <v/>
      </c>
      <c r="DP610" s="130">
        <f>IFERROR(if($Z610=0,($V610/1.35)*BD610,
BD610*$Z610),)</f>
        <v/>
      </c>
      <c r="DQ610" s="130">
        <f>IFERROR(if($Z610=0,($V610/1.35)*BE610,
BE610*$Z610),)</f>
        <v/>
      </c>
      <c r="DR610" s="130">
        <f>IFERROR(if($Z610=0,($V610/1.35)*BF610,
BF610*$Z610),)</f>
        <v/>
      </c>
      <c r="DS610" s="128">
        <f>IFERROR(IF($AB610=0,($V610/0.74)*BG610,
BG610*$AB610),)</f>
        <v/>
      </c>
      <c r="DT610" s="128">
        <f>IFERROR(IF($AB610=0,($V610/0.74)*BH610,
BH610*$AB610),)</f>
        <v/>
      </c>
      <c r="DU610" s="128">
        <f>IFERROR(IF($AB610=0,($V610/0.74)*BI610,
BI610*$AB610),)</f>
        <v/>
      </c>
    </row>
    <row r="611" ht="131.25" customHeight="1" s="162">
      <c r="A611" s="115" t="n"/>
      <c r="B611" s="115" t="n"/>
      <c r="C611" s="115" t="n"/>
      <c r="D611" s="115" t="n"/>
      <c r="E611" s="115" t="n"/>
      <c r="F611" s="115" t="n"/>
      <c r="G611" s="115" t="n"/>
      <c r="H611" s="115" t="n"/>
      <c r="I611" s="115" t="n"/>
      <c r="J611" s="115" t="n"/>
      <c r="K611" s="115" t="n"/>
      <c r="L611" s="115" t="n"/>
      <c r="M611" s="115" t="n"/>
      <c r="N611" s="115" t="n"/>
      <c r="O611" s="115" t="n"/>
      <c r="P611" s="115" t="n"/>
      <c r="Q611" s="115" t="n"/>
      <c r="R611" s="115" t="n"/>
      <c r="S611" s="115" t="n"/>
      <c r="T611" s="115" t="n"/>
      <c r="U611" s="116" t="n"/>
      <c r="V611" s="116" t="n"/>
      <c r="W611" s="117" t="n"/>
      <c r="X611" s="118" t="n"/>
      <c r="Y611" s="119" t="n"/>
      <c r="Z611" s="120" t="n"/>
      <c r="AA611" s="121" t="n"/>
      <c r="AB611" s="122" t="n"/>
      <c r="AC611" s="117" t="n"/>
      <c r="AD611" s="123">
        <f>IF(SUM($AE611:$AH611)=0,"",SUM($AE611:$AH611))</f>
        <v/>
      </c>
      <c r="AE611" s="123">
        <f>iferror(IF(SUM($AI611:$AZ611)=0,"",SUM($AI611:$AZ611)),"")</f>
        <v/>
      </c>
      <c r="AF611" s="123">
        <f>iferror(IF(SUM($BA611:$BC611)=0,"",SUM($BA611:$BC611)),"")</f>
        <v/>
      </c>
      <c r="AG611" s="123">
        <f>iferror(IF(SUM($BD611:$BF611)=0,"",SUM($BD611:$BF611)),"")</f>
        <v/>
      </c>
      <c r="AH611" s="124">
        <f>iferror(IF(SUM($BG611:$BI611)=0,"",SUM($BG611:$BI611)),"")</f>
        <v/>
      </c>
      <c r="AI611" s="131" t="n"/>
      <c r="AJ611" s="132" t="n"/>
      <c r="AK611" s="132" t="n"/>
      <c r="AL611" s="132" t="n"/>
      <c r="AM611" s="132" t="n"/>
      <c r="AN611" s="132" t="n"/>
      <c r="AO611" s="132" t="n"/>
      <c r="AP611" s="132" t="n"/>
      <c r="AQ611" s="132" t="n"/>
      <c r="AR611" s="132" t="n"/>
      <c r="AS611" s="132" t="n"/>
      <c r="AT611" s="132" t="n"/>
      <c r="AU611" s="132" t="n"/>
      <c r="AV611" s="132" t="n"/>
      <c r="AW611" s="132" t="n"/>
      <c r="AX611" s="132" t="n"/>
      <c r="AY611" s="132" t="n"/>
      <c r="AZ611" s="133" t="n"/>
      <c r="BA611" s="131" t="n"/>
      <c r="BB611" s="132" t="n"/>
      <c r="BC611" s="133" t="n"/>
      <c r="BD611" s="131" t="n"/>
      <c r="BE611" s="132" t="n"/>
      <c r="BF611" s="133" t="n"/>
      <c r="BG611" s="131" t="n"/>
      <c r="BH611" s="132" t="n"/>
      <c r="BI611" s="132" t="n"/>
      <c r="BJ611" s="128">
        <f>iferror(SUM($BK611,($BL611*1.2),($BM611*1.35),($BN611*0.74)),)</f>
        <v/>
      </c>
      <c r="BK611" s="128">
        <f>IFERROR(SUM($BT611:$CK611),)</f>
        <v/>
      </c>
      <c r="BL611" s="129">
        <f>IFERROR(SUM($CL611:$CN611),)</f>
        <v/>
      </c>
      <c r="BM611" s="130">
        <f>IFERROR(SUM($CO611:$CQ611),)</f>
        <v/>
      </c>
      <c r="BN611" s="128">
        <f>IFERROR(SUM($CR611:$CT611),)</f>
        <v/>
      </c>
      <c r="BO611" s="128">
        <f>iferror(SUM($BP611,($BQ611*1.2),($BR611*1.35),($BS611*0.74)),)</f>
        <v/>
      </c>
      <c r="BP611" s="128">
        <f>IFERROR(SUM($CU611:$DL611),)</f>
        <v/>
      </c>
      <c r="BQ611" s="128">
        <f>IFERROR(SUM($DM611:$DO611),)</f>
        <v/>
      </c>
      <c r="BR611" s="128">
        <f>IFERROR(SUM($DP611:$DR611),)</f>
        <v/>
      </c>
      <c r="BS611" s="128">
        <f>IFERROR(SUM($DS611:$DU611),)</f>
        <v/>
      </c>
      <c r="BT611" s="128">
        <f>IFERROR(AI611*$W611,)</f>
        <v/>
      </c>
      <c r="BU611" s="128">
        <f>IFERROR(AJ611*$W611,)</f>
        <v/>
      </c>
      <c r="BV611" s="128">
        <f>IFERROR(AK611*$W611,)</f>
        <v/>
      </c>
      <c r="BW611" s="128">
        <f>IFERROR(AL611*$W611,)</f>
        <v/>
      </c>
      <c r="BX611" s="128">
        <f>IFERROR(AM611*$W611,)</f>
        <v/>
      </c>
      <c r="BY611" s="128">
        <f>IFERROR(AN611*$W611,)</f>
        <v/>
      </c>
      <c r="BZ611" s="128">
        <f>IFERROR(AO611*$W611,)</f>
        <v/>
      </c>
      <c r="CA611" s="128">
        <f>IFERROR(AP611*$W611,)</f>
        <v/>
      </c>
      <c r="CB611" s="128">
        <f>IFERROR(AQ611*$W611,)</f>
        <v/>
      </c>
      <c r="CC611" s="128">
        <f>IFERROR(AR611*$W611,)</f>
        <v/>
      </c>
      <c r="CD611" s="128">
        <f>IFERROR(AS611*$W611,)</f>
        <v/>
      </c>
      <c r="CE611" s="128">
        <f>IFERROR(AT611*$W611,)</f>
        <v/>
      </c>
      <c r="CF611" s="128">
        <f>IFERROR(AU611*$W611,)</f>
        <v/>
      </c>
      <c r="CG611" s="128">
        <f>IFERROR(AV611*$W611,)</f>
        <v/>
      </c>
      <c r="CH611" s="128">
        <f>IFERROR(AW611*$W611,)</f>
        <v/>
      </c>
      <c r="CI611" s="128">
        <f>IFERROR(AX611*$W611,)</f>
        <v/>
      </c>
      <c r="CJ611" s="128">
        <f>IFERROR(AY611*$W611,)</f>
        <v/>
      </c>
      <c r="CK611" s="128">
        <f>IFERROR(AZ611*$W611,)</f>
        <v/>
      </c>
      <c r="CL611" s="129">
        <f>IFERROR(if($Y611=0,BA611*($W611/1.2),BA611*$Y611),"")</f>
        <v/>
      </c>
      <c r="CM611" s="129">
        <f>IFERROR(if($Y611=0,BB611*($W611/1.2),BB611*$Y611),"")</f>
        <v/>
      </c>
      <c r="CN611" s="129">
        <f>IFERROR(if($Y611=0,BC611*($W611/1.2),BC611*$Y611),"")</f>
        <v/>
      </c>
      <c r="CO611" s="130">
        <f>IFERROR(if($AA611=0,($W611/1.35)*BD611,BD611*$AA611),)</f>
        <v/>
      </c>
      <c r="CP611" s="130">
        <f>IFERROR(if($AA611=0,($W611/1.35)*BE611,BE611*$AA611),)</f>
        <v/>
      </c>
      <c r="CQ611" s="130">
        <f>IFERROR(if($AA611=0,($W611/1.35)*BF611,BF611*$AA611),)</f>
        <v/>
      </c>
      <c r="CR611" s="128">
        <f>IFERROR(if($AC611=0,($W611/0.74)*BG611,
BG611*$AC611),)</f>
        <v/>
      </c>
      <c r="CS611" s="128">
        <f>IFERROR(if($AC611=0,($W611/0.74)*BH611,
BH611*$AC611),)</f>
        <v/>
      </c>
      <c r="CT611" s="128">
        <f>IFERROR(if($AC611=0,($W611/0.74)*BI611,
BI611*$AC611),)</f>
        <v/>
      </c>
      <c r="CU611" s="128">
        <f>IFERROR(AI611*$V611,)</f>
        <v/>
      </c>
      <c r="CV611" s="128">
        <f>IFERROR(AJ611*$V611,)</f>
        <v/>
      </c>
      <c r="CW611" s="128">
        <f>IFERROR(AK611*$V611,)</f>
        <v/>
      </c>
      <c r="CX611" s="128">
        <f>IFERROR(AL611*$V611,)</f>
        <v/>
      </c>
      <c r="CY611" s="128">
        <f>IFERROR(AM611*$V611,)</f>
        <v/>
      </c>
      <c r="CZ611" s="128">
        <f>IFERROR(AN611*$V611,)</f>
        <v/>
      </c>
      <c r="DA611" s="128">
        <f>IFERROR(AO611*$V611,)</f>
        <v/>
      </c>
      <c r="DB611" s="128">
        <f>IFERROR(AP611*$V611,)</f>
        <v/>
      </c>
      <c r="DC611" s="128">
        <f>IFERROR(AQ611*$V611,)</f>
        <v/>
      </c>
      <c r="DD611" s="128">
        <f>IFERROR(AR611*$V611,)</f>
        <v/>
      </c>
      <c r="DE611" s="128">
        <f>IFERROR(AS611*$V611,)</f>
        <v/>
      </c>
      <c r="DF611" s="128">
        <f>IFERROR(AT611*$V611,)</f>
        <v/>
      </c>
      <c r="DG611" s="128">
        <f>IFERROR(AU611*$V611,)</f>
        <v/>
      </c>
      <c r="DH611" s="128">
        <f>IFERROR(AV611*$V611,)</f>
        <v/>
      </c>
      <c r="DI611" s="128">
        <f>IFERROR(AW611*$V611,)</f>
        <v/>
      </c>
      <c r="DJ611" s="128">
        <f>IFERROR(AX611*$V611,)</f>
        <v/>
      </c>
      <c r="DK611" s="128">
        <f>IFERROR(AY611*$V611,)</f>
        <v/>
      </c>
      <c r="DL611" s="128">
        <f>IFERROR(AZ611*$V611,)</f>
        <v/>
      </c>
      <c r="DM611" s="129">
        <f>IFERROR(if($X611=0,($V611/1.2)*BA611,
BA611*$X611),)</f>
        <v/>
      </c>
      <c r="DN611" s="129">
        <f>IFERROR(if($X611=0,($V611/1.2)*BB611,
BB611*$X611),)</f>
        <v/>
      </c>
      <c r="DO611" s="129">
        <f>IFERROR(if($X611=0,($V611/1.2)*BC611,
BC611*$X611),)</f>
        <v/>
      </c>
      <c r="DP611" s="130">
        <f>IFERROR(if($Z611=0,($V611/1.35)*BD611,
BD611*$Z611),)</f>
        <v/>
      </c>
      <c r="DQ611" s="130">
        <f>IFERROR(if($Z611=0,($V611/1.35)*BE611,
BE611*$Z611),)</f>
        <v/>
      </c>
      <c r="DR611" s="130">
        <f>IFERROR(if($Z611=0,($V611/1.35)*BF611,
BF611*$Z611),)</f>
        <v/>
      </c>
      <c r="DS611" s="128">
        <f>IFERROR(IF($AB611=0,($V611/0.74)*BG611,
BG611*$AB611),)</f>
        <v/>
      </c>
      <c r="DT611" s="128">
        <f>IFERROR(IF($AB611=0,($V611/0.74)*BH611,
BH611*$AB611),)</f>
        <v/>
      </c>
      <c r="DU611" s="128">
        <f>IFERROR(IF($AB611=0,($V611/0.74)*BI611,
BI611*$AB611),)</f>
        <v/>
      </c>
    </row>
    <row r="612" ht="131.25" customHeight="1" s="162">
      <c r="A612" s="115" t="n"/>
      <c r="B612" s="115" t="n"/>
      <c r="C612" s="115" t="n"/>
      <c r="D612" s="115" t="n"/>
      <c r="E612" s="115" t="n"/>
      <c r="F612" s="115" t="n"/>
      <c r="G612" s="115" t="n"/>
      <c r="H612" s="115" t="n"/>
      <c r="I612" s="115" t="n"/>
      <c r="J612" s="115" t="n"/>
      <c r="K612" s="115" t="n"/>
      <c r="L612" s="115" t="n"/>
      <c r="M612" s="115" t="n"/>
      <c r="N612" s="115" t="n"/>
      <c r="O612" s="115" t="n"/>
      <c r="P612" s="115" t="n"/>
      <c r="Q612" s="115" t="n"/>
      <c r="R612" s="115" t="n"/>
      <c r="S612" s="115" t="n"/>
      <c r="T612" s="115" t="n"/>
      <c r="U612" s="116" t="n"/>
      <c r="V612" s="116" t="n"/>
      <c r="W612" s="117" t="n"/>
      <c r="X612" s="118" t="n"/>
      <c r="Y612" s="119" t="n"/>
      <c r="Z612" s="120" t="n"/>
      <c r="AA612" s="121" t="n"/>
      <c r="AB612" s="122" t="n"/>
      <c r="AC612" s="117" t="n"/>
      <c r="AD612" s="123">
        <f>IF(SUM($AE612:$AH612)=0,"",SUM($AE612:$AH612))</f>
        <v/>
      </c>
      <c r="AE612" s="123">
        <f>iferror(IF(SUM($AI612:$AZ612)=0,"",SUM($AI612:$AZ612)),"")</f>
        <v/>
      </c>
      <c r="AF612" s="123">
        <f>iferror(IF(SUM($BA612:$BC612)=0,"",SUM($BA612:$BC612)),"")</f>
        <v/>
      </c>
      <c r="AG612" s="123">
        <f>iferror(IF(SUM($BD612:$BF612)=0,"",SUM($BD612:$BF612)),"")</f>
        <v/>
      </c>
      <c r="AH612" s="124">
        <f>iferror(IF(SUM($BG612:$BI612)=0,"",SUM($BG612:$BI612)),"")</f>
        <v/>
      </c>
      <c r="AI612" s="131" t="n"/>
      <c r="AJ612" s="132" t="n"/>
      <c r="AK612" s="132" t="n"/>
      <c r="AL612" s="132" t="n"/>
      <c r="AM612" s="132" t="n"/>
      <c r="AN612" s="132" t="n"/>
      <c r="AO612" s="132" t="n"/>
      <c r="AP612" s="132" t="n"/>
      <c r="AQ612" s="132" t="n"/>
      <c r="AR612" s="132" t="n"/>
      <c r="AS612" s="132" t="n"/>
      <c r="AT612" s="132" t="n"/>
      <c r="AU612" s="132" t="n"/>
      <c r="AV612" s="132" t="n"/>
      <c r="AW612" s="132" t="n"/>
      <c r="AX612" s="132" t="n"/>
      <c r="AY612" s="132" t="n"/>
      <c r="AZ612" s="133" t="n"/>
      <c r="BA612" s="131" t="n"/>
      <c r="BB612" s="132" t="n"/>
      <c r="BC612" s="133" t="n"/>
      <c r="BD612" s="131" t="n"/>
      <c r="BE612" s="132" t="n"/>
      <c r="BF612" s="133" t="n"/>
      <c r="BG612" s="131" t="n"/>
      <c r="BH612" s="132" t="n"/>
      <c r="BI612" s="132" t="n"/>
      <c r="BJ612" s="128">
        <f>iferror(SUM($BK612,($BL612*1.2),($BM612*1.35),($BN612*0.74)),)</f>
        <v/>
      </c>
      <c r="BK612" s="128">
        <f>IFERROR(SUM($BT612:$CK612),)</f>
        <v/>
      </c>
      <c r="BL612" s="129">
        <f>IFERROR(SUM($CL612:$CN612),)</f>
        <v/>
      </c>
      <c r="BM612" s="130">
        <f>IFERROR(SUM($CO612:$CQ612),)</f>
        <v/>
      </c>
      <c r="BN612" s="128">
        <f>IFERROR(SUM($CR612:$CT612),)</f>
        <v/>
      </c>
      <c r="BO612" s="128">
        <f>iferror(SUM($BP612,($BQ612*1.2),($BR612*1.35),($BS612*0.74)),)</f>
        <v/>
      </c>
      <c r="BP612" s="128">
        <f>IFERROR(SUM($CU612:$DL612),)</f>
        <v/>
      </c>
      <c r="BQ612" s="128">
        <f>IFERROR(SUM($DM612:$DO612),)</f>
        <v/>
      </c>
      <c r="BR612" s="128">
        <f>IFERROR(SUM($DP612:$DR612),)</f>
        <v/>
      </c>
      <c r="BS612" s="128">
        <f>IFERROR(SUM($DS612:$DU612),)</f>
        <v/>
      </c>
      <c r="BT612" s="128">
        <f>IFERROR(AI612*$W612,)</f>
        <v/>
      </c>
      <c r="BU612" s="128">
        <f>IFERROR(AJ612*$W612,)</f>
        <v/>
      </c>
      <c r="BV612" s="128">
        <f>IFERROR(AK612*$W612,)</f>
        <v/>
      </c>
      <c r="BW612" s="128">
        <f>IFERROR(AL612*$W612,)</f>
        <v/>
      </c>
      <c r="BX612" s="128">
        <f>IFERROR(AM612*$W612,)</f>
        <v/>
      </c>
      <c r="BY612" s="128">
        <f>IFERROR(AN612*$W612,)</f>
        <v/>
      </c>
      <c r="BZ612" s="128">
        <f>IFERROR(AO612*$W612,)</f>
        <v/>
      </c>
      <c r="CA612" s="128">
        <f>IFERROR(AP612*$W612,)</f>
        <v/>
      </c>
      <c r="CB612" s="128">
        <f>IFERROR(AQ612*$W612,)</f>
        <v/>
      </c>
      <c r="CC612" s="128">
        <f>IFERROR(AR612*$W612,)</f>
        <v/>
      </c>
      <c r="CD612" s="128">
        <f>IFERROR(AS612*$W612,)</f>
        <v/>
      </c>
      <c r="CE612" s="128">
        <f>IFERROR(AT612*$W612,)</f>
        <v/>
      </c>
      <c r="CF612" s="128">
        <f>IFERROR(AU612*$W612,)</f>
        <v/>
      </c>
      <c r="CG612" s="128">
        <f>IFERROR(AV612*$W612,)</f>
        <v/>
      </c>
      <c r="CH612" s="128">
        <f>IFERROR(AW612*$W612,)</f>
        <v/>
      </c>
      <c r="CI612" s="128">
        <f>IFERROR(AX612*$W612,)</f>
        <v/>
      </c>
      <c r="CJ612" s="128">
        <f>IFERROR(AY612*$W612,)</f>
        <v/>
      </c>
      <c r="CK612" s="128">
        <f>IFERROR(AZ612*$W612,)</f>
        <v/>
      </c>
      <c r="CL612" s="129">
        <f>IFERROR(if($Y612=0,BA612*($W612/1.2),BA612*$Y612),"")</f>
        <v/>
      </c>
      <c r="CM612" s="129">
        <f>IFERROR(if($Y612=0,BB612*($W612/1.2),BB612*$Y612),"")</f>
        <v/>
      </c>
      <c r="CN612" s="129">
        <f>IFERROR(if($Y612=0,BC612*($W612/1.2),BC612*$Y612),"")</f>
        <v/>
      </c>
      <c r="CO612" s="130">
        <f>IFERROR(if($AA612=0,($W612/1.35)*BD612,BD612*$AA612),)</f>
        <v/>
      </c>
      <c r="CP612" s="130">
        <f>IFERROR(if($AA612=0,($W612/1.35)*BE612,BE612*$AA612),)</f>
        <v/>
      </c>
      <c r="CQ612" s="130">
        <f>IFERROR(if($AA612=0,($W612/1.35)*BF612,BF612*$AA612),)</f>
        <v/>
      </c>
      <c r="CR612" s="128">
        <f>IFERROR(if($AC612=0,($W612/0.74)*BG612,
BG612*$AC612),)</f>
        <v/>
      </c>
      <c r="CS612" s="128">
        <f>IFERROR(if($AC612=0,($W612/0.74)*BH612,
BH612*$AC612),)</f>
        <v/>
      </c>
      <c r="CT612" s="128">
        <f>IFERROR(if($AC612=0,($W612/0.74)*BI612,
BI612*$AC612),)</f>
        <v/>
      </c>
      <c r="CU612" s="128">
        <f>IFERROR(AI612*$V612,)</f>
        <v/>
      </c>
      <c r="CV612" s="128">
        <f>IFERROR(AJ612*$V612,)</f>
        <v/>
      </c>
      <c r="CW612" s="128">
        <f>IFERROR(AK612*$V612,)</f>
        <v/>
      </c>
      <c r="CX612" s="128">
        <f>IFERROR(AL612*$V612,)</f>
        <v/>
      </c>
      <c r="CY612" s="128">
        <f>IFERROR(AM612*$V612,)</f>
        <v/>
      </c>
      <c r="CZ612" s="128">
        <f>IFERROR(AN612*$V612,)</f>
        <v/>
      </c>
      <c r="DA612" s="128">
        <f>IFERROR(AO612*$V612,)</f>
        <v/>
      </c>
      <c r="DB612" s="128">
        <f>IFERROR(AP612*$V612,)</f>
        <v/>
      </c>
      <c r="DC612" s="128">
        <f>IFERROR(AQ612*$V612,)</f>
        <v/>
      </c>
      <c r="DD612" s="128">
        <f>IFERROR(AR612*$V612,)</f>
        <v/>
      </c>
      <c r="DE612" s="128">
        <f>IFERROR(AS612*$V612,)</f>
        <v/>
      </c>
      <c r="DF612" s="128">
        <f>IFERROR(AT612*$V612,)</f>
        <v/>
      </c>
      <c r="DG612" s="128">
        <f>IFERROR(AU612*$V612,)</f>
        <v/>
      </c>
      <c r="DH612" s="128">
        <f>IFERROR(AV612*$V612,)</f>
        <v/>
      </c>
      <c r="DI612" s="128">
        <f>IFERROR(AW612*$V612,)</f>
        <v/>
      </c>
      <c r="DJ612" s="128">
        <f>IFERROR(AX612*$V612,)</f>
        <v/>
      </c>
      <c r="DK612" s="128">
        <f>IFERROR(AY612*$V612,)</f>
        <v/>
      </c>
      <c r="DL612" s="128">
        <f>IFERROR(AZ612*$V612,)</f>
        <v/>
      </c>
      <c r="DM612" s="129">
        <f>IFERROR(if($X612=0,($V612/1.2)*BA612,
BA612*$X612),)</f>
        <v/>
      </c>
      <c r="DN612" s="129">
        <f>IFERROR(if($X612=0,($V612/1.2)*BB612,
BB612*$X612),)</f>
        <v/>
      </c>
      <c r="DO612" s="129">
        <f>IFERROR(if($X612=0,($V612/1.2)*BC612,
BC612*$X612),)</f>
        <v/>
      </c>
      <c r="DP612" s="130">
        <f>IFERROR(if($Z612=0,($V612/1.35)*BD612,
BD612*$Z612),)</f>
        <v/>
      </c>
      <c r="DQ612" s="130">
        <f>IFERROR(if($Z612=0,($V612/1.35)*BE612,
BE612*$Z612),)</f>
        <v/>
      </c>
      <c r="DR612" s="130">
        <f>IFERROR(if($Z612=0,($V612/1.35)*BF612,
BF612*$Z612),)</f>
        <v/>
      </c>
      <c r="DS612" s="128">
        <f>IFERROR(IF($AB612=0,($V612/0.74)*BG612,
BG612*$AB612),)</f>
        <v/>
      </c>
      <c r="DT612" s="128">
        <f>IFERROR(IF($AB612=0,($V612/0.74)*BH612,
BH612*$AB612),)</f>
        <v/>
      </c>
      <c r="DU612" s="128">
        <f>IFERROR(IF($AB612=0,($V612/0.74)*BI612,
BI612*$AB612),)</f>
        <v/>
      </c>
    </row>
    <row r="613" ht="131.25" customHeight="1" s="162">
      <c r="A613" s="115" t="n"/>
      <c r="B613" s="115" t="n"/>
      <c r="C613" s="115" t="n"/>
      <c r="D613" s="115" t="n"/>
      <c r="E613" s="115" t="n"/>
      <c r="F613" s="115" t="n"/>
      <c r="G613" s="115" t="n"/>
      <c r="H613" s="115" t="n"/>
      <c r="I613" s="115" t="n"/>
      <c r="J613" s="115" t="n"/>
      <c r="K613" s="115" t="n"/>
      <c r="L613" s="115" t="n"/>
      <c r="M613" s="115" t="n"/>
      <c r="N613" s="115" t="n"/>
      <c r="O613" s="115" t="n"/>
      <c r="P613" s="115" t="n"/>
      <c r="Q613" s="115" t="n"/>
      <c r="R613" s="115" t="n"/>
      <c r="S613" s="115" t="n"/>
      <c r="T613" s="115" t="n"/>
      <c r="U613" s="116" t="n"/>
      <c r="V613" s="116" t="n"/>
      <c r="W613" s="117" t="n"/>
      <c r="X613" s="118" t="n"/>
      <c r="Y613" s="119" t="n"/>
      <c r="Z613" s="120" t="n"/>
      <c r="AA613" s="121" t="n"/>
      <c r="AB613" s="122" t="n"/>
      <c r="AC613" s="117" t="n"/>
      <c r="AD613" s="123">
        <f>IF(SUM($AE613:$AH613)=0,"",SUM($AE613:$AH613))</f>
        <v/>
      </c>
      <c r="AE613" s="123">
        <f>iferror(IF(SUM($AI613:$AZ613)=0,"",SUM($AI613:$AZ613)),"")</f>
        <v/>
      </c>
      <c r="AF613" s="123">
        <f>iferror(IF(SUM($BA613:$BC613)=0,"",SUM($BA613:$BC613)),"")</f>
        <v/>
      </c>
      <c r="AG613" s="123">
        <f>iferror(IF(SUM($BD613:$BF613)=0,"",SUM($BD613:$BF613)),"")</f>
        <v/>
      </c>
      <c r="AH613" s="124">
        <f>iferror(IF(SUM($BG613:$BI613)=0,"",SUM($BG613:$BI613)),"")</f>
        <v/>
      </c>
      <c r="AI613" s="131" t="n"/>
      <c r="AJ613" s="132" t="n"/>
      <c r="AK613" s="132" t="n"/>
      <c r="AL613" s="132" t="n"/>
      <c r="AM613" s="132" t="n"/>
      <c r="AN613" s="132" t="n"/>
      <c r="AO613" s="132" t="n"/>
      <c r="AP613" s="132" t="n"/>
      <c r="AQ613" s="132" t="n"/>
      <c r="AR613" s="132" t="n"/>
      <c r="AS613" s="132" t="n"/>
      <c r="AT613" s="132" t="n"/>
      <c r="AU613" s="132" t="n"/>
      <c r="AV613" s="132" t="n"/>
      <c r="AW613" s="132" t="n"/>
      <c r="AX613" s="132" t="n"/>
      <c r="AY613" s="132" t="n"/>
      <c r="AZ613" s="133" t="n"/>
      <c r="BA613" s="131" t="n"/>
      <c r="BB613" s="132" t="n"/>
      <c r="BC613" s="133" t="n"/>
      <c r="BD613" s="131" t="n"/>
      <c r="BE613" s="132" t="n"/>
      <c r="BF613" s="133" t="n"/>
      <c r="BG613" s="131" t="n"/>
      <c r="BH613" s="132" t="n"/>
      <c r="BI613" s="132" t="n"/>
      <c r="BJ613" s="128">
        <f>iferror(SUM($BK613,($BL613*1.2),($BM613*1.35),($BN613*0.74)),)</f>
        <v/>
      </c>
      <c r="BK613" s="128">
        <f>IFERROR(SUM($BT613:$CK613),)</f>
        <v/>
      </c>
      <c r="BL613" s="129">
        <f>IFERROR(SUM($CL613:$CN613),)</f>
        <v/>
      </c>
      <c r="BM613" s="130">
        <f>IFERROR(SUM($CO613:$CQ613),)</f>
        <v/>
      </c>
      <c r="BN613" s="128">
        <f>IFERROR(SUM($CR613:$CT613),)</f>
        <v/>
      </c>
      <c r="BO613" s="128">
        <f>iferror(SUM($BP613,($BQ613*1.2),($BR613*1.35),($BS613*0.74)),)</f>
        <v/>
      </c>
      <c r="BP613" s="128">
        <f>IFERROR(SUM($CU613:$DL613),)</f>
        <v/>
      </c>
      <c r="BQ613" s="128">
        <f>IFERROR(SUM($DM613:$DO613),)</f>
        <v/>
      </c>
      <c r="BR613" s="128">
        <f>IFERROR(SUM($DP613:$DR613),)</f>
        <v/>
      </c>
      <c r="BS613" s="128">
        <f>IFERROR(SUM($DS613:$DU613),)</f>
        <v/>
      </c>
      <c r="BT613" s="128">
        <f>IFERROR(AI613*$W613,)</f>
        <v/>
      </c>
      <c r="BU613" s="128">
        <f>IFERROR(AJ613*$W613,)</f>
        <v/>
      </c>
      <c r="BV613" s="128">
        <f>IFERROR(AK613*$W613,)</f>
        <v/>
      </c>
      <c r="BW613" s="128">
        <f>IFERROR(AL613*$W613,)</f>
        <v/>
      </c>
      <c r="BX613" s="128">
        <f>IFERROR(AM613*$W613,)</f>
        <v/>
      </c>
      <c r="BY613" s="128">
        <f>IFERROR(AN613*$W613,)</f>
        <v/>
      </c>
      <c r="BZ613" s="128">
        <f>IFERROR(AO613*$W613,)</f>
        <v/>
      </c>
      <c r="CA613" s="128">
        <f>IFERROR(AP613*$W613,)</f>
        <v/>
      </c>
      <c r="CB613" s="128">
        <f>IFERROR(AQ613*$W613,)</f>
        <v/>
      </c>
      <c r="CC613" s="128">
        <f>IFERROR(AR613*$W613,)</f>
        <v/>
      </c>
      <c r="CD613" s="128">
        <f>IFERROR(AS613*$W613,)</f>
        <v/>
      </c>
      <c r="CE613" s="128">
        <f>IFERROR(AT613*$W613,)</f>
        <v/>
      </c>
      <c r="CF613" s="128">
        <f>IFERROR(AU613*$W613,)</f>
        <v/>
      </c>
      <c r="CG613" s="128">
        <f>IFERROR(AV613*$W613,)</f>
        <v/>
      </c>
      <c r="CH613" s="128">
        <f>IFERROR(AW613*$W613,)</f>
        <v/>
      </c>
      <c r="CI613" s="128">
        <f>IFERROR(AX613*$W613,)</f>
        <v/>
      </c>
      <c r="CJ613" s="128">
        <f>IFERROR(AY613*$W613,)</f>
        <v/>
      </c>
      <c r="CK613" s="128">
        <f>IFERROR(AZ613*$W613,)</f>
        <v/>
      </c>
      <c r="CL613" s="129">
        <f>IFERROR(if($Y613=0,BA613*($W613/1.2),BA613*$Y613),"")</f>
        <v/>
      </c>
      <c r="CM613" s="129">
        <f>IFERROR(if($Y613=0,BB613*($W613/1.2),BB613*$Y613),"")</f>
        <v/>
      </c>
      <c r="CN613" s="129">
        <f>IFERROR(if($Y613=0,BC613*($W613/1.2),BC613*$Y613),"")</f>
        <v/>
      </c>
      <c r="CO613" s="130">
        <f>IFERROR(if($AA613=0,($W613/1.35)*BD613,BD613*$AA613),)</f>
        <v/>
      </c>
      <c r="CP613" s="130">
        <f>IFERROR(if($AA613=0,($W613/1.35)*BE613,BE613*$AA613),)</f>
        <v/>
      </c>
      <c r="CQ613" s="130">
        <f>IFERROR(if($AA613=0,($W613/1.35)*BF613,BF613*$AA613),)</f>
        <v/>
      </c>
      <c r="CR613" s="128">
        <f>IFERROR(if($AC613=0,($W613/0.74)*BG613,
BG613*$AC613),)</f>
        <v/>
      </c>
      <c r="CS613" s="128">
        <f>IFERROR(if($AC613=0,($W613/0.74)*BH613,
BH613*$AC613),)</f>
        <v/>
      </c>
      <c r="CT613" s="128">
        <f>IFERROR(if($AC613=0,($W613/0.74)*BI613,
BI613*$AC613),)</f>
        <v/>
      </c>
      <c r="CU613" s="128">
        <f>IFERROR(AI613*$V613,)</f>
        <v/>
      </c>
      <c r="CV613" s="128">
        <f>IFERROR(AJ613*$V613,)</f>
        <v/>
      </c>
      <c r="CW613" s="128">
        <f>IFERROR(AK613*$V613,)</f>
        <v/>
      </c>
      <c r="CX613" s="128">
        <f>IFERROR(AL613*$V613,)</f>
        <v/>
      </c>
      <c r="CY613" s="128">
        <f>IFERROR(AM613*$V613,)</f>
        <v/>
      </c>
      <c r="CZ613" s="128">
        <f>IFERROR(AN613*$V613,)</f>
        <v/>
      </c>
      <c r="DA613" s="128">
        <f>IFERROR(AO613*$V613,)</f>
        <v/>
      </c>
      <c r="DB613" s="128">
        <f>IFERROR(AP613*$V613,)</f>
        <v/>
      </c>
      <c r="DC613" s="128">
        <f>IFERROR(AQ613*$V613,)</f>
        <v/>
      </c>
      <c r="DD613" s="128">
        <f>IFERROR(AR613*$V613,)</f>
        <v/>
      </c>
      <c r="DE613" s="128">
        <f>IFERROR(AS613*$V613,)</f>
        <v/>
      </c>
      <c r="DF613" s="128">
        <f>IFERROR(AT613*$V613,)</f>
        <v/>
      </c>
      <c r="DG613" s="128">
        <f>IFERROR(AU613*$V613,)</f>
        <v/>
      </c>
      <c r="DH613" s="128">
        <f>IFERROR(AV613*$V613,)</f>
        <v/>
      </c>
      <c r="DI613" s="128">
        <f>IFERROR(AW613*$V613,)</f>
        <v/>
      </c>
      <c r="DJ613" s="128">
        <f>IFERROR(AX613*$V613,)</f>
        <v/>
      </c>
      <c r="DK613" s="128">
        <f>IFERROR(AY613*$V613,)</f>
        <v/>
      </c>
      <c r="DL613" s="128">
        <f>IFERROR(AZ613*$V613,)</f>
        <v/>
      </c>
      <c r="DM613" s="129">
        <f>IFERROR(if($X613=0,($V613/1.2)*BA613,
BA613*$X613),)</f>
        <v/>
      </c>
      <c r="DN613" s="129">
        <f>IFERROR(if($X613=0,($V613/1.2)*BB613,
BB613*$X613),)</f>
        <v/>
      </c>
      <c r="DO613" s="129">
        <f>IFERROR(if($X613=0,($V613/1.2)*BC613,
BC613*$X613),)</f>
        <v/>
      </c>
      <c r="DP613" s="130">
        <f>IFERROR(if($Z613=0,($V613/1.35)*BD613,
BD613*$Z613),)</f>
        <v/>
      </c>
      <c r="DQ613" s="130">
        <f>IFERROR(if($Z613=0,($V613/1.35)*BE613,
BE613*$Z613),)</f>
        <v/>
      </c>
      <c r="DR613" s="130">
        <f>IFERROR(if($Z613=0,($V613/1.35)*BF613,
BF613*$Z613),)</f>
        <v/>
      </c>
      <c r="DS613" s="128">
        <f>IFERROR(IF($AB613=0,($V613/0.74)*BG613,
BG613*$AB613),)</f>
        <v/>
      </c>
      <c r="DT613" s="128">
        <f>IFERROR(IF($AB613=0,($V613/0.74)*BH613,
BH613*$AB613),)</f>
        <v/>
      </c>
      <c r="DU613" s="128">
        <f>IFERROR(IF($AB613=0,($V613/0.74)*BI613,
BI613*$AB613),)</f>
        <v/>
      </c>
    </row>
    <row r="614" ht="131.25" customHeight="1" s="162">
      <c r="A614" s="115" t="n"/>
      <c r="B614" s="115" t="n"/>
      <c r="C614" s="115" t="n"/>
      <c r="D614" s="115" t="n"/>
      <c r="E614" s="115" t="n"/>
      <c r="F614" s="115" t="n"/>
      <c r="G614" s="115" t="n"/>
      <c r="H614" s="115" t="n"/>
      <c r="I614" s="115" t="n"/>
      <c r="J614" s="115" t="n"/>
      <c r="K614" s="115" t="n"/>
      <c r="L614" s="115" t="n"/>
      <c r="M614" s="115" t="n"/>
      <c r="N614" s="115" t="n"/>
      <c r="O614" s="115" t="n"/>
      <c r="P614" s="115" t="n"/>
      <c r="Q614" s="115" t="n"/>
      <c r="R614" s="115" t="n"/>
      <c r="S614" s="115" t="n"/>
      <c r="T614" s="115" t="n"/>
      <c r="U614" s="116" t="n"/>
      <c r="V614" s="116" t="n"/>
      <c r="W614" s="117" t="n"/>
      <c r="X614" s="118" t="n"/>
      <c r="Y614" s="119" t="n"/>
      <c r="Z614" s="120" t="n"/>
      <c r="AA614" s="121" t="n"/>
      <c r="AB614" s="122" t="n"/>
      <c r="AC614" s="117" t="n"/>
      <c r="AD614" s="123">
        <f>IF(SUM($AE614:$AH614)=0,"",SUM($AE614:$AH614))</f>
        <v/>
      </c>
      <c r="AE614" s="123">
        <f>iferror(IF(SUM($AI614:$AZ614)=0,"",SUM($AI614:$AZ614)),"")</f>
        <v/>
      </c>
      <c r="AF614" s="123">
        <f>iferror(IF(SUM($BA614:$BC614)=0,"",SUM($BA614:$BC614)),"")</f>
        <v/>
      </c>
      <c r="AG614" s="123">
        <f>iferror(IF(SUM($BD614:$BF614)=0,"",SUM($BD614:$BF614)),"")</f>
        <v/>
      </c>
      <c r="AH614" s="124">
        <f>iferror(IF(SUM($BG614:$BI614)=0,"",SUM($BG614:$BI614)),"")</f>
        <v/>
      </c>
      <c r="AI614" s="131" t="n"/>
      <c r="AJ614" s="132" t="n"/>
      <c r="AK614" s="132" t="n"/>
      <c r="AL614" s="132" t="n"/>
      <c r="AM614" s="132" t="n"/>
      <c r="AN614" s="132" t="n"/>
      <c r="AO614" s="132" t="n"/>
      <c r="AP614" s="132" t="n"/>
      <c r="AQ614" s="132" t="n"/>
      <c r="AR614" s="132" t="n"/>
      <c r="AS614" s="132" t="n"/>
      <c r="AT614" s="132" t="n"/>
      <c r="AU614" s="132" t="n"/>
      <c r="AV614" s="132" t="n"/>
      <c r="AW614" s="132" t="n"/>
      <c r="AX614" s="132" t="n"/>
      <c r="AY614" s="132" t="n"/>
      <c r="AZ614" s="133" t="n"/>
      <c r="BA614" s="131" t="n"/>
      <c r="BB614" s="132" t="n"/>
      <c r="BC614" s="133" t="n"/>
      <c r="BD614" s="131" t="n"/>
      <c r="BE614" s="132" t="n"/>
      <c r="BF614" s="133" t="n"/>
      <c r="BG614" s="131" t="n"/>
      <c r="BH614" s="132" t="n"/>
      <c r="BI614" s="132" t="n"/>
      <c r="BJ614" s="128">
        <f>iferror(SUM($BK614,($BL614*1.2),($BM614*1.35),($BN614*0.74)),)</f>
        <v/>
      </c>
      <c r="BK614" s="128">
        <f>IFERROR(SUM($BT614:$CK614),)</f>
        <v/>
      </c>
      <c r="BL614" s="129">
        <f>IFERROR(SUM($CL614:$CN614),)</f>
        <v/>
      </c>
      <c r="BM614" s="130">
        <f>IFERROR(SUM($CO614:$CQ614),)</f>
        <v/>
      </c>
      <c r="BN614" s="128">
        <f>IFERROR(SUM($CR614:$CT614),)</f>
        <v/>
      </c>
      <c r="BO614" s="128">
        <f>iferror(SUM($BP614,($BQ614*1.2),($BR614*1.35),($BS614*0.74)),)</f>
        <v/>
      </c>
      <c r="BP614" s="128">
        <f>IFERROR(SUM($CU614:$DL614),)</f>
        <v/>
      </c>
      <c r="BQ614" s="128">
        <f>IFERROR(SUM($DM614:$DO614),)</f>
        <v/>
      </c>
      <c r="BR614" s="128">
        <f>IFERROR(SUM($DP614:$DR614),)</f>
        <v/>
      </c>
      <c r="BS614" s="128">
        <f>IFERROR(SUM($DS614:$DU614),)</f>
        <v/>
      </c>
      <c r="BT614" s="128">
        <f>IFERROR(AI614*$W614,)</f>
        <v/>
      </c>
      <c r="BU614" s="128">
        <f>IFERROR(AJ614*$W614,)</f>
        <v/>
      </c>
      <c r="BV614" s="128">
        <f>IFERROR(AK614*$W614,)</f>
        <v/>
      </c>
      <c r="BW614" s="128">
        <f>IFERROR(AL614*$W614,)</f>
        <v/>
      </c>
      <c r="BX614" s="128">
        <f>IFERROR(AM614*$W614,)</f>
        <v/>
      </c>
      <c r="BY614" s="128">
        <f>IFERROR(AN614*$W614,)</f>
        <v/>
      </c>
      <c r="BZ614" s="128">
        <f>IFERROR(AO614*$W614,)</f>
        <v/>
      </c>
      <c r="CA614" s="128">
        <f>IFERROR(AP614*$W614,)</f>
        <v/>
      </c>
      <c r="CB614" s="128">
        <f>IFERROR(AQ614*$W614,)</f>
        <v/>
      </c>
      <c r="CC614" s="128">
        <f>IFERROR(AR614*$W614,)</f>
        <v/>
      </c>
      <c r="CD614" s="128">
        <f>IFERROR(AS614*$W614,)</f>
        <v/>
      </c>
      <c r="CE614" s="128">
        <f>IFERROR(AT614*$W614,)</f>
        <v/>
      </c>
      <c r="CF614" s="128">
        <f>IFERROR(AU614*$W614,)</f>
        <v/>
      </c>
      <c r="CG614" s="128">
        <f>IFERROR(AV614*$W614,)</f>
        <v/>
      </c>
      <c r="CH614" s="128">
        <f>IFERROR(AW614*$W614,)</f>
        <v/>
      </c>
      <c r="CI614" s="128">
        <f>IFERROR(AX614*$W614,)</f>
        <v/>
      </c>
      <c r="CJ614" s="128">
        <f>IFERROR(AY614*$W614,)</f>
        <v/>
      </c>
      <c r="CK614" s="128">
        <f>IFERROR(AZ614*$W614,)</f>
        <v/>
      </c>
      <c r="CL614" s="129">
        <f>IFERROR(if($Y614=0,BA614*($W614/1.2),BA614*$Y614),"")</f>
        <v/>
      </c>
      <c r="CM614" s="129">
        <f>IFERROR(if($Y614=0,BB614*($W614/1.2),BB614*$Y614),"")</f>
        <v/>
      </c>
      <c r="CN614" s="129">
        <f>IFERROR(if($Y614=0,BC614*($W614/1.2),BC614*$Y614),"")</f>
        <v/>
      </c>
      <c r="CO614" s="130">
        <f>IFERROR(if($AA614=0,($W614/1.35)*BD614,BD614*$AA614),)</f>
        <v/>
      </c>
      <c r="CP614" s="130">
        <f>IFERROR(if($AA614=0,($W614/1.35)*BE614,BE614*$AA614),)</f>
        <v/>
      </c>
      <c r="CQ614" s="130">
        <f>IFERROR(if($AA614=0,($W614/1.35)*BF614,BF614*$AA614),)</f>
        <v/>
      </c>
      <c r="CR614" s="128">
        <f>IFERROR(if($AC614=0,($W614/0.74)*BG614,
BG614*$AC614),)</f>
        <v/>
      </c>
      <c r="CS614" s="128">
        <f>IFERROR(if($AC614=0,($W614/0.74)*BH614,
BH614*$AC614),)</f>
        <v/>
      </c>
      <c r="CT614" s="128">
        <f>IFERROR(if($AC614=0,($W614/0.74)*BI614,
BI614*$AC614),)</f>
        <v/>
      </c>
      <c r="CU614" s="128">
        <f>IFERROR(AI614*$V614,)</f>
        <v/>
      </c>
      <c r="CV614" s="128">
        <f>IFERROR(AJ614*$V614,)</f>
        <v/>
      </c>
      <c r="CW614" s="128">
        <f>IFERROR(AK614*$V614,)</f>
        <v/>
      </c>
      <c r="CX614" s="128">
        <f>IFERROR(AL614*$V614,)</f>
        <v/>
      </c>
      <c r="CY614" s="128">
        <f>IFERROR(AM614*$V614,)</f>
        <v/>
      </c>
      <c r="CZ614" s="128">
        <f>IFERROR(AN614*$V614,)</f>
        <v/>
      </c>
      <c r="DA614" s="128">
        <f>IFERROR(AO614*$V614,)</f>
        <v/>
      </c>
      <c r="DB614" s="128">
        <f>IFERROR(AP614*$V614,)</f>
        <v/>
      </c>
      <c r="DC614" s="128">
        <f>IFERROR(AQ614*$V614,)</f>
        <v/>
      </c>
      <c r="DD614" s="128">
        <f>IFERROR(AR614*$V614,)</f>
        <v/>
      </c>
      <c r="DE614" s="128">
        <f>IFERROR(AS614*$V614,)</f>
        <v/>
      </c>
      <c r="DF614" s="128">
        <f>IFERROR(AT614*$V614,)</f>
        <v/>
      </c>
      <c r="DG614" s="128">
        <f>IFERROR(AU614*$V614,)</f>
        <v/>
      </c>
      <c r="DH614" s="128">
        <f>IFERROR(AV614*$V614,)</f>
        <v/>
      </c>
      <c r="DI614" s="128">
        <f>IFERROR(AW614*$V614,)</f>
        <v/>
      </c>
      <c r="DJ614" s="128">
        <f>IFERROR(AX614*$V614,)</f>
        <v/>
      </c>
      <c r="DK614" s="128">
        <f>IFERROR(AY614*$V614,)</f>
        <v/>
      </c>
      <c r="DL614" s="128">
        <f>IFERROR(AZ614*$V614,)</f>
        <v/>
      </c>
      <c r="DM614" s="129">
        <f>IFERROR(if($X614=0,($V614/1.2)*BA614,
BA614*$X614),)</f>
        <v/>
      </c>
      <c r="DN614" s="129">
        <f>IFERROR(if($X614=0,($V614/1.2)*BB614,
BB614*$X614),)</f>
        <v/>
      </c>
      <c r="DO614" s="129">
        <f>IFERROR(if($X614=0,($V614/1.2)*BC614,
BC614*$X614),)</f>
        <v/>
      </c>
      <c r="DP614" s="130">
        <f>IFERROR(if($Z614=0,($V614/1.35)*BD614,
BD614*$Z614),)</f>
        <v/>
      </c>
      <c r="DQ614" s="130">
        <f>IFERROR(if($Z614=0,($V614/1.35)*BE614,
BE614*$Z614),)</f>
        <v/>
      </c>
      <c r="DR614" s="130">
        <f>IFERROR(if($Z614=0,($V614/1.35)*BF614,
BF614*$Z614),)</f>
        <v/>
      </c>
      <c r="DS614" s="128">
        <f>IFERROR(IF($AB614=0,($V614/0.74)*BG614,
BG614*$AB614),)</f>
        <v/>
      </c>
      <c r="DT614" s="128">
        <f>IFERROR(IF($AB614=0,($V614/0.74)*BH614,
BH614*$AB614),)</f>
        <v/>
      </c>
      <c r="DU614" s="128">
        <f>IFERROR(IF($AB614=0,($V614/0.74)*BI614,
BI614*$AB614),)</f>
        <v/>
      </c>
    </row>
    <row r="615" ht="131.25" customHeight="1" s="162">
      <c r="A615" s="115" t="n"/>
      <c r="B615" s="115" t="n"/>
      <c r="C615" s="115" t="n"/>
      <c r="D615" s="115" t="n"/>
      <c r="E615" s="115" t="n"/>
      <c r="F615" s="115" t="n"/>
      <c r="G615" s="115" t="n"/>
      <c r="H615" s="115" t="n"/>
      <c r="I615" s="115" t="n"/>
      <c r="J615" s="115" t="n"/>
      <c r="K615" s="115" t="n"/>
      <c r="L615" s="115" t="n"/>
      <c r="M615" s="115" t="n"/>
      <c r="N615" s="115" t="n"/>
      <c r="O615" s="115" t="n"/>
      <c r="P615" s="115" t="n"/>
      <c r="Q615" s="115" t="n"/>
      <c r="R615" s="115" t="n"/>
      <c r="S615" s="115" t="n"/>
      <c r="T615" s="115" t="n"/>
      <c r="U615" s="116" t="n"/>
      <c r="V615" s="116" t="n"/>
      <c r="W615" s="117" t="n"/>
      <c r="X615" s="118" t="n"/>
      <c r="Y615" s="119" t="n"/>
      <c r="Z615" s="120" t="n"/>
      <c r="AA615" s="121" t="n"/>
      <c r="AB615" s="122" t="n"/>
      <c r="AC615" s="117" t="n"/>
      <c r="AD615" s="123">
        <f>IF(SUM($AE615:$AH615)=0,"",SUM($AE615:$AH615))</f>
        <v/>
      </c>
      <c r="AE615" s="123">
        <f>iferror(IF(SUM($AI615:$AZ615)=0,"",SUM($AI615:$AZ615)),"")</f>
        <v/>
      </c>
      <c r="AF615" s="123">
        <f>iferror(IF(SUM($BA615:$BC615)=0,"",SUM($BA615:$BC615)),"")</f>
        <v/>
      </c>
      <c r="AG615" s="123">
        <f>iferror(IF(SUM($BD615:$BF615)=0,"",SUM($BD615:$BF615)),"")</f>
        <v/>
      </c>
      <c r="AH615" s="124">
        <f>iferror(IF(SUM($BG615:$BI615)=0,"",SUM($BG615:$BI615)),"")</f>
        <v/>
      </c>
      <c r="AI615" s="131" t="n"/>
      <c r="AJ615" s="132" t="n"/>
      <c r="AK615" s="132" t="n"/>
      <c r="AL615" s="132" t="n"/>
      <c r="AM615" s="132" t="n"/>
      <c r="AN615" s="132" t="n"/>
      <c r="AO615" s="132" t="n"/>
      <c r="AP615" s="132" t="n"/>
      <c r="AQ615" s="132" t="n"/>
      <c r="AR615" s="132" t="n"/>
      <c r="AS615" s="132" t="n"/>
      <c r="AT615" s="132" t="n"/>
      <c r="AU615" s="132" t="n"/>
      <c r="AV615" s="132" t="n"/>
      <c r="AW615" s="132" t="n"/>
      <c r="AX615" s="132" t="n"/>
      <c r="AY615" s="132" t="n"/>
      <c r="AZ615" s="133" t="n"/>
      <c r="BA615" s="131" t="n"/>
      <c r="BB615" s="132" t="n"/>
      <c r="BC615" s="133" t="n"/>
      <c r="BD615" s="131" t="n"/>
      <c r="BE615" s="132" t="n"/>
      <c r="BF615" s="133" t="n"/>
      <c r="BG615" s="131" t="n"/>
      <c r="BH615" s="132" t="n"/>
      <c r="BI615" s="132" t="n"/>
      <c r="BJ615" s="128">
        <f>iferror(SUM($BK615,($BL615*1.2),($BM615*1.35),($BN615*0.74)),)</f>
        <v/>
      </c>
      <c r="BK615" s="128">
        <f>IFERROR(SUM($BT615:$CK615),)</f>
        <v/>
      </c>
      <c r="BL615" s="129">
        <f>IFERROR(SUM($CL615:$CN615),)</f>
        <v/>
      </c>
      <c r="BM615" s="130">
        <f>IFERROR(SUM($CO615:$CQ615),)</f>
        <v/>
      </c>
      <c r="BN615" s="128">
        <f>IFERROR(SUM($CR615:$CT615),)</f>
        <v/>
      </c>
      <c r="BO615" s="128">
        <f>iferror(SUM($BP615,($BQ615*1.2),($BR615*1.35),($BS615*0.74)),)</f>
        <v/>
      </c>
      <c r="BP615" s="128">
        <f>IFERROR(SUM($CU615:$DL615),)</f>
        <v/>
      </c>
      <c r="BQ615" s="128">
        <f>IFERROR(SUM($DM615:$DO615),)</f>
        <v/>
      </c>
      <c r="BR615" s="128">
        <f>IFERROR(SUM($DP615:$DR615),)</f>
        <v/>
      </c>
      <c r="BS615" s="128">
        <f>IFERROR(SUM($DS615:$DU615),)</f>
        <v/>
      </c>
      <c r="BT615" s="128">
        <f>IFERROR(AI615*$W615,)</f>
        <v/>
      </c>
      <c r="BU615" s="128">
        <f>IFERROR(AJ615*$W615,)</f>
        <v/>
      </c>
      <c r="BV615" s="128">
        <f>IFERROR(AK615*$W615,)</f>
        <v/>
      </c>
      <c r="BW615" s="128">
        <f>IFERROR(AL615*$W615,)</f>
        <v/>
      </c>
      <c r="BX615" s="128">
        <f>IFERROR(AM615*$W615,)</f>
        <v/>
      </c>
      <c r="BY615" s="128">
        <f>IFERROR(AN615*$W615,)</f>
        <v/>
      </c>
      <c r="BZ615" s="128">
        <f>IFERROR(AO615*$W615,)</f>
        <v/>
      </c>
      <c r="CA615" s="128">
        <f>IFERROR(AP615*$W615,)</f>
        <v/>
      </c>
      <c r="CB615" s="128">
        <f>IFERROR(AQ615*$W615,)</f>
        <v/>
      </c>
      <c r="CC615" s="128">
        <f>IFERROR(AR615*$W615,)</f>
        <v/>
      </c>
      <c r="CD615" s="128">
        <f>IFERROR(AS615*$W615,)</f>
        <v/>
      </c>
      <c r="CE615" s="128">
        <f>IFERROR(AT615*$W615,)</f>
        <v/>
      </c>
      <c r="CF615" s="128">
        <f>IFERROR(AU615*$W615,)</f>
        <v/>
      </c>
      <c r="CG615" s="128">
        <f>IFERROR(AV615*$W615,)</f>
        <v/>
      </c>
      <c r="CH615" s="128">
        <f>IFERROR(AW615*$W615,)</f>
        <v/>
      </c>
      <c r="CI615" s="128">
        <f>IFERROR(AX615*$W615,)</f>
        <v/>
      </c>
      <c r="CJ615" s="128">
        <f>IFERROR(AY615*$W615,)</f>
        <v/>
      </c>
      <c r="CK615" s="128">
        <f>IFERROR(AZ615*$W615,)</f>
        <v/>
      </c>
      <c r="CL615" s="129">
        <f>IFERROR(if($Y615=0,BA615*($W615/1.2),BA615*$Y615),"")</f>
        <v/>
      </c>
      <c r="CM615" s="129">
        <f>IFERROR(if($Y615=0,BB615*($W615/1.2),BB615*$Y615),"")</f>
        <v/>
      </c>
      <c r="CN615" s="129">
        <f>IFERROR(if($Y615=0,BC615*($W615/1.2),BC615*$Y615),"")</f>
        <v/>
      </c>
      <c r="CO615" s="130">
        <f>IFERROR(if($AA615=0,($W615/1.35)*BD615,BD615*$AA615),)</f>
        <v/>
      </c>
      <c r="CP615" s="130">
        <f>IFERROR(if($AA615=0,($W615/1.35)*BE615,BE615*$AA615),)</f>
        <v/>
      </c>
      <c r="CQ615" s="130">
        <f>IFERROR(if($AA615=0,($W615/1.35)*BF615,BF615*$AA615),)</f>
        <v/>
      </c>
      <c r="CR615" s="128">
        <f>IFERROR(if($AC615=0,($W615/0.74)*BG615,
BG615*$AC615),)</f>
        <v/>
      </c>
      <c r="CS615" s="128">
        <f>IFERROR(if($AC615=0,($W615/0.74)*BH615,
BH615*$AC615),)</f>
        <v/>
      </c>
      <c r="CT615" s="128">
        <f>IFERROR(if($AC615=0,($W615/0.74)*BI615,
BI615*$AC615),)</f>
        <v/>
      </c>
      <c r="CU615" s="128">
        <f>IFERROR(AI615*$V615,)</f>
        <v/>
      </c>
      <c r="CV615" s="128">
        <f>IFERROR(AJ615*$V615,)</f>
        <v/>
      </c>
      <c r="CW615" s="128">
        <f>IFERROR(AK615*$V615,)</f>
        <v/>
      </c>
      <c r="CX615" s="128">
        <f>IFERROR(AL615*$V615,)</f>
        <v/>
      </c>
      <c r="CY615" s="128">
        <f>IFERROR(AM615*$V615,)</f>
        <v/>
      </c>
      <c r="CZ615" s="128">
        <f>IFERROR(AN615*$V615,)</f>
        <v/>
      </c>
      <c r="DA615" s="128">
        <f>IFERROR(AO615*$V615,)</f>
        <v/>
      </c>
      <c r="DB615" s="128">
        <f>IFERROR(AP615*$V615,)</f>
        <v/>
      </c>
      <c r="DC615" s="128">
        <f>IFERROR(AQ615*$V615,)</f>
        <v/>
      </c>
      <c r="DD615" s="128">
        <f>IFERROR(AR615*$V615,)</f>
        <v/>
      </c>
      <c r="DE615" s="128">
        <f>IFERROR(AS615*$V615,)</f>
        <v/>
      </c>
      <c r="DF615" s="128">
        <f>IFERROR(AT615*$V615,)</f>
        <v/>
      </c>
      <c r="DG615" s="128">
        <f>IFERROR(AU615*$V615,)</f>
        <v/>
      </c>
      <c r="DH615" s="128">
        <f>IFERROR(AV615*$V615,)</f>
        <v/>
      </c>
      <c r="DI615" s="128">
        <f>IFERROR(AW615*$V615,)</f>
        <v/>
      </c>
      <c r="DJ615" s="128">
        <f>IFERROR(AX615*$V615,)</f>
        <v/>
      </c>
      <c r="DK615" s="128">
        <f>IFERROR(AY615*$V615,)</f>
        <v/>
      </c>
      <c r="DL615" s="128">
        <f>IFERROR(AZ615*$V615,)</f>
        <v/>
      </c>
      <c r="DM615" s="129">
        <f>IFERROR(if($X615=0,($V615/1.2)*BA615,
BA615*$X615),)</f>
        <v/>
      </c>
      <c r="DN615" s="129">
        <f>IFERROR(if($X615=0,($V615/1.2)*BB615,
BB615*$X615),)</f>
        <v/>
      </c>
      <c r="DO615" s="129">
        <f>IFERROR(if($X615=0,($V615/1.2)*BC615,
BC615*$X615),)</f>
        <v/>
      </c>
      <c r="DP615" s="130">
        <f>IFERROR(if($Z615=0,($V615/1.35)*BD615,
BD615*$Z615),)</f>
        <v/>
      </c>
      <c r="DQ615" s="130">
        <f>IFERROR(if($Z615=0,($V615/1.35)*BE615,
BE615*$Z615),)</f>
        <v/>
      </c>
      <c r="DR615" s="130">
        <f>IFERROR(if($Z615=0,($V615/1.35)*BF615,
BF615*$Z615),)</f>
        <v/>
      </c>
      <c r="DS615" s="128">
        <f>IFERROR(IF($AB615=0,($V615/0.74)*BG615,
BG615*$AB615),)</f>
        <v/>
      </c>
      <c r="DT615" s="128">
        <f>IFERROR(IF($AB615=0,($V615/0.74)*BH615,
BH615*$AB615),)</f>
        <v/>
      </c>
      <c r="DU615" s="128">
        <f>IFERROR(IF($AB615=0,($V615/0.74)*BI615,
BI615*$AB615),)</f>
        <v/>
      </c>
    </row>
    <row r="616" ht="131.25" customHeight="1" s="162">
      <c r="A616" s="115" t="n"/>
      <c r="B616" s="115" t="n"/>
      <c r="C616" s="115" t="n"/>
      <c r="D616" s="115" t="n"/>
      <c r="E616" s="115" t="n"/>
      <c r="F616" s="115" t="n"/>
      <c r="G616" s="115" t="n"/>
      <c r="H616" s="115" t="n"/>
      <c r="I616" s="115" t="n"/>
      <c r="J616" s="115" t="n"/>
      <c r="K616" s="115" t="n"/>
      <c r="L616" s="115" t="n"/>
      <c r="M616" s="115" t="n"/>
      <c r="N616" s="115" t="n"/>
      <c r="O616" s="115" t="n"/>
      <c r="P616" s="115" t="n"/>
      <c r="Q616" s="115" t="n"/>
      <c r="R616" s="115" t="n"/>
      <c r="S616" s="115" t="n"/>
      <c r="T616" s="115" t="n"/>
      <c r="U616" s="116" t="n"/>
      <c r="V616" s="116" t="n"/>
      <c r="W616" s="117" t="n"/>
      <c r="X616" s="118" t="n"/>
      <c r="Y616" s="119" t="n"/>
      <c r="Z616" s="120" t="n"/>
      <c r="AA616" s="121" t="n"/>
      <c r="AB616" s="122" t="n"/>
      <c r="AC616" s="117" t="n"/>
      <c r="AD616" s="123">
        <f>IF(SUM($AE616:$AH616)=0,"",SUM($AE616:$AH616))</f>
        <v/>
      </c>
      <c r="AE616" s="123">
        <f>iferror(IF(SUM($AI616:$AZ616)=0,"",SUM($AI616:$AZ616)),"")</f>
        <v/>
      </c>
      <c r="AF616" s="123">
        <f>iferror(IF(SUM($BA616:$BC616)=0,"",SUM($BA616:$BC616)),"")</f>
        <v/>
      </c>
      <c r="AG616" s="123">
        <f>iferror(IF(SUM($BD616:$BF616)=0,"",SUM($BD616:$BF616)),"")</f>
        <v/>
      </c>
      <c r="AH616" s="124">
        <f>iferror(IF(SUM($BG616:$BI616)=0,"",SUM($BG616:$BI616)),"")</f>
        <v/>
      </c>
      <c r="AI616" s="131" t="n"/>
      <c r="AJ616" s="132" t="n"/>
      <c r="AK616" s="132" t="n"/>
      <c r="AL616" s="132" t="n"/>
      <c r="AM616" s="132" t="n"/>
      <c r="AN616" s="132" t="n"/>
      <c r="AO616" s="132" t="n"/>
      <c r="AP616" s="132" t="n"/>
      <c r="AQ616" s="132" t="n"/>
      <c r="AR616" s="132" t="n"/>
      <c r="AS616" s="132" t="n"/>
      <c r="AT616" s="132" t="n"/>
      <c r="AU616" s="132" t="n"/>
      <c r="AV616" s="132" t="n"/>
      <c r="AW616" s="132" t="n"/>
      <c r="AX616" s="132" t="n"/>
      <c r="AY616" s="132" t="n"/>
      <c r="AZ616" s="133" t="n"/>
      <c r="BA616" s="131" t="n"/>
      <c r="BB616" s="132" t="n"/>
      <c r="BC616" s="133" t="n"/>
      <c r="BD616" s="131" t="n"/>
      <c r="BE616" s="132" t="n"/>
      <c r="BF616" s="133" t="n"/>
      <c r="BG616" s="131" t="n"/>
      <c r="BH616" s="132" t="n"/>
      <c r="BI616" s="132" t="n"/>
      <c r="BJ616" s="128">
        <f>iferror(SUM($BK616,($BL616*1.2),($BM616*1.35),($BN616*0.74)),)</f>
        <v/>
      </c>
      <c r="BK616" s="128">
        <f>IFERROR(SUM($BT616:$CK616),)</f>
        <v/>
      </c>
      <c r="BL616" s="129">
        <f>IFERROR(SUM($CL616:$CN616),)</f>
        <v/>
      </c>
      <c r="BM616" s="130">
        <f>IFERROR(SUM($CO616:$CQ616),)</f>
        <v/>
      </c>
      <c r="BN616" s="128">
        <f>IFERROR(SUM($CR616:$CT616),)</f>
        <v/>
      </c>
      <c r="BO616" s="128">
        <f>iferror(SUM($BP616,($BQ616*1.2),($BR616*1.35),($BS616*0.74)),)</f>
        <v/>
      </c>
      <c r="BP616" s="128">
        <f>IFERROR(SUM($CU616:$DL616),)</f>
        <v/>
      </c>
      <c r="BQ616" s="128">
        <f>IFERROR(SUM($DM616:$DO616),)</f>
        <v/>
      </c>
      <c r="BR616" s="128">
        <f>IFERROR(SUM($DP616:$DR616),)</f>
        <v/>
      </c>
      <c r="BS616" s="128">
        <f>IFERROR(SUM($DS616:$DU616),)</f>
        <v/>
      </c>
      <c r="BT616" s="128">
        <f>IFERROR(AI616*$W616,)</f>
        <v/>
      </c>
      <c r="BU616" s="128">
        <f>IFERROR(AJ616*$W616,)</f>
        <v/>
      </c>
      <c r="BV616" s="128">
        <f>IFERROR(AK616*$W616,)</f>
        <v/>
      </c>
      <c r="BW616" s="128">
        <f>IFERROR(AL616*$W616,)</f>
        <v/>
      </c>
      <c r="BX616" s="128">
        <f>IFERROR(AM616*$W616,)</f>
        <v/>
      </c>
      <c r="BY616" s="128">
        <f>IFERROR(AN616*$W616,)</f>
        <v/>
      </c>
      <c r="BZ616" s="128">
        <f>IFERROR(AO616*$W616,)</f>
        <v/>
      </c>
      <c r="CA616" s="128">
        <f>IFERROR(AP616*$W616,)</f>
        <v/>
      </c>
      <c r="CB616" s="128">
        <f>IFERROR(AQ616*$W616,)</f>
        <v/>
      </c>
      <c r="CC616" s="128">
        <f>IFERROR(AR616*$W616,)</f>
        <v/>
      </c>
      <c r="CD616" s="128">
        <f>IFERROR(AS616*$W616,)</f>
        <v/>
      </c>
      <c r="CE616" s="128">
        <f>IFERROR(AT616*$W616,)</f>
        <v/>
      </c>
      <c r="CF616" s="128">
        <f>IFERROR(AU616*$W616,)</f>
        <v/>
      </c>
      <c r="CG616" s="128">
        <f>IFERROR(AV616*$W616,)</f>
        <v/>
      </c>
      <c r="CH616" s="128">
        <f>IFERROR(AW616*$W616,)</f>
        <v/>
      </c>
      <c r="CI616" s="128">
        <f>IFERROR(AX616*$W616,)</f>
        <v/>
      </c>
      <c r="CJ616" s="128">
        <f>IFERROR(AY616*$W616,)</f>
        <v/>
      </c>
      <c r="CK616" s="128">
        <f>IFERROR(AZ616*$W616,)</f>
        <v/>
      </c>
      <c r="CL616" s="129">
        <f>IFERROR(if($Y616=0,BA616*($W616/1.2),BA616*$Y616),"")</f>
        <v/>
      </c>
      <c r="CM616" s="129">
        <f>IFERROR(if($Y616=0,BB616*($W616/1.2),BB616*$Y616),"")</f>
        <v/>
      </c>
      <c r="CN616" s="129">
        <f>IFERROR(if($Y616=0,BC616*($W616/1.2),BC616*$Y616),"")</f>
        <v/>
      </c>
      <c r="CO616" s="130">
        <f>IFERROR(if($AA616=0,($W616/1.35)*BD616,BD616*$AA616),)</f>
        <v/>
      </c>
      <c r="CP616" s="130">
        <f>IFERROR(if($AA616=0,($W616/1.35)*BE616,BE616*$AA616),)</f>
        <v/>
      </c>
      <c r="CQ616" s="130">
        <f>IFERROR(if($AA616=0,($W616/1.35)*BF616,BF616*$AA616),)</f>
        <v/>
      </c>
      <c r="CR616" s="128">
        <f>IFERROR(if($AC616=0,($W616/0.74)*BG616,
BG616*$AC616),)</f>
        <v/>
      </c>
      <c r="CS616" s="128">
        <f>IFERROR(if($AC616=0,($W616/0.74)*BH616,
BH616*$AC616),)</f>
        <v/>
      </c>
      <c r="CT616" s="128">
        <f>IFERROR(if($AC616=0,($W616/0.74)*BI616,
BI616*$AC616),)</f>
        <v/>
      </c>
      <c r="CU616" s="128">
        <f>IFERROR(AI616*$V616,)</f>
        <v/>
      </c>
      <c r="CV616" s="128">
        <f>IFERROR(AJ616*$V616,)</f>
        <v/>
      </c>
      <c r="CW616" s="128">
        <f>IFERROR(AK616*$V616,)</f>
        <v/>
      </c>
      <c r="CX616" s="128">
        <f>IFERROR(AL616*$V616,)</f>
        <v/>
      </c>
      <c r="CY616" s="128">
        <f>IFERROR(AM616*$V616,)</f>
        <v/>
      </c>
      <c r="CZ616" s="128">
        <f>IFERROR(AN616*$V616,)</f>
        <v/>
      </c>
      <c r="DA616" s="128">
        <f>IFERROR(AO616*$V616,)</f>
        <v/>
      </c>
      <c r="DB616" s="128">
        <f>IFERROR(AP616*$V616,)</f>
        <v/>
      </c>
      <c r="DC616" s="128">
        <f>IFERROR(AQ616*$V616,)</f>
        <v/>
      </c>
      <c r="DD616" s="128">
        <f>IFERROR(AR616*$V616,)</f>
        <v/>
      </c>
      <c r="DE616" s="128">
        <f>IFERROR(AS616*$V616,)</f>
        <v/>
      </c>
      <c r="DF616" s="128">
        <f>IFERROR(AT616*$V616,)</f>
        <v/>
      </c>
      <c r="DG616" s="128">
        <f>IFERROR(AU616*$V616,)</f>
        <v/>
      </c>
      <c r="DH616" s="128">
        <f>IFERROR(AV616*$V616,)</f>
        <v/>
      </c>
      <c r="DI616" s="128">
        <f>IFERROR(AW616*$V616,)</f>
        <v/>
      </c>
      <c r="DJ616" s="128">
        <f>IFERROR(AX616*$V616,)</f>
        <v/>
      </c>
      <c r="DK616" s="128">
        <f>IFERROR(AY616*$V616,)</f>
        <v/>
      </c>
      <c r="DL616" s="128">
        <f>IFERROR(AZ616*$V616,)</f>
        <v/>
      </c>
      <c r="DM616" s="129">
        <f>IFERROR(if($X616=0,($V616/1.2)*BA616,
BA616*$X616),)</f>
        <v/>
      </c>
      <c r="DN616" s="129">
        <f>IFERROR(if($X616=0,($V616/1.2)*BB616,
BB616*$X616),)</f>
        <v/>
      </c>
      <c r="DO616" s="129">
        <f>IFERROR(if($X616=0,($V616/1.2)*BC616,
BC616*$X616),)</f>
        <v/>
      </c>
      <c r="DP616" s="130">
        <f>IFERROR(if($Z616=0,($V616/1.35)*BD616,
BD616*$Z616),)</f>
        <v/>
      </c>
      <c r="DQ616" s="130">
        <f>IFERROR(if($Z616=0,($V616/1.35)*BE616,
BE616*$Z616),)</f>
        <v/>
      </c>
      <c r="DR616" s="130">
        <f>IFERROR(if($Z616=0,($V616/1.35)*BF616,
BF616*$Z616),)</f>
        <v/>
      </c>
      <c r="DS616" s="128">
        <f>IFERROR(IF($AB616=0,($V616/0.74)*BG616,
BG616*$AB616),)</f>
        <v/>
      </c>
      <c r="DT616" s="128">
        <f>IFERROR(IF($AB616=0,($V616/0.74)*BH616,
BH616*$AB616),)</f>
        <v/>
      </c>
      <c r="DU616" s="128">
        <f>IFERROR(IF($AB616=0,($V616/0.74)*BI616,
BI616*$AB616),)</f>
        <v/>
      </c>
    </row>
    <row r="617" ht="131.25" customHeight="1" s="162">
      <c r="A617" s="115" t="n"/>
      <c r="B617" s="115" t="n"/>
      <c r="C617" s="115" t="n"/>
      <c r="D617" s="115" t="n"/>
      <c r="E617" s="115" t="n"/>
      <c r="F617" s="115" t="n"/>
      <c r="G617" s="115" t="n"/>
      <c r="H617" s="115" t="n"/>
      <c r="I617" s="115" t="n"/>
      <c r="J617" s="115" t="n"/>
      <c r="K617" s="115" t="n"/>
      <c r="L617" s="115" t="n"/>
      <c r="M617" s="115" t="n"/>
      <c r="N617" s="115" t="n"/>
      <c r="O617" s="115" t="n"/>
      <c r="P617" s="115" t="n"/>
      <c r="Q617" s="115" t="n"/>
      <c r="R617" s="115" t="n"/>
      <c r="S617" s="115" t="n"/>
      <c r="T617" s="115" t="n"/>
      <c r="U617" s="116" t="n"/>
      <c r="V617" s="116" t="n"/>
      <c r="W617" s="117" t="n"/>
      <c r="X617" s="118" t="n"/>
      <c r="Y617" s="119" t="n"/>
      <c r="Z617" s="120" t="n"/>
      <c r="AA617" s="121" t="n"/>
      <c r="AB617" s="122" t="n"/>
      <c r="AC617" s="117" t="n"/>
      <c r="AD617" s="123">
        <f>IF(SUM($AE617:$AH617)=0,"",SUM($AE617:$AH617))</f>
        <v/>
      </c>
      <c r="AE617" s="123">
        <f>iferror(IF(SUM($AI617:$AZ617)=0,"",SUM($AI617:$AZ617)),"")</f>
        <v/>
      </c>
      <c r="AF617" s="123">
        <f>iferror(IF(SUM($BA617:$BC617)=0,"",SUM($BA617:$BC617)),"")</f>
        <v/>
      </c>
      <c r="AG617" s="123">
        <f>iferror(IF(SUM($BD617:$BF617)=0,"",SUM($BD617:$BF617)),"")</f>
        <v/>
      </c>
      <c r="AH617" s="124">
        <f>iferror(IF(SUM($BG617:$BI617)=0,"",SUM($BG617:$BI617)),"")</f>
        <v/>
      </c>
      <c r="AI617" s="131" t="n"/>
      <c r="AJ617" s="132" t="n"/>
      <c r="AK617" s="132" t="n"/>
      <c r="AL617" s="132" t="n"/>
      <c r="AM617" s="132" t="n"/>
      <c r="AN617" s="132" t="n"/>
      <c r="AO617" s="132" t="n"/>
      <c r="AP617" s="132" t="n"/>
      <c r="AQ617" s="132" t="n"/>
      <c r="AR617" s="132" t="n"/>
      <c r="AS617" s="132" t="n"/>
      <c r="AT617" s="132" t="n"/>
      <c r="AU617" s="132" t="n"/>
      <c r="AV617" s="132" t="n"/>
      <c r="AW617" s="132" t="n"/>
      <c r="AX617" s="132" t="n"/>
      <c r="AY617" s="132" t="n"/>
      <c r="AZ617" s="133" t="n"/>
      <c r="BA617" s="131" t="n"/>
      <c r="BB617" s="132" t="n"/>
      <c r="BC617" s="133" t="n"/>
      <c r="BD617" s="131" t="n"/>
      <c r="BE617" s="132" t="n"/>
      <c r="BF617" s="133" t="n"/>
      <c r="BG617" s="131" t="n"/>
      <c r="BH617" s="132" t="n"/>
      <c r="BI617" s="132" t="n"/>
      <c r="BJ617" s="128">
        <f>iferror(SUM($BK617,($BL617*1.2),($BM617*1.35),($BN617*0.74)),)</f>
        <v/>
      </c>
      <c r="BK617" s="128">
        <f>IFERROR(SUM($BT617:$CK617),)</f>
        <v/>
      </c>
      <c r="BL617" s="129">
        <f>IFERROR(SUM($CL617:$CN617),)</f>
        <v/>
      </c>
      <c r="BM617" s="130">
        <f>IFERROR(SUM($CO617:$CQ617),)</f>
        <v/>
      </c>
      <c r="BN617" s="128">
        <f>IFERROR(SUM($CR617:$CT617),)</f>
        <v/>
      </c>
      <c r="BO617" s="128">
        <f>iferror(SUM($BP617,($BQ617*1.2),($BR617*1.35),($BS617*0.74)),)</f>
        <v/>
      </c>
      <c r="BP617" s="128">
        <f>IFERROR(SUM($CU617:$DL617),)</f>
        <v/>
      </c>
      <c r="BQ617" s="128">
        <f>IFERROR(SUM($DM617:$DO617),)</f>
        <v/>
      </c>
      <c r="BR617" s="128">
        <f>IFERROR(SUM($DP617:$DR617),)</f>
        <v/>
      </c>
      <c r="BS617" s="128">
        <f>IFERROR(SUM($DS617:$DU617),)</f>
        <v/>
      </c>
      <c r="BT617" s="128">
        <f>IFERROR(AI617*$W617,)</f>
        <v/>
      </c>
      <c r="BU617" s="128">
        <f>IFERROR(AJ617*$W617,)</f>
        <v/>
      </c>
      <c r="BV617" s="128">
        <f>IFERROR(AK617*$W617,)</f>
        <v/>
      </c>
      <c r="BW617" s="128">
        <f>IFERROR(AL617*$W617,)</f>
        <v/>
      </c>
      <c r="BX617" s="128">
        <f>IFERROR(AM617*$W617,)</f>
        <v/>
      </c>
      <c r="BY617" s="128">
        <f>IFERROR(AN617*$W617,)</f>
        <v/>
      </c>
      <c r="BZ617" s="128">
        <f>IFERROR(AO617*$W617,)</f>
        <v/>
      </c>
      <c r="CA617" s="128">
        <f>IFERROR(AP617*$W617,)</f>
        <v/>
      </c>
      <c r="CB617" s="128">
        <f>IFERROR(AQ617*$W617,)</f>
        <v/>
      </c>
      <c r="CC617" s="128">
        <f>IFERROR(AR617*$W617,)</f>
        <v/>
      </c>
      <c r="CD617" s="128">
        <f>IFERROR(AS617*$W617,)</f>
        <v/>
      </c>
      <c r="CE617" s="128">
        <f>IFERROR(AT617*$W617,)</f>
        <v/>
      </c>
      <c r="CF617" s="128">
        <f>IFERROR(AU617*$W617,)</f>
        <v/>
      </c>
      <c r="CG617" s="128">
        <f>IFERROR(AV617*$W617,)</f>
        <v/>
      </c>
      <c r="CH617" s="128">
        <f>IFERROR(AW617*$W617,)</f>
        <v/>
      </c>
      <c r="CI617" s="128">
        <f>IFERROR(AX617*$W617,)</f>
        <v/>
      </c>
      <c r="CJ617" s="128">
        <f>IFERROR(AY617*$W617,)</f>
        <v/>
      </c>
      <c r="CK617" s="128">
        <f>IFERROR(AZ617*$W617,)</f>
        <v/>
      </c>
      <c r="CL617" s="129">
        <f>IFERROR(if($Y617=0,BA617*($W617/1.2),BA617*$Y617),"")</f>
        <v/>
      </c>
      <c r="CM617" s="129">
        <f>IFERROR(if($Y617=0,BB617*($W617/1.2),BB617*$Y617),"")</f>
        <v/>
      </c>
      <c r="CN617" s="129">
        <f>IFERROR(if($Y617=0,BC617*($W617/1.2),BC617*$Y617),"")</f>
        <v/>
      </c>
      <c r="CO617" s="130">
        <f>IFERROR(if($AA617=0,($W617/1.35)*BD617,BD617*$AA617),)</f>
        <v/>
      </c>
      <c r="CP617" s="130">
        <f>IFERROR(if($AA617=0,($W617/1.35)*BE617,BE617*$AA617),)</f>
        <v/>
      </c>
      <c r="CQ617" s="130">
        <f>IFERROR(if($AA617=0,($W617/1.35)*BF617,BF617*$AA617),)</f>
        <v/>
      </c>
      <c r="CR617" s="128">
        <f>IFERROR(if($AC617=0,($W617/0.74)*BG617,
BG617*$AC617),)</f>
        <v/>
      </c>
      <c r="CS617" s="128">
        <f>IFERROR(if($AC617=0,($W617/0.74)*BH617,
BH617*$AC617),)</f>
        <v/>
      </c>
      <c r="CT617" s="128">
        <f>IFERROR(if($AC617=0,($W617/0.74)*BI617,
BI617*$AC617),)</f>
        <v/>
      </c>
      <c r="CU617" s="128">
        <f>IFERROR(AI617*$V617,)</f>
        <v/>
      </c>
      <c r="CV617" s="128">
        <f>IFERROR(AJ617*$V617,)</f>
        <v/>
      </c>
      <c r="CW617" s="128">
        <f>IFERROR(AK617*$V617,)</f>
        <v/>
      </c>
      <c r="CX617" s="128">
        <f>IFERROR(AL617*$V617,)</f>
        <v/>
      </c>
      <c r="CY617" s="128">
        <f>IFERROR(AM617*$V617,)</f>
        <v/>
      </c>
      <c r="CZ617" s="128">
        <f>IFERROR(AN617*$V617,)</f>
        <v/>
      </c>
      <c r="DA617" s="128">
        <f>IFERROR(AO617*$V617,)</f>
        <v/>
      </c>
      <c r="DB617" s="128">
        <f>IFERROR(AP617*$V617,)</f>
        <v/>
      </c>
      <c r="DC617" s="128">
        <f>IFERROR(AQ617*$V617,)</f>
        <v/>
      </c>
      <c r="DD617" s="128">
        <f>IFERROR(AR617*$V617,)</f>
        <v/>
      </c>
      <c r="DE617" s="128">
        <f>IFERROR(AS617*$V617,)</f>
        <v/>
      </c>
      <c r="DF617" s="128">
        <f>IFERROR(AT617*$V617,)</f>
        <v/>
      </c>
      <c r="DG617" s="128">
        <f>IFERROR(AU617*$V617,)</f>
        <v/>
      </c>
      <c r="DH617" s="128">
        <f>IFERROR(AV617*$V617,)</f>
        <v/>
      </c>
      <c r="DI617" s="128">
        <f>IFERROR(AW617*$V617,)</f>
        <v/>
      </c>
      <c r="DJ617" s="128">
        <f>IFERROR(AX617*$V617,)</f>
        <v/>
      </c>
      <c r="DK617" s="128">
        <f>IFERROR(AY617*$V617,)</f>
        <v/>
      </c>
      <c r="DL617" s="128">
        <f>IFERROR(AZ617*$V617,)</f>
        <v/>
      </c>
      <c r="DM617" s="129">
        <f>IFERROR(if($X617=0,($V617/1.2)*BA617,
BA617*$X617),)</f>
        <v/>
      </c>
      <c r="DN617" s="129">
        <f>IFERROR(if($X617=0,($V617/1.2)*BB617,
BB617*$X617),)</f>
        <v/>
      </c>
      <c r="DO617" s="129">
        <f>IFERROR(if($X617=0,($V617/1.2)*BC617,
BC617*$X617),)</f>
        <v/>
      </c>
      <c r="DP617" s="130">
        <f>IFERROR(if($Z617=0,($V617/1.35)*BD617,
BD617*$Z617),)</f>
        <v/>
      </c>
      <c r="DQ617" s="130">
        <f>IFERROR(if($Z617=0,($V617/1.35)*BE617,
BE617*$Z617),)</f>
        <v/>
      </c>
      <c r="DR617" s="130">
        <f>IFERROR(if($Z617=0,($V617/1.35)*BF617,
BF617*$Z617),)</f>
        <v/>
      </c>
      <c r="DS617" s="128">
        <f>IFERROR(IF($AB617=0,($V617/0.74)*BG617,
BG617*$AB617),)</f>
        <v/>
      </c>
      <c r="DT617" s="128">
        <f>IFERROR(IF($AB617=0,($V617/0.74)*BH617,
BH617*$AB617),)</f>
        <v/>
      </c>
      <c r="DU617" s="128">
        <f>IFERROR(IF($AB617=0,($V617/0.74)*BI617,
BI617*$AB617),)</f>
        <v/>
      </c>
    </row>
    <row r="618" ht="131.25" customHeight="1" s="162">
      <c r="A618" s="115" t="n"/>
      <c r="B618" s="115" t="n"/>
      <c r="C618" s="115" t="n"/>
      <c r="D618" s="115" t="n"/>
      <c r="E618" s="115" t="n"/>
      <c r="F618" s="115" t="n"/>
      <c r="G618" s="115" t="n"/>
      <c r="H618" s="115" t="n"/>
      <c r="I618" s="115" t="n"/>
      <c r="J618" s="115" t="n"/>
      <c r="K618" s="115" t="n"/>
      <c r="L618" s="115" t="n"/>
      <c r="M618" s="115" t="n"/>
      <c r="N618" s="115" t="n"/>
      <c r="O618" s="115" t="n"/>
      <c r="P618" s="115" t="n"/>
      <c r="Q618" s="115" t="n"/>
      <c r="R618" s="115" t="n"/>
      <c r="S618" s="115" t="n"/>
      <c r="T618" s="115" t="n"/>
      <c r="U618" s="116" t="n"/>
      <c r="V618" s="116" t="n"/>
      <c r="W618" s="117" t="n"/>
      <c r="X618" s="118" t="n"/>
      <c r="Y618" s="119" t="n"/>
      <c r="Z618" s="120" t="n"/>
      <c r="AA618" s="121" t="n"/>
      <c r="AB618" s="122" t="n"/>
      <c r="AC618" s="117" t="n"/>
      <c r="AD618" s="123">
        <f>IF(SUM($AE618:$AH618)=0,"",SUM($AE618:$AH618))</f>
        <v/>
      </c>
      <c r="AE618" s="123">
        <f>iferror(IF(SUM($AI618:$AZ618)=0,"",SUM($AI618:$AZ618)),"")</f>
        <v/>
      </c>
      <c r="AF618" s="123">
        <f>iferror(IF(SUM($BA618:$BC618)=0,"",SUM($BA618:$BC618)),"")</f>
        <v/>
      </c>
      <c r="AG618" s="123">
        <f>iferror(IF(SUM($BD618:$BF618)=0,"",SUM($BD618:$BF618)),"")</f>
        <v/>
      </c>
      <c r="AH618" s="124">
        <f>iferror(IF(SUM($BG618:$BI618)=0,"",SUM($BG618:$BI618)),"")</f>
        <v/>
      </c>
      <c r="AI618" s="131" t="n"/>
      <c r="AJ618" s="132" t="n"/>
      <c r="AK618" s="132" t="n"/>
      <c r="AL618" s="132" t="n"/>
      <c r="AM618" s="132" t="n"/>
      <c r="AN618" s="132" t="n"/>
      <c r="AO618" s="132" t="n"/>
      <c r="AP618" s="132" t="n"/>
      <c r="AQ618" s="132" t="n"/>
      <c r="AR618" s="132" t="n"/>
      <c r="AS618" s="132" t="n"/>
      <c r="AT618" s="132" t="n"/>
      <c r="AU618" s="132" t="n"/>
      <c r="AV618" s="132" t="n"/>
      <c r="AW618" s="132" t="n"/>
      <c r="AX618" s="132" t="n"/>
      <c r="AY618" s="132" t="n"/>
      <c r="AZ618" s="133" t="n"/>
      <c r="BA618" s="131" t="n"/>
      <c r="BB618" s="132" t="n"/>
      <c r="BC618" s="133" t="n"/>
      <c r="BD618" s="131" t="n"/>
      <c r="BE618" s="132" t="n"/>
      <c r="BF618" s="133" t="n"/>
      <c r="BG618" s="131" t="n"/>
      <c r="BH618" s="132" t="n"/>
      <c r="BI618" s="132" t="n"/>
      <c r="BJ618" s="128">
        <f>iferror(SUM($BK618,($BL618*1.2),($BM618*1.35),($BN618*0.74)),)</f>
        <v/>
      </c>
      <c r="BK618" s="128">
        <f>IFERROR(SUM($BT618:$CK618),)</f>
        <v/>
      </c>
      <c r="BL618" s="129">
        <f>IFERROR(SUM($CL618:$CN618),)</f>
        <v/>
      </c>
      <c r="BM618" s="130">
        <f>IFERROR(SUM($CO618:$CQ618),)</f>
        <v/>
      </c>
      <c r="BN618" s="128">
        <f>IFERROR(SUM($CR618:$CT618),)</f>
        <v/>
      </c>
      <c r="BO618" s="128">
        <f>iferror(SUM($BP618,($BQ618*1.2),($BR618*1.35),($BS618*0.74)),)</f>
        <v/>
      </c>
      <c r="BP618" s="128">
        <f>IFERROR(SUM($CU618:$DL618),)</f>
        <v/>
      </c>
      <c r="BQ618" s="128">
        <f>IFERROR(SUM($DM618:$DO618),)</f>
        <v/>
      </c>
      <c r="BR618" s="128">
        <f>IFERROR(SUM($DP618:$DR618),)</f>
        <v/>
      </c>
      <c r="BS618" s="128">
        <f>IFERROR(SUM($DS618:$DU618),)</f>
        <v/>
      </c>
      <c r="BT618" s="128">
        <f>IFERROR(AI618*$W618,)</f>
        <v/>
      </c>
      <c r="BU618" s="128">
        <f>IFERROR(AJ618*$W618,)</f>
        <v/>
      </c>
      <c r="BV618" s="128">
        <f>IFERROR(AK618*$W618,)</f>
        <v/>
      </c>
      <c r="BW618" s="128">
        <f>IFERROR(AL618*$W618,)</f>
        <v/>
      </c>
      <c r="BX618" s="128">
        <f>IFERROR(AM618*$W618,)</f>
        <v/>
      </c>
      <c r="BY618" s="128">
        <f>IFERROR(AN618*$W618,)</f>
        <v/>
      </c>
      <c r="BZ618" s="128">
        <f>IFERROR(AO618*$W618,)</f>
        <v/>
      </c>
      <c r="CA618" s="128">
        <f>IFERROR(AP618*$W618,)</f>
        <v/>
      </c>
      <c r="CB618" s="128">
        <f>IFERROR(AQ618*$W618,)</f>
        <v/>
      </c>
      <c r="CC618" s="128">
        <f>IFERROR(AR618*$W618,)</f>
        <v/>
      </c>
      <c r="CD618" s="128">
        <f>IFERROR(AS618*$W618,)</f>
        <v/>
      </c>
      <c r="CE618" s="128">
        <f>IFERROR(AT618*$W618,)</f>
        <v/>
      </c>
      <c r="CF618" s="128">
        <f>IFERROR(AU618*$W618,)</f>
        <v/>
      </c>
      <c r="CG618" s="128">
        <f>IFERROR(AV618*$W618,)</f>
        <v/>
      </c>
      <c r="CH618" s="128">
        <f>IFERROR(AW618*$W618,)</f>
        <v/>
      </c>
      <c r="CI618" s="128">
        <f>IFERROR(AX618*$W618,)</f>
        <v/>
      </c>
      <c r="CJ618" s="128">
        <f>IFERROR(AY618*$W618,)</f>
        <v/>
      </c>
      <c r="CK618" s="128">
        <f>IFERROR(AZ618*$W618,)</f>
        <v/>
      </c>
      <c r="CL618" s="129">
        <f>IFERROR(if($Y618=0,BA618*($W618/1.2),BA618*$Y618),"")</f>
        <v/>
      </c>
      <c r="CM618" s="129">
        <f>IFERROR(if($Y618=0,BB618*($W618/1.2),BB618*$Y618),"")</f>
        <v/>
      </c>
      <c r="CN618" s="129">
        <f>IFERROR(if($Y618=0,BC618*($W618/1.2),BC618*$Y618),"")</f>
        <v/>
      </c>
      <c r="CO618" s="130">
        <f>IFERROR(if($AA618=0,($W618/1.35)*BD618,BD618*$AA618),)</f>
        <v/>
      </c>
      <c r="CP618" s="130">
        <f>IFERROR(if($AA618=0,($W618/1.35)*BE618,BE618*$AA618),)</f>
        <v/>
      </c>
      <c r="CQ618" s="130">
        <f>IFERROR(if($AA618=0,($W618/1.35)*BF618,BF618*$AA618),)</f>
        <v/>
      </c>
      <c r="CR618" s="128">
        <f>IFERROR(if($AC618=0,($W618/0.74)*BG618,
BG618*$AC618),)</f>
        <v/>
      </c>
      <c r="CS618" s="128">
        <f>IFERROR(if($AC618=0,($W618/0.74)*BH618,
BH618*$AC618),)</f>
        <v/>
      </c>
      <c r="CT618" s="128">
        <f>IFERROR(if($AC618=0,($W618/0.74)*BI618,
BI618*$AC618),)</f>
        <v/>
      </c>
      <c r="CU618" s="128">
        <f>IFERROR(AI618*$V618,)</f>
        <v/>
      </c>
      <c r="CV618" s="128">
        <f>IFERROR(AJ618*$V618,)</f>
        <v/>
      </c>
      <c r="CW618" s="128">
        <f>IFERROR(AK618*$V618,)</f>
        <v/>
      </c>
      <c r="CX618" s="128">
        <f>IFERROR(AL618*$V618,)</f>
        <v/>
      </c>
      <c r="CY618" s="128">
        <f>IFERROR(AM618*$V618,)</f>
        <v/>
      </c>
      <c r="CZ618" s="128">
        <f>IFERROR(AN618*$V618,)</f>
        <v/>
      </c>
      <c r="DA618" s="128">
        <f>IFERROR(AO618*$V618,)</f>
        <v/>
      </c>
      <c r="DB618" s="128">
        <f>IFERROR(AP618*$V618,)</f>
        <v/>
      </c>
      <c r="DC618" s="128">
        <f>IFERROR(AQ618*$V618,)</f>
        <v/>
      </c>
      <c r="DD618" s="128">
        <f>IFERROR(AR618*$V618,)</f>
        <v/>
      </c>
      <c r="DE618" s="128">
        <f>IFERROR(AS618*$V618,)</f>
        <v/>
      </c>
      <c r="DF618" s="128">
        <f>IFERROR(AT618*$V618,)</f>
        <v/>
      </c>
      <c r="DG618" s="128">
        <f>IFERROR(AU618*$V618,)</f>
        <v/>
      </c>
      <c r="DH618" s="128">
        <f>IFERROR(AV618*$V618,)</f>
        <v/>
      </c>
      <c r="DI618" s="128">
        <f>IFERROR(AW618*$V618,)</f>
        <v/>
      </c>
      <c r="DJ618" s="128">
        <f>IFERROR(AX618*$V618,)</f>
        <v/>
      </c>
      <c r="DK618" s="128">
        <f>IFERROR(AY618*$V618,)</f>
        <v/>
      </c>
      <c r="DL618" s="128">
        <f>IFERROR(AZ618*$V618,)</f>
        <v/>
      </c>
      <c r="DM618" s="129">
        <f>IFERROR(if($X618=0,($V618/1.2)*BA618,
BA618*$X618),)</f>
        <v/>
      </c>
      <c r="DN618" s="129">
        <f>IFERROR(if($X618=0,($V618/1.2)*BB618,
BB618*$X618),)</f>
        <v/>
      </c>
      <c r="DO618" s="129">
        <f>IFERROR(if($X618=0,($V618/1.2)*BC618,
BC618*$X618),)</f>
        <v/>
      </c>
      <c r="DP618" s="130">
        <f>IFERROR(if($Z618=0,($V618/1.35)*BD618,
BD618*$Z618),)</f>
        <v/>
      </c>
      <c r="DQ618" s="130">
        <f>IFERROR(if($Z618=0,($V618/1.35)*BE618,
BE618*$Z618),)</f>
        <v/>
      </c>
      <c r="DR618" s="130">
        <f>IFERROR(if($Z618=0,($V618/1.35)*BF618,
BF618*$Z618),)</f>
        <v/>
      </c>
      <c r="DS618" s="128">
        <f>IFERROR(IF($AB618=0,($V618/0.74)*BG618,
BG618*$AB618),)</f>
        <v/>
      </c>
      <c r="DT618" s="128">
        <f>IFERROR(IF($AB618=0,($V618/0.74)*BH618,
BH618*$AB618),)</f>
        <v/>
      </c>
      <c r="DU618" s="128">
        <f>IFERROR(IF($AB618=0,($V618/0.74)*BI618,
BI618*$AB618),)</f>
        <v/>
      </c>
    </row>
    <row r="619" ht="131.25" customHeight="1" s="162">
      <c r="A619" s="115" t="n"/>
      <c r="B619" s="115" t="n"/>
      <c r="C619" s="115" t="n"/>
      <c r="D619" s="115" t="n"/>
      <c r="E619" s="115" t="n"/>
      <c r="F619" s="115" t="n"/>
      <c r="G619" s="115" t="n"/>
      <c r="H619" s="115" t="n"/>
      <c r="I619" s="115" t="n"/>
      <c r="J619" s="115" t="n"/>
      <c r="K619" s="115" t="n"/>
      <c r="L619" s="115" t="n"/>
      <c r="M619" s="115" t="n"/>
      <c r="N619" s="115" t="n"/>
      <c r="O619" s="115" t="n"/>
      <c r="P619" s="115" t="n"/>
      <c r="Q619" s="115" t="n"/>
      <c r="R619" s="115" t="n"/>
      <c r="S619" s="115" t="n"/>
      <c r="T619" s="115" t="n"/>
      <c r="U619" s="116" t="n"/>
      <c r="V619" s="116" t="n"/>
      <c r="W619" s="117" t="n"/>
      <c r="X619" s="118" t="n"/>
      <c r="Y619" s="119" t="n"/>
      <c r="Z619" s="120" t="n"/>
      <c r="AA619" s="121" t="n"/>
      <c r="AB619" s="122" t="n"/>
      <c r="AC619" s="117" t="n"/>
      <c r="AD619" s="123">
        <f>IF(SUM($AE619:$AH619)=0,"",SUM($AE619:$AH619))</f>
        <v/>
      </c>
      <c r="AE619" s="123">
        <f>iferror(IF(SUM($AI619:$AZ619)=0,"",SUM($AI619:$AZ619)),"")</f>
        <v/>
      </c>
      <c r="AF619" s="123">
        <f>iferror(IF(SUM($BA619:$BC619)=0,"",SUM($BA619:$BC619)),"")</f>
        <v/>
      </c>
      <c r="AG619" s="123">
        <f>iferror(IF(SUM($BD619:$BF619)=0,"",SUM($BD619:$BF619)),"")</f>
        <v/>
      </c>
      <c r="AH619" s="124">
        <f>iferror(IF(SUM($BG619:$BI619)=0,"",SUM($BG619:$BI619)),"")</f>
        <v/>
      </c>
      <c r="AI619" s="131" t="n"/>
      <c r="AJ619" s="132" t="n"/>
      <c r="AK619" s="132" t="n"/>
      <c r="AL619" s="132" t="n"/>
      <c r="AM619" s="132" t="n"/>
      <c r="AN619" s="132" t="n"/>
      <c r="AO619" s="132" t="n"/>
      <c r="AP619" s="132" t="n"/>
      <c r="AQ619" s="132" t="n"/>
      <c r="AR619" s="132" t="n"/>
      <c r="AS619" s="132" t="n"/>
      <c r="AT619" s="132" t="n"/>
      <c r="AU619" s="132" t="n"/>
      <c r="AV619" s="132" t="n"/>
      <c r="AW619" s="132" t="n"/>
      <c r="AX619" s="132" t="n"/>
      <c r="AY619" s="132" t="n"/>
      <c r="AZ619" s="133" t="n"/>
      <c r="BA619" s="131" t="n"/>
      <c r="BB619" s="132" t="n"/>
      <c r="BC619" s="133" t="n"/>
      <c r="BD619" s="131" t="n"/>
      <c r="BE619" s="132" t="n"/>
      <c r="BF619" s="133" t="n"/>
      <c r="BG619" s="131" t="n"/>
      <c r="BH619" s="132" t="n"/>
      <c r="BI619" s="132" t="n"/>
      <c r="BJ619" s="128">
        <f>iferror(SUM($BK619,($BL619*1.2),($BM619*1.35),($BN619*0.74)),)</f>
        <v/>
      </c>
      <c r="BK619" s="128">
        <f>IFERROR(SUM($BT619:$CK619),)</f>
        <v/>
      </c>
      <c r="BL619" s="129">
        <f>IFERROR(SUM($CL619:$CN619),)</f>
        <v/>
      </c>
      <c r="BM619" s="130">
        <f>IFERROR(SUM($CO619:$CQ619),)</f>
        <v/>
      </c>
      <c r="BN619" s="128">
        <f>IFERROR(SUM($CR619:$CT619),)</f>
        <v/>
      </c>
      <c r="BO619" s="128">
        <f>iferror(SUM($BP619,($BQ619*1.2),($BR619*1.35),($BS619*0.74)),)</f>
        <v/>
      </c>
      <c r="BP619" s="128">
        <f>IFERROR(SUM($CU619:$DL619),)</f>
        <v/>
      </c>
      <c r="BQ619" s="128">
        <f>IFERROR(SUM($DM619:$DO619),)</f>
        <v/>
      </c>
      <c r="BR619" s="128">
        <f>IFERROR(SUM($DP619:$DR619),)</f>
        <v/>
      </c>
      <c r="BS619" s="128">
        <f>IFERROR(SUM($DS619:$DU619),)</f>
        <v/>
      </c>
      <c r="BT619" s="128">
        <f>IFERROR(AI619*$W619,)</f>
        <v/>
      </c>
      <c r="BU619" s="128">
        <f>IFERROR(AJ619*$W619,)</f>
        <v/>
      </c>
      <c r="BV619" s="128">
        <f>IFERROR(AK619*$W619,)</f>
        <v/>
      </c>
      <c r="BW619" s="128">
        <f>IFERROR(AL619*$W619,)</f>
        <v/>
      </c>
      <c r="BX619" s="128">
        <f>IFERROR(AM619*$W619,)</f>
        <v/>
      </c>
      <c r="BY619" s="128">
        <f>IFERROR(AN619*$W619,)</f>
        <v/>
      </c>
      <c r="BZ619" s="128">
        <f>IFERROR(AO619*$W619,)</f>
        <v/>
      </c>
      <c r="CA619" s="128">
        <f>IFERROR(AP619*$W619,)</f>
        <v/>
      </c>
      <c r="CB619" s="128">
        <f>IFERROR(AQ619*$W619,)</f>
        <v/>
      </c>
      <c r="CC619" s="128">
        <f>IFERROR(AR619*$W619,)</f>
        <v/>
      </c>
      <c r="CD619" s="128">
        <f>IFERROR(AS619*$W619,)</f>
        <v/>
      </c>
      <c r="CE619" s="128">
        <f>IFERROR(AT619*$W619,)</f>
        <v/>
      </c>
      <c r="CF619" s="128">
        <f>IFERROR(AU619*$W619,)</f>
        <v/>
      </c>
      <c r="CG619" s="128">
        <f>IFERROR(AV619*$W619,)</f>
        <v/>
      </c>
      <c r="CH619" s="128">
        <f>IFERROR(AW619*$W619,)</f>
        <v/>
      </c>
      <c r="CI619" s="128">
        <f>IFERROR(AX619*$W619,)</f>
        <v/>
      </c>
      <c r="CJ619" s="128">
        <f>IFERROR(AY619*$W619,)</f>
        <v/>
      </c>
      <c r="CK619" s="128">
        <f>IFERROR(AZ619*$W619,)</f>
        <v/>
      </c>
      <c r="CL619" s="129">
        <f>IFERROR(if($Y619=0,BA619*($W619/1.2),BA619*$Y619),"")</f>
        <v/>
      </c>
      <c r="CM619" s="129">
        <f>IFERROR(if($Y619=0,BB619*($W619/1.2),BB619*$Y619),"")</f>
        <v/>
      </c>
      <c r="CN619" s="129">
        <f>IFERROR(if($Y619=0,BC619*($W619/1.2),BC619*$Y619),"")</f>
        <v/>
      </c>
      <c r="CO619" s="130">
        <f>IFERROR(if($AA619=0,($W619/1.35)*BD619,BD619*$AA619),)</f>
        <v/>
      </c>
      <c r="CP619" s="130">
        <f>IFERROR(if($AA619=0,($W619/1.35)*BE619,BE619*$AA619),)</f>
        <v/>
      </c>
      <c r="CQ619" s="130">
        <f>IFERROR(if($AA619=0,($W619/1.35)*BF619,BF619*$AA619),)</f>
        <v/>
      </c>
      <c r="CR619" s="128">
        <f>IFERROR(if($AC619=0,($W619/0.74)*BG619,
BG619*$AC619),)</f>
        <v/>
      </c>
      <c r="CS619" s="128">
        <f>IFERROR(if($AC619=0,($W619/0.74)*BH619,
BH619*$AC619),)</f>
        <v/>
      </c>
      <c r="CT619" s="128">
        <f>IFERROR(if($AC619=0,($W619/0.74)*BI619,
BI619*$AC619),)</f>
        <v/>
      </c>
      <c r="CU619" s="128">
        <f>IFERROR(AI619*$V619,)</f>
        <v/>
      </c>
      <c r="CV619" s="128">
        <f>IFERROR(AJ619*$V619,)</f>
        <v/>
      </c>
      <c r="CW619" s="128">
        <f>IFERROR(AK619*$V619,)</f>
        <v/>
      </c>
      <c r="CX619" s="128">
        <f>IFERROR(AL619*$V619,)</f>
        <v/>
      </c>
      <c r="CY619" s="128">
        <f>IFERROR(AM619*$V619,)</f>
        <v/>
      </c>
      <c r="CZ619" s="128">
        <f>IFERROR(AN619*$V619,)</f>
        <v/>
      </c>
      <c r="DA619" s="128">
        <f>IFERROR(AO619*$V619,)</f>
        <v/>
      </c>
      <c r="DB619" s="128">
        <f>IFERROR(AP619*$V619,)</f>
        <v/>
      </c>
      <c r="DC619" s="128">
        <f>IFERROR(AQ619*$V619,)</f>
        <v/>
      </c>
      <c r="DD619" s="128">
        <f>IFERROR(AR619*$V619,)</f>
        <v/>
      </c>
      <c r="DE619" s="128">
        <f>IFERROR(AS619*$V619,)</f>
        <v/>
      </c>
      <c r="DF619" s="128">
        <f>IFERROR(AT619*$V619,)</f>
        <v/>
      </c>
      <c r="DG619" s="128">
        <f>IFERROR(AU619*$V619,)</f>
        <v/>
      </c>
      <c r="DH619" s="128">
        <f>IFERROR(AV619*$V619,)</f>
        <v/>
      </c>
      <c r="DI619" s="128">
        <f>IFERROR(AW619*$V619,)</f>
        <v/>
      </c>
      <c r="DJ619" s="128">
        <f>IFERROR(AX619*$V619,)</f>
        <v/>
      </c>
      <c r="DK619" s="128">
        <f>IFERROR(AY619*$V619,)</f>
        <v/>
      </c>
      <c r="DL619" s="128">
        <f>IFERROR(AZ619*$V619,)</f>
        <v/>
      </c>
      <c r="DM619" s="129">
        <f>IFERROR(if($X619=0,($V619/1.2)*BA619,
BA619*$X619),)</f>
        <v/>
      </c>
      <c r="DN619" s="129">
        <f>IFERROR(if($X619=0,($V619/1.2)*BB619,
BB619*$X619),)</f>
        <v/>
      </c>
      <c r="DO619" s="129">
        <f>IFERROR(if($X619=0,($V619/1.2)*BC619,
BC619*$X619),)</f>
        <v/>
      </c>
      <c r="DP619" s="130">
        <f>IFERROR(if($Z619=0,($V619/1.35)*BD619,
BD619*$Z619),)</f>
        <v/>
      </c>
      <c r="DQ619" s="130">
        <f>IFERROR(if($Z619=0,($V619/1.35)*BE619,
BE619*$Z619),)</f>
        <v/>
      </c>
      <c r="DR619" s="130">
        <f>IFERROR(if($Z619=0,($V619/1.35)*BF619,
BF619*$Z619),)</f>
        <v/>
      </c>
      <c r="DS619" s="128">
        <f>IFERROR(IF($AB619=0,($V619/0.74)*BG619,
BG619*$AB619),)</f>
        <v/>
      </c>
      <c r="DT619" s="128">
        <f>IFERROR(IF($AB619=0,($V619/0.74)*BH619,
BH619*$AB619),)</f>
        <v/>
      </c>
      <c r="DU619" s="128">
        <f>IFERROR(IF($AB619=0,($V619/0.74)*BI619,
BI619*$AB619),)</f>
        <v/>
      </c>
    </row>
    <row r="620" ht="131.25" customHeight="1" s="162">
      <c r="A620" s="115" t="n"/>
      <c r="B620" s="115" t="n"/>
      <c r="C620" s="115" t="n"/>
      <c r="D620" s="115" t="n"/>
      <c r="E620" s="115" t="n"/>
      <c r="F620" s="115" t="n"/>
      <c r="G620" s="115" t="n"/>
      <c r="H620" s="115" t="n"/>
      <c r="I620" s="115" t="n"/>
      <c r="J620" s="115" t="n"/>
      <c r="K620" s="115" t="n"/>
      <c r="L620" s="115" t="n"/>
      <c r="M620" s="115" t="n"/>
      <c r="N620" s="115" t="n"/>
      <c r="O620" s="115" t="n"/>
      <c r="P620" s="115" t="n"/>
      <c r="Q620" s="115" t="n"/>
      <c r="R620" s="115" t="n"/>
      <c r="S620" s="115" t="n"/>
      <c r="T620" s="115" t="n"/>
      <c r="U620" s="116" t="n"/>
      <c r="V620" s="116" t="n"/>
      <c r="W620" s="117" t="n"/>
      <c r="X620" s="118" t="n"/>
      <c r="Y620" s="119" t="n"/>
      <c r="Z620" s="120" t="n"/>
      <c r="AA620" s="121" t="n"/>
      <c r="AB620" s="122" t="n"/>
      <c r="AC620" s="117" t="n"/>
      <c r="AD620" s="123">
        <f>IF(SUM($AE620:$AH620)=0,"",SUM($AE620:$AH620))</f>
        <v/>
      </c>
      <c r="AE620" s="123">
        <f>iferror(IF(SUM($AI620:$AZ620)=0,"",SUM($AI620:$AZ620)),"")</f>
        <v/>
      </c>
      <c r="AF620" s="123">
        <f>iferror(IF(SUM($BA620:$BC620)=0,"",SUM($BA620:$BC620)),"")</f>
        <v/>
      </c>
      <c r="AG620" s="123">
        <f>iferror(IF(SUM($BD620:$BF620)=0,"",SUM($BD620:$BF620)),"")</f>
        <v/>
      </c>
      <c r="AH620" s="124">
        <f>iferror(IF(SUM($BG620:$BI620)=0,"",SUM($BG620:$BI620)),"")</f>
        <v/>
      </c>
      <c r="AI620" s="131" t="n"/>
      <c r="AJ620" s="132" t="n"/>
      <c r="AK620" s="132" t="n"/>
      <c r="AL620" s="132" t="n"/>
      <c r="AM620" s="132" t="n"/>
      <c r="AN620" s="132" t="n"/>
      <c r="AO620" s="132" t="n"/>
      <c r="AP620" s="132" t="n"/>
      <c r="AQ620" s="132" t="n"/>
      <c r="AR620" s="132" t="n"/>
      <c r="AS620" s="132" t="n"/>
      <c r="AT620" s="132" t="n"/>
      <c r="AU620" s="132" t="n"/>
      <c r="AV620" s="132" t="n"/>
      <c r="AW620" s="132" t="n"/>
      <c r="AX620" s="132" t="n"/>
      <c r="AY620" s="132" t="n"/>
      <c r="AZ620" s="133" t="n"/>
      <c r="BA620" s="131" t="n"/>
      <c r="BB620" s="132" t="n"/>
      <c r="BC620" s="133" t="n"/>
      <c r="BD620" s="131" t="n"/>
      <c r="BE620" s="132" t="n"/>
      <c r="BF620" s="133" t="n"/>
      <c r="BG620" s="131" t="n"/>
      <c r="BH620" s="132" t="n"/>
      <c r="BI620" s="132" t="n"/>
      <c r="BJ620" s="128">
        <f>iferror(SUM($BK620,($BL620*1.2),($BM620*1.35),($BN620*0.74)),)</f>
        <v/>
      </c>
      <c r="BK620" s="128">
        <f>IFERROR(SUM($BT620:$CK620),)</f>
        <v/>
      </c>
      <c r="BL620" s="129">
        <f>IFERROR(SUM($CL620:$CN620),)</f>
        <v/>
      </c>
      <c r="BM620" s="130">
        <f>IFERROR(SUM($CO620:$CQ620),)</f>
        <v/>
      </c>
      <c r="BN620" s="128">
        <f>IFERROR(SUM($CR620:$CT620),)</f>
        <v/>
      </c>
      <c r="BO620" s="128">
        <f>iferror(SUM($BP620,($BQ620*1.2),($BR620*1.35),($BS620*0.74)),)</f>
        <v/>
      </c>
      <c r="BP620" s="128">
        <f>IFERROR(SUM($CU620:$DL620),)</f>
        <v/>
      </c>
      <c r="BQ620" s="128">
        <f>IFERROR(SUM($DM620:$DO620),)</f>
        <v/>
      </c>
      <c r="BR620" s="128">
        <f>IFERROR(SUM($DP620:$DR620),)</f>
        <v/>
      </c>
      <c r="BS620" s="128">
        <f>IFERROR(SUM($DS620:$DU620),)</f>
        <v/>
      </c>
      <c r="BT620" s="128">
        <f>IFERROR(AI620*$W620,)</f>
        <v/>
      </c>
      <c r="BU620" s="128">
        <f>IFERROR(AJ620*$W620,)</f>
        <v/>
      </c>
      <c r="BV620" s="128">
        <f>IFERROR(AK620*$W620,)</f>
        <v/>
      </c>
      <c r="BW620" s="128">
        <f>IFERROR(AL620*$W620,)</f>
        <v/>
      </c>
      <c r="BX620" s="128">
        <f>IFERROR(AM620*$W620,)</f>
        <v/>
      </c>
      <c r="BY620" s="128">
        <f>IFERROR(AN620*$W620,)</f>
        <v/>
      </c>
      <c r="BZ620" s="128">
        <f>IFERROR(AO620*$W620,)</f>
        <v/>
      </c>
      <c r="CA620" s="128">
        <f>IFERROR(AP620*$W620,)</f>
        <v/>
      </c>
      <c r="CB620" s="128">
        <f>IFERROR(AQ620*$W620,)</f>
        <v/>
      </c>
      <c r="CC620" s="128">
        <f>IFERROR(AR620*$W620,)</f>
        <v/>
      </c>
      <c r="CD620" s="128">
        <f>IFERROR(AS620*$W620,)</f>
        <v/>
      </c>
      <c r="CE620" s="128">
        <f>IFERROR(AT620*$W620,)</f>
        <v/>
      </c>
      <c r="CF620" s="128">
        <f>IFERROR(AU620*$W620,)</f>
        <v/>
      </c>
      <c r="CG620" s="128">
        <f>IFERROR(AV620*$W620,)</f>
        <v/>
      </c>
      <c r="CH620" s="128">
        <f>IFERROR(AW620*$W620,)</f>
        <v/>
      </c>
      <c r="CI620" s="128">
        <f>IFERROR(AX620*$W620,)</f>
        <v/>
      </c>
      <c r="CJ620" s="128">
        <f>IFERROR(AY620*$W620,)</f>
        <v/>
      </c>
      <c r="CK620" s="128">
        <f>IFERROR(AZ620*$W620,)</f>
        <v/>
      </c>
      <c r="CL620" s="129">
        <f>IFERROR(if($Y620=0,BA620*($W620/1.2),BA620*$Y620),"")</f>
        <v/>
      </c>
      <c r="CM620" s="129">
        <f>IFERROR(if($Y620=0,BB620*($W620/1.2),BB620*$Y620),"")</f>
        <v/>
      </c>
      <c r="CN620" s="129">
        <f>IFERROR(if($Y620=0,BC620*($W620/1.2),BC620*$Y620),"")</f>
        <v/>
      </c>
      <c r="CO620" s="130">
        <f>IFERROR(if($AA620=0,($W620/1.35)*BD620,BD620*$AA620),)</f>
        <v/>
      </c>
      <c r="CP620" s="130">
        <f>IFERROR(if($AA620=0,($W620/1.35)*BE620,BE620*$AA620),)</f>
        <v/>
      </c>
      <c r="CQ620" s="130">
        <f>IFERROR(if($AA620=0,($W620/1.35)*BF620,BF620*$AA620),)</f>
        <v/>
      </c>
      <c r="CR620" s="128">
        <f>IFERROR(if($AC620=0,($W620/0.74)*BG620,
BG620*$AC620),)</f>
        <v/>
      </c>
      <c r="CS620" s="128">
        <f>IFERROR(if($AC620=0,($W620/0.74)*BH620,
BH620*$AC620),)</f>
        <v/>
      </c>
      <c r="CT620" s="128">
        <f>IFERROR(if($AC620=0,($W620/0.74)*BI620,
BI620*$AC620),)</f>
        <v/>
      </c>
      <c r="CU620" s="128">
        <f>IFERROR(AI620*$V620,)</f>
        <v/>
      </c>
      <c r="CV620" s="128">
        <f>IFERROR(AJ620*$V620,)</f>
        <v/>
      </c>
      <c r="CW620" s="128">
        <f>IFERROR(AK620*$V620,)</f>
        <v/>
      </c>
      <c r="CX620" s="128">
        <f>IFERROR(AL620*$V620,)</f>
        <v/>
      </c>
      <c r="CY620" s="128">
        <f>IFERROR(AM620*$V620,)</f>
        <v/>
      </c>
      <c r="CZ620" s="128">
        <f>IFERROR(AN620*$V620,)</f>
        <v/>
      </c>
      <c r="DA620" s="128">
        <f>IFERROR(AO620*$V620,)</f>
        <v/>
      </c>
      <c r="DB620" s="128">
        <f>IFERROR(AP620*$V620,)</f>
        <v/>
      </c>
      <c r="DC620" s="128">
        <f>IFERROR(AQ620*$V620,)</f>
        <v/>
      </c>
      <c r="DD620" s="128">
        <f>IFERROR(AR620*$V620,)</f>
        <v/>
      </c>
      <c r="DE620" s="128">
        <f>IFERROR(AS620*$V620,)</f>
        <v/>
      </c>
      <c r="DF620" s="128">
        <f>IFERROR(AT620*$V620,)</f>
        <v/>
      </c>
      <c r="DG620" s="128">
        <f>IFERROR(AU620*$V620,)</f>
        <v/>
      </c>
      <c r="DH620" s="128">
        <f>IFERROR(AV620*$V620,)</f>
        <v/>
      </c>
      <c r="DI620" s="128">
        <f>IFERROR(AW620*$V620,)</f>
        <v/>
      </c>
      <c r="DJ620" s="128">
        <f>IFERROR(AX620*$V620,)</f>
        <v/>
      </c>
      <c r="DK620" s="128">
        <f>IFERROR(AY620*$V620,)</f>
        <v/>
      </c>
      <c r="DL620" s="128">
        <f>IFERROR(AZ620*$V620,)</f>
        <v/>
      </c>
      <c r="DM620" s="129">
        <f>IFERROR(if($X620=0,($V620/1.2)*BA620,
BA620*$X620),)</f>
        <v/>
      </c>
      <c r="DN620" s="129">
        <f>IFERROR(if($X620=0,($V620/1.2)*BB620,
BB620*$X620),)</f>
        <v/>
      </c>
      <c r="DO620" s="129">
        <f>IFERROR(if($X620=0,($V620/1.2)*BC620,
BC620*$X620),)</f>
        <v/>
      </c>
      <c r="DP620" s="130">
        <f>IFERROR(if($Z620=0,($V620/1.35)*BD620,
BD620*$Z620),)</f>
        <v/>
      </c>
      <c r="DQ620" s="130">
        <f>IFERROR(if($Z620=0,($V620/1.35)*BE620,
BE620*$Z620),)</f>
        <v/>
      </c>
      <c r="DR620" s="130">
        <f>IFERROR(if($Z620=0,($V620/1.35)*BF620,
BF620*$Z620),)</f>
        <v/>
      </c>
      <c r="DS620" s="128">
        <f>IFERROR(IF($AB620=0,($V620/0.74)*BG620,
BG620*$AB620),)</f>
        <v/>
      </c>
      <c r="DT620" s="128">
        <f>IFERROR(IF($AB620=0,($V620/0.74)*BH620,
BH620*$AB620),)</f>
        <v/>
      </c>
      <c r="DU620" s="128">
        <f>IFERROR(IF($AB620=0,($V620/0.74)*BI620,
BI620*$AB620),)</f>
        <v/>
      </c>
    </row>
    <row r="621" ht="131.25" customHeight="1" s="162">
      <c r="A621" s="115" t="n"/>
      <c r="B621" s="115" t="n"/>
      <c r="C621" s="115" t="n"/>
      <c r="D621" s="115" t="n"/>
      <c r="E621" s="115" t="n"/>
      <c r="F621" s="115" t="n"/>
      <c r="G621" s="115" t="n"/>
      <c r="H621" s="115" t="n"/>
      <c r="I621" s="115" t="n"/>
      <c r="J621" s="115" t="n"/>
      <c r="K621" s="115" t="n"/>
      <c r="L621" s="115" t="n"/>
      <c r="M621" s="115" t="n"/>
      <c r="N621" s="115" t="n"/>
      <c r="O621" s="115" t="n"/>
      <c r="P621" s="115" t="n"/>
      <c r="Q621" s="115" t="n"/>
      <c r="R621" s="115" t="n"/>
      <c r="S621" s="115" t="n"/>
      <c r="T621" s="115" t="n"/>
      <c r="U621" s="116" t="n"/>
      <c r="V621" s="116" t="n"/>
      <c r="W621" s="117" t="n"/>
      <c r="X621" s="118" t="n"/>
      <c r="Y621" s="119" t="n"/>
      <c r="Z621" s="120" t="n"/>
      <c r="AA621" s="121" t="n"/>
      <c r="AB621" s="122" t="n"/>
      <c r="AC621" s="117" t="n"/>
      <c r="AD621" s="123">
        <f>IF(SUM($AE621:$AH621)=0,"",SUM($AE621:$AH621))</f>
        <v/>
      </c>
      <c r="AE621" s="123">
        <f>iferror(IF(SUM($AI621:$AZ621)=0,"",SUM($AI621:$AZ621)),"")</f>
        <v/>
      </c>
      <c r="AF621" s="123">
        <f>iferror(IF(SUM($BA621:$BC621)=0,"",SUM($BA621:$BC621)),"")</f>
        <v/>
      </c>
      <c r="AG621" s="123">
        <f>iferror(IF(SUM($BD621:$BF621)=0,"",SUM($BD621:$BF621)),"")</f>
        <v/>
      </c>
      <c r="AH621" s="124">
        <f>iferror(IF(SUM($BG621:$BI621)=0,"",SUM($BG621:$BI621)),"")</f>
        <v/>
      </c>
      <c r="AI621" s="131" t="n"/>
      <c r="AJ621" s="132" t="n"/>
      <c r="AK621" s="132" t="n"/>
      <c r="AL621" s="132" t="n"/>
      <c r="AM621" s="132" t="n"/>
      <c r="AN621" s="132" t="n"/>
      <c r="AO621" s="132" t="n"/>
      <c r="AP621" s="132" t="n"/>
      <c r="AQ621" s="132" t="n"/>
      <c r="AR621" s="132" t="n"/>
      <c r="AS621" s="132" t="n"/>
      <c r="AT621" s="132" t="n"/>
      <c r="AU621" s="132" t="n"/>
      <c r="AV621" s="132" t="n"/>
      <c r="AW621" s="132" t="n"/>
      <c r="AX621" s="132" t="n"/>
      <c r="AY621" s="132" t="n"/>
      <c r="AZ621" s="133" t="n"/>
      <c r="BA621" s="131" t="n"/>
      <c r="BB621" s="132" t="n"/>
      <c r="BC621" s="133" t="n"/>
      <c r="BD621" s="131" t="n"/>
      <c r="BE621" s="132" t="n"/>
      <c r="BF621" s="133" t="n"/>
      <c r="BG621" s="131" t="n"/>
      <c r="BH621" s="132" t="n"/>
      <c r="BI621" s="132" t="n"/>
      <c r="BJ621" s="128">
        <f>iferror(SUM($BK621,($BL621*1.2),($BM621*1.35),($BN621*0.74)),)</f>
        <v/>
      </c>
      <c r="BK621" s="128">
        <f>IFERROR(SUM($BT621:$CK621),)</f>
        <v/>
      </c>
      <c r="BL621" s="129">
        <f>IFERROR(SUM($CL621:$CN621),)</f>
        <v/>
      </c>
      <c r="BM621" s="130">
        <f>IFERROR(SUM($CO621:$CQ621),)</f>
        <v/>
      </c>
      <c r="BN621" s="128">
        <f>IFERROR(SUM($CR621:$CT621),)</f>
        <v/>
      </c>
      <c r="BO621" s="128">
        <f>iferror(SUM($BP621,($BQ621*1.2),($BR621*1.35),($BS621*0.74)),)</f>
        <v/>
      </c>
      <c r="BP621" s="128">
        <f>IFERROR(SUM($CU621:$DL621),)</f>
        <v/>
      </c>
      <c r="BQ621" s="128">
        <f>IFERROR(SUM($DM621:$DO621),)</f>
        <v/>
      </c>
      <c r="BR621" s="128">
        <f>IFERROR(SUM($DP621:$DR621),)</f>
        <v/>
      </c>
      <c r="BS621" s="128">
        <f>IFERROR(SUM($DS621:$DU621),)</f>
        <v/>
      </c>
      <c r="BT621" s="128">
        <f>IFERROR(AI621*$W621,)</f>
        <v/>
      </c>
      <c r="BU621" s="128">
        <f>IFERROR(AJ621*$W621,)</f>
        <v/>
      </c>
      <c r="BV621" s="128">
        <f>IFERROR(AK621*$W621,)</f>
        <v/>
      </c>
      <c r="BW621" s="128">
        <f>IFERROR(AL621*$W621,)</f>
        <v/>
      </c>
      <c r="BX621" s="128">
        <f>IFERROR(AM621*$W621,)</f>
        <v/>
      </c>
      <c r="BY621" s="128">
        <f>IFERROR(AN621*$W621,)</f>
        <v/>
      </c>
      <c r="BZ621" s="128">
        <f>IFERROR(AO621*$W621,)</f>
        <v/>
      </c>
      <c r="CA621" s="128">
        <f>IFERROR(AP621*$W621,)</f>
        <v/>
      </c>
      <c r="CB621" s="128">
        <f>IFERROR(AQ621*$W621,)</f>
        <v/>
      </c>
      <c r="CC621" s="128">
        <f>IFERROR(AR621*$W621,)</f>
        <v/>
      </c>
      <c r="CD621" s="128">
        <f>IFERROR(AS621*$W621,)</f>
        <v/>
      </c>
      <c r="CE621" s="128">
        <f>IFERROR(AT621*$W621,)</f>
        <v/>
      </c>
      <c r="CF621" s="128">
        <f>IFERROR(AU621*$W621,)</f>
        <v/>
      </c>
      <c r="CG621" s="128">
        <f>IFERROR(AV621*$W621,)</f>
        <v/>
      </c>
      <c r="CH621" s="128">
        <f>IFERROR(AW621*$W621,)</f>
        <v/>
      </c>
      <c r="CI621" s="128">
        <f>IFERROR(AX621*$W621,)</f>
        <v/>
      </c>
      <c r="CJ621" s="128">
        <f>IFERROR(AY621*$W621,)</f>
        <v/>
      </c>
      <c r="CK621" s="128">
        <f>IFERROR(AZ621*$W621,)</f>
        <v/>
      </c>
      <c r="CL621" s="129">
        <f>IFERROR(if($Y621=0,BA621*($W621/1.2),BA621*$Y621),"")</f>
        <v/>
      </c>
      <c r="CM621" s="129">
        <f>IFERROR(if($Y621=0,BB621*($W621/1.2),BB621*$Y621),"")</f>
        <v/>
      </c>
      <c r="CN621" s="129">
        <f>IFERROR(if($Y621=0,BC621*($W621/1.2),BC621*$Y621),"")</f>
        <v/>
      </c>
      <c r="CO621" s="130">
        <f>IFERROR(if($AA621=0,($W621/1.35)*BD621,BD621*$AA621),)</f>
        <v/>
      </c>
      <c r="CP621" s="130">
        <f>IFERROR(if($AA621=0,($W621/1.35)*BE621,BE621*$AA621),)</f>
        <v/>
      </c>
      <c r="CQ621" s="130">
        <f>IFERROR(if($AA621=0,($W621/1.35)*BF621,BF621*$AA621),)</f>
        <v/>
      </c>
      <c r="CR621" s="128">
        <f>IFERROR(if($AC621=0,($W621/0.74)*BG621,
BG621*$AC621),)</f>
        <v/>
      </c>
      <c r="CS621" s="128">
        <f>IFERROR(if($AC621=0,($W621/0.74)*BH621,
BH621*$AC621),)</f>
        <v/>
      </c>
      <c r="CT621" s="128">
        <f>IFERROR(if($AC621=0,($W621/0.74)*BI621,
BI621*$AC621),)</f>
        <v/>
      </c>
      <c r="CU621" s="128">
        <f>IFERROR(AI621*$V621,)</f>
        <v/>
      </c>
      <c r="CV621" s="128">
        <f>IFERROR(AJ621*$V621,)</f>
        <v/>
      </c>
      <c r="CW621" s="128">
        <f>IFERROR(AK621*$V621,)</f>
        <v/>
      </c>
      <c r="CX621" s="128">
        <f>IFERROR(AL621*$V621,)</f>
        <v/>
      </c>
      <c r="CY621" s="128">
        <f>IFERROR(AM621*$V621,)</f>
        <v/>
      </c>
      <c r="CZ621" s="128">
        <f>IFERROR(AN621*$V621,)</f>
        <v/>
      </c>
      <c r="DA621" s="128">
        <f>IFERROR(AO621*$V621,)</f>
        <v/>
      </c>
      <c r="DB621" s="128">
        <f>IFERROR(AP621*$V621,)</f>
        <v/>
      </c>
      <c r="DC621" s="128">
        <f>IFERROR(AQ621*$V621,)</f>
        <v/>
      </c>
      <c r="DD621" s="128">
        <f>IFERROR(AR621*$V621,)</f>
        <v/>
      </c>
      <c r="DE621" s="128">
        <f>IFERROR(AS621*$V621,)</f>
        <v/>
      </c>
      <c r="DF621" s="128">
        <f>IFERROR(AT621*$V621,)</f>
        <v/>
      </c>
      <c r="DG621" s="128">
        <f>IFERROR(AU621*$V621,)</f>
        <v/>
      </c>
      <c r="DH621" s="128">
        <f>IFERROR(AV621*$V621,)</f>
        <v/>
      </c>
      <c r="DI621" s="128">
        <f>IFERROR(AW621*$V621,)</f>
        <v/>
      </c>
      <c r="DJ621" s="128">
        <f>IFERROR(AX621*$V621,)</f>
        <v/>
      </c>
      <c r="DK621" s="128">
        <f>IFERROR(AY621*$V621,)</f>
        <v/>
      </c>
      <c r="DL621" s="128">
        <f>IFERROR(AZ621*$V621,)</f>
        <v/>
      </c>
      <c r="DM621" s="129">
        <f>IFERROR(if($X621=0,($V621/1.2)*BA621,
BA621*$X621),)</f>
        <v/>
      </c>
      <c r="DN621" s="129">
        <f>IFERROR(if($X621=0,($V621/1.2)*BB621,
BB621*$X621),)</f>
        <v/>
      </c>
      <c r="DO621" s="129">
        <f>IFERROR(if($X621=0,($V621/1.2)*BC621,
BC621*$X621),)</f>
        <v/>
      </c>
      <c r="DP621" s="130">
        <f>IFERROR(if($Z621=0,($V621/1.35)*BD621,
BD621*$Z621),)</f>
        <v/>
      </c>
      <c r="DQ621" s="130">
        <f>IFERROR(if($Z621=0,($V621/1.35)*BE621,
BE621*$Z621),)</f>
        <v/>
      </c>
      <c r="DR621" s="130">
        <f>IFERROR(if($Z621=0,($V621/1.35)*BF621,
BF621*$Z621),)</f>
        <v/>
      </c>
      <c r="DS621" s="128">
        <f>IFERROR(IF($AB621=0,($V621/0.74)*BG621,
BG621*$AB621),)</f>
        <v/>
      </c>
      <c r="DT621" s="128">
        <f>IFERROR(IF($AB621=0,($V621/0.74)*BH621,
BH621*$AB621),)</f>
        <v/>
      </c>
      <c r="DU621" s="128">
        <f>IFERROR(IF($AB621=0,($V621/0.74)*BI621,
BI621*$AB621),)</f>
        <v/>
      </c>
    </row>
    <row r="622" ht="131.25" customHeight="1" s="162">
      <c r="A622" s="115" t="n"/>
      <c r="B622" s="115" t="n"/>
      <c r="C622" s="115" t="n"/>
      <c r="D622" s="115" t="n"/>
      <c r="E622" s="115" t="n"/>
      <c r="F622" s="115" t="n"/>
      <c r="G622" s="115" t="n"/>
      <c r="H622" s="115" t="n"/>
      <c r="I622" s="115" t="n"/>
      <c r="J622" s="115" t="n"/>
      <c r="K622" s="115" t="n"/>
      <c r="L622" s="115" t="n"/>
      <c r="M622" s="115" t="n"/>
      <c r="N622" s="115" t="n"/>
      <c r="O622" s="115" t="n"/>
      <c r="P622" s="115" t="n"/>
      <c r="Q622" s="115" t="n"/>
      <c r="R622" s="115" t="n"/>
      <c r="S622" s="115" t="n"/>
      <c r="T622" s="115" t="n"/>
      <c r="U622" s="116" t="n"/>
      <c r="V622" s="116" t="n"/>
      <c r="W622" s="117" t="n"/>
      <c r="X622" s="118" t="n"/>
      <c r="Y622" s="119" t="n"/>
      <c r="Z622" s="120" t="n"/>
      <c r="AA622" s="121" t="n"/>
      <c r="AB622" s="122" t="n"/>
      <c r="AC622" s="117" t="n"/>
      <c r="AD622" s="123">
        <f>IF(SUM($AE622:$AH622)=0,"",SUM($AE622:$AH622))</f>
        <v/>
      </c>
      <c r="AE622" s="123">
        <f>iferror(IF(SUM($AI622:$AZ622)=0,"",SUM($AI622:$AZ622)),"")</f>
        <v/>
      </c>
      <c r="AF622" s="123">
        <f>iferror(IF(SUM($BA622:$BC622)=0,"",SUM($BA622:$BC622)),"")</f>
        <v/>
      </c>
      <c r="AG622" s="123">
        <f>iferror(IF(SUM($BD622:$BF622)=0,"",SUM($BD622:$BF622)),"")</f>
        <v/>
      </c>
      <c r="AH622" s="124">
        <f>iferror(IF(SUM($BG622:$BI622)=0,"",SUM($BG622:$BI622)),"")</f>
        <v/>
      </c>
      <c r="AI622" s="131" t="n"/>
      <c r="AJ622" s="132" t="n"/>
      <c r="AK622" s="132" t="n"/>
      <c r="AL622" s="132" t="n"/>
      <c r="AM622" s="132" t="n"/>
      <c r="AN622" s="132" t="n"/>
      <c r="AO622" s="132" t="n"/>
      <c r="AP622" s="132" t="n"/>
      <c r="AQ622" s="132" t="n"/>
      <c r="AR622" s="132" t="n"/>
      <c r="AS622" s="132" t="n"/>
      <c r="AT622" s="132" t="n"/>
      <c r="AU622" s="132" t="n"/>
      <c r="AV622" s="132" t="n"/>
      <c r="AW622" s="132" t="n"/>
      <c r="AX622" s="132" t="n"/>
      <c r="AY622" s="132" t="n"/>
      <c r="AZ622" s="133" t="n"/>
      <c r="BA622" s="131" t="n"/>
      <c r="BB622" s="132" t="n"/>
      <c r="BC622" s="133" t="n"/>
      <c r="BD622" s="131" t="n"/>
      <c r="BE622" s="132" t="n"/>
      <c r="BF622" s="133" t="n"/>
      <c r="BG622" s="131" t="n"/>
      <c r="BH622" s="132" t="n"/>
      <c r="BI622" s="132" t="n"/>
      <c r="BJ622" s="128">
        <f>iferror(SUM($BK622,($BL622*1.2),($BM622*1.35),($BN622*0.74)),)</f>
        <v/>
      </c>
      <c r="BK622" s="128">
        <f>IFERROR(SUM($BT622:$CK622),)</f>
        <v/>
      </c>
      <c r="BL622" s="129">
        <f>IFERROR(SUM($CL622:$CN622),)</f>
        <v/>
      </c>
      <c r="BM622" s="130">
        <f>IFERROR(SUM($CO622:$CQ622),)</f>
        <v/>
      </c>
      <c r="BN622" s="128">
        <f>IFERROR(SUM($CR622:$CT622),)</f>
        <v/>
      </c>
      <c r="BO622" s="128">
        <f>iferror(SUM($BP622,($BQ622*1.2),($BR622*1.35),($BS622*0.74)),)</f>
        <v/>
      </c>
      <c r="BP622" s="128">
        <f>IFERROR(SUM($CU622:$DL622),)</f>
        <v/>
      </c>
      <c r="BQ622" s="128">
        <f>IFERROR(SUM($DM622:$DO622),)</f>
        <v/>
      </c>
      <c r="BR622" s="128">
        <f>IFERROR(SUM($DP622:$DR622),)</f>
        <v/>
      </c>
      <c r="BS622" s="128">
        <f>IFERROR(SUM($DS622:$DU622),)</f>
        <v/>
      </c>
      <c r="BT622" s="128">
        <f>IFERROR(AI622*$W622,)</f>
        <v/>
      </c>
      <c r="BU622" s="128">
        <f>IFERROR(AJ622*$W622,)</f>
        <v/>
      </c>
      <c r="BV622" s="128">
        <f>IFERROR(AK622*$W622,)</f>
        <v/>
      </c>
      <c r="BW622" s="128">
        <f>IFERROR(AL622*$W622,)</f>
        <v/>
      </c>
      <c r="BX622" s="128">
        <f>IFERROR(AM622*$W622,)</f>
        <v/>
      </c>
      <c r="BY622" s="128">
        <f>IFERROR(AN622*$W622,)</f>
        <v/>
      </c>
      <c r="BZ622" s="128">
        <f>IFERROR(AO622*$W622,)</f>
        <v/>
      </c>
      <c r="CA622" s="128">
        <f>IFERROR(AP622*$W622,)</f>
        <v/>
      </c>
      <c r="CB622" s="128">
        <f>IFERROR(AQ622*$W622,)</f>
        <v/>
      </c>
      <c r="CC622" s="128">
        <f>IFERROR(AR622*$W622,)</f>
        <v/>
      </c>
      <c r="CD622" s="128">
        <f>IFERROR(AS622*$W622,)</f>
        <v/>
      </c>
      <c r="CE622" s="128">
        <f>IFERROR(AT622*$W622,)</f>
        <v/>
      </c>
      <c r="CF622" s="128">
        <f>IFERROR(AU622*$W622,)</f>
        <v/>
      </c>
      <c r="CG622" s="128">
        <f>IFERROR(AV622*$W622,)</f>
        <v/>
      </c>
      <c r="CH622" s="128">
        <f>IFERROR(AW622*$W622,)</f>
        <v/>
      </c>
      <c r="CI622" s="128">
        <f>IFERROR(AX622*$W622,)</f>
        <v/>
      </c>
      <c r="CJ622" s="128">
        <f>IFERROR(AY622*$W622,)</f>
        <v/>
      </c>
      <c r="CK622" s="128">
        <f>IFERROR(AZ622*$W622,)</f>
        <v/>
      </c>
      <c r="CL622" s="129">
        <f>IFERROR(if($Y622=0,BA622*($W622/1.2),BA622*$Y622),"")</f>
        <v/>
      </c>
      <c r="CM622" s="129">
        <f>IFERROR(if($Y622=0,BB622*($W622/1.2),BB622*$Y622),"")</f>
        <v/>
      </c>
      <c r="CN622" s="129">
        <f>IFERROR(if($Y622=0,BC622*($W622/1.2),BC622*$Y622),"")</f>
        <v/>
      </c>
      <c r="CO622" s="130">
        <f>IFERROR(if($AA622=0,($W622/1.35)*BD622,BD622*$AA622),)</f>
        <v/>
      </c>
      <c r="CP622" s="130">
        <f>IFERROR(if($AA622=0,($W622/1.35)*BE622,BE622*$AA622),)</f>
        <v/>
      </c>
      <c r="CQ622" s="130">
        <f>IFERROR(if($AA622=0,($W622/1.35)*BF622,BF622*$AA622),)</f>
        <v/>
      </c>
      <c r="CR622" s="128">
        <f>IFERROR(if($AC622=0,($W622/0.74)*BG622,
BG622*$AC622),)</f>
        <v/>
      </c>
      <c r="CS622" s="128">
        <f>IFERROR(if($AC622=0,($W622/0.74)*BH622,
BH622*$AC622),)</f>
        <v/>
      </c>
      <c r="CT622" s="128">
        <f>IFERROR(if($AC622=0,($W622/0.74)*BI622,
BI622*$AC622),)</f>
        <v/>
      </c>
      <c r="CU622" s="128">
        <f>IFERROR(AI622*$V622,)</f>
        <v/>
      </c>
      <c r="CV622" s="128">
        <f>IFERROR(AJ622*$V622,)</f>
        <v/>
      </c>
      <c r="CW622" s="128">
        <f>IFERROR(AK622*$V622,)</f>
        <v/>
      </c>
      <c r="CX622" s="128">
        <f>IFERROR(AL622*$V622,)</f>
        <v/>
      </c>
      <c r="CY622" s="128">
        <f>IFERROR(AM622*$V622,)</f>
        <v/>
      </c>
      <c r="CZ622" s="128">
        <f>IFERROR(AN622*$V622,)</f>
        <v/>
      </c>
      <c r="DA622" s="128">
        <f>IFERROR(AO622*$V622,)</f>
        <v/>
      </c>
      <c r="DB622" s="128">
        <f>IFERROR(AP622*$V622,)</f>
        <v/>
      </c>
      <c r="DC622" s="128">
        <f>IFERROR(AQ622*$V622,)</f>
        <v/>
      </c>
      <c r="DD622" s="128">
        <f>IFERROR(AR622*$V622,)</f>
        <v/>
      </c>
      <c r="DE622" s="128">
        <f>IFERROR(AS622*$V622,)</f>
        <v/>
      </c>
      <c r="DF622" s="128">
        <f>IFERROR(AT622*$V622,)</f>
        <v/>
      </c>
      <c r="DG622" s="128">
        <f>IFERROR(AU622*$V622,)</f>
        <v/>
      </c>
      <c r="DH622" s="128">
        <f>IFERROR(AV622*$V622,)</f>
        <v/>
      </c>
      <c r="DI622" s="128">
        <f>IFERROR(AW622*$V622,)</f>
        <v/>
      </c>
      <c r="DJ622" s="128">
        <f>IFERROR(AX622*$V622,)</f>
        <v/>
      </c>
      <c r="DK622" s="128">
        <f>IFERROR(AY622*$V622,)</f>
        <v/>
      </c>
      <c r="DL622" s="128">
        <f>IFERROR(AZ622*$V622,)</f>
        <v/>
      </c>
      <c r="DM622" s="129">
        <f>IFERROR(if($X622=0,($V622/1.2)*BA622,
BA622*$X622),)</f>
        <v/>
      </c>
      <c r="DN622" s="129">
        <f>IFERROR(if($X622=0,($V622/1.2)*BB622,
BB622*$X622),)</f>
        <v/>
      </c>
      <c r="DO622" s="129">
        <f>IFERROR(if($X622=0,($V622/1.2)*BC622,
BC622*$X622),)</f>
        <v/>
      </c>
      <c r="DP622" s="130">
        <f>IFERROR(if($Z622=0,($V622/1.35)*BD622,
BD622*$Z622),)</f>
        <v/>
      </c>
      <c r="DQ622" s="130">
        <f>IFERROR(if($Z622=0,($V622/1.35)*BE622,
BE622*$Z622),)</f>
        <v/>
      </c>
      <c r="DR622" s="130">
        <f>IFERROR(if($Z622=0,($V622/1.35)*BF622,
BF622*$Z622),)</f>
        <v/>
      </c>
      <c r="DS622" s="128">
        <f>IFERROR(IF($AB622=0,($V622/0.74)*BG622,
BG622*$AB622),)</f>
        <v/>
      </c>
      <c r="DT622" s="128">
        <f>IFERROR(IF($AB622=0,($V622/0.74)*BH622,
BH622*$AB622),)</f>
        <v/>
      </c>
      <c r="DU622" s="128">
        <f>IFERROR(IF($AB622=0,($V622/0.74)*BI622,
BI622*$AB622),)</f>
        <v/>
      </c>
    </row>
    <row r="623" ht="131.25" customHeight="1" s="162">
      <c r="A623" s="115" t="n"/>
      <c r="B623" s="115" t="n"/>
      <c r="C623" s="115" t="n"/>
      <c r="D623" s="115" t="n"/>
      <c r="E623" s="115" t="n"/>
      <c r="F623" s="115" t="n"/>
      <c r="G623" s="115" t="n"/>
      <c r="H623" s="115" t="n"/>
      <c r="I623" s="115" t="n"/>
      <c r="J623" s="115" t="n"/>
      <c r="K623" s="115" t="n"/>
      <c r="L623" s="115" t="n"/>
      <c r="M623" s="115" t="n"/>
      <c r="N623" s="115" t="n"/>
      <c r="O623" s="115" t="n"/>
      <c r="P623" s="115" t="n"/>
      <c r="Q623" s="115" t="n"/>
      <c r="R623" s="115" t="n"/>
      <c r="S623" s="115" t="n"/>
      <c r="T623" s="115" t="n"/>
      <c r="U623" s="116" t="n"/>
      <c r="V623" s="116" t="n"/>
      <c r="W623" s="117" t="n"/>
      <c r="X623" s="118" t="n"/>
      <c r="Y623" s="119" t="n"/>
      <c r="Z623" s="120" t="n"/>
      <c r="AA623" s="121" t="n"/>
      <c r="AB623" s="122" t="n"/>
      <c r="AC623" s="117" t="n"/>
      <c r="AD623" s="123">
        <f>IF(SUM($AE623:$AH623)=0,"",SUM($AE623:$AH623))</f>
        <v/>
      </c>
      <c r="AE623" s="123">
        <f>iferror(IF(SUM($AI623:$AZ623)=0,"",SUM($AI623:$AZ623)),"")</f>
        <v/>
      </c>
      <c r="AF623" s="123">
        <f>iferror(IF(SUM($BA623:$BC623)=0,"",SUM($BA623:$BC623)),"")</f>
        <v/>
      </c>
      <c r="AG623" s="123">
        <f>iferror(IF(SUM($BD623:$BF623)=0,"",SUM($BD623:$BF623)),"")</f>
        <v/>
      </c>
      <c r="AH623" s="124">
        <f>iferror(IF(SUM($BG623:$BI623)=0,"",SUM($BG623:$BI623)),"")</f>
        <v/>
      </c>
      <c r="AI623" s="131" t="n"/>
      <c r="AJ623" s="132" t="n"/>
      <c r="AK623" s="132" t="n"/>
      <c r="AL623" s="132" t="n"/>
      <c r="AM623" s="132" t="n"/>
      <c r="AN623" s="132" t="n"/>
      <c r="AO623" s="132" t="n"/>
      <c r="AP623" s="132" t="n"/>
      <c r="AQ623" s="132" t="n"/>
      <c r="AR623" s="132" t="n"/>
      <c r="AS623" s="132" t="n"/>
      <c r="AT623" s="132" t="n"/>
      <c r="AU623" s="132" t="n"/>
      <c r="AV623" s="132" t="n"/>
      <c r="AW623" s="132" t="n"/>
      <c r="AX623" s="132" t="n"/>
      <c r="AY623" s="132" t="n"/>
      <c r="AZ623" s="133" t="n"/>
      <c r="BA623" s="131" t="n"/>
      <c r="BB623" s="132" t="n"/>
      <c r="BC623" s="133" t="n"/>
      <c r="BD623" s="131" t="n"/>
      <c r="BE623" s="132" t="n"/>
      <c r="BF623" s="133" t="n"/>
      <c r="BG623" s="131" t="n"/>
      <c r="BH623" s="132" t="n"/>
      <c r="BI623" s="132" t="n"/>
      <c r="BJ623" s="128">
        <f>iferror(SUM($BK623,($BL623*1.2),($BM623*1.35),($BN623*0.74)),)</f>
        <v/>
      </c>
      <c r="BK623" s="128">
        <f>IFERROR(SUM($BT623:$CK623),)</f>
        <v/>
      </c>
      <c r="BL623" s="129">
        <f>IFERROR(SUM($CL623:$CN623),)</f>
        <v/>
      </c>
      <c r="BM623" s="130">
        <f>IFERROR(SUM($CO623:$CQ623),)</f>
        <v/>
      </c>
      <c r="BN623" s="128">
        <f>IFERROR(SUM($CR623:$CT623),)</f>
        <v/>
      </c>
      <c r="BO623" s="128">
        <f>iferror(SUM($BP623,($BQ623*1.2),($BR623*1.35),($BS623*0.74)),)</f>
        <v/>
      </c>
      <c r="BP623" s="128">
        <f>IFERROR(SUM($CU623:$DL623),)</f>
        <v/>
      </c>
      <c r="BQ623" s="128">
        <f>IFERROR(SUM($DM623:$DO623),)</f>
        <v/>
      </c>
      <c r="BR623" s="128">
        <f>IFERROR(SUM($DP623:$DR623),)</f>
        <v/>
      </c>
      <c r="BS623" s="128">
        <f>IFERROR(SUM($DS623:$DU623),)</f>
        <v/>
      </c>
      <c r="BT623" s="128">
        <f>IFERROR(AI623*$W623,)</f>
        <v/>
      </c>
      <c r="BU623" s="128">
        <f>IFERROR(AJ623*$W623,)</f>
        <v/>
      </c>
      <c r="BV623" s="128">
        <f>IFERROR(AK623*$W623,)</f>
        <v/>
      </c>
      <c r="BW623" s="128">
        <f>IFERROR(AL623*$W623,)</f>
        <v/>
      </c>
      <c r="BX623" s="128">
        <f>IFERROR(AM623*$W623,)</f>
        <v/>
      </c>
      <c r="BY623" s="128">
        <f>IFERROR(AN623*$W623,)</f>
        <v/>
      </c>
      <c r="BZ623" s="128">
        <f>IFERROR(AO623*$W623,)</f>
        <v/>
      </c>
      <c r="CA623" s="128">
        <f>IFERROR(AP623*$W623,)</f>
        <v/>
      </c>
      <c r="CB623" s="128">
        <f>IFERROR(AQ623*$W623,)</f>
        <v/>
      </c>
      <c r="CC623" s="128">
        <f>IFERROR(AR623*$W623,)</f>
        <v/>
      </c>
      <c r="CD623" s="128">
        <f>IFERROR(AS623*$W623,)</f>
        <v/>
      </c>
      <c r="CE623" s="128">
        <f>IFERROR(AT623*$W623,)</f>
        <v/>
      </c>
      <c r="CF623" s="128">
        <f>IFERROR(AU623*$W623,)</f>
        <v/>
      </c>
      <c r="CG623" s="128">
        <f>IFERROR(AV623*$W623,)</f>
        <v/>
      </c>
      <c r="CH623" s="128">
        <f>IFERROR(AW623*$W623,)</f>
        <v/>
      </c>
      <c r="CI623" s="128">
        <f>IFERROR(AX623*$W623,)</f>
        <v/>
      </c>
      <c r="CJ623" s="128">
        <f>IFERROR(AY623*$W623,)</f>
        <v/>
      </c>
      <c r="CK623" s="128">
        <f>IFERROR(AZ623*$W623,)</f>
        <v/>
      </c>
      <c r="CL623" s="129">
        <f>IFERROR(if($Y623=0,BA623*($W623/1.2),BA623*$Y623),"")</f>
        <v/>
      </c>
      <c r="CM623" s="129">
        <f>IFERROR(if($Y623=0,BB623*($W623/1.2),BB623*$Y623),"")</f>
        <v/>
      </c>
      <c r="CN623" s="129">
        <f>IFERROR(if($Y623=0,BC623*($W623/1.2),BC623*$Y623),"")</f>
        <v/>
      </c>
      <c r="CO623" s="130">
        <f>IFERROR(if($AA623=0,($W623/1.35)*BD623,BD623*$AA623),)</f>
        <v/>
      </c>
      <c r="CP623" s="130">
        <f>IFERROR(if($AA623=0,($W623/1.35)*BE623,BE623*$AA623),)</f>
        <v/>
      </c>
      <c r="CQ623" s="130">
        <f>IFERROR(if($AA623=0,($W623/1.35)*BF623,BF623*$AA623),)</f>
        <v/>
      </c>
      <c r="CR623" s="128">
        <f>IFERROR(if($AC623=0,($W623/0.74)*BG623,
BG623*$AC623),)</f>
        <v/>
      </c>
      <c r="CS623" s="128">
        <f>IFERROR(if($AC623=0,($W623/0.74)*BH623,
BH623*$AC623),)</f>
        <v/>
      </c>
      <c r="CT623" s="128">
        <f>IFERROR(if($AC623=0,($W623/0.74)*BI623,
BI623*$AC623),)</f>
        <v/>
      </c>
      <c r="CU623" s="128">
        <f>IFERROR(AI623*$V623,)</f>
        <v/>
      </c>
      <c r="CV623" s="128">
        <f>IFERROR(AJ623*$V623,)</f>
        <v/>
      </c>
      <c r="CW623" s="128">
        <f>IFERROR(AK623*$V623,)</f>
        <v/>
      </c>
      <c r="CX623" s="128">
        <f>IFERROR(AL623*$V623,)</f>
        <v/>
      </c>
      <c r="CY623" s="128">
        <f>IFERROR(AM623*$V623,)</f>
        <v/>
      </c>
      <c r="CZ623" s="128">
        <f>IFERROR(AN623*$V623,)</f>
        <v/>
      </c>
      <c r="DA623" s="128">
        <f>IFERROR(AO623*$V623,)</f>
        <v/>
      </c>
      <c r="DB623" s="128">
        <f>IFERROR(AP623*$V623,)</f>
        <v/>
      </c>
      <c r="DC623" s="128">
        <f>IFERROR(AQ623*$V623,)</f>
        <v/>
      </c>
      <c r="DD623" s="128">
        <f>IFERROR(AR623*$V623,)</f>
        <v/>
      </c>
      <c r="DE623" s="128">
        <f>IFERROR(AS623*$V623,)</f>
        <v/>
      </c>
      <c r="DF623" s="128">
        <f>IFERROR(AT623*$V623,)</f>
        <v/>
      </c>
      <c r="DG623" s="128">
        <f>IFERROR(AU623*$V623,)</f>
        <v/>
      </c>
      <c r="DH623" s="128">
        <f>IFERROR(AV623*$V623,)</f>
        <v/>
      </c>
      <c r="DI623" s="128">
        <f>IFERROR(AW623*$V623,)</f>
        <v/>
      </c>
      <c r="DJ623" s="128">
        <f>IFERROR(AX623*$V623,)</f>
        <v/>
      </c>
      <c r="DK623" s="128">
        <f>IFERROR(AY623*$V623,)</f>
        <v/>
      </c>
      <c r="DL623" s="128">
        <f>IFERROR(AZ623*$V623,)</f>
        <v/>
      </c>
      <c r="DM623" s="129">
        <f>IFERROR(if($X623=0,($V623/1.2)*BA623,
BA623*$X623),)</f>
        <v/>
      </c>
      <c r="DN623" s="129">
        <f>IFERROR(if($X623=0,($V623/1.2)*BB623,
BB623*$X623),)</f>
        <v/>
      </c>
      <c r="DO623" s="129">
        <f>IFERROR(if($X623=0,($V623/1.2)*BC623,
BC623*$X623),)</f>
        <v/>
      </c>
      <c r="DP623" s="130">
        <f>IFERROR(if($Z623=0,($V623/1.35)*BD623,
BD623*$Z623),)</f>
        <v/>
      </c>
      <c r="DQ623" s="130">
        <f>IFERROR(if($Z623=0,($V623/1.35)*BE623,
BE623*$Z623),)</f>
        <v/>
      </c>
      <c r="DR623" s="130">
        <f>IFERROR(if($Z623=0,($V623/1.35)*BF623,
BF623*$Z623),)</f>
        <v/>
      </c>
      <c r="DS623" s="128">
        <f>IFERROR(IF($AB623=0,($V623/0.74)*BG623,
BG623*$AB623),)</f>
        <v/>
      </c>
      <c r="DT623" s="128">
        <f>IFERROR(IF($AB623=0,($V623/0.74)*BH623,
BH623*$AB623),)</f>
        <v/>
      </c>
      <c r="DU623" s="128">
        <f>IFERROR(IF($AB623=0,($V623/0.74)*BI623,
BI623*$AB623),)</f>
        <v/>
      </c>
    </row>
    <row r="624" ht="131.25" customHeight="1" s="162">
      <c r="A624" s="115" t="n"/>
      <c r="B624" s="115" t="n"/>
      <c r="C624" s="115" t="n"/>
      <c r="D624" s="115" t="n"/>
      <c r="E624" s="115" t="n"/>
      <c r="F624" s="115" t="n"/>
      <c r="G624" s="115" t="n"/>
      <c r="H624" s="115" t="n"/>
      <c r="I624" s="115" t="n"/>
      <c r="J624" s="115" t="n"/>
      <c r="K624" s="115" t="n"/>
      <c r="L624" s="115" t="n"/>
      <c r="M624" s="115" t="n"/>
      <c r="N624" s="115" t="n"/>
      <c r="O624" s="115" t="n"/>
      <c r="P624" s="115" t="n"/>
      <c r="Q624" s="115" t="n"/>
      <c r="R624" s="115" t="n"/>
      <c r="S624" s="115" t="n"/>
      <c r="T624" s="115" t="n"/>
      <c r="U624" s="116" t="n"/>
      <c r="V624" s="116" t="n"/>
      <c r="W624" s="117" t="n"/>
      <c r="X624" s="118" t="n"/>
      <c r="Y624" s="119" t="n"/>
      <c r="Z624" s="120" t="n"/>
      <c r="AA624" s="121" t="n"/>
      <c r="AB624" s="122" t="n"/>
      <c r="AC624" s="117" t="n"/>
      <c r="AD624" s="123">
        <f>IF(SUM($AE624:$AH624)=0,"",SUM($AE624:$AH624))</f>
        <v/>
      </c>
      <c r="AE624" s="123">
        <f>iferror(IF(SUM($AI624:$AZ624)=0,"",SUM($AI624:$AZ624)),"")</f>
        <v/>
      </c>
      <c r="AF624" s="123">
        <f>iferror(IF(SUM($BA624:$BC624)=0,"",SUM($BA624:$BC624)),"")</f>
        <v/>
      </c>
      <c r="AG624" s="123">
        <f>iferror(IF(SUM($BD624:$BF624)=0,"",SUM($BD624:$BF624)),"")</f>
        <v/>
      </c>
      <c r="AH624" s="124">
        <f>iferror(IF(SUM($BG624:$BI624)=0,"",SUM($BG624:$BI624)),"")</f>
        <v/>
      </c>
      <c r="AI624" s="131" t="n"/>
      <c r="AJ624" s="132" t="n"/>
      <c r="AK624" s="132" t="n"/>
      <c r="AL624" s="132" t="n"/>
      <c r="AM624" s="132" t="n"/>
      <c r="AN624" s="132" t="n"/>
      <c r="AO624" s="132" t="n"/>
      <c r="AP624" s="132" t="n"/>
      <c r="AQ624" s="132" t="n"/>
      <c r="AR624" s="132" t="n"/>
      <c r="AS624" s="132" t="n"/>
      <c r="AT624" s="132" t="n"/>
      <c r="AU624" s="132" t="n"/>
      <c r="AV624" s="132" t="n"/>
      <c r="AW624" s="132" t="n"/>
      <c r="AX624" s="132" t="n"/>
      <c r="AY624" s="132" t="n"/>
      <c r="AZ624" s="133" t="n"/>
      <c r="BA624" s="131" t="n"/>
      <c r="BB624" s="132" t="n"/>
      <c r="BC624" s="133" t="n"/>
      <c r="BD624" s="131" t="n"/>
      <c r="BE624" s="132" t="n"/>
      <c r="BF624" s="133" t="n"/>
      <c r="BG624" s="131" t="n"/>
      <c r="BH624" s="132" t="n"/>
      <c r="BI624" s="132" t="n"/>
      <c r="BJ624" s="128">
        <f>iferror(SUM($BK624,($BL624*1.2),($BM624*1.35),($BN624*0.74)),)</f>
        <v/>
      </c>
      <c r="BK624" s="128">
        <f>IFERROR(SUM($BT624:$CK624),)</f>
        <v/>
      </c>
      <c r="BL624" s="129">
        <f>IFERROR(SUM($CL624:$CN624),)</f>
        <v/>
      </c>
      <c r="BM624" s="130">
        <f>IFERROR(SUM($CO624:$CQ624),)</f>
        <v/>
      </c>
      <c r="BN624" s="128">
        <f>IFERROR(SUM($CR624:$CT624),)</f>
        <v/>
      </c>
      <c r="BO624" s="128">
        <f>iferror(SUM($BP624,($BQ624*1.2),($BR624*1.35),($BS624*0.74)),)</f>
        <v/>
      </c>
      <c r="BP624" s="128">
        <f>IFERROR(SUM($CU624:$DL624),)</f>
        <v/>
      </c>
      <c r="BQ624" s="128">
        <f>IFERROR(SUM($DM624:$DO624),)</f>
        <v/>
      </c>
      <c r="BR624" s="128">
        <f>IFERROR(SUM($DP624:$DR624),)</f>
        <v/>
      </c>
      <c r="BS624" s="128">
        <f>IFERROR(SUM($DS624:$DU624),)</f>
        <v/>
      </c>
      <c r="BT624" s="128">
        <f>IFERROR(AI624*$W624,)</f>
        <v/>
      </c>
      <c r="BU624" s="128">
        <f>IFERROR(AJ624*$W624,)</f>
        <v/>
      </c>
      <c r="BV624" s="128">
        <f>IFERROR(AK624*$W624,)</f>
        <v/>
      </c>
      <c r="BW624" s="128">
        <f>IFERROR(AL624*$W624,)</f>
        <v/>
      </c>
      <c r="BX624" s="128">
        <f>IFERROR(AM624*$W624,)</f>
        <v/>
      </c>
      <c r="BY624" s="128">
        <f>IFERROR(AN624*$W624,)</f>
        <v/>
      </c>
      <c r="BZ624" s="128">
        <f>IFERROR(AO624*$W624,)</f>
        <v/>
      </c>
      <c r="CA624" s="128">
        <f>IFERROR(AP624*$W624,)</f>
        <v/>
      </c>
      <c r="CB624" s="128">
        <f>IFERROR(AQ624*$W624,)</f>
        <v/>
      </c>
      <c r="CC624" s="128">
        <f>IFERROR(AR624*$W624,)</f>
        <v/>
      </c>
      <c r="CD624" s="128">
        <f>IFERROR(AS624*$W624,)</f>
        <v/>
      </c>
      <c r="CE624" s="128">
        <f>IFERROR(AT624*$W624,)</f>
        <v/>
      </c>
      <c r="CF624" s="128">
        <f>IFERROR(AU624*$W624,)</f>
        <v/>
      </c>
      <c r="CG624" s="128">
        <f>IFERROR(AV624*$W624,)</f>
        <v/>
      </c>
      <c r="CH624" s="128">
        <f>IFERROR(AW624*$W624,)</f>
        <v/>
      </c>
      <c r="CI624" s="128">
        <f>IFERROR(AX624*$W624,)</f>
        <v/>
      </c>
      <c r="CJ624" s="128">
        <f>IFERROR(AY624*$W624,)</f>
        <v/>
      </c>
      <c r="CK624" s="128">
        <f>IFERROR(AZ624*$W624,)</f>
        <v/>
      </c>
      <c r="CL624" s="129">
        <f>IFERROR(if($Y624=0,BA624*($W624/1.2),BA624*$Y624),"")</f>
        <v/>
      </c>
      <c r="CM624" s="129">
        <f>IFERROR(if($Y624=0,BB624*($W624/1.2),BB624*$Y624),"")</f>
        <v/>
      </c>
      <c r="CN624" s="129">
        <f>IFERROR(if($Y624=0,BC624*($W624/1.2),BC624*$Y624),"")</f>
        <v/>
      </c>
      <c r="CO624" s="130">
        <f>IFERROR(if($AA624=0,($W624/1.35)*BD624,BD624*$AA624),)</f>
        <v/>
      </c>
      <c r="CP624" s="130">
        <f>IFERROR(if($AA624=0,($W624/1.35)*BE624,BE624*$AA624),)</f>
        <v/>
      </c>
      <c r="CQ624" s="130">
        <f>IFERROR(if($AA624=0,($W624/1.35)*BF624,BF624*$AA624),)</f>
        <v/>
      </c>
      <c r="CR624" s="128">
        <f>IFERROR(if($AC624=0,($W624/0.74)*BG624,
BG624*$AC624),)</f>
        <v/>
      </c>
      <c r="CS624" s="128">
        <f>IFERROR(if($AC624=0,($W624/0.74)*BH624,
BH624*$AC624),)</f>
        <v/>
      </c>
      <c r="CT624" s="128">
        <f>IFERROR(if($AC624=0,($W624/0.74)*BI624,
BI624*$AC624),)</f>
        <v/>
      </c>
      <c r="CU624" s="128">
        <f>IFERROR(AI624*$V624,)</f>
        <v/>
      </c>
      <c r="CV624" s="128">
        <f>IFERROR(AJ624*$V624,)</f>
        <v/>
      </c>
      <c r="CW624" s="128">
        <f>IFERROR(AK624*$V624,)</f>
        <v/>
      </c>
      <c r="CX624" s="128">
        <f>IFERROR(AL624*$V624,)</f>
        <v/>
      </c>
      <c r="CY624" s="128">
        <f>IFERROR(AM624*$V624,)</f>
        <v/>
      </c>
      <c r="CZ624" s="128">
        <f>IFERROR(AN624*$V624,)</f>
        <v/>
      </c>
      <c r="DA624" s="128">
        <f>IFERROR(AO624*$V624,)</f>
        <v/>
      </c>
      <c r="DB624" s="128">
        <f>IFERROR(AP624*$V624,)</f>
        <v/>
      </c>
      <c r="DC624" s="128">
        <f>IFERROR(AQ624*$V624,)</f>
        <v/>
      </c>
      <c r="DD624" s="128">
        <f>IFERROR(AR624*$V624,)</f>
        <v/>
      </c>
      <c r="DE624" s="128">
        <f>IFERROR(AS624*$V624,)</f>
        <v/>
      </c>
      <c r="DF624" s="128">
        <f>IFERROR(AT624*$V624,)</f>
        <v/>
      </c>
      <c r="DG624" s="128">
        <f>IFERROR(AU624*$V624,)</f>
        <v/>
      </c>
      <c r="DH624" s="128">
        <f>IFERROR(AV624*$V624,)</f>
        <v/>
      </c>
      <c r="DI624" s="128">
        <f>IFERROR(AW624*$V624,)</f>
        <v/>
      </c>
      <c r="DJ624" s="128">
        <f>IFERROR(AX624*$V624,)</f>
        <v/>
      </c>
      <c r="DK624" s="128">
        <f>IFERROR(AY624*$V624,)</f>
        <v/>
      </c>
      <c r="DL624" s="128">
        <f>IFERROR(AZ624*$V624,)</f>
        <v/>
      </c>
      <c r="DM624" s="129">
        <f>IFERROR(if($X624=0,($V624/1.2)*BA624,
BA624*$X624),)</f>
        <v/>
      </c>
      <c r="DN624" s="129">
        <f>IFERROR(if($X624=0,($V624/1.2)*BB624,
BB624*$X624),)</f>
        <v/>
      </c>
      <c r="DO624" s="129">
        <f>IFERROR(if($X624=0,($V624/1.2)*BC624,
BC624*$X624),)</f>
        <v/>
      </c>
      <c r="DP624" s="130">
        <f>IFERROR(if($Z624=0,($V624/1.35)*BD624,
BD624*$Z624),)</f>
        <v/>
      </c>
      <c r="DQ624" s="130">
        <f>IFERROR(if($Z624=0,($V624/1.35)*BE624,
BE624*$Z624),)</f>
        <v/>
      </c>
      <c r="DR624" s="130">
        <f>IFERROR(if($Z624=0,($V624/1.35)*BF624,
BF624*$Z624),)</f>
        <v/>
      </c>
      <c r="DS624" s="128">
        <f>IFERROR(IF($AB624=0,($V624/0.74)*BG624,
BG624*$AB624),)</f>
        <v/>
      </c>
      <c r="DT624" s="128">
        <f>IFERROR(IF($AB624=0,($V624/0.74)*BH624,
BH624*$AB624),)</f>
        <v/>
      </c>
      <c r="DU624" s="128">
        <f>IFERROR(IF($AB624=0,($V624/0.74)*BI624,
BI624*$AB624),)</f>
        <v/>
      </c>
    </row>
    <row r="625" ht="131.25" customHeight="1" s="162">
      <c r="A625" s="115" t="n"/>
      <c r="B625" s="115" t="n"/>
      <c r="C625" s="115" t="n"/>
      <c r="D625" s="115" t="n"/>
      <c r="E625" s="115" t="n"/>
      <c r="F625" s="115" t="n"/>
      <c r="G625" s="115" t="n"/>
      <c r="H625" s="115" t="n"/>
      <c r="I625" s="115" t="n"/>
      <c r="J625" s="115" t="n"/>
      <c r="K625" s="115" t="n"/>
      <c r="L625" s="115" t="n"/>
      <c r="M625" s="115" t="n"/>
      <c r="N625" s="115" t="n"/>
      <c r="O625" s="115" t="n"/>
      <c r="P625" s="115" t="n"/>
      <c r="Q625" s="115" t="n"/>
      <c r="R625" s="115" t="n"/>
      <c r="S625" s="115" t="n"/>
      <c r="T625" s="115" t="n"/>
      <c r="U625" s="116" t="n"/>
      <c r="V625" s="116" t="n"/>
      <c r="W625" s="117" t="n"/>
      <c r="X625" s="118" t="n"/>
      <c r="Y625" s="119" t="n"/>
      <c r="Z625" s="120" t="n"/>
      <c r="AA625" s="121" t="n"/>
      <c r="AB625" s="122" t="n"/>
      <c r="AC625" s="117" t="n"/>
      <c r="AD625" s="123">
        <f>IF(SUM($AE625:$AH625)=0,"",SUM($AE625:$AH625))</f>
        <v/>
      </c>
      <c r="AE625" s="123">
        <f>iferror(IF(SUM($AI625:$AZ625)=0,"",SUM($AI625:$AZ625)),"")</f>
        <v/>
      </c>
      <c r="AF625" s="123">
        <f>iferror(IF(SUM($BA625:$BC625)=0,"",SUM($BA625:$BC625)),"")</f>
        <v/>
      </c>
      <c r="AG625" s="123">
        <f>iferror(IF(SUM($BD625:$BF625)=0,"",SUM($BD625:$BF625)),"")</f>
        <v/>
      </c>
      <c r="AH625" s="124">
        <f>iferror(IF(SUM($BG625:$BI625)=0,"",SUM($BG625:$BI625)),"")</f>
        <v/>
      </c>
      <c r="AI625" s="131" t="n"/>
      <c r="AJ625" s="132" t="n"/>
      <c r="AK625" s="132" t="n"/>
      <c r="AL625" s="132" t="n"/>
      <c r="AM625" s="132" t="n"/>
      <c r="AN625" s="132" t="n"/>
      <c r="AO625" s="132" t="n"/>
      <c r="AP625" s="132" t="n"/>
      <c r="AQ625" s="132" t="n"/>
      <c r="AR625" s="132" t="n"/>
      <c r="AS625" s="132" t="n"/>
      <c r="AT625" s="132" t="n"/>
      <c r="AU625" s="132" t="n"/>
      <c r="AV625" s="132" t="n"/>
      <c r="AW625" s="132" t="n"/>
      <c r="AX625" s="132" t="n"/>
      <c r="AY625" s="132" t="n"/>
      <c r="AZ625" s="133" t="n"/>
      <c r="BA625" s="131" t="n"/>
      <c r="BB625" s="132" t="n"/>
      <c r="BC625" s="133" t="n"/>
      <c r="BD625" s="131" t="n"/>
      <c r="BE625" s="132" t="n"/>
      <c r="BF625" s="133" t="n"/>
      <c r="BG625" s="131" t="n"/>
      <c r="BH625" s="132" t="n"/>
      <c r="BI625" s="132" t="n"/>
      <c r="BJ625" s="128">
        <f>iferror(SUM($BK625,($BL625*1.2),($BM625*1.35),($BN625*0.74)),)</f>
        <v/>
      </c>
      <c r="BK625" s="128">
        <f>IFERROR(SUM($BT625:$CK625),)</f>
        <v/>
      </c>
      <c r="BL625" s="129">
        <f>IFERROR(SUM($CL625:$CN625),)</f>
        <v/>
      </c>
      <c r="BM625" s="130">
        <f>IFERROR(SUM($CO625:$CQ625),)</f>
        <v/>
      </c>
      <c r="BN625" s="128">
        <f>IFERROR(SUM($CR625:$CT625),)</f>
        <v/>
      </c>
      <c r="BO625" s="128">
        <f>iferror(SUM($BP625,($BQ625*1.2),($BR625*1.35),($BS625*0.74)),)</f>
        <v/>
      </c>
      <c r="BP625" s="128">
        <f>IFERROR(SUM($CU625:$DL625),)</f>
        <v/>
      </c>
      <c r="BQ625" s="128">
        <f>IFERROR(SUM($DM625:$DO625),)</f>
        <v/>
      </c>
      <c r="BR625" s="128">
        <f>IFERROR(SUM($DP625:$DR625),)</f>
        <v/>
      </c>
      <c r="BS625" s="128">
        <f>IFERROR(SUM($DS625:$DU625),)</f>
        <v/>
      </c>
      <c r="BT625" s="128">
        <f>IFERROR(AI625*$W625,)</f>
        <v/>
      </c>
      <c r="BU625" s="128">
        <f>IFERROR(AJ625*$W625,)</f>
        <v/>
      </c>
      <c r="BV625" s="128">
        <f>IFERROR(AK625*$W625,)</f>
        <v/>
      </c>
      <c r="BW625" s="128">
        <f>IFERROR(AL625*$W625,)</f>
        <v/>
      </c>
      <c r="BX625" s="128">
        <f>IFERROR(AM625*$W625,)</f>
        <v/>
      </c>
      <c r="BY625" s="128">
        <f>IFERROR(AN625*$W625,)</f>
        <v/>
      </c>
      <c r="BZ625" s="128">
        <f>IFERROR(AO625*$W625,)</f>
        <v/>
      </c>
      <c r="CA625" s="128">
        <f>IFERROR(AP625*$W625,)</f>
        <v/>
      </c>
      <c r="CB625" s="128">
        <f>IFERROR(AQ625*$W625,)</f>
        <v/>
      </c>
      <c r="CC625" s="128">
        <f>IFERROR(AR625*$W625,)</f>
        <v/>
      </c>
      <c r="CD625" s="128">
        <f>IFERROR(AS625*$W625,)</f>
        <v/>
      </c>
      <c r="CE625" s="128">
        <f>IFERROR(AT625*$W625,)</f>
        <v/>
      </c>
      <c r="CF625" s="128">
        <f>IFERROR(AU625*$W625,)</f>
        <v/>
      </c>
      <c r="CG625" s="128">
        <f>IFERROR(AV625*$W625,)</f>
        <v/>
      </c>
      <c r="CH625" s="128">
        <f>IFERROR(AW625*$W625,)</f>
        <v/>
      </c>
      <c r="CI625" s="128">
        <f>IFERROR(AX625*$W625,)</f>
        <v/>
      </c>
      <c r="CJ625" s="128">
        <f>IFERROR(AY625*$W625,)</f>
        <v/>
      </c>
      <c r="CK625" s="128">
        <f>IFERROR(AZ625*$W625,)</f>
        <v/>
      </c>
      <c r="CL625" s="129">
        <f>IFERROR(if($Y625=0,BA625*($W625/1.2),BA625*$Y625),"")</f>
        <v/>
      </c>
      <c r="CM625" s="129">
        <f>IFERROR(if($Y625=0,BB625*($W625/1.2),BB625*$Y625),"")</f>
        <v/>
      </c>
      <c r="CN625" s="129">
        <f>IFERROR(if($Y625=0,BC625*($W625/1.2),BC625*$Y625),"")</f>
        <v/>
      </c>
      <c r="CO625" s="130">
        <f>IFERROR(if($AA625=0,($W625/1.35)*BD625,BD625*$AA625),)</f>
        <v/>
      </c>
      <c r="CP625" s="130">
        <f>IFERROR(if($AA625=0,($W625/1.35)*BE625,BE625*$AA625),)</f>
        <v/>
      </c>
      <c r="CQ625" s="130">
        <f>IFERROR(if($AA625=0,($W625/1.35)*BF625,BF625*$AA625),)</f>
        <v/>
      </c>
      <c r="CR625" s="128">
        <f>IFERROR(if($AC625=0,($W625/0.74)*BG625,
BG625*$AC625),)</f>
        <v/>
      </c>
      <c r="CS625" s="128">
        <f>IFERROR(if($AC625=0,($W625/0.74)*BH625,
BH625*$AC625),)</f>
        <v/>
      </c>
      <c r="CT625" s="128">
        <f>IFERROR(if($AC625=0,($W625/0.74)*BI625,
BI625*$AC625),)</f>
        <v/>
      </c>
      <c r="CU625" s="128">
        <f>IFERROR(AI625*$V625,)</f>
        <v/>
      </c>
      <c r="CV625" s="128">
        <f>IFERROR(AJ625*$V625,)</f>
        <v/>
      </c>
      <c r="CW625" s="128">
        <f>IFERROR(AK625*$V625,)</f>
        <v/>
      </c>
      <c r="CX625" s="128">
        <f>IFERROR(AL625*$V625,)</f>
        <v/>
      </c>
      <c r="CY625" s="128">
        <f>IFERROR(AM625*$V625,)</f>
        <v/>
      </c>
      <c r="CZ625" s="128">
        <f>IFERROR(AN625*$V625,)</f>
        <v/>
      </c>
      <c r="DA625" s="128">
        <f>IFERROR(AO625*$V625,)</f>
        <v/>
      </c>
      <c r="DB625" s="128">
        <f>IFERROR(AP625*$V625,)</f>
        <v/>
      </c>
      <c r="DC625" s="128">
        <f>IFERROR(AQ625*$V625,)</f>
        <v/>
      </c>
      <c r="DD625" s="128">
        <f>IFERROR(AR625*$V625,)</f>
        <v/>
      </c>
      <c r="DE625" s="128">
        <f>IFERROR(AS625*$V625,)</f>
        <v/>
      </c>
      <c r="DF625" s="128">
        <f>IFERROR(AT625*$V625,)</f>
        <v/>
      </c>
      <c r="DG625" s="128">
        <f>IFERROR(AU625*$V625,)</f>
        <v/>
      </c>
      <c r="DH625" s="128">
        <f>IFERROR(AV625*$V625,)</f>
        <v/>
      </c>
      <c r="DI625" s="128">
        <f>IFERROR(AW625*$V625,)</f>
        <v/>
      </c>
      <c r="DJ625" s="128">
        <f>IFERROR(AX625*$V625,)</f>
        <v/>
      </c>
      <c r="DK625" s="128">
        <f>IFERROR(AY625*$V625,)</f>
        <v/>
      </c>
      <c r="DL625" s="128">
        <f>IFERROR(AZ625*$V625,)</f>
        <v/>
      </c>
      <c r="DM625" s="129">
        <f>IFERROR(if($X625=0,($V625/1.2)*BA625,
BA625*$X625),)</f>
        <v/>
      </c>
      <c r="DN625" s="129">
        <f>IFERROR(if($X625=0,($V625/1.2)*BB625,
BB625*$X625),)</f>
        <v/>
      </c>
      <c r="DO625" s="129">
        <f>IFERROR(if($X625=0,($V625/1.2)*BC625,
BC625*$X625),)</f>
        <v/>
      </c>
      <c r="DP625" s="130">
        <f>IFERROR(if($Z625=0,($V625/1.35)*BD625,
BD625*$Z625),)</f>
        <v/>
      </c>
      <c r="DQ625" s="130">
        <f>IFERROR(if($Z625=0,($V625/1.35)*BE625,
BE625*$Z625),)</f>
        <v/>
      </c>
      <c r="DR625" s="130">
        <f>IFERROR(if($Z625=0,($V625/1.35)*BF625,
BF625*$Z625),)</f>
        <v/>
      </c>
      <c r="DS625" s="128">
        <f>IFERROR(IF($AB625=0,($V625/0.74)*BG625,
BG625*$AB625),)</f>
        <v/>
      </c>
      <c r="DT625" s="128">
        <f>IFERROR(IF($AB625=0,($V625/0.74)*BH625,
BH625*$AB625),)</f>
        <v/>
      </c>
      <c r="DU625" s="128">
        <f>IFERROR(IF($AB625=0,($V625/0.74)*BI625,
BI625*$AB625),)</f>
        <v/>
      </c>
    </row>
    <row r="626" ht="131.25" customHeight="1" s="162">
      <c r="A626" s="115" t="n"/>
      <c r="B626" s="115" t="n"/>
      <c r="C626" s="115" t="n"/>
      <c r="D626" s="115" t="n"/>
      <c r="E626" s="115" t="n"/>
      <c r="F626" s="115" t="n"/>
      <c r="G626" s="115" t="n"/>
      <c r="H626" s="115" t="n"/>
      <c r="I626" s="115" t="n"/>
      <c r="J626" s="115" t="n"/>
      <c r="K626" s="115" t="n"/>
      <c r="L626" s="115" t="n"/>
      <c r="M626" s="115" t="n"/>
      <c r="N626" s="115" t="n"/>
      <c r="O626" s="115" t="n"/>
      <c r="P626" s="115" t="n"/>
      <c r="Q626" s="115" t="n"/>
      <c r="R626" s="115" t="n"/>
      <c r="S626" s="115" t="n"/>
      <c r="T626" s="115" t="n"/>
      <c r="U626" s="116" t="n"/>
      <c r="V626" s="116" t="n"/>
      <c r="W626" s="117" t="n"/>
      <c r="X626" s="118" t="n"/>
      <c r="Y626" s="119" t="n"/>
      <c r="Z626" s="120" t="n"/>
      <c r="AA626" s="121" t="n"/>
      <c r="AB626" s="122" t="n"/>
      <c r="AC626" s="117" t="n"/>
      <c r="AD626" s="123">
        <f>IF(SUM($AE626:$AH626)=0,"",SUM($AE626:$AH626))</f>
        <v/>
      </c>
      <c r="AE626" s="123">
        <f>iferror(IF(SUM($AI626:$AZ626)=0,"",SUM($AI626:$AZ626)),"")</f>
        <v/>
      </c>
      <c r="AF626" s="123">
        <f>iferror(IF(SUM($BA626:$BC626)=0,"",SUM($BA626:$BC626)),"")</f>
        <v/>
      </c>
      <c r="AG626" s="123">
        <f>iferror(IF(SUM($BD626:$BF626)=0,"",SUM($BD626:$BF626)),"")</f>
        <v/>
      </c>
      <c r="AH626" s="124">
        <f>iferror(IF(SUM($BG626:$BI626)=0,"",SUM($BG626:$BI626)),"")</f>
        <v/>
      </c>
      <c r="AI626" s="131" t="n"/>
      <c r="AJ626" s="132" t="n"/>
      <c r="AK626" s="132" t="n"/>
      <c r="AL626" s="132" t="n"/>
      <c r="AM626" s="132" t="n"/>
      <c r="AN626" s="132" t="n"/>
      <c r="AO626" s="132" t="n"/>
      <c r="AP626" s="132" t="n"/>
      <c r="AQ626" s="132" t="n"/>
      <c r="AR626" s="132" t="n"/>
      <c r="AS626" s="132" t="n"/>
      <c r="AT626" s="132" t="n"/>
      <c r="AU626" s="132" t="n"/>
      <c r="AV626" s="132" t="n"/>
      <c r="AW626" s="132" t="n"/>
      <c r="AX626" s="132" t="n"/>
      <c r="AY626" s="132" t="n"/>
      <c r="AZ626" s="133" t="n"/>
      <c r="BA626" s="131" t="n"/>
      <c r="BB626" s="132" t="n"/>
      <c r="BC626" s="133" t="n"/>
      <c r="BD626" s="131" t="n"/>
      <c r="BE626" s="132" t="n"/>
      <c r="BF626" s="133" t="n"/>
      <c r="BG626" s="131" t="n"/>
      <c r="BH626" s="132" t="n"/>
      <c r="BI626" s="132" t="n"/>
      <c r="BJ626" s="128">
        <f>iferror(SUM($BK626,($BL626*1.2),($BM626*1.35),($BN626*0.74)),)</f>
        <v/>
      </c>
      <c r="BK626" s="128">
        <f>IFERROR(SUM($BT626:$CK626),)</f>
        <v/>
      </c>
      <c r="BL626" s="129">
        <f>IFERROR(SUM($CL626:$CN626),)</f>
        <v/>
      </c>
      <c r="BM626" s="130">
        <f>IFERROR(SUM($CO626:$CQ626),)</f>
        <v/>
      </c>
      <c r="BN626" s="128">
        <f>IFERROR(SUM($CR626:$CT626),)</f>
        <v/>
      </c>
      <c r="BO626" s="128">
        <f>iferror(SUM($BP626,($BQ626*1.2),($BR626*1.35),($BS626*0.74)),)</f>
        <v/>
      </c>
      <c r="BP626" s="128">
        <f>IFERROR(SUM($CU626:$DL626),)</f>
        <v/>
      </c>
      <c r="BQ626" s="128">
        <f>IFERROR(SUM($DM626:$DO626),)</f>
        <v/>
      </c>
      <c r="BR626" s="128">
        <f>IFERROR(SUM($DP626:$DR626),)</f>
        <v/>
      </c>
      <c r="BS626" s="128">
        <f>IFERROR(SUM($DS626:$DU626),)</f>
        <v/>
      </c>
      <c r="BT626" s="128">
        <f>IFERROR(AI626*$W626,)</f>
        <v/>
      </c>
      <c r="BU626" s="128">
        <f>IFERROR(AJ626*$W626,)</f>
        <v/>
      </c>
      <c r="BV626" s="128">
        <f>IFERROR(AK626*$W626,)</f>
        <v/>
      </c>
      <c r="BW626" s="128">
        <f>IFERROR(AL626*$W626,)</f>
        <v/>
      </c>
      <c r="BX626" s="128">
        <f>IFERROR(AM626*$W626,)</f>
        <v/>
      </c>
      <c r="BY626" s="128">
        <f>IFERROR(AN626*$W626,)</f>
        <v/>
      </c>
      <c r="BZ626" s="128">
        <f>IFERROR(AO626*$W626,)</f>
        <v/>
      </c>
      <c r="CA626" s="128">
        <f>IFERROR(AP626*$W626,)</f>
        <v/>
      </c>
      <c r="CB626" s="128">
        <f>IFERROR(AQ626*$W626,)</f>
        <v/>
      </c>
      <c r="CC626" s="128">
        <f>IFERROR(AR626*$W626,)</f>
        <v/>
      </c>
      <c r="CD626" s="128">
        <f>IFERROR(AS626*$W626,)</f>
        <v/>
      </c>
      <c r="CE626" s="128">
        <f>IFERROR(AT626*$W626,)</f>
        <v/>
      </c>
      <c r="CF626" s="128">
        <f>IFERROR(AU626*$W626,)</f>
        <v/>
      </c>
      <c r="CG626" s="128">
        <f>IFERROR(AV626*$W626,)</f>
        <v/>
      </c>
      <c r="CH626" s="128">
        <f>IFERROR(AW626*$W626,)</f>
        <v/>
      </c>
      <c r="CI626" s="128">
        <f>IFERROR(AX626*$W626,)</f>
        <v/>
      </c>
      <c r="CJ626" s="128">
        <f>IFERROR(AY626*$W626,)</f>
        <v/>
      </c>
      <c r="CK626" s="128">
        <f>IFERROR(AZ626*$W626,)</f>
        <v/>
      </c>
      <c r="CL626" s="129">
        <f>IFERROR(if($Y626=0,BA626*($W626/1.2),BA626*$Y626),"")</f>
        <v/>
      </c>
      <c r="CM626" s="129">
        <f>IFERROR(if($Y626=0,BB626*($W626/1.2),BB626*$Y626),"")</f>
        <v/>
      </c>
      <c r="CN626" s="129">
        <f>IFERROR(if($Y626=0,BC626*($W626/1.2),BC626*$Y626),"")</f>
        <v/>
      </c>
      <c r="CO626" s="130">
        <f>IFERROR(if($AA626=0,($W626/1.35)*BD626,BD626*$AA626),)</f>
        <v/>
      </c>
      <c r="CP626" s="130">
        <f>IFERROR(if($AA626=0,($W626/1.35)*BE626,BE626*$AA626),)</f>
        <v/>
      </c>
      <c r="CQ626" s="130">
        <f>IFERROR(if($AA626=0,($W626/1.35)*BF626,BF626*$AA626),)</f>
        <v/>
      </c>
      <c r="CR626" s="128">
        <f>IFERROR(if($AC626=0,($W626/0.74)*BG626,
BG626*$AC626),)</f>
        <v/>
      </c>
      <c r="CS626" s="128">
        <f>IFERROR(if($AC626=0,($W626/0.74)*BH626,
BH626*$AC626),)</f>
        <v/>
      </c>
      <c r="CT626" s="128">
        <f>IFERROR(if($AC626=0,($W626/0.74)*BI626,
BI626*$AC626),)</f>
        <v/>
      </c>
      <c r="CU626" s="128">
        <f>IFERROR(AI626*$V626,)</f>
        <v/>
      </c>
      <c r="CV626" s="128">
        <f>IFERROR(AJ626*$V626,)</f>
        <v/>
      </c>
      <c r="CW626" s="128">
        <f>IFERROR(AK626*$V626,)</f>
        <v/>
      </c>
      <c r="CX626" s="128">
        <f>IFERROR(AL626*$V626,)</f>
        <v/>
      </c>
      <c r="CY626" s="128">
        <f>IFERROR(AM626*$V626,)</f>
        <v/>
      </c>
      <c r="CZ626" s="128">
        <f>IFERROR(AN626*$V626,)</f>
        <v/>
      </c>
      <c r="DA626" s="128">
        <f>IFERROR(AO626*$V626,)</f>
        <v/>
      </c>
      <c r="DB626" s="128">
        <f>IFERROR(AP626*$V626,)</f>
        <v/>
      </c>
      <c r="DC626" s="128">
        <f>IFERROR(AQ626*$V626,)</f>
        <v/>
      </c>
      <c r="DD626" s="128">
        <f>IFERROR(AR626*$V626,)</f>
        <v/>
      </c>
      <c r="DE626" s="128">
        <f>IFERROR(AS626*$V626,)</f>
        <v/>
      </c>
      <c r="DF626" s="128">
        <f>IFERROR(AT626*$V626,)</f>
        <v/>
      </c>
      <c r="DG626" s="128">
        <f>IFERROR(AU626*$V626,)</f>
        <v/>
      </c>
      <c r="DH626" s="128">
        <f>IFERROR(AV626*$V626,)</f>
        <v/>
      </c>
      <c r="DI626" s="128">
        <f>IFERROR(AW626*$V626,)</f>
        <v/>
      </c>
      <c r="DJ626" s="128">
        <f>IFERROR(AX626*$V626,)</f>
        <v/>
      </c>
      <c r="DK626" s="128">
        <f>IFERROR(AY626*$V626,)</f>
        <v/>
      </c>
      <c r="DL626" s="128">
        <f>IFERROR(AZ626*$V626,)</f>
        <v/>
      </c>
      <c r="DM626" s="129">
        <f>IFERROR(if($X626=0,($V626/1.2)*BA626,
BA626*$X626),)</f>
        <v/>
      </c>
      <c r="DN626" s="129">
        <f>IFERROR(if($X626=0,($V626/1.2)*BB626,
BB626*$X626),)</f>
        <v/>
      </c>
      <c r="DO626" s="129">
        <f>IFERROR(if($X626=0,($V626/1.2)*BC626,
BC626*$X626),)</f>
        <v/>
      </c>
      <c r="DP626" s="130">
        <f>IFERROR(if($Z626=0,($V626/1.35)*BD626,
BD626*$Z626),)</f>
        <v/>
      </c>
      <c r="DQ626" s="130">
        <f>IFERROR(if($Z626=0,($V626/1.35)*BE626,
BE626*$Z626),)</f>
        <v/>
      </c>
      <c r="DR626" s="130">
        <f>IFERROR(if($Z626=0,($V626/1.35)*BF626,
BF626*$Z626),)</f>
        <v/>
      </c>
      <c r="DS626" s="128">
        <f>IFERROR(IF($AB626=0,($V626/0.74)*BG626,
BG626*$AB626),)</f>
        <v/>
      </c>
      <c r="DT626" s="128">
        <f>IFERROR(IF($AB626=0,($V626/0.74)*BH626,
BH626*$AB626),)</f>
        <v/>
      </c>
      <c r="DU626" s="128">
        <f>IFERROR(IF($AB626=0,($V626/0.74)*BI626,
BI626*$AB626),)</f>
        <v/>
      </c>
    </row>
    <row r="627" ht="131.25" customHeight="1" s="162">
      <c r="A627" s="115" t="n"/>
      <c r="B627" s="115" t="n"/>
      <c r="C627" s="115" t="n"/>
      <c r="D627" s="115" t="n"/>
      <c r="E627" s="115" t="n"/>
      <c r="F627" s="115" t="n"/>
      <c r="G627" s="115" t="n"/>
      <c r="H627" s="115" t="n"/>
      <c r="I627" s="115" t="n"/>
      <c r="J627" s="115" t="n"/>
      <c r="K627" s="115" t="n"/>
      <c r="L627" s="115" t="n"/>
      <c r="M627" s="115" t="n"/>
      <c r="N627" s="115" t="n"/>
      <c r="O627" s="115" t="n"/>
      <c r="P627" s="115" t="n"/>
      <c r="Q627" s="115" t="n"/>
      <c r="R627" s="115" t="n"/>
      <c r="S627" s="115" t="n"/>
      <c r="T627" s="115" t="n"/>
      <c r="U627" s="116" t="n"/>
      <c r="V627" s="116" t="n"/>
      <c r="W627" s="117" t="n"/>
      <c r="X627" s="118" t="n"/>
      <c r="Y627" s="119" t="n"/>
      <c r="Z627" s="120" t="n"/>
      <c r="AA627" s="121" t="n"/>
      <c r="AB627" s="122" t="n"/>
      <c r="AC627" s="117" t="n"/>
      <c r="AD627" s="123">
        <f>IF(SUM($AE627:$AH627)=0,"",SUM($AE627:$AH627))</f>
        <v/>
      </c>
      <c r="AE627" s="123">
        <f>iferror(IF(SUM($AI627:$AZ627)=0,"",SUM($AI627:$AZ627)),"")</f>
        <v/>
      </c>
      <c r="AF627" s="123">
        <f>iferror(IF(SUM($BA627:$BC627)=0,"",SUM($BA627:$BC627)),"")</f>
        <v/>
      </c>
      <c r="AG627" s="123">
        <f>iferror(IF(SUM($BD627:$BF627)=0,"",SUM($BD627:$BF627)),"")</f>
        <v/>
      </c>
      <c r="AH627" s="124">
        <f>iferror(IF(SUM($BG627:$BI627)=0,"",SUM($BG627:$BI627)),"")</f>
        <v/>
      </c>
      <c r="AI627" s="131" t="n"/>
      <c r="AJ627" s="132" t="n"/>
      <c r="AK627" s="132" t="n"/>
      <c r="AL627" s="132" t="n"/>
      <c r="AM627" s="132" t="n"/>
      <c r="AN627" s="132" t="n"/>
      <c r="AO627" s="132" t="n"/>
      <c r="AP627" s="132" t="n"/>
      <c r="AQ627" s="132" t="n"/>
      <c r="AR627" s="132" t="n"/>
      <c r="AS627" s="132" t="n"/>
      <c r="AT627" s="132" t="n"/>
      <c r="AU627" s="132" t="n"/>
      <c r="AV627" s="132" t="n"/>
      <c r="AW627" s="132" t="n"/>
      <c r="AX627" s="132" t="n"/>
      <c r="AY627" s="132" t="n"/>
      <c r="AZ627" s="133" t="n"/>
      <c r="BA627" s="131" t="n"/>
      <c r="BB627" s="132" t="n"/>
      <c r="BC627" s="133" t="n"/>
      <c r="BD627" s="131" t="n"/>
      <c r="BE627" s="132" t="n"/>
      <c r="BF627" s="133" t="n"/>
      <c r="BG627" s="131" t="n"/>
      <c r="BH627" s="132" t="n"/>
      <c r="BI627" s="132" t="n"/>
      <c r="BJ627" s="128">
        <f>iferror(SUM($BK627,($BL627*1.2),($BM627*1.35),($BN627*0.74)),)</f>
        <v/>
      </c>
      <c r="BK627" s="128">
        <f>IFERROR(SUM($BT627:$CK627),)</f>
        <v/>
      </c>
      <c r="BL627" s="129">
        <f>IFERROR(SUM($CL627:$CN627),)</f>
        <v/>
      </c>
      <c r="BM627" s="130">
        <f>IFERROR(SUM($CO627:$CQ627),)</f>
        <v/>
      </c>
      <c r="BN627" s="128">
        <f>IFERROR(SUM($CR627:$CT627),)</f>
        <v/>
      </c>
      <c r="BO627" s="128">
        <f>iferror(SUM($BP627,($BQ627*1.2),($BR627*1.35),($BS627*0.74)),)</f>
        <v/>
      </c>
      <c r="BP627" s="128">
        <f>IFERROR(SUM($CU627:$DL627),)</f>
        <v/>
      </c>
      <c r="BQ627" s="128">
        <f>IFERROR(SUM($DM627:$DO627),)</f>
        <v/>
      </c>
      <c r="BR627" s="128">
        <f>IFERROR(SUM($DP627:$DR627),)</f>
        <v/>
      </c>
      <c r="BS627" s="128">
        <f>IFERROR(SUM($DS627:$DU627),)</f>
        <v/>
      </c>
      <c r="BT627" s="128">
        <f>IFERROR(AI627*$W627,)</f>
        <v/>
      </c>
      <c r="BU627" s="128">
        <f>IFERROR(AJ627*$W627,)</f>
        <v/>
      </c>
      <c r="BV627" s="128">
        <f>IFERROR(AK627*$W627,)</f>
        <v/>
      </c>
      <c r="BW627" s="128">
        <f>IFERROR(AL627*$W627,)</f>
        <v/>
      </c>
      <c r="BX627" s="128">
        <f>IFERROR(AM627*$W627,)</f>
        <v/>
      </c>
      <c r="BY627" s="128">
        <f>IFERROR(AN627*$W627,)</f>
        <v/>
      </c>
      <c r="BZ627" s="128">
        <f>IFERROR(AO627*$W627,)</f>
        <v/>
      </c>
      <c r="CA627" s="128">
        <f>IFERROR(AP627*$W627,)</f>
        <v/>
      </c>
      <c r="CB627" s="128">
        <f>IFERROR(AQ627*$W627,)</f>
        <v/>
      </c>
      <c r="CC627" s="128">
        <f>IFERROR(AR627*$W627,)</f>
        <v/>
      </c>
      <c r="CD627" s="128">
        <f>IFERROR(AS627*$W627,)</f>
        <v/>
      </c>
      <c r="CE627" s="128">
        <f>IFERROR(AT627*$W627,)</f>
        <v/>
      </c>
      <c r="CF627" s="128">
        <f>IFERROR(AU627*$W627,)</f>
        <v/>
      </c>
      <c r="CG627" s="128">
        <f>IFERROR(AV627*$W627,)</f>
        <v/>
      </c>
      <c r="CH627" s="128">
        <f>IFERROR(AW627*$W627,)</f>
        <v/>
      </c>
      <c r="CI627" s="128">
        <f>IFERROR(AX627*$W627,)</f>
        <v/>
      </c>
      <c r="CJ627" s="128">
        <f>IFERROR(AY627*$W627,)</f>
        <v/>
      </c>
      <c r="CK627" s="128">
        <f>IFERROR(AZ627*$W627,)</f>
        <v/>
      </c>
      <c r="CL627" s="129">
        <f>IFERROR(if($Y627=0,BA627*($W627/1.2),BA627*$Y627),"")</f>
        <v/>
      </c>
      <c r="CM627" s="129">
        <f>IFERROR(if($Y627=0,BB627*($W627/1.2),BB627*$Y627),"")</f>
        <v/>
      </c>
      <c r="CN627" s="129">
        <f>IFERROR(if($Y627=0,BC627*($W627/1.2),BC627*$Y627),"")</f>
        <v/>
      </c>
      <c r="CO627" s="130">
        <f>IFERROR(if($AA627=0,($W627/1.35)*BD627,BD627*$AA627),)</f>
        <v/>
      </c>
      <c r="CP627" s="130">
        <f>IFERROR(if($AA627=0,($W627/1.35)*BE627,BE627*$AA627),)</f>
        <v/>
      </c>
      <c r="CQ627" s="130">
        <f>IFERROR(if($AA627=0,($W627/1.35)*BF627,BF627*$AA627),)</f>
        <v/>
      </c>
      <c r="CR627" s="128">
        <f>IFERROR(if($AC627=0,($W627/0.74)*BG627,
BG627*$AC627),)</f>
        <v/>
      </c>
      <c r="CS627" s="128">
        <f>IFERROR(if($AC627=0,($W627/0.74)*BH627,
BH627*$AC627),)</f>
        <v/>
      </c>
      <c r="CT627" s="128">
        <f>IFERROR(if($AC627=0,($W627/0.74)*BI627,
BI627*$AC627),)</f>
        <v/>
      </c>
      <c r="CU627" s="128">
        <f>IFERROR(AI627*$V627,)</f>
        <v/>
      </c>
      <c r="CV627" s="128">
        <f>IFERROR(AJ627*$V627,)</f>
        <v/>
      </c>
      <c r="CW627" s="128">
        <f>IFERROR(AK627*$V627,)</f>
        <v/>
      </c>
      <c r="CX627" s="128">
        <f>IFERROR(AL627*$V627,)</f>
        <v/>
      </c>
      <c r="CY627" s="128">
        <f>IFERROR(AM627*$V627,)</f>
        <v/>
      </c>
      <c r="CZ627" s="128">
        <f>IFERROR(AN627*$V627,)</f>
        <v/>
      </c>
      <c r="DA627" s="128">
        <f>IFERROR(AO627*$V627,)</f>
        <v/>
      </c>
      <c r="DB627" s="128">
        <f>IFERROR(AP627*$V627,)</f>
        <v/>
      </c>
      <c r="DC627" s="128">
        <f>IFERROR(AQ627*$V627,)</f>
        <v/>
      </c>
      <c r="DD627" s="128">
        <f>IFERROR(AR627*$V627,)</f>
        <v/>
      </c>
      <c r="DE627" s="128">
        <f>IFERROR(AS627*$V627,)</f>
        <v/>
      </c>
      <c r="DF627" s="128">
        <f>IFERROR(AT627*$V627,)</f>
        <v/>
      </c>
      <c r="DG627" s="128">
        <f>IFERROR(AU627*$V627,)</f>
        <v/>
      </c>
      <c r="DH627" s="128">
        <f>IFERROR(AV627*$V627,)</f>
        <v/>
      </c>
      <c r="DI627" s="128">
        <f>IFERROR(AW627*$V627,)</f>
        <v/>
      </c>
      <c r="DJ627" s="128">
        <f>IFERROR(AX627*$V627,)</f>
        <v/>
      </c>
      <c r="DK627" s="128">
        <f>IFERROR(AY627*$V627,)</f>
        <v/>
      </c>
      <c r="DL627" s="128">
        <f>IFERROR(AZ627*$V627,)</f>
        <v/>
      </c>
      <c r="DM627" s="129">
        <f>IFERROR(if($X627=0,($V627/1.2)*BA627,
BA627*$X627),)</f>
        <v/>
      </c>
      <c r="DN627" s="129">
        <f>IFERROR(if($X627=0,($V627/1.2)*BB627,
BB627*$X627),)</f>
        <v/>
      </c>
      <c r="DO627" s="129">
        <f>IFERROR(if($X627=0,($V627/1.2)*BC627,
BC627*$X627),)</f>
        <v/>
      </c>
      <c r="DP627" s="130">
        <f>IFERROR(if($Z627=0,($V627/1.35)*BD627,
BD627*$Z627),)</f>
        <v/>
      </c>
      <c r="DQ627" s="130">
        <f>IFERROR(if($Z627=0,($V627/1.35)*BE627,
BE627*$Z627),)</f>
        <v/>
      </c>
      <c r="DR627" s="130">
        <f>IFERROR(if($Z627=0,($V627/1.35)*BF627,
BF627*$Z627),)</f>
        <v/>
      </c>
      <c r="DS627" s="128">
        <f>IFERROR(IF($AB627=0,($V627/0.74)*BG627,
BG627*$AB627),)</f>
        <v/>
      </c>
      <c r="DT627" s="128">
        <f>IFERROR(IF($AB627=0,($V627/0.74)*BH627,
BH627*$AB627),)</f>
        <v/>
      </c>
      <c r="DU627" s="128">
        <f>IFERROR(IF($AB627=0,($V627/0.74)*BI627,
BI627*$AB627),)</f>
        <v/>
      </c>
    </row>
    <row r="628" ht="131.25" customHeight="1" s="162">
      <c r="A628" s="115" t="n"/>
      <c r="B628" s="115" t="n"/>
      <c r="C628" s="115" t="n"/>
      <c r="D628" s="115" t="n"/>
      <c r="E628" s="115" t="n"/>
      <c r="F628" s="115" t="n"/>
      <c r="G628" s="115" t="n"/>
      <c r="H628" s="115" t="n"/>
      <c r="I628" s="115" t="n"/>
      <c r="J628" s="115" t="n"/>
      <c r="K628" s="115" t="n"/>
      <c r="L628" s="115" t="n"/>
      <c r="M628" s="115" t="n"/>
      <c r="N628" s="115" t="n"/>
      <c r="O628" s="115" t="n"/>
      <c r="P628" s="115" t="n"/>
      <c r="Q628" s="115" t="n"/>
      <c r="R628" s="115" t="n"/>
      <c r="S628" s="115" t="n"/>
      <c r="T628" s="115" t="n"/>
      <c r="U628" s="116" t="n"/>
      <c r="V628" s="116" t="n"/>
      <c r="W628" s="117" t="n"/>
      <c r="X628" s="118" t="n"/>
      <c r="Y628" s="119" t="n"/>
      <c r="Z628" s="120" t="n"/>
      <c r="AA628" s="121" t="n"/>
      <c r="AB628" s="122" t="n"/>
      <c r="AC628" s="117" t="n"/>
      <c r="AD628" s="123">
        <f>IF(SUM($AE628:$AH628)=0,"",SUM($AE628:$AH628))</f>
        <v/>
      </c>
      <c r="AE628" s="123">
        <f>iferror(IF(SUM($AI628:$AZ628)=0,"",SUM($AI628:$AZ628)),"")</f>
        <v/>
      </c>
      <c r="AF628" s="123">
        <f>iferror(IF(SUM($BA628:$BC628)=0,"",SUM($BA628:$BC628)),"")</f>
        <v/>
      </c>
      <c r="AG628" s="123">
        <f>iferror(IF(SUM($BD628:$BF628)=0,"",SUM($BD628:$BF628)),"")</f>
        <v/>
      </c>
      <c r="AH628" s="124">
        <f>iferror(IF(SUM($BG628:$BI628)=0,"",SUM($BG628:$BI628)),"")</f>
        <v/>
      </c>
      <c r="AI628" s="131" t="n"/>
      <c r="AJ628" s="132" t="n"/>
      <c r="AK628" s="132" t="n"/>
      <c r="AL628" s="132" t="n"/>
      <c r="AM628" s="132" t="n"/>
      <c r="AN628" s="132" t="n"/>
      <c r="AO628" s="132" t="n"/>
      <c r="AP628" s="132" t="n"/>
      <c r="AQ628" s="132" t="n"/>
      <c r="AR628" s="132" t="n"/>
      <c r="AS628" s="132" t="n"/>
      <c r="AT628" s="132" t="n"/>
      <c r="AU628" s="132" t="n"/>
      <c r="AV628" s="132" t="n"/>
      <c r="AW628" s="132" t="n"/>
      <c r="AX628" s="132" t="n"/>
      <c r="AY628" s="132" t="n"/>
      <c r="AZ628" s="133" t="n"/>
      <c r="BA628" s="131" t="n"/>
      <c r="BB628" s="132" t="n"/>
      <c r="BC628" s="133" t="n"/>
      <c r="BD628" s="131" t="n"/>
      <c r="BE628" s="132" t="n"/>
      <c r="BF628" s="133" t="n"/>
      <c r="BG628" s="131" t="n"/>
      <c r="BH628" s="132" t="n"/>
      <c r="BI628" s="132" t="n"/>
      <c r="BJ628" s="128">
        <f>iferror(SUM($BK628,($BL628*1.2),($BM628*1.35),($BN628*0.74)),)</f>
        <v/>
      </c>
      <c r="BK628" s="128">
        <f>IFERROR(SUM($BT628:$CK628),)</f>
        <v/>
      </c>
      <c r="BL628" s="129">
        <f>IFERROR(SUM($CL628:$CN628),)</f>
        <v/>
      </c>
      <c r="BM628" s="130">
        <f>IFERROR(SUM($CO628:$CQ628),)</f>
        <v/>
      </c>
      <c r="BN628" s="128">
        <f>IFERROR(SUM($CR628:$CT628),)</f>
        <v/>
      </c>
      <c r="BO628" s="128">
        <f>iferror(SUM($BP628,($BQ628*1.2),($BR628*1.35),($BS628*0.74)),)</f>
        <v/>
      </c>
      <c r="BP628" s="128">
        <f>IFERROR(SUM($CU628:$DL628),)</f>
        <v/>
      </c>
      <c r="BQ628" s="128">
        <f>IFERROR(SUM($DM628:$DO628),)</f>
        <v/>
      </c>
      <c r="BR628" s="128">
        <f>IFERROR(SUM($DP628:$DR628),)</f>
        <v/>
      </c>
      <c r="BS628" s="128">
        <f>IFERROR(SUM($DS628:$DU628),)</f>
        <v/>
      </c>
      <c r="BT628" s="128">
        <f>IFERROR(AI628*$W628,)</f>
        <v/>
      </c>
      <c r="BU628" s="128">
        <f>IFERROR(AJ628*$W628,)</f>
        <v/>
      </c>
      <c r="BV628" s="128">
        <f>IFERROR(AK628*$W628,)</f>
        <v/>
      </c>
      <c r="BW628" s="128">
        <f>IFERROR(AL628*$W628,)</f>
        <v/>
      </c>
      <c r="BX628" s="128">
        <f>IFERROR(AM628*$W628,)</f>
        <v/>
      </c>
      <c r="BY628" s="128">
        <f>IFERROR(AN628*$W628,)</f>
        <v/>
      </c>
      <c r="BZ628" s="128">
        <f>IFERROR(AO628*$W628,)</f>
        <v/>
      </c>
      <c r="CA628" s="128">
        <f>IFERROR(AP628*$W628,)</f>
        <v/>
      </c>
      <c r="CB628" s="128">
        <f>IFERROR(AQ628*$W628,)</f>
        <v/>
      </c>
      <c r="CC628" s="128">
        <f>IFERROR(AR628*$W628,)</f>
        <v/>
      </c>
      <c r="CD628" s="128">
        <f>IFERROR(AS628*$W628,)</f>
        <v/>
      </c>
      <c r="CE628" s="128">
        <f>IFERROR(AT628*$W628,)</f>
        <v/>
      </c>
      <c r="CF628" s="128">
        <f>IFERROR(AU628*$W628,)</f>
        <v/>
      </c>
      <c r="CG628" s="128">
        <f>IFERROR(AV628*$W628,)</f>
        <v/>
      </c>
      <c r="CH628" s="128">
        <f>IFERROR(AW628*$W628,)</f>
        <v/>
      </c>
      <c r="CI628" s="128">
        <f>IFERROR(AX628*$W628,)</f>
        <v/>
      </c>
      <c r="CJ628" s="128">
        <f>IFERROR(AY628*$W628,)</f>
        <v/>
      </c>
      <c r="CK628" s="128">
        <f>IFERROR(AZ628*$W628,)</f>
        <v/>
      </c>
      <c r="CL628" s="129">
        <f>IFERROR(if($Y628=0,BA628*($W628/1.2),BA628*$Y628),"")</f>
        <v/>
      </c>
      <c r="CM628" s="129">
        <f>IFERROR(if($Y628=0,BB628*($W628/1.2),BB628*$Y628),"")</f>
        <v/>
      </c>
      <c r="CN628" s="129">
        <f>IFERROR(if($Y628=0,BC628*($W628/1.2),BC628*$Y628),"")</f>
        <v/>
      </c>
      <c r="CO628" s="130">
        <f>IFERROR(if($AA628=0,($W628/1.35)*BD628,BD628*$AA628),)</f>
        <v/>
      </c>
      <c r="CP628" s="130">
        <f>IFERROR(if($AA628=0,($W628/1.35)*BE628,BE628*$AA628),)</f>
        <v/>
      </c>
      <c r="CQ628" s="130">
        <f>IFERROR(if($AA628=0,($W628/1.35)*BF628,BF628*$AA628),)</f>
        <v/>
      </c>
      <c r="CR628" s="128">
        <f>IFERROR(if($AC628=0,($W628/0.74)*BG628,
BG628*$AC628),)</f>
        <v/>
      </c>
      <c r="CS628" s="128">
        <f>IFERROR(if($AC628=0,($W628/0.74)*BH628,
BH628*$AC628),)</f>
        <v/>
      </c>
      <c r="CT628" s="128">
        <f>IFERROR(if($AC628=0,($W628/0.74)*BI628,
BI628*$AC628),)</f>
        <v/>
      </c>
      <c r="CU628" s="128">
        <f>IFERROR(AI628*$V628,)</f>
        <v/>
      </c>
      <c r="CV628" s="128">
        <f>IFERROR(AJ628*$V628,)</f>
        <v/>
      </c>
      <c r="CW628" s="128">
        <f>IFERROR(AK628*$V628,)</f>
        <v/>
      </c>
      <c r="CX628" s="128">
        <f>IFERROR(AL628*$V628,)</f>
        <v/>
      </c>
      <c r="CY628" s="128">
        <f>IFERROR(AM628*$V628,)</f>
        <v/>
      </c>
      <c r="CZ628" s="128">
        <f>IFERROR(AN628*$V628,)</f>
        <v/>
      </c>
      <c r="DA628" s="128">
        <f>IFERROR(AO628*$V628,)</f>
        <v/>
      </c>
      <c r="DB628" s="128">
        <f>IFERROR(AP628*$V628,)</f>
        <v/>
      </c>
      <c r="DC628" s="128">
        <f>IFERROR(AQ628*$V628,)</f>
        <v/>
      </c>
      <c r="DD628" s="128">
        <f>IFERROR(AR628*$V628,)</f>
        <v/>
      </c>
      <c r="DE628" s="128">
        <f>IFERROR(AS628*$V628,)</f>
        <v/>
      </c>
      <c r="DF628" s="128">
        <f>IFERROR(AT628*$V628,)</f>
        <v/>
      </c>
      <c r="DG628" s="128">
        <f>IFERROR(AU628*$V628,)</f>
        <v/>
      </c>
      <c r="DH628" s="128">
        <f>IFERROR(AV628*$V628,)</f>
        <v/>
      </c>
      <c r="DI628" s="128">
        <f>IFERROR(AW628*$V628,)</f>
        <v/>
      </c>
      <c r="DJ628" s="128">
        <f>IFERROR(AX628*$V628,)</f>
        <v/>
      </c>
      <c r="DK628" s="128">
        <f>IFERROR(AY628*$V628,)</f>
        <v/>
      </c>
      <c r="DL628" s="128">
        <f>IFERROR(AZ628*$V628,)</f>
        <v/>
      </c>
      <c r="DM628" s="129">
        <f>IFERROR(if($X628=0,($V628/1.2)*BA628,
BA628*$X628),)</f>
        <v/>
      </c>
      <c r="DN628" s="129">
        <f>IFERROR(if($X628=0,($V628/1.2)*BB628,
BB628*$X628),)</f>
        <v/>
      </c>
      <c r="DO628" s="129">
        <f>IFERROR(if($X628=0,($V628/1.2)*BC628,
BC628*$X628),)</f>
        <v/>
      </c>
      <c r="DP628" s="130">
        <f>IFERROR(if($Z628=0,($V628/1.35)*BD628,
BD628*$Z628),)</f>
        <v/>
      </c>
      <c r="DQ628" s="130">
        <f>IFERROR(if($Z628=0,($V628/1.35)*BE628,
BE628*$Z628),)</f>
        <v/>
      </c>
      <c r="DR628" s="130">
        <f>IFERROR(if($Z628=0,($V628/1.35)*BF628,
BF628*$Z628),)</f>
        <v/>
      </c>
      <c r="DS628" s="128">
        <f>IFERROR(IF($AB628=0,($V628/0.74)*BG628,
BG628*$AB628),)</f>
        <v/>
      </c>
      <c r="DT628" s="128">
        <f>IFERROR(IF($AB628=0,($V628/0.74)*BH628,
BH628*$AB628),)</f>
        <v/>
      </c>
      <c r="DU628" s="128">
        <f>IFERROR(IF($AB628=0,($V628/0.74)*BI628,
BI628*$AB628),)</f>
        <v/>
      </c>
    </row>
    <row r="629" ht="131.25" customHeight="1" s="162">
      <c r="A629" s="115" t="n"/>
      <c r="B629" s="115" t="n"/>
      <c r="C629" s="115" t="n"/>
      <c r="D629" s="115" t="n"/>
      <c r="E629" s="115" t="n"/>
      <c r="F629" s="115" t="n"/>
      <c r="G629" s="115" t="n"/>
      <c r="H629" s="115" t="n"/>
      <c r="I629" s="115" t="n"/>
      <c r="J629" s="115" t="n"/>
      <c r="K629" s="115" t="n"/>
      <c r="L629" s="115" t="n"/>
      <c r="M629" s="115" t="n"/>
      <c r="N629" s="115" t="n"/>
      <c r="O629" s="115" t="n"/>
      <c r="P629" s="115" t="n"/>
      <c r="Q629" s="115" t="n"/>
      <c r="R629" s="115" t="n"/>
      <c r="S629" s="115" t="n"/>
      <c r="T629" s="115" t="n"/>
      <c r="U629" s="116" t="n"/>
      <c r="V629" s="116" t="n"/>
      <c r="W629" s="117" t="n"/>
      <c r="X629" s="118" t="n"/>
      <c r="Y629" s="119" t="n"/>
      <c r="Z629" s="120" t="n"/>
      <c r="AA629" s="121" t="n"/>
      <c r="AB629" s="122" t="n"/>
      <c r="AC629" s="117" t="n"/>
      <c r="AD629" s="123">
        <f>IF(SUM($AE629:$AH629)=0,"",SUM($AE629:$AH629))</f>
        <v/>
      </c>
      <c r="AE629" s="123">
        <f>iferror(IF(SUM($AI629:$AZ629)=0,"",SUM($AI629:$AZ629)),"")</f>
        <v/>
      </c>
      <c r="AF629" s="123">
        <f>iferror(IF(SUM($BA629:$BC629)=0,"",SUM($BA629:$BC629)),"")</f>
        <v/>
      </c>
      <c r="AG629" s="123">
        <f>iferror(IF(SUM($BD629:$BF629)=0,"",SUM($BD629:$BF629)),"")</f>
        <v/>
      </c>
      <c r="AH629" s="124">
        <f>iferror(IF(SUM($BG629:$BI629)=0,"",SUM($BG629:$BI629)),"")</f>
        <v/>
      </c>
      <c r="AI629" s="131" t="n"/>
      <c r="AJ629" s="132" t="n"/>
      <c r="AK629" s="132" t="n"/>
      <c r="AL629" s="132" t="n"/>
      <c r="AM629" s="132" t="n"/>
      <c r="AN629" s="132" t="n"/>
      <c r="AO629" s="132" t="n"/>
      <c r="AP629" s="132" t="n"/>
      <c r="AQ629" s="132" t="n"/>
      <c r="AR629" s="132" t="n"/>
      <c r="AS629" s="132" t="n"/>
      <c r="AT629" s="132" t="n"/>
      <c r="AU629" s="132" t="n"/>
      <c r="AV629" s="132" t="n"/>
      <c r="AW629" s="132" t="n"/>
      <c r="AX629" s="132" t="n"/>
      <c r="AY629" s="132" t="n"/>
      <c r="AZ629" s="133" t="n"/>
      <c r="BA629" s="131" t="n"/>
      <c r="BB629" s="132" t="n"/>
      <c r="BC629" s="133" t="n"/>
      <c r="BD629" s="131" t="n"/>
      <c r="BE629" s="132" t="n"/>
      <c r="BF629" s="133" t="n"/>
      <c r="BG629" s="131" t="n"/>
      <c r="BH629" s="132" t="n"/>
      <c r="BI629" s="132" t="n"/>
      <c r="BJ629" s="128">
        <f>iferror(SUM($BK629,($BL629*1.2),($BM629*1.35),($BN629*0.74)),)</f>
        <v/>
      </c>
      <c r="BK629" s="128">
        <f>IFERROR(SUM($BT629:$CK629),)</f>
        <v/>
      </c>
      <c r="BL629" s="129">
        <f>IFERROR(SUM($CL629:$CN629),)</f>
        <v/>
      </c>
      <c r="BM629" s="130">
        <f>IFERROR(SUM($CO629:$CQ629),)</f>
        <v/>
      </c>
      <c r="BN629" s="128">
        <f>IFERROR(SUM($CR629:$CT629),)</f>
        <v/>
      </c>
      <c r="BO629" s="128">
        <f>iferror(SUM($BP629,($BQ629*1.2),($BR629*1.35),($BS629*0.74)),)</f>
        <v/>
      </c>
      <c r="BP629" s="128">
        <f>IFERROR(SUM($CU629:$DL629),)</f>
        <v/>
      </c>
      <c r="BQ629" s="128">
        <f>IFERROR(SUM($DM629:$DO629),)</f>
        <v/>
      </c>
      <c r="BR629" s="128">
        <f>IFERROR(SUM($DP629:$DR629),)</f>
        <v/>
      </c>
      <c r="BS629" s="128">
        <f>IFERROR(SUM($DS629:$DU629),)</f>
        <v/>
      </c>
      <c r="BT629" s="128">
        <f>IFERROR(AI629*$W629,)</f>
        <v/>
      </c>
      <c r="BU629" s="128">
        <f>IFERROR(AJ629*$W629,)</f>
        <v/>
      </c>
      <c r="BV629" s="128">
        <f>IFERROR(AK629*$W629,)</f>
        <v/>
      </c>
      <c r="BW629" s="128">
        <f>IFERROR(AL629*$W629,)</f>
        <v/>
      </c>
      <c r="BX629" s="128">
        <f>IFERROR(AM629*$W629,)</f>
        <v/>
      </c>
      <c r="BY629" s="128">
        <f>IFERROR(AN629*$W629,)</f>
        <v/>
      </c>
      <c r="BZ629" s="128">
        <f>IFERROR(AO629*$W629,)</f>
        <v/>
      </c>
      <c r="CA629" s="128">
        <f>IFERROR(AP629*$W629,)</f>
        <v/>
      </c>
      <c r="CB629" s="128">
        <f>IFERROR(AQ629*$W629,)</f>
        <v/>
      </c>
      <c r="CC629" s="128">
        <f>IFERROR(AR629*$W629,)</f>
        <v/>
      </c>
      <c r="CD629" s="128">
        <f>IFERROR(AS629*$W629,)</f>
        <v/>
      </c>
      <c r="CE629" s="128">
        <f>IFERROR(AT629*$W629,)</f>
        <v/>
      </c>
      <c r="CF629" s="128">
        <f>IFERROR(AU629*$W629,)</f>
        <v/>
      </c>
      <c r="CG629" s="128">
        <f>IFERROR(AV629*$W629,)</f>
        <v/>
      </c>
      <c r="CH629" s="128">
        <f>IFERROR(AW629*$W629,)</f>
        <v/>
      </c>
      <c r="CI629" s="128">
        <f>IFERROR(AX629*$W629,)</f>
        <v/>
      </c>
      <c r="CJ629" s="128">
        <f>IFERROR(AY629*$W629,)</f>
        <v/>
      </c>
      <c r="CK629" s="128">
        <f>IFERROR(AZ629*$W629,)</f>
        <v/>
      </c>
      <c r="CL629" s="129">
        <f>IFERROR(if($Y629=0,BA629*($W629/1.2),BA629*$Y629),"")</f>
        <v/>
      </c>
      <c r="CM629" s="129">
        <f>IFERROR(if($Y629=0,BB629*($W629/1.2),BB629*$Y629),"")</f>
        <v/>
      </c>
      <c r="CN629" s="129">
        <f>IFERROR(if($Y629=0,BC629*($W629/1.2),BC629*$Y629),"")</f>
        <v/>
      </c>
      <c r="CO629" s="130">
        <f>IFERROR(if($AA629=0,($W629/1.35)*BD629,BD629*$AA629),)</f>
        <v/>
      </c>
      <c r="CP629" s="130">
        <f>IFERROR(if($AA629=0,($W629/1.35)*BE629,BE629*$AA629),)</f>
        <v/>
      </c>
      <c r="CQ629" s="130">
        <f>IFERROR(if($AA629=0,($W629/1.35)*BF629,BF629*$AA629),)</f>
        <v/>
      </c>
      <c r="CR629" s="128">
        <f>IFERROR(if($AC629=0,($W629/0.74)*BG629,
BG629*$AC629),)</f>
        <v/>
      </c>
      <c r="CS629" s="128">
        <f>IFERROR(if($AC629=0,($W629/0.74)*BH629,
BH629*$AC629),)</f>
        <v/>
      </c>
      <c r="CT629" s="128">
        <f>IFERROR(if($AC629=0,($W629/0.74)*BI629,
BI629*$AC629),)</f>
        <v/>
      </c>
      <c r="CU629" s="128">
        <f>IFERROR(AI629*$V629,)</f>
        <v/>
      </c>
      <c r="CV629" s="128">
        <f>IFERROR(AJ629*$V629,)</f>
        <v/>
      </c>
      <c r="CW629" s="128">
        <f>IFERROR(AK629*$V629,)</f>
        <v/>
      </c>
      <c r="CX629" s="128">
        <f>IFERROR(AL629*$V629,)</f>
        <v/>
      </c>
      <c r="CY629" s="128">
        <f>IFERROR(AM629*$V629,)</f>
        <v/>
      </c>
      <c r="CZ629" s="128">
        <f>IFERROR(AN629*$V629,)</f>
        <v/>
      </c>
      <c r="DA629" s="128">
        <f>IFERROR(AO629*$V629,)</f>
        <v/>
      </c>
      <c r="DB629" s="128">
        <f>IFERROR(AP629*$V629,)</f>
        <v/>
      </c>
      <c r="DC629" s="128">
        <f>IFERROR(AQ629*$V629,)</f>
        <v/>
      </c>
      <c r="DD629" s="128">
        <f>IFERROR(AR629*$V629,)</f>
        <v/>
      </c>
      <c r="DE629" s="128">
        <f>IFERROR(AS629*$V629,)</f>
        <v/>
      </c>
      <c r="DF629" s="128">
        <f>IFERROR(AT629*$V629,)</f>
        <v/>
      </c>
      <c r="DG629" s="128">
        <f>IFERROR(AU629*$V629,)</f>
        <v/>
      </c>
      <c r="DH629" s="128">
        <f>IFERROR(AV629*$V629,)</f>
        <v/>
      </c>
      <c r="DI629" s="128">
        <f>IFERROR(AW629*$V629,)</f>
        <v/>
      </c>
      <c r="DJ629" s="128">
        <f>IFERROR(AX629*$V629,)</f>
        <v/>
      </c>
      <c r="DK629" s="128">
        <f>IFERROR(AY629*$V629,)</f>
        <v/>
      </c>
      <c r="DL629" s="128">
        <f>IFERROR(AZ629*$V629,)</f>
        <v/>
      </c>
      <c r="DM629" s="129">
        <f>IFERROR(if($X629=0,($V629/1.2)*BA629,
BA629*$X629),)</f>
        <v/>
      </c>
      <c r="DN629" s="129">
        <f>IFERROR(if($X629=0,($V629/1.2)*BB629,
BB629*$X629),)</f>
        <v/>
      </c>
      <c r="DO629" s="129">
        <f>IFERROR(if($X629=0,($V629/1.2)*BC629,
BC629*$X629),)</f>
        <v/>
      </c>
      <c r="DP629" s="130">
        <f>IFERROR(if($Z629=0,($V629/1.35)*BD629,
BD629*$Z629),)</f>
        <v/>
      </c>
      <c r="DQ629" s="130">
        <f>IFERROR(if($Z629=0,($V629/1.35)*BE629,
BE629*$Z629),)</f>
        <v/>
      </c>
      <c r="DR629" s="130">
        <f>IFERROR(if($Z629=0,($V629/1.35)*BF629,
BF629*$Z629),)</f>
        <v/>
      </c>
      <c r="DS629" s="128">
        <f>IFERROR(IF($AB629=0,($V629/0.74)*BG629,
BG629*$AB629),)</f>
        <v/>
      </c>
      <c r="DT629" s="128">
        <f>IFERROR(IF($AB629=0,($V629/0.74)*BH629,
BH629*$AB629),)</f>
        <v/>
      </c>
      <c r="DU629" s="128">
        <f>IFERROR(IF($AB629=0,($V629/0.74)*BI629,
BI629*$AB629),)</f>
        <v/>
      </c>
    </row>
    <row r="630" ht="131.25" customHeight="1" s="162">
      <c r="A630" s="115" t="n"/>
      <c r="B630" s="115" t="n"/>
      <c r="C630" s="115" t="n"/>
      <c r="D630" s="115" t="n"/>
      <c r="E630" s="115" t="n"/>
      <c r="F630" s="115" t="n"/>
      <c r="G630" s="115" t="n"/>
      <c r="H630" s="115" t="n"/>
      <c r="I630" s="115" t="n"/>
      <c r="J630" s="115" t="n"/>
      <c r="K630" s="115" t="n"/>
      <c r="L630" s="115" t="n"/>
      <c r="M630" s="115" t="n"/>
      <c r="N630" s="115" t="n"/>
      <c r="O630" s="115" t="n"/>
      <c r="P630" s="115" t="n"/>
      <c r="Q630" s="115" t="n"/>
      <c r="R630" s="115" t="n"/>
      <c r="S630" s="115" t="n"/>
      <c r="T630" s="115" t="n"/>
      <c r="U630" s="116" t="n"/>
      <c r="V630" s="116" t="n"/>
      <c r="W630" s="117" t="n"/>
      <c r="X630" s="118" t="n"/>
      <c r="Y630" s="119" t="n"/>
      <c r="Z630" s="120" t="n"/>
      <c r="AA630" s="121" t="n"/>
      <c r="AB630" s="122" t="n"/>
      <c r="AC630" s="117" t="n"/>
      <c r="AD630" s="123">
        <f>IF(SUM($AE630:$AH630)=0,"",SUM($AE630:$AH630))</f>
        <v/>
      </c>
      <c r="AE630" s="123">
        <f>iferror(IF(SUM($AI630:$AZ630)=0,"",SUM($AI630:$AZ630)),"")</f>
        <v/>
      </c>
      <c r="AF630" s="123">
        <f>iferror(IF(SUM($BA630:$BC630)=0,"",SUM($BA630:$BC630)),"")</f>
        <v/>
      </c>
      <c r="AG630" s="123">
        <f>iferror(IF(SUM($BD630:$BF630)=0,"",SUM($BD630:$BF630)),"")</f>
        <v/>
      </c>
      <c r="AH630" s="124">
        <f>iferror(IF(SUM($BG630:$BI630)=0,"",SUM($BG630:$BI630)),"")</f>
        <v/>
      </c>
      <c r="AI630" s="131" t="n"/>
      <c r="AJ630" s="132" t="n"/>
      <c r="AK630" s="132" t="n"/>
      <c r="AL630" s="132" t="n"/>
      <c r="AM630" s="132" t="n"/>
      <c r="AN630" s="132" t="n"/>
      <c r="AO630" s="132" t="n"/>
      <c r="AP630" s="132" t="n"/>
      <c r="AQ630" s="132" t="n"/>
      <c r="AR630" s="132" t="n"/>
      <c r="AS630" s="132" t="n"/>
      <c r="AT630" s="132" t="n"/>
      <c r="AU630" s="132" t="n"/>
      <c r="AV630" s="132" t="n"/>
      <c r="AW630" s="132" t="n"/>
      <c r="AX630" s="132" t="n"/>
      <c r="AY630" s="132" t="n"/>
      <c r="AZ630" s="133" t="n"/>
      <c r="BA630" s="131" t="n"/>
      <c r="BB630" s="132" t="n"/>
      <c r="BC630" s="133" t="n"/>
      <c r="BD630" s="131" t="n"/>
      <c r="BE630" s="132" t="n"/>
      <c r="BF630" s="133" t="n"/>
      <c r="BG630" s="131" t="n"/>
      <c r="BH630" s="132" t="n"/>
      <c r="BI630" s="132" t="n"/>
      <c r="BJ630" s="128">
        <f>iferror(SUM($BK630,($BL630*1.2),($BM630*1.35),($BN630*0.74)),)</f>
        <v/>
      </c>
      <c r="BK630" s="128">
        <f>IFERROR(SUM($BT630:$CK630),)</f>
        <v/>
      </c>
      <c r="BL630" s="129">
        <f>IFERROR(SUM($CL630:$CN630),)</f>
        <v/>
      </c>
      <c r="BM630" s="130">
        <f>IFERROR(SUM($CO630:$CQ630),)</f>
        <v/>
      </c>
      <c r="BN630" s="128">
        <f>IFERROR(SUM($CR630:$CT630),)</f>
        <v/>
      </c>
      <c r="BO630" s="128">
        <f>iferror(SUM($BP630,($BQ630*1.2),($BR630*1.35),($BS630*0.74)),)</f>
        <v/>
      </c>
      <c r="BP630" s="128">
        <f>IFERROR(SUM($CU630:$DL630),)</f>
        <v/>
      </c>
      <c r="BQ630" s="128">
        <f>IFERROR(SUM($DM630:$DO630),)</f>
        <v/>
      </c>
      <c r="BR630" s="128">
        <f>IFERROR(SUM($DP630:$DR630),)</f>
        <v/>
      </c>
      <c r="BS630" s="128">
        <f>IFERROR(SUM($DS630:$DU630),)</f>
        <v/>
      </c>
      <c r="BT630" s="128">
        <f>IFERROR(AI630*$W630,)</f>
        <v/>
      </c>
      <c r="BU630" s="128">
        <f>IFERROR(AJ630*$W630,)</f>
        <v/>
      </c>
      <c r="BV630" s="128">
        <f>IFERROR(AK630*$W630,)</f>
        <v/>
      </c>
      <c r="BW630" s="128">
        <f>IFERROR(AL630*$W630,)</f>
        <v/>
      </c>
      <c r="BX630" s="128">
        <f>IFERROR(AM630*$W630,)</f>
        <v/>
      </c>
      <c r="BY630" s="128">
        <f>IFERROR(AN630*$W630,)</f>
        <v/>
      </c>
      <c r="BZ630" s="128">
        <f>IFERROR(AO630*$W630,)</f>
        <v/>
      </c>
      <c r="CA630" s="128">
        <f>IFERROR(AP630*$W630,)</f>
        <v/>
      </c>
      <c r="CB630" s="128">
        <f>IFERROR(AQ630*$W630,)</f>
        <v/>
      </c>
      <c r="CC630" s="128">
        <f>IFERROR(AR630*$W630,)</f>
        <v/>
      </c>
      <c r="CD630" s="128">
        <f>IFERROR(AS630*$W630,)</f>
        <v/>
      </c>
      <c r="CE630" s="128">
        <f>IFERROR(AT630*$W630,)</f>
        <v/>
      </c>
      <c r="CF630" s="128">
        <f>IFERROR(AU630*$W630,)</f>
        <v/>
      </c>
      <c r="CG630" s="128">
        <f>IFERROR(AV630*$W630,)</f>
        <v/>
      </c>
      <c r="CH630" s="128">
        <f>IFERROR(AW630*$W630,)</f>
        <v/>
      </c>
      <c r="CI630" s="128">
        <f>IFERROR(AX630*$W630,)</f>
        <v/>
      </c>
      <c r="CJ630" s="128">
        <f>IFERROR(AY630*$W630,)</f>
        <v/>
      </c>
      <c r="CK630" s="128">
        <f>IFERROR(AZ630*$W630,)</f>
        <v/>
      </c>
      <c r="CL630" s="129">
        <f>IFERROR(if($Y630=0,BA630*($W630/1.2),BA630*$Y630),"")</f>
        <v/>
      </c>
      <c r="CM630" s="129">
        <f>IFERROR(if($Y630=0,BB630*($W630/1.2),BB630*$Y630),"")</f>
        <v/>
      </c>
      <c r="CN630" s="129">
        <f>IFERROR(if($Y630=0,BC630*($W630/1.2),BC630*$Y630),"")</f>
        <v/>
      </c>
      <c r="CO630" s="130">
        <f>IFERROR(if($AA630=0,($W630/1.35)*BD630,BD630*$AA630),)</f>
        <v/>
      </c>
      <c r="CP630" s="130">
        <f>IFERROR(if($AA630=0,($W630/1.35)*BE630,BE630*$AA630),)</f>
        <v/>
      </c>
      <c r="CQ630" s="130">
        <f>IFERROR(if($AA630=0,($W630/1.35)*BF630,BF630*$AA630),)</f>
        <v/>
      </c>
      <c r="CR630" s="128">
        <f>IFERROR(if($AC630=0,($W630/0.74)*BG630,
BG630*$AC630),)</f>
        <v/>
      </c>
      <c r="CS630" s="128">
        <f>IFERROR(if($AC630=0,($W630/0.74)*BH630,
BH630*$AC630),)</f>
        <v/>
      </c>
      <c r="CT630" s="128">
        <f>IFERROR(if($AC630=0,($W630/0.74)*BI630,
BI630*$AC630),)</f>
        <v/>
      </c>
      <c r="CU630" s="128">
        <f>IFERROR(AI630*$V630,)</f>
        <v/>
      </c>
      <c r="CV630" s="128">
        <f>IFERROR(AJ630*$V630,)</f>
        <v/>
      </c>
      <c r="CW630" s="128">
        <f>IFERROR(AK630*$V630,)</f>
        <v/>
      </c>
      <c r="CX630" s="128">
        <f>IFERROR(AL630*$V630,)</f>
        <v/>
      </c>
      <c r="CY630" s="128">
        <f>IFERROR(AM630*$V630,)</f>
        <v/>
      </c>
      <c r="CZ630" s="128">
        <f>IFERROR(AN630*$V630,)</f>
        <v/>
      </c>
      <c r="DA630" s="128">
        <f>IFERROR(AO630*$V630,)</f>
        <v/>
      </c>
      <c r="DB630" s="128">
        <f>IFERROR(AP630*$V630,)</f>
        <v/>
      </c>
      <c r="DC630" s="128">
        <f>IFERROR(AQ630*$V630,)</f>
        <v/>
      </c>
      <c r="DD630" s="128">
        <f>IFERROR(AR630*$V630,)</f>
        <v/>
      </c>
      <c r="DE630" s="128">
        <f>IFERROR(AS630*$V630,)</f>
        <v/>
      </c>
      <c r="DF630" s="128">
        <f>IFERROR(AT630*$V630,)</f>
        <v/>
      </c>
      <c r="DG630" s="128">
        <f>IFERROR(AU630*$V630,)</f>
        <v/>
      </c>
      <c r="DH630" s="128">
        <f>IFERROR(AV630*$V630,)</f>
        <v/>
      </c>
      <c r="DI630" s="128">
        <f>IFERROR(AW630*$V630,)</f>
        <v/>
      </c>
      <c r="DJ630" s="128">
        <f>IFERROR(AX630*$V630,)</f>
        <v/>
      </c>
      <c r="DK630" s="128">
        <f>IFERROR(AY630*$V630,)</f>
        <v/>
      </c>
      <c r="DL630" s="128">
        <f>IFERROR(AZ630*$V630,)</f>
        <v/>
      </c>
      <c r="DM630" s="129">
        <f>IFERROR(if($X630=0,($V630/1.2)*BA630,
BA630*$X630),)</f>
        <v/>
      </c>
      <c r="DN630" s="129">
        <f>IFERROR(if($X630=0,($V630/1.2)*BB630,
BB630*$X630),)</f>
        <v/>
      </c>
      <c r="DO630" s="129">
        <f>IFERROR(if($X630=0,($V630/1.2)*BC630,
BC630*$X630),)</f>
        <v/>
      </c>
      <c r="DP630" s="130">
        <f>IFERROR(if($Z630=0,($V630/1.35)*BD630,
BD630*$Z630),)</f>
        <v/>
      </c>
      <c r="DQ630" s="130">
        <f>IFERROR(if($Z630=0,($V630/1.35)*BE630,
BE630*$Z630),)</f>
        <v/>
      </c>
      <c r="DR630" s="130">
        <f>IFERROR(if($Z630=0,($V630/1.35)*BF630,
BF630*$Z630),)</f>
        <v/>
      </c>
      <c r="DS630" s="128">
        <f>IFERROR(IF($AB630=0,($V630/0.74)*BG630,
BG630*$AB630),)</f>
        <v/>
      </c>
      <c r="DT630" s="128">
        <f>IFERROR(IF($AB630=0,($V630/0.74)*BH630,
BH630*$AB630),)</f>
        <v/>
      </c>
      <c r="DU630" s="128">
        <f>IFERROR(IF($AB630=0,($V630/0.74)*BI630,
BI630*$AB630),)</f>
        <v/>
      </c>
    </row>
    <row r="631" ht="131.25" customHeight="1" s="162">
      <c r="A631" s="115" t="n"/>
      <c r="B631" s="115" t="n"/>
      <c r="C631" s="115" t="n"/>
      <c r="D631" s="115" t="n"/>
      <c r="E631" s="115" t="n"/>
      <c r="F631" s="115" t="n"/>
      <c r="G631" s="115" t="n"/>
      <c r="H631" s="115" t="n"/>
      <c r="I631" s="115" t="n"/>
      <c r="J631" s="115" t="n"/>
      <c r="K631" s="115" t="n"/>
      <c r="L631" s="115" t="n"/>
      <c r="M631" s="115" t="n"/>
      <c r="N631" s="115" t="n"/>
      <c r="O631" s="115" t="n"/>
      <c r="P631" s="115" t="n"/>
      <c r="Q631" s="115" t="n"/>
      <c r="R631" s="115" t="n"/>
      <c r="S631" s="115" t="n"/>
      <c r="T631" s="115" t="n"/>
      <c r="U631" s="116" t="n"/>
      <c r="V631" s="116" t="n"/>
      <c r="W631" s="117" t="n"/>
      <c r="X631" s="118" t="n"/>
      <c r="Y631" s="119" t="n"/>
      <c r="Z631" s="120" t="n"/>
      <c r="AA631" s="121" t="n"/>
      <c r="AB631" s="122" t="n"/>
      <c r="AC631" s="117" t="n"/>
      <c r="AD631" s="123">
        <f>IF(SUM($AE631:$AH631)=0,"",SUM($AE631:$AH631))</f>
        <v/>
      </c>
      <c r="AE631" s="123">
        <f>iferror(IF(SUM($AI631:$AZ631)=0,"",SUM($AI631:$AZ631)),"")</f>
        <v/>
      </c>
      <c r="AF631" s="123">
        <f>iferror(IF(SUM($BA631:$BC631)=0,"",SUM($BA631:$BC631)),"")</f>
        <v/>
      </c>
      <c r="AG631" s="123">
        <f>iferror(IF(SUM($BD631:$BF631)=0,"",SUM($BD631:$BF631)),"")</f>
        <v/>
      </c>
      <c r="AH631" s="124">
        <f>iferror(IF(SUM($BG631:$BI631)=0,"",SUM($BG631:$BI631)),"")</f>
        <v/>
      </c>
      <c r="AI631" s="131" t="n"/>
      <c r="AJ631" s="132" t="n"/>
      <c r="AK631" s="132" t="n"/>
      <c r="AL631" s="132" t="n"/>
      <c r="AM631" s="132" t="n"/>
      <c r="AN631" s="132" t="n"/>
      <c r="AO631" s="132" t="n"/>
      <c r="AP631" s="132" t="n"/>
      <c r="AQ631" s="132" t="n"/>
      <c r="AR631" s="132" t="n"/>
      <c r="AS631" s="132" t="n"/>
      <c r="AT631" s="132" t="n"/>
      <c r="AU631" s="132" t="n"/>
      <c r="AV631" s="132" t="n"/>
      <c r="AW631" s="132" t="n"/>
      <c r="AX631" s="132" t="n"/>
      <c r="AY631" s="132" t="n"/>
      <c r="AZ631" s="133" t="n"/>
      <c r="BA631" s="131" t="n"/>
      <c r="BB631" s="132" t="n"/>
      <c r="BC631" s="133" t="n"/>
      <c r="BD631" s="131" t="n"/>
      <c r="BE631" s="132" t="n"/>
      <c r="BF631" s="133" t="n"/>
      <c r="BG631" s="131" t="n"/>
      <c r="BH631" s="132" t="n"/>
      <c r="BI631" s="132" t="n"/>
      <c r="BJ631" s="128">
        <f>iferror(SUM($BK631,($BL631*1.2),($BM631*1.35),($BN631*0.74)),)</f>
        <v/>
      </c>
      <c r="BK631" s="128">
        <f>IFERROR(SUM($BT631:$CK631),)</f>
        <v/>
      </c>
      <c r="BL631" s="129">
        <f>IFERROR(SUM($CL631:$CN631),)</f>
        <v/>
      </c>
      <c r="BM631" s="130">
        <f>IFERROR(SUM($CO631:$CQ631),)</f>
        <v/>
      </c>
      <c r="BN631" s="128">
        <f>IFERROR(SUM($CR631:$CT631),)</f>
        <v/>
      </c>
      <c r="BO631" s="128">
        <f>iferror(SUM($BP631,($BQ631*1.2),($BR631*1.35),($BS631*0.74)),)</f>
        <v/>
      </c>
      <c r="BP631" s="128">
        <f>IFERROR(SUM($CU631:$DL631),)</f>
        <v/>
      </c>
      <c r="BQ631" s="128">
        <f>IFERROR(SUM($DM631:$DO631),)</f>
        <v/>
      </c>
      <c r="BR631" s="128">
        <f>IFERROR(SUM($DP631:$DR631),)</f>
        <v/>
      </c>
      <c r="BS631" s="128">
        <f>IFERROR(SUM($DS631:$DU631),)</f>
        <v/>
      </c>
      <c r="BT631" s="128">
        <f>IFERROR(AI631*$W631,)</f>
        <v/>
      </c>
      <c r="BU631" s="128">
        <f>IFERROR(AJ631*$W631,)</f>
        <v/>
      </c>
      <c r="BV631" s="128">
        <f>IFERROR(AK631*$W631,)</f>
        <v/>
      </c>
      <c r="BW631" s="128">
        <f>IFERROR(AL631*$W631,)</f>
        <v/>
      </c>
      <c r="BX631" s="128">
        <f>IFERROR(AM631*$W631,)</f>
        <v/>
      </c>
      <c r="BY631" s="128">
        <f>IFERROR(AN631*$W631,)</f>
        <v/>
      </c>
      <c r="BZ631" s="128">
        <f>IFERROR(AO631*$W631,)</f>
        <v/>
      </c>
      <c r="CA631" s="128">
        <f>IFERROR(AP631*$W631,)</f>
        <v/>
      </c>
      <c r="CB631" s="128">
        <f>IFERROR(AQ631*$W631,)</f>
        <v/>
      </c>
      <c r="CC631" s="128">
        <f>IFERROR(AR631*$W631,)</f>
        <v/>
      </c>
      <c r="CD631" s="128">
        <f>IFERROR(AS631*$W631,)</f>
        <v/>
      </c>
      <c r="CE631" s="128">
        <f>IFERROR(AT631*$W631,)</f>
        <v/>
      </c>
      <c r="CF631" s="128">
        <f>IFERROR(AU631*$W631,)</f>
        <v/>
      </c>
      <c r="CG631" s="128">
        <f>IFERROR(AV631*$W631,)</f>
        <v/>
      </c>
      <c r="CH631" s="128">
        <f>IFERROR(AW631*$W631,)</f>
        <v/>
      </c>
      <c r="CI631" s="128">
        <f>IFERROR(AX631*$W631,)</f>
        <v/>
      </c>
      <c r="CJ631" s="128">
        <f>IFERROR(AY631*$W631,)</f>
        <v/>
      </c>
      <c r="CK631" s="128">
        <f>IFERROR(AZ631*$W631,)</f>
        <v/>
      </c>
      <c r="CL631" s="129">
        <f>IFERROR(if($Y631=0,BA631*($W631/1.2),BA631*$Y631),"")</f>
        <v/>
      </c>
      <c r="CM631" s="129">
        <f>IFERROR(if($Y631=0,BB631*($W631/1.2),BB631*$Y631),"")</f>
        <v/>
      </c>
      <c r="CN631" s="129">
        <f>IFERROR(if($Y631=0,BC631*($W631/1.2),BC631*$Y631),"")</f>
        <v/>
      </c>
      <c r="CO631" s="130">
        <f>IFERROR(if($AA631=0,($W631/1.35)*BD631,BD631*$AA631),)</f>
        <v/>
      </c>
      <c r="CP631" s="130">
        <f>IFERROR(if($AA631=0,($W631/1.35)*BE631,BE631*$AA631),)</f>
        <v/>
      </c>
      <c r="CQ631" s="130">
        <f>IFERROR(if($AA631=0,($W631/1.35)*BF631,BF631*$AA631),)</f>
        <v/>
      </c>
      <c r="CR631" s="128">
        <f>IFERROR(if($AC631=0,($W631/0.74)*BG631,
BG631*$AC631),)</f>
        <v/>
      </c>
      <c r="CS631" s="128">
        <f>IFERROR(if($AC631=0,($W631/0.74)*BH631,
BH631*$AC631),)</f>
        <v/>
      </c>
      <c r="CT631" s="128">
        <f>IFERROR(if($AC631=0,($W631/0.74)*BI631,
BI631*$AC631),)</f>
        <v/>
      </c>
      <c r="CU631" s="128">
        <f>IFERROR(AI631*$V631,)</f>
        <v/>
      </c>
      <c r="CV631" s="128">
        <f>IFERROR(AJ631*$V631,)</f>
        <v/>
      </c>
      <c r="CW631" s="128">
        <f>IFERROR(AK631*$V631,)</f>
        <v/>
      </c>
      <c r="CX631" s="128">
        <f>IFERROR(AL631*$V631,)</f>
        <v/>
      </c>
      <c r="CY631" s="128">
        <f>IFERROR(AM631*$V631,)</f>
        <v/>
      </c>
      <c r="CZ631" s="128">
        <f>IFERROR(AN631*$V631,)</f>
        <v/>
      </c>
      <c r="DA631" s="128">
        <f>IFERROR(AO631*$V631,)</f>
        <v/>
      </c>
      <c r="DB631" s="128">
        <f>IFERROR(AP631*$V631,)</f>
        <v/>
      </c>
      <c r="DC631" s="128">
        <f>IFERROR(AQ631*$V631,)</f>
        <v/>
      </c>
      <c r="DD631" s="128">
        <f>IFERROR(AR631*$V631,)</f>
        <v/>
      </c>
      <c r="DE631" s="128">
        <f>IFERROR(AS631*$V631,)</f>
        <v/>
      </c>
      <c r="DF631" s="128">
        <f>IFERROR(AT631*$V631,)</f>
        <v/>
      </c>
      <c r="DG631" s="128">
        <f>IFERROR(AU631*$V631,)</f>
        <v/>
      </c>
      <c r="DH631" s="128">
        <f>IFERROR(AV631*$V631,)</f>
        <v/>
      </c>
      <c r="DI631" s="128">
        <f>IFERROR(AW631*$V631,)</f>
        <v/>
      </c>
      <c r="DJ631" s="128">
        <f>IFERROR(AX631*$V631,)</f>
        <v/>
      </c>
      <c r="DK631" s="128">
        <f>IFERROR(AY631*$V631,)</f>
        <v/>
      </c>
      <c r="DL631" s="128">
        <f>IFERROR(AZ631*$V631,)</f>
        <v/>
      </c>
      <c r="DM631" s="129">
        <f>IFERROR(if($X631=0,($V631/1.2)*BA631,
BA631*$X631),)</f>
        <v/>
      </c>
      <c r="DN631" s="129">
        <f>IFERROR(if($X631=0,($V631/1.2)*BB631,
BB631*$X631),)</f>
        <v/>
      </c>
      <c r="DO631" s="129">
        <f>IFERROR(if($X631=0,($V631/1.2)*BC631,
BC631*$X631),)</f>
        <v/>
      </c>
      <c r="DP631" s="130">
        <f>IFERROR(if($Z631=0,($V631/1.35)*BD631,
BD631*$Z631),)</f>
        <v/>
      </c>
      <c r="DQ631" s="130">
        <f>IFERROR(if($Z631=0,($V631/1.35)*BE631,
BE631*$Z631),)</f>
        <v/>
      </c>
      <c r="DR631" s="130">
        <f>IFERROR(if($Z631=0,($V631/1.35)*BF631,
BF631*$Z631),)</f>
        <v/>
      </c>
      <c r="DS631" s="128">
        <f>IFERROR(IF($AB631=0,($V631/0.74)*BG631,
BG631*$AB631),)</f>
        <v/>
      </c>
      <c r="DT631" s="128">
        <f>IFERROR(IF($AB631=0,($V631/0.74)*BH631,
BH631*$AB631),)</f>
        <v/>
      </c>
      <c r="DU631" s="128">
        <f>IFERROR(IF($AB631=0,($V631/0.74)*BI631,
BI631*$AB631),)</f>
        <v/>
      </c>
    </row>
    <row r="632" ht="131.25" customHeight="1" s="162">
      <c r="A632" s="115" t="n"/>
      <c r="B632" s="115" t="n"/>
      <c r="C632" s="115" t="n"/>
      <c r="D632" s="115" t="n"/>
      <c r="E632" s="115" t="n"/>
      <c r="F632" s="115" t="n"/>
      <c r="G632" s="115" t="n"/>
      <c r="H632" s="115" t="n"/>
      <c r="I632" s="115" t="n"/>
      <c r="J632" s="115" t="n"/>
      <c r="K632" s="115" t="n"/>
      <c r="L632" s="115" t="n"/>
      <c r="M632" s="115" t="n"/>
      <c r="N632" s="115" t="n"/>
      <c r="O632" s="115" t="n"/>
      <c r="P632" s="115" t="n"/>
      <c r="Q632" s="115" t="n"/>
      <c r="R632" s="115" t="n"/>
      <c r="S632" s="115" t="n"/>
      <c r="T632" s="115" t="n"/>
      <c r="U632" s="116" t="n"/>
      <c r="V632" s="116" t="n"/>
      <c r="W632" s="117" t="n"/>
      <c r="X632" s="118" t="n"/>
      <c r="Y632" s="119" t="n"/>
      <c r="Z632" s="120" t="n"/>
      <c r="AA632" s="121" t="n"/>
      <c r="AB632" s="122" t="n"/>
      <c r="AC632" s="117" t="n"/>
      <c r="AD632" s="123">
        <f>IF(SUM($AE632:$AH632)=0,"",SUM($AE632:$AH632))</f>
        <v/>
      </c>
      <c r="AE632" s="123">
        <f>iferror(IF(SUM($AI632:$AZ632)=0,"",SUM($AI632:$AZ632)),"")</f>
        <v/>
      </c>
      <c r="AF632" s="123">
        <f>iferror(IF(SUM($BA632:$BC632)=0,"",SUM($BA632:$BC632)),"")</f>
        <v/>
      </c>
      <c r="AG632" s="123">
        <f>iferror(IF(SUM($BD632:$BF632)=0,"",SUM($BD632:$BF632)),"")</f>
        <v/>
      </c>
      <c r="AH632" s="124">
        <f>iferror(IF(SUM($BG632:$BI632)=0,"",SUM($BG632:$BI632)),"")</f>
        <v/>
      </c>
      <c r="AI632" s="131" t="n"/>
      <c r="AJ632" s="132" t="n"/>
      <c r="AK632" s="132" t="n"/>
      <c r="AL632" s="132" t="n"/>
      <c r="AM632" s="132" t="n"/>
      <c r="AN632" s="132" t="n"/>
      <c r="AO632" s="132" t="n"/>
      <c r="AP632" s="132" t="n"/>
      <c r="AQ632" s="132" t="n"/>
      <c r="AR632" s="132" t="n"/>
      <c r="AS632" s="132" t="n"/>
      <c r="AT632" s="132" t="n"/>
      <c r="AU632" s="132" t="n"/>
      <c r="AV632" s="132" t="n"/>
      <c r="AW632" s="132" t="n"/>
      <c r="AX632" s="132" t="n"/>
      <c r="AY632" s="132" t="n"/>
      <c r="AZ632" s="133" t="n"/>
      <c r="BA632" s="131" t="n"/>
      <c r="BB632" s="132" t="n"/>
      <c r="BC632" s="133" t="n"/>
      <c r="BD632" s="131" t="n"/>
      <c r="BE632" s="132" t="n"/>
      <c r="BF632" s="133" t="n"/>
      <c r="BG632" s="131" t="n"/>
      <c r="BH632" s="132" t="n"/>
      <c r="BI632" s="132" t="n"/>
      <c r="BJ632" s="128">
        <f>iferror(SUM($BK632,($BL632*1.2),($BM632*1.35),($BN632*0.74)),)</f>
        <v/>
      </c>
      <c r="BK632" s="128">
        <f>IFERROR(SUM($BT632:$CK632),)</f>
        <v/>
      </c>
      <c r="BL632" s="129">
        <f>IFERROR(SUM($CL632:$CN632),)</f>
        <v/>
      </c>
      <c r="BM632" s="130">
        <f>IFERROR(SUM($CO632:$CQ632),)</f>
        <v/>
      </c>
      <c r="BN632" s="128">
        <f>IFERROR(SUM($CR632:$CT632),)</f>
        <v/>
      </c>
      <c r="BO632" s="128">
        <f>iferror(SUM($BP632,($BQ632*1.2),($BR632*1.35),($BS632*0.74)),)</f>
        <v/>
      </c>
      <c r="BP632" s="128">
        <f>IFERROR(SUM($CU632:$DL632),)</f>
        <v/>
      </c>
      <c r="BQ632" s="128">
        <f>IFERROR(SUM($DM632:$DO632),)</f>
        <v/>
      </c>
      <c r="BR632" s="128">
        <f>IFERROR(SUM($DP632:$DR632),)</f>
        <v/>
      </c>
      <c r="BS632" s="128">
        <f>IFERROR(SUM($DS632:$DU632),)</f>
        <v/>
      </c>
      <c r="BT632" s="128">
        <f>IFERROR(AI632*$W632,)</f>
        <v/>
      </c>
      <c r="BU632" s="128">
        <f>IFERROR(AJ632*$W632,)</f>
        <v/>
      </c>
      <c r="BV632" s="128">
        <f>IFERROR(AK632*$W632,)</f>
        <v/>
      </c>
      <c r="BW632" s="128">
        <f>IFERROR(AL632*$W632,)</f>
        <v/>
      </c>
      <c r="BX632" s="128">
        <f>IFERROR(AM632*$W632,)</f>
        <v/>
      </c>
      <c r="BY632" s="128">
        <f>IFERROR(AN632*$W632,)</f>
        <v/>
      </c>
      <c r="BZ632" s="128">
        <f>IFERROR(AO632*$W632,)</f>
        <v/>
      </c>
      <c r="CA632" s="128">
        <f>IFERROR(AP632*$W632,)</f>
        <v/>
      </c>
      <c r="CB632" s="128">
        <f>IFERROR(AQ632*$W632,)</f>
        <v/>
      </c>
      <c r="CC632" s="128">
        <f>IFERROR(AR632*$W632,)</f>
        <v/>
      </c>
      <c r="CD632" s="128">
        <f>IFERROR(AS632*$W632,)</f>
        <v/>
      </c>
      <c r="CE632" s="128">
        <f>IFERROR(AT632*$W632,)</f>
        <v/>
      </c>
      <c r="CF632" s="128">
        <f>IFERROR(AU632*$W632,)</f>
        <v/>
      </c>
      <c r="CG632" s="128">
        <f>IFERROR(AV632*$W632,)</f>
        <v/>
      </c>
      <c r="CH632" s="128">
        <f>IFERROR(AW632*$W632,)</f>
        <v/>
      </c>
      <c r="CI632" s="128">
        <f>IFERROR(AX632*$W632,)</f>
        <v/>
      </c>
      <c r="CJ632" s="128">
        <f>IFERROR(AY632*$W632,)</f>
        <v/>
      </c>
      <c r="CK632" s="128">
        <f>IFERROR(AZ632*$W632,)</f>
        <v/>
      </c>
      <c r="CL632" s="129">
        <f>IFERROR(if($Y632=0,BA632*($W632/1.2),BA632*$Y632),"")</f>
        <v/>
      </c>
      <c r="CM632" s="129">
        <f>IFERROR(if($Y632=0,BB632*($W632/1.2),BB632*$Y632),"")</f>
        <v/>
      </c>
      <c r="CN632" s="129">
        <f>IFERROR(if($Y632=0,BC632*($W632/1.2),BC632*$Y632),"")</f>
        <v/>
      </c>
      <c r="CO632" s="130">
        <f>IFERROR(if($AA632=0,($W632/1.35)*BD632,BD632*$AA632),)</f>
        <v/>
      </c>
      <c r="CP632" s="130">
        <f>IFERROR(if($AA632=0,($W632/1.35)*BE632,BE632*$AA632),)</f>
        <v/>
      </c>
      <c r="CQ632" s="130">
        <f>IFERROR(if($AA632=0,($W632/1.35)*BF632,BF632*$AA632),)</f>
        <v/>
      </c>
      <c r="CR632" s="128">
        <f>IFERROR(if($AC632=0,($W632/0.74)*BG632,
BG632*$AC632),)</f>
        <v/>
      </c>
      <c r="CS632" s="128">
        <f>IFERROR(if($AC632=0,($W632/0.74)*BH632,
BH632*$AC632),)</f>
        <v/>
      </c>
      <c r="CT632" s="128">
        <f>IFERROR(if($AC632=0,($W632/0.74)*BI632,
BI632*$AC632),)</f>
        <v/>
      </c>
      <c r="CU632" s="128">
        <f>IFERROR(AI632*$V632,)</f>
        <v/>
      </c>
      <c r="CV632" s="128">
        <f>IFERROR(AJ632*$V632,)</f>
        <v/>
      </c>
      <c r="CW632" s="128">
        <f>IFERROR(AK632*$V632,)</f>
        <v/>
      </c>
      <c r="CX632" s="128">
        <f>IFERROR(AL632*$V632,)</f>
        <v/>
      </c>
      <c r="CY632" s="128">
        <f>IFERROR(AM632*$V632,)</f>
        <v/>
      </c>
      <c r="CZ632" s="128">
        <f>IFERROR(AN632*$V632,)</f>
        <v/>
      </c>
      <c r="DA632" s="128">
        <f>IFERROR(AO632*$V632,)</f>
        <v/>
      </c>
      <c r="DB632" s="128">
        <f>IFERROR(AP632*$V632,)</f>
        <v/>
      </c>
      <c r="DC632" s="128">
        <f>IFERROR(AQ632*$V632,)</f>
        <v/>
      </c>
      <c r="DD632" s="128">
        <f>IFERROR(AR632*$V632,)</f>
        <v/>
      </c>
      <c r="DE632" s="128">
        <f>IFERROR(AS632*$V632,)</f>
        <v/>
      </c>
      <c r="DF632" s="128">
        <f>IFERROR(AT632*$V632,)</f>
        <v/>
      </c>
      <c r="DG632" s="128">
        <f>IFERROR(AU632*$V632,)</f>
        <v/>
      </c>
      <c r="DH632" s="128">
        <f>IFERROR(AV632*$V632,)</f>
        <v/>
      </c>
      <c r="DI632" s="128">
        <f>IFERROR(AW632*$V632,)</f>
        <v/>
      </c>
      <c r="DJ632" s="128">
        <f>IFERROR(AX632*$V632,)</f>
        <v/>
      </c>
      <c r="DK632" s="128">
        <f>IFERROR(AY632*$V632,)</f>
        <v/>
      </c>
      <c r="DL632" s="128">
        <f>IFERROR(AZ632*$V632,)</f>
        <v/>
      </c>
      <c r="DM632" s="129">
        <f>IFERROR(if($X632=0,($V632/1.2)*BA632,
BA632*$X632),)</f>
        <v/>
      </c>
      <c r="DN632" s="129">
        <f>IFERROR(if($X632=0,($V632/1.2)*BB632,
BB632*$X632),)</f>
        <v/>
      </c>
      <c r="DO632" s="129">
        <f>IFERROR(if($X632=0,($V632/1.2)*BC632,
BC632*$X632),)</f>
        <v/>
      </c>
      <c r="DP632" s="130">
        <f>IFERROR(if($Z632=0,($V632/1.35)*BD632,
BD632*$Z632),)</f>
        <v/>
      </c>
      <c r="DQ632" s="130">
        <f>IFERROR(if($Z632=0,($V632/1.35)*BE632,
BE632*$Z632),)</f>
        <v/>
      </c>
      <c r="DR632" s="130">
        <f>IFERROR(if($Z632=0,($V632/1.35)*BF632,
BF632*$Z632),)</f>
        <v/>
      </c>
      <c r="DS632" s="128">
        <f>IFERROR(IF($AB632=0,($V632/0.74)*BG632,
BG632*$AB632),)</f>
        <v/>
      </c>
      <c r="DT632" s="128">
        <f>IFERROR(IF($AB632=0,($V632/0.74)*BH632,
BH632*$AB632),)</f>
        <v/>
      </c>
      <c r="DU632" s="128">
        <f>IFERROR(IF($AB632=0,($V632/0.74)*BI632,
BI632*$AB632),)</f>
        <v/>
      </c>
    </row>
    <row r="633" ht="131.25" customHeight="1" s="162">
      <c r="A633" s="115" t="n"/>
      <c r="B633" s="115" t="n"/>
      <c r="C633" s="115" t="n"/>
      <c r="D633" s="115" t="n"/>
      <c r="E633" s="115" t="n"/>
      <c r="F633" s="115" t="n"/>
      <c r="G633" s="115" t="n"/>
      <c r="H633" s="115" t="n"/>
      <c r="I633" s="115" t="n"/>
      <c r="J633" s="115" t="n"/>
      <c r="K633" s="115" t="n"/>
      <c r="L633" s="115" t="n"/>
      <c r="M633" s="115" t="n"/>
      <c r="N633" s="115" t="n"/>
      <c r="O633" s="115" t="n"/>
      <c r="P633" s="115" t="n"/>
      <c r="Q633" s="115" t="n"/>
      <c r="R633" s="115" t="n"/>
      <c r="S633" s="115" t="n"/>
      <c r="T633" s="115" t="n"/>
      <c r="U633" s="116" t="n"/>
      <c r="V633" s="116" t="n"/>
      <c r="W633" s="117" t="n"/>
      <c r="X633" s="118" t="n"/>
      <c r="Y633" s="119" t="n"/>
      <c r="Z633" s="120" t="n"/>
      <c r="AA633" s="121" t="n"/>
      <c r="AB633" s="122" t="n"/>
      <c r="AC633" s="117" t="n"/>
      <c r="AD633" s="123">
        <f>IF(SUM($AE633:$AH633)=0,"",SUM($AE633:$AH633))</f>
        <v/>
      </c>
      <c r="AE633" s="123">
        <f>iferror(IF(SUM($AI633:$AZ633)=0,"",SUM($AI633:$AZ633)),"")</f>
        <v/>
      </c>
      <c r="AF633" s="123">
        <f>iferror(IF(SUM($BA633:$BC633)=0,"",SUM($BA633:$BC633)),"")</f>
        <v/>
      </c>
      <c r="AG633" s="123">
        <f>iferror(IF(SUM($BD633:$BF633)=0,"",SUM($BD633:$BF633)),"")</f>
        <v/>
      </c>
      <c r="AH633" s="124">
        <f>iferror(IF(SUM($BG633:$BI633)=0,"",SUM($BG633:$BI633)),"")</f>
        <v/>
      </c>
      <c r="AI633" s="131" t="n"/>
      <c r="AJ633" s="132" t="n"/>
      <c r="AK633" s="132" t="n"/>
      <c r="AL633" s="132" t="n"/>
      <c r="AM633" s="132" t="n"/>
      <c r="AN633" s="132" t="n"/>
      <c r="AO633" s="132" t="n"/>
      <c r="AP633" s="132" t="n"/>
      <c r="AQ633" s="132" t="n"/>
      <c r="AR633" s="132" t="n"/>
      <c r="AS633" s="132" t="n"/>
      <c r="AT633" s="132" t="n"/>
      <c r="AU633" s="132" t="n"/>
      <c r="AV633" s="132" t="n"/>
      <c r="AW633" s="132" t="n"/>
      <c r="AX633" s="132" t="n"/>
      <c r="AY633" s="132" t="n"/>
      <c r="AZ633" s="133" t="n"/>
      <c r="BA633" s="131" t="n"/>
      <c r="BB633" s="132" t="n"/>
      <c r="BC633" s="133" t="n"/>
      <c r="BD633" s="131" t="n"/>
      <c r="BE633" s="132" t="n"/>
      <c r="BF633" s="133" t="n"/>
      <c r="BG633" s="131" t="n"/>
      <c r="BH633" s="132" t="n"/>
      <c r="BI633" s="132" t="n"/>
      <c r="BJ633" s="128">
        <f>iferror(SUM($BK633,($BL633*1.2),($BM633*1.35),($BN633*0.74)),)</f>
        <v/>
      </c>
      <c r="BK633" s="128">
        <f>IFERROR(SUM($BT633:$CK633),)</f>
        <v/>
      </c>
      <c r="BL633" s="129">
        <f>IFERROR(SUM($CL633:$CN633),)</f>
        <v/>
      </c>
      <c r="BM633" s="130">
        <f>IFERROR(SUM($CO633:$CQ633),)</f>
        <v/>
      </c>
      <c r="BN633" s="128">
        <f>IFERROR(SUM($CR633:$CT633),)</f>
        <v/>
      </c>
      <c r="BO633" s="128">
        <f>iferror(SUM($BP633,($BQ633*1.2),($BR633*1.35),($BS633*0.74)),)</f>
        <v/>
      </c>
      <c r="BP633" s="128">
        <f>IFERROR(SUM($CU633:$DL633),)</f>
        <v/>
      </c>
      <c r="BQ633" s="128">
        <f>IFERROR(SUM($DM633:$DO633),)</f>
        <v/>
      </c>
      <c r="BR633" s="128">
        <f>IFERROR(SUM($DP633:$DR633),)</f>
        <v/>
      </c>
      <c r="BS633" s="128">
        <f>IFERROR(SUM($DS633:$DU633),)</f>
        <v/>
      </c>
      <c r="BT633" s="128">
        <f>IFERROR(AI633*$W633,)</f>
        <v/>
      </c>
      <c r="BU633" s="128">
        <f>IFERROR(AJ633*$W633,)</f>
        <v/>
      </c>
      <c r="BV633" s="128">
        <f>IFERROR(AK633*$W633,)</f>
        <v/>
      </c>
      <c r="BW633" s="128">
        <f>IFERROR(AL633*$W633,)</f>
        <v/>
      </c>
      <c r="BX633" s="128">
        <f>IFERROR(AM633*$W633,)</f>
        <v/>
      </c>
      <c r="BY633" s="128">
        <f>IFERROR(AN633*$W633,)</f>
        <v/>
      </c>
      <c r="BZ633" s="128">
        <f>IFERROR(AO633*$W633,)</f>
        <v/>
      </c>
      <c r="CA633" s="128">
        <f>IFERROR(AP633*$W633,)</f>
        <v/>
      </c>
      <c r="CB633" s="128">
        <f>IFERROR(AQ633*$W633,)</f>
        <v/>
      </c>
      <c r="CC633" s="128">
        <f>IFERROR(AR633*$W633,)</f>
        <v/>
      </c>
      <c r="CD633" s="128">
        <f>IFERROR(AS633*$W633,)</f>
        <v/>
      </c>
      <c r="CE633" s="128">
        <f>IFERROR(AT633*$W633,)</f>
        <v/>
      </c>
      <c r="CF633" s="128">
        <f>IFERROR(AU633*$W633,)</f>
        <v/>
      </c>
      <c r="CG633" s="128">
        <f>IFERROR(AV633*$W633,)</f>
        <v/>
      </c>
      <c r="CH633" s="128">
        <f>IFERROR(AW633*$W633,)</f>
        <v/>
      </c>
      <c r="CI633" s="128">
        <f>IFERROR(AX633*$W633,)</f>
        <v/>
      </c>
      <c r="CJ633" s="128">
        <f>IFERROR(AY633*$W633,)</f>
        <v/>
      </c>
      <c r="CK633" s="128">
        <f>IFERROR(AZ633*$W633,)</f>
        <v/>
      </c>
      <c r="CL633" s="129">
        <f>IFERROR(if($Y633=0,BA633*($W633/1.2),BA633*$Y633),"")</f>
        <v/>
      </c>
      <c r="CM633" s="129">
        <f>IFERROR(if($Y633=0,BB633*($W633/1.2),BB633*$Y633),"")</f>
        <v/>
      </c>
      <c r="CN633" s="129">
        <f>IFERROR(if($Y633=0,BC633*($W633/1.2),BC633*$Y633),"")</f>
        <v/>
      </c>
      <c r="CO633" s="130">
        <f>IFERROR(if($AA633=0,($W633/1.35)*BD633,BD633*$AA633),)</f>
        <v/>
      </c>
      <c r="CP633" s="130">
        <f>IFERROR(if($AA633=0,($W633/1.35)*BE633,BE633*$AA633),)</f>
        <v/>
      </c>
      <c r="CQ633" s="130">
        <f>IFERROR(if($AA633=0,($W633/1.35)*BF633,BF633*$AA633),)</f>
        <v/>
      </c>
      <c r="CR633" s="128">
        <f>IFERROR(if($AC633=0,($W633/0.74)*BG633,
BG633*$AC633),)</f>
        <v/>
      </c>
      <c r="CS633" s="128">
        <f>IFERROR(if($AC633=0,($W633/0.74)*BH633,
BH633*$AC633),)</f>
        <v/>
      </c>
      <c r="CT633" s="128">
        <f>IFERROR(if($AC633=0,($W633/0.74)*BI633,
BI633*$AC633),)</f>
        <v/>
      </c>
      <c r="CU633" s="128">
        <f>IFERROR(AI633*$V633,)</f>
        <v/>
      </c>
      <c r="CV633" s="128">
        <f>IFERROR(AJ633*$V633,)</f>
        <v/>
      </c>
      <c r="CW633" s="128">
        <f>IFERROR(AK633*$V633,)</f>
        <v/>
      </c>
      <c r="CX633" s="128">
        <f>IFERROR(AL633*$V633,)</f>
        <v/>
      </c>
      <c r="CY633" s="128">
        <f>IFERROR(AM633*$V633,)</f>
        <v/>
      </c>
      <c r="CZ633" s="128">
        <f>IFERROR(AN633*$V633,)</f>
        <v/>
      </c>
      <c r="DA633" s="128">
        <f>IFERROR(AO633*$V633,)</f>
        <v/>
      </c>
      <c r="DB633" s="128">
        <f>IFERROR(AP633*$V633,)</f>
        <v/>
      </c>
      <c r="DC633" s="128">
        <f>IFERROR(AQ633*$V633,)</f>
        <v/>
      </c>
      <c r="DD633" s="128">
        <f>IFERROR(AR633*$V633,)</f>
        <v/>
      </c>
      <c r="DE633" s="128">
        <f>IFERROR(AS633*$V633,)</f>
        <v/>
      </c>
      <c r="DF633" s="128">
        <f>IFERROR(AT633*$V633,)</f>
        <v/>
      </c>
      <c r="DG633" s="128">
        <f>IFERROR(AU633*$V633,)</f>
        <v/>
      </c>
      <c r="DH633" s="128">
        <f>IFERROR(AV633*$V633,)</f>
        <v/>
      </c>
      <c r="DI633" s="128">
        <f>IFERROR(AW633*$V633,)</f>
        <v/>
      </c>
      <c r="DJ633" s="128">
        <f>IFERROR(AX633*$V633,)</f>
        <v/>
      </c>
      <c r="DK633" s="128">
        <f>IFERROR(AY633*$V633,)</f>
        <v/>
      </c>
      <c r="DL633" s="128">
        <f>IFERROR(AZ633*$V633,)</f>
        <v/>
      </c>
      <c r="DM633" s="129">
        <f>IFERROR(if($X633=0,($V633/1.2)*BA633,
BA633*$X633),)</f>
        <v/>
      </c>
      <c r="DN633" s="129">
        <f>IFERROR(if($X633=0,($V633/1.2)*BB633,
BB633*$X633),)</f>
        <v/>
      </c>
      <c r="DO633" s="129">
        <f>IFERROR(if($X633=0,($V633/1.2)*BC633,
BC633*$X633),)</f>
        <v/>
      </c>
      <c r="DP633" s="130">
        <f>IFERROR(if($Z633=0,($V633/1.35)*BD633,
BD633*$Z633),)</f>
        <v/>
      </c>
      <c r="DQ633" s="130">
        <f>IFERROR(if($Z633=0,($V633/1.35)*BE633,
BE633*$Z633),)</f>
        <v/>
      </c>
      <c r="DR633" s="130">
        <f>IFERROR(if($Z633=0,($V633/1.35)*BF633,
BF633*$Z633),)</f>
        <v/>
      </c>
      <c r="DS633" s="128">
        <f>IFERROR(IF($AB633=0,($V633/0.74)*BG633,
BG633*$AB633),)</f>
        <v/>
      </c>
      <c r="DT633" s="128">
        <f>IFERROR(IF($AB633=0,($V633/0.74)*BH633,
BH633*$AB633),)</f>
        <v/>
      </c>
      <c r="DU633" s="128">
        <f>IFERROR(IF($AB633=0,($V633/0.74)*BI633,
BI633*$AB633),)</f>
        <v/>
      </c>
    </row>
    <row r="634" ht="131.25" customHeight="1" s="162">
      <c r="A634" s="115" t="n"/>
      <c r="B634" s="115" t="n"/>
      <c r="C634" s="115" t="n"/>
      <c r="D634" s="115" t="n"/>
      <c r="E634" s="115" t="n"/>
      <c r="F634" s="115" t="n"/>
      <c r="G634" s="115" t="n"/>
      <c r="H634" s="115" t="n"/>
      <c r="I634" s="115" t="n"/>
      <c r="J634" s="115" t="n"/>
      <c r="K634" s="115" t="n"/>
      <c r="L634" s="115" t="n"/>
      <c r="M634" s="115" t="n"/>
      <c r="N634" s="115" t="n"/>
      <c r="O634" s="115" t="n"/>
      <c r="P634" s="115" t="n"/>
      <c r="Q634" s="115" t="n"/>
      <c r="R634" s="115" t="n"/>
      <c r="S634" s="115" t="n"/>
      <c r="T634" s="115" t="n"/>
      <c r="U634" s="116" t="n"/>
      <c r="V634" s="116" t="n"/>
      <c r="W634" s="117" t="n"/>
      <c r="X634" s="118" t="n"/>
      <c r="Y634" s="119" t="n"/>
      <c r="Z634" s="120" t="n"/>
      <c r="AA634" s="121" t="n"/>
      <c r="AB634" s="122" t="n"/>
      <c r="AC634" s="117" t="n"/>
      <c r="AD634" s="123">
        <f>IF(SUM($AE634:$AH634)=0,"",SUM($AE634:$AH634))</f>
        <v/>
      </c>
      <c r="AE634" s="123">
        <f>iferror(IF(SUM($AI634:$AZ634)=0,"",SUM($AI634:$AZ634)),"")</f>
        <v/>
      </c>
      <c r="AF634" s="123">
        <f>iferror(IF(SUM($BA634:$BC634)=0,"",SUM($BA634:$BC634)),"")</f>
        <v/>
      </c>
      <c r="AG634" s="123">
        <f>iferror(IF(SUM($BD634:$BF634)=0,"",SUM($BD634:$BF634)),"")</f>
        <v/>
      </c>
      <c r="AH634" s="124">
        <f>iferror(IF(SUM($BG634:$BI634)=0,"",SUM($BG634:$BI634)),"")</f>
        <v/>
      </c>
      <c r="AI634" s="131" t="n"/>
      <c r="AJ634" s="132" t="n"/>
      <c r="AK634" s="132" t="n"/>
      <c r="AL634" s="132" t="n"/>
      <c r="AM634" s="132" t="n"/>
      <c r="AN634" s="132" t="n"/>
      <c r="AO634" s="132" t="n"/>
      <c r="AP634" s="132" t="n"/>
      <c r="AQ634" s="132" t="n"/>
      <c r="AR634" s="132" t="n"/>
      <c r="AS634" s="132" t="n"/>
      <c r="AT634" s="132" t="n"/>
      <c r="AU634" s="132" t="n"/>
      <c r="AV634" s="132" t="n"/>
      <c r="AW634" s="132" t="n"/>
      <c r="AX634" s="132" t="n"/>
      <c r="AY634" s="132" t="n"/>
      <c r="AZ634" s="133" t="n"/>
      <c r="BA634" s="131" t="n"/>
      <c r="BB634" s="132" t="n"/>
      <c r="BC634" s="133" t="n"/>
      <c r="BD634" s="131" t="n"/>
      <c r="BE634" s="132" t="n"/>
      <c r="BF634" s="133" t="n"/>
      <c r="BG634" s="131" t="n"/>
      <c r="BH634" s="132" t="n"/>
      <c r="BI634" s="132" t="n"/>
      <c r="BJ634" s="128">
        <f>iferror(SUM($BK634,($BL634*1.2),($BM634*1.35),($BN634*0.74)),)</f>
        <v/>
      </c>
      <c r="BK634" s="128">
        <f>IFERROR(SUM($BT634:$CK634),)</f>
        <v/>
      </c>
      <c r="BL634" s="129">
        <f>IFERROR(SUM($CL634:$CN634),)</f>
        <v/>
      </c>
      <c r="BM634" s="130">
        <f>IFERROR(SUM($CO634:$CQ634),)</f>
        <v/>
      </c>
      <c r="BN634" s="128">
        <f>IFERROR(SUM($CR634:$CT634),)</f>
        <v/>
      </c>
      <c r="BO634" s="128">
        <f>iferror(SUM($BP634,($BQ634*1.2),($BR634*1.35),($BS634*0.74)),)</f>
        <v/>
      </c>
      <c r="BP634" s="128">
        <f>IFERROR(SUM($CU634:$DL634),)</f>
        <v/>
      </c>
      <c r="BQ634" s="128">
        <f>IFERROR(SUM($DM634:$DO634),)</f>
        <v/>
      </c>
      <c r="BR634" s="128">
        <f>IFERROR(SUM($DP634:$DR634),)</f>
        <v/>
      </c>
      <c r="BS634" s="128">
        <f>IFERROR(SUM($DS634:$DU634),)</f>
        <v/>
      </c>
      <c r="BT634" s="128">
        <f>IFERROR(AI634*$W634,)</f>
        <v/>
      </c>
      <c r="BU634" s="128">
        <f>IFERROR(AJ634*$W634,)</f>
        <v/>
      </c>
      <c r="BV634" s="128">
        <f>IFERROR(AK634*$W634,)</f>
        <v/>
      </c>
      <c r="BW634" s="128">
        <f>IFERROR(AL634*$W634,)</f>
        <v/>
      </c>
      <c r="BX634" s="128">
        <f>IFERROR(AM634*$W634,)</f>
        <v/>
      </c>
      <c r="BY634" s="128">
        <f>IFERROR(AN634*$W634,)</f>
        <v/>
      </c>
      <c r="BZ634" s="128">
        <f>IFERROR(AO634*$W634,)</f>
        <v/>
      </c>
      <c r="CA634" s="128">
        <f>IFERROR(AP634*$W634,)</f>
        <v/>
      </c>
      <c r="CB634" s="128">
        <f>IFERROR(AQ634*$W634,)</f>
        <v/>
      </c>
      <c r="CC634" s="128">
        <f>IFERROR(AR634*$W634,)</f>
        <v/>
      </c>
      <c r="CD634" s="128">
        <f>IFERROR(AS634*$W634,)</f>
        <v/>
      </c>
      <c r="CE634" s="128">
        <f>IFERROR(AT634*$W634,)</f>
        <v/>
      </c>
      <c r="CF634" s="128">
        <f>IFERROR(AU634*$W634,)</f>
        <v/>
      </c>
      <c r="CG634" s="128">
        <f>IFERROR(AV634*$W634,)</f>
        <v/>
      </c>
      <c r="CH634" s="128">
        <f>IFERROR(AW634*$W634,)</f>
        <v/>
      </c>
      <c r="CI634" s="128">
        <f>IFERROR(AX634*$W634,)</f>
        <v/>
      </c>
      <c r="CJ634" s="128">
        <f>IFERROR(AY634*$W634,)</f>
        <v/>
      </c>
      <c r="CK634" s="128">
        <f>IFERROR(AZ634*$W634,)</f>
        <v/>
      </c>
      <c r="CL634" s="129">
        <f>IFERROR(if($Y634=0,BA634*($W634/1.2),BA634*$Y634),"")</f>
        <v/>
      </c>
      <c r="CM634" s="129">
        <f>IFERROR(if($Y634=0,BB634*($W634/1.2),BB634*$Y634),"")</f>
        <v/>
      </c>
      <c r="CN634" s="129">
        <f>IFERROR(if($Y634=0,BC634*($W634/1.2),BC634*$Y634),"")</f>
        <v/>
      </c>
      <c r="CO634" s="130">
        <f>IFERROR(if($AA634=0,($W634/1.35)*BD634,BD634*$AA634),)</f>
        <v/>
      </c>
      <c r="CP634" s="130">
        <f>IFERROR(if($AA634=0,($W634/1.35)*BE634,BE634*$AA634),)</f>
        <v/>
      </c>
      <c r="CQ634" s="130">
        <f>IFERROR(if($AA634=0,($W634/1.35)*BF634,BF634*$AA634),)</f>
        <v/>
      </c>
      <c r="CR634" s="128">
        <f>IFERROR(if($AC634=0,($W634/0.74)*BG634,
BG634*$AC634),)</f>
        <v/>
      </c>
      <c r="CS634" s="128">
        <f>IFERROR(if($AC634=0,($W634/0.74)*BH634,
BH634*$AC634),)</f>
        <v/>
      </c>
      <c r="CT634" s="128">
        <f>IFERROR(if($AC634=0,($W634/0.74)*BI634,
BI634*$AC634),)</f>
        <v/>
      </c>
      <c r="CU634" s="128">
        <f>IFERROR(AI634*$V634,)</f>
        <v/>
      </c>
      <c r="CV634" s="128">
        <f>IFERROR(AJ634*$V634,)</f>
        <v/>
      </c>
      <c r="CW634" s="128">
        <f>IFERROR(AK634*$V634,)</f>
        <v/>
      </c>
      <c r="CX634" s="128">
        <f>IFERROR(AL634*$V634,)</f>
        <v/>
      </c>
      <c r="CY634" s="128">
        <f>IFERROR(AM634*$V634,)</f>
        <v/>
      </c>
      <c r="CZ634" s="128">
        <f>IFERROR(AN634*$V634,)</f>
        <v/>
      </c>
      <c r="DA634" s="128">
        <f>IFERROR(AO634*$V634,)</f>
        <v/>
      </c>
      <c r="DB634" s="128">
        <f>IFERROR(AP634*$V634,)</f>
        <v/>
      </c>
      <c r="DC634" s="128">
        <f>IFERROR(AQ634*$V634,)</f>
        <v/>
      </c>
      <c r="DD634" s="128">
        <f>IFERROR(AR634*$V634,)</f>
        <v/>
      </c>
      <c r="DE634" s="128">
        <f>IFERROR(AS634*$V634,)</f>
        <v/>
      </c>
      <c r="DF634" s="128">
        <f>IFERROR(AT634*$V634,)</f>
        <v/>
      </c>
      <c r="DG634" s="128">
        <f>IFERROR(AU634*$V634,)</f>
        <v/>
      </c>
      <c r="DH634" s="128">
        <f>IFERROR(AV634*$V634,)</f>
        <v/>
      </c>
      <c r="DI634" s="128">
        <f>IFERROR(AW634*$V634,)</f>
        <v/>
      </c>
      <c r="DJ634" s="128">
        <f>IFERROR(AX634*$V634,)</f>
        <v/>
      </c>
      <c r="DK634" s="128">
        <f>IFERROR(AY634*$V634,)</f>
        <v/>
      </c>
      <c r="DL634" s="128">
        <f>IFERROR(AZ634*$V634,)</f>
        <v/>
      </c>
      <c r="DM634" s="129">
        <f>IFERROR(if($X634=0,($V634/1.2)*BA634,
BA634*$X634),)</f>
        <v/>
      </c>
      <c r="DN634" s="129">
        <f>IFERROR(if($X634=0,($V634/1.2)*BB634,
BB634*$X634),)</f>
        <v/>
      </c>
      <c r="DO634" s="129">
        <f>IFERROR(if($X634=0,($V634/1.2)*BC634,
BC634*$X634),)</f>
        <v/>
      </c>
      <c r="DP634" s="130">
        <f>IFERROR(if($Z634=0,($V634/1.35)*BD634,
BD634*$Z634),)</f>
        <v/>
      </c>
      <c r="DQ634" s="130">
        <f>IFERROR(if($Z634=0,($V634/1.35)*BE634,
BE634*$Z634),)</f>
        <v/>
      </c>
      <c r="DR634" s="130">
        <f>IFERROR(if($Z634=0,($V634/1.35)*BF634,
BF634*$Z634),)</f>
        <v/>
      </c>
      <c r="DS634" s="128">
        <f>IFERROR(IF($AB634=0,($V634/0.74)*BG634,
BG634*$AB634),)</f>
        <v/>
      </c>
      <c r="DT634" s="128">
        <f>IFERROR(IF($AB634=0,($V634/0.74)*BH634,
BH634*$AB634),)</f>
        <v/>
      </c>
      <c r="DU634" s="128">
        <f>IFERROR(IF($AB634=0,($V634/0.74)*BI634,
BI634*$AB634),)</f>
        <v/>
      </c>
    </row>
    <row r="635" ht="131.25" customHeight="1" s="162">
      <c r="A635" s="115" t="n"/>
      <c r="B635" s="115" t="n"/>
      <c r="C635" s="115" t="n"/>
      <c r="D635" s="115" t="n"/>
      <c r="E635" s="115" t="n"/>
      <c r="F635" s="115" t="n"/>
      <c r="G635" s="115" t="n"/>
      <c r="H635" s="115" t="n"/>
      <c r="I635" s="115" t="n"/>
      <c r="J635" s="115" t="n"/>
      <c r="K635" s="115" t="n"/>
      <c r="L635" s="115" t="n"/>
      <c r="M635" s="115" t="n"/>
      <c r="N635" s="115" t="n"/>
      <c r="O635" s="115" t="n"/>
      <c r="P635" s="115" t="n"/>
      <c r="Q635" s="115" t="n"/>
      <c r="R635" s="115" t="n"/>
      <c r="S635" s="115" t="n"/>
      <c r="T635" s="115" t="n"/>
      <c r="U635" s="116" t="n"/>
      <c r="V635" s="116" t="n"/>
      <c r="W635" s="117" t="n"/>
      <c r="X635" s="118" t="n"/>
      <c r="Y635" s="119" t="n"/>
      <c r="Z635" s="120" t="n"/>
      <c r="AA635" s="121" t="n"/>
      <c r="AB635" s="122" t="n"/>
      <c r="AC635" s="117" t="n"/>
      <c r="AD635" s="123">
        <f>IF(SUM($AE635:$AH635)=0,"",SUM($AE635:$AH635))</f>
        <v/>
      </c>
      <c r="AE635" s="123">
        <f>iferror(IF(SUM($AI635:$AZ635)=0,"",SUM($AI635:$AZ635)),"")</f>
        <v/>
      </c>
      <c r="AF635" s="123">
        <f>iferror(IF(SUM($BA635:$BC635)=0,"",SUM($BA635:$BC635)),"")</f>
        <v/>
      </c>
      <c r="AG635" s="123">
        <f>iferror(IF(SUM($BD635:$BF635)=0,"",SUM($BD635:$BF635)),"")</f>
        <v/>
      </c>
      <c r="AH635" s="124">
        <f>iferror(IF(SUM($BG635:$BI635)=0,"",SUM($BG635:$BI635)),"")</f>
        <v/>
      </c>
      <c r="AI635" s="131" t="n"/>
      <c r="AJ635" s="132" t="n"/>
      <c r="AK635" s="132" t="n"/>
      <c r="AL635" s="132" t="n"/>
      <c r="AM635" s="132" t="n"/>
      <c r="AN635" s="132" t="n"/>
      <c r="AO635" s="132" t="n"/>
      <c r="AP635" s="132" t="n"/>
      <c r="AQ635" s="132" t="n"/>
      <c r="AR635" s="132" t="n"/>
      <c r="AS635" s="132" t="n"/>
      <c r="AT635" s="132" t="n"/>
      <c r="AU635" s="132" t="n"/>
      <c r="AV635" s="132" t="n"/>
      <c r="AW635" s="132" t="n"/>
      <c r="AX635" s="132" t="n"/>
      <c r="AY635" s="132" t="n"/>
      <c r="AZ635" s="133" t="n"/>
      <c r="BA635" s="131" t="n"/>
      <c r="BB635" s="132" t="n"/>
      <c r="BC635" s="133" t="n"/>
      <c r="BD635" s="131" t="n"/>
      <c r="BE635" s="132" t="n"/>
      <c r="BF635" s="133" t="n"/>
      <c r="BG635" s="131" t="n"/>
      <c r="BH635" s="132" t="n"/>
      <c r="BI635" s="132" t="n"/>
      <c r="BJ635" s="128">
        <f>iferror(SUM($BK635,($BL635*1.2),($BM635*1.35),($BN635*0.74)),)</f>
        <v/>
      </c>
      <c r="BK635" s="128">
        <f>IFERROR(SUM($BT635:$CK635),)</f>
        <v/>
      </c>
      <c r="BL635" s="129">
        <f>IFERROR(SUM($CL635:$CN635),)</f>
        <v/>
      </c>
      <c r="BM635" s="130">
        <f>IFERROR(SUM($CO635:$CQ635),)</f>
        <v/>
      </c>
      <c r="BN635" s="128">
        <f>IFERROR(SUM($CR635:$CT635),)</f>
        <v/>
      </c>
      <c r="BO635" s="128">
        <f>iferror(SUM($BP635,($BQ635*1.2),($BR635*1.35),($BS635*0.74)),)</f>
        <v/>
      </c>
      <c r="BP635" s="128">
        <f>IFERROR(SUM($CU635:$DL635),)</f>
        <v/>
      </c>
      <c r="BQ635" s="128">
        <f>IFERROR(SUM($DM635:$DO635),)</f>
        <v/>
      </c>
      <c r="BR635" s="128">
        <f>IFERROR(SUM($DP635:$DR635),)</f>
        <v/>
      </c>
      <c r="BS635" s="128">
        <f>IFERROR(SUM($DS635:$DU635),)</f>
        <v/>
      </c>
      <c r="BT635" s="128">
        <f>IFERROR(AI635*$W635,)</f>
        <v/>
      </c>
      <c r="BU635" s="128">
        <f>IFERROR(AJ635*$W635,)</f>
        <v/>
      </c>
      <c r="BV635" s="128">
        <f>IFERROR(AK635*$W635,)</f>
        <v/>
      </c>
      <c r="BW635" s="128">
        <f>IFERROR(AL635*$W635,)</f>
        <v/>
      </c>
      <c r="BX635" s="128">
        <f>IFERROR(AM635*$W635,)</f>
        <v/>
      </c>
      <c r="BY635" s="128">
        <f>IFERROR(AN635*$W635,)</f>
        <v/>
      </c>
      <c r="BZ635" s="128">
        <f>IFERROR(AO635*$W635,)</f>
        <v/>
      </c>
      <c r="CA635" s="128">
        <f>IFERROR(AP635*$W635,)</f>
        <v/>
      </c>
      <c r="CB635" s="128">
        <f>IFERROR(AQ635*$W635,)</f>
        <v/>
      </c>
      <c r="CC635" s="128">
        <f>IFERROR(AR635*$W635,)</f>
        <v/>
      </c>
      <c r="CD635" s="128">
        <f>IFERROR(AS635*$W635,)</f>
        <v/>
      </c>
      <c r="CE635" s="128">
        <f>IFERROR(AT635*$W635,)</f>
        <v/>
      </c>
      <c r="CF635" s="128">
        <f>IFERROR(AU635*$W635,)</f>
        <v/>
      </c>
      <c r="CG635" s="128">
        <f>IFERROR(AV635*$W635,)</f>
        <v/>
      </c>
      <c r="CH635" s="128">
        <f>IFERROR(AW635*$W635,)</f>
        <v/>
      </c>
      <c r="CI635" s="128">
        <f>IFERROR(AX635*$W635,)</f>
        <v/>
      </c>
      <c r="CJ635" s="128">
        <f>IFERROR(AY635*$W635,)</f>
        <v/>
      </c>
      <c r="CK635" s="128">
        <f>IFERROR(AZ635*$W635,)</f>
        <v/>
      </c>
      <c r="CL635" s="129">
        <f>IFERROR(if($Y635=0,BA635*($W635/1.2),BA635*$Y635),"")</f>
        <v/>
      </c>
      <c r="CM635" s="129">
        <f>IFERROR(if($Y635=0,BB635*($W635/1.2),BB635*$Y635),"")</f>
        <v/>
      </c>
      <c r="CN635" s="129">
        <f>IFERROR(if($Y635=0,BC635*($W635/1.2),BC635*$Y635),"")</f>
        <v/>
      </c>
      <c r="CO635" s="130">
        <f>IFERROR(if($AA635=0,($W635/1.35)*BD635,BD635*$AA635),)</f>
        <v/>
      </c>
      <c r="CP635" s="130">
        <f>IFERROR(if($AA635=0,($W635/1.35)*BE635,BE635*$AA635),)</f>
        <v/>
      </c>
      <c r="CQ635" s="130">
        <f>IFERROR(if($AA635=0,($W635/1.35)*BF635,BF635*$AA635),)</f>
        <v/>
      </c>
      <c r="CR635" s="128">
        <f>IFERROR(if($AC635=0,($W635/0.74)*BG635,
BG635*$AC635),)</f>
        <v/>
      </c>
      <c r="CS635" s="128">
        <f>IFERROR(if($AC635=0,($W635/0.74)*BH635,
BH635*$AC635),)</f>
        <v/>
      </c>
      <c r="CT635" s="128">
        <f>IFERROR(if($AC635=0,($W635/0.74)*BI635,
BI635*$AC635),)</f>
        <v/>
      </c>
      <c r="CU635" s="128">
        <f>IFERROR(AI635*$V635,)</f>
        <v/>
      </c>
      <c r="CV635" s="128">
        <f>IFERROR(AJ635*$V635,)</f>
        <v/>
      </c>
      <c r="CW635" s="128">
        <f>IFERROR(AK635*$V635,)</f>
        <v/>
      </c>
      <c r="CX635" s="128">
        <f>IFERROR(AL635*$V635,)</f>
        <v/>
      </c>
      <c r="CY635" s="128">
        <f>IFERROR(AM635*$V635,)</f>
        <v/>
      </c>
      <c r="CZ635" s="128">
        <f>IFERROR(AN635*$V635,)</f>
        <v/>
      </c>
      <c r="DA635" s="128">
        <f>IFERROR(AO635*$V635,)</f>
        <v/>
      </c>
      <c r="DB635" s="128">
        <f>IFERROR(AP635*$V635,)</f>
        <v/>
      </c>
      <c r="DC635" s="128">
        <f>IFERROR(AQ635*$V635,)</f>
        <v/>
      </c>
      <c r="DD635" s="128">
        <f>IFERROR(AR635*$V635,)</f>
        <v/>
      </c>
      <c r="DE635" s="128">
        <f>IFERROR(AS635*$V635,)</f>
        <v/>
      </c>
      <c r="DF635" s="128">
        <f>IFERROR(AT635*$V635,)</f>
        <v/>
      </c>
      <c r="DG635" s="128">
        <f>IFERROR(AU635*$V635,)</f>
        <v/>
      </c>
      <c r="DH635" s="128">
        <f>IFERROR(AV635*$V635,)</f>
        <v/>
      </c>
      <c r="DI635" s="128">
        <f>IFERROR(AW635*$V635,)</f>
        <v/>
      </c>
      <c r="DJ635" s="128">
        <f>IFERROR(AX635*$V635,)</f>
        <v/>
      </c>
      <c r="DK635" s="128">
        <f>IFERROR(AY635*$V635,)</f>
        <v/>
      </c>
      <c r="DL635" s="128">
        <f>IFERROR(AZ635*$V635,)</f>
        <v/>
      </c>
      <c r="DM635" s="129">
        <f>IFERROR(if($X635=0,($V635/1.2)*BA635,
BA635*$X635),)</f>
        <v/>
      </c>
      <c r="DN635" s="129">
        <f>IFERROR(if($X635=0,($V635/1.2)*BB635,
BB635*$X635),)</f>
        <v/>
      </c>
      <c r="DO635" s="129">
        <f>IFERROR(if($X635=0,($V635/1.2)*BC635,
BC635*$X635),)</f>
        <v/>
      </c>
      <c r="DP635" s="130">
        <f>IFERROR(if($Z635=0,($V635/1.35)*BD635,
BD635*$Z635),)</f>
        <v/>
      </c>
      <c r="DQ635" s="130">
        <f>IFERROR(if($Z635=0,($V635/1.35)*BE635,
BE635*$Z635),)</f>
        <v/>
      </c>
      <c r="DR635" s="130">
        <f>IFERROR(if($Z635=0,($V635/1.35)*BF635,
BF635*$Z635),)</f>
        <v/>
      </c>
      <c r="DS635" s="128">
        <f>IFERROR(IF($AB635=0,($V635/0.74)*BG635,
BG635*$AB635),)</f>
        <v/>
      </c>
      <c r="DT635" s="128">
        <f>IFERROR(IF($AB635=0,($V635/0.74)*BH635,
BH635*$AB635),)</f>
        <v/>
      </c>
      <c r="DU635" s="128">
        <f>IFERROR(IF($AB635=0,($V635/0.74)*BI635,
BI635*$AB635),)</f>
        <v/>
      </c>
    </row>
    <row r="636" ht="131.25" customHeight="1" s="162">
      <c r="A636" s="115" t="n"/>
      <c r="B636" s="115" t="n"/>
      <c r="C636" s="115" t="n"/>
      <c r="D636" s="115" t="n"/>
      <c r="E636" s="115" t="n"/>
      <c r="F636" s="115" t="n"/>
      <c r="G636" s="115" t="n"/>
      <c r="H636" s="115" t="n"/>
      <c r="I636" s="115" t="n"/>
      <c r="J636" s="115" t="n"/>
      <c r="K636" s="115" t="n"/>
      <c r="L636" s="115" t="n"/>
      <c r="M636" s="115" t="n"/>
      <c r="N636" s="115" t="n"/>
      <c r="O636" s="115" t="n"/>
      <c r="P636" s="115" t="n"/>
      <c r="Q636" s="115" t="n"/>
      <c r="R636" s="115" t="n"/>
      <c r="S636" s="115" t="n"/>
      <c r="T636" s="115" t="n"/>
      <c r="U636" s="116" t="n"/>
      <c r="V636" s="116" t="n"/>
      <c r="W636" s="117" t="n"/>
      <c r="X636" s="118" t="n"/>
      <c r="Y636" s="119" t="n"/>
      <c r="Z636" s="120" t="n"/>
      <c r="AA636" s="121" t="n"/>
      <c r="AB636" s="122" t="n"/>
      <c r="AC636" s="117" t="n"/>
      <c r="AD636" s="123">
        <f>IF(SUM($AE636:$AH636)=0,"",SUM($AE636:$AH636))</f>
        <v/>
      </c>
      <c r="AE636" s="123">
        <f>iferror(IF(SUM($AI636:$AZ636)=0,"",SUM($AI636:$AZ636)),"")</f>
        <v/>
      </c>
      <c r="AF636" s="123">
        <f>iferror(IF(SUM($BA636:$BC636)=0,"",SUM($BA636:$BC636)),"")</f>
        <v/>
      </c>
      <c r="AG636" s="123">
        <f>iferror(IF(SUM($BD636:$BF636)=0,"",SUM($BD636:$BF636)),"")</f>
        <v/>
      </c>
      <c r="AH636" s="124">
        <f>iferror(IF(SUM($BG636:$BI636)=0,"",SUM($BG636:$BI636)),"")</f>
        <v/>
      </c>
      <c r="AI636" s="131" t="n"/>
      <c r="AJ636" s="132" t="n"/>
      <c r="AK636" s="132" t="n"/>
      <c r="AL636" s="132" t="n"/>
      <c r="AM636" s="132" t="n"/>
      <c r="AN636" s="132" t="n"/>
      <c r="AO636" s="132" t="n"/>
      <c r="AP636" s="132" t="n"/>
      <c r="AQ636" s="132" t="n"/>
      <c r="AR636" s="132" t="n"/>
      <c r="AS636" s="132" t="n"/>
      <c r="AT636" s="132" t="n"/>
      <c r="AU636" s="132" t="n"/>
      <c r="AV636" s="132" t="n"/>
      <c r="AW636" s="132" t="n"/>
      <c r="AX636" s="132" t="n"/>
      <c r="AY636" s="132" t="n"/>
      <c r="AZ636" s="133" t="n"/>
      <c r="BA636" s="131" t="n"/>
      <c r="BB636" s="132" t="n"/>
      <c r="BC636" s="133" t="n"/>
      <c r="BD636" s="131" t="n"/>
      <c r="BE636" s="132" t="n"/>
      <c r="BF636" s="133" t="n"/>
      <c r="BG636" s="131" t="n"/>
      <c r="BH636" s="132" t="n"/>
      <c r="BI636" s="132" t="n"/>
      <c r="BJ636" s="128">
        <f>iferror(SUM($BK636,($BL636*1.2),($BM636*1.35),($BN636*0.74)),)</f>
        <v/>
      </c>
      <c r="BK636" s="128">
        <f>IFERROR(SUM($BT636:$CK636),)</f>
        <v/>
      </c>
      <c r="BL636" s="129">
        <f>IFERROR(SUM($CL636:$CN636),)</f>
        <v/>
      </c>
      <c r="BM636" s="130">
        <f>IFERROR(SUM($CO636:$CQ636),)</f>
        <v/>
      </c>
      <c r="BN636" s="128">
        <f>IFERROR(SUM($CR636:$CT636),)</f>
        <v/>
      </c>
      <c r="BO636" s="128">
        <f>iferror(SUM($BP636,($BQ636*1.2),($BR636*1.35),($BS636*0.74)),)</f>
        <v/>
      </c>
      <c r="BP636" s="128">
        <f>IFERROR(SUM($CU636:$DL636),)</f>
        <v/>
      </c>
      <c r="BQ636" s="128">
        <f>IFERROR(SUM($DM636:$DO636),)</f>
        <v/>
      </c>
      <c r="BR636" s="128">
        <f>IFERROR(SUM($DP636:$DR636),)</f>
        <v/>
      </c>
      <c r="BS636" s="128">
        <f>IFERROR(SUM($DS636:$DU636),)</f>
        <v/>
      </c>
      <c r="BT636" s="128">
        <f>IFERROR(AI636*$W636,)</f>
        <v/>
      </c>
      <c r="BU636" s="128">
        <f>IFERROR(AJ636*$W636,)</f>
        <v/>
      </c>
      <c r="BV636" s="128">
        <f>IFERROR(AK636*$W636,)</f>
        <v/>
      </c>
      <c r="BW636" s="128">
        <f>IFERROR(AL636*$W636,)</f>
        <v/>
      </c>
      <c r="BX636" s="128">
        <f>IFERROR(AM636*$W636,)</f>
        <v/>
      </c>
      <c r="BY636" s="128">
        <f>IFERROR(AN636*$W636,)</f>
        <v/>
      </c>
      <c r="BZ636" s="128">
        <f>IFERROR(AO636*$W636,)</f>
        <v/>
      </c>
      <c r="CA636" s="128">
        <f>IFERROR(AP636*$W636,)</f>
        <v/>
      </c>
      <c r="CB636" s="128">
        <f>IFERROR(AQ636*$W636,)</f>
        <v/>
      </c>
      <c r="CC636" s="128">
        <f>IFERROR(AR636*$W636,)</f>
        <v/>
      </c>
      <c r="CD636" s="128">
        <f>IFERROR(AS636*$W636,)</f>
        <v/>
      </c>
      <c r="CE636" s="128">
        <f>IFERROR(AT636*$W636,)</f>
        <v/>
      </c>
      <c r="CF636" s="128">
        <f>IFERROR(AU636*$W636,)</f>
        <v/>
      </c>
      <c r="CG636" s="128">
        <f>IFERROR(AV636*$W636,)</f>
        <v/>
      </c>
      <c r="CH636" s="128">
        <f>IFERROR(AW636*$W636,)</f>
        <v/>
      </c>
      <c r="CI636" s="128">
        <f>IFERROR(AX636*$W636,)</f>
        <v/>
      </c>
      <c r="CJ636" s="128">
        <f>IFERROR(AY636*$W636,)</f>
        <v/>
      </c>
      <c r="CK636" s="128">
        <f>IFERROR(AZ636*$W636,)</f>
        <v/>
      </c>
      <c r="CL636" s="129">
        <f>IFERROR(if($Y636=0,BA636*($W636/1.2),BA636*$Y636),"")</f>
        <v/>
      </c>
      <c r="CM636" s="129">
        <f>IFERROR(if($Y636=0,BB636*($W636/1.2),BB636*$Y636),"")</f>
        <v/>
      </c>
      <c r="CN636" s="129">
        <f>IFERROR(if($Y636=0,BC636*($W636/1.2),BC636*$Y636),"")</f>
        <v/>
      </c>
      <c r="CO636" s="130">
        <f>IFERROR(if($AA636=0,($W636/1.35)*BD636,BD636*$AA636),)</f>
        <v/>
      </c>
      <c r="CP636" s="130">
        <f>IFERROR(if($AA636=0,($W636/1.35)*BE636,BE636*$AA636),)</f>
        <v/>
      </c>
      <c r="CQ636" s="130">
        <f>IFERROR(if($AA636=0,($W636/1.35)*BF636,BF636*$AA636),)</f>
        <v/>
      </c>
      <c r="CR636" s="128">
        <f>IFERROR(if($AC636=0,($W636/0.74)*BG636,
BG636*$AC636),)</f>
        <v/>
      </c>
      <c r="CS636" s="128">
        <f>IFERROR(if($AC636=0,($W636/0.74)*BH636,
BH636*$AC636),)</f>
        <v/>
      </c>
      <c r="CT636" s="128">
        <f>IFERROR(if($AC636=0,($W636/0.74)*BI636,
BI636*$AC636),)</f>
        <v/>
      </c>
      <c r="CU636" s="128">
        <f>IFERROR(AI636*$V636,)</f>
        <v/>
      </c>
      <c r="CV636" s="128">
        <f>IFERROR(AJ636*$V636,)</f>
        <v/>
      </c>
      <c r="CW636" s="128">
        <f>IFERROR(AK636*$V636,)</f>
        <v/>
      </c>
      <c r="CX636" s="128">
        <f>IFERROR(AL636*$V636,)</f>
        <v/>
      </c>
      <c r="CY636" s="128">
        <f>IFERROR(AM636*$V636,)</f>
        <v/>
      </c>
      <c r="CZ636" s="128">
        <f>IFERROR(AN636*$V636,)</f>
        <v/>
      </c>
      <c r="DA636" s="128">
        <f>IFERROR(AO636*$V636,)</f>
        <v/>
      </c>
      <c r="DB636" s="128">
        <f>IFERROR(AP636*$V636,)</f>
        <v/>
      </c>
      <c r="DC636" s="128">
        <f>IFERROR(AQ636*$V636,)</f>
        <v/>
      </c>
      <c r="DD636" s="128">
        <f>IFERROR(AR636*$V636,)</f>
        <v/>
      </c>
      <c r="DE636" s="128">
        <f>IFERROR(AS636*$V636,)</f>
        <v/>
      </c>
      <c r="DF636" s="128">
        <f>IFERROR(AT636*$V636,)</f>
        <v/>
      </c>
      <c r="DG636" s="128">
        <f>IFERROR(AU636*$V636,)</f>
        <v/>
      </c>
      <c r="DH636" s="128">
        <f>IFERROR(AV636*$V636,)</f>
        <v/>
      </c>
      <c r="DI636" s="128">
        <f>IFERROR(AW636*$V636,)</f>
        <v/>
      </c>
      <c r="DJ636" s="128">
        <f>IFERROR(AX636*$V636,)</f>
        <v/>
      </c>
      <c r="DK636" s="128">
        <f>IFERROR(AY636*$V636,)</f>
        <v/>
      </c>
      <c r="DL636" s="128">
        <f>IFERROR(AZ636*$V636,)</f>
        <v/>
      </c>
      <c r="DM636" s="129">
        <f>IFERROR(if($X636=0,($V636/1.2)*BA636,
BA636*$X636),)</f>
        <v/>
      </c>
      <c r="DN636" s="129">
        <f>IFERROR(if($X636=0,($V636/1.2)*BB636,
BB636*$X636),)</f>
        <v/>
      </c>
      <c r="DO636" s="129">
        <f>IFERROR(if($X636=0,($V636/1.2)*BC636,
BC636*$X636),)</f>
        <v/>
      </c>
      <c r="DP636" s="130">
        <f>IFERROR(if($Z636=0,($V636/1.35)*BD636,
BD636*$Z636),)</f>
        <v/>
      </c>
      <c r="DQ636" s="130">
        <f>IFERROR(if($Z636=0,($V636/1.35)*BE636,
BE636*$Z636),)</f>
        <v/>
      </c>
      <c r="DR636" s="130">
        <f>IFERROR(if($Z636=0,($V636/1.35)*BF636,
BF636*$Z636),)</f>
        <v/>
      </c>
      <c r="DS636" s="128">
        <f>IFERROR(IF($AB636=0,($V636/0.74)*BG636,
BG636*$AB636),)</f>
        <v/>
      </c>
      <c r="DT636" s="128">
        <f>IFERROR(IF($AB636=0,($V636/0.74)*BH636,
BH636*$AB636),)</f>
        <v/>
      </c>
      <c r="DU636" s="128">
        <f>IFERROR(IF($AB636=0,($V636/0.74)*BI636,
BI636*$AB636),)</f>
        <v/>
      </c>
    </row>
    <row r="637" ht="131.25" customHeight="1" s="162">
      <c r="A637" s="115" t="n"/>
      <c r="B637" s="115" t="n"/>
      <c r="C637" s="115" t="n"/>
      <c r="D637" s="115" t="n"/>
      <c r="E637" s="115" t="n"/>
      <c r="F637" s="115" t="n"/>
      <c r="G637" s="115" t="n"/>
      <c r="H637" s="115" t="n"/>
      <c r="I637" s="115" t="n"/>
      <c r="J637" s="115" t="n"/>
      <c r="K637" s="115" t="n"/>
      <c r="L637" s="115" t="n"/>
      <c r="M637" s="115" t="n"/>
      <c r="N637" s="115" t="n"/>
      <c r="O637" s="115" t="n"/>
      <c r="P637" s="115" t="n"/>
      <c r="Q637" s="115" t="n"/>
      <c r="R637" s="115" t="n"/>
      <c r="S637" s="115" t="n"/>
      <c r="T637" s="115" t="n"/>
      <c r="U637" s="116" t="n"/>
      <c r="V637" s="116" t="n"/>
      <c r="W637" s="117" t="n"/>
      <c r="X637" s="118" t="n"/>
      <c r="Y637" s="119" t="n"/>
      <c r="Z637" s="120" t="n"/>
      <c r="AA637" s="121" t="n"/>
      <c r="AB637" s="122" t="n"/>
      <c r="AC637" s="117" t="n"/>
      <c r="AD637" s="123">
        <f>IF(SUM($AE637:$AH637)=0,"",SUM($AE637:$AH637))</f>
        <v/>
      </c>
      <c r="AE637" s="123">
        <f>iferror(IF(SUM($AI637:$AZ637)=0,"",SUM($AI637:$AZ637)),"")</f>
        <v/>
      </c>
      <c r="AF637" s="123">
        <f>iferror(IF(SUM($BA637:$BC637)=0,"",SUM($BA637:$BC637)),"")</f>
        <v/>
      </c>
      <c r="AG637" s="123">
        <f>iferror(IF(SUM($BD637:$BF637)=0,"",SUM($BD637:$BF637)),"")</f>
        <v/>
      </c>
      <c r="AH637" s="124">
        <f>iferror(IF(SUM($BG637:$BI637)=0,"",SUM($BG637:$BI637)),"")</f>
        <v/>
      </c>
      <c r="AI637" s="131" t="n"/>
      <c r="AJ637" s="132" t="n"/>
      <c r="AK637" s="132" t="n"/>
      <c r="AL637" s="132" t="n"/>
      <c r="AM637" s="132" t="n"/>
      <c r="AN637" s="132" t="n"/>
      <c r="AO637" s="132" t="n"/>
      <c r="AP637" s="132" t="n"/>
      <c r="AQ637" s="132" t="n"/>
      <c r="AR637" s="132" t="n"/>
      <c r="AS637" s="132" t="n"/>
      <c r="AT637" s="132" t="n"/>
      <c r="AU637" s="132" t="n"/>
      <c r="AV637" s="132" t="n"/>
      <c r="AW637" s="132" t="n"/>
      <c r="AX637" s="132" t="n"/>
      <c r="AY637" s="132" t="n"/>
      <c r="AZ637" s="133" t="n"/>
      <c r="BA637" s="131" t="n"/>
      <c r="BB637" s="132" t="n"/>
      <c r="BC637" s="133" t="n"/>
      <c r="BD637" s="131" t="n"/>
      <c r="BE637" s="132" t="n"/>
      <c r="BF637" s="133" t="n"/>
      <c r="BG637" s="131" t="n"/>
      <c r="BH637" s="132" t="n"/>
      <c r="BI637" s="132" t="n"/>
      <c r="BJ637" s="128">
        <f>iferror(SUM($BK637,($BL637*1.2),($BM637*1.35),($BN637*0.74)),)</f>
        <v/>
      </c>
      <c r="BK637" s="128">
        <f>IFERROR(SUM($BT637:$CK637),)</f>
        <v/>
      </c>
      <c r="BL637" s="129">
        <f>IFERROR(SUM($CL637:$CN637),)</f>
        <v/>
      </c>
      <c r="BM637" s="130">
        <f>IFERROR(SUM($CO637:$CQ637),)</f>
        <v/>
      </c>
      <c r="BN637" s="128">
        <f>IFERROR(SUM($CR637:$CT637),)</f>
        <v/>
      </c>
      <c r="BO637" s="128">
        <f>iferror(SUM($BP637,($BQ637*1.2),($BR637*1.35),($BS637*0.74)),)</f>
        <v/>
      </c>
      <c r="BP637" s="128">
        <f>IFERROR(SUM($CU637:$DL637),)</f>
        <v/>
      </c>
      <c r="BQ637" s="128">
        <f>IFERROR(SUM($DM637:$DO637),)</f>
        <v/>
      </c>
      <c r="BR637" s="128">
        <f>IFERROR(SUM($DP637:$DR637),)</f>
        <v/>
      </c>
      <c r="BS637" s="128">
        <f>IFERROR(SUM($DS637:$DU637),)</f>
        <v/>
      </c>
      <c r="BT637" s="128">
        <f>IFERROR(AI637*$W637,)</f>
        <v/>
      </c>
      <c r="BU637" s="128">
        <f>IFERROR(AJ637*$W637,)</f>
        <v/>
      </c>
      <c r="BV637" s="128">
        <f>IFERROR(AK637*$W637,)</f>
        <v/>
      </c>
      <c r="BW637" s="128">
        <f>IFERROR(AL637*$W637,)</f>
        <v/>
      </c>
      <c r="BX637" s="128">
        <f>IFERROR(AM637*$W637,)</f>
        <v/>
      </c>
      <c r="BY637" s="128">
        <f>IFERROR(AN637*$W637,)</f>
        <v/>
      </c>
      <c r="BZ637" s="128">
        <f>IFERROR(AO637*$W637,)</f>
        <v/>
      </c>
      <c r="CA637" s="128">
        <f>IFERROR(AP637*$W637,)</f>
        <v/>
      </c>
      <c r="CB637" s="128">
        <f>IFERROR(AQ637*$W637,)</f>
        <v/>
      </c>
      <c r="CC637" s="128">
        <f>IFERROR(AR637*$W637,)</f>
        <v/>
      </c>
      <c r="CD637" s="128">
        <f>IFERROR(AS637*$W637,)</f>
        <v/>
      </c>
      <c r="CE637" s="128">
        <f>IFERROR(AT637*$W637,)</f>
        <v/>
      </c>
      <c r="CF637" s="128">
        <f>IFERROR(AU637*$W637,)</f>
        <v/>
      </c>
      <c r="CG637" s="128">
        <f>IFERROR(AV637*$W637,)</f>
        <v/>
      </c>
      <c r="CH637" s="128">
        <f>IFERROR(AW637*$W637,)</f>
        <v/>
      </c>
      <c r="CI637" s="128">
        <f>IFERROR(AX637*$W637,)</f>
        <v/>
      </c>
      <c r="CJ637" s="128">
        <f>IFERROR(AY637*$W637,)</f>
        <v/>
      </c>
      <c r="CK637" s="128">
        <f>IFERROR(AZ637*$W637,)</f>
        <v/>
      </c>
      <c r="CL637" s="129">
        <f>IFERROR(if($Y637=0,BA637*($W637/1.2),BA637*$Y637),"")</f>
        <v/>
      </c>
      <c r="CM637" s="129">
        <f>IFERROR(if($Y637=0,BB637*($W637/1.2),BB637*$Y637),"")</f>
        <v/>
      </c>
      <c r="CN637" s="129">
        <f>IFERROR(if($Y637=0,BC637*($W637/1.2),BC637*$Y637),"")</f>
        <v/>
      </c>
      <c r="CO637" s="130">
        <f>IFERROR(if($AA637=0,($W637/1.35)*BD637,BD637*$AA637),)</f>
        <v/>
      </c>
      <c r="CP637" s="130">
        <f>IFERROR(if($AA637=0,($W637/1.35)*BE637,BE637*$AA637),)</f>
        <v/>
      </c>
      <c r="CQ637" s="130">
        <f>IFERROR(if($AA637=0,($W637/1.35)*BF637,BF637*$AA637),)</f>
        <v/>
      </c>
      <c r="CR637" s="128">
        <f>IFERROR(if($AC637=0,($W637/0.74)*BG637,
BG637*$AC637),)</f>
        <v/>
      </c>
      <c r="CS637" s="128">
        <f>IFERROR(if($AC637=0,($W637/0.74)*BH637,
BH637*$AC637),)</f>
        <v/>
      </c>
      <c r="CT637" s="128">
        <f>IFERROR(if($AC637=0,($W637/0.74)*BI637,
BI637*$AC637),)</f>
        <v/>
      </c>
      <c r="CU637" s="128">
        <f>IFERROR(AI637*$V637,)</f>
        <v/>
      </c>
      <c r="CV637" s="128">
        <f>IFERROR(AJ637*$V637,)</f>
        <v/>
      </c>
      <c r="CW637" s="128">
        <f>IFERROR(AK637*$V637,)</f>
        <v/>
      </c>
      <c r="CX637" s="128">
        <f>IFERROR(AL637*$V637,)</f>
        <v/>
      </c>
      <c r="CY637" s="128">
        <f>IFERROR(AM637*$V637,)</f>
        <v/>
      </c>
      <c r="CZ637" s="128">
        <f>IFERROR(AN637*$V637,)</f>
        <v/>
      </c>
      <c r="DA637" s="128">
        <f>IFERROR(AO637*$V637,)</f>
        <v/>
      </c>
      <c r="DB637" s="128">
        <f>IFERROR(AP637*$V637,)</f>
        <v/>
      </c>
      <c r="DC637" s="128">
        <f>IFERROR(AQ637*$V637,)</f>
        <v/>
      </c>
      <c r="DD637" s="128">
        <f>IFERROR(AR637*$V637,)</f>
        <v/>
      </c>
      <c r="DE637" s="128">
        <f>IFERROR(AS637*$V637,)</f>
        <v/>
      </c>
      <c r="DF637" s="128">
        <f>IFERROR(AT637*$V637,)</f>
        <v/>
      </c>
      <c r="DG637" s="128">
        <f>IFERROR(AU637*$V637,)</f>
        <v/>
      </c>
      <c r="DH637" s="128">
        <f>IFERROR(AV637*$V637,)</f>
        <v/>
      </c>
      <c r="DI637" s="128">
        <f>IFERROR(AW637*$V637,)</f>
        <v/>
      </c>
      <c r="DJ637" s="128">
        <f>IFERROR(AX637*$V637,)</f>
        <v/>
      </c>
      <c r="DK637" s="128">
        <f>IFERROR(AY637*$V637,)</f>
        <v/>
      </c>
      <c r="DL637" s="128">
        <f>IFERROR(AZ637*$V637,)</f>
        <v/>
      </c>
      <c r="DM637" s="129">
        <f>IFERROR(if($X637=0,($V637/1.2)*BA637,
BA637*$X637),)</f>
        <v/>
      </c>
      <c r="DN637" s="129">
        <f>IFERROR(if($X637=0,($V637/1.2)*BB637,
BB637*$X637),)</f>
        <v/>
      </c>
      <c r="DO637" s="129">
        <f>IFERROR(if($X637=0,($V637/1.2)*BC637,
BC637*$X637),)</f>
        <v/>
      </c>
      <c r="DP637" s="130">
        <f>IFERROR(if($Z637=0,($V637/1.35)*BD637,
BD637*$Z637),)</f>
        <v/>
      </c>
      <c r="DQ637" s="130">
        <f>IFERROR(if($Z637=0,($V637/1.35)*BE637,
BE637*$Z637),)</f>
        <v/>
      </c>
      <c r="DR637" s="130">
        <f>IFERROR(if($Z637=0,($V637/1.35)*BF637,
BF637*$Z637),)</f>
        <v/>
      </c>
      <c r="DS637" s="128">
        <f>IFERROR(IF($AB637=0,($V637/0.74)*BG637,
BG637*$AB637),)</f>
        <v/>
      </c>
      <c r="DT637" s="128">
        <f>IFERROR(IF($AB637=0,($V637/0.74)*BH637,
BH637*$AB637),)</f>
        <v/>
      </c>
      <c r="DU637" s="128">
        <f>IFERROR(IF($AB637=0,($V637/0.74)*BI637,
BI637*$AB637),)</f>
        <v/>
      </c>
    </row>
    <row r="638" ht="131.25" customHeight="1" s="162">
      <c r="A638" s="115" t="n"/>
      <c r="B638" s="115" t="n"/>
      <c r="C638" s="115" t="n"/>
      <c r="D638" s="115" t="n"/>
      <c r="E638" s="115" t="n"/>
      <c r="F638" s="115" t="n"/>
      <c r="G638" s="115" t="n"/>
      <c r="H638" s="115" t="n"/>
      <c r="I638" s="115" t="n"/>
      <c r="J638" s="115" t="n"/>
      <c r="K638" s="115" t="n"/>
      <c r="L638" s="115" t="n"/>
      <c r="M638" s="115" t="n"/>
      <c r="N638" s="115" t="n"/>
      <c r="O638" s="115" t="n"/>
      <c r="P638" s="115" t="n"/>
      <c r="Q638" s="115" t="n"/>
      <c r="R638" s="115" t="n"/>
      <c r="S638" s="115" t="n"/>
      <c r="T638" s="115" t="n"/>
      <c r="U638" s="116" t="n"/>
      <c r="V638" s="116" t="n"/>
      <c r="W638" s="117" t="n"/>
      <c r="X638" s="118" t="n"/>
      <c r="Y638" s="119" t="n"/>
      <c r="Z638" s="120" t="n"/>
      <c r="AA638" s="121" t="n"/>
      <c r="AB638" s="122" t="n"/>
      <c r="AC638" s="117" t="n"/>
      <c r="AD638" s="123">
        <f>IF(SUM($AE638:$AH638)=0,"",SUM($AE638:$AH638))</f>
        <v/>
      </c>
      <c r="AE638" s="123">
        <f>iferror(IF(SUM($AI638:$AZ638)=0,"",SUM($AI638:$AZ638)),"")</f>
        <v/>
      </c>
      <c r="AF638" s="123">
        <f>iferror(IF(SUM($BA638:$BC638)=0,"",SUM($BA638:$BC638)),"")</f>
        <v/>
      </c>
      <c r="AG638" s="123">
        <f>iferror(IF(SUM($BD638:$BF638)=0,"",SUM($BD638:$BF638)),"")</f>
        <v/>
      </c>
      <c r="AH638" s="124">
        <f>iferror(IF(SUM($BG638:$BI638)=0,"",SUM($BG638:$BI638)),"")</f>
        <v/>
      </c>
      <c r="AI638" s="131" t="n"/>
      <c r="AJ638" s="132" t="n"/>
      <c r="AK638" s="132" t="n"/>
      <c r="AL638" s="132" t="n"/>
      <c r="AM638" s="132" t="n"/>
      <c r="AN638" s="132" t="n"/>
      <c r="AO638" s="132" t="n"/>
      <c r="AP638" s="132" t="n"/>
      <c r="AQ638" s="132" t="n"/>
      <c r="AR638" s="132" t="n"/>
      <c r="AS638" s="132" t="n"/>
      <c r="AT638" s="132" t="n"/>
      <c r="AU638" s="132" t="n"/>
      <c r="AV638" s="132" t="n"/>
      <c r="AW638" s="132" t="n"/>
      <c r="AX638" s="132" t="n"/>
      <c r="AY638" s="132" t="n"/>
      <c r="AZ638" s="133" t="n"/>
      <c r="BA638" s="131" t="n"/>
      <c r="BB638" s="132" t="n"/>
      <c r="BC638" s="133" t="n"/>
      <c r="BD638" s="131" t="n"/>
      <c r="BE638" s="132" t="n"/>
      <c r="BF638" s="133" t="n"/>
      <c r="BG638" s="131" t="n"/>
      <c r="BH638" s="132" t="n"/>
      <c r="BI638" s="132" t="n"/>
      <c r="BJ638" s="128">
        <f>iferror(SUM($BK638,($BL638*1.2),($BM638*1.35),($BN638*0.74)),)</f>
        <v/>
      </c>
      <c r="BK638" s="128">
        <f>IFERROR(SUM($BT638:$CK638),)</f>
        <v/>
      </c>
      <c r="BL638" s="129">
        <f>IFERROR(SUM($CL638:$CN638),)</f>
        <v/>
      </c>
      <c r="BM638" s="130">
        <f>IFERROR(SUM($CO638:$CQ638),)</f>
        <v/>
      </c>
      <c r="BN638" s="128">
        <f>IFERROR(SUM($CR638:$CT638),)</f>
        <v/>
      </c>
      <c r="BO638" s="128">
        <f>iferror(SUM($BP638,($BQ638*1.2),($BR638*1.35),($BS638*0.74)),)</f>
        <v/>
      </c>
      <c r="BP638" s="128">
        <f>IFERROR(SUM($CU638:$DL638),)</f>
        <v/>
      </c>
      <c r="BQ638" s="128">
        <f>IFERROR(SUM($DM638:$DO638),)</f>
        <v/>
      </c>
      <c r="BR638" s="128">
        <f>IFERROR(SUM($DP638:$DR638),)</f>
        <v/>
      </c>
      <c r="BS638" s="128">
        <f>IFERROR(SUM($DS638:$DU638),)</f>
        <v/>
      </c>
      <c r="BT638" s="128">
        <f>IFERROR(AI638*$W638,)</f>
        <v/>
      </c>
      <c r="BU638" s="128">
        <f>IFERROR(AJ638*$W638,)</f>
        <v/>
      </c>
      <c r="BV638" s="128">
        <f>IFERROR(AK638*$W638,)</f>
        <v/>
      </c>
      <c r="BW638" s="128">
        <f>IFERROR(AL638*$W638,)</f>
        <v/>
      </c>
      <c r="BX638" s="128">
        <f>IFERROR(AM638*$W638,)</f>
        <v/>
      </c>
      <c r="BY638" s="128">
        <f>IFERROR(AN638*$W638,)</f>
        <v/>
      </c>
      <c r="BZ638" s="128">
        <f>IFERROR(AO638*$W638,)</f>
        <v/>
      </c>
      <c r="CA638" s="128">
        <f>IFERROR(AP638*$W638,)</f>
        <v/>
      </c>
      <c r="CB638" s="128">
        <f>IFERROR(AQ638*$W638,)</f>
        <v/>
      </c>
      <c r="CC638" s="128">
        <f>IFERROR(AR638*$W638,)</f>
        <v/>
      </c>
      <c r="CD638" s="128">
        <f>IFERROR(AS638*$W638,)</f>
        <v/>
      </c>
      <c r="CE638" s="128">
        <f>IFERROR(AT638*$W638,)</f>
        <v/>
      </c>
      <c r="CF638" s="128">
        <f>IFERROR(AU638*$W638,)</f>
        <v/>
      </c>
      <c r="CG638" s="128">
        <f>IFERROR(AV638*$W638,)</f>
        <v/>
      </c>
      <c r="CH638" s="128">
        <f>IFERROR(AW638*$W638,)</f>
        <v/>
      </c>
      <c r="CI638" s="128">
        <f>IFERROR(AX638*$W638,)</f>
        <v/>
      </c>
      <c r="CJ638" s="128">
        <f>IFERROR(AY638*$W638,)</f>
        <v/>
      </c>
      <c r="CK638" s="128">
        <f>IFERROR(AZ638*$W638,)</f>
        <v/>
      </c>
      <c r="CL638" s="129">
        <f>IFERROR(if($Y638=0,BA638*($W638/1.2),BA638*$Y638),"")</f>
        <v/>
      </c>
      <c r="CM638" s="129">
        <f>IFERROR(if($Y638=0,BB638*($W638/1.2),BB638*$Y638),"")</f>
        <v/>
      </c>
      <c r="CN638" s="129">
        <f>IFERROR(if($Y638=0,BC638*($W638/1.2),BC638*$Y638),"")</f>
        <v/>
      </c>
      <c r="CO638" s="130">
        <f>IFERROR(if($AA638=0,($W638/1.35)*BD638,BD638*$AA638),)</f>
        <v/>
      </c>
      <c r="CP638" s="130">
        <f>IFERROR(if($AA638=0,($W638/1.35)*BE638,BE638*$AA638),)</f>
        <v/>
      </c>
      <c r="CQ638" s="130">
        <f>IFERROR(if($AA638=0,($W638/1.35)*BF638,BF638*$AA638),)</f>
        <v/>
      </c>
      <c r="CR638" s="128">
        <f>IFERROR(if($AC638=0,($W638/0.74)*BG638,
BG638*$AC638),)</f>
        <v/>
      </c>
      <c r="CS638" s="128">
        <f>IFERROR(if($AC638=0,($W638/0.74)*BH638,
BH638*$AC638),)</f>
        <v/>
      </c>
      <c r="CT638" s="128">
        <f>IFERROR(if($AC638=0,($W638/0.74)*BI638,
BI638*$AC638),)</f>
        <v/>
      </c>
      <c r="CU638" s="128">
        <f>IFERROR(AI638*$V638,)</f>
        <v/>
      </c>
      <c r="CV638" s="128">
        <f>IFERROR(AJ638*$V638,)</f>
        <v/>
      </c>
      <c r="CW638" s="128">
        <f>IFERROR(AK638*$V638,)</f>
        <v/>
      </c>
      <c r="CX638" s="128">
        <f>IFERROR(AL638*$V638,)</f>
        <v/>
      </c>
      <c r="CY638" s="128">
        <f>IFERROR(AM638*$V638,)</f>
        <v/>
      </c>
      <c r="CZ638" s="128">
        <f>IFERROR(AN638*$V638,)</f>
        <v/>
      </c>
      <c r="DA638" s="128">
        <f>IFERROR(AO638*$V638,)</f>
        <v/>
      </c>
      <c r="DB638" s="128">
        <f>IFERROR(AP638*$V638,)</f>
        <v/>
      </c>
      <c r="DC638" s="128">
        <f>IFERROR(AQ638*$V638,)</f>
        <v/>
      </c>
      <c r="DD638" s="128">
        <f>IFERROR(AR638*$V638,)</f>
        <v/>
      </c>
      <c r="DE638" s="128">
        <f>IFERROR(AS638*$V638,)</f>
        <v/>
      </c>
      <c r="DF638" s="128">
        <f>IFERROR(AT638*$V638,)</f>
        <v/>
      </c>
      <c r="DG638" s="128">
        <f>IFERROR(AU638*$V638,)</f>
        <v/>
      </c>
      <c r="DH638" s="128">
        <f>IFERROR(AV638*$V638,)</f>
        <v/>
      </c>
      <c r="DI638" s="128">
        <f>IFERROR(AW638*$V638,)</f>
        <v/>
      </c>
      <c r="DJ638" s="128">
        <f>IFERROR(AX638*$V638,)</f>
        <v/>
      </c>
      <c r="DK638" s="128">
        <f>IFERROR(AY638*$V638,)</f>
        <v/>
      </c>
      <c r="DL638" s="128">
        <f>IFERROR(AZ638*$V638,)</f>
        <v/>
      </c>
      <c r="DM638" s="129">
        <f>IFERROR(if($X638=0,($V638/1.2)*BA638,
BA638*$X638),)</f>
        <v/>
      </c>
      <c r="DN638" s="129">
        <f>IFERROR(if($X638=0,($V638/1.2)*BB638,
BB638*$X638),)</f>
        <v/>
      </c>
      <c r="DO638" s="129">
        <f>IFERROR(if($X638=0,($V638/1.2)*BC638,
BC638*$X638),)</f>
        <v/>
      </c>
      <c r="DP638" s="130">
        <f>IFERROR(if($Z638=0,($V638/1.35)*BD638,
BD638*$Z638),)</f>
        <v/>
      </c>
      <c r="DQ638" s="130">
        <f>IFERROR(if($Z638=0,($V638/1.35)*BE638,
BE638*$Z638),)</f>
        <v/>
      </c>
      <c r="DR638" s="130">
        <f>IFERROR(if($Z638=0,($V638/1.35)*BF638,
BF638*$Z638),)</f>
        <v/>
      </c>
      <c r="DS638" s="128">
        <f>IFERROR(IF($AB638=0,($V638/0.74)*BG638,
BG638*$AB638),)</f>
        <v/>
      </c>
      <c r="DT638" s="128">
        <f>IFERROR(IF($AB638=0,($V638/0.74)*BH638,
BH638*$AB638),)</f>
        <v/>
      </c>
      <c r="DU638" s="128">
        <f>IFERROR(IF($AB638=0,($V638/0.74)*BI638,
BI638*$AB638),)</f>
        <v/>
      </c>
    </row>
    <row r="639" ht="131.25" customHeight="1" s="162">
      <c r="A639" s="115" t="n"/>
      <c r="B639" s="115" t="n"/>
      <c r="C639" s="115" t="n"/>
      <c r="D639" s="115" t="n"/>
      <c r="E639" s="115" t="n"/>
      <c r="F639" s="115" t="n"/>
      <c r="G639" s="115" t="n"/>
      <c r="H639" s="115" t="n"/>
      <c r="I639" s="115" t="n"/>
      <c r="J639" s="115" t="n"/>
      <c r="K639" s="115" t="n"/>
      <c r="L639" s="115" t="n"/>
      <c r="M639" s="115" t="n"/>
      <c r="N639" s="115" t="n"/>
      <c r="O639" s="115" t="n"/>
      <c r="P639" s="115" t="n"/>
      <c r="Q639" s="115" t="n"/>
      <c r="R639" s="115" t="n"/>
      <c r="S639" s="115" t="n"/>
      <c r="T639" s="115" t="n"/>
      <c r="U639" s="116" t="n"/>
      <c r="V639" s="116" t="n"/>
      <c r="W639" s="117" t="n"/>
      <c r="X639" s="118" t="n"/>
      <c r="Y639" s="119" t="n"/>
      <c r="Z639" s="120" t="n"/>
      <c r="AA639" s="121" t="n"/>
      <c r="AB639" s="122" t="n"/>
      <c r="AC639" s="117" t="n"/>
      <c r="AD639" s="123">
        <f>IF(SUM($AE639:$AH639)=0,"",SUM($AE639:$AH639))</f>
        <v/>
      </c>
      <c r="AE639" s="123">
        <f>iferror(IF(SUM($AI639:$AZ639)=0,"",SUM($AI639:$AZ639)),"")</f>
        <v/>
      </c>
      <c r="AF639" s="123">
        <f>iferror(IF(SUM($BA639:$BC639)=0,"",SUM($BA639:$BC639)),"")</f>
        <v/>
      </c>
      <c r="AG639" s="123">
        <f>iferror(IF(SUM($BD639:$BF639)=0,"",SUM($BD639:$BF639)),"")</f>
        <v/>
      </c>
      <c r="AH639" s="124">
        <f>iferror(IF(SUM($BG639:$BI639)=0,"",SUM($BG639:$BI639)),"")</f>
        <v/>
      </c>
      <c r="AI639" s="131" t="n"/>
      <c r="AJ639" s="132" t="n"/>
      <c r="AK639" s="132" t="n"/>
      <c r="AL639" s="132" t="n"/>
      <c r="AM639" s="132" t="n"/>
      <c r="AN639" s="132" t="n"/>
      <c r="AO639" s="132" t="n"/>
      <c r="AP639" s="132" t="n"/>
      <c r="AQ639" s="132" t="n"/>
      <c r="AR639" s="132" t="n"/>
      <c r="AS639" s="132" t="n"/>
      <c r="AT639" s="132" t="n"/>
      <c r="AU639" s="132" t="n"/>
      <c r="AV639" s="132" t="n"/>
      <c r="AW639" s="132" t="n"/>
      <c r="AX639" s="132" t="n"/>
      <c r="AY639" s="132" t="n"/>
      <c r="AZ639" s="133" t="n"/>
      <c r="BA639" s="131" t="n"/>
      <c r="BB639" s="132" t="n"/>
      <c r="BC639" s="133" t="n"/>
      <c r="BD639" s="131" t="n"/>
      <c r="BE639" s="132" t="n"/>
      <c r="BF639" s="133" t="n"/>
      <c r="BG639" s="131" t="n"/>
      <c r="BH639" s="132" t="n"/>
      <c r="BI639" s="132" t="n"/>
      <c r="BJ639" s="128">
        <f>iferror(SUM($BK639,($BL639*1.2),($BM639*1.35),($BN639*0.74)),)</f>
        <v/>
      </c>
      <c r="BK639" s="128">
        <f>IFERROR(SUM($BT639:$CK639),)</f>
        <v/>
      </c>
      <c r="BL639" s="129">
        <f>IFERROR(SUM($CL639:$CN639),)</f>
        <v/>
      </c>
      <c r="BM639" s="130">
        <f>IFERROR(SUM($CO639:$CQ639),)</f>
        <v/>
      </c>
      <c r="BN639" s="128">
        <f>IFERROR(SUM($CR639:$CT639),)</f>
        <v/>
      </c>
      <c r="BO639" s="128">
        <f>iferror(SUM($BP639,($BQ639*1.2),($BR639*1.35),($BS639*0.74)),)</f>
        <v/>
      </c>
      <c r="BP639" s="128">
        <f>IFERROR(SUM($CU639:$DL639),)</f>
        <v/>
      </c>
      <c r="BQ639" s="128">
        <f>IFERROR(SUM($DM639:$DO639),)</f>
        <v/>
      </c>
      <c r="BR639" s="128">
        <f>IFERROR(SUM($DP639:$DR639),)</f>
        <v/>
      </c>
      <c r="BS639" s="128">
        <f>IFERROR(SUM($DS639:$DU639),)</f>
        <v/>
      </c>
      <c r="BT639" s="128">
        <f>IFERROR(AI639*$W639,)</f>
        <v/>
      </c>
      <c r="BU639" s="128">
        <f>IFERROR(AJ639*$W639,)</f>
        <v/>
      </c>
      <c r="BV639" s="128">
        <f>IFERROR(AK639*$W639,)</f>
        <v/>
      </c>
      <c r="BW639" s="128">
        <f>IFERROR(AL639*$W639,)</f>
        <v/>
      </c>
      <c r="BX639" s="128">
        <f>IFERROR(AM639*$W639,)</f>
        <v/>
      </c>
      <c r="BY639" s="128">
        <f>IFERROR(AN639*$W639,)</f>
        <v/>
      </c>
      <c r="BZ639" s="128">
        <f>IFERROR(AO639*$W639,)</f>
        <v/>
      </c>
      <c r="CA639" s="128">
        <f>IFERROR(AP639*$W639,)</f>
        <v/>
      </c>
      <c r="CB639" s="128">
        <f>IFERROR(AQ639*$W639,)</f>
        <v/>
      </c>
      <c r="CC639" s="128">
        <f>IFERROR(AR639*$W639,)</f>
        <v/>
      </c>
      <c r="CD639" s="128">
        <f>IFERROR(AS639*$W639,)</f>
        <v/>
      </c>
      <c r="CE639" s="128">
        <f>IFERROR(AT639*$W639,)</f>
        <v/>
      </c>
      <c r="CF639" s="128">
        <f>IFERROR(AU639*$W639,)</f>
        <v/>
      </c>
      <c r="CG639" s="128">
        <f>IFERROR(AV639*$W639,)</f>
        <v/>
      </c>
      <c r="CH639" s="128">
        <f>IFERROR(AW639*$W639,)</f>
        <v/>
      </c>
      <c r="CI639" s="128">
        <f>IFERROR(AX639*$W639,)</f>
        <v/>
      </c>
      <c r="CJ639" s="128">
        <f>IFERROR(AY639*$W639,)</f>
        <v/>
      </c>
      <c r="CK639" s="128">
        <f>IFERROR(AZ639*$W639,)</f>
        <v/>
      </c>
      <c r="CL639" s="129">
        <f>IFERROR(if($Y639=0,BA639*($W639/1.2),BA639*$Y639),"")</f>
        <v/>
      </c>
      <c r="CM639" s="129">
        <f>IFERROR(if($Y639=0,BB639*($W639/1.2),BB639*$Y639),"")</f>
        <v/>
      </c>
      <c r="CN639" s="129">
        <f>IFERROR(if($Y639=0,BC639*($W639/1.2),BC639*$Y639),"")</f>
        <v/>
      </c>
      <c r="CO639" s="130">
        <f>IFERROR(if($AA639=0,($W639/1.35)*BD639,BD639*$AA639),)</f>
        <v/>
      </c>
      <c r="CP639" s="130">
        <f>IFERROR(if($AA639=0,($W639/1.35)*BE639,BE639*$AA639),)</f>
        <v/>
      </c>
      <c r="CQ639" s="130">
        <f>IFERROR(if($AA639=0,($W639/1.35)*BF639,BF639*$AA639),)</f>
        <v/>
      </c>
      <c r="CR639" s="128">
        <f>IFERROR(if($AC639=0,($W639/0.74)*BG639,
BG639*$AC639),)</f>
        <v/>
      </c>
      <c r="CS639" s="128">
        <f>IFERROR(if($AC639=0,($W639/0.74)*BH639,
BH639*$AC639),)</f>
        <v/>
      </c>
      <c r="CT639" s="128">
        <f>IFERROR(if($AC639=0,($W639/0.74)*BI639,
BI639*$AC639),)</f>
        <v/>
      </c>
      <c r="CU639" s="128">
        <f>IFERROR(AI639*$V639,)</f>
        <v/>
      </c>
      <c r="CV639" s="128">
        <f>IFERROR(AJ639*$V639,)</f>
        <v/>
      </c>
      <c r="CW639" s="128">
        <f>IFERROR(AK639*$V639,)</f>
        <v/>
      </c>
      <c r="CX639" s="128">
        <f>IFERROR(AL639*$V639,)</f>
        <v/>
      </c>
      <c r="CY639" s="128">
        <f>IFERROR(AM639*$V639,)</f>
        <v/>
      </c>
      <c r="CZ639" s="128">
        <f>IFERROR(AN639*$V639,)</f>
        <v/>
      </c>
      <c r="DA639" s="128">
        <f>IFERROR(AO639*$V639,)</f>
        <v/>
      </c>
      <c r="DB639" s="128">
        <f>IFERROR(AP639*$V639,)</f>
        <v/>
      </c>
      <c r="DC639" s="128">
        <f>IFERROR(AQ639*$V639,)</f>
        <v/>
      </c>
      <c r="DD639" s="128">
        <f>IFERROR(AR639*$V639,)</f>
        <v/>
      </c>
      <c r="DE639" s="128">
        <f>IFERROR(AS639*$V639,)</f>
        <v/>
      </c>
      <c r="DF639" s="128">
        <f>IFERROR(AT639*$V639,)</f>
        <v/>
      </c>
      <c r="DG639" s="128">
        <f>IFERROR(AU639*$V639,)</f>
        <v/>
      </c>
      <c r="DH639" s="128">
        <f>IFERROR(AV639*$V639,)</f>
        <v/>
      </c>
      <c r="DI639" s="128">
        <f>IFERROR(AW639*$V639,)</f>
        <v/>
      </c>
      <c r="DJ639" s="128">
        <f>IFERROR(AX639*$V639,)</f>
        <v/>
      </c>
      <c r="DK639" s="128">
        <f>IFERROR(AY639*$V639,)</f>
        <v/>
      </c>
      <c r="DL639" s="128">
        <f>IFERROR(AZ639*$V639,)</f>
        <v/>
      </c>
      <c r="DM639" s="129">
        <f>IFERROR(if($X639=0,($V639/1.2)*BA639,
BA639*$X639),)</f>
        <v/>
      </c>
      <c r="DN639" s="129">
        <f>IFERROR(if($X639=0,($V639/1.2)*BB639,
BB639*$X639),)</f>
        <v/>
      </c>
      <c r="DO639" s="129">
        <f>IFERROR(if($X639=0,($V639/1.2)*BC639,
BC639*$X639),)</f>
        <v/>
      </c>
      <c r="DP639" s="130">
        <f>IFERROR(if($Z639=0,($V639/1.35)*BD639,
BD639*$Z639),)</f>
        <v/>
      </c>
      <c r="DQ639" s="130">
        <f>IFERROR(if($Z639=0,($V639/1.35)*BE639,
BE639*$Z639),)</f>
        <v/>
      </c>
      <c r="DR639" s="130">
        <f>IFERROR(if($Z639=0,($V639/1.35)*BF639,
BF639*$Z639),)</f>
        <v/>
      </c>
      <c r="DS639" s="128">
        <f>IFERROR(IF($AB639=0,($V639/0.74)*BG639,
BG639*$AB639),)</f>
        <v/>
      </c>
      <c r="DT639" s="128">
        <f>IFERROR(IF($AB639=0,($V639/0.74)*BH639,
BH639*$AB639),)</f>
        <v/>
      </c>
      <c r="DU639" s="128">
        <f>IFERROR(IF($AB639=0,($V639/0.74)*BI639,
BI639*$AB639),)</f>
        <v/>
      </c>
    </row>
    <row r="640" ht="131.25" customHeight="1" s="162">
      <c r="A640" s="115" t="n"/>
      <c r="B640" s="115" t="n"/>
      <c r="C640" s="115" t="n"/>
      <c r="D640" s="115" t="n"/>
      <c r="E640" s="115" t="n"/>
      <c r="F640" s="115" t="n"/>
      <c r="G640" s="115" t="n"/>
      <c r="H640" s="115" t="n"/>
      <c r="I640" s="115" t="n"/>
      <c r="J640" s="115" t="n"/>
      <c r="K640" s="115" t="n"/>
      <c r="L640" s="115" t="n"/>
      <c r="M640" s="115" t="n"/>
      <c r="N640" s="115" t="n"/>
      <c r="O640" s="115" t="n"/>
      <c r="P640" s="115" t="n"/>
      <c r="Q640" s="115" t="n"/>
      <c r="R640" s="115" t="n"/>
      <c r="S640" s="115" t="n"/>
      <c r="T640" s="115" t="n"/>
      <c r="U640" s="116" t="n"/>
      <c r="V640" s="116" t="n"/>
      <c r="W640" s="117" t="n"/>
      <c r="X640" s="118" t="n"/>
      <c r="Y640" s="119" t="n"/>
      <c r="Z640" s="120" t="n"/>
      <c r="AA640" s="121" t="n"/>
      <c r="AB640" s="122" t="n"/>
      <c r="AC640" s="117" t="n"/>
      <c r="AD640" s="123">
        <f>IF(SUM($AE640:$AH640)=0,"",SUM($AE640:$AH640))</f>
        <v/>
      </c>
      <c r="AE640" s="123">
        <f>iferror(IF(SUM($AI640:$AZ640)=0,"",SUM($AI640:$AZ640)),"")</f>
        <v/>
      </c>
      <c r="AF640" s="123">
        <f>iferror(IF(SUM($BA640:$BC640)=0,"",SUM($BA640:$BC640)),"")</f>
        <v/>
      </c>
      <c r="AG640" s="123">
        <f>iferror(IF(SUM($BD640:$BF640)=0,"",SUM($BD640:$BF640)),"")</f>
        <v/>
      </c>
      <c r="AH640" s="124">
        <f>iferror(IF(SUM($BG640:$BI640)=0,"",SUM($BG640:$BI640)),"")</f>
        <v/>
      </c>
      <c r="AI640" s="131" t="n"/>
      <c r="AJ640" s="132" t="n"/>
      <c r="AK640" s="132" t="n"/>
      <c r="AL640" s="132" t="n"/>
      <c r="AM640" s="132" t="n"/>
      <c r="AN640" s="132" t="n"/>
      <c r="AO640" s="132" t="n"/>
      <c r="AP640" s="132" t="n"/>
      <c r="AQ640" s="132" t="n"/>
      <c r="AR640" s="132" t="n"/>
      <c r="AS640" s="132" t="n"/>
      <c r="AT640" s="132" t="n"/>
      <c r="AU640" s="132" t="n"/>
      <c r="AV640" s="132" t="n"/>
      <c r="AW640" s="132" t="n"/>
      <c r="AX640" s="132" t="n"/>
      <c r="AY640" s="132" t="n"/>
      <c r="AZ640" s="133" t="n"/>
      <c r="BA640" s="131" t="n"/>
      <c r="BB640" s="132" t="n"/>
      <c r="BC640" s="133" t="n"/>
      <c r="BD640" s="131" t="n"/>
      <c r="BE640" s="132" t="n"/>
      <c r="BF640" s="133" t="n"/>
      <c r="BG640" s="131" t="n"/>
      <c r="BH640" s="132" t="n"/>
      <c r="BI640" s="132" t="n"/>
      <c r="BJ640" s="128">
        <f>iferror(SUM($BK640,($BL640*1.2),($BM640*1.35),($BN640*0.74)),)</f>
        <v/>
      </c>
      <c r="BK640" s="128">
        <f>IFERROR(SUM($BT640:$CK640),)</f>
        <v/>
      </c>
      <c r="BL640" s="129">
        <f>IFERROR(SUM($CL640:$CN640),)</f>
        <v/>
      </c>
      <c r="BM640" s="130">
        <f>IFERROR(SUM($CO640:$CQ640),)</f>
        <v/>
      </c>
      <c r="BN640" s="128">
        <f>IFERROR(SUM($CR640:$CT640),)</f>
        <v/>
      </c>
      <c r="BO640" s="128">
        <f>iferror(SUM($BP640,($BQ640*1.2),($BR640*1.35),($BS640*0.74)),)</f>
        <v/>
      </c>
      <c r="BP640" s="128">
        <f>IFERROR(SUM($CU640:$DL640),)</f>
        <v/>
      </c>
      <c r="BQ640" s="128">
        <f>IFERROR(SUM($DM640:$DO640),)</f>
        <v/>
      </c>
      <c r="BR640" s="128">
        <f>IFERROR(SUM($DP640:$DR640),)</f>
        <v/>
      </c>
      <c r="BS640" s="128">
        <f>IFERROR(SUM($DS640:$DU640),)</f>
        <v/>
      </c>
      <c r="BT640" s="128">
        <f>IFERROR(AI640*$W640,)</f>
        <v/>
      </c>
      <c r="BU640" s="128">
        <f>IFERROR(AJ640*$W640,)</f>
        <v/>
      </c>
      <c r="BV640" s="128">
        <f>IFERROR(AK640*$W640,)</f>
        <v/>
      </c>
      <c r="BW640" s="128">
        <f>IFERROR(AL640*$W640,)</f>
        <v/>
      </c>
      <c r="BX640" s="128">
        <f>IFERROR(AM640*$W640,)</f>
        <v/>
      </c>
      <c r="BY640" s="128">
        <f>IFERROR(AN640*$W640,)</f>
        <v/>
      </c>
      <c r="BZ640" s="128">
        <f>IFERROR(AO640*$W640,)</f>
        <v/>
      </c>
      <c r="CA640" s="128">
        <f>IFERROR(AP640*$W640,)</f>
        <v/>
      </c>
      <c r="CB640" s="128">
        <f>IFERROR(AQ640*$W640,)</f>
        <v/>
      </c>
      <c r="CC640" s="128">
        <f>IFERROR(AR640*$W640,)</f>
        <v/>
      </c>
      <c r="CD640" s="128">
        <f>IFERROR(AS640*$W640,)</f>
        <v/>
      </c>
      <c r="CE640" s="128">
        <f>IFERROR(AT640*$W640,)</f>
        <v/>
      </c>
      <c r="CF640" s="128">
        <f>IFERROR(AU640*$W640,)</f>
        <v/>
      </c>
      <c r="CG640" s="128">
        <f>IFERROR(AV640*$W640,)</f>
        <v/>
      </c>
      <c r="CH640" s="128">
        <f>IFERROR(AW640*$W640,)</f>
        <v/>
      </c>
      <c r="CI640" s="128">
        <f>IFERROR(AX640*$W640,)</f>
        <v/>
      </c>
      <c r="CJ640" s="128">
        <f>IFERROR(AY640*$W640,)</f>
        <v/>
      </c>
      <c r="CK640" s="128">
        <f>IFERROR(AZ640*$W640,)</f>
        <v/>
      </c>
      <c r="CL640" s="129">
        <f>IFERROR(if($Y640=0,BA640*($W640/1.2),BA640*$Y640),"")</f>
        <v/>
      </c>
      <c r="CM640" s="129">
        <f>IFERROR(if($Y640=0,BB640*($W640/1.2),BB640*$Y640),"")</f>
        <v/>
      </c>
      <c r="CN640" s="129">
        <f>IFERROR(if($Y640=0,BC640*($W640/1.2),BC640*$Y640),"")</f>
        <v/>
      </c>
      <c r="CO640" s="130">
        <f>IFERROR(if($AA640=0,($W640/1.35)*BD640,BD640*$AA640),)</f>
        <v/>
      </c>
      <c r="CP640" s="130">
        <f>IFERROR(if($AA640=0,($W640/1.35)*BE640,BE640*$AA640),)</f>
        <v/>
      </c>
      <c r="CQ640" s="130">
        <f>IFERROR(if($AA640=0,($W640/1.35)*BF640,BF640*$AA640),)</f>
        <v/>
      </c>
      <c r="CR640" s="128">
        <f>IFERROR(if($AC640=0,($W640/0.74)*BG640,
BG640*$AC640),)</f>
        <v/>
      </c>
      <c r="CS640" s="128">
        <f>IFERROR(if($AC640=0,($W640/0.74)*BH640,
BH640*$AC640),)</f>
        <v/>
      </c>
      <c r="CT640" s="128">
        <f>IFERROR(if($AC640=0,($W640/0.74)*BI640,
BI640*$AC640),)</f>
        <v/>
      </c>
      <c r="CU640" s="128">
        <f>IFERROR(AI640*$V640,)</f>
        <v/>
      </c>
      <c r="CV640" s="128">
        <f>IFERROR(AJ640*$V640,)</f>
        <v/>
      </c>
      <c r="CW640" s="128">
        <f>IFERROR(AK640*$V640,)</f>
        <v/>
      </c>
      <c r="CX640" s="128">
        <f>IFERROR(AL640*$V640,)</f>
        <v/>
      </c>
      <c r="CY640" s="128">
        <f>IFERROR(AM640*$V640,)</f>
        <v/>
      </c>
      <c r="CZ640" s="128">
        <f>IFERROR(AN640*$V640,)</f>
        <v/>
      </c>
      <c r="DA640" s="128">
        <f>IFERROR(AO640*$V640,)</f>
        <v/>
      </c>
      <c r="DB640" s="128">
        <f>IFERROR(AP640*$V640,)</f>
        <v/>
      </c>
      <c r="DC640" s="128">
        <f>IFERROR(AQ640*$V640,)</f>
        <v/>
      </c>
      <c r="DD640" s="128">
        <f>IFERROR(AR640*$V640,)</f>
        <v/>
      </c>
      <c r="DE640" s="128">
        <f>IFERROR(AS640*$V640,)</f>
        <v/>
      </c>
      <c r="DF640" s="128">
        <f>IFERROR(AT640*$V640,)</f>
        <v/>
      </c>
      <c r="DG640" s="128">
        <f>IFERROR(AU640*$V640,)</f>
        <v/>
      </c>
      <c r="DH640" s="128">
        <f>IFERROR(AV640*$V640,)</f>
        <v/>
      </c>
      <c r="DI640" s="128">
        <f>IFERROR(AW640*$V640,)</f>
        <v/>
      </c>
      <c r="DJ640" s="128">
        <f>IFERROR(AX640*$V640,)</f>
        <v/>
      </c>
      <c r="DK640" s="128">
        <f>IFERROR(AY640*$V640,)</f>
        <v/>
      </c>
      <c r="DL640" s="128">
        <f>IFERROR(AZ640*$V640,)</f>
        <v/>
      </c>
      <c r="DM640" s="129">
        <f>IFERROR(if($X640=0,($V640/1.2)*BA640,
BA640*$X640),)</f>
        <v/>
      </c>
      <c r="DN640" s="129">
        <f>IFERROR(if($X640=0,($V640/1.2)*BB640,
BB640*$X640),)</f>
        <v/>
      </c>
      <c r="DO640" s="129">
        <f>IFERROR(if($X640=0,($V640/1.2)*BC640,
BC640*$X640),)</f>
        <v/>
      </c>
      <c r="DP640" s="130">
        <f>IFERROR(if($Z640=0,($V640/1.35)*BD640,
BD640*$Z640),)</f>
        <v/>
      </c>
      <c r="DQ640" s="130">
        <f>IFERROR(if($Z640=0,($V640/1.35)*BE640,
BE640*$Z640),)</f>
        <v/>
      </c>
      <c r="DR640" s="130">
        <f>IFERROR(if($Z640=0,($V640/1.35)*BF640,
BF640*$Z640),)</f>
        <v/>
      </c>
      <c r="DS640" s="128">
        <f>IFERROR(IF($AB640=0,($V640/0.74)*BG640,
BG640*$AB640),)</f>
        <v/>
      </c>
      <c r="DT640" s="128">
        <f>IFERROR(IF($AB640=0,($V640/0.74)*BH640,
BH640*$AB640),)</f>
        <v/>
      </c>
      <c r="DU640" s="128">
        <f>IFERROR(IF($AB640=0,($V640/0.74)*BI640,
BI640*$AB640),)</f>
        <v/>
      </c>
    </row>
    <row r="641" ht="131.25" customHeight="1" s="162">
      <c r="A641" s="115" t="n"/>
      <c r="B641" s="115" t="n"/>
      <c r="C641" s="115" t="n"/>
      <c r="D641" s="115" t="n"/>
      <c r="E641" s="115" t="n"/>
      <c r="F641" s="115" t="n"/>
      <c r="G641" s="115" t="n"/>
      <c r="H641" s="115" t="n"/>
      <c r="I641" s="115" t="n"/>
      <c r="J641" s="115" t="n"/>
      <c r="K641" s="115" t="n"/>
      <c r="L641" s="115" t="n"/>
      <c r="M641" s="115" t="n"/>
      <c r="N641" s="115" t="n"/>
      <c r="O641" s="115" t="n"/>
      <c r="P641" s="115" t="n"/>
      <c r="Q641" s="115" t="n"/>
      <c r="R641" s="115" t="n"/>
      <c r="S641" s="115" t="n"/>
      <c r="T641" s="115" t="n"/>
      <c r="U641" s="116" t="n"/>
      <c r="V641" s="116" t="n"/>
      <c r="W641" s="117" t="n"/>
      <c r="X641" s="118" t="n"/>
      <c r="Y641" s="119" t="n"/>
      <c r="Z641" s="120" t="n"/>
      <c r="AA641" s="121" t="n"/>
      <c r="AB641" s="122" t="n"/>
      <c r="AC641" s="117" t="n"/>
      <c r="AD641" s="123">
        <f>IF(SUM($AE641:$AH641)=0,"",SUM($AE641:$AH641))</f>
        <v/>
      </c>
      <c r="AE641" s="123">
        <f>iferror(IF(SUM($AI641:$AZ641)=0,"",SUM($AI641:$AZ641)),"")</f>
        <v/>
      </c>
      <c r="AF641" s="123">
        <f>iferror(IF(SUM($BA641:$BC641)=0,"",SUM($BA641:$BC641)),"")</f>
        <v/>
      </c>
      <c r="AG641" s="123">
        <f>iferror(IF(SUM($BD641:$BF641)=0,"",SUM($BD641:$BF641)),"")</f>
        <v/>
      </c>
      <c r="AH641" s="124">
        <f>iferror(IF(SUM($BG641:$BI641)=0,"",SUM($BG641:$BI641)),"")</f>
        <v/>
      </c>
      <c r="AI641" s="131" t="n"/>
      <c r="AJ641" s="132" t="n"/>
      <c r="AK641" s="132" t="n"/>
      <c r="AL641" s="132" t="n"/>
      <c r="AM641" s="132" t="n"/>
      <c r="AN641" s="132" t="n"/>
      <c r="AO641" s="132" t="n"/>
      <c r="AP641" s="132" t="n"/>
      <c r="AQ641" s="132" t="n"/>
      <c r="AR641" s="132" t="n"/>
      <c r="AS641" s="132" t="n"/>
      <c r="AT641" s="132" t="n"/>
      <c r="AU641" s="132" t="n"/>
      <c r="AV641" s="132" t="n"/>
      <c r="AW641" s="132" t="n"/>
      <c r="AX641" s="132" t="n"/>
      <c r="AY641" s="132" t="n"/>
      <c r="AZ641" s="133" t="n"/>
      <c r="BA641" s="131" t="n"/>
      <c r="BB641" s="132" t="n"/>
      <c r="BC641" s="133" t="n"/>
      <c r="BD641" s="131" t="n"/>
      <c r="BE641" s="132" t="n"/>
      <c r="BF641" s="133" t="n"/>
      <c r="BG641" s="131" t="n"/>
      <c r="BH641" s="132" t="n"/>
      <c r="BI641" s="132" t="n"/>
      <c r="BJ641" s="128">
        <f>iferror(SUM($BK641,($BL641*1.2),($BM641*1.35),($BN641*0.74)),)</f>
        <v/>
      </c>
      <c r="BK641" s="128">
        <f>IFERROR(SUM($BT641:$CK641),)</f>
        <v/>
      </c>
      <c r="BL641" s="129">
        <f>IFERROR(SUM($CL641:$CN641),)</f>
        <v/>
      </c>
      <c r="BM641" s="130">
        <f>IFERROR(SUM($CO641:$CQ641),)</f>
        <v/>
      </c>
      <c r="BN641" s="128">
        <f>IFERROR(SUM($CR641:$CT641),)</f>
        <v/>
      </c>
      <c r="BO641" s="128">
        <f>iferror(SUM($BP641,($BQ641*1.2),($BR641*1.35),($BS641*0.74)),)</f>
        <v/>
      </c>
      <c r="BP641" s="128">
        <f>IFERROR(SUM($CU641:$DL641),)</f>
        <v/>
      </c>
      <c r="BQ641" s="128">
        <f>IFERROR(SUM($DM641:$DO641),)</f>
        <v/>
      </c>
      <c r="BR641" s="128">
        <f>IFERROR(SUM($DP641:$DR641),)</f>
        <v/>
      </c>
      <c r="BS641" s="128">
        <f>IFERROR(SUM($DS641:$DU641),)</f>
        <v/>
      </c>
      <c r="BT641" s="128">
        <f>IFERROR(AI641*$W641,)</f>
        <v/>
      </c>
      <c r="BU641" s="128">
        <f>IFERROR(AJ641*$W641,)</f>
        <v/>
      </c>
      <c r="BV641" s="128">
        <f>IFERROR(AK641*$W641,)</f>
        <v/>
      </c>
      <c r="BW641" s="128">
        <f>IFERROR(AL641*$W641,)</f>
        <v/>
      </c>
      <c r="BX641" s="128">
        <f>IFERROR(AM641*$W641,)</f>
        <v/>
      </c>
      <c r="BY641" s="128">
        <f>IFERROR(AN641*$W641,)</f>
        <v/>
      </c>
      <c r="BZ641" s="128">
        <f>IFERROR(AO641*$W641,)</f>
        <v/>
      </c>
      <c r="CA641" s="128">
        <f>IFERROR(AP641*$W641,)</f>
        <v/>
      </c>
      <c r="CB641" s="128">
        <f>IFERROR(AQ641*$W641,)</f>
        <v/>
      </c>
      <c r="CC641" s="128">
        <f>IFERROR(AR641*$W641,)</f>
        <v/>
      </c>
      <c r="CD641" s="128">
        <f>IFERROR(AS641*$W641,)</f>
        <v/>
      </c>
      <c r="CE641" s="128">
        <f>IFERROR(AT641*$W641,)</f>
        <v/>
      </c>
      <c r="CF641" s="128">
        <f>IFERROR(AU641*$W641,)</f>
        <v/>
      </c>
      <c r="CG641" s="128">
        <f>IFERROR(AV641*$W641,)</f>
        <v/>
      </c>
      <c r="CH641" s="128">
        <f>IFERROR(AW641*$W641,)</f>
        <v/>
      </c>
      <c r="CI641" s="128">
        <f>IFERROR(AX641*$W641,)</f>
        <v/>
      </c>
      <c r="CJ641" s="128">
        <f>IFERROR(AY641*$W641,)</f>
        <v/>
      </c>
      <c r="CK641" s="128">
        <f>IFERROR(AZ641*$W641,)</f>
        <v/>
      </c>
      <c r="CL641" s="129">
        <f>IFERROR(if($Y641=0,BA641*($W641/1.2),BA641*$Y641),"")</f>
        <v/>
      </c>
      <c r="CM641" s="129">
        <f>IFERROR(if($Y641=0,BB641*($W641/1.2),BB641*$Y641),"")</f>
        <v/>
      </c>
      <c r="CN641" s="129">
        <f>IFERROR(if($Y641=0,BC641*($W641/1.2),BC641*$Y641),"")</f>
        <v/>
      </c>
      <c r="CO641" s="130">
        <f>IFERROR(if($AA641=0,($W641/1.35)*BD641,BD641*$AA641),)</f>
        <v/>
      </c>
      <c r="CP641" s="130">
        <f>IFERROR(if($AA641=0,($W641/1.35)*BE641,BE641*$AA641),)</f>
        <v/>
      </c>
      <c r="CQ641" s="130">
        <f>IFERROR(if($AA641=0,($W641/1.35)*BF641,BF641*$AA641),)</f>
        <v/>
      </c>
      <c r="CR641" s="128">
        <f>IFERROR(if($AC641=0,($W641/0.74)*BG641,
BG641*$AC641),)</f>
        <v/>
      </c>
      <c r="CS641" s="128">
        <f>IFERROR(if($AC641=0,($W641/0.74)*BH641,
BH641*$AC641),)</f>
        <v/>
      </c>
      <c r="CT641" s="128">
        <f>IFERROR(if($AC641=0,($W641/0.74)*BI641,
BI641*$AC641),)</f>
        <v/>
      </c>
      <c r="CU641" s="128">
        <f>IFERROR(AI641*$V641,)</f>
        <v/>
      </c>
      <c r="CV641" s="128">
        <f>IFERROR(AJ641*$V641,)</f>
        <v/>
      </c>
      <c r="CW641" s="128">
        <f>IFERROR(AK641*$V641,)</f>
        <v/>
      </c>
      <c r="CX641" s="128">
        <f>IFERROR(AL641*$V641,)</f>
        <v/>
      </c>
      <c r="CY641" s="128">
        <f>IFERROR(AM641*$V641,)</f>
        <v/>
      </c>
      <c r="CZ641" s="128">
        <f>IFERROR(AN641*$V641,)</f>
        <v/>
      </c>
      <c r="DA641" s="128">
        <f>IFERROR(AO641*$V641,)</f>
        <v/>
      </c>
      <c r="DB641" s="128">
        <f>IFERROR(AP641*$V641,)</f>
        <v/>
      </c>
      <c r="DC641" s="128">
        <f>IFERROR(AQ641*$V641,)</f>
        <v/>
      </c>
      <c r="DD641" s="128">
        <f>IFERROR(AR641*$V641,)</f>
        <v/>
      </c>
      <c r="DE641" s="128">
        <f>IFERROR(AS641*$V641,)</f>
        <v/>
      </c>
      <c r="DF641" s="128">
        <f>IFERROR(AT641*$V641,)</f>
        <v/>
      </c>
      <c r="DG641" s="128">
        <f>IFERROR(AU641*$V641,)</f>
        <v/>
      </c>
      <c r="DH641" s="128">
        <f>IFERROR(AV641*$V641,)</f>
        <v/>
      </c>
      <c r="DI641" s="128">
        <f>IFERROR(AW641*$V641,)</f>
        <v/>
      </c>
      <c r="DJ641" s="128">
        <f>IFERROR(AX641*$V641,)</f>
        <v/>
      </c>
      <c r="DK641" s="128">
        <f>IFERROR(AY641*$V641,)</f>
        <v/>
      </c>
      <c r="DL641" s="128">
        <f>IFERROR(AZ641*$V641,)</f>
        <v/>
      </c>
      <c r="DM641" s="129">
        <f>IFERROR(if($X641=0,($V641/1.2)*BA641,
BA641*$X641),)</f>
        <v/>
      </c>
      <c r="DN641" s="129">
        <f>IFERROR(if($X641=0,($V641/1.2)*BB641,
BB641*$X641),)</f>
        <v/>
      </c>
      <c r="DO641" s="129">
        <f>IFERROR(if($X641=0,($V641/1.2)*BC641,
BC641*$X641),)</f>
        <v/>
      </c>
      <c r="DP641" s="130">
        <f>IFERROR(if($Z641=0,($V641/1.35)*BD641,
BD641*$Z641),)</f>
        <v/>
      </c>
      <c r="DQ641" s="130">
        <f>IFERROR(if($Z641=0,($V641/1.35)*BE641,
BE641*$Z641),)</f>
        <v/>
      </c>
      <c r="DR641" s="130">
        <f>IFERROR(if($Z641=0,($V641/1.35)*BF641,
BF641*$Z641),)</f>
        <v/>
      </c>
      <c r="DS641" s="128">
        <f>IFERROR(IF($AB641=0,($V641/0.74)*BG641,
BG641*$AB641),)</f>
        <v/>
      </c>
      <c r="DT641" s="128">
        <f>IFERROR(IF($AB641=0,($V641/0.74)*BH641,
BH641*$AB641),)</f>
        <v/>
      </c>
      <c r="DU641" s="128">
        <f>IFERROR(IF($AB641=0,($V641/0.74)*BI641,
BI641*$AB641),)</f>
        <v/>
      </c>
    </row>
    <row r="642" ht="131.25" customHeight="1" s="162">
      <c r="A642" s="115" t="n"/>
      <c r="B642" s="115" t="n"/>
      <c r="C642" s="115" t="n"/>
      <c r="D642" s="115" t="n"/>
      <c r="E642" s="115" t="n"/>
      <c r="F642" s="115" t="n"/>
      <c r="G642" s="115" t="n"/>
      <c r="H642" s="115" t="n"/>
      <c r="I642" s="115" t="n"/>
      <c r="J642" s="115" t="n"/>
      <c r="K642" s="115" t="n"/>
      <c r="L642" s="115" t="n"/>
      <c r="M642" s="115" t="n"/>
      <c r="N642" s="115" t="n"/>
      <c r="O642" s="115" t="n"/>
      <c r="P642" s="115" t="n"/>
      <c r="Q642" s="115" t="n"/>
      <c r="R642" s="115" t="n"/>
      <c r="S642" s="115" t="n"/>
      <c r="T642" s="115" t="n"/>
      <c r="U642" s="116" t="n"/>
      <c r="V642" s="116" t="n"/>
      <c r="W642" s="117" t="n"/>
      <c r="X642" s="118" t="n"/>
      <c r="Y642" s="119" t="n"/>
      <c r="Z642" s="120" t="n"/>
      <c r="AA642" s="121" t="n"/>
      <c r="AB642" s="122" t="n"/>
      <c r="AC642" s="117" t="n"/>
      <c r="AD642" s="123">
        <f>IF(SUM($AE642:$AH642)=0,"",SUM($AE642:$AH642))</f>
        <v/>
      </c>
      <c r="AE642" s="123">
        <f>iferror(IF(SUM($AI642:$AZ642)=0,"",SUM($AI642:$AZ642)),"")</f>
        <v/>
      </c>
      <c r="AF642" s="123">
        <f>iferror(IF(SUM($BA642:$BC642)=0,"",SUM($BA642:$BC642)),"")</f>
        <v/>
      </c>
      <c r="AG642" s="123">
        <f>iferror(IF(SUM($BD642:$BF642)=0,"",SUM($BD642:$BF642)),"")</f>
        <v/>
      </c>
      <c r="AH642" s="124">
        <f>iferror(IF(SUM($BG642:$BI642)=0,"",SUM($BG642:$BI642)),"")</f>
        <v/>
      </c>
      <c r="AI642" s="131" t="n"/>
      <c r="AJ642" s="132" t="n"/>
      <c r="AK642" s="132" t="n"/>
      <c r="AL642" s="132" t="n"/>
      <c r="AM642" s="132" t="n"/>
      <c r="AN642" s="132" t="n"/>
      <c r="AO642" s="132" t="n"/>
      <c r="AP642" s="132" t="n"/>
      <c r="AQ642" s="132" t="n"/>
      <c r="AR642" s="132" t="n"/>
      <c r="AS642" s="132" t="n"/>
      <c r="AT642" s="132" t="n"/>
      <c r="AU642" s="132" t="n"/>
      <c r="AV642" s="132" t="n"/>
      <c r="AW642" s="132" t="n"/>
      <c r="AX642" s="132" t="n"/>
      <c r="AY642" s="132" t="n"/>
      <c r="AZ642" s="133" t="n"/>
      <c r="BA642" s="131" t="n"/>
      <c r="BB642" s="132" t="n"/>
      <c r="BC642" s="133" t="n"/>
      <c r="BD642" s="131" t="n"/>
      <c r="BE642" s="132" t="n"/>
      <c r="BF642" s="133" t="n"/>
      <c r="BG642" s="131" t="n"/>
      <c r="BH642" s="132" t="n"/>
      <c r="BI642" s="132" t="n"/>
      <c r="BJ642" s="128">
        <f>iferror(SUM($BK642,($BL642*1.2),($BM642*1.35),($BN642*0.74)),)</f>
        <v/>
      </c>
      <c r="BK642" s="128">
        <f>IFERROR(SUM($BT642:$CK642),)</f>
        <v/>
      </c>
      <c r="BL642" s="129">
        <f>IFERROR(SUM($CL642:$CN642),)</f>
        <v/>
      </c>
      <c r="BM642" s="130">
        <f>IFERROR(SUM($CO642:$CQ642),)</f>
        <v/>
      </c>
      <c r="BN642" s="128">
        <f>IFERROR(SUM($CR642:$CT642),)</f>
        <v/>
      </c>
      <c r="BO642" s="128">
        <f>iferror(SUM($BP642,($BQ642*1.2),($BR642*1.35),($BS642*0.74)),)</f>
        <v/>
      </c>
      <c r="BP642" s="128">
        <f>IFERROR(SUM($CU642:$DL642),)</f>
        <v/>
      </c>
      <c r="BQ642" s="128">
        <f>IFERROR(SUM($DM642:$DO642),)</f>
        <v/>
      </c>
      <c r="BR642" s="128">
        <f>IFERROR(SUM($DP642:$DR642),)</f>
        <v/>
      </c>
      <c r="BS642" s="128">
        <f>IFERROR(SUM($DS642:$DU642),)</f>
        <v/>
      </c>
      <c r="BT642" s="128">
        <f>IFERROR(AI642*$W642,)</f>
        <v/>
      </c>
      <c r="BU642" s="128">
        <f>IFERROR(AJ642*$W642,)</f>
        <v/>
      </c>
      <c r="BV642" s="128">
        <f>IFERROR(AK642*$W642,)</f>
        <v/>
      </c>
      <c r="BW642" s="128">
        <f>IFERROR(AL642*$W642,)</f>
        <v/>
      </c>
      <c r="BX642" s="128">
        <f>IFERROR(AM642*$W642,)</f>
        <v/>
      </c>
      <c r="BY642" s="128">
        <f>IFERROR(AN642*$W642,)</f>
        <v/>
      </c>
      <c r="BZ642" s="128">
        <f>IFERROR(AO642*$W642,)</f>
        <v/>
      </c>
      <c r="CA642" s="128">
        <f>IFERROR(AP642*$W642,)</f>
        <v/>
      </c>
      <c r="CB642" s="128">
        <f>IFERROR(AQ642*$W642,)</f>
        <v/>
      </c>
      <c r="CC642" s="128">
        <f>IFERROR(AR642*$W642,)</f>
        <v/>
      </c>
      <c r="CD642" s="128">
        <f>IFERROR(AS642*$W642,)</f>
        <v/>
      </c>
      <c r="CE642" s="128">
        <f>IFERROR(AT642*$W642,)</f>
        <v/>
      </c>
      <c r="CF642" s="128">
        <f>IFERROR(AU642*$W642,)</f>
        <v/>
      </c>
      <c r="CG642" s="128">
        <f>IFERROR(AV642*$W642,)</f>
        <v/>
      </c>
      <c r="CH642" s="128">
        <f>IFERROR(AW642*$W642,)</f>
        <v/>
      </c>
      <c r="CI642" s="128">
        <f>IFERROR(AX642*$W642,)</f>
        <v/>
      </c>
      <c r="CJ642" s="128">
        <f>IFERROR(AY642*$W642,)</f>
        <v/>
      </c>
      <c r="CK642" s="128">
        <f>IFERROR(AZ642*$W642,)</f>
        <v/>
      </c>
      <c r="CL642" s="129">
        <f>IFERROR(if($Y642=0,BA642*($W642/1.2),BA642*$Y642),"")</f>
        <v/>
      </c>
      <c r="CM642" s="129">
        <f>IFERROR(if($Y642=0,BB642*($W642/1.2),BB642*$Y642),"")</f>
        <v/>
      </c>
      <c r="CN642" s="129">
        <f>IFERROR(if($Y642=0,BC642*($W642/1.2),BC642*$Y642),"")</f>
        <v/>
      </c>
      <c r="CO642" s="130">
        <f>IFERROR(if($AA642=0,($W642/1.35)*BD642,BD642*$AA642),)</f>
        <v/>
      </c>
      <c r="CP642" s="130">
        <f>IFERROR(if($AA642=0,($W642/1.35)*BE642,BE642*$AA642),)</f>
        <v/>
      </c>
      <c r="CQ642" s="130">
        <f>IFERROR(if($AA642=0,($W642/1.35)*BF642,BF642*$AA642),)</f>
        <v/>
      </c>
      <c r="CR642" s="128">
        <f>IFERROR(if($AC642=0,($W642/0.74)*BG642,
BG642*$AC642),)</f>
        <v/>
      </c>
      <c r="CS642" s="128">
        <f>IFERROR(if($AC642=0,($W642/0.74)*BH642,
BH642*$AC642),)</f>
        <v/>
      </c>
      <c r="CT642" s="128">
        <f>IFERROR(if($AC642=0,($W642/0.74)*BI642,
BI642*$AC642),)</f>
        <v/>
      </c>
      <c r="CU642" s="128">
        <f>IFERROR(AI642*$V642,)</f>
        <v/>
      </c>
      <c r="CV642" s="128">
        <f>IFERROR(AJ642*$V642,)</f>
        <v/>
      </c>
      <c r="CW642" s="128">
        <f>IFERROR(AK642*$V642,)</f>
        <v/>
      </c>
      <c r="CX642" s="128">
        <f>IFERROR(AL642*$V642,)</f>
        <v/>
      </c>
      <c r="CY642" s="128">
        <f>IFERROR(AM642*$V642,)</f>
        <v/>
      </c>
      <c r="CZ642" s="128">
        <f>IFERROR(AN642*$V642,)</f>
        <v/>
      </c>
      <c r="DA642" s="128">
        <f>IFERROR(AO642*$V642,)</f>
        <v/>
      </c>
      <c r="DB642" s="128">
        <f>IFERROR(AP642*$V642,)</f>
        <v/>
      </c>
      <c r="DC642" s="128">
        <f>IFERROR(AQ642*$V642,)</f>
        <v/>
      </c>
      <c r="DD642" s="128">
        <f>IFERROR(AR642*$V642,)</f>
        <v/>
      </c>
      <c r="DE642" s="128">
        <f>IFERROR(AS642*$V642,)</f>
        <v/>
      </c>
      <c r="DF642" s="128">
        <f>IFERROR(AT642*$V642,)</f>
        <v/>
      </c>
      <c r="DG642" s="128">
        <f>IFERROR(AU642*$V642,)</f>
        <v/>
      </c>
      <c r="DH642" s="128">
        <f>IFERROR(AV642*$V642,)</f>
        <v/>
      </c>
      <c r="DI642" s="128">
        <f>IFERROR(AW642*$V642,)</f>
        <v/>
      </c>
      <c r="DJ642" s="128">
        <f>IFERROR(AX642*$V642,)</f>
        <v/>
      </c>
      <c r="DK642" s="128">
        <f>IFERROR(AY642*$V642,)</f>
        <v/>
      </c>
      <c r="DL642" s="128">
        <f>IFERROR(AZ642*$V642,)</f>
        <v/>
      </c>
      <c r="DM642" s="129">
        <f>IFERROR(if($X642=0,($V642/1.2)*BA642,
BA642*$X642),)</f>
        <v/>
      </c>
      <c r="DN642" s="129">
        <f>IFERROR(if($X642=0,($V642/1.2)*BB642,
BB642*$X642),)</f>
        <v/>
      </c>
      <c r="DO642" s="129">
        <f>IFERROR(if($X642=0,($V642/1.2)*BC642,
BC642*$X642),)</f>
        <v/>
      </c>
      <c r="DP642" s="130">
        <f>IFERROR(if($Z642=0,($V642/1.35)*BD642,
BD642*$Z642),)</f>
        <v/>
      </c>
      <c r="DQ642" s="130">
        <f>IFERROR(if($Z642=0,($V642/1.35)*BE642,
BE642*$Z642),)</f>
        <v/>
      </c>
      <c r="DR642" s="130">
        <f>IFERROR(if($Z642=0,($V642/1.35)*BF642,
BF642*$Z642),)</f>
        <v/>
      </c>
      <c r="DS642" s="128">
        <f>IFERROR(IF($AB642=0,($V642/0.74)*BG642,
BG642*$AB642),)</f>
        <v/>
      </c>
      <c r="DT642" s="128">
        <f>IFERROR(IF($AB642=0,($V642/0.74)*BH642,
BH642*$AB642),)</f>
        <v/>
      </c>
      <c r="DU642" s="128">
        <f>IFERROR(IF($AB642=0,($V642/0.74)*BI642,
BI642*$AB642),)</f>
        <v/>
      </c>
    </row>
    <row r="643" ht="131.25" customHeight="1" s="162">
      <c r="A643" s="115" t="n"/>
      <c r="B643" s="115" t="n"/>
      <c r="C643" s="115" t="n"/>
      <c r="D643" s="115" t="n"/>
      <c r="E643" s="115" t="n"/>
      <c r="F643" s="115" t="n"/>
      <c r="G643" s="115" t="n"/>
      <c r="H643" s="115" t="n"/>
      <c r="I643" s="115" t="n"/>
      <c r="J643" s="115" t="n"/>
      <c r="K643" s="115" t="n"/>
      <c r="L643" s="115" t="n"/>
      <c r="M643" s="115" t="n"/>
      <c r="N643" s="115" t="n"/>
      <c r="O643" s="115" t="n"/>
      <c r="P643" s="115" t="n"/>
      <c r="Q643" s="115" t="n"/>
      <c r="R643" s="115" t="n"/>
      <c r="S643" s="115" t="n"/>
      <c r="T643" s="115" t="n"/>
      <c r="U643" s="116" t="n"/>
      <c r="V643" s="116" t="n"/>
      <c r="W643" s="117" t="n"/>
      <c r="X643" s="118" t="n"/>
      <c r="Y643" s="119" t="n"/>
      <c r="Z643" s="120" t="n"/>
      <c r="AA643" s="121" t="n"/>
      <c r="AB643" s="122" t="n"/>
      <c r="AC643" s="117" t="n"/>
      <c r="AD643" s="123">
        <f>IF(SUM($AE643:$AH643)=0,"",SUM($AE643:$AH643))</f>
        <v/>
      </c>
      <c r="AE643" s="123">
        <f>iferror(IF(SUM($AI643:$AZ643)=0,"",SUM($AI643:$AZ643)),"")</f>
        <v/>
      </c>
      <c r="AF643" s="123">
        <f>iferror(IF(SUM($BA643:$BC643)=0,"",SUM($BA643:$BC643)),"")</f>
        <v/>
      </c>
      <c r="AG643" s="123">
        <f>iferror(IF(SUM($BD643:$BF643)=0,"",SUM($BD643:$BF643)),"")</f>
        <v/>
      </c>
      <c r="AH643" s="124">
        <f>iferror(IF(SUM($BG643:$BI643)=0,"",SUM($BG643:$BI643)),"")</f>
        <v/>
      </c>
      <c r="AI643" s="131" t="n"/>
      <c r="AJ643" s="132" t="n"/>
      <c r="AK643" s="132" t="n"/>
      <c r="AL643" s="132" t="n"/>
      <c r="AM643" s="132" t="n"/>
      <c r="AN643" s="132" t="n"/>
      <c r="AO643" s="132" t="n"/>
      <c r="AP643" s="132" t="n"/>
      <c r="AQ643" s="132" t="n"/>
      <c r="AR643" s="132" t="n"/>
      <c r="AS643" s="132" t="n"/>
      <c r="AT643" s="132" t="n"/>
      <c r="AU643" s="132" t="n"/>
      <c r="AV643" s="132" t="n"/>
      <c r="AW643" s="132" t="n"/>
      <c r="AX643" s="132" t="n"/>
      <c r="AY643" s="132" t="n"/>
      <c r="AZ643" s="133" t="n"/>
      <c r="BA643" s="131" t="n"/>
      <c r="BB643" s="132" t="n"/>
      <c r="BC643" s="133" t="n"/>
      <c r="BD643" s="131" t="n"/>
      <c r="BE643" s="132" t="n"/>
      <c r="BF643" s="133" t="n"/>
      <c r="BG643" s="131" t="n"/>
      <c r="BH643" s="132" t="n"/>
      <c r="BI643" s="132" t="n"/>
      <c r="BJ643" s="128">
        <f>iferror(SUM($BK643,($BL643*1.2),($BM643*1.35),($BN643*0.74)),)</f>
        <v/>
      </c>
      <c r="BK643" s="128">
        <f>IFERROR(SUM($BT643:$CK643),)</f>
        <v/>
      </c>
      <c r="BL643" s="129">
        <f>IFERROR(SUM($CL643:$CN643),)</f>
        <v/>
      </c>
      <c r="BM643" s="130">
        <f>IFERROR(SUM($CO643:$CQ643),)</f>
        <v/>
      </c>
      <c r="BN643" s="128">
        <f>IFERROR(SUM($CR643:$CT643),)</f>
        <v/>
      </c>
      <c r="BO643" s="128">
        <f>iferror(SUM($BP643,($BQ643*1.2),($BR643*1.35),($BS643*0.74)),)</f>
        <v/>
      </c>
      <c r="BP643" s="128">
        <f>IFERROR(SUM($CU643:$DL643),)</f>
        <v/>
      </c>
      <c r="BQ643" s="128">
        <f>IFERROR(SUM($DM643:$DO643),)</f>
        <v/>
      </c>
      <c r="BR643" s="128">
        <f>IFERROR(SUM($DP643:$DR643),)</f>
        <v/>
      </c>
      <c r="BS643" s="128">
        <f>IFERROR(SUM($DS643:$DU643),)</f>
        <v/>
      </c>
      <c r="BT643" s="128">
        <f>IFERROR(AI643*$W643,)</f>
        <v/>
      </c>
      <c r="BU643" s="128">
        <f>IFERROR(AJ643*$W643,)</f>
        <v/>
      </c>
      <c r="BV643" s="128">
        <f>IFERROR(AK643*$W643,)</f>
        <v/>
      </c>
      <c r="BW643" s="128">
        <f>IFERROR(AL643*$W643,)</f>
        <v/>
      </c>
      <c r="BX643" s="128">
        <f>IFERROR(AM643*$W643,)</f>
        <v/>
      </c>
      <c r="BY643" s="128">
        <f>IFERROR(AN643*$W643,)</f>
        <v/>
      </c>
      <c r="BZ643" s="128">
        <f>IFERROR(AO643*$W643,)</f>
        <v/>
      </c>
      <c r="CA643" s="128">
        <f>IFERROR(AP643*$W643,)</f>
        <v/>
      </c>
      <c r="CB643" s="128">
        <f>IFERROR(AQ643*$W643,)</f>
        <v/>
      </c>
      <c r="CC643" s="128">
        <f>IFERROR(AR643*$W643,)</f>
        <v/>
      </c>
      <c r="CD643" s="128">
        <f>IFERROR(AS643*$W643,)</f>
        <v/>
      </c>
      <c r="CE643" s="128">
        <f>IFERROR(AT643*$W643,)</f>
        <v/>
      </c>
      <c r="CF643" s="128">
        <f>IFERROR(AU643*$W643,)</f>
        <v/>
      </c>
      <c r="CG643" s="128">
        <f>IFERROR(AV643*$W643,)</f>
        <v/>
      </c>
      <c r="CH643" s="128">
        <f>IFERROR(AW643*$W643,)</f>
        <v/>
      </c>
      <c r="CI643" s="128">
        <f>IFERROR(AX643*$W643,)</f>
        <v/>
      </c>
      <c r="CJ643" s="128">
        <f>IFERROR(AY643*$W643,)</f>
        <v/>
      </c>
      <c r="CK643" s="128">
        <f>IFERROR(AZ643*$W643,)</f>
        <v/>
      </c>
      <c r="CL643" s="129">
        <f>IFERROR(if($Y643=0,BA643*($W643/1.2),BA643*$Y643),"")</f>
        <v/>
      </c>
      <c r="CM643" s="129">
        <f>IFERROR(if($Y643=0,BB643*($W643/1.2),BB643*$Y643),"")</f>
        <v/>
      </c>
      <c r="CN643" s="129">
        <f>IFERROR(if($Y643=0,BC643*($W643/1.2),BC643*$Y643),"")</f>
        <v/>
      </c>
      <c r="CO643" s="130">
        <f>IFERROR(if($AA643=0,($W643/1.35)*BD643,BD643*$AA643),)</f>
        <v/>
      </c>
      <c r="CP643" s="130">
        <f>IFERROR(if($AA643=0,($W643/1.35)*BE643,BE643*$AA643),)</f>
        <v/>
      </c>
      <c r="CQ643" s="130">
        <f>IFERROR(if($AA643=0,($W643/1.35)*BF643,BF643*$AA643),)</f>
        <v/>
      </c>
      <c r="CR643" s="128">
        <f>IFERROR(if($AC643=0,($W643/0.74)*BG643,
BG643*$AC643),)</f>
        <v/>
      </c>
      <c r="CS643" s="128">
        <f>IFERROR(if($AC643=0,($W643/0.74)*BH643,
BH643*$AC643),)</f>
        <v/>
      </c>
      <c r="CT643" s="128">
        <f>IFERROR(if($AC643=0,($W643/0.74)*BI643,
BI643*$AC643),)</f>
        <v/>
      </c>
      <c r="CU643" s="128">
        <f>IFERROR(AI643*$V643,)</f>
        <v/>
      </c>
      <c r="CV643" s="128">
        <f>IFERROR(AJ643*$V643,)</f>
        <v/>
      </c>
      <c r="CW643" s="128">
        <f>IFERROR(AK643*$V643,)</f>
        <v/>
      </c>
      <c r="CX643" s="128">
        <f>IFERROR(AL643*$V643,)</f>
        <v/>
      </c>
      <c r="CY643" s="128">
        <f>IFERROR(AM643*$V643,)</f>
        <v/>
      </c>
      <c r="CZ643" s="128">
        <f>IFERROR(AN643*$V643,)</f>
        <v/>
      </c>
      <c r="DA643" s="128">
        <f>IFERROR(AO643*$V643,)</f>
        <v/>
      </c>
      <c r="DB643" s="128">
        <f>IFERROR(AP643*$V643,)</f>
        <v/>
      </c>
      <c r="DC643" s="128">
        <f>IFERROR(AQ643*$V643,)</f>
        <v/>
      </c>
      <c r="DD643" s="128">
        <f>IFERROR(AR643*$V643,)</f>
        <v/>
      </c>
      <c r="DE643" s="128">
        <f>IFERROR(AS643*$V643,)</f>
        <v/>
      </c>
      <c r="DF643" s="128">
        <f>IFERROR(AT643*$V643,)</f>
        <v/>
      </c>
      <c r="DG643" s="128">
        <f>IFERROR(AU643*$V643,)</f>
        <v/>
      </c>
      <c r="DH643" s="128">
        <f>IFERROR(AV643*$V643,)</f>
        <v/>
      </c>
      <c r="DI643" s="128">
        <f>IFERROR(AW643*$V643,)</f>
        <v/>
      </c>
      <c r="DJ643" s="128">
        <f>IFERROR(AX643*$V643,)</f>
        <v/>
      </c>
      <c r="DK643" s="128">
        <f>IFERROR(AY643*$V643,)</f>
        <v/>
      </c>
      <c r="DL643" s="128">
        <f>IFERROR(AZ643*$V643,)</f>
        <v/>
      </c>
      <c r="DM643" s="129">
        <f>IFERROR(if($X643=0,($V643/1.2)*BA643,
BA643*$X643),)</f>
        <v/>
      </c>
      <c r="DN643" s="129">
        <f>IFERROR(if($X643=0,($V643/1.2)*BB643,
BB643*$X643),)</f>
        <v/>
      </c>
      <c r="DO643" s="129">
        <f>IFERROR(if($X643=0,($V643/1.2)*BC643,
BC643*$X643),)</f>
        <v/>
      </c>
      <c r="DP643" s="130">
        <f>IFERROR(if($Z643=0,($V643/1.35)*BD643,
BD643*$Z643),)</f>
        <v/>
      </c>
      <c r="DQ643" s="130">
        <f>IFERROR(if($Z643=0,($V643/1.35)*BE643,
BE643*$Z643),)</f>
        <v/>
      </c>
      <c r="DR643" s="130">
        <f>IFERROR(if($Z643=0,($V643/1.35)*BF643,
BF643*$Z643),)</f>
        <v/>
      </c>
      <c r="DS643" s="128">
        <f>IFERROR(IF($AB643=0,($V643/0.74)*BG643,
BG643*$AB643),)</f>
        <v/>
      </c>
      <c r="DT643" s="128">
        <f>IFERROR(IF($AB643=0,($V643/0.74)*BH643,
BH643*$AB643),)</f>
        <v/>
      </c>
      <c r="DU643" s="128">
        <f>IFERROR(IF($AB643=0,($V643/0.74)*BI643,
BI643*$AB643),)</f>
        <v/>
      </c>
    </row>
    <row r="644" ht="131.25" customHeight="1" s="162">
      <c r="A644" s="115" t="n"/>
      <c r="B644" s="115" t="n"/>
      <c r="C644" s="115" t="n"/>
      <c r="D644" s="115" t="n"/>
      <c r="E644" s="115" t="n"/>
      <c r="F644" s="115" t="n"/>
      <c r="G644" s="115" t="n"/>
      <c r="H644" s="115" t="n"/>
      <c r="I644" s="115" t="n"/>
      <c r="J644" s="115" t="n"/>
      <c r="K644" s="115" t="n"/>
      <c r="L644" s="115" t="n"/>
      <c r="M644" s="115" t="n"/>
      <c r="N644" s="115" t="n"/>
      <c r="O644" s="115" t="n"/>
      <c r="P644" s="115" t="n"/>
      <c r="Q644" s="115" t="n"/>
      <c r="R644" s="115" t="n"/>
      <c r="S644" s="115" t="n"/>
      <c r="T644" s="115" t="n"/>
      <c r="U644" s="116" t="n"/>
      <c r="V644" s="116" t="n"/>
      <c r="W644" s="117" t="n"/>
      <c r="X644" s="118" t="n"/>
      <c r="Y644" s="119" t="n"/>
      <c r="Z644" s="120" t="n"/>
      <c r="AA644" s="121" t="n"/>
      <c r="AB644" s="122" t="n"/>
      <c r="AC644" s="117" t="n"/>
      <c r="AD644" s="123">
        <f>IF(SUM($AE644:$AH644)=0,"",SUM($AE644:$AH644))</f>
        <v/>
      </c>
      <c r="AE644" s="123">
        <f>iferror(IF(SUM($AI644:$AZ644)=0,"",SUM($AI644:$AZ644)),"")</f>
        <v/>
      </c>
      <c r="AF644" s="123">
        <f>iferror(IF(SUM($BA644:$BC644)=0,"",SUM($BA644:$BC644)),"")</f>
        <v/>
      </c>
      <c r="AG644" s="123">
        <f>iferror(IF(SUM($BD644:$BF644)=0,"",SUM($BD644:$BF644)),"")</f>
        <v/>
      </c>
      <c r="AH644" s="124">
        <f>iferror(IF(SUM($BG644:$BI644)=0,"",SUM($BG644:$BI644)),"")</f>
        <v/>
      </c>
      <c r="AI644" s="131" t="n"/>
      <c r="AJ644" s="132" t="n"/>
      <c r="AK644" s="132" t="n"/>
      <c r="AL644" s="132" t="n"/>
      <c r="AM644" s="132" t="n"/>
      <c r="AN644" s="132" t="n"/>
      <c r="AO644" s="132" t="n"/>
      <c r="AP644" s="132" t="n"/>
      <c r="AQ644" s="132" t="n"/>
      <c r="AR644" s="132" t="n"/>
      <c r="AS644" s="132" t="n"/>
      <c r="AT644" s="132" t="n"/>
      <c r="AU644" s="132" t="n"/>
      <c r="AV644" s="132" t="n"/>
      <c r="AW644" s="132" t="n"/>
      <c r="AX644" s="132" t="n"/>
      <c r="AY644" s="132" t="n"/>
      <c r="AZ644" s="133" t="n"/>
      <c r="BA644" s="131" t="n"/>
      <c r="BB644" s="132" t="n"/>
      <c r="BC644" s="133" t="n"/>
      <c r="BD644" s="131" t="n"/>
      <c r="BE644" s="132" t="n"/>
      <c r="BF644" s="133" t="n"/>
      <c r="BG644" s="131" t="n"/>
      <c r="BH644" s="132" t="n"/>
      <c r="BI644" s="132" t="n"/>
      <c r="BJ644" s="128">
        <f>iferror(SUM($BK644,($BL644*1.2),($BM644*1.35),($BN644*0.74)),)</f>
        <v/>
      </c>
      <c r="BK644" s="128">
        <f>IFERROR(SUM($BT644:$CK644),)</f>
        <v/>
      </c>
      <c r="BL644" s="129">
        <f>IFERROR(SUM($CL644:$CN644),)</f>
        <v/>
      </c>
      <c r="BM644" s="130">
        <f>IFERROR(SUM($CO644:$CQ644),)</f>
        <v/>
      </c>
      <c r="BN644" s="128">
        <f>IFERROR(SUM($CR644:$CT644),)</f>
        <v/>
      </c>
      <c r="BO644" s="128">
        <f>iferror(SUM($BP644,($BQ644*1.2),($BR644*1.35),($BS644*0.74)),)</f>
        <v/>
      </c>
      <c r="BP644" s="128">
        <f>IFERROR(SUM($CU644:$DL644),)</f>
        <v/>
      </c>
      <c r="BQ644" s="128">
        <f>IFERROR(SUM($DM644:$DO644),)</f>
        <v/>
      </c>
      <c r="BR644" s="128">
        <f>IFERROR(SUM($DP644:$DR644),)</f>
        <v/>
      </c>
      <c r="BS644" s="128">
        <f>IFERROR(SUM($DS644:$DU644),)</f>
        <v/>
      </c>
      <c r="BT644" s="128">
        <f>IFERROR(AI644*$W644,)</f>
        <v/>
      </c>
      <c r="BU644" s="128">
        <f>IFERROR(AJ644*$W644,)</f>
        <v/>
      </c>
      <c r="BV644" s="128">
        <f>IFERROR(AK644*$W644,)</f>
        <v/>
      </c>
      <c r="BW644" s="128">
        <f>IFERROR(AL644*$W644,)</f>
        <v/>
      </c>
      <c r="BX644" s="128">
        <f>IFERROR(AM644*$W644,)</f>
        <v/>
      </c>
      <c r="BY644" s="128">
        <f>IFERROR(AN644*$W644,)</f>
        <v/>
      </c>
      <c r="BZ644" s="128">
        <f>IFERROR(AO644*$W644,)</f>
        <v/>
      </c>
      <c r="CA644" s="128">
        <f>IFERROR(AP644*$W644,)</f>
        <v/>
      </c>
      <c r="CB644" s="128">
        <f>IFERROR(AQ644*$W644,)</f>
        <v/>
      </c>
      <c r="CC644" s="128">
        <f>IFERROR(AR644*$W644,)</f>
        <v/>
      </c>
      <c r="CD644" s="128">
        <f>IFERROR(AS644*$W644,)</f>
        <v/>
      </c>
      <c r="CE644" s="128">
        <f>IFERROR(AT644*$W644,)</f>
        <v/>
      </c>
      <c r="CF644" s="128">
        <f>IFERROR(AU644*$W644,)</f>
        <v/>
      </c>
      <c r="CG644" s="128">
        <f>IFERROR(AV644*$W644,)</f>
        <v/>
      </c>
      <c r="CH644" s="128">
        <f>IFERROR(AW644*$W644,)</f>
        <v/>
      </c>
      <c r="CI644" s="128">
        <f>IFERROR(AX644*$W644,)</f>
        <v/>
      </c>
      <c r="CJ644" s="128">
        <f>IFERROR(AY644*$W644,)</f>
        <v/>
      </c>
      <c r="CK644" s="128">
        <f>IFERROR(AZ644*$W644,)</f>
        <v/>
      </c>
      <c r="CL644" s="129">
        <f>IFERROR(if($Y644=0,BA644*($W644/1.2),BA644*$Y644),"")</f>
        <v/>
      </c>
      <c r="CM644" s="129">
        <f>IFERROR(if($Y644=0,BB644*($W644/1.2),BB644*$Y644),"")</f>
        <v/>
      </c>
      <c r="CN644" s="129">
        <f>IFERROR(if($Y644=0,BC644*($W644/1.2),BC644*$Y644),"")</f>
        <v/>
      </c>
      <c r="CO644" s="130">
        <f>IFERROR(if($AA644=0,($W644/1.35)*BD644,BD644*$AA644),)</f>
        <v/>
      </c>
      <c r="CP644" s="130">
        <f>IFERROR(if($AA644=0,($W644/1.35)*BE644,BE644*$AA644),)</f>
        <v/>
      </c>
      <c r="CQ644" s="130">
        <f>IFERROR(if($AA644=0,($W644/1.35)*BF644,BF644*$AA644),)</f>
        <v/>
      </c>
      <c r="CR644" s="128">
        <f>IFERROR(if($AC644=0,($W644/0.74)*BG644,
BG644*$AC644),)</f>
        <v/>
      </c>
      <c r="CS644" s="128">
        <f>IFERROR(if($AC644=0,($W644/0.74)*BH644,
BH644*$AC644),)</f>
        <v/>
      </c>
      <c r="CT644" s="128">
        <f>IFERROR(if($AC644=0,($W644/0.74)*BI644,
BI644*$AC644),)</f>
        <v/>
      </c>
      <c r="CU644" s="128">
        <f>IFERROR(AI644*$V644,)</f>
        <v/>
      </c>
      <c r="CV644" s="128">
        <f>IFERROR(AJ644*$V644,)</f>
        <v/>
      </c>
      <c r="CW644" s="128">
        <f>IFERROR(AK644*$V644,)</f>
        <v/>
      </c>
      <c r="CX644" s="128">
        <f>IFERROR(AL644*$V644,)</f>
        <v/>
      </c>
      <c r="CY644" s="128">
        <f>IFERROR(AM644*$V644,)</f>
        <v/>
      </c>
      <c r="CZ644" s="128">
        <f>IFERROR(AN644*$V644,)</f>
        <v/>
      </c>
      <c r="DA644" s="128">
        <f>IFERROR(AO644*$V644,)</f>
        <v/>
      </c>
      <c r="DB644" s="128">
        <f>IFERROR(AP644*$V644,)</f>
        <v/>
      </c>
      <c r="DC644" s="128">
        <f>IFERROR(AQ644*$V644,)</f>
        <v/>
      </c>
      <c r="DD644" s="128">
        <f>IFERROR(AR644*$V644,)</f>
        <v/>
      </c>
      <c r="DE644" s="128">
        <f>IFERROR(AS644*$V644,)</f>
        <v/>
      </c>
      <c r="DF644" s="128">
        <f>IFERROR(AT644*$V644,)</f>
        <v/>
      </c>
      <c r="DG644" s="128">
        <f>IFERROR(AU644*$V644,)</f>
        <v/>
      </c>
      <c r="DH644" s="128">
        <f>IFERROR(AV644*$V644,)</f>
        <v/>
      </c>
      <c r="DI644" s="128">
        <f>IFERROR(AW644*$V644,)</f>
        <v/>
      </c>
      <c r="DJ644" s="128">
        <f>IFERROR(AX644*$V644,)</f>
        <v/>
      </c>
      <c r="DK644" s="128">
        <f>IFERROR(AY644*$V644,)</f>
        <v/>
      </c>
      <c r="DL644" s="128">
        <f>IFERROR(AZ644*$V644,)</f>
        <v/>
      </c>
      <c r="DM644" s="129">
        <f>IFERROR(if($X644=0,($V644/1.2)*BA644,
BA644*$X644),)</f>
        <v/>
      </c>
      <c r="DN644" s="129">
        <f>IFERROR(if($X644=0,($V644/1.2)*BB644,
BB644*$X644),)</f>
        <v/>
      </c>
      <c r="DO644" s="129">
        <f>IFERROR(if($X644=0,($V644/1.2)*BC644,
BC644*$X644),)</f>
        <v/>
      </c>
      <c r="DP644" s="130">
        <f>IFERROR(if($Z644=0,($V644/1.35)*BD644,
BD644*$Z644),)</f>
        <v/>
      </c>
      <c r="DQ644" s="130">
        <f>IFERROR(if($Z644=0,($V644/1.35)*BE644,
BE644*$Z644),)</f>
        <v/>
      </c>
      <c r="DR644" s="130">
        <f>IFERROR(if($Z644=0,($V644/1.35)*BF644,
BF644*$Z644),)</f>
        <v/>
      </c>
      <c r="DS644" s="128">
        <f>IFERROR(IF($AB644=0,($V644/0.74)*BG644,
BG644*$AB644),)</f>
        <v/>
      </c>
      <c r="DT644" s="128">
        <f>IFERROR(IF($AB644=0,($V644/0.74)*BH644,
BH644*$AB644),)</f>
        <v/>
      </c>
      <c r="DU644" s="128">
        <f>IFERROR(IF($AB644=0,($V644/0.74)*BI644,
BI644*$AB644),)</f>
        <v/>
      </c>
    </row>
    <row r="645" ht="131.25" customHeight="1" s="162">
      <c r="A645" s="115" t="n"/>
      <c r="B645" s="115" t="n"/>
      <c r="C645" s="115" t="n"/>
      <c r="D645" s="115" t="n"/>
      <c r="E645" s="115" t="n"/>
      <c r="F645" s="115" t="n"/>
      <c r="G645" s="115" t="n"/>
      <c r="H645" s="115" t="n"/>
      <c r="I645" s="115" t="n"/>
      <c r="J645" s="115" t="n"/>
      <c r="K645" s="115" t="n"/>
      <c r="L645" s="115" t="n"/>
      <c r="M645" s="115" t="n"/>
      <c r="N645" s="115" t="n"/>
      <c r="O645" s="115" t="n"/>
      <c r="P645" s="115" t="n"/>
      <c r="Q645" s="115" t="n"/>
      <c r="R645" s="115" t="n"/>
      <c r="S645" s="115" t="n"/>
      <c r="T645" s="115" t="n"/>
      <c r="U645" s="116" t="n"/>
      <c r="V645" s="116" t="n"/>
      <c r="W645" s="117" t="n"/>
      <c r="X645" s="118" t="n"/>
      <c r="Y645" s="119" t="n"/>
      <c r="Z645" s="120" t="n"/>
      <c r="AA645" s="121" t="n"/>
      <c r="AB645" s="122" t="n"/>
      <c r="AC645" s="117" t="n"/>
      <c r="AD645" s="123">
        <f>IF(SUM($AE645:$AH645)=0,"",SUM($AE645:$AH645))</f>
        <v/>
      </c>
      <c r="AE645" s="123">
        <f>iferror(IF(SUM($AI645:$AZ645)=0,"",SUM($AI645:$AZ645)),"")</f>
        <v/>
      </c>
      <c r="AF645" s="123">
        <f>iferror(IF(SUM($BA645:$BC645)=0,"",SUM($BA645:$BC645)),"")</f>
        <v/>
      </c>
      <c r="AG645" s="123">
        <f>iferror(IF(SUM($BD645:$BF645)=0,"",SUM($BD645:$BF645)),"")</f>
        <v/>
      </c>
      <c r="AH645" s="124">
        <f>iferror(IF(SUM($BG645:$BI645)=0,"",SUM($BG645:$BI645)),"")</f>
        <v/>
      </c>
      <c r="AI645" s="131" t="n"/>
      <c r="AJ645" s="132" t="n"/>
      <c r="AK645" s="132" t="n"/>
      <c r="AL645" s="132" t="n"/>
      <c r="AM645" s="132" t="n"/>
      <c r="AN645" s="132" t="n"/>
      <c r="AO645" s="132" t="n"/>
      <c r="AP645" s="132" t="n"/>
      <c r="AQ645" s="132" t="n"/>
      <c r="AR645" s="132" t="n"/>
      <c r="AS645" s="132" t="n"/>
      <c r="AT645" s="132" t="n"/>
      <c r="AU645" s="132" t="n"/>
      <c r="AV645" s="132" t="n"/>
      <c r="AW645" s="132" t="n"/>
      <c r="AX645" s="132" t="n"/>
      <c r="AY645" s="132" t="n"/>
      <c r="AZ645" s="133" t="n"/>
      <c r="BA645" s="131" t="n"/>
      <c r="BB645" s="132" t="n"/>
      <c r="BC645" s="133" t="n"/>
      <c r="BD645" s="131" t="n"/>
      <c r="BE645" s="132" t="n"/>
      <c r="BF645" s="133" t="n"/>
      <c r="BG645" s="131" t="n"/>
      <c r="BH645" s="132" t="n"/>
      <c r="BI645" s="132" t="n"/>
      <c r="BJ645" s="128">
        <f>iferror(SUM($BK645,($BL645*1.2),($BM645*1.35),($BN645*0.74)),)</f>
        <v/>
      </c>
      <c r="BK645" s="128">
        <f>IFERROR(SUM($BT645:$CK645),)</f>
        <v/>
      </c>
      <c r="BL645" s="129">
        <f>IFERROR(SUM($CL645:$CN645),)</f>
        <v/>
      </c>
      <c r="BM645" s="130">
        <f>IFERROR(SUM($CO645:$CQ645),)</f>
        <v/>
      </c>
      <c r="BN645" s="128">
        <f>IFERROR(SUM($CR645:$CT645),)</f>
        <v/>
      </c>
      <c r="BO645" s="128">
        <f>iferror(SUM($BP645,($BQ645*1.2),($BR645*1.35),($BS645*0.74)),)</f>
        <v/>
      </c>
      <c r="BP645" s="128">
        <f>IFERROR(SUM($CU645:$DL645),)</f>
        <v/>
      </c>
      <c r="BQ645" s="128">
        <f>IFERROR(SUM($DM645:$DO645),)</f>
        <v/>
      </c>
      <c r="BR645" s="128">
        <f>IFERROR(SUM($DP645:$DR645),)</f>
        <v/>
      </c>
      <c r="BS645" s="128">
        <f>IFERROR(SUM($DS645:$DU645),)</f>
        <v/>
      </c>
      <c r="BT645" s="128">
        <f>IFERROR(AI645*$W645,)</f>
        <v/>
      </c>
      <c r="BU645" s="128">
        <f>IFERROR(AJ645*$W645,)</f>
        <v/>
      </c>
      <c r="BV645" s="128">
        <f>IFERROR(AK645*$W645,)</f>
        <v/>
      </c>
      <c r="BW645" s="128">
        <f>IFERROR(AL645*$W645,)</f>
        <v/>
      </c>
      <c r="BX645" s="128">
        <f>IFERROR(AM645*$W645,)</f>
        <v/>
      </c>
      <c r="BY645" s="128">
        <f>IFERROR(AN645*$W645,)</f>
        <v/>
      </c>
      <c r="BZ645" s="128">
        <f>IFERROR(AO645*$W645,)</f>
        <v/>
      </c>
      <c r="CA645" s="128">
        <f>IFERROR(AP645*$W645,)</f>
        <v/>
      </c>
      <c r="CB645" s="128">
        <f>IFERROR(AQ645*$W645,)</f>
        <v/>
      </c>
      <c r="CC645" s="128">
        <f>IFERROR(AR645*$W645,)</f>
        <v/>
      </c>
      <c r="CD645" s="128">
        <f>IFERROR(AS645*$W645,)</f>
        <v/>
      </c>
      <c r="CE645" s="128">
        <f>IFERROR(AT645*$W645,)</f>
        <v/>
      </c>
      <c r="CF645" s="128">
        <f>IFERROR(AU645*$W645,)</f>
        <v/>
      </c>
      <c r="CG645" s="128">
        <f>IFERROR(AV645*$W645,)</f>
        <v/>
      </c>
      <c r="CH645" s="128">
        <f>IFERROR(AW645*$W645,)</f>
        <v/>
      </c>
      <c r="CI645" s="128">
        <f>IFERROR(AX645*$W645,)</f>
        <v/>
      </c>
      <c r="CJ645" s="128">
        <f>IFERROR(AY645*$W645,)</f>
        <v/>
      </c>
      <c r="CK645" s="128">
        <f>IFERROR(AZ645*$W645,)</f>
        <v/>
      </c>
      <c r="CL645" s="129">
        <f>IFERROR(if($Y645=0,BA645*($W645/1.2),BA645*$Y645),"")</f>
        <v/>
      </c>
      <c r="CM645" s="129">
        <f>IFERROR(if($Y645=0,BB645*($W645/1.2),BB645*$Y645),"")</f>
        <v/>
      </c>
      <c r="CN645" s="129">
        <f>IFERROR(if($Y645=0,BC645*($W645/1.2),BC645*$Y645),"")</f>
        <v/>
      </c>
      <c r="CO645" s="130">
        <f>IFERROR(if($AA645=0,($W645/1.35)*BD645,BD645*$AA645),)</f>
        <v/>
      </c>
      <c r="CP645" s="130">
        <f>IFERROR(if($AA645=0,($W645/1.35)*BE645,BE645*$AA645),)</f>
        <v/>
      </c>
      <c r="CQ645" s="130">
        <f>IFERROR(if($AA645=0,($W645/1.35)*BF645,BF645*$AA645),)</f>
        <v/>
      </c>
      <c r="CR645" s="128">
        <f>IFERROR(if($AC645=0,($W645/0.74)*BG645,
BG645*$AC645),)</f>
        <v/>
      </c>
      <c r="CS645" s="128">
        <f>IFERROR(if($AC645=0,($W645/0.74)*BH645,
BH645*$AC645),)</f>
        <v/>
      </c>
      <c r="CT645" s="128">
        <f>IFERROR(if($AC645=0,($W645/0.74)*BI645,
BI645*$AC645),)</f>
        <v/>
      </c>
      <c r="CU645" s="128">
        <f>IFERROR(AI645*$V645,)</f>
        <v/>
      </c>
      <c r="CV645" s="128">
        <f>IFERROR(AJ645*$V645,)</f>
        <v/>
      </c>
      <c r="CW645" s="128">
        <f>IFERROR(AK645*$V645,)</f>
        <v/>
      </c>
      <c r="CX645" s="128">
        <f>IFERROR(AL645*$V645,)</f>
        <v/>
      </c>
      <c r="CY645" s="128">
        <f>IFERROR(AM645*$V645,)</f>
        <v/>
      </c>
      <c r="CZ645" s="128">
        <f>IFERROR(AN645*$V645,)</f>
        <v/>
      </c>
      <c r="DA645" s="128">
        <f>IFERROR(AO645*$V645,)</f>
        <v/>
      </c>
      <c r="DB645" s="128">
        <f>IFERROR(AP645*$V645,)</f>
        <v/>
      </c>
      <c r="DC645" s="128">
        <f>IFERROR(AQ645*$V645,)</f>
        <v/>
      </c>
      <c r="DD645" s="128">
        <f>IFERROR(AR645*$V645,)</f>
        <v/>
      </c>
      <c r="DE645" s="128">
        <f>IFERROR(AS645*$V645,)</f>
        <v/>
      </c>
      <c r="DF645" s="128">
        <f>IFERROR(AT645*$V645,)</f>
        <v/>
      </c>
      <c r="DG645" s="128">
        <f>IFERROR(AU645*$V645,)</f>
        <v/>
      </c>
      <c r="DH645" s="128">
        <f>IFERROR(AV645*$V645,)</f>
        <v/>
      </c>
      <c r="DI645" s="128">
        <f>IFERROR(AW645*$V645,)</f>
        <v/>
      </c>
      <c r="DJ645" s="128">
        <f>IFERROR(AX645*$V645,)</f>
        <v/>
      </c>
      <c r="DK645" s="128">
        <f>IFERROR(AY645*$V645,)</f>
        <v/>
      </c>
      <c r="DL645" s="128">
        <f>IFERROR(AZ645*$V645,)</f>
        <v/>
      </c>
      <c r="DM645" s="129">
        <f>IFERROR(if($X645=0,($V645/1.2)*BA645,
BA645*$X645),)</f>
        <v/>
      </c>
      <c r="DN645" s="129">
        <f>IFERROR(if($X645=0,($V645/1.2)*BB645,
BB645*$X645),)</f>
        <v/>
      </c>
      <c r="DO645" s="129">
        <f>IFERROR(if($X645=0,($V645/1.2)*BC645,
BC645*$X645),)</f>
        <v/>
      </c>
      <c r="DP645" s="130">
        <f>IFERROR(if($Z645=0,($V645/1.35)*BD645,
BD645*$Z645),)</f>
        <v/>
      </c>
      <c r="DQ645" s="130">
        <f>IFERROR(if($Z645=0,($V645/1.35)*BE645,
BE645*$Z645),)</f>
        <v/>
      </c>
      <c r="DR645" s="130">
        <f>IFERROR(if($Z645=0,($V645/1.35)*BF645,
BF645*$Z645),)</f>
        <v/>
      </c>
      <c r="DS645" s="128">
        <f>IFERROR(IF($AB645=0,($V645/0.74)*BG645,
BG645*$AB645),)</f>
        <v/>
      </c>
      <c r="DT645" s="128">
        <f>IFERROR(IF($AB645=0,($V645/0.74)*BH645,
BH645*$AB645),)</f>
        <v/>
      </c>
      <c r="DU645" s="128">
        <f>IFERROR(IF($AB645=0,($V645/0.74)*BI645,
BI645*$AB645),)</f>
        <v/>
      </c>
    </row>
    <row r="646" ht="131.25" customHeight="1" s="162">
      <c r="A646" s="115" t="n"/>
      <c r="B646" s="115" t="n"/>
      <c r="C646" s="115" t="n"/>
      <c r="D646" s="115" t="n"/>
      <c r="E646" s="115" t="n"/>
      <c r="F646" s="115" t="n"/>
      <c r="G646" s="115" t="n"/>
      <c r="H646" s="115" t="n"/>
      <c r="I646" s="115" t="n"/>
      <c r="J646" s="115" t="n"/>
      <c r="K646" s="115" t="n"/>
      <c r="L646" s="115" t="n"/>
      <c r="M646" s="115" t="n"/>
      <c r="N646" s="115" t="n"/>
      <c r="O646" s="115" t="n"/>
      <c r="P646" s="115" t="n"/>
      <c r="Q646" s="115" t="n"/>
      <c r="R646" s="115" t="n"/>
      <c r="S646" s="115" t="n"/>
      <c r="T646" s="115" t="n"/>
      <c r="U646" s="116" t="n"/>
      <c r="V646" s="116" t="n"/>
      <c r="W646" s="117" t="n"/>
      <c r="X646" s="118" t="n"/>
      <c r="Y646" s="119" t="n"/>
      <c r="Z646" s="120" t="n"/>
      <c r="AA646" s="121" t="n"/>
      <c r="AB646" s="122" t="n"/>
      <c r="AC646" s="117" t="n"/>
      <c r="AD646" s="123">
        <f>IF(SUM($AE646:$AH646)=0,"",SUM($AE646:$AH646))</f>
        <v/>
      </c>
      <c r="AE646" s="123">
        <f>iferror(IF(SUM($AI646:$AZ646)=0,"",SUM($AI646:$AZ646)),"")</f>
        <v/>
      </c>
      <c r="AF646" s="123">
        <f>iferror(IF(SUM($BA646:$BC646)=0,"",SUM($BA646:$BC646)),"")</f>
        <v/>
      </c>
      <c r="AG646" s="123">
        <f>iferror(IF(SUM($BD646:$BF646)=0,"",SUM($BD646:$BF646)),"")</f>
        <v/>
      </c>
      <c r="AH646" s="124">
        <f>iferror(IF(SUM($BG646:$BI646)=0,"",SUM($BG646:$BI646)),"")</f>
        <v/>
      </c>
      <c r="AI646" s="131" t="n"/>
      <c r="AJ646" s="132" t="n"/>
      <c r="AK646" s="132" t="n"/>
      <c r="AL646" s="132" t="n"/>
      <c r="AM646" s="132" t="n"/>
      <c r="AN646" s="132" t="n"/>
      <c r="AO646" s="132" t="n"/>
      <c r="AP646" s="132" t="n"/>
      <c r="AQ646" s="132" t="n"/>
      <c r="AR646" s="132" t="n"/>
      <c r="AS646" s="132" t="n"/>
      <c r="AT646" s="132" t="n"/>
      <c r="AU646" s="132" t="n"/>
      <c r="AV646" s="132" t="n"/>
      <c r="AW646" s="132" t="n"/>
      <c r="AX646" s="132" t="n"/>
      <c r="AY646" s="132" t="n"/>
      <c r="AZ646" s="133" t="n"/>
      <c r="BA646" s="131" t="n"/>
      <c r="BB646" s="132" t="n"/>
      <c r="BC646" s="133" t="n"/>
      <c r="BD646" s="131" t="n"/>
      <c r="BE646" s="132" t="n"/>
      <c r="BF646" s="133" t="n"/>
      <c r="BG646" s="131" t="n"/>
      <c r="BH646" s="132" t="n"/>
      <c r="BI646" s="132" t="n"/>
      <c r="BJ646" s="128">
        <f>iferror(SUM($BK646,($BL646*1.2),($BM646*1.35),($BN646*0.74)),)</f>
        <v/>
      </c>
      <c r="BK646" s="128">
        <f>IFERROR(SUM($BT646:$CK646),)</f>
        <v/>
      </c>
      <c r="BL646" s="129">
        <f>IFERROR(SUM($CL646:$CN646),)</f>
        <v/>
      </c>
      <c r="BM646" s="130">
        <f>IFERROR(SUM($CO646:$CQ646),)</f>
        <v/>
      </c>
      <c r="BN646" s="128">
        <f>IFERROR(SUM($CR646:$CT646),)</f>
        <v/>
      </c>
      <c r="BO646" s="128">
        <f>iferror(SUM($BP646,($BQ646*1.2),($BR646*1.35),($BS646*0.74)),)</f>
        <v/>
      </c>
      <c r="BP646" s="128">
        <f>IFERROR(SUM($CU646:$DL646),)</f>
        <v/>
      </c>
      <c r="BQ646" s="128">
        <f>IFERROR(SUM($DM646:$DO646),)</f>
        <v/>
      </c>
      <c r="BR646" s="128">
        <f>IFERROR(SUM($DP646:$DR646),)</f>
        <v/>
      </c>
      <c r="BS646" s="128">
        <f>IFERROR(SUM($DS646:$DU646),)</f>
        <v/>
      </c>
      <c r="BT646" s="128">
        <f>IFERROR(AI646*$W646,)</f>
        <v/>
      </c>
      <c r="BU646" s="128">
        <f>IFERROR(AJ646*$W646,)</f>
        <v/>
      </c>
      <c r="BV646" s="128">
        <f>IFERROR(AK646*$W646,)</f>
        <v/>
      </c>
      <c r="BW646" s="128">
        <f>IFERROR(AL646*$W646,)</f>
        <v/>
      </c>
      <c r="BX646" s="128">
        <f>IFERROR(AM646*$W646,)</f>
        <v/>
      </c>
      <c r="BY646" s="128">
        <f>IFERROR(AN646*$W646,)</f>
        <v/>
      </c>
      <c r="BZ646" s="128">
        <f>IFERROR(AO646*$W646,)</f>
        <v/>
      </c>
      <c r="CA646" s="128">
        <f>IFERROR(AP646*$W646,)</f>
        <v/>
      </c>
      <c r="CB646" s="128">
        <f>IFERROR(AQ646*$W646,)</f>
        <v/>
      </c>
      <c r="CC646" s="128">
        <f>IFERROR(AR646*$W646,)</f>
        <v/>
      </c>
      <c r="CD646" s="128">
        <f>IFERROR(AS646*$W646,)</f>
        <v/>
      </c>
      <c r="CE646" s="128">
        <f>IFERROR(AT646*$W646,)</f>
        <v/>
      </c>
      <c r="CF646" s="128">
        <f>IFERROR(AU646*$W646,)</f>
        <v/>
      </c>
      <c r="CG646" s="128">
        <f>IFERROR(AV646*$W646,)</f>
        <v/>
      </c>
      <c r="CH646" s="128">
        <f>IFERROR(AW646*$W646,)</f>
        <v/>
      </c>
      <c r="CI646" s="128">
        <f>IFERROR(AX646*$W646,)</f>
        <v/>
      </c>
      <c r="CJ646" s="128">
        <f>IFERROR(AY646*$W646,)</f>
        <v/>
      </c>
      <c r="CK646" s="128">
        <f>IFERROR(AZ646*$W646,)</f>
        <v/>
      </c>
      <c r="CL646" s="129">
        <f>IFERROR(if($Y646=0,BA646*($W646/1.2),BA646*$Y646),"")</f>
        <v/>
      </c>
      <c r="CM646" s="129">
        <f>IFERROR(if($Y646=0,BB646*($W646/1.2),BB646*$Y646),"")</f>
        <v/>
      </c>
      <c r="CN646" s="129">
        <f>IFERROR(if($Y646=0,BC646*($W646/1.2),BC646*$Y646),"")</f>
        <v/>
      </c>
      <c r="CO646" s="130">
        <f>IFERROR(if($AA646=0,($W646/1.35)*BD646,BD646*$AA646),)</f>
        <v/>
      </c>
      <c r="CP646" s="130">
        <f>IFERROR(if($AA646=0,($W646/1.35)*BE646,BE646*$AA646),)</f>
        <v/>
      </c>
      <c r="CQ646" s="130">
        <f>IFERROR(if($AA646=0,($W646/1.35)*BF646,BF646*$AA646),)</f>
        <v/>
      </c>
      <c r="CR646" s="128">
        <f>IFERROR(if($AC646=0,($W646/0.74)*BG646,
BG646*$AC646),)</f>
        <v/>
      </c>
      <c r="CS646" s="128">
        <f>IFERROR(if($AC646=0,($W646/0.74)*BH646,
BH646*$AC646),)</f>
        <v/>
      </c>
      <c r="CT646" s="128">
        <f>IFERROR(if($AC646=0,($W646/0.74)*BI646,
BI646*$AC646),)</f>
        <v/>
      </c>
      <c r="CU646" s="128">
        <f>IFERROR(AI646*$V646,)</f>
        <v/>
      </c>
      <c r="CV646" s="128">
        <f>IFERROR(AJ646*$V646,)</f>
        <v/>
      </c>
      <c r="CW646" s="128">
        <f>IFERROR(AK646*$V646,)</f>
        <v/>
      </c>
      <c r="CX646" s="128">
        <f>IFERROR(AL646*$V646,)</f>
        <v/>
      </c>
      <c r="CY646" s="128">
        <f>IFERROR(AM646*$V646,)</f>
        <v/>
      </c>
      <c r="CZ646" s="128">
        <f>IFERROR(AN646*$V646,)</f>
        <v/>
      </c>
      <c r="DA646" s="128">
        <f>IFERROR(AO646*$V646,)</f>
        <v/>
      </c>
      <c r="DB646" s="128">
        <f>IFERROR(AP646*$V646,)</f>
        <v/>
      </c>
      <c r="DC646" s="128">
        <f>IFERROR(AQ646*$V646,)</f>
        <v/>
      </c>
      <c r="DD646" s="128">
        <f>IFERROR(AR646*$V646,)</f>
        <v/>
      </c>
      <c r="DE646" s="128">
        <f>IFERROR(AS646*$V646,)</f>
        <v/>
      </c>
      <c r="DF646" s="128">
        <f>IFERROR(AT646*$V646,)</f>
        <v/>
      </c>
      <c r="DG646" s="128">
        <f>IFERROR(AU646*$V646,)</f>
        <v/>
      </c>
      <c r="DH646" s="128">
        <f>IFERROR(AV646*$V646,)</f>
        <v/>
      </c>
      <c r="DI646" s="128">
        <f>IFERROR(AW646*$V646,)</f>
        <v/>
      </c>
      <c r="DJ646" s="128">
        <f>IFERROR(AX646*$V646,)</f>
        <v/>
      </c>
      <c r="DK646" s="128">
        <f>IFERROR(AY646*$V646,)</f>
        <v/>
      </c>
      <c r="DL646" s="128">
        <f>IFERROR(AZ646*$V646,)</f>
        <v/>
      </c>
      <c r="DM646" s="129">
        <f>IFERROR(if($X646=0,($V646/1.2)*BA646,
BA646*$X646),)</f>
        <v/>
      </c>
      <c r="DN646" s="129">
        <f>IFERROR(if($X646=0,($V646/1.2)*BB646,
BB646*$X646),)</f>
        <v/>
      </c>
      <c r="DO646" s="129">
        <f>IFERROR(if($X646=0,($V646/1.2)*BC646,
BC646*$X646),)</f>
        <v/>
      </c>
      <c r="DP646" s="130">
        <f>IFERROR(if($Z646=0,($V646/1.35)*BD646,
BD646*$Z646),)</f>
        <v/>
      </c>
      <c r="DQ646" s="130">
        <f>IFERROR(if($Z646=0,($V646/1.35)*BE646,
BE646*$Z646),)</f>
        <v/>
      </c>
      <c r="DR646" s="130">
        <f>IFERROR(if($Z646=0,($V646/1.35)*BF646,
BF646*$Z646),)</f>
        <v/>
      </c>
      <c r="DS646" s="128">
        <f>IFERROR(IF($AB646=0,($V646/0.74)*BG646,
BG646*$AB646),)</f>
        <v/>
      </c>
      <c r="DT646" s="128">
        <f>IFERROR(IF($AB646=0,($V646/0.74)*BH646,
BH646*$AB646),)</f>
        <v/>
      </c>
      <c r="DU646" s="128">
        <f>IFERROR(IF($AB646=0,($V646/0.74)*BI646,
BI646*$AB646),)</f>
        <v/>
      </c>
    </row>
    <row r="647" ht="131.25" customHeight="1" s="162">
      <c r="A647" s="115" t="n"/>
      <c r="B647" s="115" t="n"/>
      <c r="C647" s="115" t="n"/>
      <c r="D647" s="115" t="n"/>
      <c r="E647" s="115" t="n"/>
      <c r="F647" s="115" t="n"/>
      <c r="G647" s="115" t="n"/>
      <c r="H647" s="115" t="n"/>
      <c r="I647" s="115" t="n"/>
      <c r="J647" s="115" t="n"/>
      <c r="K647" s="115" t="n"/>
      <c r="L647" s="115" t="n"/>
      <c r="M647" s="115" t="n"/>
      <c r="N647" s="115" t="n"/>
      <c r="O647" s="115" t="n"/>
      <c r="P647" s="115" t="n"/>
      <c r="Q647" s="115" t="n"/>
      <c r="R647" s="115" t="n"/>
      <c r="S647" s="115" t="n"/>
      <c r="T647" s="115" t="n"/>
      <c r="U647" s="116" t="n"/>
      <c r="V647" s="116" t="n"/>
      <c r="W647" s="117" t="n"/>
      <c r="X647" s="118" t="n"/>
      <c r="Y647" s="119" t="n"/>
      <c r="Z647" s="120" t="n"/>
      <c r="AA647" s="121" t="n"/>
      <c r="AB647" s="122" t="n"/>
      <c r="AC647" s="117" t="n"/>
      <c r="AD647" s="123">
        <f>IF(SUM($AE647:$AH647)=0,"",SUM($AE647:$AH647))</f>
        <v/>
      </c>
      <c r="AE647" s="123">
        <f>iferror(IF(SUM($AI647:$AZ647)=0,"",SUM($AI647:$AZ647)),"")</f>
        <v/>
      </c>
      <c r="AF647" s="123">
        <f>iferror(IF(SUM($BA647:$BC647)=0,"",SUM($BA647:$BC647)),"")</f>
        <v/>
      </c>
      <c r="AG647" s="123">
        <f>iferror(IF(SUM($BD647:$BF647)=0,"",SUM($BD647:$BF647)),"")</f>
        <v/>
      </c>
      <c r="AH647" s="124">
        <f>iferror(IF(SUM($BG647:$BI647)=0,"",SUM($BG647:$BI647)),"")</f>
        <v/>
      </c>
      <c r="AI647" s="131" t="n"/>
      <c r="AJ647" s="132" t="n"/>
      <c r="AK647" s="132" t="n"/>
      <c r="AL647" s="132" t="n"/>
      <c r="AM647" s="132" t="n"/>
      <c r="AN647" s="132" t="n"/>
      <c r="AO647" s="132" t="n"/>
      <c r="AP647" s="132" t="n"/>
      <c r="AQ647" s="132" t="n"/>
      <c r="AR647" s="132" t="n"/>
      <c r="AS647" s="132" t="n"/>
      <c r="AT647" s="132" t="n"/>
      <c r="AU647" s="132" t="n"/>
      <c r="AV647" s="132" t="n"/>
      <c r="AW647" s="132" t="n"/>
      <c r="AX647" s="132" t="n"/>
      <c r="AY647" s="132" t="n"/>
      <c r="AZ647" s="133" t="n"/>
      <c r="BA647" s="131" t="n"/>
      <c r="BB647" s="132" t="n"/>
      <c r="BC647" s="133" t="n"/>
      <c r="BD647" s="131" t="n"/>
      <c r="BE647" s="132" t="n"/>
      <c r="BF647" s="133" t="n"/>
      <c r="BG647" s="131" t="n"/>
      <c r="BH647" s="132" t="n"/>
      <c r="BI647" s="132" t="n"/>
      <c r="BJ647" s="128">
        <f>iferror(SUM($BK647,($BL647*1.2),($BM647*1.35),($BN647*0.74)),)</f>
        <v/>
      </c>
      <c r="BK647" s="128">
        <f>IFERROR(SUM($BT647:$CK647),)</f>
        <v/>
      </c>
      <c r="BL647" s="129">
        <f>IFERROR(SUM($CL647:$CN647),)</f>
        <v/>
      </c>
      <c r="BM647" s="130">
        <f>IFERROR(SUM($CO647:$CQ647),)</f>
        <v/>
      </c>
      <c r="BN647" s="128">
        <f>IFERROR(SUM($CR647:$CT647),)</f>
        <v/>
      </c>
      <c r="BO647" s="128">
        <f>iferror(SUM($BP647,($BQ647*1.2),($BR647*1.35),($BS647*0.74)),)</f>
        <v/>
      </c>
      <c r="BP647" s="128">
        <f>IFERROR(SUM($CU647:$DL647),)</f>
        <v/>
      </c>
      <c r="BQ647" s="128">
        <f>IFERROR(SUM($DM647:$DO647),)</f>
        <v/>
      </c>
      <c r="BR647" s="128">
        <f>IFERROR(SUM($DP647:$DR647),)</f>
        <v/>
      </c>
      <c r="BS647" s="128">
        <f>IFERROR(SUM($DS647:$DU647),)</f>
        <v/>
      </c>
      <c r="BT647" s="128">
        <f>IFERROR(AI647*$W647,)</f>
        <v/>
      </c>
      <c r="BU647" s="128">
        <f>IFERROR(AJ647*$W647,)</f>
        <v/>
      </c>
      <c r="BV647" s="128">
        <f>IFERROR(AK647*$W647,)</f>
        <v/>
      </c>
      <c r="BW647" s="128">
        <f>IFERROR(AL647*$W647,)</f>
        <v/>
      </c>
      <c r="BX647" s="128">
        <f>IFERROR(AM647*$W647,)</f>
        <v/>
      </c>
      <c r="BY647" s="128">
        <f>IFERROR(AN647*$W647,)</f>
        <v/>
      </c>
      <c r="BZ647" s="128">
        <f>IFERROR(AO647*$W647,)</f>
        <v/>
      </c>
      <c r="CA647" s="128">
        <f>IFERROR(AP647*$W647,)</f>
        <v/>
      </c>
      <c r="CB647" s="128">
        <f>IFERROR(AQ647*$W647,)</f>
        <v/>
      </c>
      <c r="CC647" s="128">
        <f>IFERROR(AR647*$W647,)</f>
        <v/>
      </c>
      <c r="CD647" s="128">
        <f>IFERROR(AS647*$W647,)</f>
        <v/>
      </c>
      <c r="CE647" s="128">
        <f>IFERROR(AT647*$W647,)</f>
        <v/>
      </c>
      <c r="CF647" s="128">
        <f>IFERROR(AU647*$W647,)</f>
        <v/>
      </c>
      <c r="CG647" s="128">
        <f>IFERROR(AV647*$W647,)</f>
        <v/>
      </c>
      <c r="CH647" s="128">
        <f>IFERROR(AW647*$W647,)</f>
        <v/>
      </c>
      <c r="CI647" s="128">
        <f>IFERROR(AX647*$W647,)</f>
        <v/>
      </c>
      <c r="CJ647" s="128">
        <f>IFERROR(AY647*$W647,)</f>
        <v/>
      </c>
      <c r="CK647" s="128">
        <f>IFERROR(AZ647*$W647,)</f>
        <v/>
      </c>
      <c r="CL647" s="129">
        <f>IFERROR(if($Y647=0,BA647*($W647/1.2),BA647*$Y647),"")</f>
        <v/>
      </c>
      <c r="CM647" s="129">
        <f>IFERROR(if($Y647=0,BB647*($W647/1.2),BB647*$Y647),"")</f>
        <v/>
      </c>
      <c r="CN647" s="129">
        <f>IFERROR(if($Y647=0,BC647*($W647/1.2),BC647*$Y647),"")</f>
        <v/>
      </c>
      <c r="CO647" s="130">
        <f>IFERROR(if($AA647=0,($W647/1.35)*BD647,BD647*$AA647),)</f>
        <v/>
      </c>
      <c r="CP647" s="130">
        <f>IFERROR(if($AA647=0,($W647/1.35)*BE647,BE647*$AA647),)</f>
        <v/>
      </c>
      <c r="CQ647" s="130">
        <f>IFERROR(if($AA647=0,($W647/1.35)*BF647,BF647*$AA647),)</f>
        <v/>
      </c>
      <c r="CR647" s="128">
        <f>IFERROR(if($AC647=0,($W647/0.74)*BG647,
BG647*$AC647),)</f>
        <v/>
      </c>
      <c r="CS647" s="128">
        <f>IFERROR(if($AC647=0,($W647/0.74)*BH647,
BH647*$AC647),)</f>
        <v/>
      </c>
      <c r="CT647" s="128">
        <f>IFERROR(if($AC647=0,($W647/0.74)*BI647,
BI647*$AC647),)</f>
        <v/>
      </c>
      <c r="CU647" s="128">
        <f>IFERROR(AI647*$V647,)</f>
        <v/>
      </c>
      <c r="CV647" s="128">
        <f>IFERROR(AJ647*$V647,)</f>
        <v/>
      </c>
      <c r="CW647" s="128">
        <f>IFERROR(AK647*$V647,)</f>
        <v/>
      </c>
      <c r="CX647" s="128">
        <f>IFERROR(AL647*$V647,)</f>
        <v/>
      </c>
      <c r="CY647" s="128">
        <f>IFERROR(AM647*$V647,)</f>
        <v/>
      </c>
      <c r="CZ647" s="128">
        <f>IFERROR(AN647*$V647,)</f>
        <v/>
      </c>
      <c r="DA647" s="128">
        <f>IFERROR(AO647*$V647,)</f>
        <v/>
      </c>
      <c r="DB647" s="128">
        <f>IFERROR(AP647*$V647,)</f>
        <v/>
      </c>
      <c r="DC647" s="128">
        <f>IFERROR(AQ647*$V647,)</f>
        <v/>
      </c>
      <c r="DD647" s="128">
        <f>IFERROR(AR647*$V647,)</f>
        <v/>
      </c>
      <c r="DE647" s="128">
        <f>IFERROR(AS647*$V647,)</f>
        <v/>
      </c>
      <c r="DF647" s="128">
        <f>IFERROR(AT647*$V647,)</f>
        <v/>
      </c>
      <c r="DG647" s="128">
        <f>IFERROR(AU647*$V647,)</f>
        <v/>
      </c>
      <c r="DH647" s="128">
        <f>IFERROR(AV647*$V647,)</f>
        <v/>
      </c>
      <c r="DI647" s="128">
        <f>IFERROR(AW647*$V647,)</f>
        <v/>
      </c>
      <c r="DJ647" s="128">
        <f>IFERROR(AX647*$V647,)</f>
        <v/>
      </c>
      <c r="DK647" s="128">
        <f>IFERROR(AY647*$V647,)</f>
        <v/>
      </c>
      <c r="DL647" s="128">
        <f>IFERROR(AZ647*$V647,)</f>
        <v/>
      </c>
      <c r="DM647" s="129">
        <f>IFERROR(if($X647=0,($V647/1.2)*BA647,
BA647*$X647),)</f>
        <v/>
      </c>
      <c r="DN647" s="129">
        <f>IFERROR(if($X647=0,($V647/1.2)*BB647,
BB647*$X647),)</f>
        <v/>
      </c>
      <c r="DO647" s="129">
        <f>IFERROR(if($X647=0,($V647/1.2)*BC647,
BC647*$X647),)</f>
        <v/>
      </c>
      <c r="DP647" s="130">
        <f>IFERROR(if($Z647=0,($V647/1.35)*BD647,
BD647*$Z647),)</f>
        <v/>
      </c>
      <c r="DQ647" s="130">
        <f>IFERROR(if($Z647=0,($V647/1.35)*BE647,
BE647*$Z647),)</f>
        <v/>
      </c>
      <c r="DR647" s="130">
        <f>IFERROR(if($Z647=0,($V647/1.35)*BF647,
BF647*$Z647),)</f>
        <v/>
      </c>
      <c r="DS647" s="128">
        <f>IFERROR(IF($AB647=0,($V647/0.74)*BG647,
BG647*$AB647),)</f>
        <v/>
      </c>
      <c r="DT647" s="128">
        <f>IFERROR(IF($AB647=0,($V647/0.74)*BH647,
BH647*$AB647),)</f>
        <v/>
      </c>
      <c r="DU647" s="128">
        <f>IFERROR(IF($AB647=0,($V647/0.74)*BI647,
BI647*$AB647),)</f>
        <v/>
      </c>
    </row>
    <row r="648" ht="131.25" customHeight="1" s="162">
      <c r="A648" s="115" t="n"/>
      <c r="B648" s="115" t="n"/>
      <c r="C648" s="115" t="n"/>
      <c r="D648" s="115" t="n"/>
      <c r="E648" s="115" t="n"/>
      <c r="F648" s="115" t="n"/>
      <c r="G648" s="115" t="n"/>
      <c r="H648" s="115" t="n"/>
      <c r="I648" s="115" t="n"/>
      <c r="J648" s="115" t="n"/>
      <c r="K648" s="115" t="n"/>
      <c r="L648" s="115" t="n"/>
      <c r="M648" s="115" t="n"/>
      <c r="N648" s="115" t="n"/>
      <c r="O648" s="115" t="n"/>
      <c r="P648" s="115" t="n"/>
      <c r="Q648" s="115" t="n"/>
      <c r="R648" s="115" t="n"/>
      <c r="S648" s="115" t="n"/>
      <c r="T648" s="115" t="n"/>
      <c r="U648" s="116" t="n"/>
      <c r="V648" s="116" t="n"/>
      <c r="W648" s="117" t="n"/>
      <c r="X648" s="118" t="n"/>
      <c r="Y648" s="119" t="n"/>
      <c r="Z648" s="120" t="n"/>
      <c r="AA648" s="121" t="n"/>
      <c r="AB648" s="122" t="n"/>
      <c r="AC648" s="117" t="n"/>
      <c r="AD648" s="123">
        <f>IF(SUM($AE648:$AH648)=0,"",SUM($AE648:$AH648))</f>
        <v/>
      </c>
      <c r="AE648" s="123">
        <f>iferror(IF(SUM($AI648:$AZ648)=0,"",SUM($AI648:$AZ648)),"")</f>
        <v/>
      </c>
      <c r="AF648" s="123">
        <f>iferror(IF(SUM($BA648:$BC648)=0,"",SUM($BA648:$BC648)),"")</f>
        <v/>
      </c>
      <c r="AG648" s="123">
        <f>iferror(IF(SUM($BD648:$BF648)=0,"",SUM($BD648:$BF648)),"")</f>
        <v/>
      </c>
      <c r="AH648" s="124">
        <f>iferror(IF(SUM($BG648:$BI648)=0,"",SUM($BG648:$BI648)),"")</f>
        <v/>
      </c>
      <c r="AI648" s="131" t="n"/>
      <c r="AJ648" s="132" t="n"/>
      <c r="AK648" s="132" t="n"/>
      <c r="AL648" s="132" t="n"/>
      <c r="AM648" s="132" t="n"/>
      <c r="AN648" s="132" t="n"/>
      <c r="AO648" s="132" t="n"/>
      <c r="AP648" s="132" t="n"/>
      <c r="AQ648" s="132" t="n"/>
      <c r="AR648" s="132" t="n"/>
      <c r="AS648" s="132" t="n"/>
      <c r="AT648" s="132" t="n"/>
      <c r="AU648" s="132" t="n"/>
      <c r="AV648" s="132" t="n"/>
      <c r="AW648" s="132" t="n"/>
      <c r="AX648" s="132" t="n"/>
      <c r="AY648" s="132" t="n"/>
      <c r="AZ648" s="133" t="n"/>
      <c r="BA648" s="131" t="n"/>
      <c r="BB648" s="132" t="n"/>
      <c r="BC648" s="133" t="n"/>
      <c r="BD648" s="131" t="n"/>
      <c r="BE648" s="132" t="n"/>
      <c r="BF648" s="133" t="n"/>
      <c r="BG648" s="131" t="n"/>
      <c r="BH648" s="132" t="n"/>
      <c r="BI648" s="132" t="n"/>
      <c r="BJ648" s="128">
        <f>iferror(SUM($BK648,($BL648*1.2),($BM648*1.35),($BN648*0.74)),)</f>
        <v/>
      </c>
      <c r="BK648" s="128">
        <f>IFERROR(SUM($BT648:$CK648),)</f>
        <v/>
      </c>
      <c r="BL648" s="129">
        <f>IFERROR(SUM($CL648:$CN648),)</f>
        <v/>
      </c>
      <c r="BM648" s="130">
        <f>IFERROR(SUM($CO648:$CQ648),)</f>
        <v/>
      </c>
      <c r="BN648" s="128">
        <f>IFERROR(SUM($CR648:$CT648),)</f>
        <v/>
      </c>
      <c r="BO648" s="128">
        <f>iferror(SUM($BP648,($BQ648*1.2),($BR648*1.35),($BS648*0.74)),)</f>
        <v/>
      </c>
      <c r="BP648" s="128">
        <f>IFERROR(SUM($CU648:$DL648),)</f>
        <v/>
      </c>
      <c r="BQ648" s="128">
        <f>IFERROR(SUM($DM648:$DO648),)</f>
        <v/>
      </c>
      <c r="BR648" s="128">
        <f>IFERROR(SUM($DP648:$DR648),)</f>
        <v/>
      </c>
      <c r="BS648" s="128">
        <f>IFERROR(SUM($DS648:$DU648),)</f>
        <v/>
      </c>
      <c r="BT648" s="128">
        <f>IFERROR(AI648*$W648,)</f>
        <v/>
      </c>
      <c r="BU648" s="128">
        <f>IFERROR(AJ648*$W648,)</f>
        <v/>
      </c>
      <c r="BV648" s="128">
        <f>IFERROR(AK648*$W648,)</f>
        <v/>
      </c>
      <c r="BW648" s="128">
        <f>IFERROR(AL648*$W648,)</f>
        <v/>
      </c>
      <c r="BX648" s="128">
        <f>IFERROR(AM648*$W648,)</f>
        <v/>
      </c>
      <c r="BY648" s="128">
        <f>IFERROR(AN648*$W648,)</f>
        <v/>
      </c>
      <c r="BZ648" s="128">
        <f>IFERROR(AO648*$W648,)</f>
        <v/>
      </c>
      <c r="CA648" s="128">
        <f>IFERROR(AP648*$W648,)</f>
        <v/>
      </c>
      <c r="CB648" s="128">
        <f>IFERROR(AQ648*$W648,)</f>
        <v/>
      </c>
      <c r="CC648" s="128">
        <f>IFERROR(AR648*$W648,)</f>
        <v/>
      </c>
      <c r="CD648" s="128">
        <f>IFERROR(AS648*$W648,)</f>
        <v/>
      </c>
      <c r="CE648" s="128">
        <f>IFERROR(AT648*$W648,)</f>
        <v/>
      </c>
      <c r="CF648" s="128">
        <f>IFERROR(AU648*$W648,)</f>
        <v/>
      </c>
      <c r="CG648" s="128">
        <f>IFERROR(AV648*$W648,)</f>
        <v/>
      </c>
      <c r="CH648" s="128">
        <f>IFERROR(AW648*$W648,)</f>
        <v/>
      </c>
      <c r="CI648" s="128">
        <f>IFERROR(AX648*$W648,)</f>
        <v/>
      </c>
      <c r="CJ648" s="128">
        <f>IFERROR(AY648*$W648,)</f>
        <v/>
      </c>
      <c r="CK648" s="128">
        <f>IFERROR(AZ648*$W648,)</f>
        <v/>
      </c>
      <c r="CL648" s="129">
        <f>IFERROR(if($Y648=0,BA648*($W648/1.2),BA648*$Y648),"")</f>
        <v/>
      </c>
      <c r="CM648" s="129">
        <f>IFERROR(if($Y648=0,BB648*($W648/1.2),BB648*$Y648),"")</f>
        <v/>
      </c>
      <c r="CN648" s="129">
        <f>IFERROR(if($Y648=0,BC648*($W648/1.2),BC648*$Y648),"")</f>
        <v/>
      </c>
      <c r="CO648" s="130">
        <f>IFERROR(if($AA648=0,($W648/1.35)*BD648,BD648*$AA648),)</f>
        <v/>
      </c>
      <c r="CP648" s="130">
        <f>IFERROR(if($AA648=0,($W648/1.35)*BE648,BE648*$AA648),)</f>
        <v/>
      </c>
      <c r="CQ648" s="130">
        <f>IFERROR(if($AA648=0,($W648/1.35)*BF648,BF648*$AA648),)</f>
        <v/>
      </c>
      <c r="CR648" s="128">
        <f>IFERROR(if($AC648=0,($W648/0.74)*BG648,
BG648*$AC648),)</f>
        <v/>
      </c>
      <c r="CS648" s="128">
        <f>IFERROR(if($AC648=0,($W648/0.74)*BH648,
BH648*$AC648),)</f>
        <v/>
      </c>
      <c r="CT648" s="128">
        <f>IFERROR(if($AC648=0,($W648/0.74)*BI648,
BI648*$AC648),)</f>
        <v/>
      </c>
      <c r="CU648" s="128">
        <f>IFERROR(AI648*$V648,)</f>
        <v/>
      </c>
      <c r="CV648" s="128">
        <f>IFERROR(AJ648*$V648,)</f>
        <v/>
      </c>
      <c r="CW648" s="128">
        <f>IFERROR(AK648*$V648,)</f>
        <v/>
      </c>
      <c r="CX648" s="128">
        <f>IFERROR(AL648*$V648,)</f>
        <v/>
      </c>
      <c r="CY648" s="128">
        <f>IFERROR(AM648*$V648,)</f>
        <v/>
      </c>
      <c r="CZ648" s="128">
        <f>IFERROR(AN648*$V648,)</f>
        <v/>
      </c>
      <c r="DA648" s="128">
        <f>IFERROR(AO648*$V648,)</f>
        <v/>
      </c>
      <c r="DB648" s="128">
        <f>IFERROR(AP648*$V648,)</f>
        <v/>
      </c>
      <c r="DC648" s="128">
        <f>IFERROR(AQ648*$V648,)</f>
        <v/>
      </c>
      <c r="DD648" s="128">
        <f>IFERROR(AR648*$V648,)</f>
        <v/>
      </c>
      <c r="DE648" s="128">
        <f>IFERROR(AS648*$V648,)</f>
        <v/>
      </c>
      <c r="DF648" s="128">
        <f>IFERROR(AT648*$V648,)</f>
        <v/>
      </c>
      <c r="DG648" s="128">
        <f>IFERROR(AU648*$V648,)</f>
        <v/>
      </c>
      <c r="DH648" s="128">
        <f>IFERROR(AV648*$V648,)</f>
        <v/>
      </c>
      <c r="DI648" s="128">
        <f>IFERROR(AW648*$V648,)</f>
        <v/>
      </c>
      <c r="DJ648" s="128">
        <f>IFERROR(AX648*$V648,)</f>
        <v/>
      </c>
      <c r="DK648" s="128">
        <f>IFERROR(AY648*$V648,)</f>
        <v/>
      </c>
      <c r="DL648" s="128">
        <f>IFERROR(AZ648*$V648,)</f>
        <v/>
      </c>
      <c r="DM648" s="129">
        <f>IFERROR(if($X648=0,($V648/1.2)*BA648,
BA648*$X648),)</f>
        <v/>
      </c>
      <c r="DN648" s="129">
        <f>IFERROR(if($X648=0,($V648/1.2)*BB648,
BB648*$X648),)</f>
        <v/>
      </c>
      <c r="DO648" s="129">
        <f>IFERROR(if($X648=0,($V648/1.2)*BC648,
BC648*$X648),)</f>
        <v/>
      </c>
      <c r="DP648" s="130">
        <f>IFERROR(if($Z648=0,($V648/1.35)*BD648,
BD648*$Z648),)</f>
        <v/>
      </c>
      <c r="DQ648" s="130">
        <f>IFERROR(if($Z648=0,($V648/1.35)*BE648,
BE648*$Z648),)</f>
        <v/>
      </c>
      <c r="DR648" s="130">
        <f>IFERROR(if($Z648=0,($V648/1.35)*BF648,
BF648*$Z648),)</f>
        <v/>
      </c>
      <c r="DS648" s="128">
        <f>IFERROR(IF($AB648=0,($V648/0.74)*BG648,
BG648*$AB648),)</f>
        <v/>
      </c>
      <c r="DT648" s="128">
        <f>IFERROR(IF($AB648=0,($V648/0.74)*BH648,
BH648*$AB648),)</f>
        <v/>
      </c>
      <c r="DU648" s="128">
        <f>IFERROR(IF($AB648=0,($V648/0.74)*BI648,
BI648*$AB648),)</f>
        <v/>
      </c>
    </row>
    <row r="649" ht="131.25" customHeight="1" s="162">
      <c r="A649" s="115" t="n"/>
      <c r="B649" s="115" t="n"/>
      <c r="C649" s="115" t="n"/>
      <c r="D649" s="115" t="n"/>
      <c r="E649" s="115" t="n"/>
      <c r="F649" s="115" t="n"/>
      <c r="G649" s="115" t="n"/>
      <c r="H649" s="115" t="n"/>
      <c r="I649" s="115" t="n"/>
      <c r="J649" s="115" t="n"/>
      <c r="K649" s="115" t="n"/>
      <c r="L649" s="115" t="n"/>
      <c r="M649" s="115" t="n"/>
      <c r="N649" s="115" t="n"/>
      <c r="O649" s="115" t="n"/>
      <c r="P649" s="115" t="n"/>
      <c r="Q649" s="115" t="n"/>
      <c r="R649" s="115" t="n"/>
      <c r="S649" s="115" t="n"/>
      <c r="T649" s="115" t="n"/>
      <c r="U649" s="116" t="n"/>
      <c r="V649" s="116" t="n"/>
      <c r="W649" s="117" t="n"/>
      <c r="X649" s="118" t="n"/>
      <c r="Y649" s="119" t="n"/>
      <c r="Z649" s="120" t="n"/>
      <c r="AA649" s="121" t="n"/>
      <c r="AB649" s="122" t="n"/>
      <c r="AC649" s="117" t="n"/>
      <c r="AD649" s="123">
        <f>IF(SUM($AE649:$AH649)=0,"",SUM($AE649:$AH649))</f>
        <v/>
      </c>
      <c r="AE649" s="123">
        <f>iferror(IF(SUM($AI649:$AZ649)=0,"",SUM($AI649:$AZ649)),"")</f>
        <v/>
      </c>
      <c r="AF649" s="123">
        <f>iferror(IF(SUM($BA649:$BC649)=0,"",SUM($BA649:$BC649)),"")</f>
        <v/>
      </c>
      <c r="AG649" s="123">
        <f>iferror(IF(SUM($BD649:$BF649)=0,"",SUM($BD649:$BF649)),"")</f>
        <v/>
      </c>
      <c r="AH649" s="124">
        <f>iferror(IF(SUM($BG649:$BI649)=0,"",SUM($BG649:$BI649)),"")</f>
        <v/>
      </c>
      <c r="AI649" s="131" t="n"/>
      <c r="AJ649" s="132" t="n"/>
      <c r="AK649" s="132" t="n"/>
      <c r="AL649" s="132" t="n"/>
      <c r="AM649" s="132" t="n"/>
      <c r="AN649" s="132" t="n"/>
      <c r="AO649" s="132" t="n"/>
      <c r="AP649" s="132" t="n"/>
      <c r="AQ649" s="132" t="n"/>
      <c r="AR649" s="132" t="n"/>
      <c r="AS649" s="132" t="n"/>
      <c r="AT649" s="132" t="n"/>
      <c r="AU649" s="132" t="n"/>
      <c r="AV649" s="132" t="n"/>
      <c r="AW649" s="132" t="n"/>
      <c r="AX649" s="132" t="n"/>
      <c r="AY649" s="132" t="n"/>
      <c r="AZ649" s="133" t="n"/>
      <c r="BA649" s="131" t="n"/>
      <c r="BB649" s="132" t="n"/>
      <c r="BC649" s="133" t="n"/>
      <c r="BD649" s="131" t="n"/>
      <c r="BE649" s="132" t="n"/>
      <c r="BF649" s="133" t="n"/>
      <c r="BG649" s="131" t="n"/>
      <c r="BH649" s="132" t="n"/>
      <c r="BI649" s="132" t="n"/>
      <c r="BJ649" s="128">
        <f>iferror(SUM($BK649,($BL649*1.2),($BM649*1.35),($BN649*0.74)),)</f>
        <v/>
      </c>
      <c r="BK649" s="128">
        <f>IFERROR(SUM($BT649:$CK649),)</f>
        <v/>
      </c>
      <c r="BL649" s="129">
        <f>IFERROR(SUM($CL649:$CN649),)</f>
        <v/>
      </c>
      <c r="BM649" s="130">
        <f>IFERROR(SUM($CO649:$CQ649),)</f>
        <v/>
      </c>
      <c r="BN649" s="128">
        <f>IFERROR(SUM($CR649:$CT649),)</f>
        <v/>
      </c>
      <c r="BO649" s="128">
        <f>iferror(SUM($BP649,($BQ649*1.2),($BR649*1.35),($BS649*0.74)),)</f>
        <v/>
      </c>
      <c r="BP649" s="128">
        <f>IFERROR(SUM($CU649:$DL649),)</f>
        <v/>
      </c>
      <c r="BQ649" s="128">
        <f>IFERROR(SUM($DM649:$DO649),)</f>
        <v/>
      </c>
      <c r="BR649" s="128">
        <f>IFERROR(SUM($DP649:$DR649),)</f>
        <v/>
      </c>
      <c r="BS649" s="128">
        <f>IFERROR(SUM($DS649:$DU649),)</f>
        <v/>
      </c>
      <c r="BT649" s="128">
        <f>IFERROR(AI649*$W649,)</f>
        <v/>
      </c>
      <c r="BU649" s="128">
        <f>IFERROR(AJ649*$W649,)</f>
        <v/>
      </c>
      <c r="BV649" s="128">
        <f>IFERROR(AK649*$W649,)</f>
        <v/>
      </c>
      <c r="BW649" s="128">
        <f>IFERROR(AL649*$W649,)</f>
        <v/>
      </c>
      <c r="BX649" s="128">
        <f>IFERROR(AM649*$W649,)</f>
        <v/>
      </c>
      <c r="BY649" s="128">
        <f>IFERROR(AN649*$W649,)</f>
        <v/>
      </c>
      <c r="BZ649" s="128">
        <f>IFERROR(AO649*$W649,)</f>
        <v/>
      </c>
      <c r="CA649" s="128">
        <f>IFERROR(AP649*$W649,)</f>
        <v/>
      </c>
      <c r="CB649" s="128">
        <f>IFERROR(AQ649*$W649,)</f>
        <v/>
      </c>
      <c r="CC649" s="128">
        <f>IFERROR(AR649*$W649,)</f>
        <v/>
      </c>
      <c r="CD649" s="128">
        <f>IFERROR(AS649*$W649,)</f>
        <v/>
      </c>
      <c r="CE649" s="128">
        <f>IFERROR(AT649*$W649,)</f>
        <v/>
      </c>
      <c r="CF649" s="128">
        <f>IFERROR(AU649*$W649,)</f>
        <v/>
      </c>
      <c r="CG649" s="128">
        <f>IFERROR(AV649*$W649,)</f>
        <v/>
      </c>
      <c r="CH649" s="128">
        <f>IFERROR(AW649*$W649,)</f>
        <v/>
      </c>
      <c r="CI649" s="128">
        <f>IFERROR(AX649*$W649,)</f>
        <v/>
      </c>
      <c r="CJ649" s="128">
        <f>IFERROR(AY649*$W649,)</f>
        <v/>
      </c>
      <c r="CK649" s="128">
        <f>IFERROR(AZ649*$W649,)</f>
        <v/>
      </c>
      <c r="CL649" s="129">
        <f>IFERROR(if($Y649=0,BA649*($W649/1.2),BA649*$Y649),"")</f>
        <v/>
      </c>
      <c r="CM649" s="129">
        <f>IFERROR(if($Y649=0,BB649*($W649/1.2),BB649*$Y649),"")</f>
        <v/>
      </c>
      <c r="CN649" s="129">
        <f>IFERROR(if($Y649=0,BC649*($W649/1.2),BC649*$Y649),"")</f>
        <v/>
      </c>
      <c r="CO649" s="130">
        <f>IFERROR(if($AA649=0,($W649/1.35)*BD649,BD649*$AA649),)</f>
        <v/>
      </c>
      <c r="CP649" s="130">
        <f>IFERROR(if($AA649=0,($W649/1.35)*BE649,BE649*$AA649),)</f>
        <v/>
      </c>
      <c r="CQ649" s="130">
        <f>IFERROR(if($AA649=0,($W649/1.35)*BF649,BF649*$AA649),)</f>
        <v/>
      </c>
      <c r="CR649" s="128">
        <f>IFERROR(if($AC649=0,($W649/0.74)*BG649,
BG649*$AC649),)</f>
        <v/>
      </c>
      <c r="CS649" s="128">
        <f>IFERROR(if($AC649=0,($W649/0.74)*BH649,
BH649*$AC649),)</f>
        <v/>
      </c>
      <c r="CT649" s="128">
        <f>IFERROR(if($AC649=0,($W649/0.74)*BI649,
BI649*$AC649),)</f>
        <v/>
      </c>
      <c r="CU649" s="128">
        <f>IFERROR(AI649*$V649,)</f>
        <v/>
      </c>
      <c r="CV649" s="128">
        <f>IFERROR(AJ649*$V649,)</f>
        <v/>
      </c>
      <c r="CW649" s="128">
        <f>IFERROR(AK649*$V649,)</f>
        <v/>
      </c>
      <c r="CX649" s="128">
        <f>IFERROR(AL649*$V649,)</f>
        <v/>
      </c>
      <c r="CY649" s="128">
        <f>IFERROR(AM649*$V649,)</f>
        <v/>
      </c>
      <c r="CZ649" s="128">
        <f>IFERROR(AN649*$V649,)</f>
        <v/>
      </c>
      <c r="DA649" s="128">
        <f>IFERROR(AO649*$V649,)</f>
        <v/>
      </c>
      <c r="DB649" s="128">
        <f>IFERROR(AP649*$V649,)</f>
        <v/>
      </c>
      <c r="DC649" s="128">
        <f>IFERROR(AQ649*$V649,)</f>
        <v/>
      </c>
      <c r="DD649" s="128">
        <f>IFERROR(AR649*$V649,)</f>
        <v/>
      </c>
      <c r="DE649" s="128">
        <f>IFERROR(AS649*$V649,)</f>
        <v/>
      </c>
      <c r="DF649" s="128">
        <f>IFERROR(AT649*$V649,)</f>
        <v/>
      </c>
      <c r="DG649" s="128">
        <f>IFERROR(AU649*$V649,)</f>
        <v/>
      </c>
      <c r="DH649" s="128">
        <f>IFERROR(AV649*$V649,)</f>
        <v/>
      </c>
      <c r="DI649" s="128">
        <f>IFERROR(AW649*$V649,)</f>
        <v/>
      </c>
      <c r="DJ649" s="128">
        <f>IFERROR(AX649*$V649,)</f>
        <v/>
      </c>
      <c r="DK649" s="128">
        <f>IFERROR(AY649*$V649,)</f>
        <v/>
      </c>
      <c r="DL649" s="128">
        <f>IFERROR(AZ649*$V649,)</f>
        <v/>
      </c>
      <c r="DM649" s="129">
        <f>IFERROR(if($X649=0,($V649/1.2)*BA649,
BA649*$X649),)</f>
        <v/>
      </c>
      <c r="DN649" s="129">
        <f>IFERROR(if($X649=0,($V649/1.2)*BB649,
BB649*$X649),)</f>
        <v/>
      </c>
      <c r="DO649" s="129">
        <f>IFERROR(if($X649=0,($V649/1.2)*BC649,
BC649*$X649),)</f>
        <v/>
      </c>
      <c r="DP649" s="130">
        <f>IFERROR(if($Z649=0,($V649/1.35)*BD649,
BD649*$Z649),)</f>
        <v/>
      </c>
      <c r="DQ649" s="130">
        <f>IFERROR(if($Z649=0,($V649/1.35)*BE649,
BE649*$Z649),)</f>
        <v/>
      </c>
      <c r="DR649" s="130">
        <f>IFERROR(if($Z649=0,($V649/1.35)*BF649,
BF649*$Z649),)</f>
        <v/>
      </c>
      <c r="DS649" s="128">
        <f>IFERROR(IF($AB649=0,($V649/0.74)*BG649,
BG649*$AB649),)</f>
        <v/>
      </c>
      <c r="DT649" s="128">
        <f>IFERROR(IF($AB649=0,($V649/0.74)*BH649,
BH649*$AB649),)</f>
        <v/>
      </c>
      <c r="DU649" s="128">
        <f>IFERROR(IF($AB649=0,($V649/0.74)*BI649,
BI649*$AB649),)</f>
        <v/>
      </c>
    </row>
    <row r="650" ht="131.25" customHeight="1" s="162">
      <c r="A650" s="115" t="n"/>
      <c r="B650" s="115" t="n"/>
      <c r="C650" s="115" t="n"/>
      <c r="D650" s="115" t="n"/>
      <c r="E650" s="115" t="n"/>
      <c r="F650" s="115" t="n"/>
      <c r="G650" s="115" t="n"/>
      <c r="H650" s="115" t="n"/>
      <c r="I650" s="115" t="n"/>
      <c r="J650" s="115" t="n"/>
      <c r="K650" s="115" t="n"/>
      <c r="L650" s="115" t="n"/>
      <c r="M650" s="115" t="n"/>
      <c r="N650" s="115" t="n"/>
      <c r="O650" s="115" t="n"/>
      <c r="P650" s="115" t="n"/>
      <c r="Q650" s="115" t="n"/>
      <c r="R650" s="115" t="n"/>
      <c r="S650" s="115" t="n"/>
      <c r="T650" s="115" t="n"/>
      <c r="U650" s="116" t="n"/>
      <c r="V650" s="116" t="n"/>
      <c r="W650" s="117" t="n"/>
      <c r="X650" s="118" t="n"/>
      <c r="Y650" s="119" t="n"/>
      <c r="Z650" s="120" t="n"/>
      <c r="AA650" s="121" t="n"/>
      <c r="AB650" s="122" t="n"/>
      <c r="AC650" s="117" t="n"/>
      <c r="AD650" s="123">
        <f>IF(SUM($AE650:$AH650)=0,"",SUM($AE650:$AH650))</f>
        <v/>
      </c>
      <c r="AE650" s="123">
        <f>iferror(IF(SUM($AI650:$AZ650)=0,"",SUM($AI650:$AZ650)),"")</f>
        <v/>
      </c>
      <c r="AF650" s="123">
        <f>iferror(IF(SUM($BA650:$BC650)=0,"",SUM($BA650:$BC650)),"")</f>
        <v/>
      </c>
      <c r="AG650" s="123">
        <f>iferror(IF(SUM($BD650:$BF650)=0,"",SUM($BD650:$BF650)),"")</f>
        <v/>
      </c>
      <c r="AH650" s="124">
        <f>iferror(IF(SUM($BG650:$BI650)=0,"",SUM($BG650:$BI650)),"")</f>
        <v/>
      </c>
      <c r="AI650" s="131" t="n"/>
      <c r="AJ650" s="132" t="n"/>
      <c r="AK650" s="132" t="n"/>
      <c r="AL650" s="132" t="n"/>
      <c r="AM650" s="132" t="n"/>
      <c r="AN650" s="132" t="n"/>
      <c r="AO650" s="132" t="n"/>
      <c r="AP650" s="132" t="n"/>
      <c r="AQ650" s="132" t="n"/>
      <c r="AR650" s="132" t="n"/>
      <c r="AS650" s="132" t="n"/>
      <c r="AT650" s="132" t="n"/>
      <c r="AU650" s="132" t="n"/>
      <c r="AV650" s="132" t="n"/>
      <c r="AW650" s="132" t="n"/>
      <c r="AX650" s="132" t="n"/>
      <c r="AY650" s="132" t="n"/>
      <c r="AZ650" s="133" t="n"/>
      <c r="BA650" s="131" t="n"/>
      <c r="BB650" s="132" t="n"/>
      <c r="BC650" s="133" t="n"/>
      <c r="BD650" s="131" t="n"/>
      <c r="BE650" s="132" t="n"/>
      <c r="BF650" s="133" t="n"/>
      <c r="BG650" s="131" t="n"/>
      <c r="BH650" s="132" t="n"/>
      <c r="BI650" s="132" t="n"/>
      <c r="BJ650" s="128">
        <f>iferror(SUM($BK650,($BL650*1.2),($BM650*1.35),($BN650*0.74)),)</f>
        <v/>
      </c>
      <c r="BK650" s="128">
        <f>IFERROR(SUM($BT650:$CK650),)</f>
        <v/>
      </c>
      <c r="BL650" s="129">
        <f>IFERROR(SUM($CL650:$CN650),)</f>
        <v/>
      </c>
      <c r="BM650" s="130">
        <f>IFERROR(SUM($CO650:$CQ650),)</f>
        <v/>
      </c>
      <c r="BN650" s="128">
        <f>IFERROR(SUM($CR650:$CT650),)</f>
        <v/>
      </c>
      <c r="BO650" s="128">
        <f>iferror(SUM($BP650,($BQ650*1.2),($BR650*1.35),($BS650*0.74)),)</f>
        <v/>
      </c>
      <c r="BP650" s="128">
        <f>IFERROR(SUM($CU650:$DL650),)</f>
        <v/>
      </c>
      <c r="BQ650" s="128">
        <f>IFERROR(SUM($DM650:$DO650),)</f>
        <v/>
      </c>
      <c r="BR650" s="128">
        <f>IFERROR(SUM($DP650:$DR650),)</f>
        <v/>
      </c>
      <c r="BS650" s="128">
        <f>IFERROR(SUM($DS650:$DU650),)</f>
        <v/>
      </c>
      <c r="BT650" s="128">
        <f>IFERROR(AI650*$W650,)</f>
        <v/>
      </c>
      <c r="BU650" s="128">
        <f>IFERROR(AJ650*$W650,)</f>
        <v/>
      </c>
      <c r="BV650" s="128">
        <f>IFERROR(AK650*$W650,)</f>
        <v/>
      </c>
      <c r="BW650" s="128">
        <f>IFERROR(AL650*$W650,)</f>
        <v/>
      </c>
      <c r="BX650" s="128">
        <f>IFERROR(AM650*$W650,)</f>
        <v/>
      </c>
      <c r="BY650" s="128">
        <f>IFERROR(AN650*$W650,)</f>
        <v/>
      </c>
      <c r="BZ650" s="128">
        <f>IFERROR(AO650*$W650,)</f>
        <v/>
      </c>
      <c r="CA650" s="128">
        <f>IFERROR(AP650*$W650,)</f>
        <v/>
      </c>
      <c r="CB650" s="128">
        <f>IFERROR(AQ650*$W650,)</f>
        <v/>
      </c>
      <c r="CC650" s="128">
        <f>IFERROR(AR650*$W650,)</f>
        <v/>
      </c>
      <c r="CD650" s="128">
        <f>IFERROR(AS650*$W650,)</f>
        <v/>
      </c>
      <c r="CE650" s="128">
        <f>IFERROR(AT650*$W650,)</f>
        <v/>
      </c>
      <c r="CF650" s="128">
        <f>IFERROR(AU650*$W650,)</f>
        <v/>
      </c>
      <c r="CG650" s="128">
        <f>IFERROR(AV650*$W650,)</f>
        <v/>
      </c>
      <c r="CH650" s="128">
        <f>IFERROR(AW650*$W650,)</f>
        <v/>
      </c>
      <c r="CI650" s="128">
        <f>IFERROR(AX650*$W650,)</f>
        <v/>
      </c>
      <c r="CJ650" s="128">
        <f>IFERROR(AY650*$W650,)</f>
        <v/>
      </c>
      <c r="CK650" s="128">
        <f>IFERROR(AZ650*$W650,)</f>
        <v/>
      </c>
      <c r="CL650" s="129">
        <f>IFERROR(if($Y650=0,BA650*($W650/1.2),BA650*$Y650),"")</f>
        <v/>
      </c>
      <c r="CM650" s="129">
        <f>IFERROR(if($Y650=0,BB650*($W650/1.2),BB650*$Y650),"")</f>
        <v/>
      </c>
      <c r="CN650" s="129">
        <f>IFERROR(if($Y650=0,BC650*($W650/1.2),BC650*$Y650),"")</f>
        <v/>
      </c>
      <c r="CO650" s="130">
        <f>IFERROR(if($AA650=0,($W650/1.35)*BD650,BD650*$AA650),)</f>
        <v/>
      </c>
      <c r="CP650" s="130">
        <f>IFERROR(if($AA650=0,($W650/1.35)*BE650,BE650*$AA650),)</f>
        <v/>
      </c>
      <c r="CQ650" s="130">
        <f>IFERROR(if($AA650=0,($W650/1.35)*BF650,BF650*$AA650),)</f>
        <v/>
      </c>
      <c r="CR650" s="128">
        <f>IFERROR(if($AC650=0,($W650/0.74)*BG650,
BG650*$AC650),)</f>
        <v/>
      </c>
      <c r="CS650" s="128">
        <f>IFERROR(if($AC650=0,($W650/0.74)*BH650,
BH650*$AC650),)</f>
        <v/>
      </c>
      <c r="CT650" s="128">
        <f>IFERROR(if($AC650=0,($W650/0.74)*BI650,
BI650*$AC650),)</f>
        <v/>
      </c>
      <c r="CU650" s="128">
        <f>IFERROR(AI650*$V650,)</f>
        <v/>
      </c>
      <c r="CV650" s="128">
        <f>IFERROR(AJ650*$V650,)</f>
        <v/>
      </c>
      <c r="CW650" s="128">
        <f>IFERROR(AK650*$V650,)</f>
        <v/>
      </c>
      <c r="CX650" s="128">
        <f>IFERROR(AL650*$V650,)</f>
        <v/>
      </c>
      <c r="CY650" s="128">
        <f>IFERROR(AM650*$V650,)</f>
        <v/>
      </c>
      <c r="CZ650" s="128">
        <f>IFERROR(AN650*$V650,)</f>
        <v/>
      </c>
      <c r="DA650" s="128">
        <f>IFERROR(AO650*$V650,)</f>
        <v/>
      </c>
      <c r="DB650" s="128">
        <f>IFERROR(AP650*$V650,)</f>
        <v/>
      </c>
      <c r="DC650" s="128">
        <f>IFERROR(AQ650*$V650,)</f>
        <v/>
      </c>
      <c r="DD650" s="128">
        <f>IFERROR(AR650*$V650,)</f>
        <v/>
      </c>
      <c r="DE650" s="128">
        <f>IFERROR(AS650*$V650,)</f>
        <v/>
      </c>
      <c r="DF650" s="128">
        <f>IFERROR(AT650*$V650,)</f>
        <v/>
      </c>
      <c r="DG650" s="128">
        <f>IFERROR(AU650*$V650,)</f>
        <v/>
      </c>
      <c r="DH650" s="128">
        <f>IFERROR(AV650*$V650,)</f>
        <v/>
      </c>
      <c r="DI650" s="128">
        <f>IFERROR(AW650*$V650,)</f>
        <v/>
      </c>
      <c r="DJ650" s="128">
        <f>IFERROR(AX650*$V650,)</f>
        <v/>
      </c>
      <c r="DK650" s="128">
        <f>IFERROR(AY650*$V650,)</f>
        <v/>
      </c>
      <c r="DL650" s="128">
        <f>IFERROR(AZ650*$V650,)</f>
        <v/>
      </c>
      <c r="DM650" s="129">
        <f>IFERROR(if($X650=0,($V650/1.2)*BA650,
BA650*$X650),)</f>
        <v/>
      </c>
      <c r="DN650" s="129">
        <f>IFERROR(if($X650=0,($V650/1.2)*BB650,
BB650*$X650),)</f>
        <v/>
      </c>
      <c r="DO650" s="129">
        <f>IFERROR(if($X650=0,($V650/1.2)*BC650,
BC650*$X650),)</f>
        <v/>
      </c>
      <c r="DP650" s="130">
        <f>IFERROR(if($Z650=0,($V650/1.35)*BD650,
BD650*$Z650),)</f>
        <v/>
      </c>
      <c r="DQ650" s="130">
        <f>IFERROR(if($Z650=0,($V650/1.35)*BE650,
BE650*$Z650),)</f>
        <v/>
      </c>
      <c r="DR650" s="130">
        <f>IFERROR(if($Z650=0,($V650/1.35)*BF650,
BF650*$Z650),)</f>
        <v/>
      </c>
      <c r="DS650" s="128">
        <f>IFERROR(IF($AB650=0,($V650/0.74)*BG650,
BG650*$AB650),)</f>
        <v/>
      </c>
      <c r="DT650" s="128">
        <f>IFERROR(IF($AB650=0,($V650/0.74)*BH650,
BH650*$AB650),)</f>
        <v/>
      </c>
      <c r="DU650" s="128">
        <f>IFERROR(IF($AB650=0,($V650/0.74)*BI650,
BI650*$AB650),)</f>
        <v/>
      </c>
    </row>
    <row r="651" ht="131.25" customHeight="1" s="162">
      <c r="A651" s="115" t="n"/>
      <c r="B651" s="115" t="n"/>
      <c r="C651" s="115" t="n"/>
      <c r="D651" s="115" t="n"/>
      <c r="E651" s="115" t="n"/>
      <c r="F651" s="115" t="n"/>
      <c r="G651" s="115" t="n"/>
      <c r="H651" s="115" t="n"/>
      <c r="I651" s="115" t="n"/>
      <c r="J651" s="115" t="n"/>
      <c r="K651" s="115" t="n"/>
      <c r="L651" s="115" t="n"/>
      <c r="M651" s="115" t="n"/>
      <c r="N651" s="115" t="n"/>
      <c r="O651" s="115" t="n"/>
      <c r="P651" s="115" t="n"/>
      <c r="Q651" s="115" t="n"/>
      <c r="R651" s="115" t="n"/>
      <c r="S651" s="115" t="n"/>
      <c r="T651" s="115" t="n"/>
      <c r="U651" s="116" t="n"/>
      <c r="V651" s="116" t="n"/>
      <c r="W651" s="117" t="n"/>
      <c r="X651" s="118" t="n"/>
      <c r="Y651" s="119" t="n"/>
      <c r="Z651" s="120" t="n"/>
      <c r="AA651" s="121" t="n"/>
      <c r="AB651" s="122" t="n"/>
      <c r="AC651" s="117" t="n"/>
      <c r="AD651" s="123">
        <f>IF(SUM($AE651:$AH651)=0,"",SUM($AE651:$AH651))</f>
        <v/>
      </c>
      <c r="AE651" s="123">
        <f>iferror(IF(SUM($AI651:$AZ651)=0,"",SUM($AI651:$AZ651)),"")</f>
        <v/>
      </c>
      <c r="AF651" s="123">
        <f>iferror(IF(SUM($BA651:$BC651)=0,"",SUM($BA651:$BC651)),"")</f>
        <v/>
      </c>
      <c r="AG651" s="123">
        <f>iferror(IF(SUM($BD651:$BF651)=0,"",SUM($BD651:$BF651)),"")</f>
        <v/>
      </c>
      <c r="AH651" s="124">
        <f>iferror(IF(SUM($BG651:$BI651)=0,"",SUM($BG651:$BI651)),"")</f>
        <v/>
      </c>
      <c r="AI651" s="131" t="n"/>
      <c r="AJ651" s="132" t="n"/>
      <c r="AK651" s="132" t="n"/>
      <c r="AL651" s="132" t="n"/>
      <c r="AM651" s="132" t="n"/>
      <c r="AN651" s="132" t="n"/>
      <c r="AO651" s="132" t="n"/>
      <c r="AP651" s="132" t="n"/>
      <c r="AQ651" s="132" t="n"/>
      <c r="AR651" s="132" t="n"/>
      <c r="AS651" s="132" t="n"/>
      <c r="AT651" s="132" t="n"/>
      <c r="AU651" s="132" t="n"/>
      <c r="AV651" s="132" t="n"/>
      <c r="AW651" s="132" t="n"/>
      <c r="AX651" s="132" t="n"/>
      <c r="AY651" s="132" t="n"/>
      <c r="AZ651" s="133" t="n"/>
      <c r="BA651" s="131" t="n"/>
      <c r="BB651" s="132" t="n"/>
      <c r="BC651" s="133" t="n"/>
      <c r="BD651" s="131" t="n"/>
      <c r="BE651" s="132" t="n"/>
      <c r="BF651" s="133" t="n"/>
      <c r="BG651" s="131" t="n"/>
      <c r="BH651" s="132" t="n"/>
      <c r="BI651" s="132" t="n"/>
      <c r="BJ651" s="128">
        <f>iferror(SUM($BK651,($BL651*1.2),($BM651*1.35),($BN651*0.74)),)</f>
        <v/>
      </c>
      <c r="BK651" s="128">
        <f>IFERROR(SUM($BT651:$CK651),)</f>
        <v/>
      </c>
      <c r="BL651" s="129">
        <f>IFERROR(SUM($CL651:$CN651),)</f>
        <v/>
      </c>
      <c r="BM651" s="130">
        <f>IFERROR(SUM($CO651:$CQ651),)</f>
        <v/>
      </c>
      <c r="BN651" s="128">
        <f>IFERROR(SUM($CR651:$CT651),)</f>
        <v/>
      </c>
      <c r="BO651" s="128">
        <f>iferror(SUM($BP651,($BQ651*1.2),($BR651*1.35),($BS651*0.74)),)</f>
        <v/>
      </c>
      <c r="BP651" s="128">
        <f>IFERROR(SUM($CU651:$DL651),)</f>
        <v/>
      </c>
      <c r="BQ651" s="128">
        <f>IFERROR(SUM($DM651:$DO651),)</f>
        <v/>
      </c>
      <c r="BR651" s="128">
        <f>IFERROR(SUM($DP651:$DR651),)</f>
        <v/>
      </c>
      <c r="BS651" s="128">
        <f>IFERROR(SUM($DS651:$DU651),)</f>
        <v/>
      </c>
      <c r="BT651" s="128">
        <f>IFERROR(AI651*$W651,)</f>
        <v/>
      </c>
      <c r="BU651" s="128">
        <f>IFERROR(AJ651*$W651,)</f>
        <v/>
      </c>
      <c r="BV651" s="128">
        <f>IFERROR(AK651*$W651,)</f>
        <v/>
      </c>
      <c r="BW651" s="128">
        <f>IFERROR(AL651*$W651,)</f>
        <v/>
      </c>
      <c r="BX651" s="128">
        <f>IFERROR(AM651*$W651,)</f>
        <v/>
      </c>
      <c r="BY651" s="128">
        <f>IFERROR(AN651*$W651,)</f>
        <v/>
      </c>
      <c r="BZ651" s="128">
        <f>IFERROR(AO651*$W651,)</f>
        <v/>
      </c>
      <c r="CA651" s="128">
        <f>IFERROR(AP651*$W651,)</f>
        <v/>
      </c>
      <c r="CB651" s="128">
        <f>IFERROR(AQ651*$W651,)</f>
        <v/>
      </c>
      <c r="CC651" s="128">
        <f>IFERROR(AR651*$W651,)</f>
        <v/>
      </c>
      <c r="CD651" s="128">
        <f>IFERROR(AS651*$W651,)</f>
        <v/>
      </c>
      <c r="CE651" s="128">
        <f>IFERROR(AT651*$W651,)</f>
        <v/>
      </c>
      <c r="CF651" s="128">
        <f>IFERROR(AU651*$W651,)</f>
        <v/>
      </c>
      <c r="CG651" s="128">
        <f>IFERROR(AV651*$W651,)</f>
        <v/>
      </c>
      <c r="CH651" s="128">
        <f>IFERROR(AW651*$W651,)</f>
        <v/>
      </c>
      <c r="CI651" s="128">
        <f>IFERROR(AX651*$W651,)</f>
        <v/>
      </c>
      <c r="CJ651" s="128">
        <f>IFERROR(AY651*$W651,)</f>
        <v/>
      </c>
      <c r="CK651" s="128">
        <f>IFERROR(AZ651*$W651,)</f>
        <v/>
      </c>
      <c r="CL651" s="129">
        <f>IFERROR(if($Y651=0,BA651*($W651/1.2),BA651*$Y651),"")</f>
        <v/>
      </c>
      <c r="CM651" s="129">
        <f>IFERROR(if($Y651=0,BB651*($W651/1.2),BB651*$Y651),"")</f>
        <v/>
      </c>
      <c r="CN651" s="129">
        <f>IFERROR(if($Y651=0,BC651*($W651/1.2),BC651*$Y651),"")</f>
        <v/>
      </c>
      <c r="CO651" s="130">
        <f>IFERROR(if($AA651=0,($W651/1.35)*BD651,BD651*$AA651),)</f>
        <v/>
      </c>
      <c r="CP651" s="130">
        <f>IFERROR(if($AA651=0,($W651/1.35)*BE651,BE651*$AA651),)</f>
        <v/>
      </c>
      <c r="CQ651" s="130">
        <f>IFERROR(if($AA651=0,($W651/1.35)*BF651,BF651*$AA651),)</f>
        <v/>
      </c>
      <c r="CR651" s="128">
        <f>IFERROR(if($AC651=0,($W651/0.74)*BG651,
BG651*$AC651),)</f>
        <v/>
      </c>
      <c r="CS651" s="128">
        <f>IFERROR(if($AC651=0,($W651/0.74)*BH651,
BH651*$AC651),)</f>
        <v/>
      </c>
      <c r="CT651" s="128">
        <f>IFERROR(if($AC651=0,($W651/0.74)*BI651,
BI651*$AC651),)</f>
        <v/>
      </c>
      <c r="CU651" s="128">
        <f>IFERROR(AI651*$V651,)</f>
        <v/>
      </c>
      <c r="CV651" s="128">
        <f>IFERROR(AJ651*$V651,)</f>
        <v/>
      </c>
      <c r="CW651" s="128">
        <f>IFERROR(AK651*$V651,)</f>
        <v/>
      </c>
      <c r="CX651" s="128">
        <f>IFERROR(AL651*$V651,)</f>
        <v/>
      </c>
      <c r="CY651" s="128">
        <f>IFERROR(AM651*$V651,)</f>
        <v/>
      </c>
      <c r="CZ651" s="128">
        <f>IFERROR(AN651*$V651,)</f>
        <v/>
      </c>
      <c r="DA651" s="128">
        <f>IFERROR(AO651*$V651,)</f>
        <v/>
      </c>
      <c r="DB651" s="128">
        <f>IFERROR(AP651*$V651,)</f>
        <v/>
      </c>
      <c r="DC651" s="128">
        <f>IFERROR(AQ651*$V651,)</f>
        <v/>
      </c>
      <c r="DD651" s="128">
        <f>IFERROR(AR651*$V651,)</f>
        <v/>
      </c>
      <c r="DE651" s="128">
        <f>IFERROR(AS651*$V651,)</f>
        <v/>
      </c>
      <c r="DF651" s="128">
        <f>IFERROR(AT651*$V651,)</f>
        <v/>
      </c>
      <c r="DG651" s="128">
        <f>IFERROR(AU651*$V651,)</f>
        <v/>
      </c>
      <c r="DH651" s="128">
        <f>IFERROR(AV651*$V651,)</f>
        <v/>
      </c>
      <c r="DI651" s="128">
        <f>IFERROR(AW651*$V651,)</f>
        <v/>
      </c>
      <c r="DJ651" s="128">
        <f>IFERROR(AX651*$V651,)</f>
        <v/>
      </c>
      <c r="DK651" s="128">
        <f>IFERROR(AY651*$V651,)</f>
        <v/>
      </c>
      <c r="DL651" s="128">
        <f>IFERROR(AZ651*$V651,)</f>
        <v/>
      </c>
      <c r="DM651" s="129">
        <f>IFERROR(if($X651=0,($V651/1.2)*BA651,
BA651*$X651),)</f>
        <v/>
      </c>
      <c r="DN651" s="129">
        <f>IFERROR(if($X651=0,($V651/1.2)*BB651,
BB651*$X651),)</f>
        <v/>
      </c>
      <c r="DO651" s="129">
        <f>IFERROR(if($X651=0,($V651/1.2)*BC651,
BC651*$X651),)</f>
        <v/>
      </c>
      <c r="DP651" s="130">
        <f>IFERROR(if($Z651=0,($V651/1.35)*BD651,
BD651*$Z651),)</f>
        <v/>
      </c>
      <c r="DQ651" s="130">
        <f>IFERROR(if($Z651=0,($V651/1.35)*BE651,
BE651*$Z651),)</f>
        <v/>
      </c>
      <c r="DR651" s="130">
        <f>IFERROR(if($Z651=0,($V651/1.35)*BF651,
BF651*$Z651),)</f>
        <v/>
      </c>
      <c r="DS651" s="128">
        <f>IFERROR(IF($AB651=0,($V651/0.74)*BG651,
BG651*$AB651),)</f>
        <v/>
      </c>
      <c r="DT651" s="128">
        <f>IFERROR(IF($AB651=0,($V651/0.74)*BH651,
BH651*$AB651),)</f>
        <v/>
      </c>
      <c r="DU651" s="128">
        <f>IFERROR(IF($AB651=0,($V651/0.74)*BI651,
BI651*$AB651),)</f>
        <v/>
      </c>
    </row>
    <row r="652" ht="131.25" customHeight="1" s="162">
      <c r="A652" s="115" t="n"/>
      <c r="B652" s="115" t="n"/>
      <c r="C652" s="115" t="n"/>
      <c r="D652" s="115" t="n"/>
      <c r="E652" s="115" t="n"/>
      <c r="F652" s="115" t="n"/>
      <c r="G652" s="115" t="n"/>
      <c r="H652" s="115" t="n"/>
      <c r="I652" s="115" t="n"/>
      <c r="J652" s="115" t="n"/>
      <c r="K652" s="115" t="n"/>
      <c r="L652" s="115" t="n"/>
      <c r="M652" s="115" t="n"/>
      <c r="N652" s="115" t="n"/>
      <c r="O652" s="115" t="n"/>
      <c r="P652" s="115" t="n"/>
      <c r="Q652" s="115" t="n"/>
      <c r="R652" s="115" t="n"/>
      <c r="S652" s="115" t="n"/>
      <c r="T652" s="115" t="n"/>
      <c r="U652" s="116" t="n"/>
      <c r="V652" s="116" t="n"/>
      <c r="W652" s="117" t="n"/>
      <c r="X652" s="118" t="n"/>
      <c r="Y652" s="119" t="n"/>
      <c r="Z652" s="120" t="n"/>
      <c r="AA652" s="121" t="n"/>
      <c r="AB652" s="122" t="n"/>
      <c r="AC652" s="117" t="n"/>
      <c r="AD652" s="123">
        <f>IF(SUM($AE652:$AH652)=0,"",SUM($AE652:$AH652))</f>
        <v/>
      </c>
      <c r="AE652" s="123">
        <f>iferror(IF(SUM($AI652:$AZ652)=0,"",SUM($AI652:$AZ652)),"")</f>
        <v/>
      </c>
      <c r="AF652" s="123">
        <f>iferror(IF(SUM($BA652:$BC652)=0,"",SUM($BA652:$BC652)),"")</f>
        <v/>
      </c>
      <c r="AG652" s="123">
        <f>iferror(IF(SUM($BD652:$BF652)=0,"",SUM($BD652:$BF652)),"")</f>
        <v/>
      </c>
      <c r="AH652" s="124">
        <f>iferror(IF(SUM($BG652:$BI652)=0,"",SUM($BG652:$BI652)),"")</f>
        <v/>
      </c>
      <c r="AI652" s="131" t="n"/>
      <c r="AJ652" s="132" t="n"/>
      <c r="AK652" s="132" t="n"/>
      <c r="AL652" s="132" t="n"/>
      <c r="AM652" s="132" t="n"/>
      <c r="AN652" s="132" t="n"/>
      <c r="AO652" s="132" t="n"/>
      <c r="AP652" s="132" t="n"/>
      <c r="AQ652" s="132" t="n"/>
      <c r="AR652" s="132" t="n"/>
      <c r="AS652" s="132" t="n"/>
      <c r="AT652" s="132" t="n"/>
      <c r="AU652" s="132" t="n"/>
      <c r="AV652" s="132" t="n"/>
      <c r="AW652" s="132" t="n"/>
      <c r="AX652" s="132" t="n"/>
      <c r="AY652" s="132" t="n"/>
      <c r="AZ652" s="133" t="n"/>
      <c r="BA652" s="131" t="n"/>
      <c r="BB652" s="132" t="n"/>
      <c r="BC652" s="133" t="n"/>
      <c r="BD652" s="131" t="n"/>
      <c r="BE652" s="132" t="n"/>
      <c r="BF652" s="133" t="n"/>
      <c r="BG652" s="131" t="n"/>
      <c r="BH652" s="132" t="n"/>
      <c r="BI652" s="132" t="n"/>
      <c r="BJ652" s="128">
        <f>iferror(SUM($BK652,($BL652*1.2),($BM652*1.35),($BN652*0.74)),)</f>
        <v/>
      </c>
      <c r="BK652" s="128">
        <f>IFERROR(SUM($BT652:$CK652),)</f>
        <v/>
      </c>
      <c r="BL652" s="129">
        <f>IFERROR(SUM($CL652:$CN652),)</f>
        <v/>
      </c>
      <c r="BM652" s="130">
        <f>IFERROR(SUM($CO652:$CQ652),)</f>
        <v/>
      </c>
      <c r="BN652" s="128">
        <f>IFERROR(SUM($CR652:$CT652),)</f>
        <v/>
      </c>
      <c r="BO652" s="128">
        <f>iferror(SUM($BP652,($BQ652*1.2),($BR652*1.35),($BS652*0.74)),)</f>
        <v/>
      </c>
      <c r="BP652" s="128">
        <f>IFERROR(SUM($CU652:$DL652),)</f>
        <v/>
      </c>
      <c r="BQ652" s="128">
        <f>IFERROR(SUM($DM652:$DO652),)</f>
        <v/>
      </c>
      <c r="BR652" s="128">
        <f>IFERROR(SUM($DP652:$DR652),)</f>
        <v/>
      </c>
      <c r="BS652" s="128">
        <f>IFERROR(SUM($DS652:$DU652),)</f>
        <v/>
      </c>
      <c r="BT652" s="128">
        <f>IFERROR(AI652*$W652,)</f>
        <v/>
      </c>
      <c r="BU652" s="128">
        <f>IFERROR(AJ652*$W652,)</f>
        <v/>
      </c>
      <c r="BV652" s="128">
        <f>IFERROR(AK652*$W652,)</f>
        <v/>
      </c>
      <c r="BW652" s="128">
        <f>IFERROR(AL652*$W652,)</f>
        <v/>
      </c>
      <c r="BX652" s="128">
        <f>IFERROR(AM652*$W652,)</f>
        <v/>
      </c>
      <c r="BY652" s="128">
        <f>IFERROR(AN652*$W652,)</f>
        <v/>
      </c>
      <c r="BZ652" s="128">
        <f>IFERROR(AO652*$W652,)</f>
        <v/>
      </c>
      <c r="CA652" s="128">
        <f>IFERROR(AP652*$W652,)</f>
        <v/>
      </c>
      <c r="CB652" s="128">
        <f>IFERROR(AQ652*$W652,)</f>
        <v/>
      </c>
      <c r="CC652" s="128">
        <f>IFERROR(AR652*$W652,)</f>
        <v/>
      </c>
      <c r="CD652" s="128">
        <f>IFERROR(AS652*$W652,)</f>
        <v/>
      </c>
      <c r="CE652" s="128">
        <f>IFERROR(AT652*$W652,)</f>
        <v/>
      </c>
      <c r="CF652" s="128">
        <f>IFERROR(AU652*$W652,)</f>
        <v/>
      </c>
      <c r="CG652" s="128">
        <f>IFERROR(AV652*$W652,)</f>
        <v/>
      </c>
      <c r="CH652" s="128">
        <f>IFERROR(AW652*$W652,)</f>
        <v/>
      </c>
      <c r="CI652" s="128">
        <f>IFERROR(AX652*$W652,)</f>
        <v/>
      </c>
      <c r="CJ652" s="128">
        <f>IFERROR(AY652*$W652,)</f>
        <v/>
      </c>
      <c r="CK652" s="128">
        <f>IFERROR(AZ652*$W652,)</f>
        <v/>
      </c>
      <c r="CL652" s="129">
        <f>IFERROR(if($Y652=0,BA652*($W652/1.2),BA652*$Y652),"")</f>
        <v/>
      </c>
      <c r="CM652" s="129">
        <f>IFERROR(if($Y652=0,BB652*($W652/1.2),BB652*$Y652),"")</f>
        <v/>
      </c>
      <c r="CN652" s="129">
        <f>IFERROR(if($Y652=0,BC652*($W652/1.2),BC652*$Y652),"")</f>
        <v/>
      </c>
      <c r="CO652" s="130">
        <f>IFERROR(if($AA652=0,($W652/1.35)*BD652,BD652*$AA652),)</f>
        <v/>
      </c>
      <c r="CP652" s="130">
        <f>IFERROR(if($AA652=0,($W652/1.35)*BE652,BE652*$AA652),)</f>
        <v/>
      </c>
      <c r="CQ652" s="130">
        <f>IFERROR(if($AA652=0,($W652/1.35)*BF652,BF652*$AA652),)</f>
        <v/>
      </c>
      <c r="CR652" s="128">
        <f>IFERROR(if($AC652=0,($W652/0.74)*BG652,
BG652*$AC652),)</f>
        <v/>
      </c>
      <c r="CS652" s="128">
        <f>IFERROR(if($AC652=0,($W652/0.74)*BH652,
BH652*$AC652),)</f>
        <v/>
      </c>
      <c r="CT652" s="128">
        <f>IFERROR(if($AC652=0,($W652/0.74)*BI652,
BI652*$AC652),)</f>
        <v/>
      </c>
      <c r="CU652" s="128">
        <f>IFERROR(AI652*$V652,)</f>
        <v/>
      </c>
      <c r="CV652" s="128">
        <f>IFERROR(AJ652*$V652,)</f>
        <v/>
      </c>
      <c r="CW652" s="128">
        <f>IFERROR(AK652*$V652,)</f>
        <v/>
      </c>
      <c r="CX652" s="128">
        <f>IFERROR(AL652*$V652,)</f>
        <v/>
      </c>
      <c r="CY652" s="128">
        <f>IFERROR(AM652*$V652,)</f>
        <v/>
      </c>
      <c r="CZ652" s="128">
        <f>IFERROR(AN652*$V652,)</f>
        <v/>
      </c>
      <c r="DA652" s="128">
        <f>IFERROR(AO652*$V652,)</f>
        <v/>
      </c>
      <c r="DB652" s="128">
        <f>IFERROR(AP652*$V652,)</f>
        <v/>
      </c>
      <c r="DC652" s="128">
        <f>IFERROR(AQ652*$V652,)</f>
        <v/>
      </c>
      <c r="DD652" s="128">
        <f>IFERROR(AR652*$V652,)</f>
        <v/>
      </c>
      <c r="DE652" s="128">
        <f>IFERROR(AS652*$V652,)</f>
        <v/>
      </c>
      <c r="DF652" s="128">
        <f>IFERROR(AT652*$V652,)</f>
        <v/>
      </c>
      <c r="DG652" s="128">
        <f>IFERROR(AU652*$V652,)</f>
        <v/>
      </c>
      <c r="DH652" s="128">
        <f>IFERROR(AV652*$V652,)</f>
        <v/>
      </c>
      <c r="DI652" s="128">
        <f>IFERROR(AW652*$V652,)</f>
        <v/>
      </c>
      <c r="DJ652" s="128">
        <f>IFERROR(AX652*$V652,)</f>
        <v/>
      </c>
      <c r="DK652" s="128">
        <f>IFERROR(AY652*$V652,)</f>
        <v/>
      </c>
      <c r="DL652" s="128">
        <f>IFERROR(AZ652*$V652,)</f>
        <v/>
      </c>
      <c r="DM652" s="129">
        <f>IFERROR(if($X652=0,($V652/1.2)*BA652,
BA652*$X652),)</f>
        <v/>
      </c>
      <c r="DN652" s="129">
        <f>IFERROR(if($X652=0,($V652/1.2)*BB652,
BB652*$X652),)</f>
        <v/>
      </c>
      <c r="DO652" s="129">
        <f>IFERROR(if($X652=0,($V652/1.2)*BC652,
BC652*$X652),)</f>
        <v/>
      </c>
      <c r="DP652" s="130">
        <f>IFERROR(if($Z652=0,($V652/1.35)*BD652,
BD652*$Z652),)</f>
        <v/>
      </c>
      <c r="DQ652" s="130">
        <f>IFERROR(if($Z652=0,($V652/1.35)*BE652,
BE652*$Z652),)</f>
        <v/>
      </c>
      <c r="DR652" s="130">
        <f>IFERROR(if($Z652=0,($V652/1.35)*BF652,
BF652*$Z652),)</f>
        <v/>
      </c>
      <c r="DS652" s="128">
        <f>IFERROR(IF($AB652=0,($V652/0.74)*BG652,
BG652*$AB652),)</f>
        <v/>
      </c>
      <c r="DT652" s="128">
        <f>IFERROR(IF($AB652=0,($V652/0.74)*BH652,
BH652*$AB652),)</f>
        <v/>
      </c>
      <c r="DU652" s="128">
        <f>IFERROR(IF($AB652=0,($V652/0.74)*BI652,
BI652*$AB652),)</f>
        <v/>
      </c>
    </row>
    <row r="653" ht="131.25" customHeight="1" s="162">
      <c r="A653" s="115" t="n"/>
      <c r="B653" s="115" t="n"/>
      <c r="C653" s="115" t="n"/>
      <c r="D653" s="115" t="n"/>
      <c r="E653" s="115" t="n"/>
      <c r="F653" s="115" t="n"/>
      <c r="G653" s="115" t="n"/>
      <c r="H653" s="115" t="n"/>
      <c r="I653" s="115" t="n"/>
      <c r="J653" s="115" t="n"/>
      <c r="K653" s="115" t="n"/>
      <c r="L653" s="115" t="n"/>
      <c r="M653" s="115" t="n"/>
      <c r="N653" s="115" t="n"/>
      <c r="O653" s="115" t="n"/>
      <c r="P653" s="115" t="n"/>
      <c r="Q653" s="115" t="n"/>
      <c r="R653" s="115" t="n"/>
      <c r="S653" s="115" t="n"/>
      <c r="T653" s="115" t="n"/>
      <c r="U653" s="116" t="n"/>
      <c r="V653" s="116" t="n"/>
      <c r="W653" s="117" t="n"/>
      <c r="X653" s="118" t="n"/>
      <c r="Y653" s="119" t="n"/>
      <c r="Z653" s="120" t="n"/>
      <c r="AA653" s="121" t="n"/>
      <c r="AB653" s="122" t="n"/>
      <c r="AC653" s="117" t="n"/>
      <c r="AD653" s="123">
        <f>IF(SUM($AE653:$AH653)=0,"",SUM($AE653:$AH653))</f>
        <v/>
      </c>
      <c r="AE653" s="123">
        <f>iferror(IF(SUM($AI653:$AZ653)=0,"",SUM($AI653:$AZ653)),"")</f>
        <v/>
      </c>
      <c r="AF653" s="123">
        <f>iferror(IF(SUM($BA653:$BC653)=0,"",SUM($BA653:$BC653)),"")</f>
        <v/>
      </c>
      <c r="AG653" s="123">
        <f>iferror(IF(SUM($BD653:$BF653)=0,"",SUM($BD653:$BF653)),"")</f>
        <v/>
      </c>
      <c r="AH653" s="124">
        <f>iferror(IF(SUM($BG653:$BI653)=0,"",SUM($BG653:$BI653)),"")</f>
        <v/>
      </c>
      <c r="AI653" s="131" t="n"/>
      <c r="AJ653" s="132" t="n"/>
      <c r="AK653" s="132" t="n"/>
      <c r="AL653" s="132" t="n"/>
      <c r="AM653" s="132" t="n"/>
      <c r="AN653" s="132" t="n"/>
      <c r="AO653" s="132" t="n"/>
      <c r="AP653" s="132" t="n"/>
      <c r="AQ653" s="132" t="n"/>
      <c r="AR653" s="132" t="n"/>
      <c r="AS653" s="132" t="n"/>
      <c r="AT653" s="132" t="n"/>
      <c r="AU653" s="132" t="n"/>
      <c r="AV653" s="132" t="n"/>
      <c r="AW653" s="132" t="n"/>
      <c r="AX653" s="132" t="n"/>
      <c r="AY653" s="132" t="n"/>
      <c r="AZ653" s="133" t="n"/>
      <c r="BA653" s="131" t="n"/>
      <c r="BB653" s="132" t="n"/>
      <c r="BC653" s="133" t="n"/>
      <c r="BD653" s="131" t="n"/>
      <c r="BE653" s="132" t="n"/>
      <c r="BF653" s="133" t="n"/>
      <c r="BG653" s="131" t="n"/>
      <c r="BH653" s="132" t="n"/>
      <c r="BI653" s="132" t="n"/>
      <c r="BJ653" s="128">
        <f>iferror(SUM($BK653,($BL653*1.2),($BM653*1.35),($BN653*0.74)),)</f>
        <v/>
      </c>
      <c r="BK653" s="128">
        <f>IFERROR(SUM($BT653:$CK653),)</f>
        <v/>
      </c>
      <c r="BL653" s="129">
        <f>IFERROR(SUM($CL653:$CN653),)</f>
        <v/>
      </c>
      <c r="BM653" s="130">
        <f>IFERROR(SUM($CO653:$CQ653),)</f>
        <v/>
      </c>
      <c r="BN653" s="128">
        <f>IFERROR(SUM($CR653:$CT653),)</f>
        <v/>
      </c>
      <c r="BO653" s="128">
        <f>iferror(SUM($BP653,($BQ653*1.2),($BR653*1.35),($BS653*0.74)),)</f>
        <v/>
      </c>
      <c r="BP653" s="128">
        <f>IFERROR(SUM($CU653:$DL653),)</f>
        <v/>
      </c>
      <c r="BQ653" s="128">
        <f>IFERROR(SUM($DM653:$DO653),)</f>
        <v/>
      </c>
      <c r="BR653" s="128">
        <f>IFERROR(SUM($DP653:$DR653),)</f>
        <v/>
      </c>
      <c r="BS653" s="128">
        <f>IFERROR(SUM($DS653:$DU653),)</f>
        <v/>
      </c>
      <c r="BT653" s="128">
        <f>IFERROR(AI653*$W653,)</f>
        <v/>
      </c>
      <c r="BU653" s="128">
        <f>IFERROR(AJ653*$W653,)</f>
        <v/>
      </c>
      <c r="BV653" s="128">
        <f>IFERROR(AK653*$W653,)</f>
        <v/>
      </c>
      <c r="BW653" s="128">
        <f>IFERROR(AL653*$W653,)</f>
        <v/>
      </c>
      <c r="BX653" s="128">
        <f>IFERROR(AM653*$W653,)</f>
        <v/>
      </c>
      <c r="BY653" s="128">
        <f>IFERROR(AN653*$W653,)</f>
        <v/>
      </c>
      <c r="BZ653" s="128">
        <f>IFERROR(AO653*$W653,)</f>
        <v/>
      </c>
      <c r="CA653" s="128">
        <f>IFERROR(AP653*$W653,)</f>
        <v/>
      </c>
      <c r="CB653" s="128">
        <f>IFERROR(AQ653*$W653,)</f>
        <v/>
      </c>
      <c r="CC653" s="128">
        <f>IFERROR(AR653*$W653,)</f>
        <v/>
      </c>
      <c r="CD653" s="128">
        <f>IFERROR(AS653*$W653,)</f>
        <v/>
      </c>
      <c r="CE653" s="128">
        <f>IFERROR(AT653*$W653,)</f>
        <v/>
      </c>
      <c r="CF653" s="128">
        <f>IFERROR(AU653*$W653,)</f>
        <v/>
      </c>
      <c r="CG653" s="128">
        <f>IFERROR(AV653*$W653,)</f>
        <v/>
      </c>
      <c r="CH653" s="128">
        <f>IFERROR(AW653*$W653,)</f>
        <v/>
      </c>
      <c r="CI653" s="128">
        <f>IFERROR(AX653*$W653,)</f>
        <v/>
      </c>
      <c r="CJ653" s="128">
        <f>IFERROR(AY653*$W653,)</f>
        <v/>
      </c>
      <c r="CK653" s="128">
        <f>IFERROR(AZ653*$W653,)</f>
        <v/>
      </c>
      <c r="CL653" s="129">
        <f>IFERROR(if($Y653=0,BA653*($W653/1.2),BA653*$Y653),"")</f>
        <v/>
      </c>
      <c r="CM653" s="129">
        <f>IFERROR(if($Y653=0,BB653*($W653/1.2),BB653*$Y653),"")</f>
        <v/>
      </c>
      <c r="CN653" s="129">
        <f>IFERROR(if($Y653=0,BC653*($W653/1.2),BC653*$Y653),"")</f>
        <v/>
      </c>
      <c r="CO653" s="130">
        <f>IFERROR(if($AA653=0,($W653/1.35)*BD653,BD653*$AA653),)</f>
        <v/>
      </c>
      <c r="CP653" s="130">
        <f>IFERROR(if($AA653=0,($W653/1.35)*BE653,BE653*$AA653),)</f>
        <v/>
      </c>
      <c r="CQ653" s="130">
        <f>IFERROR(if($AA653=0,($W653/1.35)*BF653,BF653*$AA653),)</f>
        <v/>
      </c>
      <c r="CR653" s="128">
        <f>IFERROR(if($AC653=0,($W653/0.74)*BG653,
BG653*$AC653),)</f>
        <v/>
      </c>
      <c r="CS653" s="128">
        <f>IFERROR(if($AC653=0,($W653/0.74)*BH653,
BH653*$AC653),)</f>
        <v/>
      </c>
      <c r="CT653" s="128">
        <f>IFERROR(if($AC653=0,($W653/0.74)*BI653,
BI653*$AC653),)</f>
        <v/>
      </c>
      <c r="CU653" s="128">
        <f>IFERROR(AI653*$V653,)</f>
        <v/>
      </c>
      <c r="CV653" s="128">
        <f>IFERROR(AJ653*$V653,)</f>
        <v/>
      </c>
      <c r="CW653" s="128">
        <f>IFERROR(AK653*$V653,)</f>
        <v/>
      </c>
      <c r="CX653" s="128">
        <f>IFERROR(AL653*$V653,)</f>
        <v/>
      </c>
      <c r="CY653" s="128">
        <f>IFERROR(AM653*$V653,)</f>
        <v/>
      </c>
      <c r="CZ653" s="128">
        <f>IFERROR(AN653*$V653,)</f>
        <v/>
      </c>
      <c r="DA653" s="128">
        <f>IFERROR(AO653*$V653,)</f>
        <v/>
      </c>
      <c r="DB653" s="128">
        <f>IFERROR(AP653*$V653,)</f>
        <v/>
      </c>
      <c r="DC653" s="128">
        <f>IFERROR(AQ653*$V653,)</f>
        <v/>
      </c>
      <c r="DD653" s="128">
        <f>IFERROR(AR653*$V653,)</f>
        <v/>
      </c>
      <c r="DE653" s="128">
        <f>IFERROR(AS653*$V653,)</f>
        <v/>
      </c>
      <c r="DF653" s="128">
        <f>IFERROR(AT653*$V653,)</f>
        <v/>
      </c>
      <c r="DG653" s="128">
        <f>IFERROR(AU653*$V653,)</f>
        <v/>
      </c>
      <c r="DH653" s="128">
        <f>IFERROR(AV653*$V653,)</f>
        <v/>
      </c>
      <c r="DI653" s="128">
        <f>IFERROR(AW653*$V653,)</f>
        <v/>
      </c>
      <c r="DJ653" s="128">
        <f>IFERROR(AX653*$V653,)</f>
        <v/>
      </c>
      <c r="DK653" s="128">
        <f>IFERROR(AY653*$V653,)</f>
        <v/>
      </c>
      <c r="DL653" s="128">
        <f>IFERROR(AZ653*$V653,)</f>
        <v/>
      </c>
      <c r="DM653" s="129">
        <f>IFERROR(if($X653=0,($V653/1.2)*BA653,
BA653*$X653),)</f>
        <v/>
      </c>
      <c r="DN653" s="129">
        <f>IFERROR(if($X653=0,($V653/1.2)*BB653,
BB653*$X653),)</f>
        <v/>
      </c>
      <c r="DO653" s="129">
        <f>IFERROR(if($X653=0,($V653/1.2)*BC653,
BC653*$X653),)</f>
        <v/>
      </c>
      <c r="DP653" s="130">
        <f>IFERROR(if($Z653=0,($V653/1.35)*BD653,
BD653*$Z653),)</f>
        <v/>
      </c>
      <c r="DQ653" s="130">
        <f>IFERROR(if($Z653=0,($V653/1.35)*BE653,
BE653*$Z653),)</f>
        <v/>
      </c>
      <c r="DR653" s="130">
        <f>IFERROR(if($Z653=0,($V653/1.35)*BF653,
BF653*$Z653),)</f>
        <v/>
      </c>
      <c r="DS653" s="128">
        <f>IFERROR(IF($AB653=0,($V653/0.74)*BG653,
BG653*$AB653),)</f>
        <v/>
      </c>
      <c r="DT653" s="128">
        <f>IFERROR(IF($AB653=0,($V653/0.74)*BH653,
BH653*$AB653),)</f>
        <v/>
      </c>
      <c r="DU653" s="128">
        <f>IFERROR(IF($AB653=0,($V653/0.74)*BI653,
BI653*$AB653),)</f>
        <v/>
      </c>
    </row>
    <row r="654" ht="131.25" customHeight="1" s="162">
      <c r="A654" s="115" t="n"/>
      <c r="B654" s="115" t="n"/>
      <c r="C654" s="115" t="n"/>
      <c r="D654" s="115" t="n"/>
      <c r="E654" s="115" t="n"/>
      <c r="F654" s="115" t="n"/>
      <c r="G654" s="115" t="n"/>
      <c r="H654" s="115" t="n"/>
      <c r="I654" s="115" t="n"/>
      <c r="J654" s="115" t="n"/>
      <c r="K654" s="115" t="n"/>
      <c r="L654" s="115" t="n"/>
      <c r="M654" s="115" t="n"/>
      <c r="N654" s="115" t="n"/>
      <c r="O654" s="115" t="n"/>
      <c r="P654" s="115" t="n"/>
      <c r="Q654" s="115" t="n"/>
      <c r="R654" s="115" t="n"/>
      <c r="S654" s="115" t="n"/>
      <c r="T654" s="115" t="n"/>
      <c r="U654" s="116" t="n"/>
      <c r="V654" s="116" t="n"/>
      <c r="W654" s="117" t="n"/>
      <c r="X654" s="118" t="n"/>
      <c r="Y654" s="119" t="n"/>
      <c r="Z654" s="120" t="n"/>
      <c r="AA654" s="121" t="n"/>
      <c r="AB654" s="122" t="n"/>
      <c r="AC654" s="117" t="n"/>
      <c r="AD654" s="123">
        <f>IF(SUM($AE654:$AH654)=0,"",SUM($AE654:$AH654))</f>
        <v/>
      </c>
      <c r="AE654" s="123">
        <f>iferror(IF(SUM($AI654:$AZ654)=0,"",SUM($AI654:$AZ654)),"")</f>
        <v/>
      </c>
      <c r="AF654" s="123">
        <f>iferror(IF(SUM($BA654:$BC654)=0,"",SUM($BA654:$BC654)),"")</f>
        <v/>
      </c>
      <c r="AG654" s="123">
        <f>iferror(IF(SUM($BD654:$BF654)=0,"",SUM($BD654:$BF654)),"")</f>
        <v/>
      </c>
      <c r="AH654" s="124">
        <f>iferror(IF(SUM($BG654:$BI654)=0,"",SUM($BG654:$BI654)),"")</f>
        <v/>
      </c>
      <c r="AI654" s="131" t="n"/>
      <c r="AJ654" s="132" t="n"/>
      <c r="AK654" s="132" t="n"/>
      <c r="AL654" s="132" t="n"/>
      <c r="AM654" s="132" t="n"/>
      <c r="AN654" s="132" t="n"/>
      <c r="AO654" s="132" t="n"/>
      <c r="AP654" s="132" t="n"/>
      <c r="AQ654" s="132" t="n"/>
      <c r="AR654" s="132" t="n"/>
      <c r="AS654" s="132" t="n"/>
      <c r="AT654" s="132" t="n"/>
      <c r="AU654" s="132" t="n"/>
      <c r="AV654" s="132" t="n"/>
      <c r="AW654" s="132" t="n"/>
      <c r="AX654" s="132" t="n"/>
      <c r="AY654" s="132" t="n"/>
      <c r="AZ654" s="133" t="n"/>
      <c r="BA654" s="131" t="n"/>
      <c r="BB654" s="132" t="n"/>
      <c r="BC654" s="133" t="n"/>
      <c r="BD654" s="131" t="n"/>
      <c r="BE654" s="132" t="n"/>
      <c r="BF654" s="133" t="n"/>
      <c r="BG654" s="131" t="n"/>
      <c r="BH654" s="132" t="n"/>
      <c r="BI654" s="132" t="n"/>
      <c r="BJ654" s="128">
        <f>iferror(SUM($BK654,($BL654*1.2),($BM654*1.35),($BN654*0.74)),)</f>
        <v/>
      </c>
      <c r="BK654" s="128">
        <f>IFERROR(SUM($BT654:$CK654),)</f>
        <v/>
      </c>
      <c r="BL654" s="129">
        <f>IFERROR(SUM($CL654:$CN654),)</f>
        <v/>
      </c>
      <c r="BM654" s="130">
        <f>IFERROR(SUM($CO654:$CQ654),)</f>
        <v/>
      </c>
      <c r="BN654" s="128">
        <f>IFERROR(SUM($CR654:$CT654),)</f>
        <v/>
      </c>
      <c r="BO654" s="128">
        <f>iferror(SUM($BP654,($BQ654*1.2),($BR654*1.35),($BS654*0.74)),)</f>
        <v/>
      </c>
      <c r="BP654" s="128">
        <f>IFERROR(SUM($CU654:$DL654),)</f>
        <v/>
      </c>
      <c r="BQ654" s="128">
        <f>IFERROR(SUM($DM654:$DO654),)</f>
        <v/>
      </c>
      <c r="BR654" s="128">
        <f>IFERROR(SUM($DP654:$DR654),)</f>
        <v/>
      </c>
      <c r="BS654" s="128">
        <f>IFERROR(SUM($DS654:$DU654),)</f>
        <v/>
      </c>
      <c r="BT654" s="128">
        <f>IFERROR(AI654*$W654,)</f>
        <v/>
      </c>
      <c r="BU654" s="128">
        <f>IFERROR(AJ654*$W654,)</f>
        <v/>
      </c>
      <c r="BV654" s="128">
        <f>IFERROR(AK654*$W654,)</f>
        <v/>
      </c>
      <c r="BW654" s="128">
        <f>IFERROR(AL654*$W654,)</f>
        <v/>
      </c>
      <c r="BX654" s="128">
        <f>IFERROR(AM654*$W654,)</f>
        <v/>
      </c>
      <c r="BY654" s="128">
        <f>IFERROR(AN654*$W654,)</f>
        <v/>
      </c>
      <c r="BZ654" s="128">
        <f>IFERROR(AO654*$W654,)</f>
        <v/>
      </c>
      <c r="CA654" s="128">
        <f>IFERROR(AP654*$W654,)</f>
        <v/>
      </c>
      <c r="CB654" s="128">
        <f>IFERROR(AQ654*$W654,)</f>
        <v/>
      </c>
      <c r="CC654" s="128">
        <f>IFERROR(AR654*$W654,)</f>
        <v/>
      </c>
      <c r="CD654" s="128">
        <f>IFERROR(AS654*$W654,)</f>
        <v/>
      </c>
      <c r="CE654" s="128">
        <f>IFERROR(AT654*$W654,)</f>
        <v/>
      </c>
      <c r="CF654" s="128">
        <f>IFERROR(AU654*$W654,)</f>
        <v/>
      </c>
      <c r="CG654" s="128">
        <f>IFERROR(AV654*$W654,)</f>
        <v/>
      </c>
      <c r="CH654" s="128">
        <f>IFERROR(AW654*$W654,)</f>
        <v/>
      </c>
      <c r="CI654" s="128">
        <f>IFERROR(AX654*$W654,)</f>
        <v/>
      </c>
      <c r="CJ654" s="128">
        <f>IFERROR(AY654*$W654,)</f>
        <v/>
      </c>
      <c r="CK654" s="128">
        <f>IFERROR(AZ654*$W654,)</f>
        <v/>
      </c>
      <c r="CL654" s="129">
        <f>IFERROR(if($Y654=0,BA654*($W654/1.2),BA654*$Y654),"")</f>
        <v/>
      </c>
      <c r="CM654" s="129">
        <f>IFERROR(if($Y654=0,BB654*($W654/1.2),BB654*$Y654),"")</f>
        <v/>
      </c>
      <c r="CN654" s="129">
        <f>IFERROR(if($Y654=0,BC654*($W654/1.2),BC654*$Y654),"")</f>
        <v/>
      </c>
      <c r="CO654" s="130">
        <f>IFERROR(if($AA654=0,($W654/1.35)*BD654,BD654*$AA654),)</f>
        <v/>
      </c>
      <c r="CP654" s="130">
        <f>IFERROR(if($AA654=0,($W654/1.35)*BE654,BE654*$AA654),)</f>
        <v/>
      </c>
      <c r="CQ654" s="130">
        <f>IFERROR(if($AA654=0,($W654/1.35)*BF654,BF654*$AA654),)</f>
        <v/>
      </c>
      <c r="CR654" s="128">
        <f>IFERROR(if($AC654=0,($W654/0.74)*BG654,
BG654*$AC654),)</f>
        <v/>
      </c>
      <c r="CS654" s="128">
        <f>IFERROR(if($AC654=0,($W654/0.74)*BH654,
BH654*$AC654),)</f>
        <v/>
      </c>
      <c r="CT654" s="128">
        <f>IFERROR(if($AC654=0,($W654/0.74)*BI654,
BI654*$AC654),)</f>
        <v/>
      </c>
      <c r="CU654" s="128">
        <f>IFERROR(AI654*$V654,)</f>
        <v/>
      </c>
      <c r="CV654" s="128">
        <f>IFERROR(AJ654*$V654,)</f>
        <v/>
      </c>
      <c r="CW654" s="128">
        <f>IFERROR(AK654*$V654,)</f>
        <v/>
      </c>
      <c r="CX654" s="128">
        <f>IFERROR(AL654*$V654,)</f>
        <v/>
      </c>
      <c r="CY654" s="128">
        <f>IFERROR(AM654*$V654,)</f>
        <v/>
      </c>
      <c r="CZ654" s="128">
        <f>IFERROR(AN654*$V654,)</f>
        <v/>
      </c>
      <c r="DA654" s="128">
        <f>IFERROR(AO654*$V654,)</f>
        <v/>
      </c>
      <c r="DB654" s="128">
        <f>IFERROR(AP654*$V654,)</f>
        <v/>
      </c>
      <c r="DC654" s="128">
        <f>IFERROR(AQ654*$V654,)</f>
        <v/>
      </c>
      <c r="DD654" s="128">
        <f>IFERROR(AR654*$V654,)</f>
        <v/>
      </c>
      <c r="DE654" s="128">
        <f>IFERROR(AS654*$V654,)</f>
        <v/>
      </c>
      <c r="DF654" s="128">
        <f>IFERROR(AT654*$V654,)</f>
        <v/>
      </c>
      <c r="DG654" s="128">
        <f>IFERROR(AU654*$V654,)</f>
        <v/>
      </c>
      <c r="DH654" s="128">
        <f>IFERROR(AV654*$V654,)</f>
        <v/>
      </c>
      <c r="DI654" s="128">
        <f>IFERROR(AW654*$V654,)</f>
        <v/>
      </c>
      <c r="DJ654" s="128">
        <f>IFERROR(AX654*$V654,)</f>
        <v/>
      </c>
      <c r="DK654" s="128">
        <f>IFERROR(AY654*$V654,)</f>
        <v/>
      </c>
      <c r="DL654" s="128">
        <f>IFERROR(AZ654*$V654,)</f>
        <v/>
      </c>
      <c r="DM654" s="129">
        <f>IFERROR(if($X654=0,($V654/1.2)*BA654,
BA654*$X654),)</f>
        <v/>
      </c>
      <c r="DN654" s="129">
        <f>IFERROR(if($X654=0,($V654/1.2)*BB654,
BB654*$X654),)</f>
        <v/>
      </c>
      <c r="DO654" s="129">
        <f>IFERROR(if($X654=0,($V654/1.2)*BC654,
BC654*$X654),)</f>
        <v/>
      </c>
      <c r="DP654" s="130">
        <f>IFERROR(if($Z654=0,($V654/1.35)*BD654,
BD654*$Z654),)</f>
        <v/>
      </c>
      <c r="DQ654" s="130">
        <f>IFERROR(if($Z654=0,($V654/1.35)*BE654,
BE654*$Z654),)</f>
        <v/>
      </c>
      <c r="DR654" s="130">
        <f>IFERROR(if($Z654=0,($V654/1.35)*BF654,
BF654*$Z654),)</f>
        <v/>
      </c>
      <c r="DS654" s="128">
        <f>IFERROR(IF($AB654=0,($V654/0.74)*BG654,
BG654*$AB654),)</f>
        <v/>
      </c>
      <c r="DT654" s="128">
        <f>IFERROR(IF($AB654=0,($V654/0.74)*BH654,
BH654*$AB654),)</f>
        <v/>
      </c>
      <c r="DU654" s="128">
        <f>IFERROR(IF($AB654=0,($V654/0.74)*BI654,
BI654*$AB654),)</f>
        <v/>
      </c>
    </row>
    <row r="655" ht="131.25" customHeight="1" s="162">
      <c r="A655" s="115" t="n"/>
      <c r="B655" s="115" t="n"/>
      <c r="C655" s="115" t="n"/>
      <c r="D655" s="115" t="n"/>
      <c r="E655" s="115" t="n"/>
      <c r="F655" s="115" t="n"/>
      <c r="G655" s="115" t="n"/>
      <c r="H655" s="115" t="n"/>
      <c r="I655" s="115" t="n"/>
      <c r="J655" s="115" t="n"/>
      <c r="K655" s="115" t="n"/>
      <c r="L655" s="115" t="n"/>
      <c r="M655" s="115" t="n"/>
      <c r="N655" s="115" t="n"/>
      <c r="O655" s="115" t="n"/>
      <c r="P655" s="115" t="n"/>
      <c r="Q655" s="115" t="n"/>
      <c r="R655" s="115" t="n"/>
      <c r="S655" s="115" t="n"/>
      <c r="T655" s="115" t="n"/>
      <c r="U655" s="116" t="n"/>
      <c r="V655" s="116" t="n"/>
      <c r="W655" s="117" t="n"/>
      <c r="X655" s="118" t="n"/>
      <c r="Y655" s="119" t="n"/>
      <c r="Z655" s="120" t="n"/>
      <c r="AA655" s="121" t="n"/>
      <c r="AB655" s="122" t="n"/>
      <c r="AC655" s="117" t="n"/>
      <c r="AD655" s="123">
        <f>IF(SUM($AE655:$AH655)=0,"",SUM($AE655:$AH655))</f>
        <v/>
      </c>
      <c r="AE655" s="123">
        <f>iferror(IF(SUM($AI655:$AZ655)=0,"",SUM($AI655:$AZ655)),"")</f>
        <v/>
      </c>
      <c r="AF655" s="123">
        <f>iferror(IF(SUM($BA655:$BC655)=0,"",SUM($BA655:$BC655)),"")</f>
        <v/>
      </c>
      <c r="AG655" s="123">
        <f>iferror(IF(SUM($BD655:$BF655)=0,"",SUM($BD655:$BF655)),"")</f>
        <v/>
      </c>
      <c r="AH655" s="124">
        <f>iferror(IF(SUM($BG655:$BI655)=0,"",SUM($BG655:$BI655)),"")</f>
        <v/>
      </c>
      <c r="AI655" s="131" t="n"/>
      <c r="AJ655" s="132" t="n"/>
      <c r="AK655" s="132" t="n"/>
      <c r="AL655" s="132" t="n"/>
      <c r="AM655" s="132" t="n"/>
      <c r="AN655" s="132" t="n"/>
      <c r="AO655" s="132" t="n"/>
      <c r="AP655" s="132" t="n"/>
      <c r="AQ655" s="132" t="n"/>
      <c r="AR655" s="132" t="n"/>
      <c r="AS655" s="132" t="n"/>
      <c r="AT655" s="132" t="n"/>
      <c r="AU655" s="132" t="n"/>
      <c r="AV655" s="132" t="n"/>
      <c r="AW655" s="132" t="n"/>
      <c r="AX655" s="132" t="n"/>
      <c r="AY655" s="132" t="n"/>
      <c r="AZ655" s="133" t="n"/>
      <c r="BA655" s="131" t="n"/>
      <c r="BB655" s="132" t="n"/>
      <c r="BC655" s="133" t="n"/>
      <c r="BD655" s="131" t="n"/>
      <c r="BE655" s="132" t="n"/>
      <c r="BF655" s="133" t="n"/>
      <c r="BG655" s="131" t="n"/>
      <c r="BH655" s="132" t="n"/>
      <c r="BI655" s="132" t="n"/>
      <c r="BJ655" s="128">
        <f>iferror(SUM($BK655,($BL655*1.2),($BM655*1.35),($BN655*0.74)),)</f>
        <v/>
      </c>
      <c r="BK655" s="128">
        <f>IFERROR(SUM($BT655:$CK655),)</f>
        <v/>
      </c>
      <c r="BL655" s="129">
        <f>IFERROR(SUM($CL655:$CN655),)</f>
        <v/>
      </c>
      <c r="BM655" s="130">
        <f>IFERROR(SUM($CO655:$CQ655),)</f>
        <v/>
      </c>
      <c r="BN655" s="128">
        <f>IFERROR(SUM($CR655:$CT655),)</f>
        <v/>
      </c>
      <c r="BO655" s="128">
        <f>iferror(SUM($BP655,($BQ655*1.2),($BR655*1.35),($BS655*0.74)),)</f>
        <v/>
      </c>
      <c r="BP655" s="128">
        <f>IFERROR(SUM($CU655:$DL655),)</f>
        <v/>
      </c>
      <c r="BQ655" s="128">
        <f>IFERROR(SUM($DM655:$DO655),)</f>
        <v/>
      </c>
      <c r="BR655" s="128">
        <f>IFERROR(SUM($DP655:$DR655),)</f>
        <v/>
      </c>
      <c r="BS655" s="128">
        <f>IFERROR(SUM($DS655:$DU655),)</f>
        <v/>
      </c>
      <c r="BT655" s="128">
        <f>IFERROR(AI655*$W655,)</f>
        <v/>
      </c>
      <c r="BU655" s="128">
        <f>IFERROR(AJ655*$W655,)</f>
        <v/>
      </c>
      <c r="BV655" s="128">
        <f>IFERROR(AK655*$W655,)</f>
        <v/>
      </c>
      <c r="BW655" s="128">
        <f>IFERROR(AL655*$W655,)</f>
        <v/>
      </c>
      <c r="BX655" s="128">
        <f>IFERROR(AM655*$W655,)</f>
        <v/>
      </c>
      <c r="BY655" s="128">
        <f>IFERROR(AN655*$W655,)</f>
        <v/>
      </c>
      <c r="BZ655" s="128">
        <f>IFERROR(AO655*$W655,)</f>
        <v/>
      </c>
      <c r="CA655" s="128">
        <f>IFERROR(AP655*$W655,)</f>
        <v/>
      </c>
      <c r="CB655" s="128">
        <f>IFERROR(AQ655*$W655,)</f>
        <v/>
      </c>
      <c r="CC655" s="128">
        <f>IFERROR(AR655*$W655,)</f>
        <v/>
      </c>
      <c r="CD655" s="128">
        <f>IFERROR(AS655*$W655,)</f>
        <v/>
      </c>
      <c r="CE655" s="128">
        <f>IFERROR(AT655*$W655,)</f>
        <v/>
      </c>
      <c r="CF655" s="128">
        <f>IFERROR(AU655*$W655,)</f>
        <v/>
      </c>
      <c r="CG655" s="128">
        <f>IFERROR(AV655*$W655,)</f>
        <v/>
      </c>
      <c r="CH655" s="128">
        <f>IFERROR(AW655*$W655,)</f>
        <v/>
      </c>
      <c r="CI655" s="128">
        <f>IFERROR(AX655*$W655,)</f>
        <v/>
      </c>
      <c r="CJ655" s="128">
        <f>IFERROR(AY655*$W655,)</f>
        <v/>
      </c>
      <c r="CK655" s="128">
        <f>IFERROR(AZ655*$W655,)</f>
        <v/>
      </c>
      <c r="CL655" s="129">
        <f>IFERROR(if($Y655=0,BA655*($W655/1.2),BA655*$Y655),"")</f>
        <v/>
      </c>
      <c r="CM655" s="129">
        <f>IFERROR(if($Y655=0,BB655*($W655/1.2),BB655*$Y655),"")</f>
        <v/>
      </c>
      <c r="CN655" s="129">
        <f>IFERROR(if($Y655=0,BC655*($W655/1.2),BC655*$Y655),"")</f>
        <v/>
      </c>
      <c r="CO655" s="130">
        <f>IFERROR(if($AA655=0,($W655/1.35)*BD655,BD655*$AA655),)</f>
        <v/>
      </c>
      <c r="CP655" s="130">
        <f>IFERROR(if($AA655=0,($W655/1.35)*BE655,BE655*$AA655),)</f>
        <v/>
      </c>
      <c r="CQ655" s="130">
        <f>IFERROR(if($AA655=0,($W655/1.35)*BF655,BF655*$AA655),)</f>
        <v/>
      </c>
      <c r="CR655" s="128">
        <f>IFERROR(if($AC655=0,($W655/0.74)*BG655,
BG655*$AC655),)</f>
        <v/>
      </c>
      <c r="CS655" s="128">
        <f>IFERROR(if($AC655=0,($W655/0.74)*BH655,
BH655*$AC655),)</f>
        <v/>
      </c>
      <c r="CT655" s="128">
        <f>IFERROR(if($AC655=0,($W655/0.74)*BI655,
BI655*$AC655),)</f>
        <v/>
      </c>
      <c r="CU655" s="128">
        <f>IFERROR(AI655*$V655,)</f>
        <v/>
      </c>
      <c r="CV655" s="128">
        <f>IFERROR(AJ655*$V655,)</f>
        <v/>
      </c>
      <c r="CW655" s="128">
        <f>IFERROR(AK655*$V655,)</f>
        <v/>
      </c>
      <c r="CX655" s="128">
        <f>IFERROR(AL655*$V655,)</f>
        <v/>
      </c>
      <c r="CY655" s="128">
        <f>IFERROR(AM655*$V655,)</f>
        <v/>
      </c>
      <c r="CZ655" s="128">
        <f>IFERROR(AN655*$V655,)</f>
        <v/>
      </c>
      <c r="DA655" s="128">
        <f>IFERROR(AO655*$V655,)</f>
        <v/>
      </c>
      <c r="DB655" s="128">
        <f>IFERROR(AP655*$V655,)</f>
        <v/>
      </c>
      <c r="DC655" s="128">
        <f>IFERROR(AQ655*$V655,)</f>
        <v/>
      </c>
      <c r="DD655" s="128">
        <f>IFERROR(AR655*$V655,)</f>
        <v/>
      </c>
      <c r="DE655" s="128">
        <f>IFERROR(AS655*$V655,)</f>
        <v/>
      </c>
      <c r="DF655" s="128">
        <f>IFERROR(AT655*$V655,)</f>
        <v/>
      </c>
      <c r="DG655" s="128">
        <f>IFERROR(AU655*$V655,)</f>
        <v/>
      </c>
      <c r="DH655" s="128">
        <f>IFERROR(AV655*$V655,)</f>
        <v/>
      </c>
      <c r="DI655" s="128">
        <f>IFERROR(AW655*$V655,)</f>
        <v/>
      </c>
      <c r="DJ655" s="128">
        <f>IFERROR(AX655*$V655,)</f>
        <v/>
      </c>
      <c r="DK655" s="128">
        <f>IFERROR(AY655*$V655,)</f>
        <v/>
      </c>
      <c r="DL655" s="128">
        <f>IFERROR(AZ655*$V655,)</f>
        <v/>
      </c>
      <c r="DM655" s="129">
        <f>IFERROR(if($X655=0,($V655/1.2)*BA655,
BA655*$X655),)</f>
        <v/>
      </c>
      <c r="DN655" s="129">
        <f>IFERROR(if($X655=0,($V655/1.2)*BB655,
BB655*$X655),)</f>
        <v/>
      </c>
      <c r="DO655" s="129">
        <f>IFERROR(if($X655=0,($V655/1.2)*BC655,
BC655*$X655),)</f>
        <v/>
      </c>
      <c r="DP655" s="130">
        <f>IFERROR(if($Z655=0,($V655/1.35)*BD655,
BD655*$Z655),)</f>
        <v/>
      </c>
      <c r="DQ655" s="130">
        <f>IFERROR(if($Z655=0,($V655/1.35)*BE655,
BE655*$Z655),)</f>
        <v/>
      </c>
      <c r="DR655" s="130">
        <f>IFERROR(if($Z655=0,($V655/1.35)*BF655,
BF655*$Z655),)</f>
        <v/>
      </c>
      <c r="DS655" s="128">
        <f>IFERROR(IF($AB655=0,($V655/0.74)*BG655,
BG655*$AB655),)</f>
        <v/>
      </c>
      <c r="DT655" s="128">
        <f>IFERROR(IF($AB655=0,($V655/0.74)*BH655,
BH655*$AB655),)</f>
        <v/>
      </c>
      <c r="DU655" s="128">
        <f>IFERROR(IF($AB655=0,($V655/0.74)*BI655,
BI655*$AB655),)</f>
        <v/>
      </c>
    </row>
    <row r="656" ht="131.25" customHeight="1" s="162">
      <c r="A656" s="115" t="n"/>
      <c r="B656" s="115" t="n"/>
      <c r="C656" s="115" t="n"/>
      <c r="D656" s="115" t="n"/>
      <c r="E656" s="115" t="n"/>
      <c r="F656" s="115" t="n"/>
      <c r="G656" s="115" t="n"/>
      <c r="H656" s="115" t="n"/>
      <c r="I656" s="115" t="n"/>
      <c r="J656" s="115" t="n"/>
      <c r="K656" s="115" t="n"/>
      <c r="L656" s="115" t="n"/>
      <c r="M656" s="115" t="n"/>
      <c r="N656" s="115" t="n"/>
      <c r="O656" s="115" t="n"/>
      <c r="P656" s="115" t="n"/>
      <c r="Q656" s="115" t="n"/>
      <c r="R656" s="115" t="n"/>
      <c r="S656" s="115" t="n"/>
      <c r="T656" s="115" t="n"/>
      <c r="U656" s="116" t="n"/>
      <c r="V656" s="116" t="n"/>
      <c r="W656" s="117" t="n"/>
      <c r="X656" s="118" t="n"/>
      <c r="Y656" s="119" t="n"/>
      <c r="Z656" s="120" t="n"/>
      <c r="AA656" s="121" t="n"/>
      <c r="AB656" s="122" t="n"/>
      <c r="AC656" s="117" t="n"/>
      <c r="AD656" s="123">
        <f>IF(SUM($AE656:$AH656)=0,"",SUM($AE656:$AH656))</f>
        <v/>
      </c>
      <c r="AE656" s="123">
        <f>iferror(IF(SUM($AI656:$AZ656)=0,"",SUM($AI656:$AZ656)),"")</f>
        <v/>
      </c>
      <c r="AF656" s="123">
        <f>iferror(IF(SUM($BA656:$BC656)=0,"",SUM($BA656:$BC656)),"")</f>
        <v/>
      </c>
      <c r="AG656" s="123">
        <f>iferror(IF(SUM($BD656:$BF656)=0,"",SUM($BD656:$BF656)),"")</f>
        <v/>
      </c>
      <c r="AH656" s="124">
        <f>iferror(IF(SUM($BG656:$BI656)=0,"",SUM($BG656:$BI656)),"")</f>
        <v/>
      </c>
      <c r="AI656" s="131" t="n"/>
      <c r="AJ656" s="132" t="n"/>
      <c r="AK656" s="132" t="n"/>
      <c r="AL656" s="132" t="n"/>
      <c r="AM656" s="132" t="n"/>
      <c r="AN656" s="132" t="n"/>
      <c r="AO656" s="132" t="n"/>
      <c r="AP656" s="132" t="n"/>
      <c r="AQ656" s="132" t="n"/>
      <c r="AR656" s="132" t="n"/>
      <c r="AS656" s="132" t="n"/>
      <c r="AT656" s="132" t="n"/>
      <c r="AU656" s="132" t="n"/>
      <c r="AV656" s="132" t="n"/>
      <c r="AW656" s="132" t="n"/>
      <c r="AX656" s="132" t="n"/>
      <c r="AY656" s="132" t="n"/>
      <c r="AZ656" s="133" t="n"/>
      <c r="BA656" s="131" t="n"/>
      <c r="BB656" s="132" t="n"/>
      <c r="BC656" s="133" t="n"/>
      <c r="BD656" s="131" t="n"/>
      <c r="BE656" s="132" t="n"/>
      <c r="BF656" s="133" t="n"/>
      <c r="BG656" s="131" t="n"/>
      <c r="BH656" s="132" t="n"/>
      <c r="BI656" s="132" t="n"/>
      <c r="BJ656" s="128">
        <f>iferror(SUM($BK656,($BL656*1.2),($BM656*1.35),($BN656*0.74)),)</f>
        <v/>
      </c>
      <c r="BK656" s="128">
        <f>IFERROR(SUM($BT656:$CK656),)</f>
        <v/>
      </c>
      <c r="BL656" s="129">
        <f>IFERROR(SUM($CL656:$CN656),)</f>
        <v/>
      </c>
      <c r="BM656" s="130">
        <f>IFERROR(SUM($CO656:$CQ656),)</f>
        <v/>
      </c>
      <c r="BN656" s="128">
        <f>IFERROR(SUM($CR656:$CT656),)</f>
        <v/>
      </c>
      <c r="BO656" s="128">
        <f>iferror(SUM($BP656,($BQ656*1.2),($BR656*1.35),($BS656*0.74)),)</f>
        <v/>
      </c>
      <c r="BP656" s="128">
        <f>IFERROR(SUM($CU656:$DL656),)</f>
        <v/>
      </c>
      <c r="BQ656" s="128">
        <f>IFERROR(SUM($DM656:$DO656),)</f>
        <v/>
      </c>
      <c r="BR656" s="128">
        <f>IFERROR(SUM($DP656:$DR656),)</f>
        <v/>
      </c>
      <c r="BS656" s="128">
        <f>IFERROR(SUM($DS656:$DU656),)</f>
        <v/>
      </c>
      <c r="BT656" s="128">
        <f>IFERROR(AI656*$W656,)</f>
        <v/>
      </c>
      <c r="BU656" s="128">
        <f>IFERROR(AJ656*$W656,)</f>
        <v/>
      </c>
      <c r="BV656" s="128">
        <f>IFERROR(AK656*$W656,)</f>
        <v/>
      </c>
      <c r="BW656" s="128">
        <f>IFERROR(AL656*$W656,)</f>
        <v/>
      </c>
      <c r="BX656" s="128">
        <f>IFERROR(AM656*$W656,)</f>
        <v/>
      </c>
      <c r="BY656" s="128">
        <f>IFERROR(AN656*$W656,)</f>
        <v/>
      </c>
      <c r="BZ656" s="128">
        <f>IFERROR(AO656*$W656,)</f>
        <v/>
      </c>
      <c r="CA656" s="128">
        <f>IFERROR(AP656*$W656,)</f>
        <v/>
      </c>
      <c r="CB656" s="128">
        <f>IFERROR(AQ656*$W656,)</f>
        <v/>
      </c>
      <c r="CC656" s="128">
        <f>IFERROR(AR656*$W656,)</f>
        <v/>
      </c>
      <c r="CD656" s="128">
        <f>IFERROR(AS656*$W656,)</f>
        <v/>
      </c>
      <c r="CE656" s="128">
        <f>IFERROR(AT656*$W656,)</f>
        <v/>
      </c>
      <c r="CF656" s="128">
        <f>IFERROR(AU656*$W656,)</f>
        <v/>
      </c>
      <c r="CG656" s="128">
        <f>IFERROR(AV656*$W656,)</f>
        <v/>
      </c>
      <c r="CH656" s="128">
        <f>IFERROR(AW656*$W656,)</f>
        <v/>
      </c>
      <c r="CI656" s="128">
        <f>IFERROR(AX656*$W656,)</f>
        <v/>
      </c>
      <c r="CJ656" s="128">
        <f>IFERROR(AY656*$W656,)</f>
        <v/>
      </c>
      <c r="CK656" s="128">
        <f>IFERROR(AZ656*$W656,)</f>
        <v/>
      </c>
      <c r="CL656" s="129">
        <f>IFERROR(if($Y656=0,BA656*($W656/1.2),BA656*$Y656),"")</f>
        <v/>
      </c>
      <c r="CM656" s="129">
        <f>IFERROR(if($Y656=0,BB656*($W656/1.2),BB656*$Y656),"")</f>
        <v/>
      </c>
      <c r="CN656" s="129">
        <f>IFERROR(if($Y656=0,BC656*($W656/1.2),BC656*$Y656),"")</f>
        <v/>
      </c>
      <c r="CO656" s="130">
        <f>IFERROR(if($AA656=0,($W656/1.35)*BD656,BD656*$AA656),)</f>
        <v/>
      </c>
      <c r="CP656" s="130">
        <f>IFERROR(if($AA656=0,($W656/1.35)*BE656,BE656*$AA656),)</f>
        <v/>
      </c>
      <c r="CQ656" s="130">
        <f>IFERROR(if($AA656=0,($W656/1.35)*BF656,BF656*$AA656),)</f>
        <v/>
      </c>
      <c r="CR656" s="128">
        <f>IFERROR(if($AC656=0,($W656/0.74)*BG656,
BG656*$AC656),)</f>
        <v/>
      </c>
      <c r="CS656" s="128">
        <f>IFERROR(if($AC656=0,($W656/0.74)*BH656,
BH656*$AC656),)</f>
        <v/>
      </c>
      <c r="CT656" s="128">
        <f>IFERROR(if($AC656=0,($W656/0.74)*BI656,
BI656*$AC656),)</f>
        <v/>
      </c>
      <c r="CU656" s="128">
        <f>IFERROR(AI656*$V656,)</f>
        <v/>
      </c>
      <c r="CV656" s="128">
        <f>IFERROR(AJ656*$V656,)</f>
        <v/>
      </c>
      <c r="CW656" s="128">
        <f>IFERROR(AK656*$V656,)</f>
        <v/>
      </c>
      <c r="CX656" s="128">
        <f>IFERROR(AL656*$V656,)</f>
        <v/>
      </c>
      <c r="CY656" s="128">
        <f>IFERROR(AM656*$V656,)</f>
        <v/>
      </c>
      <c r="CZ656" s="128">
        <f>IFERROR(AN656*$V656,)</f>
        <v/>
      </c>
      <c r="DA656" s="128">
        <f>IFERROR(AO656*$V656,)</f>
        <v/>
      </c>
      <c r="DB656" s="128">
        <f>IFERROR(AP656*$V656,)</f>
        <v/>
      </c>
      <c r="DC656" s="128">
        <f>IFERROR(AQ656*$V656,)</f>
        <v/>
      </c>
      <c r="DD656" s="128">
        <f>IFERROR(AR656*$V656,)</f>
        <v/>
      </c>
      <c r="DE656" s="128">
        <f>IFERROR(AS656*$V656,)</f>
        <v/>
      </c>
      <c r="DF656" s="128">
        <f>IFERROR(AT656*$V656,)</f>
        <v/>
      </c>
      <c r="DG656" s="128">
        <f>IFERROR(AU656*$V656,)</f>
        <v/>
      </c>
      <c r="DH656" s="128">
        <f>IFERROR(AV656*$V656,)</f>
        <v/>
      </c>
      <c r="DI656" s="128">
        <f>IFERROR(AW656*$V656,)</f>
        <v/>
      </c>
      <c r="DJ656" s="128">
        <f>IFERROR(AX656*$V656,)</f>
        <v/>
      </c>
      <c r="DK656" s="128">
        <f>IFERROR(AY656*$V656,)</f>
        <v/>
      </c>
      <c r="DL656" s="128">
        <f>IFERROR(AZ656*$V656,)</f>
        <v/>
      </c>
      <c r="DM656" s="129">
        <f>IFERROR(if($X656=0,($V656/1.2)*BA656,
BA656*$X656),)</f>
        <v/>
      </c>
      <c r="DN656" s="129">
        <f>IFERROR(if($X656=0,($V656/1.2)*BB656,
BB656*$X656),)</f>
        <v/>
      </c>
      <c r="DO656" s="129">
        <f>IFERROR(if($X656=0,($V656/1.2)*BC656,
BC656*$X656),)</f>
        <v/>
      </c>
      <c r="DP656" s="130">
        <f>IFERROR(if($Z656=0,($V656/1.35)*BD656,
BD656*$Z656),)</f>
        <v/>
      </c>
      <c r="DQ656" s="130">
        <f>IFERROR(if($Z656=0,($V656/1.35)*BE656,
BE656*$Z656),)</f>
        <v/>
      </c>
      <c r="DR656" s="130">
        <f>IFERROR(if($Z656=0,($V656/1.35)*BF656,
BF656*$Z656),)</f>
        <v/>
      </c>
      <c r="DS656" s="128">
        <f>IFERROR(IF($AB656=0,($V656/0.74)*BG656,
BG656*$AB656),)</f>
        <v/>
      </c>
      <c r="DT656" s="128">
        <f>IFERROR(IF($AB656=0,($V656/0.74)*BH656,
BH656*$AB656),)</f>
        <v/>
      </c>
      <c r="DU656" s="128">
        <f>IFERROR(IF($AB656=0,($V656/0.74)*BI656,
BI656*$AB656),)</f>
        <v/>
      </c>
    </row>
    <row r="657" ht="131.25" customHeight="1" s="162">
      <c r="A657" s="115" t="n"/>
      <c r="B657" s="115" t="n"/>
      <c r="C657" s="115" t="n"/>
      <c r="D657" s="115" t="n"/>
      <c r="E657" s="115" t="n"/>
      <c r="F657" s="115" t="n"/>
      <c r="G657" s="115" t="n"/>
      <c r="H657" s="115" t="n"/>
      <c r="I657" s="115" t="n"/>
      <c r="J657" s="115" t="n"/>
      <c r="K657" s="115" t="n"/>
      <c r="L657" s="115" t="n"/>
      <c r="M657" s="115" t="n"/>
      <c r="N657" s="115" t="n"/>
      <c r="O657" s="115" t="n"/>
      <c r="P657" s="115" t="n"/>
      <c r="Q657" s="115" t="n"/>
      <c r="R657" s="115" t="n"/>
      <c r="S657" s="115" t="n"/>
      <c r="T657" s="115" t="n"/>
      <c r="U657" s="116" t="n"/>
      <c r="V657" s="116" t="n"/>
      <c r="W657" s="117" t="n"/>
      <c r="X657" s="118" t="n"/>
      <c r="Y657" s="119" t="n"/>
      <c r="Z657" s="120" t="n"/>
      <c r="AA657" s="121" t="n"/>
      <c r="AB657" s="122" t="n"/>
      <c r="AC657" s="117" t="n"/>
      <c r="AD657" s="123">
        <f>IF(SUM($AE657:$AH657)=0,"",SUM($AE657:$AH657))</f>
        <v/>
      </c>
      <c r="AE657" s="123">
        <f>iferror(IF(SUM($AI657:$AZ657)=0,"",SUM($AI657:$AZ657)),"")</f>
        <v/>
      </c>
      <c r="AF657" s="123">
        <f>iferror(IF(SUM($BA657:$BC657)=0,"",SUM($BA657:$BC657)),"")</f>
        <v/>
      </c>
      <c r="AG657" s="123">
        <f>iferror(IF(SUM($BD657:$BF657)=0,"",SUM($BD657:$BF657)),"")</f>
        <v/>
      </c>
      <c r="AH657" s="124">
        <f>iferror(IF(SUM($BG657:$BI657)=0,"",SUM($BG657:$BI657)),"")</f>
        <v/>
      </c>
      <c r="AI657" s="131" t="n"/>
      <c r="AJ657" s="132" t="n"/>
      <c r="AK657" s="132" t="n"/>
      <c r="AL657" s="132" t="n"/>
      <c r="AM657" s="132" t="n"/>
      <c r="AN657" s="132" t="n"/>
      <c r="AO657" s="132" t="n"/>
      <c r="AP657" s="132" t="n"/>
      <c r="AQ657" s="132" t="n"/>
      <c r="AR657" s="132" t="n"/>
      <c r="AS657" s="132" t="n"/>
      <c r="AT657" s="132" t="n"/>
      <c r="AU657" s="132" t="n"/>
      <c r="AV657" s="132" t="n"/>
      <c r="AW657" s="132" t="n"/>
      <c r="AX657" s="132" t="n"/>
      <c r="AY657" s="132" t="n"/>
      <c r="AZ657" s="133" t="n"/>
      <c r="BA657" s="131" t="n"/>
      <c r="BB657" s="132" t="n"/>
      <c r="BC657" s="133" t="n"/>
      <c r="BD657" s="131" t="n"/>
      <c r="BE657" s="132" t="n"/>
      <c r="BF657" s="133" t="n"/>
      <c r="BG657" s="131" t="n"/>
      <c r="BH657" s="132" t="n"/>
      <c r="BI657" s="132" t="n"/>
      <c r="BJ657" s="128">
        <f>iferror(SUM($BK657,($BL657*1.2),($BM657*1.35),($BN657*0.74)),)</f>
        <v/>
      </c>
      <c r="BK657" s="128">
        <f>IFERROR(SUM($BT657:$CK657),)</f>
        <v/>
      </c>
      <c r="BL657" s="129">
        <f>IFERROR(SUM($CL657:$CN657),)</f>
        <v/>
      </c>
      <c r="BM657" s="130">
        <f>IFERROR(SUM($CO657:$CQ657),)</f>
        <v/>
      </c>
      <c r="BN657" s="128">
        <f>IFERROR(SUM($CR657:$CT657),)</f>
        <v/>
      </c>
      <c r="BO657" s="128">
        <f>iferror(SUM($BP657,($BQ657*1.2),($BR657*1.35),($BS657*0.74)),)</f>
        <v/>
      </c>
      <c r="BP657" s="128">
        <f>IFERROR(SUM($CU657:$DL657),)</f>
        <v/>
      </c>
      <c r="BQ657" s="128">
        <f>IFERROR(SUM($DM657:$DO657),)</f>
        <v/>
      </c>
      <c r="BR657" s="128">
        <f>IFERROR(SUM($DP657:$DR657),)</f>
        <v/>
      </c>
      <c r="BS657" s="128">
        <f>IFERROR(SUM($DS657:$DU657),)</f>
        <v/>
      </c>
      <c r="BT657" s="128">
        <f>IFERROR(AI657*$W657,)</f>
        <v/>
      </c>
      <c r="BU657" s="128">
        <f>IFERROR(AJ657*$W657,)</f>
        <v/>
      </c>
      <c r="BV657" s="128">
        <f>IFERROR(AK657*$W657,)</f>
        <v/>
      </c>
      <c r="BW657" s="128">
        <f>IFERROR(AL657*$W657,)</f>
        <v/>
      </c>
      <c r="BX657" s="128">
        <f>IFERROR(AM657*$W657,)</f>
        <v/>
      </c>
      <c r="BY657" s="128">
        <f>IFERROR(AN657*$W657,)</f>
        <v/>
      </c>
      <c r="BZ657" s="128">
        <f>IFERROR(AO657*$W657,)</f>
        <v/>
      </c>
      <c r="CA657" s="128">
        <f>IFERROR(AP657*$W657,)</f>
        <v/>
      </c>
      <c r="CB657" s="128">
        <f>IFERROR(AQ657*$W657,)</f>
        <v/>
      </c>
      <c r="CC657" s="128">
        <f>IFERROR(AR657*$W657,)</f>
        <v/>
      </c>
      <c r="CD657" s="128">
        <f>IFERROR(AS657*$W657,)</f>
        <v/>
      </c>
      <c r="CE657" s="128">
        <f>IFERROR(AT657*$W657,)</f>
        <v/>
      </c>
      <c r="CF657" s="128">
        <f>IFERROR(AU657*$W657,)</f>
        <v/>
      </c>
      <c r="CG657" s="128">
        <f>IFERROR(AV657*$W657,)</f>
        <v/>
      </c>
      <c r="CH657" s="128">
        <f>IFERROR(AW657*$W657,)</f>
        <v/>
      </c>
      <c r="CI657" s="128">
        <f>IFERROR(AX657*$W657,)</f>
        <v/>
      </c>
      <c r="CJ657" s="128">
        <f>IFERROR(AY657*$W657,)</f>
        <v/>
      </c>
      <c r="CK657" s="128">
        <f>IFERROR(AZ657*$W657,)</f>
        <v/>
      </c>
      <c r="CL657" s="129">
        <f>IFERROR(if($Y657=0,BA657*($W657/1.2),BA657*$Y657),"")</f>
        <v/>
      </c>
      <c r="CM657" s="129">
        <f>IFERROR(if($Y657=0,BB657*($W657/1.2),BB657*$Y657),"")</f>
        <v/>
      </c>
      <c r="CN657" s="129">
        <f>IFERROR(if($Y657=0,BC657*($W657/1.2),BC657*$Y657),"")</f>
        <v/>
      </c>
      <c r="CO657" s="130">
        <f>IFERROR(if($AA657=0,($W657/1.35)*BD657,BD657*$AA657),)</f>
        <v/>
      </c>
      <c r="CP657" s="130">
        <f>IFERROR(if($AA657=0,($W657/1.35)*BE657,BE657*$AA657),)</f>
        <v/>
      </c>
      <c r="CQ657" s="130">
        <f>IFERROR(if($AA657=0,($W657/1.35)*BF657,BF657*$AA657),)</f>
        <v/>
      </c>
      <c r="CR657" s="128">
        <f>IFERROR(if($AC657=0,($W657/0.74)*BG657,
BG657*$AC657),)</f>
        <v/>
      </c>
      <c r="CS657" s="128">
        <f>IFERROR(if($AC657=0,($W657/0.74)*BH657,
BH657*$AC657),)</f>
        <v/>
      </c>
      <c r="CT657" s="128">
        <f>IFERROR(if($AC657=0,($W657/0.74)*BI657,
BI657*$AC657),)</f>
        <v/>
      </c>
      <c r="CU657" s="128">
        <f>IFERROR(AI657*$V657,)</f>
        <v/>
      </c>
      <c r="CV657" s="128">
        <f>IFERROR(AJ657*$V657,)</f>
        <v/>
      </c>
      <c r="CW657" s="128">
        <f>IFERROR(AK657*$V657,)</f>
        <v/>
      </c>
      <c r="CX657" s="128">
        <f>IFERROR(AL657*$V657,)</f>
        <v/>
      </c>
      <c r="CY657" s="128">
        <f>IFERROR(AM657*$V657,)</f>
        <v/>
      </c>
      <c r="CZ657" s="128">
        <f>IFERROR(AN657*$V657,)</f>
        <v/>
      </c>
      <c r="DA657" s="128">
        <f>IFERROR(AO657*$V657,)</f>
        <v/>
      </c>
      <c r="DB657" s="128">
        <f>IFERROR(AP657*$V657,)</f>
        <v/>
      </c>
      <c r="DC657" s="128">
        <f>IFERROR(AQ657*$V657,)</f>
        <v/>
      </c>
      <c r="DD657" s="128">
        <f>IFERROR(AR657*$V657,)</f>
        <v/>
      </c>
      <c r="DE657" s="128">
        <f>IFERROR(AS657*$V657,)</f>
        <v/>
      </c>
      <c r="DF657" s="128">
        <f>IFERROR(AT657*$V657,)</f>
        <v/>
      </c>
      <c r="DG657" s="128">
        <f>IFERROR(AU657*$V657,)</f>
        <v/>
      </c>
      <c r="DH657" s="128">
        <f>IFERROR(AV657*$V657,)</f>
        <v/>
      </c>
      <c r="DI657" s="128">
        <f>IFERROR(AW657*$V657,)</f>
        <v/>
      </c>
      <c r="DJ657" s="128">
        <f>IFERROR(AX657*$V657,)</f>
        <v/>
      </c>
      <c r="DK657" s="128">
        <f>IFERROR(AY657*$V657,)</f>
        <v/>
      </c>
      <c r="DL657" s="128">
        <f>IFERROR(AZ657*$V657,)</f>
        <v/>
      </c>
      <c r="DM657" s="129">
        <f>IFERROR(if($X657=0,($V657/1.2)*BA657,
BA657*$X657),)</f>
        <v/>
      </c>
      <c r="DN657" s="129">
        <f>IFERROR(if($X657=0,($V657/1.2)*BB657,
BB657*$X657),)</f>
        <v/>
      </c>
      <c r="DO657" s="129">
        <f>IFERROR(if($X657=0,($V657/1.2)*BC657,
BC657*$X657),)</f>
        <v/>
      </c>
      <c r="DP657" s="130">
        <f>IFERROR(if($Z657=0,($V657/1.35)*BD657,
BD657*$Z657),)</f>
        <v/>
      </c>
      <c r="DQ657" s="130">
        <f>IFERROR(if($Z657=0,($V657/1.35)*BE657,
BE657*$Z657),)</f>
        <v/>
      </c>
      <c r="DR657" s="130">
        <f>IFERROR(if($Z657=0,($V657/1.35)*BF657,
BF657*$Z657),)</f>
        <v/>
      </c>
      <c r="DS657" s="128">
        <f>IFERROR(IF($AB657=0,($V657/0.74)*BG657,
BG657*$AB657),)</f>
        <v/>
      </c>
      <c r="DT657" s="128">
        <f>IFERROR(IF($AB657=0,($V657/0.74)*BH657,
BH657*$AB657),)</f>
        <v/>
      </c>
      <c r="DU657" s="128">
        <f>IFERROR(IF($AB657=0,($V657/0.74)*BI657,
BI657*$AB657),)</f>
        <v/>
      </c>
    </row>
    <row r="658" ht="131.25" customHeight="1" s="162">
      <c r="A658" s="115" t="n"/>
      <c r="B658" s="115" t="n"/>
      <c r="C658" s="115" t="n"/>
      <c r="D658" s="115" t="n"/>
      <c r="E658" s="115" t="n"/>
      <c r="F658" s="115" t="n"/>
      <c r="G658" s="115" t="n"/>
      <c r="H658" s="115" t="n"/>
      <c r="I658" s="115" t="n"/>
      <c r="J658" s="115" t="n"/>
      <c r="K658" s="115" t="n"/>
      <c r="L658" s="115" t="n"/>
      <c r="M658" s="115" t="n"/>
      <c r="N658" s="115" t="n"/>
      <c r="O658" s="115" t="n"/>
      <c r="P658" s="115" t="n"/>
      <c r="Q658" s="115" t="n"/>
      <c r="R658" s="115" t="n"/>
      <c r="S658" s="115" t="n"/>
      <c r="T658" s="115" t="n"/>
      <c r="U658" s="116" t="n"/>
      <c r="V658" s="116" t="n"/>
      <c r="W658" s="117" t="n"/>
      <c r="X658" s="118" t="n"/>
      <c r="Y658" s="119" t="n"/>
      <c r="Z658" s="120" t="n"/>
      <c r="AA658" s="121" t="n"/>
      <c r="AB658" s="122" t="n"/>
      <c r="AC658" s="117" t="n"/>
      <c r="AD658" s="123">
        <f>IF(SUM($AE658:$AH658)=0,"",SUM($AE658:$AH658))</f>
        <v/>
      </c>
      <c r="AE658" s="123">
        <f>iferror(IF(SUM($AI658:$AZ658)=0,"",SUM($AI658:$AZ658)),"")</f>
        <v/>
      </c>
      <c r="AF658" s="123">
        <f>iferror(IF(SUM($BA658:$BC658)=0,"",SUM($BA658:$BC658)),"")</f>
        <v/>
      </c>
      <c r="AG658" s="123">
        <f>iferror(IF(SUM($BD658:$BF658)=0,"",SUM($BD658:$BF658)),"")</f>
        <v/>
      </c>
      <c r="AH658" s="124">
        <f>iferror(IF(SUM($BG658:$BI658)=0,"",SUM($BG658:$BI658)),"")</f>
        <v/>
      </c>
      <c r="AI658" s="131" t="n"/>
      <c r="AJ658" s="132" t="n"/>
      <c r="AK658" s="132" t="n"/>
      <c r="AL658" s="132" t="n"/>
      <c r="AM658" s="132" t="n"/>
      <c r="AN658" s="132" t="n"/>
      <c r="AO658" s="132" t="n"/>
      <c r="AP658" s="132" t="n"/>
      <c r="AQ658" s="132" t="n"/>
      <c r="AR658" s="132" t="n"/>
      <c r="AS658" s="132" t="n"/>
      <c r="AT658" s="132" t="n"/>
      <c r="AU658" s="132" t="n"/>
      <c r="AV658" s="132" t="n"/>
      <c r="AW658" s="132" t="n"/>
      <c r="AX658" s="132" t="n"/>
      <c r="AY658" s="132" t="n"/>
      <c r="AZ658" s="133" t="n"/>
      <c r="BA658" s="131" t="n"/>
      <c r="BB658" s="132" t="n"/>
      <c r="BC658" s="133" t="n"/>
      <c r="BD658" s="131" t="n"/>
      <c r="BE658" s="132" t="n"/>
      <c r="BF658" s="133" t="n"/>
      <c r="BG658" s="131" t="n"/>
      <c r="BH658" s="132" t="n"/>
      <c r="BI658" s="132" t="n"/>
      <c r="BJ658" s="128">
        <f>iferror(SUM($BK658,($BL658*1.2),($BM658*1.35),($BN658*0.74)),)</f>
        <v/>
      </c>
      <c r="BK658" s="128">
        <f>IFERROR(SUM($BT658:$CK658),)</f>
        <v/>
      </c>
      <c r="BL658" s="129">
        <f>IFERROR(SUM($CL658:$CN658),)</f>
        <v/>
      </c>
      <c r="BM658" s="130">
        <f>IFERROR(SUM($CO658:$CQ658),)</f>
        <v/>
      </c>
      <c r="BN658" s="128">
        <f>IFERROR(SUM($CR658:$CT658),)</f>
        <v/>
      </c>
      <c r="BO658" s="128">
        <f>iferror(SUM($BP658,($BQ658*1.2),($BR658*1.35),($BS658*0.74)),)</f>
        <v/>
      </c>
      <c r="BP658" s="128">
        <f>IFERROR(SUM($CU658:$DL658),)</f>
        <v/>
      </c>
      <c r="BQ658" s="128">
        <f>IFERROR(SUM($DM658:$DO658),)</f>
        <v/>
      </c>
      <c r="BR658" s="128">
        <f>IFERROR(SUM($DP658:$DR658),)</f>
        <v/>
      </c>
      <c r="BS658" s="128">
        <f>IFERROR(SUM($DS658:$DU658),)</f>
        <v/>
      </c>
      <c r="BT658" s="128">
        <f>IFERROR(AI658*$W658,)</f>
        <v/>
      </c>
      <c r="BU658" s="128">
        <f>IFERROR(AJ658*$W658,)</f>
        <v/>
      </c>
      <c r="BV658" s="128">
        <f>IFERROR(AK658*$W658,)</f>
        <v/>
      </c>
      <c r="BW658" s="128">
        <f>IFERROR(AL658*$W658,)</f>
        <v/>
      </c>
      <c r="BX658" s="128">
        <f>IFERROR(AM658*$W658,)</f>
        <v/>
      </c>
      <c r="BY658" s="128">
        <f>IFERROR(AN658*$W658,)</f>
        <v/>
      </c>
      <c r="BZ658" s="128">
        <f>IFERROR(AO658*$W658,)</f>
        <v/>
      </c>
      <c r="CA658" s="128">
        <f>IFERROR(AP658*$W658,)</f>
        <v/>
      </c>
      <c r="CB658" s="128">
        <f>IFERROR(AQ658*$W658,)</f>
        <v/>
      </c>
      <c r="CC658" s="128">
        <f>IFERROR(AR658*$W658,)</f>
        <v/>
      </c>
      <c r="CD658" s="128">
        <f>IFERROR(AS658*$W658,)</f>
        <v/>
      </c>
      <c r="CE658" s="128">
        <f>IFERROR(AT658*$W658,)</f>
        <v/>
      </c>
      <c r="CF658" s="128">
        <f>IFERROR(AU658*$W658,)</f>
        <v/>
      </c>
      <c r="CG658" s="128">
        <f>IFERROR(AV658*$W658,)</f>
        <v/>
      </c>
      <c r="CH658" s="128">
        <f>IFERROR(AW658*$W658,)</f>
        <v/>
      </c>
      <c r="CI658" s="128">
        <f>IFERROR(AX658*$W658,)</f>
        <v/>
      </c>
      <c r="CJ658" s="128">
        <f>IFERROR(AY658*$W658,)</f>
        <v/>
      </c>
      <c r="CK658" s="128">
        <f>IFERROR(AZ658*$W658,)</f>
        <v/>
      </c>
      <c r="CL658" s="129">
        <f>IFERROR(if($Y658=0,BA658*($W658/1.2),BA658*$Y658),"")</f>
        <v/>
      </c>
      <c r="CM658" s="129">
        <f>IFERROR(if($Y658=0,BB658*($W658/1.2),BB658*$Y658),"")</f>
        <v/>
      </c>
      <c r="CN658" s="129">
        <f>IFERROR(if($Y658=0,BC658*($W658/1.2),BC658*$Y658),"")</f>
        <v/>
      </c>
      <c r="CO658" s="130">
        <f>IFERROR(if($AA658=0,($W658/1.35)*BD658,BD658*$AA658),)</f>
        <v/>
      </c>
      <c r="CP658" s="130">
        <f>IFERROR(if($AA658=0,($W658/1.35)*BE658,BE658*$AA658),)</f>
        <v/>
      </c>
      <c r="CQ658" s="130">
        <f>IFERROR(if($AA658=0,($W658/1.35)*BF658,BF658*$AA658),)</f>
        <v/>
      </c>
      <c r="CR658" s="128">
        <f>IFERROR(if($AC658=0,($W658/0.74)*BG658,
BG658*$AC658),)</f>
        <v/>
      </c>
      <c r="CS658" s="128">
        <f>IFERROR(if($AC658=0,($W658/0.74)*BH658,
BH658*$AC658),)</f>
        <v/>
      </c>
      <c r="CT658" s="128">
        <f>IFERROR(if($AC658=0,($W658/0.74)*BI658,
BI658*$AC658),)</f>
        <v/>
      </c>
      <c r="CU658" s="128">
        <f>IFERROR(AI658*$V658,)</f>
        <v/>
      </c>
      <c r="CV658" s="128">
        <f>IFERROR(AJ658*$V658,)</f>
        <v/>
      </c>
      <c r="CW658" s="128">
        <f>IFERROR(AK658*$V658,)</f>
        <v/>
      </c>
      <c r="CX658" s="128">
        <f>IFERROR(AL658*$V658,)</f>
        <v/>
      </c>
      <c r="CY658" s="128">
        <f>IFERROR(AM658*$V658,)</f>
        <v/>
      </c>
      <c r="CZ658" s="128">
        <f>IFERROR(AN658*$V658,)</f>
        <v/>
      </c>
      <c r="DA658" s="128">
        <f>IFERROR(AO658*$V658,)</f>
        <v/>
      </c>
      <c r="DB658" s="128">
        <f>IFERROR(AP658*$V658,)</f>
        <v/>
      </c>
      <c r="DC658" s="128">
        <f>IFERROR(AQ658*$V658,)</f>
        <v/>
      </c>
      <c r="DD658" s="128">
        <f>IFERROR(AR658*$V658,)</f>
        <v/>
      </c>
      <c r="DE658" s="128">
        <f>IFERROR(AS658*$V658,)</f>
        <v/>
      </c>
      <c r="DF658" s="128">
        <f>IFERROR(AT658*$V658,)</f>
        <v/>
      </c>
      <c r="DG658" s="128">
        <f>IFERROR(AU658*$V658,)</f>
        <v/>
      </c>
      <c r="DH658" s="128">
        <f>IFERROR(AV658*$V658,)</f>
        <v/>
      </c>
      <c r="DI658" s="128">
        <f>IFERROR(AW658*$V658,)</f>
        <v/>
      </c>
      <c r="DJ658" s="128">
        <f>IFERROR(AX658*$V658,)</f>
        <v/>
      </c>
      <c r="DK658" s="128">
        <f>IFERROR(AY658*$V658,)</f>
        <v/>
      </c>
      <c r="DL658" s="128">
        <f>IFERROR(AZ658*$V658,)</f>
        <v/>
      </c>
      <c r="DM658" s="129">
        <f>IFERROR(if($X658=0,($V658/1.2)*BA658,
BA658*$X658),)</f>
        <v/>
      </c>
      <c r="DN658" s="129">
        <f>IFERROR(if($X658=0,($V658/1.2)*BB658,
BB658*$X658),)</f>
        <v/>
      </c>
      <c r="DO658" s="129">
        <f>IFERROR(if($X658=0,($V658/1.2)*BC658,
BC658*$X658),)</f>
        <v/>
      </c>
      <c r="DP658" s="130">
        <f>IFERROR(if($Z658=0,($V658/1.35)*BD658,
BD658*$Z658),)</f>
        <v/>
      </c>
      <c r="DQ658" s="130">
        <f>IFERROR(if($Z658=0,($V658/1.35)*BE658,
BE658*$Z658),)</f>
        <v/>
      </c>
      <c r="DR658" s="130">
        <f>IFERROR(if($Z658=0,($V658/1.35)*BF658,
BF658*$Z658),)</f>
        <v/>
      </c>
      <c r="DS658" s="128">
        <f>IFERROR(IF($AB658=0,($V658/0.74)*BG658,
BG658*$AB658),)</f>
        <v/>
      </c>
      <c r="DT658" s="128">
        <f>IFERROR(IF($AB658=0,($V658/0.74)*BH658,
BH658*$AB658),)</f>
        <v/>
      </c>
      <c r="DU658" s="128">
        <f>IFERROR(IF($AB658=0,($V658/0.74)*BI658,
BI658*$AB658),)</f>
        <v/>
      </c>
    </row>
    <row r="659" ht="131.25" customHeight="1" s="162">
      <c r="A659" s="115" t="n"/>
      <c r="B659" s="115" t="n"/>
      <c r="C659" s="115" t="n"/>
      <c r="D659" s="115" t="n"/>
      <c r="E659" s="115" t="n"/>
      <c r="F659" s="115" t="n"/>
      <c r="G659" s="115" t="n"/>
      <c r="H659" s="115" t="n"/>
      <c r="I659" s="115" t="n"/>
      <c r="J659" s="115" t="n"/>
      <c r="K659" s="115" t="n"/>
      <c r="L659" s="115" t="n"/>
      <c r="M659" s="115" t="n"/>
      <c r="N659" s="115" t="n"/>
      <c r="O659" s="115" t="n"/>
      <c r="P659" s="115" t="n"/>
      <c r="Q659" s="115" t="n"/>
      <c r="R659" s="115" t="n"/>
      <c r="S659" s="115" t="n"/>
      <c r="T659" s="115" t="n"/>
      <c r="U659" s="116" t="n"/>
      <c r="V659" s="116" t="n"/>
      <c r="W659" s="117" t="n"/>
      <c r="X659" s="118" t="n"/>
      <c r="Y659" s="119" t="n"/>
      <c r="Z659" s="120" t="n"/>
      <c r="AA659" s="121" t="n"/>
      <c r="AB659" s="122" t="n"/>
      <c r="AC659" s="117" t="n"/>
      <c r="AD659" s="123">
        <f>IF(SUM($AE659:$AH659)=0,"",SUM($AE659:$AH659))</f>
        <v/>
      </c>
      <c r="AE659" s="123">
        <f>iferror(IF(SUM($AI659:$AZ659)=0,"",SUM($AI659:$AZ659)),"")</f>
        <v/>
      </c>
      <c r="AF659" s="123">
        <f>iferror(IF(SUM($BA659:$BC659)=0,"",SUM($BA659:$BC659)),"")</f>
        <v/>
      </c>
      <c r="AG659" s="123">
        <f>iferror(IF(SUM($BD659:$BF659)=0,"",SUM($BD659:$BF659)),"")</f>
        <v/>
      </c>
      <c r="AH659" s="124">
        <f>iferror(IF(SUM($BG659:$BI659)=0,"",SUM($BG659:$BI659)),"")</f>
        <v/>
      </c>
      <c r="AI659" s="131" t="n"/>
      <c r="AJ659" s="132" t="n"/>
      <c r="AK659" s="132" t="n"/>
      <c r="AL659" s="132" t="n"/>
      <c r="AM659" s="132" t="n"/>
      <c r="AN659" s="132" t="n"/>
      <c r="AO659" s="132" t="n"/>
      <c r="AP659" s="132" t="n"/>
      <c r="AQ659" s="132" t="n"/>
      <c r="AR659" s="132" t="n"/>
      <c r="AS659" s="132" t="n"/>
      <c r="AT659" s="132" t="n"/>
      <c r="AU659" s="132" t="n"/>
      <c r="AV659" s="132" t="n"/>
      <c r="AW659" s="132" t="n"/>
      <c r="AX659" s="132" t="n"/>
      <c r="AY659" s="132" t="n"/>
      <c r="AZ659" s="133" t="n"/>
      <c r="BA659" s="131" t="n"/>
      <c r="BB659" s="132" t="n"/>
      <c r="BC659" s="133" t="n"/>
      <c r="BD659" s="131" t="n"/>
      <c r="BE659" s="132" t="n"/>
      <c r="BF659" s="133" t="n"/>
      <c r="BG659" s="131" t="n"/>
      <c r="BH659" s="132" t="n"/>
      <c r="BI659" s="132" t="n"/>
      <c r="BJ659" s="128">
        <f>iferror(SUM($BK659,($BL659*1.2),($BM659*1.35),($BN659*0.74)),)</f>
        <v/>
      </c>
      <c r="BK659" s="128">
        <f>IFERROR(SUM($BT659:$CK659),)</f>
        <v/>
      </c>
      <c r="BL659" s="129">
        <f>IFERROR(SUM($CL659:$CN659),)</f>
        <v/>
      </c>
      <c r="BM659" s="130">
        <f>IFERROR(SUM($CO659:$CQ659),)</f>
        <v/>
      </c>
      <c r="BN659" s="128">
        <f>IFERROR(SUM($CR659:$CT659),)</f>
        <v/>
      </c>
      <c r="BO659" s="128">
        <f>iferror(SUM($BP659,($BQ659*1.2),($BR659*1.35),($BS659*0.74)),)</f>
        <v/>
      </c>
      <c r="BP659" s="128">
        <f>IFERROR(SUM($CU659:$DL659),)</f>
        <v/>
      </c>
      <c r="BQ659" s="128">
        <f>IFERROR(SUM($DM659:$DO659),)</f>
        <v/>
      </c>
      <c r="BR659" s="128">
        <f>IFERROR(SUM($DP659:$DR659),)</f>
        <v/>
      </c>
      <c r="BS659" s="128">
        <f>IFERROR(SUM($DS659:$DU659),)</f>
        <v/>
      </c>
      <c r="BT659" s="128">
        <f>IFERROR(AI659*$W659,)</f>
        <v/>
      </c>
      <c r="BU659" s="128">
        <f>IFERROR(AJ659*$W659,)</f>
        <v/>
      </c>
      <c r="BV659" s="128">
        <f>IFERROR(AK659*$W659,)</f>
        <v/>
      </c>
      <c r="BW659" s="128">
        <f>IFERROR(AL659*$W659,)</f>
        <v/>
      </c>
      <c r="BX659" s="128">
        <f>IFERROR(AM659*$W659,)</f>
        <v/>
      </c>
      <c r="BY659" s="128">
        <f>IFERROR(AN659*$W659,)</f>
        <v/>
      </c>
      <c r="BZ659" s="128">
        <f>IFERROR(AO659*$W659,)</f>
        <v/>
      </c>
      <c r="CA659" s="128">
        <f>IFERROR(AP659*$W659,)</f>
        <v/>
      </c>
      <c r="CB659" s="128">
        <f>IFERROR(AQ659*$W659,)</f>
        <v/>
      </c>
      <c r="CC659" s="128">
        <f>IFERROR(AR659*$W659,)</f>
        <v/>
      </c>
      <c r="CD659" s="128">
        <f>IFERROR(AS659*$W659,)</f>
        <v/>
      </c>
      <c r="CE659" s="128">
        <f>IFERROR(AT659*$W659,)</f>
        <v/>
      </c>
      <c r="CF659" s="128">
        <f>IFERROR(AU659*$W659,)</f>
        <v/>
      </c>
      <c r="CG659" s="128">
        <f>IFERROR(AV659*$W659,)</f>
        <v/>
      </c>
      <c r="CH659" s="128">
        <f>IFERROR(AW659*$W659,)</f>
        <v/>
      </c>
      <c r="CI659" s="128">
        <f>IFERROR(AX659*$W659,)</f>
        <v/>
      </c>
      <c r="CJ659" s="128">
        <f>IFERROR(AY659*$W659,)</f>
        <v/>
      </c>
      <c r="CK659" s="128">
        <f>IFERROR(AZ659*$W659,)</f>
        <v/>
      </c>
      <c r="CL659" s="129">
        <f>IFERROR(if($Y659=0,BA659*($W659/1.2),BA659*$Y659),"")</f>
        <v/>
      </c>
      <c r="CM659" s="129">
        <f>IFERROR(if($Y659=0,BB659*($W659/1.2),BB659*$Y659),"")</f>
        <v/>
      </c>
      <c r="CN659" s="129">
        <f>IFERROR(if($Y659=0,BC659*($W659/1.2),BC659*$Y659),"")</f>
        <v/>
      </c>
      <c r="CO659" s="130">
        <f>IFERROR(if($AA659=0,($W659/1.35)*BD659,BD659*$AA659),)</f>
        <v/>
      </c>
      <c r="CP659" s="130">
        <f>IFERROR(if($AA659=0,($W659/1.35)*BE659,BE659*$AA659),)</f>
        <v/>
      </c>
      <c r="CQ659" s="130">
        <f>IFERROR(if($AA659=0,($W659/1.35)*BF659,BF659*$AA659),)</f>
        <v/>
      </c>
      <c r="CR659" s="128">
        <f>IFERROR(if($AC659=0,($W659/0.74)*BG659,
BG659*$AC659),)</f>
        <v/>
      </c>
      <c r="CS659" s="128">
        <f>IFERROR(if($AC659=0,($W659/0.74)*BH659,
BH659*$AC659),)</f>
        <v/>
      </c>
      <c r="CT659" s="128">
        <f>IFERROR(if($AC659=0,($W659/0.74)*BI659,
BI659*$AC659),)</f>
        <v/>
      </c>
      <c r="CU659" s="128">
        <f>IFERROR(AI659*$V659,)</f>
        <v/>
      </c>
      <c r="CV659" s="128">
        <f>IFERROR(AJ659*$V659,)</f>
        <v/>
      </c>
      <c r="CW659" s="128">
        <f>IFERROR(AK659*$V659,)</f>
        <v/>
      </c>
      <c r="CX659" s="128">
        <f>IFERROR(AL659*$V659,)</f>
        <v/>
      </c>
      <c r="CY659" s="128">
        <f>IFERROR(AM659*$V659,)</f>
        <v/>
      </c>
      <c r="CZ659" s="128">
        <f>IFERROR(AN659*$V659,)</f>
        <v/>
      </c>
      <c r="DA659" s="128">
        <f>IFERROR(AO659*$V659,)</f>
        <v/>
      </c>
      <c r="DB659" s="128">
        <f>IFERROR(AP659*$V659,)</f>
        <v/>
      </c>
      <c r="DC659" s="128">
        <f>IFERROR(AQ659*$V659,)</f>
        <v/>
      </c>
      <c r="DD659" s="128">
        <f>IFERROR(AR659*$V659,)</f>
        <v/>
      </c>
      <c r="DE659" s="128">
        <f>IFERROR(AS659*$V659,)</f>
        <v/>
      </c>
      <c r="DF659" s="128">
        <f>IFERROR(AT659*$V659,)</f>
        <v/>
      </c>
      <c r="DG659" s="128">
        <f>IFERROR(AU659*$V659,)</f>
        <v/>
      </c>
      <c r="DH659" s="128">
        <f>IFERROR(AV659*$V659,)</f>
        <v/>
      </c>
      <c r="DI659" s="128">
        <f>IFERROR(AW659*$V659,)</f>
        <v/>
      </c>
      <c r="DJ659" s="128">
        <f>IFERROR(AX659*$V659,)</f>
        <v/>
      </c>
      <c r="DK659" s="128">
        <f>IFERROR(AY659*$V659,)</f>
        <v/>
      </c>
      <c r="DL659" s="128">
        <f>IFERROR(AZ659*$V659,)</f>
        <v/>
      </c>
      <c r="DM659" s="129">
        <f>IFERROR(if($X659=0,($V659/1.2)*BA659,
BA659*$X659),)</f>
        <v/>
      </c>
      <c r="DN659" s="129">
        <f>IFERROR(if($X659=0,($V659/1.2)*BB659,
BB659*$X659),)</f>
        <v/>
      </c>
      <c r="DO659" s="129">
        <f>IFERROR(if($X659=0,($V659/1.2)*BC659,
BC659*$X659),)</f>
        <v/>
      </c>
      <c r="DP659" s="130">
        <f>IFERROR(if($Z659=0,($V659/1.35)*BD659,
BD659*$Z659),)</f>
        <v/>
      </c>
      <c r="DQ659" s="130">
        <f>IFERROR(if($Z659=0,($V659/1.35)*BE659,
BE659*$Z659),)</f>
        <v/>
      </c>
      <c r="DR659" s="130">
        <f>IFERROR(if($Z659=0,($V659/1.35)*BF659,
BF659*$Z659),)</f>
        <v/>
      </c>
      <c r="DS659" s="128">
        <f>IFERROR(IF($AB659=0,($V659/0.74)*BG659,
BG659*$AB659),)</f>
        <v/>
      </c>
      <c r="DT659" s="128">
        <f>IFERROR(IF($AB659=0,($V659/0.74)*BH659,
BH659*$AB659),)</f>
        <v/>
      </c>
      <c r="DU659" s="128">
        <f>IFERROR(IF($AB659=0,($V659/0.74)*BI659,
BI659*$AB659),)</f>
        <v/>
      </c>
    </row>
    <row r="660" ht="131.25" customHeight="1" s="162">
      <c r="A660" s="115" t="n"/>
      <c r="B660" s="115" t="n"/>
      <c r="C660" s="115" t="n"/>
      <c r="D660" s="115" t="n"/>
      <c r="E660" s="115" t="n"/>
      <c r="F660" s="115" t="n"/>
      <c r="G660" s="115" t="n"/>
      <c r="H660" s="115" t="n"/>
      <c r="I660" s="115" t="n"/>
      <c r="J660" s="115" t="n"/>
      <c r="K660" s="115" t="n"/>
      <c r="L660" s="115" t="n"/>
      <c r="M660" s="115" t="n"/>
      <c r="N660" s="115" t="n"/>
      <c r="O660" s="115" t="n"/>
      <c r="P660" s="115" t="n"/>
      <c r="Q660" s="115" t="n"/>
      <c r="R660" s="115" t="n"/>
      <c r="S660" s="115" t="n"/>
      <c r="T660" s="115" t="n"/>
      <c r="U660" s="116" t="n"/>
      <c r="V660" s="116" t="n"/>
      <c r="W660" s="117" t="n"/>
      <c r="X660" s="118" t="n"/>
      <c r="Y660" s="119" t="n"/>
      <c r="Z660" s="120" t="n"/>
      <c r="AA660" s="121" t="n"/>
      <c r="AB660" s="122" t="n"/>
      <c r="AC660" s="117" t="n"/>
      <c r="AD660" s="123">
        <f>IF(SUM($AE660:$AH660)=0,"",SUM($AE660:$AH660))</f>
        <v/>
      </c>
      <c r="AE660" s="123">
        <f>iferror(IF(SUM($AI660:$AZ660)=0,"",SUM($AI660:$AZ660)),"")</f>
        <v/>
      </c>
      <c r="AF660" s="123">
        <f>iferror(IF(SUM($BA660:$BC660)=0,"",SUM($BA660:$BC660)),"")</f>
        <v/>
      </c>
      <c r="AG660" s="123">
        <f>iferror(IF(SUM($BD660:$BF660)=0,"",SUM($BD660:$BF660)),"")</f>
        <v/>
      </c>
      <c r="AH660" s="124">
        <f>iferror(IF(SUM($BG660:$BI660)=0,"",SUM($BG660:$BI660)),"")</f>
        <v/>
      </c>
      <c r="AI660" s="131" t="n"/>
      <c r="AJ660" s="132" t="n"/>
      <c r="AK660" s="132" t="n"/>
      <c r="AL660" s="132" t="n"/>
      <c r="AM660" s="132" t="n"/>
      <c r="AN660" s="132" t="n"/>
      <c r="AO660" s="132" t="n"/>
      <c r="AP660" s="132" t="n"/>
      <c r="AQ660" s="132" t="n"/>
      <c r="AR660" s="132" t="n"/>
      <c r="AS660" s="132" t="n"/>
      <c r="AT660" s="132" t="n"/>
      <c r="AU660" s="132" t="n"/>
      <c r="AV660" s="132" t="n"/>
      <c r="AW660" s="132" t="n"/>
      <c r="AX660" s="132" t="n"/>
      <c r="AY660" s="132" t="n"/>
      <c r="AZ660" s="133" t="n"/>
      <c r="BA660" s="131" t="n"/>
      <c r="BB660" s="132" t="n"/>
      <c r="BC660" s="133" t="n"/>
      <c r="BD660" s="131" t="n"/>
      <c r="BE660" s="132" t="n"/>
      <c r="BF660" s="133" t="n"/>
      <c r="BG660" s="131" t="n"/>
      <c r="BH660" s="132" t="n"/>
      <c r="BI660" s="132" t="n"/>
      <c r="BJ660" s="128">
        <f>iferror(SUM($BK660,($BL660*1.2),($BM660*1.35),($BN660*0.74)),)</f>
        <v/>
      </c>
      <c r="BK660" s="128">
        <f>IFERROR(SUM($BT660:$CK660),)</f>
        <v/>
      </c>
      <c r="BL660" s="129">
        <f>IFERROR(SUM($CL660:$CN660),)</f>
        <v/>
      </c>
      <c r="BM660" s="130">
        <f>IFERROR(SUM($CO660:$CQ660),)</f>
        <v/>
      </c>
      <c r="BN660" s="128">
        <f>IFERROR(SUM($CR660:$CT660),)</f>
        <v/>
      </c>
      <c r="BO660" s="128">
        <f>iferror(SUM($BP660,($BQ660*1.2),($BR660*1.35),($BS660*0.74)),)</f>
        <v/>
      </c>
      <c r="BP660" s="128">
        <f>IFERROR(SUM($CU660:$DL660),)</f>
        <v/>
      </c>
      <c r="BQ660" s="128">
        <f>IFERROR(SUM($DM660:$DO660),)</f>
        <v/>
      </c>
      <c r="BR660" s="128">
        <f>IFERROR(SUM($DP660:$DR660),)</f>
        <v/>
      </c>
      <c r="BS660" s="128">
        <f>IFERROR(SUM($DS660:$DU660),)</f>
        <v/>
      </c>
      <c r="BT660" s="128">
        <f>IFERROR(AI660*$W660,)</f>
        <v/>
      </c>
      <c r="BU660" s="128">
        <f>IFERROR(AJ660*$W660,)</f>
        <v/>
      </c>
      <c r="BV660" s="128">
        <f>IFERROR(AK660*$W660,)</f>
        <v/>
      </c>
      <c r="BW660" s="128">
        <f>IFERROR(AL660*$W660,)</f>
        <v/>
      </c>
      <c r="BX660" s="128">
        <f>IFERROR(AM660*$W660,)</f>
        <v/>
      </c>
      <c r="BY660" s="128">
        <f>IFERROR(AN660*$W660,)</f>
        <v/>
      </c>
      <c r="BZ660" s="128">
        <f>IFERROR(AO660*$W660,)</f>
        <v/>
      </c>
      <c r="CA660" s="128">
        <f>IFERROR(AP660*$W660,)</f>
        <v/>
      </c>
      <c r="CB660" s="128">
        <f>IFERROR(AQ660*$W660,)</f>
        <v/>
      </c>
      <c r="CC660" s="128">
        <f>IFERROR(AR660*$W660,)</f>
        <v/>
      </c>
      <c r="CD660" s="128">
        <f>IFERROR(AS660*$W660,)</f>
        <v/>
      </c>
      <c r="CE660" s="128">
        <f>IFERROR(AT660*$W660,)</f>
        <v/>
      </c>
      <c r="CF660" s="128">
        <f>IFERROR(AU660*$W660,)</f>
        <v/>
      </c>
      <c r="CG660" s="128">
        <f>IFERROR(AV660*$W660,)</f>
        <v/>
      </c>
      <c r="CH660" s="128">
        <f>IFERROR(AW660*$W660,)</f>
        <v/>
      </c>
      <c r="CI660" s="128">
        <f>IFERROR(AX660*$W660,)</f>
        <v/>
      </c>
      <c r="CJ660" s="128">
        <f>IFERROR(AY660*$W660,)</f>
        <v/>
      </c>
      <c r="CK660" s="128">
        <f>IFERROR(AZ660*$W660,)</f>
        <v/>
      </c>
      <c r="CL660" s="129">
        <f>IFERROR(if($Y660=0,BA660*($W660/1.2),BA660*$Y660),"")</f>
        <v/>
      </c>
      <c r="CM660" s="129">
        <f>IFERROR(if($Y660=0,BB660*($W660/1.2),BB660*$Y660),"")</f>
        <v/>
      </c>
      <c r="CN660" s="129">
        <f>IFERROR(if($Y660=0,BC660*($W660/1.2),BC660*$Y660),"")</f>
        <v/>
      </c>
      <c r="CO660" s="130">
        <f>IFERROR(if($AA660=0,($W660/1.35)*BD660,BD660*$AA660),)</f>
        <v/>
      </c>
      <c r="CP660" s="130">
        <f>IFERROR(if($AA660=0,($W660/1.35)*BE660,BE660*$AA660),)</f>
        <v/>
      </c>
      <c r="CQ660" s="130">
        <f>IFERROR(if($AA660=0,($W660/1.35)*BF660,BF660*$AA660),)</f>
        <v/>
      </c>
      <c r="CR660" s="128">
        <f>IFERROR(if($AC660=0,($W660/0.74)*BG660,
BG660*$AC660),)</f>
        <v/>
      </c>
      <c r="CS660" s="128">
        <f>IFERROR(if($AC660=0,($W660/0.74)*BH660,
BH660*$AC660),)</f>
        <v/>
      </c>
      <c r="CT660" s="128">
        <f>IFERROR(if($AC660=0,($W660/0.74)*BI660,
BI660*$AC660),)</f>
        <v/>
      </c>
      <c r="CU660" s="128">
        <f>IFERROR(AI660*$V660,)</f>
        <v/>
      </c>
      <c r="CV660" s="128">
        <f>IFERROR(AJ660*$V660,)</f>
        <v/>
      </c>
      <c r="CW660" s="128">
        <f>IFERROR(AK660*$V660,)</f>
        <v/>
      </c>
      <c r="CX660" s="128">
        <f>IFERROR(AL660*$V660,)</f>
        <v/>
      </c>
      <c r="CY660" s="128">
        <f>IFERROR(AM660*$V660,)</f>
        <v/>
      </c>
      <c r="CZ660" s="128">
        <f>IFERROR(AN660*$V660,)</f>
        <v/>
      </c>
      <c r="DA660" s="128">
        <f>IFERROR(AO660*$V660,)</f>
        <v/>
      </c>
      <c r="DB660" s="128">
        <f>IFERROR(AP660*$V660,)</f>
        <v/>
      </c>
      <c r="DC660" s="128">
        <f>IFERROR(AQ660*$V660,)</f>
        <v/>
      </c>
      <c r="DD660" s="128">
        <f>IFERROR(AR660*$V660,)</f>
        <v/>
      </c>
      <c r="DE660" s="128">
        <f>IFERROR(AS660*$V660,)</f>
        <v/>
      </c>
      <c r="DF660" s="128">
        <f>IFERROR(AT660*$V660,)</f>
        <v/>
      </c>
      <c r="DG660" s="128">
        <f>IFERROR(AU660*$V660,)</f>
        <v/>
      </c>
      <c r="DH660" s="128">
        <f>IFERROR(AV660*$V660,)</f>
        <v/>
      </c>
      <c r="DI660" s="128">
        <f>IFERROR(AW660*$V660,)</f>
        <v/>
      </c>
      <c r="DJ660" s="128">
        <f>IFERROR(AX660*$V660,)</f>
        <v/>
      </c>
      <c r="DK660" s="128">
        <f>IFERROR(AY660*$V660,)</f>
        <v/>
      </c>
      <c r="DL660" s="128">
        <f>IFERROR(AZ660*$V660,)</f>
        <v/>
      </c>
      <c r="DM660" s="129">
        <f>IFERROR(if($X660=0,($V660/1.2)*BA660,
BA660*$X660),)</f>
        <v/>
      </c>
      <c r="DN660" s="129">
        <f>IFERROR(if($X660=0,($V660/1.2)*BB660,
BB660*$X660),)</f>
        <v/>
      </c>
      <c r="DO660" s="129">
        <f>IFERROR(if($X660=0,($V660/1.2)*BC660,
BC660*$X660),)</f>
        <v/>
      </c>
      <c r="DP660" s="130">
        <f>IFERROR(if($Z660=0,($V660/1.35)*BD660,
BD660*$Z660),)</f>
        <v/>
      </c>
      <c r="DQ660" s="130">
        <f>IFERROR(if($Z660=0,($V660/1.35)*BE660,
BE660*$Z660),)</f>
        <v/>
      </c>
      <c r="DR660" s="130">
        <f>IFERROR(if($Z660=0,($V660/1.35)*BF660,
BF660*$Z660),)</f>
        <v/>
      </c>
      <c r="DS660" s="128">
        <f>IFERROR(IF($AB660=0,($V660/0.74)*BG660,
BG660*$AB660),)</f>
        <v/>
      </c>
      <c r="DT660" s="128">
        <f>IFERROR(IF($AB660=0,($V660/0.74)*BH660,
BH660*$AB660),)</f>
        <v/>
      </c>
      <c r="DU660" s="128">
        <f>IFERROR(IF($AB660=0,($V660/0.74)*BI660,
BI660*$AB660),)</f>
        <v/>
      </c>
    </row>
    <row r="661" ht="131.25" customHeight="1" s="162">
      <c r="A661" s="115" t="n"/>
      <c r="B661" s="115" t="n"/>
      <c r="C661" s="115" t="n"/>
      <c r="D661" s="115" t="n"/>
      <c r="E661" s="115" t="n"/>
      <c r="F661" s="115" t="n"/>
      <c r="G661" s="115" t="n"/>
      <c r="H661" s="115" t="n"/>
      <c r="I661" s="115" t="n"/>
      <c r="J661" s="115" t="n"/>
      <c r="K661" s="115" t="n"/>
      <c r="L661" s="115" t="n"/>
      <c r="M661" s="115" t="n"/>
      <c r="N661" s="115" t="n"/>
      <c r="O661" s="115" t="n"/>
      <c r="P661" s="115" t="n"/>
      <c r="Q661" s="115" t="n"/>
      <c r="R661" s="115" t="n"/>
      <c r="S661" s="115" t="n"/>
      <c r="T661" s="115" t="n"/>
      <c r="U661" s="116" t="n"/>
      <c r="V661" s="116" t="n"/>
      <c r="W661" s="117" t="n"/>
      <c r="X661" s="118" t="n"/>
      <c r="Y661" s="119" t="n"/>
      <c r="Z661" s="120" t="n"/>
      <c r="AA661" s="121" t="n"/>
      <c r="AB661" s="122" t="n"/>
      <c r="AC661" s="117" t="n"/>
      <c r="AD661" s="123">
        <f>IF(SUM($AE661:$AH661)=0,"",SUM($AE661:$AH661))</f>
        <v/>
      </c>
      <c r="AE661" s="123">
        <f>iferror(IF(SUM($AI661:$AZ661)=0,"",SUM($AI661:$AZ661)),"")</f>
        <v/>
      </c>
      <c r="AF661" s="123">
        <f>iferror(IF(SUM($BA661:$BC661)=0,"",SUM($BA661:$BC661)),"")</f>
        <v/>
      </c>
      <c r="AG661" s="123">
        <f>iferror(IF(SUM($BD661:$BF661)=0,"",SUM($BD661:$BF661)),"")</f>
        <v/>
      </c>
      <c r="AH661" s="124">
        <f>iferror(IF(SUM($BG661:$BI661)=0,"",SUM($BG661:$BI661)),"")</f>
        <v/>
      </c>
      <c r="AI661" s="131" t="n"/>
      <c r="AJ661" s="132" t="n"/>
      <c r="AK661" s="132" t="n"/>
      <c r="AL661" s="132" t="n"/>
      <c r="AM661" s="132" t="n"/>
      <c r="AN661" s="132" t="n"/>
      <c r="AO661" s="132" t="n"/>
      <c r="AP661" s="132" t="n"/>
      <c r="AQ661" s="132" t="n"/>
      <c r="AR661" s="132" t="n"/>
      <c r="AS661" s="132" t="n"/>
      <c r="AT661" s="132" t="n"/>
      <c r="AU661" s="132" t="n"/>
      <c r="AV661" s="132" t="n"/>
      <c r="AW661" s="132" t="n"/>
      <c r="AX661" s="132" t="n"/>
      <c r="AY661" s="132" t="n"/>
      <c r="AZ661" s="133" t="n"/>
      <c r="BA661" s="131" t="n"/>
      <c r="BB661" s="132" t="n"/>
      <c r="BC661" s="133" t="n"/>
      <c r="BD661" s="131" t="n"/>
      <c r="BE661" s="132" t="n"/>
      <c r="BF661" s="133" t="n"/>
      <c r="BG661" s="131" t="n"/>
      <c r="BH661" s="132" t="n"/>
      <c r="BI661" s="132" t="n"/>
      <c r="BJ661" s="128">
        <f>iferror(SUM($BK661,($BL661*1.2),($BM661*1.35),($BN661*0.74)),)</f>
        <v/>
      </c>
      <c r="BK661" s="128">
        <f>IFERROR(SUM($BT661:$CK661),)</f>
        <v/>
      </c>
      <c r="BL661" s="129">
        <f>IFERROR(SUM($CL661:$CN661),)</f>
        <v/>
      </c>
      <c r="BM661" s="130">
        <f>IFERROR(SUM($CO661:$CQ661),)</f>
        <v/>
      </c>
      <c r="BN661" s="128">
        <f>IFERROR(SUM($CR661:$CT661),)</f>
        <v/>
      </c>
      <c r="BO661" s="128">
        <f>iferror(SUM($BP661,($BQ661*1.2),($BR661*1.35),($BS661*0.74)),)</f>
        <v/>
      </c>
      <c r="BP661" s="128">
        <f>IFERROR(SUM($CU661:$DL661),)</f>
        <v/>
      </c>
      <c r="BQ661" s="128">
        <f>IFERROR(SUM($DM661:$DO661),)</f>
        <v/>
      </c>
      <c r="BR661" s="128">
        <f>IFERROR(SUM($DP661:$DR661),)</f>
        <v/>
      </c>
      <c r="BS661" s="128">
        <f>IFERROR(SUM($DS661:$DU661),)</f>
        <v/>
      </c>
      <c r="BT661" s="128">
        <f>IFERROR(AI661*$W661,)</f>
        <v/>
      </c>
      <c r="BU661" s="128">
        <f>IFERROR(AJ661*$W661,)</f>
        <v/>
      </c>
      <c r="BV661" s="128">
        <f>IFERROR(AK661*$W661,)</f>
        <v/>
      </c>
      <c r="BW661" s="128">
        <f>IFERROR(AL661*$W661,)</f>
        <v/>
      </c>
      <c r="BX661" s="128">
        <f>IFERROR(AM661*$W661,)</f>
        <v/>
      </c>
      <c r="BY661" s="128">
        <f>IFERROR(AN661*$W661,)</f>
        <v/>
      </c>
      <c r="BZ661" s="128">
        <f>IFERROR(AO661*$W661,)</f>
        <v/>
      </c>
      <c r="CA661" s="128">
        <f>IFERROR(AP661*$W661,)</f>
        <v/>
      </c>
      <c r="CB661" s="128">
        <f>IFERROR(AQ661*$W661,)</f>
        <v/>
      </c>
      <c r="CC661" s="128">
        <f>IFERROR(AR661*$W661,)</f>
        <v/>
      </c>
      <c r="CD661" s="128">
        <f>IFERROR(AS661*$W661,)</f>
        <v/>
      </c>
      <c r="CE661" s="128">
        <f>IFERROR(AT661*$W661,)</f>
        <v/>
      </c>
      <c r="CF661" s="128">
        <f>IFERROR(AU661*$W661,)</f>
        <v/>
      </c>
      <c r="CG661" s="128">
        <f>IFERROR(AV661*$W661,)</f>
        <v/>
      </c>
      <c r="CH661" s="128">
        <f>IFERROR(AW661*$W661,)</f>
        <v/>
      </c>
      <c r="CI661" s="128">
        <f>IFERROR(AX661*$W661,)</f>
        <v/>
      </c>
      <c r="CJ661" s="128">
        <f>IFERROR(AY661*$W661,)</f>
        <v/>
      </c>
      <c r="CK661" s="128">
        <f>IFERROR(AZ661*$W661,)</f>
        <v/>
      </c>
      <c r="CL661" s="129">
        <f>IFERROR(if($Y661=0,BA661*($W661/1.2),BA661*$Y661),"")</f>
        <v/>
      </c>
      <c r="CM661" s="129">
        <f>IFERROR(if($Y661=0,BB661*($W661/1.2),BB661*$Y661),"")</f>
        <v/>
      </c>
      <c r="CN661" s="129">
        <f>IFERROR(if($Y661=0,BC661*($W661/1.2),BC661*$Y661),"")</f>
        <v/>
      </c>
      <c r="CO661" s="130">
        <f>IFERROR(if($AA661=0,($W661/1.35)*BD661,BD661*$AA661),)</f>
        <v/>
      </c>
      <c r="CP661" s="130">
        <f>IFERROR(if($AA661=0,($W661/1.35)*BE661,BE661*$AA661),)</f>
        <v/>
      </c>
      <c r="CQ661" s="130">
        <f>IFERROR(if($AA661=0,($W661/1.35)*BF661,BF661*$AA661),)</f>
        <v/>
      </c>
      <c r="CR661" s="128">
        <f>IFERROR(if($AC661=0,($W661/0.74)*BG661,
BG661*$AC661),)</f>
        <v/>
      </c>
      <c r="CS661" s="128">
        <f>IFERROR(if($AC661=0,($W661/0.74)*BH661,
BH661*$AC661),)</f>
        <v/>
      </c>
      <c r="CT661" s="128">
        <f>IFERROR(if($AC661=0,($W661/0.74)*BI661,
BI661*$AC661),)</f>
        <v/>
      </c>
      <c r="CU661" s="128">
        <f>IFERROR(AI661*$V661,)</f>
        <v/>
      </c>
      <c r="CV661" s="128">
        <f>IFERROR(AJ661*$V661,)</f>
        <v/>
      </c>
      <c r="CW661" s="128">
        <f>IFERROR(AK661*$V661,)</f>
        <v/>
      </c>
      <c r="CX661" s="128">
        <f>IFERROR(AL661*$V661,)</f>
        <v/>
      </c>
      <c r="CY661" s="128">
        <f>IFERROR(AM661*$V661,)</f>
        <v/>
      </c>
      <c r="CZ661" s="128">
        <f>IFERROR(AN661*$V661,)</f>
        <v/>
      </c>
      <c r="DA661" s="128">
        <f>IFERROR(AO661*$V661,)</f>
        <v/>
      </c>
      <c r="DB661" s="128">
        <f>IFERROR(AP661*$V661,)</f>
        <v/>
      </c>
      <c r="DC661" s="128">
        <f>IFERROR(AQ661*$V661,)</f>
        <v/>
      </c>
      <c r="DD661" s="128">
        <f>IFERROR(AR661*$V661,)</f>
        <v/>
      </c>
      <c r="DE661" s="128">
        <f>IFERROR(AS661*$V661,)</f>
        <v/>
      </c>
      <c r="DF661" s="128">
        <f>IFERROR(AT661*$V661,)</f>
        <v/>
      </c>
      <c r="DG661" s="128">
        <f>IFERROR(AU661*$V661,)</f>
        <v/>
      </c>
      <c r="DH661" s="128">
        <f>IFERROR(AV661*$V661,)</f>
        <v/>
      </c>
      <c r="DI661" s="128">
        <f>IFERROR(AW661*$V661,)</f>
        <v/>
      </c>
      <c r="DJ661" s="128">
        <f>IFERROR(AX661*$V661,)</f>
        <v/>
      </c>
      <c r="DK661" s="128">
        <f>IFERROR(AY661*$V661,)</f>
        <v/>
      </c>
      <c r="DL661" s="128">
        <f>IFERROR(AZ661*$V661,)</f>
        <v/>
      </c>
      <c r="DM661" s="129">
        <f>IFERROR(if($X661=0,($V661/1.2)*BA661,
BA661*$X661),)</f>
        <v/>
      </c>
      <c r="DN661" s="129">
        <f>IFERROR(if($X661=0,($V661/1.2)*BB661,
BB661*$X661),)</f>
        <v/>
      </c>
      <c r="DO661" s="129">
        <f>IFERROR(if($X661=0,($V661/1.2)*BC661,
BC661*$X661),)</f>
        <v/>
      </c>
      <c r="DP661" s="130">
        <f>IFERROR(if($Z661=0,($V661/1.35)*BD661,
BD661*$Z661),)</f>
        <v/>
      </c>
      <c r="DQ661" s="130">
        <f>IFERROR(if($Z661=0,($V661/1.35)*BE661,
BE661*$Z661),)</f>
        <v/>
      </c>
      <c r="DR661" s="130">
        <f>IFERROR(if($Z661=0,($V661/1.35)*BF661,
BF661*$Z661),)</f>
        <v/>
      </c>
      <c r="DS661" s="128">
        <f>IFERROR(IF($AB661=0,($V661/0.74)*BG661,
BG661*$AB661),)</f>
        <v/>
      </c>
      <c r="DT661" s="128">
        <f>IFERROR(IF($AB661=0,($V661/0.74)*BH661,
BH661*$AB661),)</f>
        <v/>
      </c>
      <c r="DU661" s="128">
        <f>IFERROR(IF($AB661=0,($V661/0.74)*BI661,
BI661*$AB661),)</f>
        <v/>
      </c>
    </row>
    <row r="662" ht="131.25" customHeight="1" s="162">
      <c r="A662" s="115" t="n"/>
      <c r="B662" s="115" t="n"/>
      <c r="C662" s="115" t="n"/>
      <c r="D662" s="115" t="n"/>
      <c r="E662" s="115" t="n"/>
      <c r="F662" s="115" t="n"/>
      <c r="G662" s="115" t="n"/>
      <c r="H662" s="115" t="n"/>
      <c r="I662" s="115" t="n"/>
      <c r="J662" s="115" t="n"/>
      <c r="K662" s="115" t="n"/>
      <c r="L662" s="115" t="n"/>
      <c r="M662" s="115" t="n"/>
      <c r="N662" s="115" t="n"/>
      <c r="O662" s="115" t="n"/>
      <c r="P662" s="115" t="n"/>
      <c r="Q662" s="115" t="n"/>
      <c r="R662" s="115" t="n"/>
      <c r="S662" s="115" t="n"/>
      <c r="T662" s="115" t="n"/>
      <c r="U662" s="116" t="n"/>
      <c r="V662" s="116" t="n"/>
      <c r="W662" s="117" t="n"/>
      <c r="X662" s="118" t="n"/>
      <c r="Y662" s="119" t="n"/>
      <c r="Z662" s="120" t="n"/>
      <c r="AA662" s="121" t="n"/>
      <c r="AB662" s="122" t="n"/>
      <c r="AC662" s="117" t="n"/>
      <c r="AD662" s="123">
        <f>IF(SUM($AE662:$AH662)=0,"",SUM($AE662:$AH662))</f>
        <v/>
      </c>
      <c r="AE662" s="123">
        <f>iferror(IF(SUM($AI662:$AZ662)=0,"",SUM($AI662:$AZ662)),"")</f>
        <v/>
      </c>
      <c r="AF662" s="123">
        <f>iferror(IF(SUM($BA662:$BC662)=0,"",SUM($BA662:$BC662)),"")</f>
        <v/>
      </c>
      <c r="AG662" s="123">
        <f>iferror(IF(SUM($BD662:$BF662)=0,"",SUM($BD662:$BF662)),"")</f>
        <v/>
      </c>
      <c r="AH662" s="124">
        <f>iferror(IF(SUM($BG662:$BI662)=0,"",SUM($BG662:$BI662)),"")</f>
        <v/>
      </c>
      <c r="AI662" s="131" t="n"/>
      <c r="AJ662" s="132" t="n"/>
      <c r="AK662" s="132" t="n"/>
      <c r="AL662" s="132" t="n"/>
      <c r="AM662" s="132" t="n"/>
      <c r="AN662" s="132" t="n"/>
      <c r="AO662" s="132" t="n"/>
      <c r="AP662" s="132" t="n"/>
      <c r="AQ662" s="132" t="n"/>
      <c r="AR662" s="132" t="n"/>
      <c r="AS662" s="132" t="n"/>
      <c r="AT662" s="132" t="n"/>
      <c r="AU662" s="132" t="n"/>
      <c r="AV662" s="132" t="n"/>
      <c r="AW662" s="132" t="n"/>
      <c r="AX662" s="132" t="n"/>
      <c r="AY662" s="132" t="n"/>
      <c r="AZ662" s="133" t="n"/>
      <c r="BA662" s="131" t="n"/>
      <c r="BB662" s="132" t="n"/>
      <c r="BC662" s="133" t="n"/>
      <c r="BD662" s="131" t="n"/>
      <c r="BE662" s="132" t="n"/>
      <c r="BF662" s="133" t="n"/>
      <c r="BG662" s="131" t="n"/>
      <c r="BH662" s="132" t="n"/>
      <c r="BI662" s="132" t="n"/>
      <c r="BJ662" s="128">
        <f>iferror(SUM($BK662,($BL662*1.2),($BM662*1.35),($BN662*0.74)),)</f>
        <v/>
      </c>
      <c r="BK662" s="128">
        <f>IFERROR(SUM($BT662:$CK662),)</f>
        <v/>
      </c>
      <c r="BL662" s="129">
        <f>IFERROR(SUM($CL662:$CN662),)</f>
        <v/>
      </c>
      <c r="BM662" s="130">
        <f>IFERROR(SUM($CO662:$CQ662),)</f>
        <v/>
      </c>
      <c r="BN662" s="128">
        <f>IFERROR(SUM($CR662:$CT662),)</f>
        <v/>
      </c>
      <c r="BO662" s="128">
        <f>iferror(SUM($BP662,($BQ662*1.2),($BR662*1.35),($BS662*0.74)),)</f>
        <v/>
      </c>
      <c r="BP662" s="128">
        <f>IFERROR(SUM($CU662:$DL662),)</f>
        <v/>
      </c>
      <c r="BQ662" s="128">
        <f>IFERROR(SUM($DM662:$DO662),)</f>
        <v/>
      </c>
      <c r="BR662" s="128">
        <f>IFERROR(SUM($DP662:$DR662),)</f>
        <v/>
      </c>
      <c r="BS662" s="128">
        <f>IFERROR(SUM($DS662:$DU662),)</f>
        <v/>
      </c>
      <c r="BT662" s="128">
        <f>IFERROR(AI662*$W662,)</f>
        <v/>
      </c>
      <c r="BU662" s="128">
        <f>IFERROR(AJ662*$W662,)</f>
        <v/>
      </c>
      <c r="BV662" s="128">
        <f>IFERROR(AK662*$W662,)</f>
        <v/>
      </c>
      <c r="BW662" s="128">
        <f>IFERROR(AL662*$W662,)</f>
        <v/>
      </c>
      <c r="BX662" s="128">
        <f>IFERROR(AM662*$W662,)</f>
        <v/>
      </c>
      <c r="BY662" s="128">
        <f>IFERROR(AN662*$W662,)</f>
        <v/>
      </c>
      <c r="BZ662" s="128">
        <f>IFERROR(AO662*$W662,)</f>
        <v/>
      </c>
      <c r="CA662" s="128">
        <f>IFERROR(AP662*$W662,)</f>
        <v/>
      </c>
      <c r="CB662" s="128">
        <f>IFERROR(AQ662*$W662,)</f>
        <v/>
      </c>
      <c r="CC662" s="128">
        <f>IFERROR(AR662*$W662,)</f>
        <v/>
      </c>
      <c r="CD662" s="128">
        <f>IFERROR(AS662*$W662,)</f>
        <v/>
      </c>
      <c r="CE662" s="128">
        <f>IFERROR(AT662*$W662,)</f>
        <v/>
      </c>
      <c r="CF662" s="128">
        <f>IFERROR(AU662*$W662,)</f>
        <v/>
      </c>
      <c r="CG662" s="128">
        <f>IFERROR(AV662*$W662,)</f>
        <v/>
      </c>
      <c r="CH662" s="128">
        <f>IFERROR(AW662*$W662,)</f>
        <v/>
      </c>
      <c r="CI662" s="128">
        <f>IFERROR(AX662*$W662,)</f>
        <v/>
      </c>
      <c r="CJ662" s="128">
        <f>IFERROR(AY662*$W662,)</f>
        <v/>
      </c>
      <c r="CK662" s="128">
        <f>IFERROR(AZ662*$W662,)</f>
        <v/>
      </c>
      <c r="CL662" s="129">
        <f>IFERROR(if($Y662=0,BA662*($W662/1.2),BA662*$Y662),"")</f>
        <v/>
      </c>
      <c r="CM662" s="129">
        <f>IFERROR(if($Y662=0,BB662*($W662/1.2),BB662*$Y662),"")</f>
        <v/>
      </c>
      <c r="CN662" s="129">
        <f>IFERROR(if($Y662=0,BC662*($W662/1.2),BC662*$Y662),"")</f>
        <v/>
      </c>
      <c r="CO662" s="130">
        <f>IFERROR(if($AA662=0,($W662/1.35)*BD662,BD662*$AA662),)</f>
        <v/>
      </c>
      <c r="CP662" s="130">
        <f>IFERROR(if($AA662=0,($W662/1.35)*BE662,BE662*$AA662),)</f>
        <v/>
      </c>
      <c r="CQ662" s="130">
        <f>IFERROR(if($AA662=0,($W662/1.35)*BF662,BF662*$AA662),)</f>
        <v/>
      </c>
      <c r="CR662" s="128">
        <f>IFERROR(if($AC662=0,($W662/0.74)*BG662,
BG662*$AC662),)</f>
        <v/>
      </c>
      <c r="CS662" s="128">
        <f>IFERROR(if($AC662=0,($W662/0.74)*BH662,
BH662*$AC662),)</f>
        <v/>
      </c>
      <c r="CT662" s="128">
        <f>IFERROR(if($AC662=0,($W662/0.74)*BI662,
BI662*$AC662),)</f>
        <v/>
      </c>
      <c r="CU662" s="128">
        <f>IFERROR(AI662*$V662,)</f>
        <v/>
      </c>
      <c r="CV662" s="128">
        <f>IFERROR(AJ662*$V662,)</f>
        <v/>
      </c>
      <c r="CW662" s="128">
        <f>IFERROR(AK662*$V662,)</f>
        <v/>
      </c>
      <c r="CX662" s="128">
        <f>IFERROR(AL662*$V662,)</f>
        <v/>
      </c>
      <c r="CY662" s="128">
        <f>IFERROR(AM662*$V662,)</f>
        <v/>
      </c>
      <c r="CZ662" s="128">
        <f>IFERROR(AN662*$V662,)</f>
        <v/>
      </c>
      <c r="DA662" s="128">
        <f>IFERROR(AO662*$V662,)</f>
        <v/>
      </c>
      <c r="DB662" s="128">
        <f>IFERROR(AP662*$V662,)</f>
        <v/>
      </c>
      <c r="DC662" s="128">
        <f>IFERROR(AQ662*$V662,)</f>
        <v/>
      </c>
      <c r="DD662" s="128">
        <f>IFERROR(AR662*$V662,)</f>
        <v/>
      </c>
      <c r="DE662" s="128">
        <f>IFERROR(AS662*$V662,)</f>
        <v/>
      </c>
      <c r="DF662" s="128">
        <f>IFERROR(AT662*$V662,)</f>
        <v/>
      </c>
      <c r="DG662" s="128">
        <f>IFERROR(AU662*$V662,)</f>
        <v/>
      </c>
      <c r="DH662" s="128">
        <f>IFERROR(AV662*$V662,)</f>
        <v/>
      </c>
      <c r="DI662" s="128">
        <f>IFERROR(AW662*$V662,)</f>
        <v/>
      </c>
      <c r="DJ662" s="128">
        <f>IFERROR(AX662*$V662,)</f>
        <v/>
      </c>
      <c r="DK662" s="128">
        <f>IFERROR(AY662*$V662,)</f>
        <v/>
      </c>
      <c r="DL662" s="128">
        <f>IFERROR(AZ662*$V662,)</f>
        <v/>
      </c>
      <c r="DM662" s="129">
        <f>IFERROR(if($X662=0,($V662/1.2)*BA662,
BA662*$X662),)</f>
        <v/>
      </c>
      <c r="DN662" s="129">
        <f>IFERROR(if($X662=0,($V662/1.2)*BB662,
BB662*$X662),)</f>
        <v/>
      </c>
      <c r="DO662" s="129">
        <f>IFERROR(if($X662=0,($V662/1.2)*BC662,
BC662*$X662),)</f>
        <v/>
      </c>
      <c r="DP662" s="130">
        <f>IFERROR(if($Z662=0,($V662/1.35)*BD662,
BD662*$Z662),)</f>
        <v/>
      </c>
      <c r="DQ662" s="130">
        <f>IFERROR(if($Z662=0,($V662/1.35)*BE662,
BE662*$Z662),)</f>
        <v/>
      </c>
      <c r="DR662" s="130">
        <f>IFERROR(if($Z662=0,($V662/1.35)*BF662,
BF662*$Z662),)</f>
        <v/>
      </c>
      <c r="DS662" s="128">
        <f>IFERROR(IF($AB662=0,($V662/0.74)*BG662,
BG662*$AB662),)</f>
        <v/>
      </c>
      <c r="DT662" s="128">
        <f>IFERROR(IF($AB662=0,($V662/0.74)*BH662,
BH662*$AB662),)</f>
        <v/>
      </c>
      <c r="DU662" s="128">
        <f>IFERROR(IF($AB662=0,($V662/0.74)*BI662,
BI662*$AB662),)</f>
        <v/>
      </c>
    </row>
    <row r="663" ht="131.25" customHeight="1" s="162">
      <c r="A663" s="115" t="n"/>
      <c r="B663" s="115" t="n"/>
      <c r="C663" s="115" t="n"/>
      <c r="D663" s="115" t="n"/>
      <c r="E663" s="115" t="n"/>
      <c r="F663" s="115" t="n"/>
      <c r="G663" s="115" t="n"/>
      <c r="H663" s="115" t="n"/>
      <c r="I663" s="115" t="n"/>
      <c r="J663" s="115" t="n"/>
      <c r="K663" s="115" t="n"/>
      <c r="L663" s="115" t="n"/>
      <c r="M663" s="115" t="n"/>
      <c r="N663" s="115" t="n"/>
      <c r="O663" s="115" t="n"/>
      <c r="P663" s="115" t="n"/>
      <c r="Q663" s="115" t="n"/>
      <c r="R663" s="115" t="n"/>
      <c r="S663" s="115" t="n"/>
      <c r="T663" s="115" t="n"/>
      <c r="U663" s="116" t="n"/>
      <c r="V663" s="116" t="n"/>
      <c r="W663" s="117" t="n"/>
      <c r="X663" s="118" t="n"/>
      <c r="Y663" s="119" t="n"/>
      <c r="Z663" s="120" t="n"/>
      <c r="AA663" s="121" t="n"/>
      <c r="AB663" s="122" t="n"/>
      <c r="AC663" s="117" t="n"/>
      <c r="AD663" s="123">
        <f>IF(SUM($AE663:$AH663)=0,"",SUM($AE663:$AH663))</f>
        <v/>
      </c>
      <c r="AE663" s="123">
        <f>iferror(IF(SUM($AI663:$AZ663)=0,"",SUM($AI663:$AZ663)),"")</f>
        <v/>
      </c>
      <c r="AF663" s="123">
        <f>iferror(IF(SUM($BA663:$BC663)=0,"",SUM($BA663:$BC663)),"")</f>
        <v/>
      </c>
      <c r="AG663" s="123">
        <f>iferror(IF(SUM($BD663:$BF663)=0,"",SUM($BD663:$BF663)),"")</f>
        <v/>
      </c>
      <c r="AH663" s="124">
        <f>iferror(IF(SUM($BG663:$BI663)=0,"",SUM($BG663:$BI663)),"")</f>
        <v/>
      </c>
      <c r="AI663" s="131" t="n"/>
      <c r="AJ663" s="132" t="n"/>
      <c r="AK663" s="132" t="n"/>
      <c r="AL663" s="132" t="n"/>
      <c r="AM663" s="132" t="n"/>
      <c r="AN663" s="132" t="n"/>
      <c r="AO663" s="132" t="n"/>
      <c r="AP663" s="132" t="n"/>
      <c r="AQ663" s="132" t="n"/>
      <c r="AR663" s="132" t="n"/>
      <c r="AS663" s="132" t="n"/>
      <c r="AT663" s="132" t="n"/>
      <c r="AU663" s="132" t="n"/>
      <c r="AV663" s="132" t="n"/>
      <c r="AW663" s="132" t="n"/>
      <c r="AX663" s="132" t="n"/>
      <c r="AY663" s="132" t="n"/>
      <c r="AZ663" s="133" t="n"/>
      <c r="BA663" s="131" t="n"/>
      <c r="BB663" s="132" t="n"/>
      <c r="BC663" s="133" t="n"/>
      <c r="BD663" s="131" t="n"/>
      <c r="BE663" s="132" t="n"/>
      <c r="BF663" s="133" t="n"/>
      <c r="BG663" s="131" t="n"/>
      <c r="BH663" s="132" t="n"/>
      <c r="BI663" s="132" t="n"/>
      <c r="BJ663" s="128">
        <f>iferror(SUM($BK663,($BL663*1.2),($BM663*1.35),($BN663*0.74)),)</f>
        <v/>
      </c>
      <c r="BK663" s="128">
        <f>IFERROR(SUM($BT663:$CK663),)</f>
        <v/>
      </c>
      <c r="BL663" s="129">
        <f>IFERROR(SUM($CL663:$CN663),)</f>
        <v/>
      </c>
      <c r="BM663" s="130">
        <f>IFERROR(SUM($CO663:$CQ663),)</f>
        <v/>
      </c>
      <c r="BN663" s="128">
        <f>IFERROR(SUM($CR663:$CT663),)</f>
        <v/>
      </c>
      <c r="BO663" s="128">
        <f>iferror(SUM($BP663,($BQ663*1.2),($BR663*1.35),($BS663*0.74)),)</f>
        <v/>
      </c>
      <c r="BP663" s="128">
        <f>IFERROR(SUM($CU663:$DL663),)</f>
        <v/>
      </c>
      <c r="BQ663" s="128">
        <f>IFERROR(SUM($DM663:$DO663),)</f>
        <v/>
      </c>
      <c r="BR663" s="128">
        <f>IFERROR(SUM($DP663:$DR663),)</f>
        <v/>
      </c>
      <c r="BS663" s="128">
        <f>IFERROR(SUM($DS663:$DU663),)</f>
        <v/>
      </c>
      <c r="BT663" s="128">
        <f>IFERROR(AI663*$W663,)</f>
        <v/>
      </c>
      <c r="BU663" s="128">
        <f>IFERROR(AJ663*$W663,)</f>
        <v/>
      </c>
      <c r="BV663" s="128">
        <f>IFERROR(AK663*$W663,)</f>
        <v/>
      </c>
      <c r="BW663" s="128">
        <f>IFERROR(AL663*$W663,)</f>
        <v/>
      </c>
      <c r="BX663" s="128">
        <f>IFERROR(AM663*$W663,)</f>
        <v/>
      </c>
      <c r="BY663" s="128">
        <f>IFERROR(AN663*$W663,)</f>
        <v/>
      </c>
      <c r="BZ663" s="128">
        <f>IFERROR(AO663*$W663,)</f>
        <v/>
      </c>
      <c r="CA663" s="128">
        <f>IFERROR(AP663*$W663,)</f>
        <v/>
      </c>
      <c r="CB663" s="128">
        <f>IFERROR(AQ663*$W663,)</f>
        <v/>
      </c>
      <c r="CC663" s="128">
        <f>IFERROR(AR663*$W663,)</f>
        <v/>
      </c>
      <c r="CD663" s="128">
        <f>IFERROR(AS663*$W663,)</f>
        <v/>
      </c>
      <c r="CE663" s="128">
        <f>IFERROR(AT663*$W663,)</f>
        <v/>
      </c>
      <c r="CF663" s="128">
        <f>IFERROR(AU663*$W663,)</f>
        <v/>
      </c>
      <c r="CG663" s="128">
        <f>IFERROR(AV663*$W663,)</f>
        <v/>
      </c>
      <c r="CH663" s="128">
        <f>IFERROR(AW663*$W663,)</f>
        <v/>
      </c>
      <c r="CI663" s="128">
        <f>IFERROR(AX663*$W663,)</f>
        <v/>
      </c>
      <c r="CJ663" s="128">
        <f>IFERROR(AY663*$W663,)</f>
        <v/>
      </c>
      <c r="CK663" s="128">
        <f>IFERROR(AZ663*$W663,)</f>
        <v/>
      </c>
      <c r="CL663" s="129">
        <f>IFERROR(if($Y663=0,BA663*($W663/1.2),BA663*$Y663),"")</f>
        <v/>
      </c>
      <c r="CM663" s="129">
        <f>IFERROR(if($Y663=0,BB663*($W663/1.2),BB663*$Y663),"")</f>
        <v/>
      </c>
      <c r="CN663" s="129">
        <f>IFERROR(if($Y663=0,BC663*($W663/1.2),BC663*$Y663),"")</f>
        <v/>
      </c>
      <c r="CO663" s="130">
        <f>IFERROR(if($AA663=0,($W663/1.35)*BD663,BD663*$AA663),)</f>
        <v/>
      </c>
      <c r="CP663" s="130">
        <f>IFERROR(if($AA663=0,($W663/1.35)*BE663,BE663*$AA663),)</f>
        <v/>
      </c>
      <c r="CQ663" s="130">
        <f>IFERROR(if($AA663=0,($W663/1.35)*BF663,BF663*$AA663),)</f>
        <v/>
      </c>
      <c r="CR663" s="128">
        <f>IFERROR(if($AC663=0,($W663/0.74)*BG663,
BG663*$AC663),)</f>
        <v/>
      </c>
      <c r="CS663" s="128">
        <f>IFERROR(if($AC663=0,($W663/0.74)*BH663,
BH663*$AC663),)</f>
        <v/>
      </c>
      <c r="CT663" s="128">
        <f>IFERROR(if($AC663=0,($W663/0.74)*BI663,
BI663*$AC663),)</f>
        <v/>
      </c>
      <c r="CU663" s="128">
        <f>IFERROR(AI663*$V663,)</f>
        <v/>
      </c>
      <c r="CV663" s="128">
        <f>IFERROR(AJ663*$V663,)</f>
        <v/>
      </c>
      <c r="CW663" s="128">
        <f>IFERROR(AK663*$V663,)</f>
        <v/>
      </c>
      <c r="CX663" s="128">
        <f>IFERROR(AL663*$V663,)</f>
        <v/>
      </c>
      <c r="CY663" s="128">
        <f>IFERROR(AM663*$V663,)</f>
        <v/>
      </c>
      <c r="CZ663" s="128">
        <f>IFERROR(AN663*$V663,)</f>
        <v/>
      </c>
      <c r="DA663" s="128">
        <f>IFERROR(AO663*$V663,)</f>
        <v/>
      </c>
      <c r="DB663" s="128">
        <f>IFERROR(AP663*$V663,)</f>
        <v/>
      </c>
      <c r="DC663" s="128">
        <f>IFERROR(AQ663*$V663,)</f>
        <v/>
      </c>
      <c r="DD663" s="128">
        <f>IFERROR(AR663*$V663,)</f>
        <v/>
      </c>
      <c r="DE663" s="128">
        <f>IFERROR(AS663*$V663,)</f>
        <v/>
      </c>
      <c r="DF663" s="128">
        <f>IFERROR(AT663*$V663,)</f>
        <v/>
      </c>
      <c r="DG663" s="128">
        <f>IFERROR(AU663*$V663,)</f>
        <v/>
      </c>
      <c r="DH663" s="128">
        <f>IFERROR(AV663*$V663,)</f>
        <v/>
      </c>
      <c r="DI663" s="128">
        <f>IFERROR(AW663*$V663,)</f>
        <v/>
      </c>
      <c r="DJ663" s="128">
        <f>IFERROR(AX663*$V663,)</f>
        <v/>
      </c>
      <c r="DK663" s="128">
        <f>IFERROR(AY663*$V663,)</f>
        <v/>
      </c>
      <c r="DL663" s="128">
        <f>IFERROR(AZ663*$V663,)</f>
        <v/>
      </c>
      <c r="DM663" s="129">
        <f>IFERROR(if($X663=0,($V663/1.2)*BA663,
BA663*$X663),)</f>
        <v/>
      </c>
      <c r="DN663" s="129">
        <f>IFERROR(if($X663=0,($V663/1.2)*BB663,
BB663*$X663),)</f>
        <v/>
      </c>
      <c r="DO663" s="129">
        <f>IFERROR(if($X663=0,($V663/1.2)*BC663,
BC663*$X663),)</f>
        <v/>
      </c>
      <c r="DP663" s="130">
        <f>IFERROR(if($Z663=0,($V663/1.35)*BD663,
BD663*$Z663),)</f>
        <v/>
      </c>
      <c r="DQ663" s="130">
        <f>IFERROR(if($Z663=0,($V663/1.35)*BE663,
BE663*$Z663),)</f>
        <v/>
      </c>
      <c r="DR663" s="130">
        <f>IFERROR(if($Z663=0,($V663/1.35)*BF663,
BF663*$Z663),)</f>
        <v/>
      </c>
      <c r="DS663" s="128">
        <f>IFERROR(IF($AB663=0,($V663/0.74)*BG663,
BG663*$AB663),)</f>
        <v/>
      </c>
      <c r="DT663" s="128">
        <f>IFERROR(IF($AB663=0,($V663/0.74)*BH663,
BH663*$AB663),)</f>
        <v/>
      </c>
      <c r="DU663" s="128">
        <f>IFERROR(IF($AB663=0,($V663/0.74)*BI663,
BI663*$AB663),)</f>
        <v/>
      </c>
    </row>
    <row r="664" ht="131.25" customHeight="1" s="162">
      <c r="A664" s="115" t="n"/>
      <c r="B664" s="115" t="n"/>
      <c r="C664" s="115" t="n"/>
      <c r="D664" s="115" t="n"/>
      <c r="E664" s="115" t="n"/>
      <c r="F664" s="115" t="n"/>
      <c r="G664" s="115" t="n"/>
      <c r="H664" s="115" t="n"/>
      <c r="I664" s="115" t="n"/>
      <c r="J664" s="115" t="n"/>
      <c r="K664" s="115" t="n"/>
      <c r="L664" s="115" t="n"/>
      <c r="M664" s="115" t="n"/>
      <c r="N664" s="115" t="n"/>
      <c r="O664" s="115" t="n"/>
      <c r="P664" s="115" t="n"/>
      <c r="Q664" s="115" t="n"/>
      <c r="R664" s="115" t="n"/>
      <c r="S664" s="115" t="n"/>
      <c r="T664" s="115" t="n"/>
      <c r="U664" s="116" t="n"/>
      <c r="V664" s="116" t="n"/>
      <c r="W664" s="117" t="n"/>
      <c r="X664" s="118" t="n"/>
      <c r="Y664" s="119" t="n"/>
      <c r="Z664" s="120" t="n"/>
      <c r="AA664" s="121" t="n"/>
      <c r="AB664" s="122" t="n"/>
      <c r="AC664" s="117" t="n"/>
      <c r="AD664" s="123">
        <f>IF(SUM($AE664:$AH664)=0,"",SUM($AE664:$AH664))</f>
        <v/>
      </c>
      <c r="AE664" s="123">
        <f>iferror(IF(SUM($AI664:$AZ664)=0,"",SUM($AI664:$AZ664)),"")</f>
        <v/>
      </c>
      <c r="AF664" s="123">
        <f>iferror(IF(SUM($BA664:$BC664)=0,"",SUM($BA664:$BC664)),"")</f>
        <v/>
      </c>
      <c r="AG664" s="123">
        <f>iferror(IF(SUM($BD664:$BF664)=0,"",SUM($BD664:$BF664)),"")</f>
        <v/>
      </c>
      <c r="AH664" s="124">
        <f>iferror(IF(SUM($BG664:$BI664)=0,"",SUM($BG664:$BI664)),"")</f>
        <v/>
      </c>
      <c r="AI664" s="131" t="n"/>
      <c r="AJ664" s="132" t="n"/>
      <c r="AK664" s="132" t="n"/>
      <c r="AL664" s="132" t="n"/>
      <c r="AM664" s="132" t="n"/>
      <c r="AN664" s="132" t="n"/>
      <c r="AO664" s="132" t="n"/>
      <c r="AP664" s="132" t="n"/>
      <c r="AQ664" s="132" t="n"/>
      <c r="AR664" s="132" t="n"/>
      <c r="AS664" s="132" t="n"/>
      <c r="AT664" s="132" t="n"/>
      <c r="AU664" s="132" t="n"/>
      <c r="AV664" s="132" t="n"/>
      <c r="AW664" s="132" t="n"/>
      <c r="AX664" s="132" t="n"/>
      <c r="AY664" s="132" t="n"/>
      <c r="AZ664" s="133" t="n"/>
      <c r="BA664" s="131" t="n"/>
      <c r="BB664" s="132" t="n"/>
      <c r="BC664" s="133" t="n"/>
      <c r="BD664" s="131" t="n"/>
      <c r="BE664" s="132" t="n"/>
      <c r="BF664" s="133" t="n"/>
      <c r="BG664" s="131" t="n"/>
      <c r="BH664" s="132" t="n"/>
      <c r="BI664" s="132" t="n"/>
      <c r="BJ664" s="128">
        <f>iferror(SUM($BK664,($BL664*1.2),($BM664*1.35),($BN664*0.74)),)</f>
        <v/>
      </c>
      <c r="BK664" s="128">
        <f>IFERROR(SUM($BT664:$CK664),)</f>
        <v/>
      </c>
      <c r="BL664" s="129">
        <f>IFERROR(SUM($CL664:$CN664),)</f>
        <v/>
      </c>
      <c r="BM664" s="130">
        <f>IFERROR(SUM($CO664:$CQ664),)</f>
        <v/>
      </c>
      <c r="BN664" s="128">
        <f>IFERROR(SUM($CR664:$CT664),)</f>
        <v/>
      </c>
      <c r="BO664" s="128">
        <f>iferror(SUM($BP664,($BQ664*1.2),($BR664*1.35),($BS664*0.74)),)</f>
        <v/>
      </c>
      <c r="BP664" s="128">
        <f>IFERROR(SUM($CU664:$DL664),)</f>
        <v/>
      </c>
      <c r="BQ664" s="128">
        <f>IFERROR(SUM($DM664:$DO664),)</f>
        <v/>
      </c>
      <c r="BR664" s="128">
        <f>IFERROR(SUM($DP664:$DR664),)</f>
        <v/>
      </c>
      <c r="BS664" s="128">
        <f>IFERROR(SUM($DS664:$DU664),)</f>
        <v/>
      </c>
      <c r="BT664" s="128">
        <f>IFERROR(AI664*$W664,)</f>
        <v/>
      </c>
      <c r="BU664" s="128">
        <f>IFERROR(AJ664*$W664,)</f>
        <v/>
      </c>
      <c r="BV664" s="128">
        <f>IFERROR(AK664*$W664,)</f>
        <v/>
      </c>
      <c r="BW664" s="128">
        <f>IFERROR(AL664*$W664,)</f>
        <v/>
      </c>
      <c r="BX664" s="128">
        <f>IFERROR(AM664*$W664,)</f>
        <v/>
      </c>
      <c r="BY664" s="128">
        <f>IFERROR(AN664*$W664,)</f>
        <v/>
      </c>
      <c r="BZ664" s="128">
        <f>IFERROR(AO664*$W664,)</f>
        <v/>
      </c>
      <c r="CA664" s="128">
        <f>IFERROR(AP664*$W664,)</f>
        <v/>
      </c>
      <c r="CB664" s="128">
        <f>IFERROR(AQ664*$W664,)</f>
        <v/>
      </c>
      <c r="CC664" s="128">
        <f>IFERROR(AR664*$W664,)</f>
        <v/>
      </c>
      <c r="CD664" s="128">
        <f>IFERROR(AS664*$W664,)</f>
        <v/>
      </c>
      <c r="CE664" s="128">
        <f>IFERROR(AT664*$W664,)</f>
        <v/>
      </c>
      <c r="CF664" s="128">
        <f>IFERROR(AU664*$W664,)</f>
        <v/>
      </c>
      <c r="CG664" s="128">
        <f>IFERROR(AV664*$W664,)</f>
        <v/>
      </c>
      <c r="CH664" s="128">
        <f>IFERROR(AW664*$W664,)</f>
        <v/>
      </c>
      <c r="CI664" s="128">
        <f>IFERROR(AX664*$W664,)</f>
        <v/>
      </c>
      <c r="CJ664" s="128">
        <f>IFERROR(AY664*$W664,)</f>
        <v/>
      </c>
      <c r="CK664" s="128">
        <f>IFERROR(AZ664*$W664,)</f>
        <v/>
      </c>
      <c r="CL664" s="129">
        <f>IFERROR(if($Y664=0,BA664*($W664/1.2),BA664*$Y664),"")</f>
        <v/>
      </c>
      <c r="CM664" s="129">
        <f>IFERROR(if($Y664=0,BB664*($W664/1.2),BB664*$Y664),"")</f>
        <v/>
      </c>
      <c r="CN664" s="129">
        <f>IFERROR(if($Y664=0,BC664*($W664/1.2),BC664*$Y664),"")</f>
        <v/>
      </c>
      <c r="CO664" s="130">
        <f>IFERROR(if($AA664=0,($W664/1.35)*BD664,BD664*$AA664),)</f>
        <v/>
      </c>
      <c r="CP664" s="130">
        <f>IFERROR(if($AA664=0,($W664/1.35)*BE664,BE664*$AA664),)</f>
        <v/>
      </c>
      <c r="CQ664" s="130">
        <f>IFERROR(if($AA664=0,($W664/1.35)*BF664,BF664*$AA664),)</f>
        <v/>
      </c>
      <c r="CR664" s="128">
        <f>IFERROR(if($AC664=0,($W664/0.74)*BG664,
BG664*$AC664),)</f>
        <v/>
      </c>
      <c r="CS664" s="128">
        <f>IFERROR(if($AC664=0,($W664/0.74)*BH664,
BH664*$AC664),)</f>
        <v/>
      </c>
      <c r="CT664" s="128">
        <f>IFERROR(if($AC664=0,($W664/0.74)*BI664,
BI664*$AC664),)</f>
        <v/>
      </c>
      <c r="CU664" s="128">
        <f>IFERROR(AI664*$V664,)</f>
        <v/>
      </c>
      <c r="CV664" s="128">
        <f>IFERROR(AJ664*$V664,)</f>
        <v/>
      </c>
      <c r="CW664" s="128">
        <f>IFERROR(AK664*$V664,)</f>
        <v/>
      </c>
      <c r="CX664" s="128">
        <f>IFERROR(AL664*$V664,)</f>
        <v/>
      </c>
      <c r="CY664" s="128">
        <f>IFERROR(AM664*$V664,)</f>
        <v/>
      </c>
      <c r="CZ664" s="128">
        <f>IFERROR(AN664*$V664,)</f>
        <v/>
      </c>
      <c r="DA664" s="128">
        <f>IFERROR(AO664*$V664,)</f>
        <v/>
      </c>
      <c r="DB664" s="128">
        <f>IFERROR(AP664*$V664,)</f>
        <v/>
      </c>
      <c r="DC664" s="128">
        <f>IFERROR(AQ664*$V664,)</f>
        <v/>
      </c>
      <c r="DD664" s="128">
        <f>IFERROR(AR664*$V664,)</f>
        <v/>
      </c>
      <c r="DE664" s="128">
        <f>IFERROR(AS664*$V664,)</f>
        <v/>
      </c>
      <c r="DF664" s="128">
        <f>IFERROR(AT664*$V664,)</f>
        <v/>
      </c>
      <c r="DG664" s="128">
        <f>IFERROR(AU664*$V664,)</f>
        <v/>
      </c>
      <c r="DH664" s="128">
        <f>IFERROR(AV664*$V664,)</f>
        <v/>
      </c>
      <c r="DI664" s="128">
        <f>IFERROR(AW664*$V664,)</f>
        <v/>
      </c>
      <c r="DJ664" s="128">
        <f>IFERROR(AX664*$V664,)</f>
        <v/>
      </c>
      <c r="DK664" s="128">
        <f>IFERROR(AY664*$V664,)</f>
        <v/>
      </c>
      <c r="DL664" s="128">
        <f>IFERROR(AZ664*$V664,)</f>
        <v/>
      </c>
      <c r="DM664" s="129">
        <f>IFERROR(if($X664=0,($V664/1.2)*BA664,
BA664*$X664),)</f>
        <v/>
      </c>
      <c r="DN664" s="129">
        <f>IFERROR(if($X664=0,($V664/1.2)*BB664,
BB664*$X664),)</f>
        <v/>
      </c>
      <c r="DO664" s="129">
        <f>IFERROR(if($X664=0,($V664/1.2)*BC664,
BC664*$X664),)</f>
        <v/>
      </c>
      <c r="DP664" s="130">
        <f>IFERROR(if($Z664=0,($V664/1.35)*BD664,
BD664*$Z664),)</f>
        <v/>
      </c>
      <c r="DQ664" s="130">
        <f>IFERROR(if($Z664=0,($V664/1.35)*BE664,
BE664*$Z664),)</f>
        <v/>
      </c>
      <c r="DR664" s="130">
        <f>IFERROR(if($Z664=0,($V664/1.35)*BF664,
BF664*$Z664),)</f>
        <v/>
      </c>
      <c r="DS664" s="128">
        <f>IFERROR(IF($AB664=0,($V664/0.74)*BG664,
BG664*$AB664),)</f>
        <v/>
      </c>
      <c r="DT664" s="128">
        <f>IFERROR(IF($AB664=0,($V664/0.74)*BH664,
BH664*$AB664),)</f>
        <v/>
      </c>
      <c r="DU664" s="128">
        <f>IFERROR(IF($AB664=0,($V664/0.74)*BI664,
BI664*$AB664),)</f>
        <v/>
      </c>
    </row>
    <row r="665" ht="131.25" customHeight="1" s="162">
      <c r="A665" s="115" t="n"/>
      <c r="B665" s="115" t="n"/>
      <c r="C665" s="115" t="n"/>
      <c r="D665" s="115" t="n"/>
      <c r="E665" s="115" t="n"/>
      <c r="F665" s="115" t="n"/>
      <c r="G665" s="115" t="n"/>
      <c r="H665" s="115" t="n"/>
      <c r="I665" s="115" t="n"/>
      <c r="J665" s="115" t="n"/>
      <c r="K665" s="115" t="n"/>
      <c r="L665" s="115" t="n"/>
      <c r="M665" s="115" t="n"/>
      <c r="N665" s="115" t="n"/>
      <c r="O665" s="115" t="n"/>
      <c r="P665" s="115" t="n"/>
      <c r="Q665" s="115" t="n"/>
      <c r="R665" s="115" t="n"/>
      <c r="S665" s="115" t="n"/>
      <c r="T665" s="115" t="n"/>
      <c r="U665" s="116" t="n"/>
      <c r="V665" s="116" t="n"/>
      <c r="W665" s="117" t="n"/>
      <c r="X665" s="118" t="n"/>
      <c r="Y665" s="119" t="n"/>
      <c r="Z665" s="120" t="n"/>
      <c r="AA665" s="121" t="n"/>
      <c r="AB665" s="122" t="n"/>
      <c r="AC665" s="117" t="n"/>
      <c r="AD665" s="123">
        <f>IF(SUM($AE665:$AH665)=0,"",SUM($AE665:$AH665))</f>
        <v/>
      </c>
      <c r="AE665" s="123">
        <f>iferror(IF(SUM($AI665:$AZ665)=0,"",SUM($AI665:$AZ665)),"")</f>
        <v/>
      </c>
      <c r="AF665" s="123">
        <f>iferror(IF(SUM($BA665:$BC665)=0,"",SUM($BA665:$BC665)),"")</f>
        <v/>
      </c>
      <c r="AG665" s="123">
        <f>iferror(IF(SUM($BD665:$BF665)=0,"",SUM($BD665:$BF665)),"")</f>
        <v/>
      </c>
      <c r="AH665" s="124">
        <f>iferror(IF(SUM($BG665:$BI665)=0,"",SUM($BG665:$BI665)),"")</f>
        <v/>
      </c>
      <c r="AI665" s="131" t="n"/>
      <c r="AJ665" s="132" t="n"/>
      <c r="AK665" s="132" t="n"/>
      <c r="AL665" s="132" t="n"/>
      <c r="AM665" s="132" t="n"/>
      <c r="AN665" s="132" t="n"/>
      <c r="AO665" s="132" t="n"/>
      <c r="AP665" s="132" t="n"/>
      <c r="AQ665" s="132" t="n"/>
      <c r="AR665" s="132" t="n"/>
      <c r="AS665" s="132" t="n"/>
      <c r="AT665" s="132" t="n"/>
      <c r="AU665" s="132" t="n"/>
      <c r="AV665" s="132" t="n"/>
      <c r="AW665" s="132" t="n"/>
      <c r="AX665" s="132" t="n"/>
      <c r="AY665" s="132" t="n"/>
      <c r="AZ665" s="133" t="n"/>
      <c r="BA665" s="131" t="n"/>
      <c r="BB665" s="132" t="n"/>
      <c r="BC665" s="133" t="n"/>
      <c r="BD665" s="131" t="n"/>
      <c r="BE665" s="132" t="n"/>
      <c r="BF665" s="133" t="n"/>
      <c r="BG665" s="131" t="n"/>
      <c r="BH665" s="132" t="n"/>
      <c r="BI665" s="132" t="n"/>
      <c r="BJ665" s="128">
        <f>iferror(SUM($BK665,($BL665*1.2),($BM665*1.35),($BN665*0.74)),)</f>
        <v/>
      </c>
      <c r="BK665" s="128">
        <f>IFERROR(SUM($BT665:$CK665),)</f>
        <v/>
      </c>
      <c r="BL665" s="129">
        <f>IFERROR(SUM($CL665:$CN665),)</f>
        <v/>
      </c>
      <c r="BM665" s="130">
        <f>IFERROR(SUM($CO665:$CQ665),)</f>
        <v/>
      </c>
      <c r="BN665" s="128">
        <f>IFERROR(SUM($CR665:$CT665),)</f>
        <v/>
      </c>
      <c r="BO665" s="128">
        <f>iferror(SUM($BP665,($BQ665*1.2),($BR665*1.35),($BS665*0.74)),)</f>
        <v/>
      </c>
      <c r="BP665" s="128">
        <f>IFERROR(SUM($CU665:$DL665),)</f>
        <v/>
      </c>
      <c r="BQ665" s="128">
        <f>IFERROR(SUM($DM665:$DO665),)</f>
        <v/>
      </c>
      <c r="BR665" s="128">
        <f>IFERROR(SUM($DP665:$DR665),)</f>
        <v/>
      </c>
      <c r="BS665" s="128">
        <f>IFERROR(SUM($DS665:$DU665),)</f>
        <v/>
      </c>
      <c r="BT665" s="128">
        <f>IFERROR(AI665*$W665,)</f>
        <v/>
      </c>
      <c r="BU665" s="128">
        <f>IFERROR(AJ665*$W665,)</f>
        <v/>
      </c>
      <c r="BV665" s="128">
        <f>IFERROR(AK665*$W665,)</f>
        <v/>
      </c>
      <c r="BW665" s="128">
        <f>IFERROR(AL665*$W665,)</f>
        <v/>
      </c>
      <c r="BX665" s="128">
        <f>IFERROR(AM665*$W665,)</f>
        <v/>
      </c>
      <c r="BY665" s="128">
        <f>IFERROR(AN665*$W665,)</f>
        <v/>
      </c>
      <c r="BZ665" s="128">
        <f>IFERROR(AO665*$W665,)</f>
        <v/>
      </c>
      <c r="CA665" s="128">
        <f>IFERROR(AP665*$W665,)</f>
        <v/>
      </c>
      <c r="CB665" s="128">
        <f>IFERROR(AQ665*$W665,)</f>
        <v/>
      </c>
      <c r="CC665" s="128">
        <f>IFERROR(AR665*$W665,)</f>
        <v/>
      </c>
      <c r="CD665" s="128">
        <f>IFERROR(AS665*$W665,)</f>
        <v/>
      </c>
      <c r="CE665" s="128">
        <f>IFERROR(AT665*$W665,)</f>
        <v/>
      </c>
      <c r="CF665" s="128">
        <f>IFERROR(AU665*$W665,)</f>
        <v/>
      </c>
      <c r="CG665" s="128">
        <f>IFERROR(AV665*$W665,)</f>
        <v/>
      </c>
      <c r="CH665" s="128">
        <f>IFERROR(AW665*$W665,)</f>
        <v/>
      </c>
      <c r="CI665" s="128">
        <f>IFERROR(AX665*$W665,)</f>
        <v/>
      </c>
      <c r="CJ665" s="128">
        <f>IFERROR(AY665*$W665,)</f>
        <v/>
      </c>
      <c r="CK665" s="128">
        <f>IFERROR(AZ665*$W665,)</f>
        <v/>
      </c>
      <c r="CL665" s="129">
        <f>IFERROR(if($Y665=0,BA665*($W665/1.2),BA665*$Y665),"")</f>
        <v/>
      </c>
      <c r="CM665" s="129">
        <f>IFERROR(if($Y665=0,BB665*($W665/1.2),BB665*$Y665),"")</f>
        <v/>
      </c>
      <c r="CN665" s="129">
        <f>IFERROR(if($Y665=0,BC665*($W665/1.2),BC665*$Y665),"")</f>
        <v/>
      </c>
      <c r="CO665" s="130">
        <f>IFERROR(if($AA665=0,($W665/1.35)*BD665,BD665*$AA665),)</f>
        <v/>
      </c>
      <c r="CP665" s="130">
        <f>IFERROR(if($AA665=0,($W665/1.35)*BE665,BE665*$AA665),)</f>
        <v/>
      </c>
      <c r="CQ665" s="130">
        <f>IFERROR(if($AA665=0,($W665/1.35)*BF665,BF665*$AA665),)</f>
        <v/>
      </c>
      <c r="CR665" s="128">
        <f>IFERROR(if($AC665=0,($W665/0.74)*BG665,
BG665*$AC665),)</f>
        <v/>
      </c>
      <c r="CS665" s="128">
        <f>IFERROR(if($AC665=0,($W665/0.74)*BH665,
BH665*$AC665),)</f>
        <v/>
      </c>
      <c r="CT665" s="128">
        <f>IFERROR(if($AC665=0,($W665/0.74)*BI665,
BI665*$AC665),)</f>
        <v/>
      </c>
      <c r="CU665" s="128">
        <f>IFERROR(AI665*$V665,)</f>
        <v/>
      </c>
      <c r="CV665" s="128">
        <f>IFERROR(AJ665*$V665,)</f>
        <v/>
      </c>
      <c r="CW665" s="128">
        <f>IFERROR(AK665*$V665,)</f>
        <v/>
      </c>
      <c r="CX665" s="128">
        <f>IFERROR(AL665*$V665,)</f>
        <v/>
      </c>
      <c r="CY665" s="128">
        <f>IFERROR(AM665*$V665,)</f>
        <v/>
      </c>
      <c r="CZ665" s="128">
        <f>IFERROR(AN665*$V665,)</f>
        <v/>
      </c>
      <c r="DA665" s="128">
        <f>IFERROR(AO665*$V665,)</f>
        <v/>
      </c>
      <c r="DB665" s="128">
        <f>IFERROR(AP665*$V665,)</f>
        <v/>
      </c>
      <c r="DC665" s="128">
        <f>IFERROR(AQ665*$V665,)</f>
        <v/>
      </c>
      <c r="DD665" s="128">
        <f>IFERROR(AR665*$V665,)</f>
        <v/>
      </c>
      <c r="DE665" s="128">
        <f>IFERROR(AS665*$V665,)</f>
        <v/>
      </c>
      <c r="DF665" s="128">
        <f>IFERROR(AT665*$V665,)</f>
        <v/>
      </c>
      <c r="DG665" s="128">
        <f>IFERROR(AU665*$V665,)</f>
        <v/>
      </c>
      <c r="DH665" s="128">
        <f>IFERROR(AV665*$V665,)</f>
        <v/>
      </c>
      <c r="DI665" s="128">
        <f>IFERROR(AW665*$V665,)</f>
        <v/>
      </c>
      <c r="DJ665" s="128">
        <f>IFERROR(AX665*$V665,)</f>
        <v/>
      </c>
      <c r="DK665" s="128">
        <f>IFERROR(AY665*$V665,)</f>
        <v/>
      </c>
      <c r="DL665" s="128">
        <f>IFERROR(AZ665*$V665,)</f>
        <v/>
      </c>
      <c r="DM665" s="129">
        <f>IFERROR(if($X665=0,($V665/1.2)*BA665,
BA665*$X665),)</f>
        <v/>
      </c>
      <c r="DN665" s="129">
        <f>IFERROR(if($X665=0,($V665/1.2)*BB665,
BB665*$X665),)</f>
        <v/>
      </c>
      <c r="DO665" s="129">
        <f>IFERROR(if($X665=0,($V665/1.2)*BC665,
BC665*$X665),)</f>
        <v/>
      </c>
      <c r="DP665" s="130">
        <f>IFERROR(if($Z665=0,($V665/1.35)*BD665,
BD665*$Z665),)</f>
        <v/>
      </c>
      <c r="DQ665" s="130">
        <f>IFERROR(if($Z665=0,($V665/1.35)*BE665,
BE665*$Z665),)</f>
        <v/>
      </c>
      <c r="DR665" s="130">
        <f>IFERROR(if($Z665=0,($V665/1.35)*BF665,
BF665*$Z665),)</f>
        <v/>
      </c>
      <c r="DS665" s="128">
        <f>IFERROR(IF($AB665=0,($V665/0.74)*BG665,
BG665*$AB665),)</f>
        <v/>
      </c>
      <c r="DT665" s="128">
        <f>IFERROR(IF($AB665=0,($V665/0.74)*BH665,
BH665*$AB665),)</f>
        <v/>
      </c>
      <c r="DU665" s="128">
        <f>IFERROR(IF($AB665=0,($V665/0.74)*BI665,
BI665*$AB665),)</f>
        <v/>
      </c>
    </row>
    <row r="666" ht="131.25" customHeight="1" s="162">
      <c r="A666" s="115" t="n"/>
      <c r="B666" s="115" t="n"/>
      <c r="C666" s="115" t="n"/>
      <c r="D666" s="115" t="n"/>
      <c r="E666" s="115" t="n"/>
      <c r="F666" s="115" t="n"/>
      <c r="G666" s="115" t="n"/>
      <c r="H666" s="115" t="n"/>
      <c r="I666" s="115" t="n"/>
      <c r="J666" s="115" t="n"/>
      <c r="K666" s="115" t="n"/>
      <c r="L666" s="115" t="n"/>
      <c r="M666" s="115" t="n"/>
      <c r="N666" s="115" t="n"/>
      <c r="O666" s="115" t="n"/>
      <c r="P666" s="115" t="n"/>
      <c r="Q666" s="115" t="n"/>
      <c r="R666" s="115" t="n"/>
      <c r="S666" s="115" t="n"/>
      <c r="T666" s="115" t="n"/>
      <c r="U666" s="116" t="n"/>
      <c r="V666" s="116" t="n"/>
      <c r="W666" s="117" t="n"/>
      <c r="X666" s="118" t="n"/>
      <c r="Y666" s="119" t="n"/>
      <c r="Z666" s="120" t="n"/>
      <c r="AA666" s="121" t="n"/>
      <c r="AB666" s="122" t="n"/>
      <c r="AC666" s="117" t="n"/>
      <c r="AD666" s="123">
        <f>IF(SUM($AE666:$AH666)=0,"",SUM($AE666:$AH666))</f>
        <v/>
      </c>
      <c r="AE666" s="123">
        <f>iferror(IF(SUM($AI666:$AZ666)=0,"",SUM($AI666:$AZ666)),"")</f>
        <v/>
      </c>
      <c r="AF666" s="123">
        <f>iferror(IF(SUM($BA666:$BC666)=0,"",SUM($BA666:$BC666)),"")</f>
        <v/>
      </c>
      <c r="AG666" s="123">
        <f>iferror(IF(SUM($BD666:$BF666)=0,"",SUM($BD666:$BF666)),"")</f>
        <v/>
      </c>
      <c r="AH666" s="124">
        <f>iferror(IF(SUM($BG666:$BI666)=0,"",SUM($BG666:$BI666)),"")</f>
        <v/>
      </c>
      <c r="AI666" s="131" t="n"/>
      <c r="AJ666" s="132" t="n"/>
      <c r="AK666" s="132" t="n"/>
      <c r="AL666" s="132" t="n"/>
      <c r="AM666" s="132" t="n"/>
      <c r="AN666" s="132" t="n"/>
      <c r="AO666" s="132" t="n"/>
      <c r="AP666" s="132" t="n"/>
      <c r="AQ666" s="132" t="n"/>
      <c r="AR666" s="132" t="n"/>
      <c r="AS666" s="132" t="n"/>
      <c r="AT666" s="132" t="n"/>
      <c r="AU666" s="132" t="n"/>
      <c r="AV666" s="132" t="n"/>
      <c r="AW666" s="132" t="n"/>
      <c r="AX666" s="132" t="n"/>
      <c r="AY666" s="132" t="n"/>
      <c r="AZ666" s="133" t="n"/>
      <c r="BA666" s="131" t="n"/>
      <c r="BB666" s="132" t="n"/>
      <c r="BC666" s="133" t="n"/>
      <c r="BD666" s="131" t="n"/>
      <c r="BE666" s="132" t="n"/>
      <c r="BF666" s="133" t="n"/>
      <c r="BG666" s="131" t="n"/>
      <c r="BH666" s="132" t="n"/>
      <c r="BI666" s="132" t="n"/>
      <c r="BJ666" s="128">
        <f>iferror(SUM($BK666,($BL666*1.2),($BM666*1.35),($BN666*0.74)),)</f>
        <v/>
      </c>
      <c r="BK666" s="128">
        <f>IFERROR(SUM($BT666:$CK666),)</f>
        <v/>
      </c>
      <c r="BL666" s="129">
        <f>IFERROR(SUM($CL666:$CN666),)</f>
        <v/>
      </c>
      <c r="BM666" s="130">
        <f>IFERROR(SUM($CO666:$CQ666),)</f>
        <v/>
      </c>
      <c r="BN666" s="128">
        <f>IFERROR(SUM($CR666:$CT666),)</f>
        <v/>
      </c>
      <c r="BO666" s="128">
        <f>iferror(SUM($BP666,($BQ666*1.2),($BR666*1.35),($BS666*0.74)),)</f>
        <v/>
      </c>
      <c r="BP666" s="128">
        <f>IFERROR(SUM($CU666:$DL666),)</f>
        <v/>
      </c>
      <c r="BQ666" s="128">
        <f>IFERROR(SUM($DM666:$DO666),)</f>
        <v/>
      </c>
      <c r="BR666" s="128">
        <f>IFERROR(SUM($DP666:$DR666),)</f>
        <v/>
      </c>
      <c r="BS666" s="128">
        <f>IFERROR(SUM($DS666:$DU666),)</f>
        <v/>
      </c>
      <c r="BT666" s="128">
        <f>IFERROR(AI666*$W666,)</f>
        <v/>
      </c>
      <c r="BU666" s="128">
        <f>IFERROR(AJ666*$W666,)</f>
        <v/>
      </c>
      <c r="BV666" s="128">
        <f>IFERROR(AK666*$W666,)</f>
        <v/>
      </c>
      <c r="BW666" s="128">
        <f>IFERROR(AL666*$W666,)</f>
        <v/>
      </c>
      <c r="BX666" s="128">
        <f>IFERROR(AM666*$W666,)</f>
        <v/>
      </c>
      <c r="BY666" s="128">
        <f>IFERROR(AN666*$W666,)</f>
        <v/>
      </c>
      <c r="BZ666" s="128">
        <f>IFERROR(AO666*$W666,)</f>
        <v/>
      </c>
      <c r="CA666" s="128">
        <f>IFERROR(AP666*$W666,)</f>
        <v/>
      </c>
      <c r="CB666" s="128">
        <f>IFERROR(AQ666*$W666,)</f>
        <v/>
      </c>
      <c r="CC666" s="128">
        <f>IFERROR(AR666*$W666,)</f>
        <v/>
      </c>
      <c r="CD666" s="128">
        <f>IFERROR(AS666*$W666,)</f>
        <v/>
      </c>
      <c r="CE666" s="128">
        <f>IFERROR(AT666*$W666,)</f>
        <v/>
      </c>
      <c r="CF666" s="128">
        <f>IFERROR(AU666*$W666,)</f>
        <v/>
      </c>
      <c r="CG666" s="128">
        <f>IFERROR(AV666*$W666,)</f>
        <v/>
      </c>
      <c r="CH666" s="128">
        <f>IFERROR(AW666*$W666,)</f>
        <v/>
      </c>
      <c r="CI666" s="128">
        <f>IFERROR(AX666*$W666,)</f>
        <v/>
      </c>
      <c r="CJ666" s="128">
        <f>IFERROR(AY666*$W666,)</f>
        <v/>
      </c>
      <c r="CK666" s="128">
        <f>IFERROR(AZ666*$W666,)</f>
        <v/>
      </c>
      <c r="CL666" s="129">
        <f>IFERROR(if($Y666=0,BA666*($W666/1.2),BA666*$Y666),"")</f>
        <v/>
      </c>
      <c r="CM666" s="129">
        <f>IFERROR(if($Y666=0,BB666*($W666/1.2),BB666*$Y666),"")</f>
        <v/>
      </c>
      <c r="CN666" s="129">
        <f>IFERROR(if($Y666=0,BC666*($W666/1.2),BC666*$Y666),"")</f>
        <v/>
      </c>
      <c r="CO666" s="130">
        <f>IFERROR(if($AA666=0,($W666/1.35)*BD666,BD666*$AA666),)</f>
        <v/>
      </c>
      <c r="CP666" s="130">
        <f>IFERROR(if($AA666=0,($W666/1.35)*BE666,BE666*$AA666),)</f>
        <v/>
      </c>
      <c r="CQ666" s="130">
        <f>IFERROR(if($AA666=0,($W666/1.35)*BF666,BF666*$AA666),)</f>
        <v/>
      </c>
      <c r="CR666" s="128">
        <f>IFERROR(if($AC666=0,($W666/0.74)*BG666,
BG666*$AC666),)</f>
        <v/>
      </c>
      <c r="CS666" s="128">
        <f>IFERROR(if($AC666=0,($W666/0.74)*BH666,
BH666*$AC666),)</f>
        <v/>
      </c>
      <c r="CT666" s="128">
        <f>IFERROR(if($AC666=0,($W666/0.74)*BI666,
BI666*$AC666),)</f>
        <v/>
      </c>
      <c r="CU666" s="128">
        <f>IFERROR(AI666*$V666,)</f>
        <v/>
      </c>
      <c r="CV666" s="128">
        <f>IFERROR(AJ666*$V666,)</f>
        <v/>
      </c>
      <c r="CW666" s="128">
        <f>IFERROR(AK666*$V666,)</f>
        <v/>
      </c>
      <c r="CX666" s="128">
        <f>IFERROR(AL666*$V666,)</f>
        <v/>
      </c>
      <c r="CY666" s="128">
        <f>IFERROR(AM666*$V666,)</f>
        <v/>
      </c>
      <c r="CZ666" s="128">
        <f>IFERROR(AN666*$V666,)</f>
        <v/>
      </c>
      <c r="DA666" s="128">
        <f>IFERROR(AO666*$V666,)</f>
        <v/>
      </c>
      <c r="DB666" s="128">
        <f>IFERROR(AP666*$V666,)</f>
        <v/>
      </c>
      <c r="DC666" s="128">
        <f>IFERROR(AQ666*$V666,)</f>
        <v/>
      </c>
      <c r="DD666" s="128">
        <f>IFERROR(AR666*$V666,)</f>
        <v/>
      </c>
      <c r="DE666" s="128">
        <f>IFERROR(AS666*$V666,)</f>
        <v/>
      </c>
      <c r="DF666" s="128">
        <f>IFERROR(AT666*$V666,)</f>
        <v/>
      </c>
      <c r="DG666" s="128">
        <f>IFERROR(AU666*$V666,)</f>
        <v/>
      </c>
      <c r="DH666" s="128">
        <f>IFERROR(AV666*$V666,)</f>
        <v/>
      </c>
      <c r="DI666" s="128">
        <f>IFERROR(AW666*$V666,)</f>
        <v/>
      </c>
      <c r="DJ666" s="128">
        <f>IFERROR(AX666*$V666,)</f>
        <v/>
      </c>
      <c r="DK666" s="128">
        <f>IFERROR(AY666*$V666,)</f>
        <v/>
      </c>
      <c r="DL666" s="128">
        <f>IFERROR(AZ666*$V666,)</f>
        <v/>
      </c>
      <c r="DM666" s="129">
        <f>IFERROR(if($X666=0,($V666/1.2)*BA666,
BA666*$X666),)</f>
        <v/>
      </c>
      <c r="DN666" s="129">
        <f>IFERROR(if($X666=0,($V666/1.2)*BB666,
BB666*$X666),)</f>
        <v/>
      </c>
      <c r="DO666" s="129">
        <f>IFERROR(if($X666=0,($V666/1.2)*BC666,
BC666*$X666),)</f>
        <v/>
      </c>
      <c r="DP666" s="130">
        <f>IFERROR(if($Z666=0,($V666/1.35)*BD666,
BD666*$Z666),)</f>
        <v/>
      </c>
      <c r="DQ666" s="130">
        <f>IFERROR(if($Z666=0,($V666/1.35)*BE666,
BE666*$Z666),)</f>
        <v/>
      </c>
      <c r="DR666" s="130">
        <f>IFERROR(if($Z666=0,($V666/1.35)*BF666,
BF666*$Z666),)</f>
        <v/>
      </c>
      <c r="DS666" s="128">
        <f>IFERROR(IF($AB666=0,($V666/0.74)*BG666,
BG666*$AB666),)</f>
        <v/>
      </c>
      <c r="DT666" s="128">
        <f>IFERROR(IF($AB666=0,($V666/0.74)*BH666,
BH666*$AB666),)</f>
        <v/>
      </c>
      <c r="DU666" s="128">
        <f>IFERROR(IF($AB666=0,($V666/0.74)*BI666,
BI666*$AB666),)</f>
        <v/>
      </c>
    </row>
    <row r="667" ht="131.25" customHeight="1" s="162">
      <c r="A667" s="115" t="n"/>
      <c r="B667" s="115" t="n"/>
      <c r="C667" s="115" t="n"/>
      <c r="D667" s="115" t="n"/>
      <c r="E667" s="115" t="n"/>
      <c r="F667" s="115" t="n"/>
      <c r="G667" s="115" t="n"/>
      <c r="H667" s="115" t="n"/>
      <c r="I667" s="115" t="n"/>
      <c r="J667" s="115" t="n"/>
      <c r="K667" s="115" t="n"/>
      <c r="L667" s="115" t="n"/>
      <c r="M667" s="115" t="n"/>
      <c r="N667" s="115" t="n"/>
      <c r="O667" s="115" t="n"/>
      <c r="P667" s="115" t="n"/>
      <c r="Q667" s="115" t="n"/>
      <c r="R667" s="115" t="n"/>
      <c r="S667" s="115" t="n"/>
      <c r="T667" s="115" t="n"/>
      <c r="U667" s="116" t="n"/>
      <c r="V667" s="116" t="n"/>
      <c r="W667" s="117" t="n"/>
      <c r="X667" s="118" t="n"/>
      <c r="Y667" s="119" t="n"/>
      <c r="Z667" s="120" t="n"/>
      <c r="AA667" s="121" t="n"/>
      <c r="AB667" s="122" t="n"/>
      <c r="AC667" s="117" t="n"/>
      <c r="AD667" s="123">
        <f>IF(SUM($AE667:$AH667)=0,"",SUM($AE667:$AH667))</f>
        <v/>
      </c>
      <c r="AE667" s="123">
        <f>iferror(IF(SUM($AI667:$AZ667)=0,"",SUM($AI667:$AZ667)),"")</f>
        <v/>
      </c>
      <c r="AF667" s="123">
        <f>iferror(IF(SUM($BA667:$BC667)=0,"",SUM($BA667:$BC667)),"")</f>
        <v/>
      </c>
      <c r="AG667" s="123">
        <f>iferror(IF(SUM($BD667:$BF667)=0,"",SUM($BD667:$BF667)),"")</f>
        <v/>
      </c>
      <c r="AH667" s="124">
        <f>iferror(IF(SUM($BG667:$BI667)=0,"",SUM($BG667:$BI667)),"")</f>
        <v/>
      </c>
      <c r="AI667" s="131" t="n"/>
      <c r="AJ667" s="132" t="n"/>
      <c r="AK667" s="132" t="n"/>
      <c r="AL667" s="132" t="n"/>
      <c r="AM667" s="132" t="n"/>
      <c r="AN667" s="132" t="n"/>
      <c r="AO667" s="132" t="n"/>
      <c r="AP667" s="132" t="n"/>
      <c r="AQ667" s="132" t="n"/>
      <c r="AR667" s="132" t="n"/>
      <c r="AS667" s="132" t="n"/>
      <c r="AT667" s="132" t="n"/>
      <c r="AU667" s="132" t="n"/>
      <c r="AV667" s="132" t="n"/>
      <c r="AW667" s="132" t="n"/>
      <c r="AX667" s="132" t="n"/>
      <c r="AY667" s="132" t="n"/>
      <c r="AZ667" s="133" t="n"/>
      <c r="BA667" s="131" t="n"/>
      <c r="BB667" s="132" t="n"/>
      <c r="BC667" s="133" t="n"/>
      <c r="BD667" s="131" t="n"/>
      <c r="BE667" s="132" t="n"/>
      <c r="BF667" s="133" t="n"/>
      <c r="BG667" s="131" t="n"/>
      <c r="BH667" s="132" t="n"/>
      <c r="BI667" s="132" t="n"/>
      <c r="BJ667" s="128">
        <f>iferror(SUM($BK667,($BL667*1.2),($BM667*1.35),($BN667*0.74)),)</f>
        <v/>
      </c>
      <c r="BK667" s="128">
        <f>IFERROR(SUM($BT667:$CK667),)</f>
        <v/>
      </c>
      <c r="BL667" s="129">
        <f>IFERROR(SUM($CL667:$CN667),)</f>
        <v/>
      </c>
      <c r="BM667" s="130">
        <f>IFERROR(SUM($CO667:$CQ667),)</f>
        <v/>
      </c>
      <c r="BN667" s="128">
        <f>IFERROR(SUM($CR667:$CT667),)</f>
        <v/>
      </c>
      <c r="BO667" s="128">
        <f>iferror(SUM($BP667,($BQ667*1.2),($BR667*1.35),($BS667*0.74)),)</f>
        <v/>
      </c>
      <c r="BP667" s="128">
        <f>IFERROR(SUM($CU667:$DL667),)</f>
        <v/>
      </c>
      <c r="BQ667" s="128">
        <f>IFERROR(SUM($DM667:$DO667),)</f>
        <v/>
      </c>
      <c r="BR667" s="128">
        <f>IFERROR(SUM($DP667:$DR667),)</f>
        <v/>
      </c>
      <c r="BS667" s="128">
        <f>IFERROR(SUM($DS667:$DU667),)</f>
        <v/>
      </c>
      <c r="BT667" s="128">
        <f>IFERROR(AI667*$W667,)</f>
        <v/>
      </c>
      <c r="BU667" s="128">
        <f>IFERROR(AJ667*$W667,)</f>
        <v/>
      </c>
      <c r="BV667" s="128">
        <f>IFERROR(AK667*$W667,)</f>
        <v/>
      </c>
      <c r="BW667" s="128">
        <f>IFERROR(AL667*$W667,)</f>
        <v/>
      </c>
      <c r="BX667" s="128">
        <f>IFERROR(AM667*$W667,)</f>
        <v/>
      </c>
      <c r="BY667" s="128">
        <f>IFERROR(AN667*$W667,)</f>
        <v/>
      </c>
      <c r="BZ667" s="128">
        <f>IFERROR(AO667*$W667,)</f>
        <v/>
      </c>
      <c r="CA667" s="128">
        <f>IFERROR(AP667*$W667,)</f>
        <v/>
      </c>
      <c r="CB667" s="128">
        <f>IFERROR(AQ667*$W667,)</f>
        <v/>
      </c>
      <c r="CC667" s="128">
        <f>IFERROR(AR667*$W667,)</f>
        <v/>
      </c>
      <c r="CD667" s="128">
        <f>IFERROR(AS667*$W667,)</f>
        <v/>
      </c>
      <c r="CE667" s="128">
        <f>IFERROR(AT667*$W667,)</f>
        <v/>
      </c>
      <c r="CF667" s="128">
        <f>IFERROR(AU667*$W667,)</f>
        <v/>
      </c>
      <c r="CG667" s="128">
        <f>IFERROR(AV667*$W667,)</f>
        <v/>
      </c>
      <c r="CH667" s="128">
        <f>IFERROR(AW667*$W667,)</f>
        <v/>
      </c>
      <c r="CI667" s="128">
        <f>IFERROR(AX667*$W667,)</f>
        <v/>
      </c>
      <c r="CJ667" s="128">
        <f>IFERROR(AY667*$W667,)</f>
        <v/>
      </c>
      <c r="CK667" s="128">
        <f>IFERROR(AZ667*$W667,)</f>
        <v/>
      </c>
      <c r="CL667" s="129">
        <f>IFERROR(if($Y667=0,BA667*($W667/1.2),BA667*$Y667),"")</f>
        <v/>
      </c>
      <c r="CM667" s="129">
        <f>IFERROR(if($Y667=0,BB667*($W667/1.2),BB667*$Y667),"")</f>
        <v/>
      </c>
      <c r="CN667" s="129">
        <f>IFERROR(if($Y667=0,BC667*($W667/1.2),BC667*$Y667),"")</f>
        <v/>
      </c>
      <c r="CO667" s="130">
        <f>IFERROR(if($AA667=0,($W667/1.35)*BD667,BD667*$AA667),)</f>
        <v/>
      </c>
      <c r="CP667" s="130">
        <f>IFERROR(if($AA667=0,($W667/1.35)*BE667,BE667*$AA667),)</f>
        <v/>
      </c>
      <c r="CQ667" s="130">
        <f>IFERROR(if($AA667=0,($W667/1.35)*BF667,BF667*$AA667),)</f>
        <v/>
      </c>
      <c r="CR667" s="128">
        <f>IFERROR(if($AC667=0,($W667/0.74)*BG667,
BG667*$AC667),)</f>
        <v/>
      </c>
      <c r="CS667" s="128">
        <f>IFERROR(if($AC667=0,($W667/0.74)*BH667,
BH667*$AC667),)</f>
        <v/>
      </c>
      <c r="CT667" s="128">
        <f>IFERROR(if($AC667=0,($W667/0.74)*BI667,
BI667*$AC667),)</f>
        <v/>
      </c>
      <c r="CU667" s="128">
        <f>IFERROR(AI667*$V667,)</f>
        <v/>
      </c>
      <c r="CV667" s="128">
        <f>IFERROR(AJ667*$V667,)</f>
        <v/>
      </c>
      <c r="CW667" s="128">
        <f>IFERROR(AK667*$V667,)</f>
        <v/>
      </c>
      <c r="CX667" s="128">
        <f>IFERROR(AL667*$V667,)</f>
        <v/>
      </c>
      <c r="CY667" s="128">
        <f>IFERROR(AM667*$V667,)</f>
        <v/>
      </c>
      <c r="CZ667" s="128">
        <f>IFERROR(AN667*$V667,)</f>
        <v/>
      </c>
      <c r="DA667" s="128">
        <f>IFERROR(AO667*$V667,)</f>
        <v/>
      </c>
      <c r="DB667" s="128">
        <f>IFERROR(AP667*$V667,)</f>
        <v/>
      </c>
      <c r="DC667" s="128">
        <f>IFERROR(AQ667*$V667,)</f>
        <v/>
      </c>
      <c r="DD667" s="128">
        <f>IFERROR(AR667*$V667,)</f>
        <v/>
      </c>
      <c r="DE667" s="128">
        <f>IFERROR(AS667*$V667,)</f>
        <v/>
      </c>
      <c r="DF667" s="128">
        <f>IFERROR(AT667*$V667,)</f>
        <v/>
      </c>
      <c r="DG667" s="128">
        <f>IFERROR(AU667*$V667,)</f>
        <v/>
      </c>
      <c r="DH667" s="128">
        <f>IFERROR(AV667*$V667,)</f>
        <v/>
      </c>
      <c r="DI667" s="128">
        <f>IFERROR(AW667*$V667,)</f>
        <v/>
      </c>
      <c r="DJ667" s="128">
        <f>IFERROR(AX667*$V667,)</f>
        <v/>
      </c>
      <c r="DK667" s="128">
        <f>IFERROR(AY667*$V667,)</f>
        <v/>
      </c>
      <c r="DL667" s="128">
        <f>IFERROR(AZ667*$V667,)</f>
        <v/>
      </c>
      <c r="DM667" s="129">
        <f>IFERROR(if($X667=0,($V667/1.2)*BA667,
BA667*$X667),)</f>
        <v/>
      </c>
      <c r="DN667" s="129">
        <f>IFERROR(if($X667=0,($V667/1.2)*BB667,
BB667*$X667),)</f>
        <v/>
      </c>
      <c r="DO667" s="129">
        <f>IFERROR(if($X667=0,($V667/1.2)*BC667,
BC667*$X667),)</f>
        <v/>
      </c>
      <c r="DP667" s="130">
        <f>IFERROR(if($Z667=0,($V667/1.35)*BD667,
BD667*$Z667),)</f>
        <v/>
      </c>
      <c r="DQ667" s="130">
        <f>IFERROR(if($Z667=0,($V667/1.35)*BE667,
BE667*$Z667),)</f>
        <v/>
      </c>
      <c r="DR667" s="130">
        <f>IFERROR(if($Z667=0,($V667/1.35)*BF667,
BF667*$Z667),)</f>
        <v/>
      </c>
      <c r="DS667" s="128">
        <f>IFERROR(IF($AB667=0,($V667/0.74)*BG667,
BG667*$AB667),)</f>
        <v/>
      </c>
      <c r="DT667" s="128">
        <f>IFERROR(IF($AB667=0,($V667/0.74)*BH667,
BH667*$AB667),)</f>
        <v/>
      </c>
      <c r="DU667" s="128">
        <f>IFERROR(IF($AB667=0,($V667/0.74)*BI667,
BI667*$AB667),)</f>
        <v/>
      </c>
    </row>
    <row r="668" ht="131.25" customHeight="1" s="162">
      <c r="A668" s="115" t="n"/>
      <c r="B668" s="115" t="n"/>
      <c r="C668" s="115" t="n"/>
      <c r="D668" s="115" t="n"/>
      <c r="E668" s="115" t="n"/>
      <c r="F668" s="115" t="n"/>
      <c r="G668" s="115" t="n"/>
      <c r="H668" s="115" t="n"/>
      <c r="I668" s="115" t="n"/>
      <c r="J668" s="115" t="n"/>
      <c r="K668" s="115" t="n"/>
      <c r="L668" s="115" t="n"/>
      <c r="M668" s="115" t="n"/>
      <c r="N668" s="115" t="n"/>
      <c r="O668" s="115" t="n"/>
      <c r="P668" s="115" t="n"/>
      <c r="Q668" s="115" t="n"/>
      <c r="R668" s="115" t="n"/>
      <c r="S668" s="115" t="n"/>
      <c r="T668" s="115" t="n"/>
      <c r="U668" s="116" t="n"/>
      <c r="V668" s="116" t="n"/>
      <c r="W668" s="117" t="n"/>
      <c r="X668" s="118" t="n"/>
      <c r="Y668" s="119" t="n"/>
      <c r="Z668" s="120" t="n"/>
      <c r="AA668" s="121" t="n"/>
      <c r="AB668" s="122" t="n"/>
      <c r="AC668" s="117" t="n"/>
      <c r="AD668" s="123">
        <f>IF(SUM($AE668:$AH668)=0,"",SUM($AE668:$AH668))</f>
        <v/>
      </c>
      <c r="AE668" s="123">
        <f>iferror(IF(SUM($AI668:$AZ668)=0,"",SUM($AI668:$AZ668)),"")</f>
        <v/>
      </c>
      <c r="AF668" s="123">
        <f>iferror(IF(SUM($BA668:$BC668)=0,"",SUM($BA668:$BC668)),"")</f>
        <v/>
      </c>
      <c r="AG668" s="123">
        <f>iferror(IF(SUM($BD668:$BF668)=0,"",SUM($BD668:$BF668)),"")</f>
        <v/>
      </c>
      <c r="AH668" s="124">
        <f>iferror(IF(SUM($BG668:$BI668)=0,"",SUM($BG668:$BI668)),"")</f>
        <v/>
      </c>
      <c r="AI668" s="131" t="n"/>
      <c r="AJ668" s="132" t="n"/>
      <c r="AK668" s="132" t="n"/>
      <c r="AL668" s="132" t="n"/>
      <c r="AM668" s="132" t="n"/>
      <c r="AN668" s="132" t="n"/>
      <c r="AO668" s="132" t="n"/>
      <c r="AP668" s="132" t="n"/>
      <c r="AQ668" s="132" t="n"/>
      <c r="AR668" s="132" t="n"/>
      <c r="AS668" s="132" t="n"/>
      <c r="AT668" s="132" t="n"/>
      <c r="AU668" s="132" t="n"/>
      <c r="AV668" s="132" t="n"/>
      <c r="AW668" s="132" t="n"/>
      <c r="AX668" s="132" t="n"/>
      <c r="AY668" s="132" t="n"/>
      <c r="AZ668" s="133" t="n"/>
      <c r="BA668" s="131" t="n"/>
      <c r="BB668" s="132" t="n"/>
      <c r="BC668" s="133" t="n"/>
      <c r="BD668" s="131" t="n"/>
      <c r="BE668" s="132" t="n"/>
      <c r="BF668" s="133" t="n"/>
      <c r="BG668" s="131" t="n"/>
      <c r="BH668" s="132" t="n"/>
      <c r="BI668" s="132" t="n"/>
      <c r="BJ668" s="128">
        <f>iferror(SUM($BK668,($BL668*1.2),($BM668*1.35),($BN668*0.74)),)</f>
        <v/>
      </c>
      <c r="BK668" s="128">
        <f>IFERROR(SUM($BT668:$CK668),)</f>
        <v/>
      </c>
      <c r="BL668" s="129">
        <f>IFERROR(SUM($CL668:$CN668),)</f>
        <v/>
      </c>
      <c r="BM668" s="130">
        <f>IFERROR(SUM($CO668:$CQ668),)</f>
        <v/>
      </c>
      <c r="BN668" s="128">
        <f>IFERROR(SUM($CR668:$CT668),)</f>
        <v/>
      </c>
      <c r="BO668" s="128">
        <f>iferror(SUM($BP668,($BQ668*1.2),($BR668*1.35),($BS668*0.74)),)</f>
        <v/>
      </c>
      <c r="BP668" s="128">
        <f>IFERROR(SUM($CU668:$DL668),)</f>
        <v/>
      </c>
      <c r="BQ668" s="128">
        <f>IFERROR(SUM($DM668:$DO668),)</f>
        <v/>
      </c>
      <c r="BR668" s="128">
        <f>IFERROR(SUM($DP668:$DR668),)</f>
        <v/>
      </c>
      <c r="BS668" s="128">
        <f>IFERROR(SUM($DS668:$DU668),)</f>
        <v/>
      </c>
      <c r="BT668" s="128">
        <f>IFERROR(AI668*$W668,)</f>
        <v/>
      </c>
      <c r="BU668" s="128">
        <f>IFERROR(AJ668*$W668,)</f>
        <v/>
      </c>
      <c r="BV668" s="128">
        <f>IFERROR(AK668*$W668,)</f>
        <v/>
      </c>
      <c r="BW668" s="128">
        <f>IFERROR(AL668*$W668,)</f>
        <v/>
      </c>
      <c r="BX668" s="128">
        <f>IFERROR(AM668*$W668,)</f>
        <v/>
      </c>
      <c r="BY668" s="128">
        <f>IFERROR(AN668*$W668,)</f>
        <v/>
      </c>
      <c r="BZ668" s="128">
        <f>IFERROR(AO668*$W668,)</f>
        <v/>
      </c>
      <c r="CA668" s="128">
        <f>IFERROR(AP668*$W668,)</f>
        <v/>
      </c>
      <c r="CB668" s="128">
        <f>IFERROR(AQ668*$W668,)</f>
        <v/>
      </c>
      <c r="CC668" s="128">
        <f>IFERROR(AR668*$W668,)</f>
        <v/>
      </c>
      <c r="CD668" s="128">
        <f>IFERROR(AS668*$W668,)</f>
        <v/>
      </c>
      <c r="CE668" s="128">
        <f>IFERROR(AT668*$W668,)</f>
        <v/>
      </c>
      <c r="CF668" s="128">
        <f>IFERROR(AU668*$W668,)</f>
        <v/>
      </c>
      <c r="CG668" s="128">
        <f>IFERROR(AV668*$W668,)</f>
        <v/>
      </c>
      <c r="CH668" s="128">
        <f>IFERROR(AW668*$W668,)</f>
        <v/>
      </c>
      <c r="CI668" s="128">
        <f>IFERROR(AX668*$W668,)</f>
        <v/>
      </c>
      <c r="CJ668" s="128">
        <f>IFERROR(AY668*$W668,)</f>
        <v/>
      </c>
      <c r="CK668" s="128">
        <f>IFERROR(AZ668*$W668,)</f>
        <v/>
      </c>
      <c r="CL668" s="129">
        <f>IFERROR(if($Y668=0,BA668*($W668/1.2),BA668*$Y668),"")</f>
        <v/>
      </c>
      <c r="CM668" s="129">
        <f>IFERROR(if($Y668=0,BB668*($W668/1.2),BB668*$Y668),"")</f>
        <v/>
      </c>
      <c r="CN668" s="129">
        <f>IFERROR(if($Y668=0,BC668*($W668/1.2),BC668*$Y668),"")</f>
        <v/>
      </c>
      <c r="CO668" s="130">
        <f>IFERROR(if($AA668=0,($W668/1.35)*BD668,BD668*$AA668),)</f>
        <v/>
      </c>
      <c r="CP668" s="130">
        <f>IFERROR(if($AA668=0,($W668/1.35)*BE668,BE668*$AA668),)</f>
        <v/>
      </c>
      <c r="CQ668" s="130">
        <f>IFERROR(if($AA668=0,($W668/1.35)*BF668,BF668*$AA668),)</f>
        <v/>
      </c>
      <c r="CR668" s="128">
        <f>IFERROR(if($AC668=0,($W668/0.74)*BG668,
BG668*$AC668),)</f>
        <v/>
      </c>
      <c r="CS668" s="128">
        <f>IFERROR(if($AC668=0,($W668/0.74)*BH668,
BH668*$AC668),)</f>
        <v/>
      </c>
      <c r="CT668" s="128">
        <f>IFERROR(if($AC668=0,($W668/0.74)*BI668,
BI668*$AC668),)</f>
        <v/>
      </c>
      <c r="CU668" s="128">
        <f>IFERROR(AI668*$V668,)</f>
        <v/>
      </c>
      <c r="CV668" s="128">
        <f>IFERROR(AJ668*$V668,)</f>
        <v/>
      </c>
      <c r="CW668" s="128">
        <f>IFERROR(AK668*$V668,)</f>
        <v/>
      </c>
      <c r="CX668" s="128">
        <f>IFERROR(AL668*$V668,)</f>
        <v/>
      </c>
      <c r="CY668" s="128">
        <f>IFERROR(AM668*$V668,)</f>
        <v/>
      </c>
      <c r="CZ668" s="128">
        <f>IFERROR(AN668*$V668,)</f>
        <v/>
      </c>
      <c r="DA668" s="128">
        <f>IFERROR(AO668*$V668,)</f>
        <v/>
      </c>
      <c r="DB668" s="128">
        <f>IFERROR(AP668*$V668,)</f>
        <v/>
      </c>
      <c r="DC668" s="128">
        <f>IFERROR(AQ668*$V668,)</f>
        <v/>
      </c>
      <c r="DD668" s="128">
        <f>IFERROR(AR668*$V668,)</f>
        <v/>
      </c>
      <c r="DE668" s="128">
        <f>IFERROR(AS668*$V668,)</f>
        <v/>
      </c>
      <c r="DF668" s="128">
        <f>IFERROR(AT668*$V668,)</f>
        <v/>
      </c>
      <c r="DG668" s="128">
        <f>IFERROR(AU668*$V668,)</f>
        <v/>
      </c>
      <c r="DH668" s="128">
        <f>IFERROR(AV668*$V668,)</f>
        <v/>
      </c>
      <c r="DI668" s="128">
        <f>IFERROR(AW668*$V668,)</f>
        <v/>
      </c>
      <c r="DJ668" s="128">
        <f>IFERROR(AX668*$V668,)</f>
        <v/>
      </c>
      <c r="DK668" s="128">
        <f>IFERROR(AY668*$V668,)</f>
        <v/>
      </c>
      <c r="DL668" s="128">
        <f>IFERROR(AZ668*$V668,)</f>
        <v/>
      </c>
      <c r="DM668" s="129">
        <f>IFERROR(if($X668=0,($V668/1.2)*BA668,
BA668*$X668),)</f>
        <v/>
      </c>
      <c r="DN668" s="129">
        <f>IFERROR(if($X668=0,($V668/1.2)*BB668,
BB668*$X668),)</f>
        <v/>
      </c>
      <c r="DO668" s="129">
        <f>IFERROR(if($X668=0,($V668/1.2)*BC668,
BC668*$X668),)</f>
        <v/>
      </c>
      <c r="DP668" s="130">
        <f>IFERROR(if($Z668=0,($V668/1.35)*BD668,
BD668*$Z668),)</f>
        <v/>
      </c>
      <c r="DQ668" s="130">
        <f>IFERROR(if($Z668=0,($V668/1.35)*BE668,
BE668*$Z668),)</f>
        <v/>
      </c>
      <c r="DR668" s="130">
        <f>IFERROR(if($Z668=0,($V668/1.35)*BF668,
BF668*$Z668),)</f>
        <v/>
      </c>
      <c r="DS668" s="128">
        <f>IFERROR(IF($AB668=0,($V668/0.74)*BG668,
BG668*$AB668),)</f>
        <v/>
      </c>
      <c r="DT668" s="128">
        <f>IFERROR(IF($AB668=0,($V668/0.74)*BH668,
BH668*$AB668),)</f>
        <v/>
      </c>
      <c r="DU668" s="128">
        <f>IFERROR(IF($AB668=0,($V668/0.74)*BI668,
BI668*$AB668),)</f>
        <v/>
      </c>
    </row>
    <row r="669" ht="131.25" customHeight="1" s="162">
      <c r="A669" s="115" t="n"/>
      <c r="B669" s="115" t="n"/>
      <c r="C669" s="115" t="n"/>
      <c r="D669" s="115" t="n"/>
      <c r="E669" s="115" t="n"/>
      <c r="F669" s="115" t="n"/>
      <c r="G669" s="115" t="n"/>
      <c r="H669" s="115" t="n"/>
      <c r="I669" s="115" t="n"/>
      <c r="J669" s="115" t="n"/>
      <c r="K669" s="115" t="n"/>
      <c r="L669" s="115" t="n"/>
      <c r="M669" s="115" t="n"/>
      <c r="N669" s="115" t="n"/>
      <c r="O669" s="115" t="n"/>
      <c r="P669" s="115" t="n"/>
      <c r="Q669" s="115" t="n"/>
      <c r="R669" s="115" t="n"/>
      <c r="S669" s="115" t="n"/>
      <c r="T669" s="115" t="n"/>
      <c r="U669" s="116" t="n"/>
      <c r="V669" s="116" t="n"/>
      <c r="W669" s="117" t="n"/>
      <c r="X669" s="118" t="n"/>
      <c r="Y669" s="119" t="n"/>
      <c r="Z669" s="120" t="n"/>
      <c r="AA669" s="121" t="n"/>
      <c r="AB669" s="122" t="n"/>
      <c r="AC669" s="117" t="n"/>
      <c r="AD669" s="123">
        <f>IF(SUM($AE669:$AH669)=0,"",SUM($AE669:$AH669))</f>
        <v/>
      </c>
      <c r="AE669" s="123">
        <f>iferror(IF(SUM($AI669:$AZ669)=0,"",SUM($AI669:$AZ669)),"")</f>
        <v/>
      </c>
      <c r="AF669" s="123">
        <f>iferror(IF(SUM($BA669:$BC669)=0,"",SUM($BA669:$BC669)),"")</f>
        <v/>
      </c>
      <c r="AG669" s="123">
        <f>iferror(IF(SUM($BD669:$BF669)=0,"",SUM($BD669:$BF669)),"")</f>
        <v/>
      </c>
      <c r="AH669" s="124">
        <f>iferror(IF(SUM($BG669:$BI669)=0,"",SUM($BG669:$BI669)),"")</f>
        <v/>
      </c>
      <c r="AI669" s="131" t="n"/>
      <c r="AJ669" s="132" t="n"/>
      <c r="AK669" s="132" t="n"/>
      <c r="AL669" s="132" t="n"/>
      <c r="AM669" s="132" t="n"/>
      <c r="AN669" s="132" t="n"/>
      <c r="AO669" s="132" t="n"/>
      <c r="AP669" s="132" t="n"/>
      <c r="AQ669" s="132" t="n"/>
      <c r="AR669" s="132" t="n"/>
      <c r="AS669" s="132" t="n"/>
      <c r="AT669" s="132" t="n"/>
      <c r="AU669" s="132" t="n"/>
      <c r="AV669" s="132" t="n"/>
      <c r="AW669" s="132" t="n"/>
      <c r="AX669" s="132" t="n"/>
      <c r="AY669" s="132" t="n"/>
      <c r="AZ669" s="133" t="n"/>
      <c r="BA669" s="131" t="n"/>
      <c r="BB669" s="132" t="n"/>
      <c r="BC669" s="133" t="n"/>
      <c r="BD669" s="131" t="n"/>
      <c r="BE669" s="132" t="n"/>
      <c r="BF669" s="133" t="n"/>
      <c r="BG669" s="131" t="n"/>
      <c r="BH669" s="132" t="n"/>
      <c r="BI669" s="132" t="n"/>
      <c r="BJ669" s="128">
        <f>iferror(SUM($BK669,($BL669*1.2),($BM669*1.35),($BN669*0.74)),)</f>
        <v/>
      </c>
      <c r="BK669" s="128">
        <f>IFERROR(SUM($BT669:$CK669),)</f>
        <v/>
      </c>
      <c r="BL669" s="129">
        <f>IFERROR(SUM($CL669:$CN669),)</f>
        <v/>
      </c>
      <c r="BM669" s="130">
        <f>IFERROR(SUM($CO669:$CQ669),)</f>
        <v/>
      </c>
      <c r="BN669" s="128">
        <f>IFERROR(SUM($CR669:$CT669),)</f>
        <v/>
      </c>
      <c r="BO669" s="128">
        <f>iferror(SUM($BP669,($BQ669*1.2),($BR669*1.35),($BS669*0.74)),)</f>
        <v/>
      </c>
      <c r="BP669" s="128">
        <f>IFERROR(SUM($CU669:$DL669),)</f>
        <v/>
      </c>
      <c r="BQ669" s="128">
        <f>IFERROR(SUM($DM669:$DO669),)</f>
        <v/>
      </c>
      <c r="BR669" s="128">
        <f>IFERROR(SUM($DP669:$DR669),)</f>
        <v/>
      </c>
      <c r="BS669" s="128">
        <f>IFERROR(SUM($DS669:$DU669),)</f>
        <v/>
      </c>
      <c r="BT669" s="128">
        <f>IFERROR(AI669*$W669,)</f>
        <v/>
      </c>
      <c r="BU669" s="128">
        <f>IFERROR(AJ669*$W669,)</f>
        <v/>
      </c>
      <c r="BV669" s="128">
        <f>IFERROR(AK669*$W669,)</f>
        <v/>
      </c>
      <c r="BW669" s="128">
        <f>IFERROR(AL669*$W669,)</f>
        <v/>
      </c>
      <c r="BX669" s="128">
        <f>IFERROR(AM669*$W669,)</f>
        <v/>
      </c>
      <c r="BY669" s="128">
        <f>IFERROR(AN669*$W669,)</f>
        <v/>
      </c>
      <c r="BZ669" s="128">
        <f>IFERROR(AO669*$W669,)</f>
        <v/>
      </c>
      <c r="CA669" s="128">
        <f>IFERROR(AP669*$W669,)</f>
        <v/>
      </c>
      <c r="CB669" s="128">
        <f>IFERROR(AQ669*$W669,)</f>
        <v/>
      </c>
      <c r="CC669" s="128">
        <f>IFERROR(AR669*$W669,)</f>
        <v/>
      </c>
      <c r="CD669" s="128">
        <f>IFERROR(AS669*$W669,)</f>
        <v/>
      </c>
      <c r="CE669" s="128">
        <f>IFERROR(AT669*$W669,)</f>
        <v/>
      </c>
      <c r="CF669" s="128">
        <f>IFERROR(AU669*$W669,)</f>
        <v/>
      </c>
      <c r="CG669" s="128">
        <f>IFERROR(AV669*$W669,)</f>
        <v/>
      </c>
      <c r="CH669" s="128">
        <f>IFERROR(AW669*$W669,)</f>
        <v/>
      </c>
      <c r="CI669" s="128">
        <f>IFERROR(AX669*$W669,)</f>
        <v/>
      </c>
      <c r="CJ669" s="128">
        <f>IFERROR(AY669*$W669,)</f>
        <v/>
      </c>
      <c r="CK669" s="128">
        <f>IFERROR(AZ669*$W669,)</f>
        <v/>
      </c>
      <c r="CL669" s="129">
        <f>IFERROR(if($Y669=0,BA669*($W669/1.2),BA669*$Y669),"")</f>
        <v/>
      </c>
      <c r="CM669" s="129">
        <f>IFERROR(if($Y669=0,BB669*($W669/1.2),BB669*$Y669),"")</f>
        <v/>
      </c>
      <c r="CN669" s="129">
        <f>IFERROR(if($Y669=0,BC669*($W669/1.2),BC669*$Y669),"")</f>
        <v/>
      </c>
      <c r="CO669" s="130">
        <f>IFERROR(if($AA669=0,($W669/1.35)*BD669,BD669*$AA669),)</f>
        <v/>
      </c>
      <c r="CP669" s="130">
        <f>IFERROR(if($AA669=0,($W669/1.35)*BE669,BE669*$AA669),)</f>
        <v/>
      </c>
      <c r="CQ669" s="130">
        <f>IFERROR(if($AA669=0,($W669/1.35)*BF669,BF669*$AA669),)</f>
        <v/>
      </c>
      <c r="CR669" s="128">
        <f>IFERROR(if($AC669=0,($W669/0.74)*BG669,
BG669*$AC669),)</f>
        <v/>
      </c>
      <c r="CS669" s="128">
        <f>IFERROR(if($AC669=0,($W669/0.74)*BH669,
BH669*$AC669),)</f>
        <v/>
      </c>
      <c r="CT669" s="128">
        <f>IFERROR(if($AC669=0,($W669/0.74)*BI669,
BI669*$AC669),)</f>
        <v/>
      </c>
      <c r="CU669" s="128">
        <f>IFERROR(AI669*$V669,)</f>
        <v/>
      </c>
      <c r="CV669" s="128">
        <f>IFERROR(AJ669*$V669,)</f>
        <v/>
      </c>
      <c r="CW669" s="128">
        <f>IFERROR(AK669*$V669,)</f>
        <v/>
      </c>
      <c r="CX669" s="128">
        <f>IFERROR(AL669*$V669,)</f>
        <v/>
      </c>
      <c r="CY669" s="128">
        <f>IFERROR(AM669*$V669,)</f>
        <v/>
      </c>
      <c r="CZ669" s="128">
        <f>IFERROR(AN669*$V669,)</f>
        <v/>
      </c>
      <c r="DA669" s="128">
        <f>IFERROR(AO669*$V669,)</f>
        <v/>
      </c>
      <c r="DB669" s="128">
        <f>IFERROR(AP669*$V669,)</f>
        <v/>
      </c>
      <c r="DC669" s="128">
        <f>IFERROR(AQ669*$V669,)</f>
        <v/>
      </c>
      <c r="DD669" s="128">
        <f>IFERROR(AR669*$V669,)</f>
        <v/>
      </c>
      <c r="DE669" s="128">
        <f>IFERROR(AS669*$V669,)</f>
        <v/>
      </c>
      <c r="DF669" s="128">
        <f>IFERROR(AT669*$V669,)</f>
        <v/>
      </c>
      <c r="DG669" s="128">
        <f>IFERROR(AU669*$V669,)</f>
        <v/>
      </c>
      <c r="DH669" s="128">
        <f>IFERROR(AV669*$V669,)</f>
        <v/>
      </c>
      <c r="DI669" s="128">
        <f>IFERROR(AW669*$V669,)</f>
        <v/>
      </c>
      <c r="DJ669" s="128">
        <f>IFERROR(AX669*$V669,)</f>
        <v/>
      </c>
      <c r="DK669" s="128">
        <f>IFERROR(AY669*$V669,)</f>
        <v/>
      </c>
      <c r="DL669" s="128">
        <f>IFERROR(AZ669*$V669,)</f>
        <v/>
      </c>
      <c r="DM669" s="129">
        <f>IFERROR(if($X669=0,($V669/1.2)*BA669,
BA669*$X669),)</f>
        <v/>
      </c>
      <c r="DN669" s="129">
        <f>IFERROR(if($X669=0,($V669/1.2)*BB669,
BB669*$X669),)</f>
        <v/>
      </c>
      <c r="DO669" s="129">
        <f>IFERROR(if($X669=0,($V669/1.2)*BC669,
BC669*$X669),)</f>
        <v/>
      </c>
      <c r="DP669" s="130">
        <f>IFERROR(if($Z669=0,($V669/1.35)*BD669,
BD669*$Z669),)</f>
        <v/>
      </c>
      <c r="DQ669" s="130">
        <f>IFERROR(if($Z669=0,($V669/1.35)*BE669,
BE669*$Z669),)</f>
        <v/>
      </c>
      <c r="DR669" s="130">
        <f>IFERROR(if($Z669=0,($V669/1.35)*BF669,
BF669*$Z669),)</f>
        <v/>
      </c>
      <c r="DS669" s="128">
        <f>IFERROR(IF($AB669=0,($V669/0.74)*BG669,
BG669*$AB669),)</f>
        <v/>
      </c>
      <c r="DT669" s="128">
        <f>IFERROR(IF($AB669=0,($V669/0.74)*BH669,
BH669*$AB669),)</f>
        <v/>
      </c>
      <c r="DU669" s="128">
        <f>IFERROR(IF($AB669=0,($V669/0.74)*BI669,
BI669*$AB669),)</f>
        <v/>
      </c>
    </row>
    <row r="670" ht="131.25" customHeight="1" s="162">
      <c r="A670" s="115" t="n"/>
      <c r="B670" s="115" t="n"/>
      <c r="C670" s="115" t="n"/>
      <c r="D670" s="115" t="n"/>
      <c r="E670" s="115" t="n"/>
      <c r="F670" s="115" t="n"/>
      <c r="G670" s="115" t="n"/>
      <c r="H670" s="115" t="n"/>
      <c r="I670" s="115" t="n"/>
      <c r="J670" s="115" t="n"/>
      <c r="K670" s="115" t="n"/>
      <c r="L670" s="115" t="n"/>
      <c r="M670" s="115" t="n"/>
      <c r="N670" s="115" t="n"/>
      <c r="O670" s="115" t="n"/>
      <c r="P670" s="115" t="n"/>
      <c r="Q670" s="115" t="n"/>
      <c r="R670" s="115" t="n"/>
      <c r="S670" s="115" t="n"/>
      <c r="T670" s="115" t="n"/>
      <c r="U670" s="116" t="n"/>
      <c r="V670" s="116" t="n"/>
      <c r="W670" s="117" t="n"/>
      <c r="X670" s="118" t="n"/>
      <c r="Y670" s="119" t="n"/>
      <c r="Z670" s="120" t="n"/>
      <c r="AA670" s="121" t="n"/>
      <c r="AB670" s="122" t="n"/>
      <c r="AC670" s="117" t="n"/>
      <c r="AD670" s="123">
        <f>IF(SUM($AE670:$AH670)=0,"",SUM($AE670:$AH670))</f>
        <v/>
      </c>
      <c r="AE670" s="123">
        <f>iferror(IF(SUM($AI670:$AZ670)=0,"",SUM($AI670:$AZ670)),"")</f>
        <v/>
      </c>
      <c r="AF670" s="123">
        <f>iferror(IF(SUM($BA670:$BC670)=0,"",SUM($BA670:$BC670)),"")</f>
        <v/>
      </c>
      <c r="AG670" s="123">
        <f>iferror(IF(SUM($BD670:$BF670)=0,"",SUM($BD670:$BF670)),"")</f>
        <v/>
      </c>
      <c r="AH670" s="124">
        <f>iferror(IF(SUM($BG670:$BI670)=0,"",SUM($BG670:$BI670)),"")</f>
        <v/>
      </c>
      <c r="AI670" s="131" t="n"/>
      <c r="AJ670" s="132" t="n"/>
      <c r="AK670" s="132" t="n"/>
      <c r="AL670" s="132" t="n"/>
      <c r="AM670" s="132" t="n"/>
      <c r="AN670" s="132" t="n"/>
      <c r="AO670" s="132" t="n"/>
      <c r="AP670" s="132" t="n"/>
      <c r="AQ670" s="132" t="n"/>
      <c r="AR670" s="132" t="n"/>
      <c r="AS670" s="132" t="n"/>
      <c r="AT670" s="132" t="n"/>
      <c r="AU670" s="132" t="n"/>
      <c r="AV670" s="132" t="n"/>
      <c r="AW670" s="132" t="n"/>
      <c r="AX670" s="132" t="n"/>
      <c r="AY670" s="132" t="n"/>
      <c r="AZ670" s="133" t="n"/>
      <c r="BA670" s="131" t="n"/>
      <c r="BB670" s="132" t="n"/>
      <c r="BC670" s="133" t="n"/>
      <c r="BD670" s="131" t="n"/>
      <c r="BE670" s="132" t="n"/>
      <c r="BF670" s="133" t="n"/>
      <c r="BG670" s="131" t="n"/>
      <c r="BH670" s="132" t="n"/>
      <c r="BI670" s="132" t="n"/>
      <c r="BJ670" s="128">
        <f>iferror(SUM($BK670,($BL670*1.2),($BM670*1.35),($BN670*0.74)),)</f>
        <v/>
      </c>
      <c r="BK670" s="128">
        <f>IFERROR(SUM($BT670:$CK670),)</f>
        <v/>
      </c>
      <c r="BL670" s="129">
        <f>IFERROR(SUM($CL670:$CN670),)</f>
        <v/>
      </c>
      <c r="BM670" s="130">
        <f>IFERROR(SUM($CO670:$CQ670),)</f>
        <v/>
      </c>
      <c r="BN670" s="128">
        <f>IFERROR(SUM($CR670:$CT670),)</f>
        <v/>
      </c>
      <c r="BO670" s="128">
        <f>iferror(SUM($BP670,($BQ670*1.2),($BR670*1.35),($BS670*0.74)),)</f>
        <v/>
      </c>
      <c r="BP670" s="128">
        <f>IFERROR(SUM($CU670:$DL670),)</f>
        <v/>
      </c>
      <c r="BQ670" s="128">
        <f>IFERROR(SUM($DM670:$DO670),)</f>
        <v/>
      </c>
      <c r="BR670" s="128">
        <f>IFERROR(SUM($DP670:$DR670),)</f>
        <v/>
      </c>
      <c r="BS670" s="128">
        <f>IFERROR(SUM($DS670:$DU670),)</f>
        <v/>
      </c>
      <c r="BT670" s="128">
        <f>IFERROR(AI670*$W670,)</f>
        <v/>
      </c>
      <c r="BU670" s="128">
        <f>IFERROR(AJ670*$W670,)</f>
        <v/>
      </c>
      <c r="BV670" s="128">
        <f>IFERROR(AK670*$W670,)</f>
        <v/>
      </c>
      <c r="BW670" s="128">
        <f>IFERROR(AL670*$W670,)</f>
        <v/>
      </c>
      <c r="BX670" s="128">
        <f>IFERROR(AM670*$W670,)</f>
        <v/>
      </c>
      <c r="BY670" s="128">
        <f>IFERROR(AN670*$W670,)</f>
        <v/>
      </c>
      <c r="BZ670" s="128">
        <f>IFERROR(AO670*$W670,)</f>
        <v/>
      </c>
      <c r="CA670" s="128">
        <f>IFERROR(AP670*$W670,)</f>
        <v/>
      </c>
      <c r="CB670" s="128">
        <f>IFERROR(AQ670*$W670,)</f>
        <v/>
      </c>
      <c r="CC670" s="128">
        <f>IFERROR(AR670*$W670,)</f>
        <v/>
      </c>
      <c r="CD670" s="128">
        <f>IFERROR(AS670*$W670,)</f>
        <v/>
      </c>
      <c r="CE670" s="128">
        <f>IFERROR(AT670*$W670,)</f>
        <v/>
      </c>
      <c r="CF670" s="128">
        <f>IFERROR(AU670*$W670,)</f>
        <v/>
      </c>
      <c r="CG670" s="128">
        <f>IFERROR(AV670*$W670,)</f>
        <v/>
      </c>
      <c r="CH670" s="128">
        <f>IFERROR(AW670*$W670,)</f>
        <v/>
      </c>
      <c r="CI670" s="128">
        <f>IFERROR(AX670*$W670,)</f>
        <v/>
      </c>
      <c r="CJ670" s="128">
        <f>IFERROR(AY670*$W670,)</f>
        <v/>
      </c>
      <c r="CK670" s="128">
        <f>IFERROR(AZ670*$W670,)</f>
        <v/>
      </c>
      <c r="CL670" s="129">
        <f>IFERROR(if($Y670=0,BA670*($W670/1.2),BA670*$Y670),"")</f>
        <v/>
      </c>
      <c r="CM670" s="129">
        <f>IFERROR(if($Y670=0,BB670*($W670/1.2),BB670*$Y670),"")</f>
        <v/>
      </c>
      <c r="CN670" s="129">
        <f>IFERROR(if($Y670=0,BC670*($W670/1.2),BC670*$Y670),"")</f>
        <v/>
      </c>
      <c r="CO670" s="130">
        <f>IFERROR(if($AA670=0,($W670/1.35)*BD670,BD670*$AA670),)</f>
        <v/>
      </c>
      <c r="CP670" s="130">
        <f>IFERROR(if($AA670=0,($W670/1.35)*BE670,BE670*$AA670),)</f>
        <v/>
      </c>
      <c r="CQ670" s="130">
        <f>IFERROR(if($AA670=0,($W670/1.35)*BF670,BF670*$AA670),)</f>
        <v/>
      </c>
      <c r="CR670" s="128">
        <f>IFERROR(if($AC670=0,($W670/0.74)*BG670,
BG670*$AC670),)</f>
        <v/>
      </c>
      <c r="CS670" s="128">
        <f>IFERROR(if($AC670=0,($W670/0.74)*BH670,
BH670*$AC670),)</f>
        <v/>
      </c>
      <c r="CT670" s="128">
        <f>IFERROR(if($AC670=0,($W670/0.74)*BI670,
BI670*$AC670),)</f>
        <v/>
      </c>
      <c r="CU670" s="128">
        <f>IFERROR(AI670*$V670,)</f>
        <v/>
      </c>
      <c r="CV670" s="128">
        <f>IFERROR(AJ670*$V670,)</f>
        <v/>
      </c>
      <c r="CW670" s="128">
        <f>IFERROR(AK670*$V670,)</f>
        <v/>
      </c>
      <c r="CX670" s="128">
        <f>IFERROR(AL670*$V670,)</f>
        <v/>
      </c>
      <c r="CY670" s="128">
        <f>IFERROR(AM670*$V670,)</f>
        <v/>
      </c>
      <c r="CZ670" s="128">
        <f>IFERROR(AN670*$V670,)</f>
        <v/>
      </c>
      <c r="DA670" s="128">
        <f>IFERROR(AO670*$V670,)</f>
        <v/>
      </c>
      <c r="DB670" s="128">
        <f>IFERROR(AP670*$V670,)</f>
        <v/>
      </c>
      <c r="DC670" s="128">
        <f>IFERROR(AQ670*$V670,)</f>
        <v/>
      </c>
      <c r="DD670" s="128">
        <f>IFERROR(AR670*$V670,)</f>
        <v/>
      </c>
      <c r="DE670" s="128">
        <f>IFERROR(AS670*$V670,)</f>
        <v/>
      </c>
      <c r="DF670" s="128">
        <f>IFERROR(AT670*$V670,)</f>
        <v/>
      </c>
      <c r="DG670" s="128">
        <f>IFERROR(AU670*$V670,)</f>
        <v/>
      </c>
      <c r="DH670" s="128">
        <f>IFERROR(AV670*$V670,)</f>
        <v/>
      </c>
      <c r="DI670" s="128">
        <f>IFERROR(AW670*$V670,)</f>
        <v/>
      </c>
      <c r="DJ670" s="128">
        <f>IFERROR(AX670*$V670,)</f>
        <v/>
      </c>
      <c r="DK670" s="128">
        <f>IFERROR(AY670*$V670,)</f>
        <v/>
      </c>
      <c r="DL670" s="128">
        <f>IFERROR(AZ670*$V670,)</f>
        <v/>
      </c>
      <c r="DM670" s="129">
        <f>IFERROR(if($X670=0,($V670/1.2)*BA670,
BA670*$X670),)</f>
        <v/>
      </c>
      <c r="DN670" s="129">
        <f>IFERROR(if($X670=0,($V670/1.2)*BB670,
BB670*$X670),)</f>
        <v/>
      </c>
      <c r="DO670" s="129">
        <f>IFERROR(if($X670=0,($V670/1.2)*BC670,
BC670*$X670),)</f>
        <v/>
      </c>
      <c r="DP670" s="130">
        <f>IFERROR(if($Z670=0,($V670/1.35)*BD670,
BD670*$Z670),)</f>
        <v/>
      </c>
      <c r="DQ670" s="130">
        <f>IFERROR(if($Z670=0,($V670/1.35)*BE670,
BE670*$Z670),)</f>
        <v/>
      </c>
      <c r="DR670" s="130">
        <f>IFERROR(if($Z670=0,($V670/1.35)*BF670,
BF670*$Z670),)</f>
        <v/>
      </c>
      <c r="DS670" s="128">
        <f>IFERROR(IF($AB670=0,($V670/0.74)*BG670,
BG670*$AB670),)</f>
        <v/>
      </c>
      <c r="DT670" s="128">
        <f>IFERROR(IF($AB670=0,($V670/0.74)*BH670,
BH670*$AB670),)</f>
        <v/>
      </c>
      <c r="DU670" s="128">
        <f>IFERROR(IF($AB670=0,($V670/0.74)*BI670,
BI670*$AB670),)</f>
        <v/>
      </c>
    </row>
    <row r="671" ht="131.25" customHeight="1" s="162">
      <c r="A671" s="115" t="n"/>
      <c r="B671" s="115" t="n"/>
      <c r="C671" s="115" t="n"/>
      <c r="D671" s="115" t="n"/>
      <c r="E671" s="115" t="n"/>
      <c r="F671" s="115" t="n"/>
      <c r="G671" s="115" t="n"/>
      <c r="H671" s="115" t="n"/>
      <c r="I671" s="115" t="n"/>
      <c r="J671" s="115" t="n"/>
      <c r="K671" s="115" t="n"/>
      <c r="L671" s="115" t="n"/>
      <c r="M671" s="115" t="n"/>
      <c r="N671" s="115" t="n"/>
      <c r="O671" s="115" t="n"/>
      <c r="P671" s="115" t="n"/>
      <c r="Q671" s="115" t="n"/>
      <c r="R671" s="115" t="n"/>
      <c r="S671" s="115" t="n"/>
      <c r="T671" s="115" t="n"/>
      <c r="U671" s="116" t="n"/>
      <c r="V671" s="116" t="n"/>
      <c r="W671" s="117" t="n"/>
      <c r="X671" s="118" t="n"/>
      <c r="Y671" s="119" t="n"/>
      <c r="Z671" s="120" t="n"/>
      <c r="AA671" s="121" t="n"/>
      <c r="AB671" s="122" t="n"/>
      <c r="AC671" s="117" t="n"/>
      <c r="AD671" s="123">
        <f>IF(SUM($AE671:$AH671)=0,"",SUM($AE671:$AH671))</f>
        <v/>
      </c>
      <c r="AE671" s="123">
        <f>iferror(IF(SUM($AI671:$AZ671)=0,"",SUM($AI671:$AZ671)),"")</f>
        <v/>
      </c>
      <c r="AF671" s="123">
        <f>iferror(IF(SUM($BA671:$BC671)=0,"",SUM($BA671:$BC671)),"")</f>
        <v/>
      </c>
      <c r="AG671" s="123">
        <f>iferror(IF(SUM($BD671:$BF671)=0,"",SUM($BD671:$BF671)),"")</f>
        <v/>
      </c>
      <c r="AH671" s="124">
        <f>iferror(IF(SUM($BG671:$BI671)=0,"",SUM($BG671:$BI671)),"")</f>
        <v/>
      </c>
      <c r="AI671" s="131" t="n"/>
      <c r="AJ671" s="132" t="n"/>
      <c r="AK671" s="132" t="n"/>
      <c r="AL671" s="132" t="n"/>
      <c r="AM671" s="132" t="n"/>
      <c r="AN671" s="132" t="n"/>
      <c r="AO671" s="132" t="n"/>
      <c r="AP671" s="132" t="n"/>
      <c r="AQ671" s="132" t="n"/>
      <c r="AR671" s="132" t="n"/>
      <c r="AS671" s="132" t="n"/>
      <c r="AT671" s="132" t="n"/>
      <c r="AU671" s="132" t="n"/>
      <c r="AV671" s="132" t="n"/>
      <c r="AW671" s="132" t="n"/>
      <c r="AX671" s="132" t="n"/>
      <c r="AY671" s="132" t="n"/>
      <c r="AZ671" s="133" t="n"/>
      <c r="BA671" s="131" t="n"/>
      <c r="BB671" s="132" t="n"/>
      <c r="BC671" s="133" t="n"/>
      <c r="BD671" s="131" t="n"/>
      <c r="BE671" s="132" t="n"/>
      <c r="BF671" s="133" t="n"/>
      <c r="BG671" s="131" t="n"/>
      <c r="BH671" s="132" t="n"/>
      <c r="BI671" s="132" t="n"/>
      <c r="BJ671" s="128">
        <f>iferror(SUM($BK671,($BL671*1.2),($BM671*1.35),($BN671*0.74)),)</f>
        <v/>
      </c>
      <c r="BK671" s="128">
        <f>IFERROR(SUM($BT671:$CK671),)</f>
        <v/>
      </c>
      <c r="BL671" s="129">
        <f>IFERROR(SUM($CL671:$CN671),)</f>
        <v/>
      </c>
      <c r="BM671" s="130">
        <f>IFERROR(SUM($CO671:$CQ671),)</f>
        <v/>
      </c>
      <c r="BN671" s="128">
        <f>IFERROR(SUM($CR671:$CT671),)</f>
        <v/>
      </c>
      <c r="BO671" s="128">
        <f>iferror(SUM($BP671,($BQ671*1.2),($BR671*1.35),($BS671*0.74)),)</f>
        <v/>
      </c>
      <c r="BP671" s="128">
        <f>IFERROR(SUM($CU671:$DL671),)</f>
        <v/>
      </c>
      <c r="BQ671" s="128">
        <f>IFERROR(SUM($DM671:$DO671),)</f>
        <v/>
      </c>
      <c r="BR671" s="128">
        <f>IFERROR(SUM($DP671:$DR671),)</f>
        <v/>
      </c>
      <c r="BS671" s="128">
        <f>IFERROR(SUM($DS671:$DU671),)</f>
        <v/>
      </c>
      <c r="BT671" s="128">
        <f>IFERROR(AI671*$W671,)</f>
        <v/>
      </c>
      <c r="BU671" s="128">
        <f>IFERROR(AJ671*$W671,)</f>
        <v/>
      </c>
      <c r="BV671" s="128">
        <f>IFERROR(AK671*$W671,)</f>
        <v/>
      </c>
      <c r="BW671" s="128">
        <f>IFERROR(AL671*$W671,)</f>
        <v/>
      </c>
      <c r="BX671" s="128">
        <f>IFERROR(AM671*$W671,)</f>
        <v/>
      </c>
      <c r="BY671" s="128">
        <f>IFERROR(AN671*$W671,)</f>
        <v/>
      </c>
      <c r="BZ671" s="128">
        <f>IFERROR(AO671*$W671,)</f>
        <v/>
      </c>
      <c r="CA671" s="128">
        <f>IFERROR(AP671*$W671,)</f>
        <v/>
      </c>
      <c r="CB671" s="128">
        <f>IFERROR(AQ671*$W671,)</f>
        <v/>
      </c>
      <c r="CC671" s="128">
        <f>IFERROR(AR671*$W671,)</f>
        <v/>
      </c>
      <c r="CD671" s="128">
        <f>IFERROR(AS671*$W671,)</f>
        <v/>
      </c>
      <c r="CE671" s="128">
        <f>IFERROR(AT671*$W671,)</f>
        <v/>
      </c>
      <c r="CF671" s="128">
        <f>IFERROR(AU671*$W671,)</f>
        <v/>
      </c>
      <c r="CG671" s="128">
        <f>IFERROR(AV671*$W671,)</f>
        <v/>
      </c>
      <c r="CH671" s="128">
        <f>IFERROR(AW671*$W671,)</f>
        <v/>
      </c>
      <c r="CI671" s="128">
        <f>IFERROR(AX671*$W671,)</f>
        <v/>
      </c>
      <c r="CJ671" s="128">
        <f>IFERROR(AY671*$W671,)</f>
        <v/>
      </c>
      <c r="CK671" s="128">
        <f>IFERROR(AZ671*$W671,)</f>
        <v/>
      </c>
      <c r="CL671" s="129">
        <f>IFERROR(if($Y671=0,BA671*($W671/1.2),BA671*$Y671),"")</f>
        <v/>
      </c>
      <c r="CM671" s="129">
        <f>IFERROR(if($Y671=0,BB671*($W671/1.2),BB671*$Y671),"")</f>
        <v/>
      </c>
      <c r="CN671" s="129">
        <f>IFERROR(if($Y671=0,BC671*($W671/1.2),BC671*$Y671),"")</f>
        <v/>
      </c>
      <c r="CO671" s="130">
        <f>IFERROR(if($AA671=0,($W671/1.35)*BD671,BD671*$AA671),)</f>
        <v/>
      </c>
      <c r="CP671" s="130">
        <f>IFERROR(if($AA671=0,($W671/1.35)*BE671,BE671*$AA671),)</f>
        <v/>
      </c>
      <c r="CQ671" s="130">
        <f>IFERROR(if($AA671=0,($W671/1.35)*BF671,BF671*$AA671),)</f>
        <v/>
      </c>
      <c r="CR671" s="128">
        <f>IFERROR(if($AC671=0,($W671/0.74)*BG671,
BG671*$AC671),)</f>
        <v/>
      </c>
      <c r="CS671" s="128">
        <f>IFERROR(if($AC671=0,($W671/0.74)*BH671,
BH671*$AC671),)</f>
        <v/>
      </c>
      <c r="CT671" s="128">
        <f>IFERROR(if($AC671=0,($W671/0.74)*BI671,
BI671*$AC671),)</f>
        <v/>
      </c>
      <c r="CU671" s="128">
        <f>IFERROR(AI671*$V671,)</f>
        <v/>
      </c>
      <c r="CV671" s="128">
        <f>IFERROR(AJ671*$V671,)</f>
        <v/>
      </c>
      <c r="CW671" s="128">
        <f>IFERROR(AK671*$V671,)</f>
        <v/>
      </c>
      <c r="CX671" s="128">
        <f>IFERROR(AL671*$V671,)</f>
        <v/>
      </c>
      <c r="CY671" s="128">
        <f>IFERROR(AM671*$V671,)</f>
        <v/>
      </c>
      <c r="CZ671" s="128">
        <f>IFERROR(AN671*$V671,)</f>
        <v/>
      </c>
      <c r="DA671" s="128">
        <f>IFERROR(AO671*$V671,)</f>
        <v/>
      </c>
      <c r="DB671" s="128">
        <f>IFERROR(AP671*$V671,)</f>
        <v/>
      </c>
      <c r="DC671" s="128">
        <f>IFERROR(AQ671*$V671,)</f>
        <v/>
      </c>
      <c r="DD671" s="128">
        <f>IFERROR(AR671*$V671,)</f>
        <v/>
      </c>
      <c r="DE671" s="128">
        <f>IFERROR(AS671*$V671,)</f>
        <v/>
      </c>
      <c r="DF671" s="128">
        <f>IFERROR(AT671*$V671,)</f>
        <v/>
      </c>
      <c r="DG671" s="128">
        <f>IFERROR(AU671*$V671,)</f>
        <v/>
      </c>
      <c r="DH671" s="128">
        <f>IFERROR(AV671*$V671,)</f>
        <v/>
      </c>
      <c r="DI671" s="128">
        <f>IFERROR(AW671*$V671,)</f>
        <v/>
      </c>
      <c r="DJ671" s="128">
        <f>IFERROR(AX671*$V671,)</f>
        <v/>
      </c>
      <c r="DK671" s="128">
        <f>IFERROR(AY671*$V671,)</f>
        <v/>
      </c>
      <c r="DL671" s="128">
        <f>IFERROR(AZ671*$V671,)</f>
        <v/>
      </c>
      <c r="DM671" s="129">
        <f>IFERROR(if($X671=0,($V671/1.2)*BA671,
BA671*$X671),)</f>
        <v/>
      </c>
      <c r="DN671" s="129">
        <f>IFERROR(if($X671=0,($V671/1.2)*BB671,
BB671*$X671),)</f>
        <v/>
      </c>
      <c r="DO671" s="129">
        <f>IFERROR(if($X671=0,($V671/1.2)*BC671,
BC671*$X671),)</f>
        <v/>
      </c>
      <c r="DP671" s="130">
        <f>IFERROR(if($Z671=0,($V671/1.35)*BD671,
BD671*$Z671),)</f>
        <v/>
      </c>
      <c r="DQ671" s="130">
        <f>IFERROR(if($Z671=0,($V671/1.35)*BE671,
BE671*$Z671),)</f>
        <v/>
      </c>
      <c r="DR671" s="130">
        <f>IFERROR(if($Z671=0,($V671/1.35)*BF671,
BF671*$Z671),)</f>
        <v/>
      </c>
      <c r="DS671" s="128">
        <f>IFERROR(IF($AB671=0,($V671/0.74)*BG671,
BG671*$AB671),)</f>
        <v/>
      </c>
      <c r="DT671" s="128">
        <f>IFERROR(IF($AB671=0,($V671/0.74)*BH671,
BH671*$AB671),)</f>
        <v/>
      </c>
      <c r="DU671" s="128">
        <f>IFERROR(IF($AB671=0,($V671/0.74)*BI671,
BI671*$AB671),)</f>
        <v/>
      </c>
    </row>
    <row r="672" ht="131.25" customHeight="1" s="162">
      <c r="A672" s="115" t="n"/>
      <c r="B672" s="115" t="n"/>
      <c r="C672" s="115" t="n"/>
      <c r="D672" s="115" t="n"/>
      <c r="E672" s="115" t="n"/>
      <c r="F672" s="115" t="n"/>
      <c r="G672" s="115" t="n"/>
      <c r="H672" s="115" t="n"/>
      <c r="I672" s="115" t="n"/>
      <c r="J672" s="115" t="n"/>
      <c r="K672" s="115" t="n"/>
      <c r="L672" s="115" t="n"/>
      <c r="M672" s="115" t="n"/>
      <c r="N672" s="115" t="n"/>
      <c r="O672" s="115" t="n"/>
      <c r="P672" s="115" t="n"/>
      <c r="Q672" s="115" t="n"/>
      <c r="R672" s="115" t="n"/>
      <c r="S672" s="115" t="n"/>
      <c r="T672" s="115" t="n"/>
      <c r="U672" s="116" t="n"/>
      <c r="V672" s="116" t="n"/>
      <c r="W672" s="117" t="n"/>
      <c r="X672" s="118" t="n"/>
      <c r="Y672" s="119" t="n"/>
      <c r="Z672" s="120" t="n"/>
      <c r="AA672" s="121" t="n"/>
      <c r="AB672" s="122" t="n"/>
      <c r="AC672" s="117" t="n"/>
      <c r="AD672" s="123">
        <f>IF(SUM($AE672:$AH672)=0,"",SUM($AE672:$AH672))</f>
        <v/>
      </c>
      <c r="AE672" s="123">
        <f>iferror(IF(SUM($AI672:$AZ672)=0,"",SUM($AI672:$AZ672)),"")</f>
        <v/>
      </c>
      <c r="AF672" s="123">
        <f>iferror(IF(SUM($BA672:$BC672)=0,"",SUM($BA672:$BC672)),"")</f>
        <v/>
      </c>
      <c r="AG672" s="123">
        <f>iferror(IF(SUM($BD672:$BF672)=0,"",SUM($BD672:$BF672)),"")</f>
        <v/>
      </c>
      <c r="AH672" s="124">
        <f>iferror(IF(SUM($BG672:$BI672)=0,"",SUM($BG672:$BI672)),"")</f>
        <v/>
      </c>
      <c r="AI672" s="131" t="n"/>
      <c r="AJ672" s="132" t="n"/>
      <c r="AK672" s="132" t="n"/>
      <c r="AL672" s="132" t="n"/>
      <c r="AM672" s="132" t="n"/>
      <c r="AN672" s="132" t="n"/>
      <c r="AO672" s="132" t="n"/>
      <c r="AP672" s="132" t="n"/>
      <c r="AQ672" s="132" t="n"/>
      <c r="AR672" s="132" t="n"/>
      <c r="AS672" s="132" t="n"/>
      <c r="AT672" s="132" t="n"/>
      <c r="AU672" s="132" t="n"/>
      <c r="AV672" s="132" t="n"/>
      <c r="AW672" s="132" t="n"/>
      <c r="AX672" s="132" t="n"/>
      <c r="AY672" s="132" t="n"/>
      <c r="AZ672" s="133" t="n"/>
      <c r="BA672" s="131" t="n"/>
      <c r="BB672" s="132" t="n"/>
      <c r="BC672" s="133" t="n"/>
      <c r="BD672" s="131" t="n"/>
      <c r="BE672" s="132" t="n"/>
      <c r="BF672" s="133" t="n"/>
      <c r="BG672" s="131" t="n"/>
      <c r="BH672" s="132" t="n"/>
      <c r="BI672" s="132" t="n"/>
      <c r="BJ672" s="128">
        <f>iferror(SUM($BK672,($BL672*1.2),($BM672*1.35),($BN672*0.74)),)</f>
        <v/>
      </c>
      <c r="BK672" s="128">
        <f>IFERROR(SUM($BT672:$CK672),)</f>
        <v/>
      </c>
      <c r="BL672" s="129">
        <f>IFERROR(SUM($CL672:$CN672),)</f>
        <v/>
      </c>
      <c r="BM672" s="130">
        <f>IFERROR(SUM($CO672:$CQ672),)</f>
        <v/>
      </c>
      <c r="BN672" s="128">
        <f>IFERROR(SUM($CR672:$CT672),)</f>
        <v/>
      </c>
      <c r="BO672" s="128">
        <f>iferror(SUM($BP672,($BQ672*1.2),($BR672*1.35),($BS672*0.74)),)</f>
        <v/>
      </c>
      <c r="BP672" s="128">
        <f>IFERROR(SUM($CU672:$DL672),)</f>
        <v/>
      </c>
      <c r="BQ672" s="128">
        <f>IFERROR(SUM($DM672:$DO672),)</f>
        <v/>
      </c>
      <c r="BR672" s="128">
        <f>IFERROR(SUM($DP672:$DR672),)</f>
        <v/>
      </c>
      <c r="BS672" s="128">
        <f>IFERROR(SUM($DS672:$DU672),)</f>
        <v/>
      </c>
      <c r="BT672" s="128">
        <f>IFERROR(AI672*$W672,)</f>
        <v/>
      </c>
      <c r="BU672" s="128">
        <f>IFERROR(AJ672*$W672,)</f>
        <v/>
      </c>
      <c r="BV672" s="128">
        <f>IFERROR(AK672*$W672,)</f>
        <v/>
      </c>
      <c r="BW672" s="128">
        <f>IFERROR(AL672*$W672,)</f>
        <v/>
      </c>
      <c r="BX672" s="128">
        <f>IFERROR(AM672*$W672,)</f>
        <v/>
      </c>
      <c r="BY672" s="128">
        <f>IFERROR(AN672*$W672,)</f>
        <v/>
      </c>
      <c r="BZ672" s="128">
        <f>IFERROR(AO672*$W672,)</f>
        <v/>
      </c>
      <c r="CA672" s="128">
        <f>IFERROR(AP672*$W672,)</f>
        <v/>
      </c>
      <c r="CB672" s="128">
        <f>IFERROR(AQ672*$W672,)</f>
        <v/>
      </c>
      <c r="CC672" s="128">
        <f>IFERROR(AR672*$W672,)</f>
        <v/>
      </c>
      <c r="CD672" s="128">
        <f>IFERROR(AS672*$W672,)</f>
        <v/>
      </c>
      <c r="CE672" s="128">
        <f>IFERROR(AT672*$W672,)</f>
        <v/>
      </c>
      <c r="CF672" s="128">
        <f>IFERROR(AU672*$W672,)</f>
        <v/>
      </c>
      <c r="CG672" s="128">
        <f>IFERROR(AV672*$W672,)</f>
        <v/>
      </c>
      <c r="CH672" s="128">
        <f>IFERROR(AW672*$W672,)</f>
        <v/>
      </c>
      <c r="CI672" s="128">
        <f>IFERROR(AX672*$W672,)</f>
        <v/>
      </c>
      <c r="CJ672" s="128">
        <f>IFERROR(AY672*$W672,)</f>
        <v/>
      </c>
      <c r="CK672" s="128">
        <f>IFERROR(AZ672*$W672,)</f>
        <v/>
      </c>
      <c r="CL672" s="129">
        <f>IFERROR(if($Y672=0,BA672*($W672/1.2),BA672*$Y672),"")</f>
        <v/>
      </c>
      <c r="CM672" s="129">
        <f>IFERROR(if($Y672=0,BB672*($W672/1.2),BB672*$Y672),"")</f>
        <v/>
      </c>
      <c r="CN672" s="129">
        <f>IFERROR(if($Y672=0,BC672*($W672/1.2),BC672*$Y672),"")</f>
        <v/>
      </c>
      <c r="CO672" s="130">
        <f>IFERROR(if($AA672=0,($W672/1.35)*BD672,BD672*$AA672),)</f>
        <v/>
      </c>
      <c r="CP672" s="130">
        <f>IFERROR(if($AA672=0,($W672/1.35)*BE672,BE672*$AA672),)</f>
        <v/>
      </c>
      <c r="CQ672" s="130">
        <f>IFERROR(if($AA672=0,($W672/1.35)*BF672,BF672*$AA672),)</f>
        <v/>
      </c>
      <c r="CR672" s="128">
        <f>IFERROR(if($AC672=0,($W672/0.74)*BG672,
BG672*$AC672),)</f>
        <v/>
      </c>
      <c r="CS672" s="128">
        <f>IFERROR(if($AC672=0,($W672/0.74)*BH672,
BH672*$AC672),)</f>
        <v/>
      </c>
      <c r="CT672" s="128">
        <f>IFERROR(if($AC672=0,($W672/0.74)*BI672,
BI672*$AC672),)</f>
        <v/>
      </c>
      <c r="CU672" s="128">
        <f>IFERROR(AI672*$V672,)</f>
        <v/>
      </c>
      <c r="CV672" s="128">
        <f>IFERROR(AJ672*$V672,)</f>
        <v/>
      </c>
      <c r="CW672" s="128">
        <f>IFERROR(AK672*$V672,)</f>
        <v/>
      </c>
      <c r="CX672" s="128">
        <f>IFERROR(AL672*$V672,)</f>
        <v/>
      </c>
      <c r="CY672" s="128">
        <f>IFERROR(AM672*$V672,)</f>
        <v/>
      </c>
      <c r="CZ672" s="128">
        <f>IFERROR(AN672*$V672,)</f>
        <v/>
      </c>
      <c r="DA672" s="128">
        <f>IFERROR(AO672*$V672,)</f>
        <v/>
      </c>
      <c r="DB672" s="128">
        <f>IFERROR(AP672*$V672,)</f>
        <v/>
      </c>
      <c r="DC672" s="128">
        <f>IFERROR(AQ672*$V672,)</f>
        <v/>
      </c>
      <c r="DD672" s="128">
        <f>IFERROR(AR672*$V672,)</f>
        <v/>
      </c>
      <c r="DE672" s="128">
        <f>IFERROR(AS672*$V672,)</f>
        <v/>
      </c>
      <c r="DF672" s="128">
        <f>IFERROR(AT672*$V672,)</f>
        <v/>
      </c>
      <c r="DG672" s="128">
        <f>IFERROR(AU672*$V672,)</f>
        <v/>
      </c>
      <c r="DH672" s="128">
        <f>IFERROR(AV672*$V672,)</f>
        <v/>
      </c>
      <c r="DI672" s="128">
        <f>IFERROR(AW672*$V672,)</f>
        <v/>
      </c>
      <c r="DJ672" s="128">
        <f>IFERROR(AX672*$V672,)</f>
        <v/>
      </c>
      <c r="DK672" s="128">
        <f>IFERROR(AY672*$V672,)</f>
        <v/>
      </c>
      <c r="DL672" s="128">
        <f>IFERROR(AZ672*$V672,)</f>
        <v/>
      </c>
      <c r="DM672" s="129">
        <f>IFERROR(if($X672=0,($V672/1.2)*BA672,
BA672*$X672),)</f>
        <v/>
      </c>
      <c r="DN672" s="129">
        <f>IFERROR(if($X672=0,($V672/1.2)*BB672,
BB672*$X672),)</f>
        <v/>
      </c>
      <c r="DO672" s="129">
        <f>IFERROR(if($X672=0,($V672/1.2)*BC672,
BC672*$X672),)</f>
        <v/>
      </c>
      <c r="DP672" s="130">
        <f>IFERROR(if($Z672=0,($V672/1.35)*BD672,
BD672*$Z672),)</f>
        <v/>
      </c>
      <c r="DQ672" s="130">
        <f>IFERROR(if($Z672=0,($V672/1.35)*BE672,
BE672*$Z672),)</f>
        <v/>
      </c>
      <c r="DR672" s="130">
        <f>IFERROR(if($Z672=0,($V672/1.35)*BF672,
BF672*$Z672),)</f>
        <v/>
      </c>
      <c r="DS672" s="128">
        <f>IFERROR(IF($AB672=0,($V672/0.74)*BG672,
BG672*$AB672),)</f>
        <v/>
      </c>
      <c r="DT672" s="128">
        <f>IFERROR(IF($AB672=0,($V672/0.74)*BH672,
BH672*$AB672),)</f>
        <v/>
      </c>
      <c r="DU672" s="128">
        <f>IFERROR(IF($AB672=0,($V672/0.74)*BI672,
BI672*$AB672),)</f>
        <v/>
      </c>
    </row>
    <row r="673" ht="131.25" customHeight="1" s="162">
      <c r="A673" s="115" t="n"/>
      <c r="B673" s="115" t="n"/>
      <c r="C673" s="115" t="n"/>
      <c r="D673" s="115" t="n"/>
      <c r="E673" s="115" t="n"/>
      <c r="F673" s="115" t="n"/>
      <c r="G673" s="115" t="n"/>
      <c r="H673" s="115" t="n"/>
      <c r="I673" s="115" t="n"/>
      <c r="J673" s="115" t="n"/>
      <c r="K673" s="115" t="n"/>
      <c r="L673" s="115" t="n"/>
      <c r="M673" s="115" t="n"/>
      <c r="N673" s="115" t="n"/>
      <c r="O673" s="115" t="n"/>
      <c r="P673" s="115" t="n"/>
      <c r="Q673" s="115" t="n"/>
      <c r="R673" s="115" t="n"/>
      <c r="S673" s="115" t="n"/>
      <c r="T673" s="115" t="n"/>
      <c r="U673" s="116" t="n"/>
      <c r="V673" s="116" t="n"/>
      <c r="W673" s="117" t="n"/>
      <c r="X673" s="118" t="n"/>
      <c r="Y673" s="119" t="n"/>
      <c r="Z673" s="120" t="n"/>
      <c r="AA673" s="121" t="n"/>
      <c r="AB673" s="122" t="n"/>
      <c r="AC673" s="117" t="n"/>
      <c r="AD673" s="123">
        <f>IF(SUM($AE673:$AH673)=0,"",SUM($AE673:$AH673))</f>
        <v/>
      </c>
      <c r="AE673" s="123">
        <f>iferror(IF(SUM($AI673:$AZ673)=0,"",SUM($AI673:$AZ673)),"")</f>
        <v/>
      </c>
      <c r="AF673" s="123">
        <f>iferror(IF(SUM($BA673:$BC673)=0,"",SUM($BA673:$BC673)),"")</f>
        <v/>
      </c>
      <c r="AG673" s="123">
        <f>iferror(IF(SUM($BD673:$BF673)=0,"",SUM($BD673:$BF673)),"")</f>
        <v/>
      </c>
      <c r="AH673" s="124">
        <f>iferror(IF(SUM($BG673:$BI673)=0,"",SUM($BG673:$BI673)),"")</f>
        <v/>
      </c>
      <c r="AI673" s="131" t="n"/>
      <c r="AJ673" s="132" t="n"/>
      <c r="AK673" s="132" t="n"/>
      <c r="AL673" s="132" t="n"/>
      <c r="AM673" s="132" t="n"/>
      <c r="AN673" s="132" t="n"/>
      <c r="AO673" s="132" t="n"/>
      <c r="AP673" s="132" t="n"/>
      <c r="AQ673" s="132" t="n"/>
      <c r="AR673" s="132" t="n"/>
      <c r="AS673" s="132" t="n"/>
      <c r="AT673" s="132" t="n"/>
      <c r="AU673" s="132" t="n"/>
      <c r="AV673" s="132" t="n"/>
      <c r="AW673" s="132" t="n"/>
      <c r="AX673" s="132" t="n"/>
      <c r="AY673" s="132" t="n"/>
      <c r="AZ673" s="133" t="n"/>
      <c r="BA673" s="131" t="n"/>
      <c r="BB673" s="132" t="n"/>
      <c r="BC673" s="133" t="n"/>
      <c r="BD673" s="131" t="n"/>
      <c r="BE673" s="132" t="n"/>
      <c r="BF673" s="133" t="n"/>
      <c r="BG673" s="131" t="n"/>
      <c r="BH673" s="132" t="n"/>
      <c r="BI673" s="132" t="n"/>
      <c r="BJ673" s="128">
        <f>iferror(SUM($BK673,($BL673*1.2),($BM673*1.35),($BN673*0.74)),)</f>
        <v/>
      </c>
      <c r="BK673" s="128">
        <f>IFERROR(SUM($BT673:$CK673),)</f>
        <v/>
      </c>
      <c r="BL673" s="129">
        <f>IFERROR(SUM($CL673:$CN673),)</f>
        <v/>
      </c>
      <c r="BM673" s="130">
        <f>IFERROR(SUM($CO673:$CQ673),)</f>
        <v/>
      </c>
      <c r="BN673" s="128">
        <f>IFERROR(SUM($CR673:$CT673),)</f>
        <v/>
      </c>
      <c r="BO673" s="128">
        <f>iferror(SUM($BP673,($BQ673*1.2),($BR673*1.35),($BS673*0.74)),)</f>
        <v/>
      </c>
      <c r="BP673" s="128">
        <f>IFERROR(SUM($CU673:$DL673),)</f>
        <v/>
      </c>
      <c r="BQ673" s="128">
        <f>IFERROR(SUM($DM673:$DO673),)</f>
        <v/>
      </c>
      <c r="BR673" s="128">
        <f>IFERROR(SUM($DP673:$DR673),)</f>
        <v/>
      </c>
      <c r="BS673" s="128">
        <f>IFERROR(SUM($DS673:$DU673),)</f>
        <v/>
      </c>
      <c r="BT673" s="128">
        <f>IFERROR(AI673*$W673,)</f>
        <v/>
      </c>
      <c r="BU673" s="128">
        <f>IFERROR(AJ673*$W673,)</f>
        <v/>
      </c>
      <c r="BV673" s="128">
        <f>IFERROR(AK673*$W673,)</f>
        <v/>
      </c>
      <c r="BW673" s="128">
        <f>IFERROR(AL673*$W673,)</f>
        <v/>
      </c>
      <c r="BX673" s="128">
        <f>IFERROR(AM673*$W673,)</f>
        <v/>
      </c>
      <c r="BY673" s="128">
        <f>IFERROR(AN673*$W673,)</f>
        <v/>
      </c>
      <c r="BZ673" s="128">
        <f>IFERROR(AO673*$W673,)</f>
        <v/>
      </c>
      <c r="CA673" s="128">
        <f>IFERROR(AP673*$W673,)</f>
        <v/>
      </c>
      <c r="CB673" s="128">
        <f>IFERROR(AQ673*$W673,)</f>
        <v/>
      </c>
      <c r="CC673" s="128">
        <f>IFERROR(AR673*$W673,)</f>
        <v/>
      </c>
      <c r="CD673" s="128">
        <f>IFERROR(AS673*$W673,)</f>
        <v/>
      </c>
      <c r="CE673" s="128">
        <f>IFERROR(AT673*$W673,)</f>
        <v/>
      </c>
      <c r="CF673" s="128">
        <f>IFERROR(AU673*$W673,)</f>
        <v/>
      </c>
      <c r="CG673" s="128">
        <f>IFERROR(AV673*$W673,)</f>
        <v/>
      </c>
      <c r="CH673" s="128">
        <f>IFERROR(AW673*$W673,)</f>
        <v/>
      </c>
      <c r="CI673" s="128">
        <f>IFERROR(AX673*$W673,)</f>
        <v/>
      </c>
      <c r="CJ673" s="128">
        <f>IFERROR(AY673*$W673,)</f>
        <v/>
      </c>
      <c r="CK673" s="128">
        <f>IFERROR(AZ673*$W673,)</f>
        <v/>
      </c>
      <c r="CL673" s="129">
        <f>IFERROR(if($Y673=0,BA673*($W673/1.2),BA673*$Y673),"")</f>
        <v/>
      </c>
      <c r="CM673" s="129">
        <f>IFERROR(if($Y673=0,BB673*($W673/1.2),BB673*$Y673),"")</f>
        <v/>
      </c>
      <c r="CN673" s="129">
        <f>IFERROR(if($Y673=0,BC673*($W673/1.2),BC673*$Y673),"")</f>
        <v/>
      </c>
      <c r="CO673" s="130">
        <f>IFERROR(if($AA673=0,($W673/1.35)*BD673,BD673*$AA673),)</f>
        <v/>
      </c>
      <c r="CP673" s="130">
        <f>IFERROR(if($AA673=0,($W673/1.35)*BE673,BE673*$AA673),)</f>
        <v/>
      </c>
      <c r="CQ673" s="130">
        <f>IFERROR(if($AA673=0,($W673/1.35)*BF673,BF673*$AA673),)</f>
        <v/>
      </c>
      <c r="CR673" s="128">
        <f>IFERROR(if($AC673=0,($W673/0.74)*BG673,
BG673*$AC673),)</f>
        <v/>
      </c>
      <c r="CS673" s="128">
        <f>IFERROR(if($AC673=0,($W673/0.74)*BH673,
BH673*$AC673),)</f>
        <v/>
      </c>
      <c r="CT673" s="128">
        <f>IFERROR(if($AC673=0,($W673/0.74)*BI673,
BI673*$AC673),)</f>
        <v/>
      </c>
      <c r="CU673" s="128">
        <f>IFERROR(AI673*$V673,)</f>
        <v/>
      </c>
      <c r="CV673" s="128">
        <f>IFERROR(AJ673*$V673,)</f>
        <v/>
      </c>
      <c r="CW673" s="128">
        <f>IFERROR(AK673*$V673,)</f>
        <v/>
      </c>
      <c r="CX673" s="128">
        <f>IFERROR(AL673*$V673,)</f>
        <v/>
      </c>
      <c r="CY673" s="128">
        <f>IFERROR(AM673*$V673,)</f>
        <v/>
      </c>
      <c r="CZ673" s="128">
        <f>IFERROR(AN673*$V673,)</f>
        <v/>
      </c>
      <c r="DA673" s="128">
        <f>IFERROR(AO673*$V673,)</f>
        <v/>
      </c>
      <c r="DB673" s="128">
        <f>IFERROR(AP673*$V673,)</f>
        <v/>
      </c>
      <c r="DC673" s="128">
        <f>IFERROR(AQ673*$V673,)</f>
        <v/>
      </c>
      <c r="DD673" s="128">
        <f>IFERROR(AR673*$V673,)</f>
        <v/>
      </c>
      <c r="DE673" s="128">
        <f>IFERROR(AS673*$V673,)</f>
        <v/>
      </c>
      <c r="DF673" s="128">
        <f>IFERROR(AT673*$V673,)</f>
        <v/>
      </c>
      <c r="DG673" s="128">
        <f>IFERROR(AU673*$V673,)</f>
        <v/>
      </c>
      <c r="DH673" s="128">
        <f>IFERROR(AV673*$V673,)</f>
        <v/>
      </c>
      <c r="DI673" s="128">
        <f>IFERROR(AW673*$V673,)</f>
        <v/>
      </c>
      <c r="DJ673" s="128">
        <f>IFERROR(AX673*$V673,)</f>
        <v/>
      </c>
      <c r="DK673" s="128">
        <f>IFERROR(AY673*$V673,)</f>
        <v/>
      </c>
      <c r="DL673" s="128">
        <f>IFERROR(AZ673*$V673,)</f>
        <v/>
      </c>
      <c r="DM673" s="129">
        <f>IFERROR(if($X673=0,($V673/1.2)*BA673,
BA673*$X673),)</f>
        <v/>
      </c>
      <c r="DN673" s="129">
        <f>IFERROR(if($X673=0,($V673/1.2)*BB673,
BB673*$X673),)</f>
        <v/>
      </c>
      <c r="DO673" s="129">
        <f>IFERROR(if($X673=0,($V673/1.2)*BC673,
BC673*$X673),)</f>
        <v/>
      </c>
      <c r="DP673" s="130">
        <f>IFERROR(if($Z673=0,($V673/1.35)*BD673,
BD673*$Z673),)</f>
        <v/>
      </c>
      <c r="DQ673" s="130">
        <f>IFERROR(if($Z673=0,($V673/1.35)*BE673,
BE673*$Z673),)</f>
        <v/>
      </c>
      <c r="DR673" s="130">
        <f>IFERROR(if($Z673=0,($V673/1.35)*BF673,
BF673*$Z673),)</f>
        <v/>
      </c>
      <c r="DS673" s="128">
        <f>IFERROR(IF($AB673=0,($V673/0.74)*BG673,
BG673*$AB673),)</f>
        <v/>
      </c>
      <c r="DT673" s="128">
        <f>IFERROR(IF($AB673=0,($V673/0.74)*BH673,
BH673*$AB673),)</f>
        <v/>
      </c>
      <c r="DU673" s="128">
        <f>IFERROR(IF($AB673=0,($V673/0.74)*BI673,
BI673*$AB673),)</f>
        <v/>
      </c>
    </row>
    <row r="674" ht="131.25" customHeight="1" s="162">
      <c r="A674" s="115" t="n"/>
      <c r="B674" s="115" t="n"/>
      <c r="C674" s="115" t="n"/>
      <c r="D674" s="115" t="n"/>
      <c r="E674" s="115" t="n"/>
      <c r="F674" s="115" t="n"/>
      <c r="G674" s="115" t="n"/>
      <c r="H674" s="115" t="n"/>
      <c r="I674" s="115" t="n"/>
      <c r="J674" s="115" t="n"/>
      <c r="K674" s="115" t="n"/>
      <c r="L674" s="115" t="n"/>
      <c r="M674" s="115" t="n"/>
      <c r="N674" s="115" t="n"/>
      <c r="O674" s="115" t="n"/>
      <c r="P674" s="115" t="n"/>
      <c r="Q674" s="115" t="n"/>
      <c r="R674" s="115" t="n"/>
      <c r="S674" s="115" t="n"/>
      <c r="T674" s="115" t="n"/>
      <c r="U674" s="116" t="n"/>
      <c r="V674" s="116" t="n"/>
      <c r="W674" s="117" t="n"/>
      <c r="X674" s="118" t="n"/>
      <c r="Y674" s="119" t="n"/>
      <c r="Z674" s="120" t="n"/>
      <c r="AA674" s="121" t="n"/>
      <c r="AB674" s="122" t="n"/>
      <c r="AC674" s="117" t="n"/>
      <c r="AD674" s="123">
        <f>IF(SUM($AE674:$AH674)=0,"",SUM($AE674:$AH674))</f>
        <v/>
      </c>
      <c r="AE674" s="123">
        <f>iferror(IF(SUM($AI674:$AZ674)=0,"",SUM($AI674:$AZ674)),"")</f>
        <v/>
      </c>
      <c r="AF674" s="123">
        <f>iferror(IF(SUM($BA674:$BC674)=0,"",SUM($BA674:$BC674)),"")</f>
        <v/>
      </c>
      <c r="AG674" s="123">
        <f>iferror(IF(SUM($BD674:$BF674)=0,"",SUM($BD674:$BF674)),"")</f>
        <v/>
      </c>
      <c r="AH674" s="124">
        <f>iferror(IF(SUM($BG674:$BI674)=0,"",SUM($BG674:$BI674)),"")</f>
        <v/>
      </c>
      <c r="AI674" s="131" t="n"/>
      <c r="AJ674" s="132" t="n"/>
      <c r="AK674" s="132" t="n"/>
      <c r="AL674" s="132" t="n"/>
      <c r="AM674" s="132" t="n"/>
      <c r="AN674" s="132" t="n"/>
      <c r="AO674" s="132" t="n"/>
      <c r="AP674" s="132" t="n"/>
      <c r="AQ674" s="132" t="n"/>
      <c r="AR674" s="132" t="n"/>
      <c r="AS674" s="132" t="n"/>
      <c r="AT674" s="132" t="n"/>
      <c r="AU674" s="132" t="n"/>
      <c r="AV674" s="132" t="n"/>
      <c r="AW674" s="132" t="n"/>
      <c r="AX674" s="132" t="n"/>
      <c r="AY674" s="132" t="n"/>
      <c r="AZ674" s="133" t="n"/>
      <c r="BA674" s="131" t="n"/>
      <c r="BB674" s="132" t="n"/>
      <c r="BC674" s="133" t="n"/>
      <c r="BD674" s="131" t="n"/>
      <c r="BE674" s="132" t="n"/>
      <c r="BF674" s="133" t="n"/>
      <c r="BG674" s="131" t="n"/>
      <c r="BH674" s="132" t="n"/>
      <c r="BI674" s="132" t="n"/>
      <c r="BJ674" s="128">
        <f>iferror(SUM($BK674,($BL674*1.2),($BM674*1.35),($BN674*0.74)),)</f>
        <v/>
      </c>
      <c r="BK674" s="128">
        <f>IFERROR(SUM($BT674:$CK674),)</f>
        <v/>
      </c>
      <c r="BL674" s="129">
        <f>IFERROR(SUM($CL674:$CN674),)</f>
        <v/>
      </c>
      <c r="BM674" s="130">
        <f>IFERROR(SUM($CO674:$CQ674),)</f>
        <v/>
      </c>
      <c r="BN674" s="128">
        <f>IFERROR(SUM($CR674:$CT674),)</f>
        <v/>
      </c>
      <c r="BO674" s="128">
        <f>iferror(SUM($BP674,($BQ674*1.2),($BR674*1.35),($BS674*0.74)),)</f>
        <v/>
      </c>
      <c r="BP674" s="128">
        <f>IFERROR(SUM($CU674:$DL674),)</f>
        <v/>
      </c>
      <c r="BQ674" s="128">
        <f>IFERROR(SUM($DM674:$DO674),)</f>
        <v/>
      </c>
      <c r="BR674" s="128">
        <f>IFERROR(SUM($DP674:$DR674),)</f>
        <v/>
      </c>
      <c r="BS674" s="128">
        <f>IFERROR(SUM($DS674:$DU674),)</f>
        <v/>
      </c>
      <c r="BT674" s="128">
        <f>IFERROR(AI674*$W674,)</f>
        <v/>
      </c>
      <c r="BU674" s="128">
        <f>IFERROR(AJ674*$W674,)</f>
        <v/>
      </c>
      <c r="BV674" s="128">
        <f>IFERROR(AK674*$W674,)</f>
        <v/>
      </c>
      <c r="BW674" s="128">
        <f>IFERROR(AL674*$W674,)</f>
        <v/>
      </c>
      <c r="BX674" s="128">
        <f>IFERROR(AM674*$W674,)</f>
        <v/>
      </c>
      <c r="BY674" s="128">
        <f>IFERROR(AN674*$W674,)</f>
        <v/>
      </c>
      <c r="BZ674" s="128">
        <f>IFERROR(AO674*$W674,)</f>
        <v/>
      </c>
      <c r="CA674" s="128">
        <f>IFERROR(AP674*$W674,)</f>
        <v/>
      </c>
      <c r="CB674" s="128">
        <f>IFERROR(AQ674*$W674,)</f>
        <v/>
      </c>
      <c r="CC674" s="128">
        <f>IFERROR(AR674*$W674,)</f>
        <v/>
      </c>
      <c r="CD674" s="128">
        <f>IFERROR(AS674*$W674,)</f>
        <v/>
      </c>
      <c r="CE674" s="128">
        <f>IFERROR(AT674*$W674,)</f>
        <v/>
      </c>
      <c r="CF674" s="128">
        <f>IFERROR(AU674*$W674,)</f>
        <v/>
      </c>
      <c r="CG674" s="128">
        <f>IFERROR(AV674*$W674,)</f>
        <v/>
      </c>
      <c r="CH674" s="128">
        <f>IFERROR(AW674*$W674,)</f>
        <v/>
      </c>
      <c r="CI674" s="128">
        <f>IFERROR(AX674*$W674,)</f>
        <v/>
      </c>
      <c r="CJ674" s="128">
        <f>IFERROR(AY674*$W674,)</f>
        <v/>
      </c>
      <c r="CK674" s="128">
        <f>IFERROR(AZ674*$W674,)</f>
        <v/>
      </c>
      <c r="CL674" s="129">
        <f>IFERROR(if($Y674=0,BA674*($W674/1.2),BA674*$Y674),"")</f>
        <v/>
      </c>
      <c r="CM674" s="129">
        <f>IFERROR(if($Y674=0,BB674*($W674/1.2),BB674*$Y674),"")</f>
        <v/>
      </c>
      <c r="CN674" s="129">
        <f>IFERROR(if($Y674=0,BC674*($W674/1.2),BC674*$Y674),"")</f>
        <v/>
      </c>
      <c r="CO674" s="130">
        <f>IFERROR(if($AA674=0,($W674/1.35)*BD674,BD674*$AA674),)</f>
        <v/>
      </c>
      <c r="CP674" s="130">
        <f>IFERROR(if($AA674=0,($W674/1.35)*BE674,BE674*$AA674),)</f>
        <v/>
      </c>
      <c r="CQ674" s="130">
        <f>IFERROR(if($AA674=0,($W674/1.35)*BF674,BF674*$AA674),)</f>
        <v/>
      </c>
      <c r="CR674" s="128">
        <f>IFERROR(if($AC674=0,($W674/0.74)*BG674,
BG674*$AC674),)</f>
        <v/>
      </c>
      <c r="CS674" s="128">
        <f>IFERROR(if($AC674=0,($W674/0.74)*BH674,
BH674*$AC674),)</f>
        <v/>
      </c>
      <c r="CT674" s="128">
        <f>IFERROR(if($AC674=0,($W674/0.74)*BI674,
BI674*$AC674),)</f>
        <v/>
      </c>
      <c r="CU674" s="128">
        <f>IFERROR(AI674*$V674,)</f>
        <v/>
      </c>
      <c r="CV674" s="128">
        <f>IFERROR(AJ674*$V674,)</f>
        <v/>
      </c>
      <c r="CW674" s="128">
        <f>IFERROR(AK674*$V674,)</f>
        <v/>
      </c>
      <c r="CX674" s="128">
        <f>IFERROR(AL674*$V674,)</f>
        <v/>
      </c>
      <c r="CY674" s="128">
        <f>IFERROR(AM674*$V674,)</f>
        <v/>
      </c>
      <c r="CZ674" s="128">
        <f>IFERROR(AN674*$V674,)</f>
        <v/>
      </c>
      <c r="DA674" s="128">
        <f>IFERROR(AO674*$V674,)</f>
        <v/>
      </c>
      <c r="DB674" s="128">
        <f>IFERROR(AP674*$V674,)</f>
        <v/>
      </c>
      <c r="DC674" s="128">
        <f>IFERROR(AQ674*$V674,)</f>
        <v/>
      </c>
      <c r="DD674" s="128">
        <f>IFERROR(AR674*$V674,)</f>
        <v/>
      </c>
      <c r="DE674" s="128">
        <f>IFERROR(AS674*$V674,)</f>
        <v/>
      </c>
      <c r="DF674" s="128">
        <f>IFERROR(AT674*$V674,)</f>
        <v/>
      </c>
      <c r="DG674" s="128">
        <f>IFERROR(AU674*$V674,)</f>
        <v/>
      </c>
      <c r="DH674" s="128">
        <f>IFERROR(AV674*$V674,)</f>
        <v/>
      </c>
      <c r="DI674" s="128">
        <f>IFERROR(AW674*$V674,)</f>
        <v/>
      </c>
      <c r="DJ674" s="128">
        <f>IFERROR(AX674*$V674,)</f>
        <v/>
      </c>
      <c r="DK674" s="128">
        <f>IFERROR(AY674*$V674,)</f>
        <v/>
      </c>
      <c r="DL674" s="128">
        <f>IFERROR(AZ674*$V674,)</f>
        <v/>
      </c>
      <c r="DM674" s="129">
        <f>IFERROR(if($X674=0,($V674/1.2)*BA674,
BA674*$X674),)</f>
        <v/>
      </c>
      <c r="DN674" s="129">
        <f>IFERROR(if($X674=0,($V674/1.2)*BB674,
BB674*$X674),)</f>
        <v/>
      </c>
      <c r="DO674" s="129">
        <f>IFERROR(if($X674=0,($V674/1.2)*BC674,
BC674*$X674),)</f>
        <v/>
      </c>
      <c r="DP674" s="130">
        <f>IFERROR(if($Z674=0,($V674/1.35)*BD674,
BD674*$Z674),)</f>
        <v/>
      </c>
      <c r="DQ674" s="130">
        <f>IFERROR(if($Z674=0,($V674/1.35)*BE674,
BE674*$Z674),)</f>
        <v/>
      </c>
      <c r="DR674" s="130">
        <f>IFERROR(if($Z674=0,($V674/1.35)*BF674,
BF674*$Z674),)</f>
        <v/>
      </c>
      <c r="DS674" s="128">
        <f>IFERROR(IF($AB674=0,($V674/0.74)*BG674,
BG674*$AB674),)</f>
        <v/>
      </c>
      <c r="DT674" s="128">
        <f>IFERROR(IF($AB674=0,($V674/0.74)*BH674,
BH674*$AB674),)</f>
        <v/>
      </c>
      <c r="DU674" s="128">
        <f>IFERROR(IF($AB674=0,($V674/0.74)*BI674,
BI674*$AB674),)</f>
        <v/>
      </c>
    </row>
    <row r="675" ht="131.25" customHeight="1" s="162">
      <c r="A675" s="115" t="n"/>
      <c r="B675" s="115" t="n"/>
      <c r="C675" s="115" t="n"/>
      <c r="D675" s="115" t="n"/>
      <c r="E675" s="115" t="n"/>
      <c r="F675" s="115" t="n"/>
      <c r="G675" s="115" t="n"/>
      <c r="H675" s="115" t="n"/>
      <c r="I675" s="115" t="n"/>
      <c r="J675" s="115" t="n"/>
      <c r="K675" s="115" t="n"/>
      <c r="L675" s="115" t="n"/>
      <c r="M675" s="115" t="n"/>
      <c r="N675" s="115" t="n"/>
      <c r="O675" s="115" t="n"/>
      <c r="P675" s="115" t="n"/>
      <c r="Q675" s="115" t="n"/>
      <c r="R675" s="115" t="n"/>
      <c r="S675" s="115" t="n"/>
      <c r="T675" s="115" t="n"/>
      <c r="U675" s="116" t="n"/>
      <c r="V675" s="116" t="n"/>
      <c r="W675" s="117" t="n"/>
      <c r="X675" s="118" t="n"/>
      <c r="Y675" s="119" t="n"/>
      <c r="Z675" s="120" t="n"/>
      <c r="AA675" s="121" t="n"/>
      <c r="AB675" s="122" t="n"/>
      <c r="AC675" s="117" t="n"/>
      <c r="AD675" s="123">
        <f>IF(SUM($AE675:$AH675)=0,"",SUM($AE675:$AH675))</f>
        <v/>
      </c>
      <c r="AE675" s="123">
        <f>iferror(IF(SUM($AI675:$AZ675)=0,"",SUM($AI675:$AZ675)),"")</f>
        <v/>
      </c>
      <c r="AF675" s="123">
        <f>iferror(IF(SUM($BA675:$BC675)=0,"",SUM($BA675:$BC675)),"")</f>
        <v/>
      </c>
      <c r="AG675" s="123">
        <f>iferror(IF(SUM($BD675:$BF675)=0,"",SUM($BD675:$BF675)),"")</f>
        <v/>
      </c>
      <c r="AH675" s="124">
        <f>iferror(IF(SUM($BG675:$BI675)=0,"",SUM($BG675:$BI675)),"")</f>
        <v/>
      </c>
      <c r="AI675" s="131" t="n"/>
      <c r="AJ675" s="132" t="n"/>
      <c r="AK675" s="132" t="n"/>
      <c r="AL675" s="132" t="n"/>
      <c r="AM675" s="132" t="n"/>
      <c r="AN675" s="132" t="n"/>
      <c r="AO675" s="132" t="n"/>
      <c r="AP675" s="132" t="n"/>
      <c r="AQ675" s="132" t="n"/>
      <c r="AR675" s="132" t="n"/>
      <c r="AS675" s="132" t="n"/>
      <c r="AT675" s="132" t="n"/>
      <c r="AU675" s="132" t="n"/>
      <c r="AV675" s="132" t="n"/>
      <c r="AW675" s="132" t="n"/>
      <c r="AX675" s="132" t="n"/>
      <c r="AY675" s="132" t="n"/>
      <c r="AZ675" s="133" t="n"/>
      <c r="BA675" s="131" t="n"/>
      <c r="BB675" s="132" t="n"/>
      <c r="BC675" s="133" t="n"/>
      <c r="BD675" s="131" t="n"/>
      <c r="BE675" s="132" t="n"/>
      <c r="BF675" s="133" t="n"/>
      <c r="BG675" s="131" t="n"/>
      <c r="BH675" s="132" t="n"/>
      <c r="BI675" s="132" t="n"/>
      <c r="BJ675" s="128">
        <f>iferror(SUM($BK675,($BL675*1.2),($BM675*1.35),($BN675*0.74)),)</f>
        <v/>
      </c>
      <c r="BK675" s="128">
        <f>IFERROR(SUM($BT675:$CK675),)</f>
        <v/>
      </c>
      <c r="BL675" s="129">
        <f>IFERROR(SUM($CL675:$CN675),)</f>
        <v/>
      </c>
      <c r="BM675" s="130">
        <f>IFERROR(SUM($CO675:$CQ675),)</f>
        <v/>
      </c>
      <c r="BN675" s="128">
        <f>IFERROR(SUM($CR675:$CT675),)</f>
        <v/>
      </c>
      <c r="BO675" s="128">
        <f>iferror(SUM($BP675,($BQ675*1.2),($BR675*1.35),($BS675*0.74)),)</f>
        <v/>
      </c>
      <c r="BP675" s="128">
        <f>IFERROR(SUM($CU675:$DL675),)</f>
        <v/>
      </c>
      <c r="BQ675" s="128">
        <f>IFERROR(SUM($DM675:$DO675),)</f>
        <v/>
      </c>
      <c r="BR675" s="128">
        <f>IFERROR(SUM($DP675:$DR675),)</f>
        <v/>
      </c>
      <c r="BS675" s="128">
        <f>IFERROR(SUM($DS675:$DU675),)</f>
        <v/>
      </c>
      <c r="BT675" s="128">
        <f>IFERROR(AI675*$W675,)</f>
        <v/>
      </c>
      <c r="BU675" s="128">
        <f>IFERROR(AJ675*$W675,)</f>
        <v/>
      </c>
      <c r="BV675" s="128">
        <f>IFERROR(AK675*$W675,)</f>
        <v/>
      </c>
      <c r="BW675" s="128">
        <f>IFERROR(AL675*$W675,)</f>
        <v/>
      </c>
      <c r="BX675" s="128">
        <f>IFERROR(AM675*$W675,)</f>
        <v/>
      </c>
      <c r="BY675" s="128">
        <f>IFERROR(AN675*$W675,)</f>
        <v/>
      </c>
      <c r="BZ675" s="128">
        <f>IFERROR(AO675*$W675,)</f>
        <v/>
      </c>
      <c r="CA675" s="128">
        <f>IFERROR(AP675*$W675,)</f>
        <v/>
      </c>
      <c r="CB675" s="128">
        <f>IFERROR(AQ675*$W675,)</f>
        <v/>
      </c>
      <c r="CC675" s="128">
        <f>IFERROR(AR675*$W675,)</f>
        <v/>
      </c>
      <c r="CD675" s="128">
        <f>IFERROR(AS675*$W675,)</f>
        <v/>
      </c>
      <c r="CE675" s="128">
        <f>IFERROR(AT675*$W675,)</f>
        <v/>
      </c>
      <c r="CF675" s="128">
        <f>IFERROR(AU675*$W675,)</f>
        <v/>
      </c>
      <c r="CG675" s="128">
        <f>IFERROR(AV675*$W675,)</f>
        <v/>
      </c>
      <c r="CH675" s="128">
        <f>IFERROR(AW675*$W675,)</f>
        <v/>
      </c>
      <c r="CI675" s="128">
        <f>IFERROR(AX675*$W675,)</f>
        <v/>
      </c>
      <c r="CJ675" s="128">
        <f>IFERROR(AY675*$W675,)</f>
        <v/>
      </c>
      <c r="CK675" s="128">
        <f>IFERROR(AZ675*$W675,)</f>
        <v/>
      </c>
      <c r="CL675" s="129">
        <f>IFERROR(if($Y675=0,BA675*($W675/1.2),BA675*$Y675),"")</f>
        <v/>
      </c>
      <c r="CM675" s="129">
        <f>IFERROR(if($Y675=0,BB675*($W675/1.2),BB675*$Y675),"")</f>
        <v/>
      </c>
      <c r="CN675" s="129">
        <f>IFERROR(if($Y675=0,BC675*($W675/1.2),BC675*$Y675),"")</f>
        <v/>
      </c>
      <c r="CO675" s="130">
        <f>IFERROR(if($AA675=0,($W675/1.35)*BD675,BD675*$AA675),)</f>
        <v/>
      </c>
      <c r="CP675" s="130">
        <f>IFERROR(if($AA675=0,($W675/1.35)*BE675,BE675*$AA675),)</f>
        <v/>
      </c>
      <c r="CQ675" s="130">
        <f>IFERROR(if($AA675=0,($W675/1.35)*BF675,BF675*$AA675),)</f>
        <v/>
      </c>
      <c r="CR675" s="128">
        <f>IFERROR(if($AC675=0,($W675/0.74)*BG675,
BG675*$AC675),)</f>
        <v/>
      </c>
      <c r="CS675" s="128">
        <f>IFERROR(if($AC675=0,($W675/0.74)*BH675,
BH675*$AC675),)</f>
        <v/>
      </c>
      <c r="CT675" s="128">
        <f>IFERROR(if($AC675=0,($W675/0.74)*BI675,
BI675*$AC675),)</f>
        <v/>
      </c>
      <c r="CU675" s="128">
        <f>IFERROR(AI675*$V675,)</f>
        <v/>
      </c>
      <c r="CV675" s="128">
        <f>IFERROR(AJ675*$V675,)</f>
        <v/>
      </c>
      <c r="CW675" s="128">
        <f>IFERROR(AK675*$V675,)</f>
        <v/>
      </c>
      <c r="CX675" s="128">
        <f>IFERROR(AL675*$V675,)</f>
        <v/>
      </c>
      <c r="CY675" s="128">
        <f>IFERROR(AM675*$V675,)</f>
        <v/>
      </c>
      <c r="CZ675" s="128">
        <f>IFERROR(AN675*$V675,)</f>
        <v/>
      </c>
      <c r="DA675" s="128">
        <f>IFERROR(AO675*$V675,)</f>
        <v/>
      </c>
      <c r="DB675" s="128">
        <f>IFERROR(AP675*$V675,)</f>
        <v/>
      </c>
      <c r="DC675" s="128">
        <f>IFERROR(AQ675*$V675,)</f>
        <v/>
      </c>
      <c r="DD675" s="128">
        <f>IFERROR(AR675*$V675,)</f>
        <v/>
      </c>
      <c r="DE675" s="128">
        <f>IFERROR(AS675*$V675,)</f>
        <v/>
      </c>
      <c r="DF675" s="128">
        <f>IFERROR(AT675*$V675,)</f>
        <v/>
      </c>
      <c r="DG675" s="128">
        <f>IFERROR(AU675*$V675,)</f>
        <v/>
      </c>
      <c r="DH675" s="128">
        <f>IFERROR(AV675*$V675,)</f>
        <v/>
      </c>
      <c r="DI675" s="128">
        <f>IFERROR(AW675*$V675,)</f>
        <v/>
      </c>
      <c r="DJ675" s="128">
        <f>IFERROR(AX675*$V675,)</f>
        <v/>
      </c>
      <c r="DK675" s="128">
        <f>IFERROR(AY675*$V675,)</f>
        <v/>
      </c>
      <c r="DL675" s="128">
        <f>IFERROR(AZ675*$V675,)</f>
        <v/>
      </c>
      <c r="DM675" s="129">
        <f>IFERROR(if($X675=0,($V675/1.2)*BA675,
BA675*$X675),)</f>
        <v/>
      </c>
      <c r="DN675" s="129">
        <f>IFERROR(if($X675=0,($V675/1.2)*BB675,
BB675*$X675),)</f>
        <v/>
      </c>
      <c r="DO675" s="129">
        <f>IFERROR(if($X675=0,($V675/1.2)*BC675,
BC675*$X675),)</f>
        <v/>
      </c>
      <c r="DP675" s="130">
        <f>IFERROR(if($Z675=0,($V675/1.35)*BD675,
BD675*$Z675),)</f>
        <v/>
      </c>
      <c r="DQ675" s="130">
        <f>IFERROR(if($Z675=0,($V675/1.35)*BE675,
BE675*$Z675),)</f>
        <v/>
      </c>
      <c r="DR675" s="130">
        <f>IFERROR(if($Z675=0,($V675/1.35)*BF675,
BF675*$Z675),)</f>
        <v/>
      </c>
      <c r="DS675" s="128">
        <f>IFERROR(IF($AB675=0,($V675/0.74)*BG675,
BG675*$AB675),)</f>
        <v/>
      </c>
      <c r="DT675" s="128">
        <f>IFERROR(IF($AB675=0,($V675/0.74)*BH675,
BH675*$AB675),)</f>
        <v/>
      </c>
      <c r="DU675" s="128">
        <f>IFERROR(IF($AB675=0,($V675/0.74)*BI675,
BI675*$AB675),)</f>
        <v/>
      </c>
    </row>
    <row r="676" ht="131.25" customHeight="1" s="162">
      <c r="A676" s="115" t="n"/>
      <c r="B676" s="115" t="n"/>
      <c r="C676" s="115" t="n"/>
      <c r="D676" s="115" t="n"/>
      <c r="E676" s="115" t="n"/>
      <c r="F676" s="115" t="n"/>
      <c r="G676" s="115" t="n"/>
      <c r="H676" s="115" t="n"/>
      <c r="I676" s="115" t="n"/>
      <c r="J676" s="115" t="n"/>
      <c r="K676" s="115" t="n"/>
      <c r="L676" s="115" t="n"/>
      <c r="M676" s="115" t="n"/>
      <c r="N676" s="115" t="n"/>
      <c r="O676" s="115" t="n"/>
      <c r="P676" s="115" t="n"/>
      <c r="Q676" s="115" t="n"/>
      <c r="R676" s="115" t="n"/>
      <c r="S676" s="115" t="n"/>
      <c r="T676" s="115" t="n"/>
      <c r="U676" s="116" t="n"/>
      <c r="V676" s="116" t="n"/>
      <c r="W676" s="117" t="n"/>
      <c r="X676" s="118" t="n"/>
      <c r="Y676" s="119" t="n"/>
      <c r="Z676" s="120" t="n"/>
      <c r="AA676" s="121" t="n"/>
      <c r="AB676" s="122" t="n"/>
      <c r="AC676" s="117" t="n"/>
      <c r="AD676" s="123">
        <f>IF(SUM($AE676:$AH676)=0,"",SUM($AE676:$AH676))</f>
        <v/>
      </c>
      <c r="AE676" s="123">
        <f>iferror(IF(SUM($AI676:$AZ676)=0,"",SUM($AI676:$AZ676)),"")</f>
        <v/>
      </c>
      <c r="AF676" s="123">
        <f>iferror(IF(SUM($BA676:$BC676)=0,"",SUM($BA676:$BC676)),"")</f>
        <v/>
      </c>
      <c r="AG676" s="123">
        <f>iferror(IF(SUM($BD676:$BF676)=0,"",SUM($BD676:$BF676)),"")</f>
        <v/>
      </c>
      <c r="AH676" s="124">
        <f>iferror(IF(SUM($BG676:$BI676)=0,"",SUM($BG676:$BI676)),"")</f>
        <v/>
      </c>
      <c r="AI676" s="131" t="n"/>
      <c r="AJ676" s="132" t="n"/>
      <c r="AK676" s="132" t="n"/>
      <c r="AL676" s="132" t="n"/>
      <c r="AM676" s="132" t="n"/>
      <c r="AN676" s="132" t="n"/>
      <c r="AO676" s="132" t="n"/>
      <c r="AP676" s="132" t="n"/>
      <c r="AQ676" s="132" t="n"/>
      <c r="AR676" s="132" t="n"/>
      <c r="AS676" s="132" t="n"/>
      <c r="AT676" s="132" t="n"/>
      <c r="AU676" s="132" t="n"/>
      <c r="AV676" s="132" t="n"/>
      <c r="AW676" s="132" t="n"/>
      <c r="AX676" s="132" t="n"/>
      <c r="AY676" s="132" t="n"/>
      <c r="AZ676" s="133" t="n"/>
      <c r="BA676" s="131" t="n"/>
      <c r="BB676" s="132" t="n"/>
      <c r="BC676" s="133" t="n"/>
      <c r="BD676" s="131" t="n"/>
      <c r="BE676" s="132" t="n"/>
      <c r="BF676" s="133" t="n"/>
      <c r="BG676" s="131" t="n"/>
      <c r="BH676" s="132" t="n"/>
      <c r="BI676" s="132" t="n"/>
      <c r="BJ676" s="128">
        <f>iferror(SUM($BK676,($BL676*1.2),($BM676*1.35),($BN676*0.74)),)</f>
        <v/>
      </c>
      <c r="BK676" s="128">
        <f>IFERROR(SUM($BT676:$CK676),)</f>
        <v/>
      </c>
      <c r="BL676" s="129">
        <f>IFERROR(SUM($CL676:$CN676),)</f>
        <v/>
      </c>
      <c r="BM676" s="130">
        <f>IFERROR(SUM($CO676:$CQ676),)</f>
        <v/>
      </c>
      <c r="BN676" s="128">
        <f>IFERROR(SUM($CR676:$CT676),)</f>
        <v/>
      </c>
      <c r="BO676" s="128">
        <f>iferror(SUM($BP676,($BQ676*1.2),($BR676*1.35),($BS676*0.74)),)</f>
        <v/>
      </c>
      <c r="BP676" s="128">
        <f>IFERROR(SUM($CU676:$DL676),)</f>
        <v/>
      </c>
      <c r="BQ676" s="128">
        <f>IFERROR(SUM($DM676:$DO676),)</f>
        <v/>
      </c>
      <c r="BR676" s="128">
        <f>IFERROR(SUM($DP676:$DR676),)</f>
        <v/>
      </c>
      <c r="BS676" s="128">
        <f>IFERROR(SUM($DS676:$DU676),)</f>
        <v/>
      </c>
      <c r="BT676" s="128">
        <f>IFERROR(AI676*$W676,)</f>
        <v/>
      </c>
      <c r="BU676" s="128">
        <f>IFERROR(AJ676*$W676,)</f>
        <v/>
      </c>
      <c r="BV676" s="128">
        <f>IFERROR(AK676*$W676,)</f>
        <v/>
      </c>
      <c r="BW676" s="128">
        <f>IFERROR(AL676*$W676,)</f>
        <v/>
      </c>
      <c r="BX676" s="128">
        <f>IFERROR(AM676*$W676,)</f>
        <v/>
      </c>
      <c r="BY676" s="128">
        <f>IFERROR(AN676*$W676,)</f>
        <v/>
      </c>
      <c r="BZ676" s="128">
        <f>IFERROR(AO676*$W676,)</f>
        <v/>
      </c>
      <c r="CA676" s="128">
        <f>IFERROR(AP676*$W676,)</f>
        <v/>
      </c>
      <c r="CB676" s="128">
        <f>IFERROR(AQ676*$W676,)</f>
        <v/>
      </c>
      <c r="CC676" s="128">
        <f>IFERROR(AR676*$W676,)</f>
        <v/>
      </c>
      <c r="CD676" s="128">
        <f>IFERROR(AS676*$W676,)</f>
        <v/>
      </c>
      <c r="CE676" s="128">
        <f>IFERROR(AT676*$W676,)</f>
        <v/>
      </c>
      <c r="CF676" s="128">
        <f>IFERROR(AU676*$W676,)</f>
        <v/>
      </c>
      <c r="CG676" s="128">
        <f>IFERROR(AV676*$W676,)</f>
        <v/>
      </c>
      <c r="CH676" s="128">
        <f>IFERROR(AW676*$W676,)</f>
        <v/>
      </c>
      <c r="CI676" s="128">
        <f>IFERROR(AX676*$W676,)</f>
        <v/>
      </c>
      <c r="CJ676" s="128">
        <f>IFERROR(AY676*$W676,)</f>
        <v/>
      </c>
      <c r="CK676" s="128">
        <f>IFERROR(AZ676*$W676,)</f>
        <v/>
      </c>
      <c r="CL676" s="129">
        <f>IFERROR(if($Y676=0,BA676*($W676/1.2),BA676*$Y676),"")</f>
        <v/>
      </c>
      <c r="CM676" s="129">
        <f>IFERROR(if($Y676=0,BB676*($W676/1.2),BB676*$Y676),"")</f>
        <v/>
      </c>
      <c r="CN676" s="129">
        <f>IFERROR(if($Y676=0,BC676*($W676/1.2),BC676*$Y676),"")</f>
        <v/>
      </c>
      <c r="CO676" s="130">
        <f>IFERROR(if($AA676=0,($W676/1.35)*BD676,BD676*$AA676),)</f>
        <v/>
      </c>
      <c r="CP676" s="130">
        <f>IFERROR(if($AA676=0,($W676/1.35)*BE676,BE676*$AA676),)</f>
        <v/>
      </c>
      <c r="CQ676" s="130">
        <f>IFERROR(if($AA676=0,($W676/1.35)*BF676,BF676*$AA676),)</f>
        <v/>
      </c>
      <c r="CR676" s="128">
        <f>IFERROR(if($AC676=0,($W676/0.74)*BG676,
BG676*$AC676),)</f>
        <v/>
      </c>
      <c r="CS676" s="128">
        <f>IFERROR(if($AC676=0,($W676/0.74)*BH676,
BH676*$AC676),)</f>
        <v/>
      </c>
      <c r="CT676" s="128">
        <f>IFERROR(if($AC676=0,($W676/0.74)*BI676,
BI676*$AC676),)</f>
        <v/>
      </c>
      <c r="CU676" s="128">
        <f>IFERROR(AI676*$V676,)</f>
        <v/>
      </c>
      <c r="CV676" s="128">
        <f>IFERROR(AJ676*$V676,)</f>
        <v/>
      </c>
      <c r="CW676" s="128">
        <f>IFERROR(AK676*$V676,)</f>
        <v/>
      </c>
      <c r="CX676" s="128">
        <f>IFERROR(AL676*$V676,)</f>
        <v/>
      </c>
      <c r="CY676" s="128">
        <f>IFERROR(AM676*$V676,)</f>
        <v/>
      </c>
      <c r="CZ676" s="128">
        <f>IFERROR(AN676*$V676,)</f>
        <v/>
      </c>
      <c r="DA676" s="128">
        <f>IFERROR(AO676*$V676,)</f>
        <v/>
      </c>
      <c r="DB676" s="128">
        <f>IFERROR(AP676*$V676,)</f>
        <v/>
      </c>
      <c r="DC676" s="128">
        <f>IFERROR(AQ676*$V676,)</f>
        <v/>
      </c>
      <c r="DD676" s="128">
        <f>IFERROR(AR676*$V676,)</f>
        <v/>
      </c>
      <c r="DE676" s="128">
        <f>IFERROR(AS676*$V676,)</f>
        <v/>
      </c>
      <c r="DF676" s="128">
        <f>IFERROR(AT676*$V676,)</f>
        <v/>
      </c>
      <c r="DG676" s="128">
        <f>IFERROR(AU676*$V676,)</f>
        <v/>
      </c>
      <c r="DH676" s="128">
        <f>IFERROR(AV676*$V676,)</f>
        <v/>
      </c>
      <c r="DI676" s="128">
        <f>IFERROR(AW676*$V676,)</f>
        <v/>
      </c>
      <c r="DJ676" s="128">
        <f>IFERROR(AX676*$V676,)</f>
        <v/>
      </c>
      <c r="DK676" s="128">
        <f>IFERROR(AY676*$V676,)</f>
        <v/>
      </c>
      <c r="DL676" s="128">
        <f>IFERROR(AZ676*$V676,)</f>
        <v/>
      </c>
      <c r="DM676" s="129">
        <f>IFERROR(if($X676=0,($V676/1.2)*BA676,
BA676*$X676),)</f>
        <v/>
      </c>
      <c r="DN676" s="129">
        <f>IFERROR(if($X676=0,($V676/1.2)*BB676,
BB676*$X676),)</f>
        <v/>
      </c>
      <c r="DO676" s="129">
        <f>IFERROR(if($X676=0,($V676/1.2)*BC676,
BC676*$X676),)</f>
        <v/>
      </c>
      <c r="DP676" s="130">
        <f>IFERROR(if($Z676=0,($V676/1.35)*BD676,
BD676*$Z676),)</f>
        <v/>
      </c>
      <c r="DQ676" s="130">
        <f>IFERROR(if($Z676=0,($V676/1.35)*BE676,
BE676*$Z676),)</f>
        <v/>
      </c>
      <c r="DR676" s="130">
        <f>IFERROR(if($Z676=0,($V676/1.35)*BF676,
BF676*$Z676),)</f>
        <v/>
      </c>
      <c r="DS676" s="128">
        <f>IFERROR(IF($AB676=0,($V676/0.74)*BG676,
BG676*$AB676),)</f>
        <v/>
      </c>
      <c r="DT676" s="128">
        <f>IFERROR(IF($AB676=0,($V676/0.74)*BH676,
BH676*$AB676),)</f>
        <v/>
      </c>
      <c r="DU676" s="128">
        <f>IFERROR(IF($AB676=0,($V676/0.74)*BI676,
BI676*$AB676),)</f>
        <v/>
      </c>
    </row>
    <row r="677" ht="131.25" customHeight="1" s="162">
      <c r="A677" s="115" t="n"/>
      <c r="B677" s="115" t="n"/>
      <c r="C677" s="115" t="n"/>
      <c r="D677" s="115" t="n"/>
      <c r="E677" s="115" t="n"/>
      <c r="F677" s="115" t="n"/>
      <c r="G677" s="115" t="n"/>
      <c r="H677" s="115" t="n"/>
      <c r="I677" s="115" t="n"/>
      <c r="J677" s="115" t="n"/>
      <c r="K677" s="115" t="n"/>
      <c r="L677" s="115" t="n"/>
      <c r="M677" s="115" t="n"/>
      <c r="N677" s="115" t="n"/>
      <c r="O677" s="115" t="n"/>
      <c r="P677" s="115" t="n"/>
      <c r="Q677" s="115" t="n"/>
      <c r="R677" s="115" t="n"/>
      <c r="S677" s="115" t="n"/>
      <c r="T677" s="115" t="n"/>
      <c r="U677" s="116" t="n"/>
      <c r="V677" s="116" t="n"/>
      <c r="W677" s="117" t="n"/>
      <c r="X677" s="118" t="n"/>
      <c r="Y677" s="119" t="n"/>
      <c r="Z677" s="120" t="n"/>
      <c r="AA677" s="121" t="n"/>
      <c r="AB677" s="122" t="n"/>
      <c r="AC677" s="117" t="n"/>
      <c r="AD677" s="123">
        <f>IF(SUM($AE677:$AH677)=0,"",SUM($AE677:$AH677))</f>
        <v/>
      </c>
      <c r="AE677" s="123">
        <f>iferror(IF(SUM($AI677:$AZ677)=0,"",SUM($AI677:$AZ677)),"")</f>
        <v/>
      </c>
      <c r="AF677" s="123">
        <f>iferror(IF(SUM($BA677:$BC677)=0,"",SUM($BA677:$BC677)),"")</f>
        <v/>
      </c>
      <c r="AG677" s="123">
        <f>iferror(IF(SUM($BD677:$BF677)=0,"",SUM($BD677:$BF677)),"")</f>
        <v/>
      </c>
      <c r="AH677" s="124">
        <f>iferror(IF(SUM($BG677:$BI677)=0,"",SUM($BG677:$BI677)),"")</f>
        <v/>
      </c>
      <c r="AI677" s="131" t="n"/>
      <c r="AJ677" s="132" t="n"/>
      <c r="AK677" s="132" t="n"/>
      <c r="AL677" s="132" t="n"/>
      <c r="AM677" s="132" t="n"/>
      <c r="AN677" s="132" t="n"/>
      <c r="AO677" s="132" t="n"/>
      <c r="AP677" s="132" t="n"/>
      <c r="AQ677" s="132" t="n"/>
      <c r="AR677" s="132" t="n"/>
      <c r="AS677" s="132" t="n"/>
      <c r="AT677" s="132" t="n"/>
      <c r="AU677" s="132" t="n"/>
      <c r="AV677" s="132" t="n"/>
      <c r="AW677" s="132" t="n"/>
      <c r="AX677" s="132" t="n"/>
      <c r="AY677" s="132" t="n"/>
      <c r="AZ677" s="133" t="n"/>
      <c r="BA677" s="131" t="n"/>
      <c r="BB677" s="132" t="n"/>
      <c r="BC677" s="133" t="n"/>
      <c r="BD677" s="131" t="n"/>
      <c r="BE677" s="132" t="n"/>
      <c r="BF677" s="133" t="n"/>
      <c r="BG677" s="131" t="n"/>
      <c r="BH677" s="132" t="n"/>
      <c r="BI677" s="132" t="n"/>
      <c r="BJ677" s="128">
        <f>iferror(SUM($BK677,($BL677*1.2),($BM677*1.35),($BN677*0.74)),)</f>
        <v/>
      </c>
      <c r="BK677" s="128">
        <f>IFERROR(SUM($BT677:$CK677),)</f>
        <v/>
      </c>
      <c r="BL677" s="129">
        <f>IFERROR(SUM($CL677:$CN677),)</f>
        <v/>
      </c>
      <c r="BM677" s="130">
        <f>IFERROR(SUM($CO677:$CQ677),)</f>
        <v/>
      </c>
      <c r="BN677" s="128">
        <f>IFERROR(SUM($CR677:$CT677),)</f>
        <v/>
      </c>
      <c r="BO677" s="128">
        <f>iferror(SUM($BP677,($BQ677*1.2),($BR677*1.35),($BS677*0.74)),)</f>
        <v/>
      </c>
      <c r="BP677" s="128">
        <f>IFERROR(SUM($CU677:$DL677),)</f>
        <v/>
      </c>
      <c r="BQ677" s="128">
        <f>IFERROR(SUM($DM677:$DO677),)</f>
        <v/>
      </c>
      <c r="BR677" s="128">
        <f>IFERROR(SUM($DP677:$DR677),)</f>
        <v/>
      </c>
      <c r="BS677" s="128">
        <f>IFERROR(SUM($DS677:$DU677),)</f>
        <v/>
      </c>
      <c r="BT677" s="128">
        <f>IFERROR(AI677*$W677,)</f>
        <v/>
      </c>
      <c r="BU677" s="128">
        <f>IFERROR(AJ677*$W677,)</f>
        <v/>
      </c>
      <c r="BV677" s="128">
        <f>IFERROR(AK677*$W677,)</f>
        <v/>
      </c>
      <c r="BW677" s="128">
        <f>IFERROR(AL677*$W677,)</f>
        <v/>
      </c>
      <c r="BX677" s="128">
        <f>IFERROR(AM677*$W677,)</f>
        <v/>
      </c>
      <c r="BY677" s="128">
        <f>IFERROR(AN677*$W677,)</f>
        <v/>
      </c>
      <c r="BZ677" s="128">
        <f>IFERROR(AO677*$W677,)</f>
        <v/>
      </c>
      <c r="CA677" s="128">
        <f>IFERROR(AP677*$W677,)</f>
        <v/>
      </c>
      <c r="CB677" s="128">
        <f>IFERROR(AQ677*$W677,)</f>
        <v/>
      </c>
      <c r="CC677" s="128">
        <f>IFERROR(AR677*$W677,)</f>
        <v/>
      </c>
      <c r="CD677" s="128">
        <f>IFERROR(AS677*$W677,)</f>
        <v/>
      </c>
      <c r="CE677" s="128">
        <f>IFERROR(AT677*$W677,)</f>
        <v/>
      </c>
      <c r="CF677" s="128">
        <f>IFERROR(AU677*$W677,)</f>
        <v/>
      </c>
      <c r="CG677" s="128">
        <f>IFERROR(AV677*$W677,)</f>
        <v/>
      </c>
      <c r="CH677" s="128">
        <f>IFERROR(AW677*$W677,)</f>
        <v/>
      </c>
      <c r="CI677" s="128">
        <f>IFERROR(AX677*$W677,)</f>
        <v/>
      </c>
      <c r="CJ677" s="128">
        <f>IFERROR(AY677*$W677,)</f>
        <v/>
      </c>
      <c r="CK677" s="128">
        <f>IFERROR(AZ677*$W677,)</f>
        <v/>
      </c>
      <c r="CL677" s="129">
        <f>IFERROR(if($Y677=0,BA677*($W677/1.2),BA677*$Y677),"")</f>
        <v/>
      </c>
      <c r="CM677" s="129">
        <f>IFERROR(if($Y677=0,BB677*($W677/1.2),BB677*$Y677),"")</f>
        <v/>
      </c>
      <c r="CN677" s="129">
        <f>IFERROR(if($Y677=0,BC677*($W677/1.2),BC677*$Y677),"")</f>
        <v/>
      </c>
      <c r="CO677" s="130">
        <f>IFERROR(if($AA677=0,($W677/1.35)*BD677,BD677*$AA677),)</f>
        <v/>
      </c>
      <c r="CP677" s="130">
        <f>IFERROR(if($AA677=0,($W677/1.35)*BE677,BE677*$AA677),)</f>
        <v/>
      </c>
      <c r="CQ677" s="130">
        <f>IFERROR(if($AA677=0,($W677/1.35)*BF677,BF677*$AA677),)</f>
        <v/>
      </c>
      <c r="CR677" s="128">
        <f>IFERROR(if($AC677=0,($W677/0.74)*BG677,
BG677*$AC677),)</f>
        <v/>
      </c>
      <c r="CS677" s="128">
        <f>IFERROR(if($AC677=0,($W677/0.74)*BH677,
BH677*$AC677),)</f>
        <v/>
      </c>
      <c r="CT677" s="128">
        <f>IFERROR(if($AC677=0,($W677/0.74)*BI677,
BI677*$AC677),)</f>
        <v/>
      </c>
      <c r="CU677" s="128">
        <f>IFERROR(AI677*$V677,)</f>
        <v/>
      </c>
      <c r="CV677" s="128">
        <f>IFERROR(AJ677*$V677,)</f>
        <v/>
      </c>
      <c r="CW677" s="128">
        <f>IFERROR(AK677*$V677,)</f>
        <v/>
      </c>
      <c r="CX677" s="128">
        <f>IFERROR(AL677*$V677,)</f>
        <v/>
      </c>
      <c r="CY677" s="128">
        <f>IFERROR(AM677*$V677,)</f>
        <v/>
      </c>
      <c r="CZ677" s="128">
        <f>IFERROR(AN677*$V677,)</f>
        <v/>
      </c>
      <c r="DA677" s="128">
        <f>IFERROR(AO677*$V677,)</f>
        <v/>
      </c>
      <c r="DB677" s="128">
        <f>IFERROR(AP677*$V677,)</f>
        <v/>
      </c>
      <c r="DC677" s="128">
        <f>IFERROR(AQ677*$V677,)</f>
        <v/>
      </c>
      <c r="DD677" s="128">
        <f>IFERROR(AR677*$V677,)</f>
        <v/>
      </c>
      <c r="DE677" s="128">
        <f>IFERROR(AS677*$V677,)</f>
        <v/>
      </c>
      <c r="DF677" s="128">
        <f>IFERROR(AT677*$V677,)</f>
        <v/>
      </c>
      <c r="DG677" s="128">
        <f>IFERROR(AU677*$V677,)</f>
        <v/>
      </c>
      <c r="DH677" s="128">
        <f>IFERROR(AV677*$V677,)</f>
        <v/>
      </c>
      <c r="DI677" s="128">
        <f>IFERROR(AW677*$V677,)</f>
        <v/>
      </c>
      <c r="DJ677" s="128">
        <f>IFERROR(AX677*$V677,)</f>
        <v/>
      </c>
      <c r="DK677" s="128">
        <f>IFERROR(AY677*$V677,)</f>
        <v/>
      </c>
      <c r="DL677" s="128">
        <f>IFERROR(AZ677*$V677,)</f>
        <v/>
      </c>
      <c r="DM677" s="129">
        <f>IFERROR(if($X677=0,($V677/1.2)*BA677,
BA677*$X677),)</f>
        <v/>
      </c>
      <c r="DN677" s="129">
        <f>IFERROR(if($X677=0,($V677/1.2)*BB677,
BB677*$X677),)</f>
        <v/>
      </c>
      <c r="DO677" s="129">
        <f>IFERROR(if($X677=0,($V677/1.2)*BC677,
BC677*$X677),)</f>
        <v/>
      </c>
      <c r="DP677" s="130">
        <f>IFERROR(if($Z677=0,($V677/1.35)*BD677,
BD677*$Z677),)</f>
        <v/>
      </c>
      <c r="DQ677" s="130">
        <f>IFERROR(if($Z677=0,($V677/1.35)*BE677,
BE677*$Z677),)</f>
        <v/>
      </c>
      <c r="DR677" s="130">
        <f>IFERROR(if($Z677=0,($V677/1.35)*BF677,
BF677*$Z677),)</f>
        <v/>
      </c>
      <c r="DS677" s="128">
        <f>IFERROR(IF($AB677=0,($V677/0.74)*BG677,
BG677*$AB677),)</f>
        <v/>
      </c>
      <c r="DT677" s="128">
        <f>IFERROR(IF($AB677=0,($V677/0.74)*BH677,
BH677*$AB677),)</f>
        <v/>
      </c>
      <c r="DU677" s="128">
        <f>IFERROR(IF($AB677=0,($V677/0.74)*BI677,
BI677*$AB677),)</f>
        <v/>
      </c>
    </row>
    <row r="678" ht="131.25" customHeight="1" s="162">
      <c r="A678" s="115" t="n"/>
      <c r="B678" s="115" t="n"/>
      <c r="C678" s="115" t="n"/>
      <c r="D678" s="115" t="n"/>
      <c r="E678" s="115" t="n"/>
      <c r="F678" s="115" t="n"/>
      <c r="G678" s="115" t="n"/>
      <c r="H678" s="115" t="n"/>
      <c r="I678" s="115" t="n"/>
      <c r="J678" s="115" t="n"/>
      <c r="K678" s="115" t="n"/>
      <c r="L678" s="115" t="n"/>
      <c r="M678" s="115" t="n"/>
      <c r="N678" s="115" t="n"/>
      <c r="O678" s="115" t="n"/>
      <c r="P678" s="115" t="n"/>
      <c r="Q678" s="115" t="n"/>
      <c r="R678" s="115" t="n"/>
      <c r="S678" s="115" t="n"/>
      <c r="T678" s="115" t="n"/>
      <c r="U678" s="116" t="n"/>
      <c r="V678" s="116" t="n"/>
      <c r="W678" s="117" t="n"/>
      <c r="X678" s="118" t="n"/>
      <c r="Y678" s="119" t="n"/>
      <c r="Z678" s="120" t="n"/>
      <c r="AA678" s="121" t="n"/>
      <c r="AB678" s="122" t="n"/>
      <c r="AC678" s="117" t="n"/>
      <c r="AD678" s="123">
        <f>IF(SUM($AE678:$AH678)=0,"",SUM($AE678:$AH678))</f>
        <v/>
      </c>
      <c r="AE678" s="123">
        <f>iferror(IF(SUM($AI678:$AZ678)=0,"",SUM($AI678:$AZ678)),"")</f>
        <v/>
      </c>
      <c r="AF678" s="123">
        <f>iferror(IF(SUM($BA678:$BC678)=0,"",SUM($BA678:$BC678)),"")</f>
        <v/>
      </c>
      <c r="AG678" s="123">
        <f>iferror(IF(SUM($BD678:$BF678)=0,"",SUM($BD678:$BF678)),"")</f>
        <v/>
      </c>
      <c r="AH678" s="124">
        <f>iferror(IF(SUM($BG678:$BI678)=0,"",SUM($BG678:$BI678)),"")</f>
        <v/>
      </c>
      <c r="AI678" s="131" t="n"/>
      <c r="AJ678" s="132" t="n"/>
      <c r="AK678" s="132" t="n"/>
      <c r="AL678" s="132" t="n"/>
      <c r="AM678" s="132" t="n"/>
      <c r="AN678" s="132" t="n"/>
      <c r="AO678" s="132" t="n"/>
      <c r="AP678" s="132" t="n"/>
      <c r="AQ678" s="132" t="n"/>
      <c r="AR678" s="132" t="n"/>
      <c r="AS678" s="132" t="n"/>
      <c r="AT678" s="132" t="n"/>
      <c r="AU678" s="132" t="n"/>
      <c r="AV678" s="132" t="n"/>
      <c r="AW678" s="132" t="n"/>
      <c r="AX678" s="132" t="n"/>
      <c r="AY678" s="132" t="n"/>
      <c r="AZ678" s="133" t="n"/>
      <c r="BA678" s="131" t="n"/>
      <c r="BB678" s="132" t="n"/>
      <c r="BC678" s="133" t="n"/>
      <c r="BD678" s="131" t="n"/>
      <c r="BE678" s="132" t="n"/>
      <c r="BF678" s="133" t="n"/>
      <c r="BG678" s="131" t="n"/>
      <c r="BH678" s="132" t="n"/>
      <c r="BI678" s="132" t="n"/>
      <c r="BJ678" s="128">
        <f>iferror(SUM($BK678,($BL678*1.2),($BM678*1.35),($BN678*0.74)),)</f>
        <v/>
      </c>
      <c r="BK678" s="128">
        <f>IFERROR(SUM($BT678:$CK678),)</f>
        <v/>
      </c>
      <c r="BL678" s="129">
        <f>IFERROR(SUM($CL678:$CN678),)</f>
        <v/>
      </c>
      <c r="BM678" s="130">
        <f>IFERROR(SUM($CO678:$CQ678),)</f>
        <v/>
      </c>
      <c r="BN678" s="128">
        <f>IFERROR(SUM($CR678:$CT678),)</f>
        <v/>
      </c>
      <c r="BO678" s="128">
        <f>iferror(SUM($BP678,($BQ678*1.2),($BR678*1.35),($BS678*0.74)),)</f>
        <v/>
      </c>
      <c r="BP678" s="128">
        <f>IFERROR(SUM($CU678:$DL678),)</f>
        <v/>
      </c>
      <c r="BQ678" s="128">
        <f>IFERROR(SUM($DM678:$DO678),)</f>
        <v/>
      </c>
      <c r="BR678" s="128">
        <f>IFERROR(SUM($DP678:$DR678),)</f>
        <v/>
      </c>
      <c r="BS678" s="128">
        <f>IFERROR(SUM($DS678:$DU678),)</f>
        <v/>
      </c>
      <c r="BT678" s="128">
        <f>IFERROR(AI678*$W678,)</f>
        <v/>
      </c>
      <c r="BU678" s="128">
        <f>IFERROR(AJ678*$W678,)</f>
        <v/>
      </c>
      <c r="BV678" s="128">
        <f>IFERROR(AK678*$W678,)</f>
        <v/>
      </c>
      <c r="BW678" s="128">
        <f>IFERROR(AL678*$W678,)</f>
        <v/>
      </c>
      <c r="BX678" s="128">
        <f>IFERROR(AM678*$W678,)</f>
        <v/>
      </c>
      <c r="BY678" s="128">
        <f>IFERROR(AN678*$W678,)</f>
        <v/>
      </c>
      <c r="BZ678" s="128">
        <f>IFERROR(AO678*$W678,)</f>
        <v/>
      </c>
      <c r="CA678" s="128">
        <f>IFERROR(AP678*$W678,)</f>
        <v/>
      </c>
      <c r="CB678" s="128">
        <f>IFERROR(AQ678*$W678,)</f>
        <v/>
      </c>
      <c r="CC678" s="128">
        <f>IFERROR(AR678*$W678,)</f>
        <v/>
      </c>
      <c r="CD678" s="128">
        <f>IFERROR(AS678*$W678,)</f>
        <v/>
      </c>
      <c r="CE678" s="128">
        <f>IFERROR(AT678*$W678,)</f>
        <v/>
      </c>
      <c r="CF678" s="128">
        <f>IFERROR(AU678*$W678,)</f>
        <v/>
      </c>
      <c r="CG678" s="128">
        <f>IFERROR(AV678*$W678,)</f>
        <v/>
      </c>
      <c r="CH678" s="128">
        <f>IFERROR(AW678*$W678,)</f>
        <v/>
      </c>
      <c r="CI678" s="128">
        <f>IFERROR(AX678*$W678,)</f>
        <v/>
      </c>
      <c r="CJ678" s="128">
        <f>IFERROR(AY678*$W678,)</f>
        <v/>
      </c>
      <c r="CK678" s="128">
        <f>IFERROR(AZ678*$W678,)</f>
        <v/>
      </c>
      <c r="CL678" s="129">
        <f>IFERROR(if($Y678=0,BA678*($W678/1.2),BA678*$Y678),"")</f>
        <v/>
      </c>
      <c r="CM678" s="129">
        <f>IFERROR(if($Y678=0,BB678*($W678/1.2),BB678*$Y678),"")</f>
        <v/>
      </c>
      <c r="CN678" s="129">
        <f>IFERROR(if($Y678=0,BC678*($W678/1.2),BC678*$Y678),"")</f>
        <v/>
      </c>
      <c r="CO678" s="130">
        <f>IFERROR(if($AA678=0,($W678/1.35)*BD678,BD678*$AA678),)</f>
        <v/>
      </c>
      <c r="CP678" s="130">
        <f>IFERROR(if($AA678=0,($W678/1.35)*BE678,BE678*$AA678),)</f>
        <v/>
      </c>
      <c r="CQ678" s="130">
        <f>IFERROR(if($AA678=0,($W678/1.35)*BF678,BF678*$AA678),)</f>
        <v/>
      </c>
      <c r="CR678" s="128">
        <f>IFERROR(if($AC678=0,($W678/0.74)*BG678,
BG678*$AC678),)</f>
        <v/>
      </c>
      <c r="CS678" s="128">
        <f>IFERROR(if($AC678=0,($W678/0.74)*BH678,
BH678*$AC678),)</f>
        <v/>
      </c>
      <c r="CT678" s="128">
        <f>IFERROR(if($AC678=0,($W678/0.74)*BI678,
BI678*$AC678),)</f>
        <v/>
      </c>
      <c r="CU678" s="128">
        <f>IFERROR(AI678*$V678,)</f>
        <v/>
      </c>
      <c r="CV678" s="128">
        <f>IFERROR(AJ678*$V678,)</f>
        <v/>
      </c>
      <c r="CW678" s="128">
        <f>IFERROR(AK678*$V678,)</f>
        <v/>
      </c>
      <c r="CX678" s="128">
        <f>IFERROR(AL678*$V678,)</f>
        <v/>
      </c>
      <c r="CY678" s="128">
        <f>IFERROR(AM678*$V678,)</f>
        <v/>
      </c>
      <c r="CZ678" s="128">
        <f>IFERROR(AN678*$V678,)</f>
        <v/>
      </c>
      <c r="DA678" s="128">
        <f>IFERROR(AO678*$V678,)</f>
        <v/>
      </c>
      <c r="DB678" s="128">
        <f>IFERROR(AP678*$V678,)</f>
        <v/>
      </c>
      <c r="DC678" s="128">
        <f>IFERROR(AQ678*$V678,)</f>
        <v/>
      </c>
      <c r="DD678" s="128">
        <f>IFERROR(AR678*$V678,)</f>
        <v/>
      </c>
      <c r="DE678" s="128">
        <f>IFERROR(AS678*$V678,)</f>
        <v/>
      </c>
      <c r="DF678" s="128">
        <f>IFERROR(AT678*$V678,)</f>
        <v/>
      </c>
      <c r="DG678" s="128">
        <f>IFERROR(AU678*$V678,)</f>
        <v/>
      </c>
      <c r="DH678" s="128">
        <f>IFERROR(AV678*$V678,)</f>
        <v/>
      </c>
      <c r="DI678" s="128">
        <f>IFERROR(AW678*$V678,)</f>
        <v/>
      </c>
      <c r="DJ678" s="128">
        <f>IFERROR(AX678*$V678,)</f>
        <v/>
      </c>
      <c r="DK678" s="128">
        <f>IFERROR(AY678*$V678,)</f>
        <v/>
      </c>
      <c r="DL678" s="128">
        <f>IFERROR(AZ678*$V678,)</f>
        <v/>
      </c>
      <c r="DM678" s="129">
        <f>IFERROR(if($X678=0,($V678/1.2)*BA678,
BA678*$X678),)</f>
        <v/>
      </c>
      <c r="DN678" s="129">
        <f>IFERROR(if($X678=0,($V678/1.2)*BB678,
BB678*$X678),)</f>
        <v/>
      </c>
      <c r="DO678" s="129">
        <f>IFERROR(if($X678=0,($V678/1.2)*BC678,
BC678*$X678),)</f>
        <v/>
      </c>
      <c r="DP678" s="130">
        <f>IFERROR(if($Z678=0,($V678/1.35)*BD678,
BD678*$Z678),)</f>
        <v/>
      </c>
      <c r="DQ678" s="130">
        <f>IFERROR(if($Z678=0,($V678/1.35)*BE678,
BE678*$Z678),)</f>
        <v/>
      </c>
      <c r="DR678" s="130">
        <f>IFERROR(if($Z678=0,($V678/1.35)*BF678,
BF678*$Z678),)</f>
        <v/>
      </c>
      <c r="DS678" s="128">
        <f>IFERROR(IF($AB678=0,($V678/0.74)*BG678,
BG678*$AB678),)</f>
        <v/>
      </c>
      <c r="DT678" s="128">
        <f>IFERROR(IF($AB678=0,($V678/0.74)*BH678,
BH678*$AB678),)</f>
        <v/>
      </c>
      <c r="DU678" s="128">
        <f>IFERROR(IF($AB678=0,($V678/0.74)*BI678,
BI678*$AB678),)</f>
        <v/>
      </c>
    </row>
    <row r="679" ht="131.25" customHeight="1" s="162">
      <c r="A679" s="115" t="n"/>
      <c r="B679" s="115" t="n"/>
      <c r="C679" s="115" t="n"/>
      <c r="D679" s="115" t="n"/>
      <c r="E679" s="115" t="n"/>
      <c r="F679" s="115" t="n"/>
      <c r="G679" s="115" t="n"/>
      <c r="H679" s="115" t="n"/>
      <c r="I679" s="115" t="n"/>
      <c r="J679" s="115" t="n"/>
      <c r="K679" s="115" t="n"/>
      <c r="L679" s="115" t="n"/>
      <c r="M679" s="115" t="n"/>
      <c r="N679" s="115" t="n"/>
      <c r="O679" s="115" t="n"/>
      <c r="P679" s="115" t="n"/>
      <c r="Q679" s="115" t="n"/>
      <c r="R679" s="115" t="n"/>
      <c r="S679" s="115" t="n"/>
      <c r="T679" s="115" t="n"/>
      <c r="U679" s="116" t="n"/>
      <c r="V679" s="116" t="n"/>
      <c r="W679" s="117" t="n"/>
      <c r="X679" s="118" t="n"/>
      <c r="Y679" s="119" t="n"/>
      <c r="Z679" s="120" t="n"/>
      <c r="AA679" s="121" t="n"/>
      <c r="AB679" s="122" t="n"/>
      <c r="AC679" s="117" t="n"/>
      <c r="AD679" s="123">
        <f>IF(SUM($AE679:$AH679)=0,"",SUM($AE679:$AH679))</f>
        <v/>
      </c>
      <c r="AE679" s="123">
        <f>iferror(IF(SUM($AI679:$AZ679)=0,"",SUM($AI679:$AZ679)),"")</f>
        <v/>
      </c>
      <c r="AF679" s="123">
        <f>iferror(IF(SUM($BA679:$BC679)=0,"",SUM($BA679:$BC679)),"")</f>
        <v/>
      </c>
      <c r="AG679" s="123">
        <f>iferror(IF(SUM($BD679:$BF679)=0,"",SUM($BD679:$BF679)),"")</f>
        <v/>
      </c>
      <c r="AH679" s="124">
        <f>iferror(IF(SUM($BG679:$BI679)=0,"",SUM($BG679:$BI679)),"")</f>
        <v/>
      </c>
      <c r="AI679" s="131" t="n"/>
      <c r="AJ679" s="132" t="n"/>
      <c r="AK679" s="132" t="n"/>
      <c r="AL679" s="132" t="n"/>
      <c r="AM679" s="132" t="n"/>
      <c r="AN679" s="132" t="n"/>
      <c r="AO679" s="132" t="n"/>
      <c r="AP679" s="132" t="n"/>
      <c r="AQ679" s="132" t="n"/>
      <c r="AR679" s="132" t="n"/>
      <c r="AS679" s="132" t="n"/>
      <c r="AT679" s="132" t="n"/>
      <c r="AU679" s="132" t="n"/>
      <c r="AV679" s="132" t="n"/>
      <c r="AW679" s="132" t="n"/>
      <c r="AX679" s="132" t="n"/>
      <c r="AY679" s="132" t="n"/>
      <c r="AZ679" s="133" t="n"/>
      <c r="BA679" s="131" t="n"/>
      <c r="BB679" s="132" t="n"/>
      <c r="BC679" s="133" t="n"/>
      <c r="BD679" s="131" t="n"/>
      <c r="BE679" s="132" t="n"/>
      <c r="BF679" s="133" t="n"/>
      <c r="BG679" s="131" t="n"/>
      <c r="BH679" s="132" t="n"/>
      <c r="BI679" s="132" t="n"/>
      <c r="BJ679" s="128">
        <f>iferror(SUM($BK679,($BL679*1.2),($BM679*1.35),($BN679*0.74)),)</f>
        <v/>
      </c>
      <c r="BK679" s="128">
        <f>IFERROR(SUM($BT679:$CK679),)</f>
        <v/>
      </c>
      <c r="BL679" s="129">
        <f>IFERROR(SUM($CL679:$CN679),)</f>
        <v/>
      </c>
      <c r="BM679" s="130">
        <f>IFERROR(SUM($CO679:$CQ679),)</f>
        <v/>
      </c>
      <c r="BN679" s="128">
        <f>IFERROR(SUM($CR679:$CT679),)</f>
        <v/>
      </c>
      <c r="BO679" s="128">
        <f>iferror(SUM($BP679,($BQ679*1.2),($BR679*1.35),($BS679*0.74)),)</f>
        <v/>
      </c>
      <c r="BP679" s="128">
        <f>IFERROR(SUM($CU679:$DL679),)</f>
        <v/>
      </c>
      <c r="BQ679" s="128">
        <f>IFERROR(SUM($DM679:$DO679),)</f>
        <v/>
      </c>
      <c r="BR679" s="128">
        <f>IFERROR(SUM($DP679:$DR679),)</f>
        <v/>
      </c>
      <c r="BS679" s="128">
        <f>IFERROR(SUM($DS679:$DU679),)</f>
        <v/>
      </c>
      <c r="BT679" s="128">
        <f>IFERROR(AI679*$W679,)</f>
        <v/>
      </c>
      <c r="BU679" s="128">
        <f>IFERROR(AJ679*$W679,)</f>
        <v/>
      </c>
      <c r="BV679" s="128">
        <f>IFERROR(AK679*$W679,)</f>
        <v/>
      </c>
      <c r="BW679" s="128">
        <f>IFERROR(AL679*$W679,)</f>
        <v/>
      </c>
      <c r="BX679" s="128">
        <f>IFERROR(AM679*$W679,)</f>
        <v/>
      </c>
      <c r="BY679" s="128">
        <f>IFERROR(AN679*$W679,)</f>
        <v/>
      </c>
      <c r="BZ679" s="128">
        <f>IFERROR(AO679*$W679,)</f>
        <v/>
      </c>
      <c r="CA679" s="128">
        <f>IFERROR(AP679*$W679,)</f>
        <v/>
      </c>
      <c r="CB679" s="128">
        <f>IFERROR(AQ679*$W679,)</f>
        <v/>
      </c>
      <c r="CC679" s="128">
        <f>IFERROR(AR679*$W679,)</f>
        <v/>
      </c>
      <c r="CD679" s="128">
        <f>IFERROR(AS679*$W679,)</f>
        <v/>
      </c>
      <c r="CE679" s="128">
        <f>IFERROR(AT679*$W679,)</f>
        <v/>
      </c>
      <c r="CF679" s="128">
        <f>IFERROR(AU679*$W679,)</f>
        <v/>
      </c>
      <c r="CG679" s="128">
        <f>IFERROR(AV679*$W679,)</f>
        <v/>
      </c>
      <c r="CH679" s="128">
        <f>IFERROR(AW679*$W679,)</f>
        <v/>
      </c>
      <c r="CI679" s="128">
        <f>IFERROR(AX679*$W679,)</f>
        <v/>
      </c>
      <c r="CJ679" s="128">
        <f>IFERROR(AY679*$W679,)</f>
        <v/>
      </c>
      <c r="CK679" s="128">
        <f>IFERROR(AZ679*$W679,)</f>
        <v/>
      </c>
      <c r="CL679" s="129">
        <f>IFERROR(if($Y679=0,BA679*($W679/1.2),BA679*$Y679),"")</f>
        <v/>
      </c>
      <c r="CM679" s="129">
        <f>IFERROR(if($Y679=0,BB679*($W679/1.2),BB679*$Y679),"")</f>
        <v/>
      </c>
      <c r="CN679" s="129">
        <f>IFERROR(if($Y679=0,BC679*($W679/1.2),BC679*$Y679),"")</f>
        <v/>
      </c>
      <c r="CO679" s="130">
        <f>IFERROR(if($AA679=0,($W679/1.35)*BD679,BD679*$AA679),)</f>
        <v/>
      </c>
      <c r="CP679" s="130">
        <f>IFERROR(if($AA679=0,($W679/1.35)*BE679,BE679*$AA679),)</f>
        <v/>
      </c>
      <c r="CQ679" s="130">
        <f>IFERROR(if($AA679=0,($W679/1.35)*BF679,BF679*$AA679),)</f>
        <v/>
      </c>
      <c r="CR679" s="128">
        <f>IFERROR(if($AC679=0,($W679/0.74)*BG679,
BG679*$AC679),)</f>
        <v/>
      </c>
      <c r="CS679" s="128">
        <f>IFERROR(if($AC679=0,($W679/0.74)*BH679,
BH679*$AC679),)</f>
        <v/>
      </c>
      <c r="CT679" s="128">
        <f>IFERROR(if($AC679=0,($W679/0.74)*BI679,
BI679*$AC679),)</f>
        <v/>
      </c>
      <c r="CU679" s="128">
        <f>IFERROR(AI679*$V679,)</f>
        <v/>
      </c>
      <c r="CV679" s="128">
        <f>IFERROR(AJ679*$V679,)</f>
        <v/>
      </c>
      <c r="CW679" s="128">
        <f>IFERROR(AK679*$V679,)</f>
        <v/>
      </c>
      <c r="CX679" s="128">
        <f>IFERROR(AL679*$V679,)</f>
        <v/>
      </c>
      <c r="CY679" s="128">
        <f>IFERROR(AM679*$V679,)</f>
        <v/>
      </c>
      <c r="CZ679" s="128">
        <f>IFERROR(AN679*$V679,)</f>
        <v/>
      </c>
      <c r="DA679" s="128">
        <f>IFERROR(AO679*$V679,)</f>
        <v/>
      </c>
      <c r="DB679" s="128">
        <f>IFERROR(AP679*$V679,)</f>
        <v/>
      </c>
      <c r="DC679" s="128">
        <f>IFERROR(AQ679*$V679,)</f>
        <v/>
      </c>
      <c r="DD679" s="128">
        <f>IFERROR(AR679*$V679,)</f>
        <v/>
      </c>
      <c r="DE679" s="128">
        <f>IFERROR(AS679*$V679,)</f>
        <v/>
      </c>
      <c r="DF679" s="128">
        <f>IFERROR(AT679*$V679,)</f>
        <v/>
      </c>
      <c r="DG679" s="128">
        <f>IFERROR(AU679*$V679,)</f>
        <v/>
      </c>
      <c r="DH679" s="128">
        <f>IFERROR(AV679*$V679,)</f>
        <v/>
      </c>
      <c r="DI679" s="128">
        <f>IFERROR(AW679*$V679,)</f>
        <v/>
      </c>
      <c r="DJ679" s="128">
        <f>IFERROR(AX679*$V679,)</f>
        <v/>
      </c>
      <c r="DK679" s="128">
        <f>IFERROR(AY679*$V679,)</f>
        <v/>
      </c>
      <c r="DL679" s="128">
        <f>IFERROR(AZ679*$V679,)</f>
        <v/>
      </c>
      <c r="DM679" s="129">
        <f>IFERROR(if($X679=0,($V679/1.2)*BA679,
BA679*$X679),)</f>
        <v/>
      </c>
      <c r="DN679" s="129">
        <f>IFERROR(if($X679=0,($V679/1.2)*BB679,
BB679*$X679),)</f>
        <v/>
      </c>
      <c r="DO679" s="129">
        <f>IFERROR(if($X679=0,($V679/1.2)*BC679,
BC679*$X679),)</f>
        <v/>
      </c>
      <c r="DP679" s="130">
        <f>IFERROR(if($Z679=0,($V679/1.35)*BD679,
BD679*$Z679),)</f>
        <v/>
      </c>
      <c r="DQ679" s="130">
        <f>IFERROR(if($Z679=0,($V679/1.35)*BE679,
BE679*$Z679),)</f>
        <v/>
      </c>
      <c r="DR679" s="130">
        <f>IFERROR(if($Z679=0,($V679/1.35)*BF679,
BF679*$Z679),)</f>
        <v/>
      </c>
      <c r="DS679" s="128">
        <f>IFERROR(IF($AB679=0,($V679/0.74)*BG679,
BG679*$AB679),)</f>
        <v/>
      </c>
      <c r="DT679" s="128">
        <f>IFERROR(IF($AB679=0,($V679/0.74)*BH679,
BH679*$AB679),)</f>
        <v/>
      </c>
      <c r="DU679" s="128">
        <f>IFERROR(IF($AB679=0,($V679/0.74)*BI679,
BI679*$AB679),)</f>
        <v/>
      </c>
    </row>
    <row r="680" ht="131.25" customHeight="1" s="162">
      <c r="A680" s="115" t="n"/>
      <c r="B680" s="115" t="n"/>
      <c r="C680" s="115" t="n"/>
      <c r="D680" s="115" t="n"/>
      <c r="E680" s="115" t="n"/>
      <c r="F680" s="115" t="n"/>
      <c r="G680" s="115" t="n"/>
      <c r="H680" s="115" t="n"/>
      <c r="I680" s="115" t="n"/>
      <c r="J680" s="115" t="n"/>
      <c r="K680" s="115" t="n"/>
      <c r="L680" s="115" t="n"/>
      <c r="M680" s="115" t="n"/>
      <c r="N680" s="115" t="n"/>
      <c r="O680" s="115" t="n"/>
      <c r="P680" s="115" t="n"/>
      <c r="Q680" s="115" t="n"/>
      <c r="R680" s="115" t="n"/>
      <c r="S680" s="115" t="n"/>
      <c r="T680" s="115" t="n"/>
      <c r="U680" s="116" t="n"/>
      <c r="V680" s="116" t="n"/>
      <c r="W680" s="117" t="n"/>
      <c r="X680" s="118" t="n"/>
      <c r="Y680" s="119" t="n"/>
      <c r="Z680" s="120" t="n"/>
      <c r="AA680" s="121" t="n"/>
      <c r="AB680" s="122" t="n"/>
      <c r="AC680" s="117" t="n"/>
      <c r="AD680" s="123">
        <f>IF(SUM($AE680:$AH680)=0,"",SUM($AE680:$AH680))</f>
        <v/>
      </c>
      <c r="AE680" s="123">
        <f>iferror(IF(SUM($AI680:$AZ680)=0,"",SUM($AI680:$AZ680)),"")</f>
        <v/>
      </c>
      <c r="AF680" s="123">
        <f>iferror(IF(SUM($BA680:$BC680)=0,"",SUM($BA680:$BC680)),"")</f>
        <v/>
      </c>
      <c r="AG680" s="123">
        <f>iferror(IF(SUM($BD680:$BF680)=0,"",SUM($BD680:$BF680)),"")</f>
        <v/>
      </c>
      <c r="AH680" s="124">
        <f>iferror(IF(SUM($BG680:$BI680)=0,"",SUM($BG680:$BI680)),"")</f>
        <v/>
      </c>
      <c r="AI680" s="131" t="n"/>
      <c r="AJ680" s="132" t="n"/>
      <c r="AK680" s="132" t="n"/>
      <c r="AL680" s="132" t="n"/>
      <c r="AM680" s="132" t="n"/>
      <c r="AN680" s="132" t="n"/>
      <c r="AO680" s="132" t="n"/>
      <c r="AP680" s="132" t="n"/>
      <c r="AQ680" s="132" t="n"/>
      <c r="AR680" s="132" t="n"/>
      <c r="AS680" s="132" t="n"/>
      <c r="AT680" s="132" t="n"/>
      <c r="AU680" s="132" t="n"/>
      <c r="AV680" s="132" t="n"/>
      <c r="AW680" s="132" t="n"/>
      <c r="AX680" s="132" t="n"/>
      <c r="AY680" s="132" t="n"/>
      <c r="AZ680" s="133" t="n"/>
      <c r="BA680" s="131" t="n"/>
      <c r="BB680" s="132" t="n"/>
      <c r="BC680" s="133" t="n"/>
      <c r="BD680" s="131" t="n"/>
      <c r="BE680" s="132" t="n"/>
      <c r="BF680" s="133" t="n"/>
      <c r="BG680" s="131" t="n"/>
      <c r="BH680" s="132" t="n"/>
      <c r="BI680" s="132" t="n"/>
      <c r="BJ680" s="128">
        <f>iferror(SUM($BK680,($BL680*1.2),($BM680*1.35),($BN680*0.74)),)</f>
        <v/>
      </c>
      <c r="BK680" s="128">
        <f>IFERROR(SUM($BT680:$CK680),)</f>
        <v/>
      </c>
      <c r="BL680" s="129">
        <f>IFERROR(SUM($CL680:$CN680),)</f>
        <v/>
      </c>
      <c r="BM680" s="130">
        <f>IFERROR(SUM($CO680:$CQ680),)</f>
        <v/>
      </c>
      <c r="BN680" s="128">
        <f>IFERROR(SUM($CR680:$CT680),)</f>
        <v/>
      </c>
      <c r="BO680" s="128">
        <f>iferror(SUM($BP680,($BQ680*1.2),($BR680*1.35),($BS680*0.74)),)</f>
        <v/>
      </c>
      <c r="BP680" s="128">
        <f>IFERROR(SUM($CU680:$DL680),)</f>
        <v/>
      </c>
      <c r="BQ680" s="128">
        <f>IFERROR(SUM($DM680:$DO680),)</f>
        <v/>
      </c>
      <c r="BR680" s="128">
        <f>IFERROR(SUM($DP680:$DR680),)</f>
        <v/>
      </c>
      <c r="BS680" s="128">
        <f>IFERROR(SUM($DS680:$DU680),)</f>
        <v/>
      </c>
      <c r="BT680" s="128">
        <f>IFERROR(AI680*$W680,)</f>
        <v/>
      </c>
      <c r="BU680" s="128">
        <f>IFERROR(AJ680*$W680,)</f>
        <v/>
      </c>
      <c r="BV680" s="128">
        <f>IFERROR(AK680*$W680,)</f>
        <v/>
      </c>
      <c r="BW680" s="128">
        <f>IFERROR(AL680*$W680,)</f>
        <v/>
      </c>
      <c r="BX680" s="128">
        <f>IFERROR(AM680*$W680,)</f>
        <v/>
      </c>
      <c r="BY680" s="128">
        <f>IFERROR(AN680*$W680,)</f>
        <v/>
      </c>
      <c r="BZ680" s="128">
        <f>IFERROR(AO680*$W680,)</f>
        <v/>
      </c>
      <c r="CA680" s="128">
        <f>IFERROR(AP680*$W680,)</f>
        <v/>
      </c>
      <c r="CB680" s="128">
        <f>IFERROR(AQ680*$W680,)</f>
        <v/>
      </c>
      <c r="CC680" s="128">
        <f>IFERROR(AR680*$W680,)</f>
        <v/>
      </c>
      <c r="CD680" s="128">
        <f>IFERROR(AS680*$W680,)</f>
        <v/>
      </c>
      <c r="CE680" s="128">
        <f>IFERROR(AT680*$W680,)</f>
        <v/>
      </c>
      <c r="CF680" s="128">
        <f>IFERROR(AU680*$W680,)</f>
        <v/>
      </c>
      <c r="CG680" s="128">
        <f>IFERROR(AV680*$W680,)</f>
        <v/>
      </c>
      <c r="CH680" s="128">
        <f>IFERROR(AW680*$W680,)</f>
        <v/>
      </c>
      <c r="CI680" s="128">
        <f>IFERROR(AX680*$W680,)</f>
        <v/>
      </c>
      <c r="CJ680" s="128">
        <f>IFERROR(AY680*$W680,)</f>
        <v/>
      </c>
      <c r="CK680" s="128">
        <f>IFERROR(AZ680*$W680,)</f>
        <v/>
      </c>
      <c r="CL680" s="129">
        <f>IFERROR(if($Y680=0,BA680*($W680/1.2),BA680*$Y680),"")</f>
        <v/>
      </c>
      <c r="CM680" s="129">
        <f>IFERROR(if($Y680=0,BB680*($W680/1.2),BB680*$Y680),"")</f>
        <v/>
      </c>
      <c r="CN680" s="129">
        <f>IFERROR(if($Y680=0,BC680*($W680/1.2),BC680*$Y680),"")</f>
        <v/>
      </c>
      <c r="CO680" s="130">
        <f>IFERROR(if($AA680=0,($W680/1.35)*BD680,BD680*$AA680),)</f>
        <v/>
      </c>
      <c r="CP680" s="130">
        <f>IFERROR(if($AA680=0,($W680/1.35)*BE680,BE680*$AA680),)</f>
        <v/>
      </c>
      <c r="CQ680" s="130">
        <f>IFERROR(if($AA680=0,($W680/1.35)*BF680,BF680*$AA680),)</f>
        <v/>
      </c>
      <c r="CR680" s="128">
        <f>IFERROR(if($AC680=0,($W680/0.74)*BG680,
BG680*$AC680),)</f>
        <v/>
      </c>
      <c r="CS680" s="128">
        <f>IFERROR(if($AC680=0,($W680/0.74)*BH680,
BH680*$AC680),)</f>
        <v/>
      </c>
      <c r="CT680" s="128">
        <f>IFERROR(if($AC680=0,($W680/0.74)*BI680,
BI680*$AC680),)</f>
        <v/>
      </c>
      <c r="CU680" s="128">
        <f>IFERROR(AI680*$V680,)</f>
        <v/>
      </c>
      <c r="CV680" s="128">
        <f>IFERROR(AJ680*$V680,)</f>
        <v/>
      </c>
      <c r="CW680" s="128">
        <f>IFERROR(AK680*$V680,)</f>
        <v/>
      </c>
      <c r="CX680" s="128">
        <f>IFERROR(AL680*$V680,)</f>
        <v/>
      </c>
      <c r="CY680" s="128">
        <f>IFERROR(AM680*$V680,)</f>
        <v/>
      </c>
      <c r="CZ680" s="128">
        <f>IFERROR(AN680*$V680,)</f>
        <v/>
      </c>
      <c r="DA680" s="128">
        <f>IFERROR(AO680*$V680,)</f>
        <v/>
      </c>
      <c r="DB680" s="128">
        <f>IFERROR(AP680*$V680,)</f>
        <v/>
      </c>
      <c r="DC680" s="128">
        <f>IFERROR(AQ680*$V680,)</f>
        <v/>
      </c>
      <c r="DD680" s="128">
        <f>IFERROR(AR680*$V680,)</f>
        <v/>
      </c>
      <c r="DE680" s="128">
        <f>IFERROR(AS680*$V680,)</f>
        <v/>
      </c>
      <c r="DF680" s="128">
        <f>IFERROR(AT680*$V680,)</f>
        <v/>
      </c>
      <c r="DG680" s="128">
        <f>IFERROR(AU680*$V680,)</f>
        <v/>
      </c>
      <c r="DH680" s="128">
        <f>IFERROR(AV680*$V680,)</f>
        <v/>
      </c>
      <c r="DI680" s="128">
        <f>IFERROR(AW680*$V680,)</f>
        <v/>
      </c>
      <c r="DJ680" s="128">
        <f>IFERROR(AX680*$V680,)</f>
        <v/>
      </c>
      <c r="DK680" s="128">
        <f>IFERROR(AY680*$V680,)</f>
        <v/>
      </c>
      <c r="DL680" s="128">
        <f>IFERROR(AZ680*$V680,)</f>
        <v/>
      </c>
      <c r="DM680" s="129">
        <f>IFERROR(if($X680=0,($V680/1.2)*BA680,
BA680*$X680),)</f>
        <v/>
      </c>
      <c r="DN680" s="129">
        <f>IFERROR(if($X680=0,($V680/1.2)*BB680,
BB680*$X680),)</f>
        <v/>
      </c>
      <c r="DO680" s="129">
        <f>IFERROR(if($X680=0,($V680/1.2)*BC680,
BC680*$X680),)</f>
        <v/>
      </c>
      <c r="DP680" s="130">
        <f>IFERROR(if($Z680=0,($V680/1.35)*BD680,
BD680*$Z680),)</f>
        <v/>
      </c>
      <c r="DQ680" s="130">
        <f>IFERROR(if($Z680=0,($V680/1.35)*BE680,
BE680*$Z680),)</f>
        <v/>
      </c>
      <c r="DR680" s="130">
        <f>IFERROR(if($Z680=0,($V680/1.35)*BF680,
BF680*$Z680),)</f>
        <v/>
      </c>
      <c r="DS680" s="128">
        <f>IFERROR(IF($AB680=0,($V680/0.74)*BG680,
BG680*$AB680),)</f>
        <v/>
      </c>
      <c r="DT680" s="128">
        <f>IFERROR(IF($AB680=0,($V680/0.74)*BH680,
BH680*$AB680),)</f>
        <v/>
      </c>
      <c r="DU680" s="128">
        <f>IFERROR(IF($AB680=0,($V680/0.74)*BI680,
BI680*$AB680),)</f>
        <v/>
      </c>
    </row>
    <row r="681" ht="131.25" customHeight="1" s="162">
      <c r="A681" s="115" t="n"/>
      <c r="B681" s="115" t="n"/>
      <c r="C681" s="115" t="n"/>
      <c r="D681" s="115" t="n"/>
      <c r="E681" s="115" t="n"/>
      <c r="F681" s="115" t="n"/>
      <c r="G681" s="115" t="n"/>
      <c r="H681" s="115" t="n"/>
      <c r="I681" s="115" t="n"/>
      <c r="J681" s="115" t="n"/>
      <c r="K681" s="115" t="n"/>
      <c r="L681" s="115" t="n"/>
      <c r="M681" s="115" t="n"/>
      <c r="N681" s="115" t="n"/>
      <c r="O681" s="115" t="n"/>
      <c r="P681" s="115" t="n"/>
      <c r="Q681" s="115" t="n"/>
      <c r="R681" s="115" t="n"/>
      <c r="S681" s="115" t="n"/>
      <c r="T681" s="115" t="n"/>
      <c r="U681" s="116" t="n"/>
      <c r="V681" s="116" t="n"/>
      <c r="W681" s="117" t="n"/>
      <c r="X681" s="118" t="n"/>
      <c r="Y681" s="119" t="n"/>
      <c r="Z681" s="120" t="n"/>
      <c r="AA681" s="121" t="n"/>
      <c r="AB681" s="122" t="n"/>
      <c r="AC681" s="117" t="n"/>
      <c r="AD681" s="123">
        <f>IF(SUM($AE681:$AH681)=0,"",SUM($AE681:$AH681))</f>
        <v/>
      </c>
      <c r="AE681" s="123">
        <f>iferror(IF(SUM($AI681:$AZ681)=0,"",SUM($AI681:$AZ681)),"")</f>
        <v/>
      </c>
      <c r="AF681" s="123">
        <f>iferror(IF(SUM($BA681:$BC681)=0,"",SUM($BA681:$BC681)),"")</f>
        <v/>
      </c>
      <c r="AG681" s="123">
        <f>iferror(IF(SUM($BD681:$BF681)=0,"",SUM($BD681:$BF681)),"")</f>
        <v/>
      </c>
      <c r="AH681" s="124">
        <f>iferror(IF(SUM($BG681:$BI681)=0,"",SUM($BG681:$BI681)),"")</f>
        <v/>
      </c>
      <c r="AI681" s="131" t="n"/>
      <c r="AJ681" s="132" t="n"/>
      <c r="AK681" s="132" t="n"/>
      <c r="AL681" s="132" t="n"/>
      <c r="AM681" s="132" t="n"/>
      <c r="AN681" s="132" t="n"/>
      <c r="AO681" s="132" t="n"/>
      <c r="AP681" s="132" t="n"/>
      <c r="AQ681" s="132" t="n"/>
      <c r="AR681" s="132" t="n"/>
      <c r="AS681" s="132" t="n"/>
      <c r="AT681" s="132" t="n"/>
      <c r="AU681" s="132" t="n"/>
      <c r="AV681" s="132" t="n"/>
      <c r="AW681" s="132" t="n"/>
      <c r="AX681" s="132" t="n"/>
      <c r="AY681" s="132" t="n"/>
      <c r="AZ681" s="133" t="n"/>
      <c r="BA681" s="131" t="n"/>
      <c r="BB681" s="132" t="n"/>
      <c r="BC681" s="133" t="n"/>
      <c r="BD681" s="131" t="n"/>
      <c r="BE681" s="132" t="n"/>
      <c r="BF681" s="133" t="n"/>
      <c r="BG681" s="131" t="n"/>
      <c r="BH681" s="132" t="n"/>
      <c r="BI681" s="132" t="n"/>
      <c r="BJ681" s="128">
        <f>iferror(SUM($BK681,($BL681*1.2),($BM681*1.35),($BN681*0.74)),)</f>
        <v/>
      </c>
      <c r="BK681" s="128">
        <f>IFERROR(SUM($BT681:$CK681),)</f>
        <v/>
      </c>
      <c r="BL681" s="129">
        <f>IFERROR(SUM($CL681:$CN681),)</f>
        <v/>
      </c>
      <c r="BM681" s="130">
        <f>IFERROR(SUM($CO681:$CQ681),)</f>
        <v/>
      </c>
      <c r="BN681" s="128">
        <f>IFERROR(SUM($CR681:$CT681),)</f>
        <v/>
      </c>
      <c r="BO681" s="128">
        <f>iferror(SUM($BP681,($BQ681*1.2),($BR681*1.35),($BS681*0.74)),)</f>
        <v/>
      </c>
      <c r="BP681" s="128">
        <f>IFERROR(SUM($CU681:$DL681),)</f>
        <v/>
      </c>
      <c r="BQ681" s="128">
        <f>IFERROR(SUM($DM681:$DO681),)</f>
        <v/>
      </c>
      <c r="BR681" s="128">
        <f>IFERROR(SUM($DP681:$DR681),)</f>
        <v/>
      </c>
      <c r="BS681" s="128">
        <f>IFERROR(SUM($DS681:$DU681),)</f>
        <v/>
      </c>
      <c r="BT681" s="128">
        <f>IFERROR(AI681*$W681,)</f>
        <v/>
      </c>
      <c r="BU681" s="128">
        <f>IFERROR(AJ681*$W681,)</f>
        <v/>
      </c>
      <c r="BV681" s="128">
        <f>IFERROR(AK681*$W681,)</f>
        <v/>
      </c>
      <c r="BW681" s="128">
        <f>IFERROR(AL681*$W681,)</f>
        <v/>
      </c>
      <c r="BX681" s="128">
        <f>IFERROR(AM681*$W681,)</f>
        <v/>
      </c>
      <c r="BY681" s="128">
        <f>IFERROR(AN681*$W681,)</f>
        <v/>
      </c>
      <c r="BZ681" s="128">
        <f>IFERROR(AO681*$W681,)</f>
        <v/>
      </c>
      <c r="CA681" s="128">
        <f>IFERROR(AP681*$W681,)</f>
        <v/>
      </c>
      <c r="CB681" s="128">
        <f>IFERROR(AQ681*$W681,)</f>
        <v/>
      </c>
      <c r="CC681" s="128">
        <f>IFERROR(AR681*$W681,)</f>
        <v/>
      </c>
      <c r="CD681" s="128">
        <f>IFERROR(AS681*$W681,)</f>
        <v/>
      </c>
      <c r="CE681" s="128">
        <f>IFERROR(AT681*$W681,)</f>
        <v/>
      </c>
      <c r="CF681" s="128">
        <f>IFERROR(AU681*$W681,)</f>
        <v/>
      </c>
      <c r="CG681" s="128">
        <f>IFERROR(AV681*$W681,)</f>
        <v/>
      </c>
      <c r="CH681" s="128">
        <f>IFERROR(AW681*$W681,)</f>
        <v/>
      </c>
      <c r="CI681" s="128">
        <f>IFERROR(AX681*$W681,)</f>
        <v/>
      </c>
      <c r="CJ681" s="128">
        <f>IFERROR(AY681*$W681,)</f>
        <v/>
      </c>
      <c r="CK681" s="128">
        <f>IFERROR(AZ681*$W681,)</f>
        <v/>
      </c>
      <c r="CL681" s="129">
        <f>IFERROR(if($Y681=0,BA681*($W681/1.2),BA681*$Y681),"")</f>
        <v/>
      </c>
      <c r="CM681" s="129">
        <f>IFERROR(if($Y681=0,BB681*($W681/1.2),BB681*$Y681),"")</f>
        <v/>
      </c>
      <c r="CN681" s="129">
        <f>IFERROR(if($Y681=0,BC681*($W681/1.2),BC681*$Y681),"")</f>
        <v/>
      </c>
      <c r="CO681" s="130">
        <f>IFERROR(if($AA681=0,($W681/1.35)*BD681,BD681*$AA681),)</f>
        <v/>
      </c>
      <c r="CP681" s="130">
        <f>IFERROR(if($AA681=0,($W681/1.35)*BE681,BE681*$AA681),)</f>
        <v/>
      </c>
      <c r="CQ681" s="130">
        <f>IFERROR(if($AA681=0,($W681/1.35)*BF681,BF681*$AA681),)</f>
        <v/>
      </c>
      <c r="CR681" s="128">
        <f>IFERROR(if($AC681=0,($W681/0.74)*BG681,
BG681*$AC681),)</f>
        <v/>
      </c>
      <c r="CS681" s="128">
        <f>IFERROR(if($AC681=0,($W681/0.74)*BH681,
BH681*$AC681),)</f>
        <v/>
      </c>
      <c r="CT681" s="128">
        <f>IFERROR(if($AC681=0,($W681/0.74)*BI681,
BI681*$AC681),)</f>
        <v/>
      </c>
      <c r="CU681" s="128">
        <f>IFERROR(AI681*$V681,)</f>
        <v/>
      </c>
      <c r="CV681" s="128">
        <f>IFERROR(AJ681*$V681,)</f>
        <v/>
      </c>
      <c r="CW681" s="128">
        <f>IFERROR(AK681*$V681,)</f>
        <v/>
      </c>
      <c r="CX681" s="128">
        <f>IFERROR(AL681*$V681,)</f>
        <v/>
      </c>
      <c r="CY681" s="128">
        <f>IFERROR(AM681*$V681,)</f>
        <v/>
      </c>
      <c r="CZ681" s="128">
        <f>IFERROR(AN681*$V681,)</f>
        <v/>
      </c>
      <c r="DA681" s="128">
        <f>IFERROR(AO681*$V681,)</f>
        <v/>
      </c>
      <c r="DB681" s="128">
        <f>IFERROR(AP681*$V681,)</f>
        <v/>
      </c>
      <c r="DC681" s="128">
        <f>IFERROR(AQ681*$V681,)</f>
        <v/>
      </c>
      <c r="DD681" s="128">
        <f>IFERROR(AR681*$V681,)</f>
        <v/>
      </c>
      <c r="DE681" s="128">
        <f>IFERROR(AS681*$V681,)</f>
        <v/>
      </c>
      <c r="DF681" s="128">
        <f>IFERROR(AT681*$V681,)</f>
        <v/>
      </c>
      <c r="DG681" s="128">
        <f>IFERROR(AU681*$V681,)</f>
        <v/>
      </c>
      <c r="DH681" s="128">
        <f>IFERROR(AV681*$V681,)</f>
        <v/>
      </c>
      <c r="DI681" s="128">
        <f>IFERROR(AW681*$V681,)</f>
        <v/>
      </c>
      <c r="DJ681" s="128">
        <f>IFERROR(AX681*$V681,)</f>
        <v/>
      </c>
      <c r="DK681" s="128">
        <f>IFERROR(AY681*$V681,)</f>
        <v/>
      </c>
      <c r="DL681" s="128">
        <f>IFERROR(AZ681*$V681,)</f>
        <v/>
      </c>
      <c r="DM681" s="129">
        <f>IFERROR(if($X681=0,($V681/1.2)*BA681,
BA681*$X681),)</f>
        <v/>
      </c>
      <c r="DN681" s="129">
        <f>IFERROR(if($X681=0,($V681/1.2)*BB681,
BB681*$X681),)</f>
        <v/>
      </c>
      <c r="DO681" s="129">
        <f>IFERROR(if($X681=0,($V681/1.2)*BC681,
BC681*$X681),)</f>
        <v/>
      </c>
      <c r="DP681" s="130">
        <f>IFERROR(if($Z681=0,($V681/1.35)*BD681,
BD681*$Z681),)</f>
        <v/>
      </c>
      <c r="DQ681" s="130">
        <f>IFERROR(if($Z681=0,($V681/1.35)*BE681,
BE681*$Z681),)</f>
        <v/>
      </c>
      <c r="DR681" s="130">
        <f>IFERROR(if($Z681=0,($V681/1.35)*BF681,
BF681*$Z681),)</f>
        <v/>
      </c>
      <c r="DS681" s="128">
        <f>IFERROR(IF($AB681=0,($V681/0.74)*BG681,
BG681*$AB681),)</f>
        <v/>
      </c>
      <c r="DT681" s="128">
        <f>IFERROR(IF($AB681=0,($V681/0.74)*BH681,
BH681*$AB681),)</f>
        <v/>
      </c>
      <c r="DU681" s="128">
        <f>IFERROR(IF($AB681=0,($V681/0.74)*BI681,
BI681*$AB681),)</f>
        <v/>
      </c>
    </row>
    <row r="682" ht="131.25" customHeight="1" s="162">
      <c r="A682" s="115" t="n"/>
      <c r="B682" s="115" t="n"/>
      <c r="C682" s="115" t="n"/>
      <c r="D682" s="115" t="n"/>
      <c r="E682" s="115" t="n"/>
      <c r="F682" s="115" t="n"/>
      <c r="G682" s="115" t="n"/>
      <c r="H682" s="115" t="n"/>
      <c r="I682" s="115" t="n"/>
      <c r="J682" s="115" t="n"/>
      <c r="K682" s="115" t="n"/>
      <c r="L682" s="115" t="n"/>
      <c r="M682" s="115" t="n"/>
      <c r="N682" s="115" t="n"/>
      <c r="O682" s="115" t="n"/>
      <c r="P682" s="115" t="n"/>
      <c r="Q682" s="115" t="n"/>
      <c r="R682" s="115" t="n"/>
      <c r="S682" s="115" t="n"/>
      <c r="T682" s="115" t="n"/>
      <c r="U682" s="116" t="n"/>
      <c r="V682" s="116" t="n"/>
      <c r="W682" s="117" t="n"/>
      <c r="X682" s="118" t="n"/>
      <c r="Y682" s="119" t="n"/>
      <c r="Z682" s="120" t="n"/>
      <c r="AA682" s="121" t="n"/>
      <c r="AB682" s="122" t="n"/>
      <c r="AC682" s="117" t="n"/>
      <c r="AD682" s="123">
        <f>IF(SUM($AE682:$AH682)=0,"",SUM($AE682:$AH682))</f>
        <v/>
      </c>
      <c r="AE682" s="123">
        <f>iferror(IF(SUM($AI682:$AZ682)=0,"",SUM($AI682:$AZ682)),"")</f>
        <v/>
      </c>
      <c r="AF682" s="123">
        <f>iferror(IF(SUM($BA682:$BC682)=0,"",SUM($BA682:$BC682)),"")</f>
        <v/>
      </c>
      <c r="AG682" s="123">
        <f>iferror(IF(SUM($BD682:$BF682)=0,"",SUM($BD682:$BF682)),"")</f>
        <v/>
      </c>
      <c r="AH682" s="124">
        <f>iferror(IF(SUM($BG682:$BI682)=0,"",SUM($BG682:$BI682)),"")</f>
        <v/>
      </c>
      <c r="AI682" s="131" t="n"/>
      <c r="AJ682" s="132" t="n"/>
      <c r="AK682" s="132" t="n"/>
      <c r="AL682" s="132" t="n"/>
      <c r="AM682" s="132" t="n"/>
      <c r="AN682" s="132" t="n"/>
      <c r="AO682" s="132" t="n"/>
      <c r="AP682" s="132" t="n"/>
      <c r="AQ682" s="132" t="n"/>
      <c r="AR682" s="132" t="n"/>
      <c r="AS682" s="132" t="n"/>
      <c r="AT682" s="132" t="n"/>
      <c r="AU682" s="132" t="n"/>
      <c r="AV682" s="132" t="n"/>
      <c r="AW682" s="132" t="n"/>
      <c r="AX682" s="132" t="n"/>
      <c r="AY682" s="132" t="n"/>
      <c r="AZ682" s="133" t="n"/>
      <c r="BA682" s="131" t="n"/>
      <c r="BB682" s="132" t="n"/>
      <c r="BC682" s="133" t="n"/>
      <c r="BD682" s="131" t="n"/>
      <c r="BE682" s="132" t="n"/>
      <c r="BF682" s="133" t="n"/>
      <c r="BG682" s="131" t="n"/>
      <c r="BH682" s="132" t="n"/>
      <c r="BI682" s="132" t="n"/>
      <c r="BJ682" s="128">
        <f>iferror(SUM($BK682,($BL682*1.2),($BM682*1.35),($BN682*0.74)),)</f>
        <v/>
      </c>
      <c r="BK682" s="128">
        <f>IFERROR(SUM($BT682:$CK682),)</f>
        <v/>
      </c>
      <c r="BL682" s="129">
        <f>IFERROR(SUM($CL682:$CN682),)</f>
        <v/>
      </c>
      <c r="BM682" s="130">
        <f>IFERROR(SUM($CO682:$CQ682),)</f>
        <v/>
      </c>
      <c r="BN682" s="128">
        <f>IFERROR(SUM($CR682:$CT682),)</f>
        <v/>
      </c>
      <c r="BO682" s="128">
        <f>iferror(SUM($BP682,($BQ682*1.2),($BR682*1.35),($BS682*0.74)),)</f>
        <v/>
      </c>
      <c r="BP682" s="128">
        <f>IFERROR(SUM($CU682:$DL682),)</f>
        <v/>
      </c>
      <c r="BQ682" s="128">
        <f>IFERROR(SUM($DM682:$DO682),)</f>
        <v/>
      </c>
      <c r="BR682" s="128">
        <f>IFERROR(SUM($DP682:$DR682),)</f>
        <v/>
      </c>
      <c r="BS682" s="128">
        <f>IFERROR(SUM($DS682:$DU682),)</f>
        <v/>
      </c>
      <c r="BT682" s="128">
        <f>IFERROR(AI682*$W682,)</f>
        <v/>
      </c>
      <c r="BU682" s="128">
        <f>IFERROR(AJ682*$W682,)</f>
        <v/>
      </c>
      <c r="BV682" s="128">
        <f>IFERROR(AK682*$W682,)</f>
        <v/>
      </c>
      <c r="BW682" s="128">
        <f>IFERROR(AL682*$W682,)</f>
        <v/>
      </c>
      <c r="BX682" s="128">
        <f>IFERROR(AM682*$W682,)</f>
        <v/>
      </c>
      <c r="BY682" s="128">
        <f>IFERROR(AN682*$W682,)</f>
        <v/>
      </c>
      <c r="BZ682" s="128">
        <f>IFERROR(AO682*$W682,)</f>
        <v/>
      </c>
      <c r="CA682" s="128">
        <f>IFERROR(AP682*$W682,)</f>
        <v/>
      </c>
      <c r="CB682" s="128">
        <f>IFERROR(AQ682*$W682,)</f>
        <v/>
      </c>
      <c r="CC682" s="128">
        <f>IFERROR(AR682*$W682,)</f>
        <v/>
      </c>
      <c r="CD682" s="128">
        <f>IFERROR(AS682*$W682,)</f>
        <v/>
      </c>
      <c r="CE682" s="128">
        <f>IFERROR(AT682*$W682,)</f>
        <v/>
      </c>
      <c r="CF682" s="128">
        <f>IFERROR(AU682*$W682,)</f>
        <v/>
      </c>
      <c r="CG682" s="128">
        <f>IFERROR(AV682*$W682,)</f>
        <v/>
      </c>
      <c r="CH682" s="128">
        <f>IFERROR(AW682*$W682,)</f>
        <v/>
      </c>
      <c r="CI682" s="128">
        <f>IFERROR(AX682*$W682,)</f>
        <v/>
      </c>
      <c r="CJ682" s="128">
        <f>IFERROR(AY682*$W682,)</f>
        <v/>
      </c>
      <c r="CK682" s="128">
        <f>IFERROR(AZ682*$W682,)</f>
        <v/>
      </c>
      <c r="CL682" s="129">
        <f>IFERROR(if($Y682=0,BA682*($W682/1.2),BA682*$Y682),"")</f>
        <v/>
      </c>
      <c r="CM682" s="129">
        <f>IFERROR(if($Y682=0,BB682*($W682/1.2),BB682*$Y682),"")</f>
        <v/>
      </c>
      <c r="CN682" s="129">
        <f>IFERROR(if($Y682=0,BC682*($W682/1.2),BC682*$Y682),"")</f>
        <v/>
      </c>
      <c r="CO682" s="130">
        <f>IFERROR(if($AA682=0,($W682/1.35)*BD682,BD682*$AA682),)</f>
        <v/>
      </c>
      <c r="CP682" s="130">
        <f>IFERROR(if($AA682=0,($W682/1.35)*BE682,BE682*$AA682),)</f>
        <v/>
      </c>
      <c r="CQ682" s="130">
        <f>IFERROR(if($AA682=0,($W682/1.35)*BF682,BF682*$AA682),)</f>
        <v/>
      </c>
      <c r="CR682" s="128">
        <f>IFERROR(if($AC682=0,($W682/0.74)*BG682,
BG682*$AC682),)</f>
        <v/>
      </c>
      <c r="CS682" s="128">
        <f>IFERROR(if($AC682=0,($W682/0.74)*BH682,
BH682*$AC682),)</f>
        <v/>
      </c>
      <c r="CT682" s="128">
        <f>IFERROR(if($AC682=0,($W682/0.74)*BI682,
BI682*$AC682),)</f>
        <v/>
      </c>
      <c r="CU682" s="128">
        <f>IFERROR(AI682*$V682,)</f>
        <v/>
      </c>
      <c r="CV682" s="128">
        <f>IFERROR(AJ682*$V682,)</f>
        <v/>
      </c>
      <c r="CW682" s="128">
        <f>IFERROR(AK682*$V682,)</f>
        <v/>
      </c>
      <c r="CX682" s="128">
        <f>IFERROR(AL682*$V682,)</f>
        <v/>
      </c>
      <c r="CY682" s="128">
        <f>IFERROR(AM682*$V682,)</f>
        <v/>
      </c>
      <c r="CZ682" s="128">
        <f>IFERROR(AN682*$V682,)</f>
        <v/>
      </c>
      <c r="DA682" s="128">
        <f>IFERROR(AO682*$V682,)</f>
        <v/>
      </c>
      <c r="DB682" s="128">
        <f>IFERROR(AP682*$V682,)</f>
        <v/>
      </c>
      <c r="DC682" s="128">
        <f>IFERROR(AQ682*$V682,)</f>
        <v/>
      </c>
      <c r="DD682" s="128">
        <f>IFERROR(AR682*$V682,)</f>
        <v/>
      </c>
      <c r="DE682" s="128">
        <f>IFERROR(AS682*$V682,)</f>
        <v/>
      </c>
      <c r="DF682" s="128">
        <f>IFERROR(AT682*$V682,)</f>
        <v/>
      </c>
      <c r="DG682" s="128">
        <f>IFERROR(AU682*$V682,)</f>
        <v/>
      </c>
      <c r="DH682" s="128">
        <f>IFERROR(AV682*$V682,)</f>
        <v/>
      </c>
      <c r="DI682" s="128">
        <f>IFERROR(AW682*$V682,)</f>
        <v/>
      </c>
      <c r="DJ682" s="128">
        <f>IFERROR(AX682*$V682,)</f>
        <v/>
      </c>
      <c r="DK682" s="128">
        <f>IFERROR(AY682*$V682,)</f>
        <v/>
      </c>
      <c r="DL682" s="128">
        <f>IFERROR(AZ682*$V682,)</f>
        <v/>
      </c>
      <c r="DM682" s="129">
        <f>IFERROR(if($X682=0,($V682/1.2)*BA682,
BA682*$X682),)</f>
        <v/>
      </c>
      <c r="DN682" s="129">
        <f>IFERROR(if($X682=0,($V682/1.2)*BB682,
BB682*$X682),)</f>
        <v/>
      </c>
      <c r="DO682" s="129">
        <f>IFERROR(if($X682=0,($V682/1.2)*BC682,
BC682*$X682),)</f>
        <v/>
      </c>
      <c r="DP682" s="130">
        <f>IFERROR(if($Z682=0,($V682/1.35)*BD682,
BD682*$Z682),)</f>
        <v/>
      </c>
      <c r="DQ682" s="130">
        <f>IFERROR(if($Z682=0,($V682/1.35)*BE682,
BE682*$Z682),)</f>
        <v/>
      </c>
      <c r="DR682" s="130">
        <f>IFERROR(if($Z682=0,($V682/1.35)*BF682,
BF682*$Z682),)</f>
        <v/>
      </c>
      <c r="DS682" s="128">
        <f>IFERROR(IF($AB682=0,($V682/0.74)*BG682,
BG682*$AB682),)</f>
        <v/>
      </c>
      <c r="DT682" s="128">
        <f>IFERROR(IF($AB682=0,($V682/0.74)*BH682,
BH682*$AB682),)</f>
        <v/>
      </c>
      <c r="DU682" s="128">
        <f>IFERROR(IF($AB682=0,($V682/0.74)*BI682,
BI682*$AB682),)</f>
        <v/>
      </c>
    </row>
    <row r="683" ht="131.25" customHeight="1" s="162">
      <c r="A683" s="115" t="n"/>
      <c r="B683" s="115" t="n"/>
      <c r="C683" s="115" t="n"/>
      <c r="D683" s="115" t="n"/>
      <c r="E683" s="115" t="n"/>
      <c r="F683" s="115" t="n"/>
      <c r="G683" s="115" t="n"/>
      <c r="H683" s="115" t="n"/>
      <c r="I683" s="115" t="n"/>
      <c r="J683" s="115" t="n"/>
      <c r="K683" s="115" t="n"/>
      <c r="L683" s="115" t="n"/>
      <c r="M683" s="115" t="n"/>
      <c r="N683" s="115" t="n"/>
      <c r="O683" s="115" t="n"/>
      <c r="P683" s="115" t="n"/>
      <c r="Q683" s="115" t="n"/>
      <c r="R683" s="115" t="n"/>
      <c r="S683" s="115" t="n"/>
      <c r="T683" s="115" t="n"/>
      <c r="U683" s="116" t="n"/>
      <c r="V683" s="116" t="n"/>
      <c r="W683" s="117" t="n"/>
      <c r="X683" s="118" t="n"/>
      <c r="Y683" s="119" t="n"/>
      <c r="Z683" s="120" t="n"/>
      <c r="AA683" s="121" t="n"/>
      <c r="AB683" s="122" t="n"/>
      <c r="AC683" s="117" t="n"/>
      <c r="AD683" s="123">
        <f>IF(SUM($AE683:$AH683)=0,"",SUM($AE683:$AH683))</f>
        <v/>
      </c>
      <c r="AE683" s="123">
        <f>iferror(IF(SUM($AI683:$AZ683)=0,"",SUM($AI683:$AZ683)),"")</f>
        <v/>
      </c>
      <c r="AF683" s="123">
        <f>iferror(IF(SUM($BA683:$BC683)=0,"",SUM($BA683:$BC683)),"")</f>
        <v/>
      </c>
      <c r="AG683" s="123">
        <f>iferror(IF(SUM($BD683:$BF683)=0,"",SUM($BD683:$BF683)),"")</f>
        <v/>
      </c>
      <c r="AH683" s="124">
        <f>iferror(IF(SUM($BG683:$BI683)=0,"",SUM($BG683:$BI683)),"")</f>
        <v/>
      </c>
      <c r="AI683" s="131" t="n"/>
      <c r="AJ683" s="132" t="n"/>
      <c r="AK683" s="132" t="n"/>
      <c r="AL683" s="132" t="n"/>
      <c r="AM683" s="132" t="n"/>
      <c r="AN683" s="132" t="n"/>
      <c r="AO683" s="132" t="n"/>
      <c r="AP683" s="132" t="n"/>
      <c r="AQ683" s="132" t="n"/>
      <c r="AR683" s="132" t="n"/>
      <c r="AS683" s="132" t="n"/>
      <c r="AT683" s="132" t="n"/>
      <c r="AU683" s="132" t="n"/>
      <c r="AV683" s="132" t="n"/>
      <c r="AW683" s="132" t="n"/>
      <c r="AX683" s="132" t="n"/>
      <c r="AY683" s="132" t="n"/>
      <c r="AZ683" s="133" t="n"/>
      <c r="BA683" s="131" t="n"/>
      <c r="BB683" s="132" t="n"/>
      <c r="BC683" s="133" t="n"/>
      <c r="BD683" s="131" t="n"/>
      <c r="BE683" s="132" t="n"/>
      <c r="BF683" s="133" t="n"/>
      <c r="BG683" s="131" t="n"/>
      <c r="BH683" s="132" t="n"/>
      <c r="BI683" s="132" t="n"/>
      <c r="BJ683" s="128">
        <f>iferror(SUM($BK683,($BL683*1.2),($BM683*1.35),($BN683*0.74)),)</f>
        <v/>
      </c>
      <c r="BK683" s="128">
        <f>IFERROR(SUM($BT683:$CK683),)</f>
        <v/>
      </c>
      <c r="BL683" s="129">
        <f>IFERROR(SUM($CL683:$CN683),)</f>
        <v/>
      </c>
      <c r="BM683" s="130">
        <f>IFERROR(SUM($CO683:$CQ683),)</f>
        <v/>
      </c>
      <c r="BN683" s="128">
        <f>IFERROR(SUM($CR683:$CT683),)</f>
        <v/>
      </c>
      <c r="BO683" s="128">
        <f>iferror(SUM($BP683,($BQ683*1.2),($BR683*1.35),($BS683*0.74)),)</f>
        <v/>
      </c>
      <c r="BP683" s="128">
        <f>IFERROR(SUM($CU683:$DL683),)</f>
        <v/>
      </c>
      <c r="BQ683" s="128">
        <f>IFERROR(SUM($DM683:$DO683),)</f>
        <v/>
      </c>
      <c r="BR683" s="128">
        <f>IFERROR(SUM($DP683:$DR683),)</f>
        <v/>
      </c>
      <c r="BS683" s="128">
        <f>IFERROR(SUM($DS683:$DU683),)</f>
        <v/>
      </c>
      <c r="BT683" s="128">
        <f>IFERROR(AI683*$W683,)</f>
        <v/>
      </c>
      <c r="BU683" s="128">
        <f>IFERROR(AJ683*$W683,)</f>
        <v/>
      </c>
      <c r="BV683" s="128">
        <f>IFERROR(AK683*$W683,)</f>
        <v/>
      </c>
      <c r="BW683" s="128">
        <f>IFERROR(AL683*$W683,)</f>
        <v/>
      </c>
      <c r="BX683" s="128">
        <f>IFERROR(AM683*$W683,)</f>
        <v/>
      </c>
      <c r="BY683" s="128">
        <f>IFERROR(AN683*$W683,)</f>
        <v/>
      </c>
      <c r="BZ683" s="128">
        <f>IFERROR(AO683*$W683,)</f>
        <v/>
      </c>
      <c r="CA683" s="128">
        <f>IFERROR(AP683*$W683,)</f>
        <v/>
      </c>
      <c r="CB683" s="128">
        <f>IFERROR(AQ683*$W683,)</f>
        <v/>
      </c>
      <c r="CC683" s="128">
        <f>IFERROR(AR683*$W683,)</f>
        <v/>
      </c>
      <c r="CD683" s="128">
        <f>IFERROR(AS683*$W683,)</f>
        <v/>
      </c>
      <c r="CE683" s="128">
        <f>IFERROR(AT683*$W683,)</f>
        <v/>
      </c>
      <c r="CF683" s="128">
        <f>IFERROR(AU683*$W683,)</f>
        <v/>
      </c>
      <c r="CG683" s="128">
        <f>IFERROR(AV683*$W683,)</f>
        <v/>
      </c>
      <c r="CH683" s="128">
        <f>IFERROR(AW683*$W683,)</f>
        <v/>
      </c>
      <c r="CI683" s="128">
        <f>IFERROR(AX683*$W683,)</f>
        <v/>
      </c>
      <c r="CJ683" s="128">
        <f>IFERROR(AY683*$W683,)</f>
        <v/>
      </c>
      <c r="CK683" s="128">
        <f>IFERROR(AZ683*$W683,)</f>
        <v/>
      </c>
      <c r="CL683" s="129">
        <f>IFERROR(if($Y683=0,BA683*($W683/1.2),BA683*$Y683),"")</f>
        <v/>
      </c>
      <c r="CM683" s="129">
        <f>IFERROR(if($Y683=0,BB683*($W683/1.2),BB683*$Y683),"")</f>
        <v/>
      </c>
      <c r="CN683" s="129">
        <f>IFERROR(if($Y683=0,BC683*($W683/1.2),BC683*$Y683),"")</f>
        <v/>
      </c>
      <c r="CO683" s="130">
        <f>IFERROR(if($AA683=0,($W683/1.35)*BD683,BD683*$AA683),)</f>
        <v/>
      </c>
      <c r="CP683" s="130">
        <f>IFERROR(if($AA683=0,($W683/1.35)*BE683,BE683*$AA683),)</f>
        <v/>
      </c>
      <c r="CQ683" s="130">
        <f>IFERROR(if($AA683=0,($W683/1.35)*BF683,BF683*$AA683),)</f>
        <v/>
      </c>
      <c r="CR683" s="128">
        <f>IFERROR(if($AC683=0,($W683/0.74)*BG683,
BG683*$AC683),)</f>
        <v/>
      </c>
      <c r="CS683" s="128">
        <f>IFERROR(if($AC683=0,($W683/0.74)*BH683,
BH683*$AC683),)</f>
        <v/>
      </c>
      <c r="CT683" s="128">
        <f>IFERROR(if($AC683=0,($W683/0.74)*BI683,
BI683*$AC683),)</f>
        <v/>
      </c>
      <c r="CU683" s="128">
        <f>IFERROR(AI683*$V683,)</f>
        <v/>
      </c>
      <c r="CV683" s="128">
        <f>IFERROR(AJ683*$V683,)</f>
        <v/>
      </c>
      <c r="CW683" s="128">
        <f>IFERROR(AK683*$V683,)</f>
        <v/>
      </c>
      <c r="CX683" s="128">
        <f>IFERROR(AL683*$V683,)</f>
        <v/>
      </c>
      <c r="CY683" s="128">
        <f>IFERROR(AM683*$V683,)</f>
        <v/>
      </c>
      <c r="CZ683" s="128">
        <f>IFERROR(AN683*$V683,)</f>
        <v/>
      </c>
      <c r="DA683" s="128">
        <f>IFERROR(AO683*$V683,)</f>
        <v/>
      </c>
      <c r="DB683" s="128">
        <f>IFERROR(AP683*$V683,)</f>
        <v/>
      </c>
      <c r="DC683" s="128">
        <f>IFERROR(AQ683*$V683,)</f>
        <v/>
      </c>
      <c r="DD683" s="128">
        <f>IFERROR(AR683*$V683,)</f>
        <v/>
      </c>
      <c r="DE683" s="128">
        <f>IFERROR(AS683*$V683,)</f>
        <v/>
      </c>
      <c r="DF683" s="128">
        <f>IFERROR(AT683*$V683,)</f>
        <v/>
      </c>
      <c r="DG683" s="128">
        <f>IFERROR(AU683*$V683,)</f>
        <v/>
      </c>
      <c r="DH683" s="128">
        <f>IFERROR(AV683*$V683,)</f>
        <v/>
      </c>
      <c r="DI683" s="128">
        <f>IFERROR(AW683*$V683,)</f>
        <v/>
      </c>
      <c r="DJ683" s="128">
        <f>IFERROR(AX683*$V683,)</f>
        <v/>
      </c>
      <c r="DK683" s="128">
        <f>IFERROR(AY683*$V683,)</f>
        <v/>
      </c>
      <c r="DL683" s="128">
        <f>IFERROR(AZ683*$V683,)</f>
        <v/>
      </c>
      <c r="DM683" s="129">
        <f>IFERROR(if($X683=0,($V683/1.2)*BA683,
BA683*$X683),)</f>
        <v/>
      </c>
      <c r="DN683" s="129">
        <f>IFERROR(if($X683=0,($V683/1.2)*BB683,
BB683*$X683),)</f>
        <v/>
      </c>
      <c r="DO683" s="129">
        <f>IFERROR(if($X683=0,($V683/1.2)*BC683,
BC683*$X683),)</f>
        <v/>
      </c>
      <c r="DP683" s="130">
        <f>IFERROR(if($Z683=0,($V683/1.35)*BD683,
BD683*$Z683),)</f>
        <v/>
      </c>
      <c r="DQ683" s="130">
        <f>IFERROR(if($Z683=0,($V683/1.35)*BE683,
BE683*$Z683),)</f>
        <v/>
      </c>
      <c r="DR683" s="130">
        <f>IFERROR(if($Z683=0,($V683/1.35)*BF683,
BF683*$Z683),)</f>
        <v/>
      </c>
      <c r="DS683" s="128">
        <f>IFERROR(IF($AB683=0,($V683/0.74)*BG683,
BG683*$AB683),)</f>
        <v/>
      </c>
      <c r="DT683" s="128">
        <f>IFERROR(IF($AB683=0,($V683/0.74)*BH683,
BH683*$AB683),)</f>
        <v/>
      </c>
      <c r="DU683" s="128">
        <f>IFERROR(IF($AB683=0,($V683/0.74)*BI683,
BI683*$AB683),)</f>
        <v/>
      </c>
    </row>
    <row r="684" ht="131.25" customHeight="1" s="162">
      <c r="A684" s="115" t="n"/>
      <c r="B684" s="115" t="n"/>
      <c r="C684" s="115" t="n"/>
      <c r="D684" s="115" t="n"/>
      <c r="E684" s="115" t="n"/>
      <c r="F684" s="115" t="n"/>
      <c r="G684" s="115" t="n"/>
      <c r="H684" s="115" t="n"/>
      <c r="I684" s="115" t="n"/>
      <c r="J684" s="115" t="n"/>
      <c r="K684" s="115" t="n"/>
      <c r="L684" s="115" t="n"/>
      <c r="M684" s="115" t="n"/>
      <c r="N684" s="115" t="n"/>
      <c r="O684" s="115" t="n"/>
      <c r="P684" s="115" t="n"/>
      <c r="Q684" s="115" t="n"/>
      <c r="R684" s="115" t="n"/>
      <c r="S684" s="115" t="n"/>
      <c r="T684" s="115" t="n"/>
      <c r="U684" s="116" t="n"/>
      <c r="V684" s="116" t="n"/>
      <c r="W684" s="117" t="n"/>
      <c r="X684" s="118" t="n"/>
      <c r="Y684" s="119" t="n"/>
      <c r="Z684" s="120" t="n"/>
      <c r="AA684" s="121" t="n"/>
      <c r="AB684" s="122" t="n"/>
      <c r="AC684" s="117" t="n"/>
      <c r="AD684" s="123">
        <f>IF(SUM($AE684:$AH684)=0,"",SUM($AE684:$AH684))</f>
        <v/>
      </c>
      <c r="AE684" s="123">
        <f>iferror(IF(SUM($AI684:$AZ684)=0,"",SUM($AI684:$AZ684)),"")</f>
        <v/>
      </c>
      <c r="AF684" s="123">
        <f>iferror(IF(SUM($BA684:$BC684)=0,"",SUM($BA684:$BC684)),"")</f>
        <v/>
      </c>
      <c r="AG684" s="123">
        <f>iferror(IF(SUM($BD684:$BF684)=0,"",SUM($BD684:$BF684)),"")</f>
        <v/>
      </c>
      <c r="AH684" s="124">
        <f>iferror(IF(SUM($BG684:$BI684)=0,"",SUM($BG684:$BI684)),"")</f>
        <v/>
      </c>
      <c r="AI684" s="131" t="n"/>
      <c r="AJ684" s="132" t="n"/>
      <c r="AK684" s="132" t="n"/>
      <c r="AL684" s="132" t="n"/>
      <c r="AM684" s="132" t="n"/>
      <c r="AN684" s="132" t="n"/>
      <c r="AO684" s="132" t="n"/>
      <c r="AP684" s="132" t="n"/>
      <c r="AQ684" s="132" t="n"/>
      <c r="AR684" s="132" t="n"/>
      <c r="AS684" s="132" t="n"/>
      <c r="AT684" s="132" t="n"/>
      <c r="AU684" s="132" t="n"/>
      <c r="AV684" s="132" t="n"/>
      <c r="AW684" s="132" t="n"/>
      <c r="AX684" s="132" t="n"/>
      <c r="AY684" s="132" t="n"/>
      <c r="AZ684" s="133" t="n"/>
      <c r="BA684" s="131" t="n"/>
      <c r="BB684" s="132" t="n"/>
      <c r="BC684" s="133" t="n"/>
      <c r="BD684" s="131" t="n"/>
      <c r="BE684" s="132" t="n"/>
      <c r="BF684" s="133" t="n"/>
      <c r="BG684" s="131" t="n"/>
      <c r="BH684" s="132" t="n"/>
      <c r="BI684" s="132" t="n"/>
      <c r="BJ684" s="128">
        <f>iferror(SUM($BK684,($BL684*1.2),($BM684*1.35),($BN684*0.74)),)</f>
        <v/>
      </c>
      <c r="BK684" s="128">
        <f>IFERROR(SUM($BT684:$CK684),)</f>
        <v/>
      </c>
      <c r="BL684" s="129">
        <f>IFERROR(SUM($CL684:$CN684),)</f>
        <v/>
      </c>
      <c r="BM684" s="130">
        <f>IFERROR(SUM($CO684:$CQ684),)</f>
        <v/>
      </c>
      <c r="BN684" s="128">
        <f>IFERROR(SUM($CR684:$CT684),)</f>
        <v/>
      </c>
      <c r="BO684" s="128">
        <f>iferror(SUM($BP684,($BQ684*1.2),($BR684*1.35),($BS684*0.74)),)</f>
        <v/>
      </c>
      <c r="BP684" s="128">
        <f>IFERROR(SUM($CU684:$DL684),)</f>
        <v/>
      </c>
      <c r="BQ684" s="128">
        <f>IFERROR(SUM($DM684:$DO684),)</f>
        <v/>
      </c>
      <c r="BR684" s="128">
        <f>IFERROR(SUM($DP684:$DR684),)</f>
        <v/>
      </c>
      <c r="BS684" s="128">
        <f>IFERROR(SUM($DS684:$DU684),)</f>
        <v/>
      </c>
      <c r="BT684" s="128">
        <f>IFERROR(AI684*$W684,)</f>
        <v/>
      </c>
      <c r="BU684" s="128">
        <f>IFERROR(AJ684*$W684,)</f>
        <v/>
      </c>
      <c r="BV684" s="128">
        <f>IFERROR(AK684*$W684,)</f>
        <v/>
      </c>
      <c r="BW684" s="128">
        <f>IFERROR(AL684*$W684,)</f>
        <v/>
      </c>
      <c r="BX684" s="128">
        <f>IFERROR(AM684*$W684,)</f>
        <v/>
      </c>
      <c r="BY684" s="128">
        <f>IFERROR(AN684*$W684,)</f>
        <v/>
      </c>
      <c r="BZ684" s="128">
        <f>IFERROR(AO684*$W684,)</f>
        <v/>
      </c>
      <c r="CA684" s="128">
        <f>IFERROR(AP684*$W684,)</f>
        <v/>
      </c>
      <c r="CB684" s="128">
        <f>IFERROR(AQ684*$W684,)</f>
        <v/>
      </c>
      <c r="CC684" s="128">
        <f>IFERROR(AR684*$W684,)</f>
        <v/>
      </c>
      <c r="CD684" s="128">
        <f>IFERROR(AS684*$W684,)</f>
        <v/>
      </c>
      <c r="CE684" s="128">
        <f>IFERROR(AT684*$W684,)</f>
        <v/>
      </c>
      <c r="CF684" s="128">
        <f>IFERROR(AU684*$W684,)</f>
        <v/>
      </c>
      <c r="CG684" s="128">
        <f>IFERROR(AV684*$W684,)</f>
        <v/>
      </c>
      <c r="CH684" s="128">
        <f>IFERROR(AW684*$W684,)</f>
        <v/>
      </c>
      <c r="CI684" s="128">
        <f>IFERROR(AX684*$W684,)</f>
        <v/>
      </c>
      <c r="CJ684" s="128">
        <f>IFERROR(AY684*$W684,)</f>
        <v/>
      </c>
      <c r="CK684" s="128">
        <f>IFERROR(AZ684*$W684,)</f>
        <v/>
      </c>
      <c r="CL684" s="129">
        <f>IFERROR(if($Y684=0,BA684*($W684/1.2),BA684*$Y684),"")</f>
        <v/>
      </c>
      <c r="CM684" s="129">
        <f>IFERROR(if($Y684=0,BB684*($W684/1.2),BB684*$Y684),"")</f>
        <v/>
      </c>
      <c r="CN684" s="129">
        <f>IFERROR(if($Y684=0,BC684*($W684/1.2),BC684*$Y684),"")</f>
        <v/>
      </c>
      <c r="CO684" s="130">
        <f>IFERROR(if($AA684=0,($W684/1.35)*BD684,BD684*$AA684),)</f>
        <v/>
      </c>
      <c r="CP684" s="130">
        <f>IFERROR(if($AA684=0,($W684/1.35)*BE684,BE684*$AA684),)</f>
        <v/>
      </c>
      <c r="CQ684" s="130">
        <f>IFERROR(if($AA684=0,($W684/1.35)*BF684,BF684*$AA684),)</f>
        <v/>
      </c>
      <c r="CR684" s="128">
        <f>IFERROR(if($AC684=0,($W684/0.74)*BG684,
BG684*$AC684),)</f>
        <v/>
      </c>
      <c r="CS684" s="128">
        <f>IFERROR(if($AC684=0,($W684/0.74)*BH684,
BH684*$AC684),)</f>
        <v/>
      </c>
      <c r="CT684" s="128">
        <f>IFERROR(if($AC684=0,($W684/0.74)*BI684,
BI684*$AC684),)</f>
        <v/>
      </c>
      <c r="CU684" s="128">
        <f>IFERROR(AI684*$V684,)</f>
        <v/>
      </c>
      <c r="CV684" s="128">
        <f>IFERROR(AJ684*$V684,)</f>
        <v/>
      </c>
      <c r="CW684" s="128">
        <f>IFERROR(AK684*$V684,)</f>
        <v/>
      </c>
      <c r="CX684" s="128">
        <f>IFERROR(AL684*$V684,)</f>
        <v/>
      </c>
      <c r="CY684" s="128">
        <f>IFERROR(AM684*$V684,)</f>
        <v/>
      </c>
      <c r="CZ684" s="128">
        <f>IFERROR(AN684*$V684,)</f>
        <v/>
      </c>
      <c r="DA684" s="128">
        <f>IFERROR(AO684*$V684,)</f>
        <v/>
      </c>
      <c r="DB684" s="128">
        <f>IFERROR(AP684*$V684,)</f>
        <v/>
      </c>
      <c r="DC684" s="128">
        <f>IFERROR(AQ684*$V684,)</f>
        <v/>
      </c>
      <c r="DD684" s="128">
        <f>IFERROR(AR684*$V684,)</f>
        <v/>
      </c>
      <c r="DE684" s="128">
        <f>IFERROR(AS684*$V684,)</f>
        <v/>
      </c>
      <c r="DF684" s="128">
        <f>IFERROR(AT684*$V684,)</f>
        <v/>
      </c>
      <c r="DG684" s="128">
        <f>IFERROR(AU684*$V684,)</f>
        <v/>
      </c>
      <c r="DH684" s="128">
        <f>IFERROR(AV684*$V684,)</f>
        <v/>
      </c>
      <c r="DI684" s="128">
        <f>IFERROR(AW684*$V684,)</f>
        <v/>
      </c>
      <c r="DJ684" s="128">
        <f>IFERROR(AX684*$V684,)</f>
        <v/>
      </c>
      <c r="DK684" s="128">
        <f>IFERROR(AY684*$V684,)</f>
        <v/>
      </c>
      <c r="DL684" s="128">
        <f>IFERROR(AZ684*$V684,)</f>
        <v/>
      </c>
      <c r="DM684" s="129">
        <f>IFERROR(if($X684=0,($V684/1.2)*BA684,
BA684*$X684),)</f>
        <v/>
      </c>
      <c r="DN684" s="129">
        <f>IFERROR(if($X684=0,($V684/1.2)*BB684,
BB684*$X684),)</f>
        <v/>
      </c>
      <c r="DO684" s="129">
        <f>IFERROR(if($X684=0,($V684/1.2)*BC684,
BC684*$X684),)</f>
        <v/>
      </c>
      <c r="DP684" s="130">
        <f>IFERROR(if($Z684=0,($V684/1.35)*BD684,
BD684*$Z684),)</f>
        <v/>
      </c>
      <c r="DQ684" s="130">
        <f>IFERROR(if($Z684=0,($V684/1.35)*BE684,
BE684*$Z684),)</f>
        <v/>
      </c>
      <c r="DR684" s="130">
        <f>IFERROR(if($Z684=0,($V684/1.35)*BF684,
BF684*$Z684),)</f>
        <v/>
      </c>
      <c r="DS684" s="128">
        <f>IFERROR(IF($AB684=0,($V684/0.74)*BG684,
BG684*$AB684),)</f>
        <v/>
      </c>
      <c r="DT684" s="128">
        <f>IFERROR(IF($AB684=0,($V684/0.74)*BH684,
BH684*$AB684),)</f>
        <v/>
      </c>
      <c r="DU684" s="128">
        <f>IFERROR(IF($AB684=0,($V684/0.74)*BI684,
BI684*$AB684),)</f>
        <v/>
      </c>
    </row>
    <row r="685" ht="131.25" customHeight="1" s="162">
      <c r="A685" s="115" t="n"/>
      <c r="B685" s="115" t="n"/>
      <c r="C685" s="115" t="n"/>
      <c r="D685" s="115" t="n"/>
      <c r="E685" s="115" t="n"/>
      <c r="F685" s="115" t="n"/>
      <c r="G685" s="115" t="n"/>
      <c r="H685" s="115" t="n"/>
      <c r="I685" s="115" t="n"/>
      <c r="J685" s="115" t="n"/>
      <c r="K685" s="115" t="n"/>
      <c r="L685" s="115" t="n"/>
      <c r="M685" s="115" t="n"/>
      <c r="N685" s="115" t="n"/>
      <c r="O685" s="115" t="n"/>
      <c r="P685" s="115" t="n"/>
      <c r="Q685" s="115" t="n"/>
      <c r="R685" s="115" t="n"/>
      <c r="S685" s="115" t="n"/>
      <c r="T685" s="115" t="n"/>
      <c r="U685" s="116" t="n"/>
      <c r="V685" s="116" t="n"/>
      <c r="W685" s="117" t="n"/>
      <c r="X685" s="118" t="n"/>
      <c r="Y685" s="119" t="n"/>
      <c r="Z685" s="120" t="n"/>
      <c r="AA685" s="121" t="n"/>
      <c r="AB685" s="122" t="n"/>
      <c r="AC685" s="117" t="n"/>
      <c r="AD685" s="123">
        <f>IF(SUM($AE685:$AH685)=0,"",SUM($AE685:$AH685))</f>
        <v/>
      </c>
      <c r="AE685" s="123">
        <f>iferror(IF(SUM($AI685:$AZ685)=0,"",SUM($AI685:$AZ685)),"")</f>
        <v/>
      </c>
      <c r="AF685" s="123">
        <f>iferror(IF(SUM($BA685:$BC685)=0,"",SUM($BA685:$BC685)),"")</f>
        <v/>
      </c>
      <c r="AG685" s="123">
        <f>iferror(IF(SUM($BD685:$BF685)=0,"",SUM($BD685:$BF685)),"")</f>
        <v/>
      </c>
      <c r="AH685" s="124">
        <f>iferror(IF(SUM($BG685:$BI685)=0,"",SUM($BG685:$BI685)),"")</f>
        <v/>
      </c>
      <c r="AI685" s="131" t="n"/>
      <c r="AJ685" s="132" t="n"/>
      <c r="AK685" s="132" t="n"/>
      <c r="AL685" s="132" t="n"/>
      <c r="AM685" s="132" t="n"/>
      <c r="AN685" s="132" t="n"/>
      <c r="AO685" s="132" t="n"/>
      <c r="AP685" s="132" t="n"/>
      <c r="AQ685" s="132" t="n"/>
      <c r="AR685" s="132" t="n"/>
      <c r="AS685" s="132" t="n"/>
      <c r="AT685" s="132" t="n"/>
      <c r="AU685" s="132" t="n"/>
      <c r="AV685" s="132" t="n"/>
      <c r="AW685" s="132" t="n"/>
      <c r="AX685" s="132" t="n"/>
      <c r="AY685" s="132" t="n"/>
      <c r="AZ685" s="133" t="n"/>
      <c r="BA685" s="131" t="n"/>
      <c r="BB685" s="132" t="n"/>
      <c r="BC685" s="133" t="n"/>
      <c r="BD685" s="131" t="n"/>
      <c r="BE685" s="132" t="n"/>
      <c r="BF685" s="133" t="n"/>
      <c r="BG685" s="131" t="n"/>
      <c r="BH685" s="132" t="n"/>
      <c r="BI685" s="132" t="n"/>
      <c r="BJ685" s="128">
        <f>iferror(SUM($BK685,($BL685*1.2),($BM685*1.35),($BN685*0.74)),)</f>
        <v/>
      </c>
      <c r="BK685" s="128">
        <f>IFERROR(SUM($BT685:$CK685),)</f>
        <v/>
      </c>
      <c r="BL685" s="129">
        <f>IFERROR(SUM($CL685:$CN685),)</f>
        <v/>
      </c>
      <c r="BM685" s="130">
        <f>IFERROR(SUM($CO685:$CQ685),)</f>
        <v/>
      </c>
      <c r="BN685" s="128">
        <f>IFERROR(SUM($CR685:$CT685),)</f>
        <v/>
      </c>
      <c r="BO685" s="128">
        <f>iferror(SUM($BP685,($BQ685*1.2),($BR685*1.35),($BS685*0.74)),)</f>
        <v/>
      </c>
      <c r="BP685" s="128">
        <f>IFERROR(SUM($CU685:$DL685),)</f>
        <v/>
      </c>
      <c r="BQ685" s="128">
        <f>IFERROR(SUM($DM685:$DO685),)</f>
        <v/>
      </c>
      <c r="BR685" s="128">
        <f>IFERROR(SUM($DP685:$DR685),)</f>
        <v/>
      </c>
      <c r="BS685" s="128">
        <f>IFERROR(SUM($DS685:$DU685),)</f>
        <v/>
      </c>
      <c r="BT685" s="128">
        <f>IFERROR(AI685*$W685,)</f>
        <v/>
      </c>
      <c r="BU685" s="128">
        <f>IFERROR(AJ685*$W685,)</f>
        <v/>
      </c>
      <c r="BV685" s="128">
        <f>IFERROR(AK685*$W685,)</f>
        <v/>
      </c>
      <c r="BW685" s="128">
        <f>IFERROR(AL685*$W685,)</f>
        <v/>
      </c>
      <c r="BX685" s="128">
        <f>IFERROR(AM685*$W685,)</f>
        <v/>
      </c>
      <c r="BY685" s="128">
        <f>IFERROR(AN685*$W685,)</f>
        <v/>
      </c>
      <c r="BZ685" s="128">
        <f>IFERROR(AO685*$W685,)</f>
        <v/>
      </c>
      <c r="CA685" s="128">
        <f>IFERROR(AP685*$W685,)</f>
        <v/>
      </c>
      <c r="CB685" s="128">
        <f>IFERROR(AQ685*$W685,)</f>
        <v/>
      </c>
      <c r="CC685" s="128">
        <f>IFERROR(AR685*$W685,)</f>
        <v/>
      </c>
      <c r="CD685" s="128">
        <f>IFERROR(AS685*$W685,)</f>
        <v/>
      </c>
      <c r="CE685" s="128">
        <f>IFERROR(AT685*$W685,)</f>
        <v/>
      </c>
      <c r="CF685" s="128">
        <f>IFERROR(AU685*$W685,)</f>
        <v/>
      </c>
      <c r="CG685" s="128">
        <f>IFERROR(AV685*$W685,)</f>
        <v/>
      </c>
      <c r="CH685" s="128">
        <f>IFERROR(AW685*$W685,)</f>
        <v/>
      </c>
      <c r="CI685" s="128">
        <f>IFERROR(AX685*$W685,)</f>
        <v/>
      </c>
      <c r="CJ685" s="128">
        <f>IFERROR(AY685*$W685,)</f>
        <v/>
      </c>
      <c r="CK685" s="128">
        <f>IFERROR(AZ685*$W685,)</f>
        <v/>
      </c>
      <c r="CL685" s="129">
        <f>IFERROR(if($Y685=0,BA685*($W685/1.2),BA685*$Y685),"")</f>
        <v/>
      </c>
      <c r="CM685" s="129">
        <f>IFERROR(if($Y685=0,BB685*($W685/1.2),BB685*$Y685),"")</f>
        <v/>
      </c>
      <c r="CN685" s="129">
        <f>IFERROR(if($Y685=0,BC685*($W685/1.2),BC685*$Y685),"")</f>
        <v/>
      </c>
      <c r="CO685" s="130">
        <f>IFERROR(if($AA685=0,($W685/1.35)*BD685,BD685*$AA685),)</f>
        <v/>
      </c>
      <c r="CP685" s="130">
        <f>IFERROR(if($AA685=0,($W685/1.35)*BE685,BE685*$AA685),)</f>
        <v/>
      </c>
      <c r="CQ685" s="130">
        <f>IFERROR(if($AA685=0,($W685/1.35)*BF685,BF685*$AA685),)</f>
        <v/>
      </c>
      <c r="CR685" s="128">
        <f>IFERROR(if($AC685=0,($W685/0.74)*BG685,
BG685*$AC685),)</f>
        <v/>
      </c>
      <c r="CS685" s="128">
        <f>IFERROR(if($AC685=0,($W685/0.74)*BH685,
BH685*$AC685),)</f>
        <v/>
      </c>
      <c r="CT685" s="128">
        <f>IFERROR(if($AC685=0,($W685/0.74)*BI685,
BI685*$AC685),)</f>
        <v/>
      </c>
      <c r="CU685" s="128">
        <f>IFERROR(AI685*$V685,)</f>
        <v/>
      </c>
      <c r="CV685" s="128">
        <f>IFERROR(AJ685*$V685,)</f>
        <v/>
      </c>
      <c r="CW685" s="128">
        <f>IFERROR(AK685*$V685,)</f>
        <v/>
      </c>
      <c r="CX685" s="128">
        <f>IFERROR(AL685*$V685,)</f>
        <v/>
      </c>
      <c r="CY685" s="128">
        <f>IFERROR(AM685*$V685,)</f>
        <v/>
      </c>
      <c r="CZ685" s="128">
        <f>IFERROR(AN685*$V685,)</f>
        <v/>
      </c>
      <c r="DA685" s="128">
        <f>IFERROR(AO685*$V685,)</f>
        <v/>
      </c>
      <c r="DB685" s="128">
        <f>IFERROR(AP685*$V685,)</f>
        <v/>
      </c>
      <c r="DC685" s="128">
        <f>IFERROR(AQ685*$V685,)</f>
        <v/>
      </c>
      <c r="DD685" s="128">
        <f>IFERROR(AR685*$V685,)</f>
        <v/>
      </c>
      <c r="DE685" s="128">
        <f>IFERROR(AS685*$V685,)</f>
        <v/>
      </c>
      <c r="DF685" s="128">
        <f>IFERROR(AT685*$V685,)</f>
        <v/>
      </c>
      <c r="DG685" s="128">
        <f>IFERROR(AU685*$V685,)</f>
        <v/>
      </c>
      <c r="DH685" s="128">
        <f>IFERROR(AV685*$V685,)</f>
        <v/>
      </c>
      <c r="DI685" s="128">
        <f>IFERROR(AW685*$V685,)</f>
        <v/>
      </c>
      <c r="DJ685" s="128">
        <f>IFERROR(AX685*$V685,)</f>
        <v/>
      </c>
      <c r="DK685" s="128">
        <f>IFERROR(AY685*$V685,)</f>
        <v/>
      </c>
      <c r="DL685" s="128">
        <f>IFERROR(AZ685*$V685,)</f>
        <v/>
      </c>
      <c r="DM685" s="129">
        <f>IFERROR(if($X685=0,($V685/1.2)*BA685,
BA685*$X685),)</f>
        <v/>
      </c>
      <c r="DN685" s="129">
        <f>IFERROR(if($X685=0,($V685/1.2)*BB685,
BB685*$X685),)</f>
        <v/>
      </c>
      <c r="DO685" s="129">
        <f>IFERROR(if($X685=0,($V685/1.2)*BC685,
BC685*$X685),)</f>
        <v/>
      </c>
      <c r="DP685" s="130">
        <f>IFERROR(if($Z685=0,($V685/1.35)*BD685,
BD685*$Z685),)</f>
        <v/>
      </c>
      <c r="DQ685" s="130">
        <f>IFERROR(if($Z685=0,($V685/1.35)*BE685,
BE685*$Z685),)</f>
        <v/>
      </c>
      <c r="DR685" s="130">
        <f>IFERROR(if($Z685=0,($V685/1.35)*BF685,
BF685*$Z685),)</f>
        <v/>
      </c>
      <c r="DS685" s="128">
        <f>IFERROR(IF($AB685=0,($V685/0.74)*BG685,
BG685*$AB685),)</f>
        <v/>
      </c>
      <c r="DT685" s="128">
        <f>IFERROR(IF($AB685=0,($V685/0.74)*BH685,
BH685*$AB685),)</f>
        <v/>
      </c>
      <c r="DU685" s="128">
        <f>IFERROR(IF($AB685=0,($V685/0.74)*BI685,
BI685*$AB685),)</f>
        <v/>
      </c>
    </row>
    <row r="686" ht="131.25" customHeight="1" s="162">
      <c r="A686" s="115" t="n"/>
      <c r="B686" s="115" t="n"/>
      <c r="C686" s="115" t="n"/>
      <c r="D686" s="115" t="n"/>
      <c r="E686" s="115" t="n"/>
      <c r="F686" s="115" t="n"/>
      <c r="G686" s="115" t="n"/>
      <c r="H686" s="115" t="n"/>
      <c r="I686" s="115" t="n"/>
      <c r="J686" s="115" t="n"/>
      <c r="K686" s="115" t="n"/>
      <c r="L686" s="115" t="n"/>
      <c r="M686" s="115" t="n"/>
      <c r="N686" s="115" t="n"/>
      <c r="O686" s="115" t="n"/>
      <c r="P686" s="115" t="n"/>
      <c r="Q686" s="115" t="n"/>
      <c r="R686" s="115" t="n"/>
      <c r="S686" s="115" t="n"/>
      <c r="T686" s="115" t="n"/>
      <c r="U686" s="116" t="n"/>
      <c r="V686" s="116" t="n"/>
      <c r="W686" s="117" t="n"/>
      <c r="X686" s="118" t="n"/>
      <c r="Y686" s="119" t="n"/>
      <c r="Z686" s="120" t="n"/>
      <c r="AA686" s="121" t="n"/>
      <c r="AB686" s="122" t="n"/>
      <c r="AC686" s="117" t="n"/>
      <c r="AD686" s="123">
        <f>IF(SUM($AE686:$AH686)=0,"",SUM($AE686:$AH686))</f>
        <v/>
      </c>
      <c r="AE686" s="123">
        <f>iferror(IF(SUM($AI686:$AZ686)=0,"",SUM($AI686:$AZ686)),"")</f>
        <v/>
      </c>
      <c r="AF686" s="123">
        <f>iferror(IF(SUM($BA686:$BC686)=0,"",SUM($BA686:$BC686)),"")</f>
        <v/>
      </c>
      <c r="AG686" s="123">
        <f>iferror(IF(SUM($BD686:$BF686)=0,"",SUM($BD686:$BF686)),"")</f>
        <v/>
      </c>
      <c r="AH686" s="124">
        <f>iferror(IF(SUM($BG686:$BI686)=0,"",SUM($BG686:$BI686)),"")</f>
        <v/>
      </c>
      <c r="AI686" s="131" t="n"/>
      <c r="AJ686" s="132" t="n"/>
      <c r="AK686" s="132" t="n"/>
      <c r="AL686" s="132" t="n"/>
      <c r="AM686" s="132" t="n"/>
      <c r="AN686" s="132" t="n"/>
      <c r="AO686" s="132" t="n"/>
      <c r="AP686" s="132" t="n"/>
      <c r="AQ686" s="132" t="n"/>
      <c r="AR686" s="132" t="n"/>
      <c r="AS686" s="132" t="n"/>
      <c r="AT686" s="132" t="n"/>
      <c r="AU686" s="132" t="n"/>
      <c r="AV686" s="132" t="n"/>
      <c r="AW686" s="132" t="n"/>
      <c r="AX686" s="132" t="n"/>
      <c r="AY686" s="132" t="n"/>
      <c r="AZ686" s="133" t="n"/>
      <c r="BA686" s="131" t="n"/>
      <c r="BB686" s="132" t="n"/>
      <c r="BC686" s="133" t="n"/>
      <c r="BD686" s="131" t="n"/>
      <c r="BE686" s="132" t="n"/>
      <c r="BF686" s="133" t="n"/>
      <c r="BG686" s="131" t="n"/>
      <c r="BH686" s="132" t="n"/>
      <c r="BI686" s="132" t="n"/>
      <c r="BJ686" s="128">
        <f>iferror(SUM($BK686,($BL686*1.2),($BM686*1.35),($BN686*0.74)),)</f>
        <v/>
      </c>
      <c r="BK686" s="128">
        <f>IFERROR(SUM($BT686:$CK686),)</f>
        <v/>
      </c>
      <c r="BL686" s="129">
        <f>IFERROR(SUM($CL686:$CN686),)</f>
        <v/>
      </c>
      <c r="BM686" s="130">
        <f>IFERROR(SUM($CO686:$CQ686),)</f>
        <v/>
      </c>
      <c r="BN686" s="128">
        <f>IFERROR(SUM($CR686:$CT686),)</f>
        <v/>
      </c>
      <c r="BO686" s="128">
        <f>iferror(SUM($BP686,($BQ686*1.2),($BR686*1.35),($BS686*0.74)),)</f>
        <v/>
      </c>
      <c r="BP686" s="128">
        <f>IFERROR(SUM($CU686:$DL686),)</f>
        <v/>
      </c>
      <c r="BQ686" s="128">
        <f>IFERROR(SUM($DM686:$DO686),)</f>
        <v/>
      </c>
      <c r="BR686" s="128">
        <f>IFERROR(SUM($DP686:$DR686),)</f>
        <v/>
      </c>
      <c r="BS686" s="128">
        <f>IFERROR(SUM($DS686:$DU686),)</f>
        <v/>
      </c>
      <c r="BT686" s="128">
        <f>IFERROR(AI686*$W686,)</f>
        <v/>
      </c>
      <c r="BU686" s="128">
        <f>IFERROR(AJ686*$W686,)</f>
        <v/>
      </c>
      <c r="BV686" s="128">
        <f>IFERROR(AK686*$W686,)</f>
        <v/>
      </c>
      <c r="BW686" s="128">
        <f>IFERROR(AL686*$W686,)</f>
        <v/>
      </c>
      <c r="BX686" s="128">
        <f>IFERROR(AM686*$W686,)</f>
        <v/>
      </c>
      <c r="BY686" s="128">
        <f>IFERROR(AN686*$W686,)</f>
        <v/>
      </c>
      <c r="BZ686" s="128">
        <f>IFERROR(AO686*$W686,)</f>
        <v/>
      </c>
      <c r="CA686" s="128">
        <f>IFERROR(AP686*$W686,)</f>
        <v/>
      </c>
      <c r="CB686" s="128">
        <f>IFERROR(AQ686*$W686,)</f>
        <v/>
      </c>
      <c r="CC686" s="128">
        <f>IFERROR(AR686*$W686,)</f>
        <v/>
      </c>
      <c r="CD686" s="128">
        <f>IFERROR(AS686*$W686,)</f>
        <v/>
      </c>
      <c r="CE686" s="128">
        <f>IFERROR(AT686*$W686,)</f>
        <v/>
      </c>
      <c r="CF686" s="128">
        <f>IFERROR(AU686*$W686,)</f>
        <v/>
      </c>
      <c r="CG686" s="128">
        <f>IFERROR(AV686*$W686,)</f>
        <v/>
      </c>
      <c r="CH686" s="128">
        <f>IFERROR(AW686*$W686,)</f>
        <v/>
      </c>
      <c r="CI686" s="128">
        <f>IFERROR(AX686*$W686,)</f>
        <v/>
      </c>
      <c r="CJ686" s="128">
        <f>IFERROR(AY686*$W686,)</f>
        <v/>
      </c>
      <c r="CK686" s="128">
        <f>IFERROR(AZ686*$W686,)</f>
        <v/>
      </c>
      <c r="CL686" s="129">
        <f>IFERROR(if($Y686=0,BA686*($W686/1.2),BA686*$Y686),"")</f>
        <v/>
      </c>
      <c r="CM686" s="129">
        <f>IFERROR(if($Y686=0,BB686*($W686/1.2),BB686*$Y686),"")</f>
        <v/>
      </c>
      <c r="CN686" s="129">
        <f>IFERROR(if($Y686=0,BC686*($W686/1.2),BC686*$Y686),"")</f>
        <v/>
      </c>
      <c r="CO686" s="130">
        <f>IFERROR(if($AA686=0,($W686/1.35)*BD686,BD686*$AA686),)</f>
        <v/>
      </c>
      <c r="CP686" s="130">
        <f>IFERROR(if($AA686=0,($W686/1.35)*BE686,BE686*$AA686),)</f>
        <v/>
      </c>
      <c r="CQ686" s="130">
        <f>IFERROR(if($AA686=0,($W686/1.35)*BF686,BF686*$AA686),)</f>
        <v/>
      </c>
      <c r="CR686" s="128">
        <f>IFERROR(if($AC686=0,($W686/0.74)*BG686,
BG686*$AC686),)</f>
        <v/>
      </c>
      <c r="CS686" s="128">
        <f>IFERROR(if($AC686=0,($W686/0.74)*BH686,
BH686*$AC686),)</f>
        <v/>
      </c>
      <c r="CT686" s="128">
        <f>IFERROR(if($AC686=0,($W686/0.74)*BI686,
BI686*$AC686),)</f>
        <v/>
      </c>
      <c r="CU686" s="128">
        <f>IFERROR(AI686*$V686,)</f>
        <v/>
      </c>
      <c r="CV686" s="128">
        <f>IFERROR(AJ686*$V686,)</f>
        <v/>
      </c>
      <c r="CW686" s="128">
        <f>IFERROR(AK686*$V686,)</f>
        <v/>
      </c>
      <c r="CX686" s="128">
        <f>IFERROR(AL686*$V686,)</f>
        <v/>
      </c>
      <c r="CY686" s="128">
        <f>IFERROR(AM686*$V686,)</f>
        <v/>
      </c>
      <c r="CZ686" s="128">
        <f>IFERROR(AN686*$V686,)</f>
        <v/>
      </c>
      <c r="DA686" s="128">
        <f>IFERROR(AO686*$V686,)</f>
        <v/>
      </c>
      <c r="DB686" s="128">
        <f>IFERROR(AP686*$V686,)</f>
        <v/>
      </c>
      <c r="DC686" s="128">
        <f>IFERROR(AQ686*$V686,)</f>
        <v/>
      </c>
      <c r="DD686" s="128">
        <f>IFERROR(AR686*$V686,)</f>
        <v/>
      </c>
      <c r="DE686" s="128">
        <f>IFERROR(AS686*$V686,)</f>
        <v/>
      </c>
      <c r="DF686" s="128">
        <f>IFERROR(AT686*$V686,)</f>
        <v/>
      </c>
      <c r="DG686" s="128">
        <f>IFERROR(AU686*$V686,)</f>
        <v/>
      </c>
      <c r="DH686" s="128">
        <f>IFERROR(AV686*$V686,)</f>
        <v/>
      </c>
      <c r="DI686" s="128">
        <f>IFERROR(AW686*$V686,)</f>
        <v/>
      </c>
      <c r="DJ686" s="128">
        <f>IFERROR(AX686*$V686,)</f>
        <v/>
      </c>
      <c r="DK686" s="128">
        <f>IFERROR(AY686*$V686,)</f>
        <v/>
      </c>
      <c r="DL686" s="128">
        <f>IFERROR(AZ686*$V686,)</f>
        <v/>
      </c>
      <c r="DM686" s="129">
        <f>IFERROR(if($X686=0,($V686/1.2)*BA686,
BA686*$X686),)</f>
        <v/>
      </c>
      <c r="DN686" s="129">
        <f>IFERROR(if($X686=0,($V686/1.2)*BB686,
BB686*$X686),)</f>
        <v/>
      </c>
      <c r="DO686" s="129">
        <f>IFERROR(if($X686=0,($V686/1.2)*BC686,
BC686*$X686),)</f>
        <v/>
      </c>
      <c r="DP686" s="130">
        <f>IFERROR(if($Z686=0,($V686/1.35)*BD686,
BD686*$Z686),)</f>
        <v/>
      </c>
      <c r="DQ686" s="130">
        <f>IFERROR(if($Z686=0,($V686/1.35)*BE686,
BE686*$Z686),)</f>
        <v/>
      </c>
      <c r="DR686" s="130">
        <f>IFERROR(if($Z686=0,($V686/1.35)*BF686,
BF686*$Z686),)</f>
        <v/>
      </c>
      <c r="DS686" s="128">
        <f>IFERROR(IF($AB686=0,($V686/0.74)*BG686,
BG686*$AB686),)</f>
        <v/>
      </c>
      <c r="DT686" s="128">
        <f>IFERROR(IF($AB686=0,($V686/0.74)*BH686,
BH686*$AB686),)</f>
        <v/>
      </c>
      <c r="DU686" s="128">
        <f>IFERROR(IF($AB686=0,($V686/0.74)*BI686,
BI686*$AB686),)</f>
        <v/>
      </c>
    </row>
    <row r="687" ht="131.25" customHeight="1" s="162">
      <c r="A687" s="115" t="n"/>
      <c r="B687" s="115" t="n"/>
      <c r="C687" s="115" t="n"/>
      <c r="D687" s="115" t="n"/>
      <c r="E687" s="115" t="n"/>
      <c r="F687" s="115" t="n"/>
      <c r="G687" s="115" t="n"/>
      <c r="H687" s="115" t="n"/>
      <c r="I687" s="115" t="n"/>
      <c r="J687" s="115" t="n"/>
      <c r="K687" s="115" t="n"/>
      <c r="L687" s="115" t="n"/>
      <c r="M687" s="115" t="n"/>
      <c r="N687" s="115" t="n"/>
      <c r="O687" s="115" t="n"/>
      <c r="P687" s="115" t="n"/>
      <c r="Q687" s="115" t="n"/>
      <c r="R687" s="115" t="n"/>
      <c r="S687" s="115" t="n"/>
      <c r="T687" s="115" t="n"/>
      <c r="U687" s="116" t="n"/>
      <c r="V687" s="116" t="n"/>
      <c r="W687" s="117" t="n"/>
      <c r="X687" s="118" t="n"/>
      <c r="Y687" s="119" t="n"/>
      <c r="Z687" s="120" t="n"/>
      <c r="AA687" s="121" t="n"/>
      <c r="AB687" s="122" t="n"/>
      <c r="AC687" s="117" t="n"/>
      <c r="AD687" s="123">
        <f>IF(SUM($AE687:$AH687)=0,"",SUM($AE687:$AH687))</f>
        <v/>
      </c>
      <c r="AE687" s="123">
        <f>iferror(IF(SUM($AI687:$AZ687)=0,"",SUM($AI687:$AZ687)),"")</f>
        <v/>
      </c>
      <c r="AF687" s="123">
        <f>iferror(IF(SUM($BA687:$BC687)=0,"",SUM($BA687:$BC687)),"")</f>
        <v/>
      </c>
      <c r="AG687" s="123">
        <f>iferror(IF(SUM($BD687:$BF687)=0,"",SUM($BD687:$BF687)),"")</f>
        <v/>
      </c>
      <c r="AH687" s="124">
        <f>iferror(IF(SUM($BG687:$BI687)=0,"",SUM($BG687:$BI687)),"")</f>
        <v/>
      </c>
      <c r="AI687" s="131" t="n"/>
      <c r="AJ687" s="132" t="n"/>
      <c r="AK687" s="132" t="n"/>
      <c r="AL687" s="132" t="n"/>
      <c r="AM687" s="132" t="n"/>
      <c r="AN687" s="132" t="n"/>
      <c r="AO687" s="132" t="n"/>
      <c r="AP687" s="132" t="n"/>
      <c r="AQ687" s="132" t="n"/>
      <c r="AR687" s="132" t="n"/>
      <c r="AS687" s="132" t="n"/>
      <c r="AT687" s="132" t="n"/>
      <c r="AU687" s="132" t="n"/>
      <c r="AV687" s="132" t="n"/>
      <c r="AW687" s="132" t="n"/>
      <c r="AX687" s="132" t="n"/>
      <c r="AY687" s="132" t="n"/>
      <c r="AZ687" s="133" t="n"/>
      <c r="BA687" s="131" t="n"/>
      <c r="BB687" s="132" t="n"/>
      <c r="BC687" s="133" t="n"/>
      <c r="BD687" s="131" t="n"/>
      <c r="BE687" s="132" t="n"/>
      <c r="BF687" s="133" t="n"/>
      <c r="BG687" s="131" t="n"/>
      <c r="BH687" s="132" t="n"/>
      <c r="BI687" s="132" t="n"/>
      <c r="BJ687" s="128">
        <f>iferror(SUM($BK687,($BL687*1.2),($BM687*1.35),($BN687*0.74)),)</f>
        <v/>
      </c>
      <c r="BK687" s="128">
        <f>IFERROR(SUM($BT687:$CK687),)</f>
        <v/>
      </c>
      <c r="BL687" s="129">
        <f>IFERROR(SUM($CL687:$CN687),)</f>
        <v/>
      </c>
      <c r="BM687" s="130">
        <f>IFERROR(SUM($CO687:$CQ687),)</f>
        <v/>
      </c>
      <c r="BN687" s="128">
        <f>IFERROR(SUM($CR687:$CT687),)</f>
        <v/>
      </c>
      <c r="BO687" s="128">
        <f>iferror(SUM($BP687,($BQ687*1.2),($BR687*1.35),($BS687*0.74)),)</f>
        <v/>
      </c>
      <c r="BP687" s="128">
        <f>IFERROR(SUM($CU687:$DL687),)</f>
        <v/>
      </c>
      <c r="BQ687" s="128">
        <f>IFERROR(SUM($DM687:$DO687),)</f>
        <v/>
      </c>
      <c r="BR687" s="128">
        <f>IFERROR(SUM($DP687:$DR687),)</f>
        <v/>
      </c>
      <c r="BS687" s="128">
        <f>IFERROR(SUM($DS687:$DU687),)</f>
        <v/>
      </c>
      <c r="BT687" s="128">
        <f>IFERROR(AI687*$W687,)</f>
        <v/>
      </c>
      <c r="BU687" s="128">
        <f>IFERROR(AJ687*$W687,)</f>
        <v/>
      </c>
      <c r="BV687" s="128">
        <f>IFERROR(AK687*$W687,)</f>
        <v/>
      </c>
      <c r="BW687" s="128">
        <f>IFERROR(AL687*$W687,)</f>
        <v/>
      </c>
      <c r="BX687" s="128">
        <f>IFERROR(AM687*$W687,)</f>
        <v/>
      </c>
      <c r="BY687" s="128">
        <f>IFERROR(AN687*$W687,)</f>
        <v/>
      </c>
      <c r="BZ687" s="128">
        <f>IFERROR(AO687*$W687,)</f>
        <v/>
      </c>
      <c r="CA687" s="128">
        <f>IFERROR(AP687*$W687,)</f>
        <v/>
      </c>
      <c r="CB687" s="128">
        <f>IFERROR(AQ687*$W687,)</f>
        <v/>
      </c>
      <c r="CC687" s="128">
        <f>IFERROR(AR687*$W687,)</f>
        <v/>
      </c>
      <c r="CD687" s="128">
        <f>IFERROR(AS687*$W687,)</f>
        <v/>
      </c>
      <c r="CE687" s="128">
        <f>IFERROR(AT687*$W687,)</f>
        <v/>
      </c>
      <c r="CF687" s="128">
        <f>IFERROR(AU687*$W687,)</f>
        <v/>
      </c>
      <c r="CG687" s="128">
        <f>IFERROR(AV687*$W687,)</f>
        <v/>
      </c>
      <c r="CH687" s="128">
        <f>IFERROR(AW687*$W687,)</f>
        <v/>
      </c>
      <c r="CI687" s="128">
        <f>IFERROR(AX687*$W687,)</f>
        <v/>
      </c>
      <c r="CJ687" s="128">
        <f>IFERROR(AY687*$W687,)</f>
        <v/>
      </c>
      <c r="CK687" s="128">
        <f>IFERROR(AZ687*$W687,)</f>
        <v/>
      </c>
      <c r="CL687" s="129">
        <f>IFERROR(if($Y687=0,BA687*($W687/1.2),BA687*$Y687),"")</f>
        <v/>
      </c>
      <c r="CM687" s="129">
        <f>IFERROR(if($Y687=0,BB687*($W687/1.2),BB687*$Y687),"")</f>
        <v/>
      </c>
      <c r="CN687" s="129">
        <f>IFERROR(if($Y687=0,BC687*($W687/1.2),BC687*$Y687),"")</f>
        <v/>
      </c>
      <c r="CO687" s="130">
        <f>IFERROR(if($AA687=0,($W687/1.35)*BD687,BD687*$AA687),)</f>
        <v/>
      </c>
      <c r="CP687" s="130">
        <f>IFERROR(if($AA687=0,($W687/1.35)*BE687,BE687*$AA687),)</f>
        <v/>
      </c>
      <c r="CQ687" s="130">
        <f>IFERROR(if($AA687=0,($W687/1.35)*BF687,BF687*$AA687),)</f>
        <v/>
      </c>
      <c r="CR687" s="128">
        <f>IFERROR(if($AC687=0,($W687/0.74)*BG687,
BG687*$AC687),)</f>
        <v/>
      </c>
      <c r="CS687" s="128">
        <f>IFERROR(if($AC687=0,($W687/0.74)*BH687,
BH687*$AC687),)</f>
        <v/>
      </c>
      <c r="CT687" s="128">
        <f>IFERROR(if($AC687=0,($W687/0.74)*BI687,
BI687*$AC687),)</f>
        <v/>
      </c>
      <c r="CU687" s="128">
        <f>IFERROR(AI687*$V687,)</f>
        <v/>
      </c>
      <c r="CV687" s="128">
        <f>IFERROR(AJ687*$V687,)</f>
        <v/>
      </c>
      <c r="CW687" s="128">
        <f>IFERROR(AK687*$V687,)</f>
        <v/>
      </c>
      <c r="CX687" s="128">
        <f>IFERROR(AL687*$V687,)</f>
        <v/>
      </c>
      <c r="CY687" s="128">
        <f>IFERROR(AM687*$V687,)</f>
        <v/>
      </c>
      <c r="CZ687" s="128">
        <f>IFERROR(AN687*$V687,)</f>
        <v/>
      </c>
      <c r="DA687" s="128">
        <f>IFERROR(AO687*$V687,)</f>
        <v/>
      </c>
      <c r="DB687" s="128">
        <f>IFERROR(AP687*$V687,)</f>
        <v/>
      </c>
      <c r="DC687" s="128">
        <f>IFERROR(AQ687*$V687,)</f>
        <v/>
      </c>
      <c r="DD687" s="128">
        <f>IFERROR(AR687*$V687,)</f>
        <v/>
      </c>
      <c r="DE687" s="128">
        <f>IFERROR(AS687*$V687,)</f>
        <v/>
      </c>
      <c r="DF687" s="128">
        <f>IFERROR(AT687*$V687,)</f>
        <v/>
      </c>
      <c r="DG687" s="128">
        <f>IFERROR(AU687*$V687,)</f>
        <v/>
      </c>
      <c r="DH687" s="128">
        <f>IFERROR(AV687*$V687,)</f>
        <v/>
      </c>
      <c r="DI687" s="128">
        <f>IFERROR(AW687*$V687,)</f>
        <v/>
      </c>
      <c r="DJ687" s="128">
        <f>IFERROR(AX687*$V687,)</f>
        <v/>
      </c>
      <c r="DK687" s="128">
        <f>IFERROR(AY687*$V687,)</f>
        <v/>
      </c>
      <c r="DL687" s="128">
        <f>IFERROR(AZ687*$V687,)</f>
        <v/>
      </c>
      <c r="DM687" s="129">
        <f>IFERROR(if($X687=0,($V687/1.2)*BA687,
BA687*$X687),)</f>
        <v/>
      </c>
      <c r="DN687" s="129">
        <f>IFERROR(if($X687=0,($V687/1.2)*BB687,
BB687*$X687),)</f>
        <v/>
      </c>
      <c r="DO687" s="129">
        <f>IFERROR(if($X687=0,($V687/1.2)*BC687,
BC687*$X687),)</f>
        <v/>
      </c>
      <c r="DP687" s="130">
        <f>IFERROR(if($Z687=0,($V687/1.35)*BD687,
BD687*$Z687),)</f>
        <v/>
      </c>
      <c r="DQ687" s="130">
        <f>IFERROR(if($Z687=0,($V687/1.35)*BE687,
BE687*$Z687),)</f>
        <v/>
      </c>
      <c r="DR687" s="130">
        <f>IFERROR(if($Z687=0,($V687/1.35)*BF687,
BF687*$Z687),)</f>
        <v/>
      </c>
      <c r="DS687" s="128">
        <f>IFERROR(IF($AB687=0,($V687/0.74)*BG687,
BG687*$AB687),)</f>
        <v/>
      </c>
      <c r="DT687" s="128">
        <f>IFERROR(IF($AB687=0,($V687/0.74)*BH687,
BH687*$AB687),)</f>
        <v/>
      </c>
      <c r="DU687" s="128">
        <f>IFERROR(IF($AB687=0,($V687/0.74)*BI687,
BI687*$AB687),)</f>
        <v/>
      </c>
    </row>
    <row r="688" ht="131.25" customHeight="1" s="162">
      <c r="A688" s="115" t="n"/>
      <c r="B688" s="115" t="n"/>
      <c r="C688" s="115" t="n"/>
      <c r="D688" s="115" t="n"/>
      <c r="E688" s="115" t="n"/>
      <c r="F688" s="115" t="n"/>
      <c r="G688" s="115" t="n"/>
      <c r="H688" s="115" t="n"/>
      <c r="I688" s="115" t="n"/>
      <c r="J688" s="115" t="n"/>
      <c r="K688" s="115" t="n"/>
      <c r="L688" s="115" t="n"/>
      <c r="M688" s="115" t="n"/>
      <c r="N688" s="115" t="n"/>
      <c r="O688" s="115" t="n"/>
      <c r="P688" s="115" t="n"/>
      <c r="Q688" s="115" t="n"/>
      <c r="R688" s="115" t="n"/>
      <c r="S688" s="115" t="n"/>
      <c r="T688" s="115" t="n"/>
      <c r="U688" s="116" t="n"/>
      <c r="V688" s="116" t="n"/>
      <c r="W688" s="117" t="n"/>
      <c r="X688" s="118" t="n"/>
      <c r="Y688" s="119" t="n"/>
      <c r="Z688" s="120" t="n"/>
      <c r="AA688" s="121" t="n"/>
      <c r="AB688" s="122" t="n"/>
      <c r="AC688" s="117" t="n"/>
      <c r="AD688" s="123">
        <f>IF(SUM($AE688:$AH688)=0,"",SUM($AE688:$AH688))</f>
        <v/>
      </c>
      <c r="AE688" s="123">
        <f>iferror(IF(SUM($AI688:$AZ688)=0,"",SUM($AI688:$AZ688)),"")</f>
        <v/>
      </c>
      <c r="AF688" s="123">
        <f>iferror(IF(SUM($BA688:$BC688)=0,"",SUM($BA688:$BC688)),"")</f>
        <v/>
      </c>
      <c r="AG688" s="123">
        <f>iferror(IF(SUM($BD688:$BF688)=0,"",SUM($BD688:$BF688)),"")</f>
        <v/>
      </c>
      <c r="AH688" s="124">
        <f>iferror(IF(SUM($BG688:$BI688)=0,"",SUM($BG688:$BI688)),"")</f>
        <v/>
      </c>
      <c r="AI688" s="131" t="n"/>
      <c r="AJ688" s="132" t="n"/>
      <c r="AK688" s="132" t="n"/>
      <c r="AL688" s="132" t="n"/>
      <c r="AM688" s="132" t="n"/>
      <c r="AN688" s="132" t="n"/>
      <c r="AO688" s="132" t="n"/>
      <c r="AP688" s="132" t="n"/>
      <c r="AQ688" s="132" t="n"/>
      <c r="AR688" s="132" t="n"/>
      <c r="AS688" s="132" t="n"/>
      <c r="AT688" s="132" t="n"/>
      <c r="AU688" s="132" t="n"/>
      <c r="AV688" s="132" t="n"/>
      <c r="AW688" s="132" t="n"/>
      <c r="AX688" s="132" t="n"/>
      <c r="AY688" s="132" t="n"/>
      <c r="AZ688" s="133" t="n"/>
      <c r="BA688" s="131" t="n"/>
      <c r="BB688" s="132" t="n"/>
      <c r="BC688" s="133" t="n"/>
      <c r="BD688" s="131" t="n"/>
      <c r="BE688" s="132" t="n"/>
      <c r="BF688" s="133" t="n"/>
      <c r="BG688" s="131" t="n"/>
      <c r="BH688" s="132" t="n"/>
      <c r="BI688" s="132" t="n"/>
      <c r="BJ688" s="128">
        <f>iferror(SUM($BK688,($BL688*1.2),($BM688*1.35),($BN688*0.74)),)</f>
        <v/>
      </c>
      <c r="BK688" s="128">
        <f>IFERROR(SUM($BT688:$CK688),)</f>
        <v/>
      </c>
      <c r="BL688" s="129">
        <f>IFERROR(SUM($CL688:$CN688),)</f>
        <v/>
      </c>
      <c r="BM688" s="130">
        <f>IFERROR(SUM($CO688:$CQ688),)</f>
        <v/>
      </c>
      <c r="BN688" s="128">
        <f>IFERROR(SUM($CR688:$CT688),)</f>
        <v/>
      </c>
      <c r="BO688" s="128">
        <f>iferror(SUM($BP688,($BQ688*1.2),($BR688*1.35),($BS688*0.74)),)</f>
        <v/>
      </c>
      <c r="BP688" s="128">
        <f>IFERROR(SUM($CU688:$DL688),)</f>
        <v/>
      </c>
      <c r="BQ688" s="128">
        <f>IFERROR(SUM($DM688:$DO688),)</f>
        <v/>
      </c>
      <c r="BR688" s="128">
        <f>IFERROR(SUM($DP688:$DR688),)</f>
        <v/>
      </c>
      <c r="BS688" s="128">
        <f>IFERROR(SUM($DS688:$DU688),)</f>
        <v/>
      </c>
      <c r="BT688" s="128">
        <f>IFERROR(AI688*$W688,)</f>
        <v/>
      </c>
      <c r="BU688" s="128">
        <f>IFERROR(AJ688*$W688,)</f>
        <v/>
      </c>
      <c r="BV688" s="128">
        <f>IFERROR(AK688*$W688,)</f>
        <v/>
      </c>
      <c r="BW688" s="128">
        <f>IFERROR(AL688*$W688,)</f>
        <v/>
      </c>
      <c r="BX688" s="128">
        <f>IFERROR(AM688*$W688,)</f>
        <v/>
      </c>
      <c r="BY688" s="128">
        <f>IFERROR(AN688*$W688,)</f>
        <v/>
      </c>
      <c r="BZ688" s="128">
        <f>IFERROR(AO688*$W688,)</f>
        <v/>
      </c>
      <c r="CA688" s="128">
        <f>IFERROR(AP688*$W688,)</f>
        <v/>
      </c>
      <c r="CB688" s="128">
        <f>IFERROR(AQ688*$W688,)</f>
        <v/>
      </c>
      <c r="CC688" s="128">
        <f>IFERROR(AR688*$W688,)</f>
        <v/>
      </c>
      <c r="CD688" s="128">
        <f>IFERROR(AS688*$W688,)</f>
        <v/>
      </c>
      <c r="CE688" s="128">
        <f>IFERROR(AT688*$W688,)</f>
        <v/>
      </c>
      <c r="CF688" s="128">
        <f>IFERROR(AU688*$W688,)</f>
        <v/>
      </c>
      <c r="CG688" s="128">
        <f>IFERROR(AV688*$W688,)</f>
        <v/>
      </c>
      <c r="CH688" s="128">
        <f>IFERROR(AW688*$W688,)</f>
        <v/>
      </c>
      <c r="CI688" s="128">
        <f>IFERROR(AX688*$W688,)</f>
        <v/>
      </c>
      <c r="CJ688" s="128">
        <f>IFERROR(AY688*$W688,)</f>
        <v/>
      </c>
      <c r="CK688" s="128">
        <f>IFERROR(AZ688*$W688,)</f>
        <v/>
      </c>
      <c r="CL688" s="129">
        <f>IFERROR(if($Y688=0,BA688*($W688/1.2),BA688*$Y688),"")</f>
        <v/>
      </c>
      <c r="CM688" s="129">
        <f>IFERROR(if($Y688=0,BB688*($W688/1.2),BB688*$Y688),"")</f>
        <v/>
      </c>
      <c r="CN688" s="129">
        <f>IFERROR(if($Y688=0,BC688*($W688/1.2),BC688*$Y688),"")</f>
        <v/>
      </c>
      <c r="CO688" s="130">
        <f>IFERROR(if($AA688=0,($W688/1.35)*BD688,BD688*$AA688),)</f>
        <v/>
      </c>
      <c r="CP688" s="130">
        <f>IFERROR(if($AA688=0,($W688/1.35)*BE688,BE688*$AA688),)</f>
        <v/>
      </c>
      <c r="CQ688" s="130">
        <f>IFERROR(if($AA688=0,($W688/1.35)*BF688,BF688*$AA688),)</f>
        <v/>
      </c>
      <c r="CR688" s="128">
        <f>IFERROR(if($AC688=0,($W688/0.74)*BG688,
BG688*$AC688),)</f>
        <v/>
      </c>
      <c r="CS688" s="128">
        <f>IFERROR(if($AC688=0,($W688/0.74)*BH688,
BH688*$AC688),)</f>
        <v/>
      </c>
      <c r="CT688" s="128">
        <f>IFERROR(if($AC688=0,($W688/0.74)*BI688,
BI688*$AC688),)</f>
        <v/>
      </c>
      <c r="CU688" s="128">
        <f>IFERROR(AI688*$V688,)</f>
        <v/>
      </c>
      <c r="CV688" s="128">
        <f>IFERROR(AJ688*$V688,)</f>
        <v/>
      </c>
      <c r="CW688" s="128">
        <f>IFERROR(AK688*$V688,)</f>
        <v/>
      </c>
      <c r="CX688" s="128">
        <f>IFERROR(AL688*$V688,)</f>
        <v/>
      </c>
      <c r="CY688" s="128">
        <f>IFERROR(AM688*$V688,)</f>
        <v/>
      </c>
      <c r="CZ688" s="128">
        <f>IFERROR(AN688*$V688,)</f>
        <v/>
      </c>
      <c r="DA688" s="128">
        <f>IFERROR(AO688*$V688,)</f>
        <v/>
      </c>
      <c r="DB688" s="128">
        <f>IFERROR(AP688*$V688,)</f>
        <v/>
      </c>
      <c r="DC688" s="128">
        <f>IFERROR(AQ688*$V688,)</f>
        <v/>
      </c>
      <c r="DD688" s="128">
        <f>IFERROR(AR688*$V688,)</f>
        <v/>
      </c>
      <c r="DE688" s="128">
        <f>IFERROR(AS688*$V688,)</f>
        <v/>
      </c>
      <c r="DF688" s="128">
        <f>IFERROR(AT688*$V688,)</f>
        <v/>
      </c>
      <c r="DG688" s="128">
        <f>IFERROR(AU688*$V688,)</f>
        <v/>
      </c>
      <c r="DH688" s="128">
        <f>IFERROR(AV688*$V688,)</f>
        <v/>
      </c>
      <c r="DI688" s="128">
        <f>IFERROR(AW688*$V688,)</f>
        <v/>
      </c>
      <c r="DJ688" s="128">
        <f>IFERROR(AX688*$V688,)</f>
        <v/>
      </c>
      <c r="DK688" s="128">
        <f>IFERROR(AY688*$V688,)</f>
        <v/>
      </c>
      <c r="DL688" s="128">
        <f>IFERROR(AZ688*$V688,)</f>
        <v/>
      </c>
      <c r="DM688" s="129">
        <f>IFERROR(if($X688=0,($V688/1.2)*BA688,
BA688*$X688),)</f>
        <v/>
      </c>
      <c r="DN688" s="129">
        <f>IFERROR(if($X688=0,($V688/1.2)*BB688,
BB688*$X688),)</f>
        <v/>
      </c>
      <c r="DO688" s="129">
        <f>IFERROR(if($X688=0,($V688/1.2)*BC688,
BC688*$X688),)</f>
        <v/>
      </c>
      <c r="DP688" s="130">
        <f>IFERROR(if($Z688=0,($V688/1.35)*BD688,
BD688*$Z688),)</f>
        <v/>
      </c>
      <c r="DQ688" s="130">
        <f>IFERROR(if($Z688=0,($V688/1.35)*BE688,
BE688*$Z688),)</f>
        <v/>
      </c>
      <c r="DR688" s="130">
        <f>IFERROR(if($Z688=0,($V688/1.35)*BF688,
BF688*$Z688),)</f>
        <v/>
      </c>
      <c r="DS688" s="128">
        <f>IFERROR(IF($AB688=0,($V688/0.74)*BG688,
BG688*$AB688),)</f>
        <v/>
      </c>
      <c r="DT688" s="128">
        <f>IFERROR(IF($AB688=0,($V688/0.74)*BH688,
BH688*$AB688),)</f>
        <v/>
      </c>
      <c r="DU688" s="128">
        <f>IFERROR(IF($AB688=0,($V688/0.74)*BI688,
BI688*$AB688),)</f>
        <v/>
      </c>
    </row>
    <row r="689" ht="131.25" customHeight="1" s="162">
      <c r="A689" s="115" t="n"/>
      <c r="B689" s="115" t="n"/>
      <c r="C689" s="115" t="n"/>
      <c r="D689" s="115" t="n"/>
      <c r="E689" s="115" t="n"/>
      <c r="F689" s="115" t="n"/>
      <c r="G689" s="115" t="n"/>
      <c r="H689" s="115" t="n"/>
      <c r="I689" s="115" t="n"/>
      <c r="J689" s="115" t="n"/>
      <c r="K689" s="115" t="n"/>
      <c r="L689" s="115" t="n"/>
      <c r="M689" s="115" t="n"/>
      <c r="N689" s="115" t="n"/>
      <c r="O689" s="115" t="n"/>
      <c r="P689" s="115" t="n"/>
      <c r="Q689" s="115" t="n"/>
      <c r="R689" s="115" t="n"/>
      <c r="S689" s="115" t="n"/>
      <c r="T689" s="115" t="n"/>
      <c r="U689" s="116" t="n"/>
      <c r="V689" s="116" t="n"/>
      <c r="W689" s="117" t="n"/>
      <c r="X689" s="118" t="n"/>
      <c r="Y689" s="119" t="n"/>
      <c r="Z689" s="120" t="n"/>
      <c r="AA689" s="121" t="n"/>
      <c r="AB689" s="122" t="n"/>
      <c r="AC689" s="117" t="n"/>
      <c r="AD689" s="123">
        <f>IF(SUM($AE689:$AH689)=0,"",SUM($AE689:$AH689))</f>
        <v/>
      </c>
      <c r="AE689" s="123">
        <f>iferror(IF(SUM($AI689:$AZ689)=0,"",SUM($AI689:$AZ689)),"")</f>
        <v/>
      </c>
      <c r="AF689" s="123">
        <f>iferror(IF(SUM($BA689:$BC689)=0,"",SUM($BA689:$BC689)),"")</f>
        <v/>
      </c>
      <c r="AG689" s="123">
        <f>iferror(IF(SUM($BD689:$BF689)=0,"",SUM($BD689:$BF689)),"")</f>
        <v/>
      </c>
      <c r="AH689" s="124">
        <f>iferror(IF(SUM($BG689:$BI689)=0,"",SUM($BG689:$BI689)),"")</f>
        <v/>
      </c>
      <c r="AI689" s="131" t="n"/>
      <c r="AJ689" s="132" t="n"/>
      <c r="AK689" s="132" t="n"/>
      <c r="AL689" s="132" t="n"/>
      <c r="AM689" s="132" t="n"/>
      <c r="AN689" s="132" t="n"/>
      <c r="AO689" s="132" t="n"/>
      <c r="AP689" s="132" t="n"/>
      <c r="AQ689" s="132" t="n"/>
      <c r="AR689" s="132" t="n"/>
      <c r="AS689" s="132" t="n"/>
      <c r="AT689" s="132" t="n"/>
      <c r="AU689" s="132" t="n"/>
      <c r="AV689" s="132" t="n"/>
      <c r="AW689" s="132" t="n"/>
      <c r="AX689" s="132" t="n"/>
      <c r="AY689" s="132" t="n"/>
      <c r="AZ689" s="133" t="n"/>
      <c r="BA689" s="131" t="n"/>
      <c r="BB689" s="132" t="n"/>
      <c r="BC689" s="133" t="n"/>
      <c r="BD689" s="131" t="n"/>
      <c r="BE689" s="132" t="n"/>
      <c r="BF689" s="133" t="n"/>
      <c r="BG689" s="131" t="n"/>
      <c r="BH689" s="132" t="n"/>
      <c r="BI689" s="132" t="n"/>
      <c r="BJ689" s="128">
        <f>iferror(SUM($BK689,($BL689*1.2),($BM689*1.35),($BN689*0.74)),)</f>
        <v/>
      </c>
      <c r="BK689" s="128">
        <f>IFERROR(SUM($BT689:$CK689),)</f>
        <v/>
      </c>
      <c r="BL689" s="129">
        <f>IFERROR(SUM($CL689:$CN689),)</f>
        <v/>
      </c>
      <c r="BM689" s="130">
        <f>IFERROR(SUM($CO689:$CQ689),)</f>
        <v/>
      </c>
      <c r="BN689" s="128">
        <f>IFERROR(SUM($CR689:$CT689),)</f>
        <v/>
      </c>
      <c r="BO689" s="128">
        <f>iferror(SUM($BP689,($BQ689*1.2),($BR689*1.35),($BS689*0.74)),)</f>
        <v/>
      </c>
      <c r="BP689" s="128">
        <f>IFERROR(SUM($CU689:$DL689),)</f>
        <v/>
      </c>
      <c r="BQ689" s="128">
        <f>IFERROR(SUM($DM689:$DO689),)</f>
        <v/>
      </c>
      <c r="BR689" s="128">
        <f>IFERROR(SUM($DP689:$DR689),)</f>
        <v/>
      </c>
      <c r="BS689" s="128">
        <f>IFERROR(SUM($DS689:$DU689),)</f>
        <v/>
      </c>
      <c r="BT689" s="128">
        <f>IFERROR(AI689*$W689,)</f>
        <v/>
      </c>
      <c r="BU689" s="128">
        <f>IFERROR(AJ689*$W689,)</f>
        <v/>
      </c>
      <c r="BV689" s="128">
        <f>IFERROR(AK689*$W689,)</f>
        <v/>
      </c>
      <c r="BW689" s="128">
        <f>IFERROR(AL689*$W689,)</f>
        <v/>
      </c>
      <c r="BX689" s="128">
        <f>IFERROR(AM689*$W689,)</f>
        <v/>
      </c>
      <c r="BY689" s="128">
        <f>IFERROR(AN689*$W689,)</f>
        <v/>
      </c>
      <c r="BZ689" s="128">
        <f>IFERROR(AO689*$W689,)</f>
        <v/>
      </c>
      <c r="CA689" s="128">
        <f>IFERROR(AP689*$W689,)</f>
        <v/>
      </c>
      <c r="CB689" s="128">
        <f>IFERROR(AQ689*$W689,)</f>
        <v/>
      </c>
      <c r="CC689" s="128">
        <f>IFERROR(AR689*$W689,)</f>
        <v/>
      </c>
      <c r="CD689" s="128">
        <f>IFERROR(AS689*$W689,)</f>
        <v/>
      </c>
      <c r="CE689" s="128">
        <f>IFERROR(AT689*$W689,)</f>
        <v/>
      </c>
      <c r="CF689" s="128">
        <f>IFERROR(AU689*$W689,)</f>
        <v/>
      </c>
      <c r="CG689" s="128">
        <f>IFERROR(AV689*$W689,)</f>
        <v/>
      </c>
      <c r="CH689" s="128">
        <f>IFERROR(AW689*$W689,)</f>
        <v/>
      </c>
      <c r="CI689" s="128">
        <f>IFERROR(AX689*$W689,)</f>
        <v/>
      </c>
      <c r="CJ689" s="128">
        <f>IFERROR(AY689*$W689,)</f>
        <v/>
      </c>
      <c r="CK689" s="128">
        <f>IFERROR(AZ689*$W689,)</f>
        <v/>
      </c>
      <c r="CL689" s="129">
        <f>IFERROR(if($Y689=0,BA689*($W689/1.2),BA689*$Y689),"")</f>
        <v/>
      </c>
      <c r="CM689" s="129">
        <f>IFERROR(if($Y689=0,BB689*($W689/1.2),BB689*$Y689),"")</f>
        <v/>
      </c>
      <c r="CN689" s="129">
        <f>IFERROR(if($Y689=0,BC689*($W689/1.2),BC689*$Y689),"")</f>
        <v/>
      </c>
      <c r="CO689" s="130">
        <f>IFERROR(if($AA689=0,($W689/1.35)*BD689,BD689*$AA689),)</f>
        <v/>
      </c>
      <c r="CP689" s="130">
        <f>IFERROR(if($AA689=0,($W689/1.35)*BE689,BE689*$AA689),)</f>
        <v/>
      </c>
      <c r="CQ689" s="130">
        <f>IFERROR(if($AA689=0,($W689/1.35)*BF689,BF689*$AA689),)</f>
        <v/>
      </c>
      <c r="CR689" s="128">
        <f>IFERROR(if($AC689=0,($W689/0.74)*BG689,
BG689*$AC689),)</f>
        <v/>
      </c>
      <c r="CS689" s="128">
        <f>IFERROR(if($AC689=0,($W689/0.74)*BH689,
BH689*$AC689),)</f>
        <v/>
      </c>
      <c r="CT689" s="128">
        <f>IFERROR(if($AC689=0,($W689/0.74)*BI689,
BI689*$AC689),)</f>
        <v/>
      </c>
      <c r="CU689" s="128">
        <f>IFERROR(AI689*$V689,)</f>
        <v/>
      </c>
      <c r="CV689" s="128">
        <f>IFERROR(AJ689*$V689,)</f>
        <v/>
      </c>
      <c r="CW689" s="128">
        <f>IFERROR(AK689*$V689,)</f>
        <v/>
      </c>
      <c r="CX689" s="128">
        <f>IFERROR(AL689*$V689,)</f>
        <v/>
      </c>
      <c r="CY689" s="128">
        <f>IFERROR(AM689*$V689,)</f>
        <v/>
      </c>
      <c r="CZ689" s="128">
        <f>IFERROR(AN689*$V689,)</f>
        <v/>
      </c>
      <c r="DA689" s="128">
        <f>IFERROR(AO689*$V689,)</f>
        <v/>
      </c>
      <c r="DB689" s="128">
        <f>IFERROR(AP689*$V689,)</f>
        <v/>
      </c>
      <c r="DC689" s="128">
        <f>IFERROR(AQ689*$V689,)</f>
        <v/>
      </c>
      <c r="DD689" s="128">
        <f>IFERROR(AR689*$V689,)</f>
        <v/>
      </c>
      <c r="DE689" s="128">
        <f>IFERROR(AS689*$V689,)</f>
        <v/>
      </c>
      <c r="DF689" s="128">
        <f>IFERROR(AT689*$V689,)</f>
        <v/>
      </c>
      <c r="DG689" s="128">
        <f>IFERROR(AU689*$V689,)</f>
        <v/>
      </c>
      <c r="DH689" s="128">
        <f>IFERROR(AV689*$V689,)</f>
        <v/>
      </c>
      <c r="DI689" s="128">
        <f>IFERROR(AW689*$V689,)</f>
        <v/>
      </c>
      <c r="DJ689" s="128">
        <f>IFERROR(AX689*$V689,)</f>
        <v/>
      </c>
      <c r="DK689" s="128">
        <f>IFERROR(AY689*$V689,)</f>
        <v/>
      </c>
      <c r="DL689" s="128">
        <f>IFERROR(AZ689*$V689,)</f>
        <v/>
      </c>
      <c r="DM689" s="129">
        <f>IFERROR(if($X689=0,($V689/1.2)*BA689,
BA689*$X689),)</f>
        <v/>
      </c>
      <c r="DN689" s="129">
        <f>IFERROR(if($X689=0,($V689/1.2)*BB689,
BB689*$X689),)</f>
        <v/>
      </c>
      <c r="DO689" s="129">
        <f>IFERROR(if($X689=0,($V689/1.2)*BC689,
BC689*$X689),)</f>
        <v/>
      </c>
      <c r="DP689" s="130">
        <f>IFERROR(if($Z689=0,($V689/1.35)*BD689,
BD689*$Z689),)</f>
        <v/>
      </c>
      <c r="DQ689" s="130">
        <f>IFERROR(if($Z689=0,($V689/1.35)*BE689,
BE689*$Z689),)</f>
        <v/>
      </c>
      <c r="DR689" s="130">
        <f>IFERROR(if($Z689=0,($V689/1.35)*BF689,
BF689*$Z689),)</f>
        <v/>
      </c>
      <c r="DS689" s="128">
        <f>IFERROR(IF($AB689=0,($V689/0.74)*BG689,
BG689*$AB689),)</f>
        <v/>
      </c>
      <c r="DT689" s="128">
        <f>IFERROR(IF($AB689=0,($V689/0.74)*BH689,
BH689*$AB689),)</f>
        <v/>
      </c>
      <c r="DU689" s="128">
        <f>IFERROR(IF($AB689=0,($V689/0.74)*BI689,
BI689*$AB689),)</f>
        <v/>
      </c>
    </row>
    <row r="690" ht="131.25" customHeight="1" s="162">
      <c r="A690" s="115" t="n"/>
      <c r="B690" s="115" t="n"/>
      <c r="C690" s="115" t="n"/>
      <c r="D690" s="115" t="n"/>
      <c r="E690" s="115" t="n"/>
      <c r="F690" s="115" t="n"/>
      <c r="G690" s="115" t="n"/>
      <c r="H690" s="115" t="n"/>
      <c r="I690" s="115" t="n"/>
      <c r="J690" s="115" t="n"/>
      <c r="K690" s="115" t="n"/>
      <c r="L690" s="115" t="n"/>
      <c r="M690" s="115" t="n"/>
      <c r="N690" s="115" t="n"/>
      <c r="O690" s="115" t="n"/>
      <c r="P690" s="115" t="n"/>
      <c r="Q690" s="115" t="n"/>
      <c r="R690" s="115" t="n"/>
      <c r="S690" s="115" t="n"/>
      <c r="T690" s="115" t="n"/>
      <c r="U690" s="116" t="n"/>
      <c r="V690" s="116" t="n"/>
      <c r="W690" s="117" t="n"/>
      <c r="X690" s="118" t="n"/>
      <c r="Y690" s="119" t="n"/>
      <c r="Z690" s="120" t="n"/>
      <c r="AA690" s="121" t="n"/>
      <c r="AB690" s="122" t="n"/>
      <c r="AC690" s="117" t="n"/>
      <c r="AD690" s="123">
        <f>IF(SUM($AE690:$AH690)=0,"",SUM($AE690:$AH690))</f>
        <v/>
      </c>
      <c r="AE690" s="123">
        <f>iferror(IF(SUM($AI690:$AZ690)=0,"",SUM($AI690:$AZ690)),"")</f>
        <v/>
      </c>
      <c r="AF690" s="123">
        <f>iferror(IF(SUM($BA690:$BC690)=0,"",SUM($BA690:$BC690)),"")</f>
        <v/>
      </c>
      <c r="AG690" s="123">
        <f>iferror(IF(SUM($BD690:$BF690)=0,"",SUM($BD690:$BF690)),"")</f>
        <v/>
      </c>
      <c r="AH690" s="124">
        <f>iferror(IF(SUM($BG690:$BI690)=0,"",SUM($BG690:$BI690)),"")</f>
        <v/>
      </c>
      <c r="AI690" s="131" t="n"/>
      <c r="AJ690" s="132" t="n"/>
      <c r="AK690" s="132" t="n"/>
      <c r="AL690" s="132" t="n"/>
      <c r="AM690" s="132" t="n"/>
      <c r="AN690" s="132" t="n"/>
      <c r="AO690" s="132" t="n"/>
      <c r="AP690" s="132" t="n"/>
      <c r="AQ690" s="132" t="n"/>
      <c r="AR690" s="132" t="n"/>
      <c r="AS690" s="132" t="n"/>
      <c r="AT690" s="132" t="n"/>
      <c r="AU690" s="132" t="n"/>
      <c r="AV690" s="132" t="n"/>
      <c r="AW690" s="132" t="n"/>
      <c r="AX690" s="132" t="n"/>
      <c r="AY690" s="132" t="n"/>
      <c r="AZ690" s="133" t="n"/>
      <c r="BA690" s="131" t="n"/>
      <c r="BB690" s="132" t="n"/>
      <c r="BC690" s="133" t="n"/>
      <c r="BD690" s="131" t="n"/>
      <c r="BE690" s="132" t="n"/>
      <c r="BF690" s="133" t="n"/>
      <c r="BG690" s="131" t="n"/>
      <c r="BH690" s="132" t="n"/>
      <c r="BI690" s="132" t="n"/>
      <c r="BJ690" s="128">
        <f>iferror(SUM($BK690,($BL690*1.2),($BM690*1.35),($BN690*0.74)),)</f>
        <v/>
      </c>
      <c r="BK690" s="128">
        <f>IFERROR(SUM($BT690:$CK690),)</f>
        <v/>
      </c>
      <c r="BL690" s="129">
        <f>IFERROR(SUM($CL690:$CN690),)</f>
        <v/>
      </c>
      <c r="BM690" s="130">
        <f>IFERROR(SUM($CO690:$CQ690),)</f>
        <v/>
      </c>
      <c r="BN690" s="128">
        <f>IFERROR(SUM($CR690:$CT690),)</f>
        <v/>
      </c>
      <c r="BO690" s="128">
        <f>iferror(SUM($BP690,($BQ690*1.2),($BR690*1.35),($BS690*0.74)),)</f>
        <v/>
      </c>
      <c r="BP690" s="128">
        <f>IFERROR(SUM($CU690:$DL690),)</f>
        <v/>
      </c>
      <c r="BQ690" s="128">
        <f>IFERROR(SUM($DM690:$DO690),)</f>
        <v/>
      </c>
      <c r="BR690" s="128">
        <f>IFERROR(SUM($DP690:$DR690),)</f>
        <v/>
      </c>
      <c r="BS690" s="128">
        <f>IFERROR(SUM($DS690:$DU690),)</f>
        <v/>
      </c>
      <c r="BT690" s="128">
        <f>IFERROR(AI690*$W690,)</f>
        <v/>
      </c>
      <c r="BU690" s="128">
        <f>IFERROR(AJ690*$W690,)</f>
        <v/>
      </c>
      <c r="BV690" s="128">
        <f>IFERROR(AK690*$W690,)</f>
        <v/>
      </c>
      <c r="BW690" s="128">
        <f>IFERROR(AL690*$W690,)</f>
        <v/>
      </c>
      <c r="BX690" s="128">
        <f>IFERROR(AM690*$W690,)</f>
        <v/>
      </c>
      <c r="BY690" s="128">
        <f>IFERROR(AN690*$W690,)</f>
        <v/>
      </c>
      <c r="BZ690" s="128">
        <f>IFERROR(AO690*$W690,)</f>
        <v/>
      </c>
      <c r="CA690" s="128">
        <f>IFERROR(AP690*$W690,)</f>
        <v/>
      </c>
      <c r="CB690" s="128">
        <f>IFERROR(AQ690*$W690,)</f>
        <v/>
      </c>
      <c r="CC690" s="128">
        <f>IFERROR(AR690*$W690,)</f>
        <v/>
      </c>
      <c r="CD690" s="128">
        <f>IFERROR(AS690*$W690,)</f>
        <v/>
      </c>
      <c r="CE690" s="128">
        <f>IFERROR(AT690*$W690,)</f>
        <v/>
      </c>
      <c r="CF690" s="128">
        <f>IFERROR(AU690*$W690,)</f>
        <v/>
      </c>
      <c r="CG690" s="128">
        <f>IFERROR(AV690*$W690,)</f>
        <v/>
      </c>
      <c r="CH690" s="128">
        <f>IFERROR(AW690*$W690,)</f>
        <v/>
      </c>
      <c r="CI690" s="128">
        <f>IFERROR(AX690*$W690,)</f>
        <v/>
      </c>
      <c r="CJ690" s="128">
        <f>IFERROR(AY690*$W690,)</f>
        <v/>
      </c>
      <c r="CK690" s="128">
        <f>IFERROR(AZ690*$W690,)</f>
        <v/>
      </c>
      <c r="CL690" s="129">
        <f>IFERROR(if($Y690=0,BA690*($W690/1.2),BA690*$Y690),"")</f>
        <v/>
      </c>
      <c r="CM690" s="129">
        <f>IFERROR(if($Y690=0,BB690*($W690/1.2),BB690*$Y690),"")</f>
        <v/>
      </c>
      <c r="CN690" s="129">
        <f>IFERROR(if($Y690=0,BC690*($W690/1.2),BC690*$Y690),"")</f>
        <v/>
      </c>
      <c r="CO690" s="130">
        <f>IFERROR(if($AA690=0,($W690/1.35)*BD690,BD690*$AA690),)</f>
        <v/>
      </c>
      <c r="CP690" s="130">
        <f>IFERROR(if($AA690=0,($W690/1.35)*BE690,BE690*$AA690),)</f>
        <v/>
      </c>
      <c r="CQ690" s="130">
        <f>IFERROR(if($AA690=0,($W690/1.35)*BF690,BF690*$AA690),)</f>
        <v/>
      </c>
      <c r="CR690" s="128">
        <f>IFERROR(if($AC690=0,($W690/0.74)*BG690,
BG690*$AC690),)</f>
        <v/>
      </c>
      <c r="CS690" s="128">
        <f>IFERROR(if($AC690=0,($W690/0.74)*BH690,
BH690*$AC690),)</f>
        <v/>
      </c>
      <c r="CT690" s="128">
        <f>IFERROR(if($AC690=0,($W690/0.74)*BI690,
BI690*$AC690),)</f>
        <v/>
      </c>
      <c r="CU690" s="128">
        <f>IFERROR(AI690*$V690,)</f>
        <v/>
      </c>
      <c r="CV690" s="128">
        <f>IFERROR(AJ690*$V690,)</f>
        <v/>
      </c>
      <c r="CW690" s="128">
        <f>IFERROR(AK690*$V690,)</f>
        <v/>
      </c>
      <c r="CX690" s="128">
        <f>IFERROR(AL690*$V690,)</f>
        <v/>
      </c>
      <c r="CY690" s="128">
        <f>IFERROR(AM690*$V690,)</f>
        <v/>
      </c>
      <c r="CZ690" s="128">
        <f>IFERROR(AN690*$V690,)</f>
        <v/>
      </c>
      <c r="DA690" s="128">
        <f>IFERROR(AO690*$V690,)</f>
        <v/>
      </c>
      <c r="DB690" s="128">
        <f>IFERROR(AP690*$V690,)</f>
        <v/>
      </c>
      <c r="DC690" s="128">
        <f>IFERROR(AQ690*$V690,)</f>
        <v/>
      </c>
      <c r="DD690" s="128">
        <f>IFERROR(AR690*$V690,)</f>
        <v/>
      </c>
      <c r="DE690" s="128">
        <f>IFERROR(AS690*$V690,)</f>
        <v/>
      </c>
      <c r="DF690" s="128">
        <f>IFERROR(AT690*$V690,)</f>
        <v/>
      </c>
      <c r="DG690" s="128">
        <f>IFERROR(AU690*$V690,)</f>
        <v/>
      </c>
      <c r="DH690" s="128">
        <f>IFERROR(AV690*$V690,)</f>
        <v/>
      </c>
      <c r="DI690" s="128">
        <f>IFERROR(AW690*$V690,)</f>
        <v/>
      </c>
      <c r="DJ690" s="128">
        <f>IFERROR(AX690*$V690,)</f>
        <v/>
      </c>
      <c r="DK690" s="128">
        <f>IFERROR(AY690*$V690,)</f>
        <v/>
      </c>
      <c r="DL690" s="128">
        <f>IFERROR(AZ690*$V690,)</f>
        <v/>
      </c>
      <c r="DM690" s="129">
        <f>IFERROR(if($X690=0,($V690/1.2)*BA690,
BA690*$X690),)</f>
        <v/>
      </c>
      <c r="DN690" s="129">
        <f>IFERROR(if($X690=0,($V690/1.2)*BB690,
BB690*$X690),)</f>
        <v/>
      </c>
      <c r="DO690" s="129">
        <f>IFERROR(if($X690=0,($V690/1.2)*BC690,
BC690*$X690),)</f>
        <v/>
      </c>
      <c r="DP690" s="130">
        <f>IFERROR(if($Z690=0,($V690/1.35)*BD690,
BD690*$Z690),)</f>
        <v/>
      </c>
      <c r="DQ690" s="130">
        <f>IFERROR(if($Z690=0,($V690/1.35)*BE690,
BE690*$Z690),)</f>
        <v/>
      </c>
      <c r="DR690" s="130">
        <f>IFERROR(if($Z690=0,($V690/1.35)*BF690,
BF690*$Z690),)</f>
        <v/>
      </c>
      <c r="DS690" s="128">
        <f>IFERROR(IF($AB690=0,($V690/0.74)*BG690,
BG690*$AB690),)</f>
        <v/>
      </c>
      <c r="DT690" s="128">
        <f>IFERROR(IF($AB690=0,($V690/0.74)*BH690,
BH690*$AB690),)</f>
        <v/>
      </c>
      <c r="DU690" s="128">
        <f>IFERROR(IF($AB690=0,($V690/0.74)*BI690,
BI690*$AB690),)</f>
        <v/>
      </c>
    </row>
    <row r="691" ht="131.25" customHeight="1" s="162">
      <c r="A691" s="115" t="n"/>
      <c r="B691" s="115" t="n"/>
      <c r="C691" s="115" t="n"/>
      <c r="D691" s="115" t="n"/>
      <c r="E691" s="115" t="n"/>
      <c r="F691" s="115" t="n"/>
      <c r="G691" s="115" t="n"/>
      <c r="H691" s="115" t="n"/>
      <c r="I691" s="115" t="n"/>
      <c r="J691" s="115" t="n"/>
      <c r="K691" s="115" t="n"/>
      <c r="L691" s="115" t="n"/>
      <c r="M691" s="115" t="n"/>
      <c r="N691" s="115" t="n"/>
      <c r="O691" s="115" t="n"/>
      <c r="P691" s="115" t="n"/>
      <c r="Q691" s="115" t="n"/>
      <c r="R691" s="115" t="n"/>
      <c r="S691" s="115" t="n"/>
      <c r="T691" s="115" t="n"/>
      <c r="U691" s="116" t="n"/>
      <c r="V691" s="116" t="n"/>
      <c r="W691" s="117" t="n"/>
      <c r="X691" s="118" t="n"/>
      <c r="Y691" s="119" t="n"/>
      <c r="Z691" s="120" t="n"/>
      <c r="AA691" s="121" t="n"/>
      <c r="AB691" s="122" t="n"/>
      <c r="AC691" s="117" t="n"/>
      <c r="AD691" s="123">
        <f>IF(SUM($AE691:$AH691)=0,"",SUM($AE691:$AH691))</f>
        <v/>
      </c>
      <c r="AE691" s="123">
        <f>iferror(IF(SUM($AI691:$AZ691)=0,"",SUM($AI691:$AZ691)),"")</f>
        <v/>
      </c>
      <c r="AF691" s="123">
        <f>iferror(IF(SUM($BA691:$BC691)=0,"",SUM($BA691:$BC691)),"")</f>
        <v/>
      </c>
      <c r="AG691" s="123">
        <f>iferror(IF(SUM($BD691:$BF691)=0,"",SUM($BD691:$BF691)),"")</f>
        <v/>
      </c>
      <c r="AH691" s="124">
        <f>iferror(IF(SUM($BG691:$BI691)=0,"",SUM($BG691:$BI691)),"")</f>
        <v/>
      </c>
      <c r="AI691" s="131" t="n"/>
      <c r="AJ691" s="132" t="n"/>
      <c r="AK691" s="132" t="n"/>
      <c r="AL691" s="132" t="n"/>
      <c r="AM691" s="132" t="n"/>
      <c r="AN691" s="132" t="n"/>
      <c r="AO691" s="132" t="n"/>
      <c r="AP691" s="132" t="n"/>
      <c r="AQ691" s="132" t="n"/>
      <c r="AR691" s="132" t="n"/>
      <c r="AS691" s="132" t="n"/>
      <c r="AT691" s="132" t="n"/>
      <c r="AU691" s="132" t="n"/>
      <c r="AV691" s="132" t="n"/>
      <c r="AW691" s="132" t="n"/>
      <c r="AX691" s="132" t="n"/>
      <c r="AY691" s="132" t="n"/>
      <c r="AZ691" s="133" t="n"/>
      <c r="BA691" s="131" t="n"/>
      <c r="BB691" s="132" t="n"/>
      <c r="BC691" s="133" t="n"/>
      <c r="BD691" s="131" t="n"/>
      <c r="BE691" s="132" t="n"/>
      <c r="BF691" s="133" t="n"/>
      <c r="BG691" s="131" t="n"/>
      <c r="BH691" s="132" t="n"/>
      <c r="BI691" s="132" t="n"/>
      <c r="BJ691" s="128">
        <f>iferror(SUM($BK691,($BL691*1.2),($BM691*1.35),($BN691*0.74)),)</f>
        <v/>
      </c>
      <c r="BK691" s="128">
        <f>IFERROR(SUM($BT691:$CK691),)</f>
        <v/>
      </c>
      <c r="BL691" s="129">
        <f>IFERROR(SUM($CL691:$CN691),)</f>
        <v/>
      </c>
      <c r="BM691" s="130">
        <f>IFERROR(SUM($CO691:$CQ691),)</f>
        <v/>
      </c>
      <c r="BN691" s="128">
        <f>IFERROR(SUM($CR691:$CT691),)</f>
        <v/>
      </c>
      <c r="BO691" s="128">
        <f>iferror(SUM($BP691,($BQ691*1.2),($BR691*1.35),($BS691*0.74)),)</f>
        <v/>
      </c>
      <c r="BP691" s="128">
        <f>IFERROR(SUM($CU691:$DL691),)</f>
        <v/>
      </c>
      <c r="BQ691" s="128">
        <f>IFERROR(SUM($DM691:$DO691),)</f>
        <v/>
      </c>
      <c r="BR691" s="128">
        <f>IFERROR(SUM($DP691:$DR691),)</f>
        <v/>
      </c>
      <c r="BS691" s="128">
        <f>IFERROR(SUM($DS691:$DU691),)</f>
        <v/>
      </c>
      <c r="BT691" s="128">
        <f>IFERROR(AI691*$W691,)</f>
        <v/>
      </c>
      <c r="BU691" s="128">
        <f>IFERROR(AJ691*$W691,)</f>
        <v/>
      </c>
      <c r="BV691" s="128">
        <f>IFERROR(AK691*$W691,)</f>
        <v/>
      </c>
      <c r="BW691" s="128">
        <f>IFERROR(AL691*$W691,)</f>
        <v/>
      </c>
      <c r="BX691" s="128">
        <f>IFERROR(AM691*$W691,)</f>
        <v/>
      </c>
      <c r="BY691" s="128">
        <f>IFERROR(AN691*$W691,)</f>
        <v/>
      </c>
      <c r="BZ691" s="128">
        <f>IFERROR(AO691*$W691,)</f>
        <v/>
      </c>
      <c r="CA691" s="128">
        <f>IFERROR(AP691*$W691,)</f>
        <v/>
      </c>
      <c r="CB691" s="128">
        <f>IFERROR(AQ691*$W691,)</f>
        <v/>
      </c>
      <c r="CC691" s="128">
        <f>IFERROR(AR691*$W691,)</f>
        <v/>
      </c>
      <c r="CD691" s="128">
        <f>IFERROR(AS691*$W691,)</f>
        <v/>
      </c>
      <c r="CE691" s="128">
        <f>IFERROR(AT691*$W691,)</f>
        <v/>
      </c>
      <c r="CF691" s="128">
        <f>IFERROR(AU691*$W691,)</f>
        <v/>
      </c>
      <c r="CG691" s="128">
        <f>IFERROR(AV691*$W691,)</f>
        <v/>
      </c>
      <c r="CH691" s="128">
        <f>IFERROR(AW691*$W691,)</f>
        <v/>
      </c>
      <c r="CI691" s="128">
        <f>IFERROR(AX691*$W691,)</f>
        <v/>
      </c>
      <c r="CJ691" s="128">
        <f>IFERROR(AY691*$W691,)</f>
        <v/>
      </c>
      <c r="CK691" s="128">
        <f>IFERROR(AZ691*$W691,)</f>
        <v/>
      </c>
      <c r="CL691" s="129">
        <f>IFERROR(if($Y691=0,BA691*($W691/1.2),BA691*$Y691),"")</f>
        <v/>
      </c>
      <c r="CM691" s="129">
        <f>IFERROR(if($Y691=0,BB691*($W691/1.2),BB691*$Y691),"")</f>
        <v/>
      </c>
      <c r="CN691" s="129">
        <f>IFERROR(if($Y691=0,BC691*($W691/1.2),BC691*$Y691),"")</f>
        <v/>
      </c>
      <c r="CO691" s="130">
        <f>IFERROR(if($AA691=0,($W691/1.35)*BD691,BD691*$AA691),)</f>
        <v/>
      </c>
      <c r="CP691" s="130">
        <f>IFERROR(if($AA691=0,($W691/1.35)*BE691,BE691*$AA691),)</f>
        <v/>
      </c>
      <c r="CQ691" s="130">
        <f>IFERROR(if($AA691=0,($W691/1.35)*BF691,BF691*$AA691),)</f>
        <v/>
      </c>
      <c r="CR691" s="128">
        <f>IFERROR(if($AC691=0,($W691/0.74)*BG691,
BG691*$AC691),)</f>
        <v/>
      </c>
      <c r="CS691" s="128">
        <f>IFERROR(if($AC691=0,($W691/0.74)*BH691,
BH691*$AC691),)</f>
        <v/>
      </c>
      <c r="CT691" s="128">
        <f>IFERROR(if($AC691=0,($W691/0.74)*BI691,
BI691*$AC691),)</f>
        <v/>
      </c>
      <c r="CU691" s="128">
        <f>IFERROR(AI691*$V691,)</f>
        <v/>
      </c>
      <c r="CV691" s="128">
        <f>IFERROR(AJ691*$V691,)</f>
        <v/>
      </c>
      <c r="CW691" s="128">
        <f>IFERROR(AK691*$V691,)</f>
        <v/>
      </c>
      <c r="CX691" s="128">
        <f>IFERROR(AL691*$V691,)</f>
        <v/>
      </c>
      <c r="CY691" s="128">
        <f>IFERROR(AM691*$V691,)</f>
        <v/>
      </c>
      <c r="CZ691" s="128">
        <f>IFERROR(AN691*$V691,)</f>
        <v/>
      </c>
      <c r="DA691" s="128">
        <f>IFERROR(AO691*$V691,)</f>
        <v/>
      </c>
      <c r="DB691" s="128">
        <f>IFERROR(AP691*$V691,)</f>
        <v/>
      </c>
      <c r="DC691" s="128">
        <f>IFERROR(AQ691*$V691,)</f>
        <v/>
      </c>
      <c r="DD691" s="128">
        <f>IFERROR(AR691*$V691,)</f>
        <v/>
      </c>
      <c r="DE691" s="128">
        <f>IFERROR(AS691*$V691,)</f>
        <v/>
      </c>
      <c r="DF691" s="128">
        <f>IFERROR(AT691*$V691,)</f>
        <v/>
      </c>
      <c r="DG691" s="128">
        <f>IFERROR(AU691*$V691,)</f>
        <v/>
      </c>
      <c r="DH691" s="128">
        <f>IFERROR(AV691*$V691,)</f>
        <v/>
      </c>
      <c r="DI691" s="128">
        <f>IFERROR(AW691*$V691,)</f>
        <v/>
      </c>
      <c r="DJ691" s="128">
        <f>IFERROR(AX691*$V691,)</f>
        <v/>
      </c>
      <c r="DK691" s="128">
        <f>IFERROR(AY691*$V691,)</f>
        <v/>
      </c>
      <c r="DL691" s="128">
        <f>IFERROR(AZ691*$V691,)</f>
        <v/>
      </c>
      <c r="DM691" s="129">
        <f>IFERROR(if($X691=0,($V691/1.2)*BA691,
BA691*$X691),)</f>
        <v/>
      </c>
      <c r="DN691" s="129">
        <f>IFERROR(if($X691=0,($V691/1.2)*BB691,
BB691*$X691),)</f>
        <v/>
      </c>
      <c r="DO691" s="129">
        <f>IFERROR(if($X691=0,($V691/1.2)*BC691,
BC691*$X691),)</f>
        <v/>
      </c>
      <c r="DP691" s="130">
        <f>IFERROR(if($Z691=0,($V691/1.35)*BD691,
BD691*$Z691),)</f>
        <v/>
      </c>
      <c r="DQ691" s="130">
        <f>IFERROR(if($Z691=0,($V691/1.35)*BE691,
BE691*$Z691),)</f>
        <v/>
      </c>
      <c r="DR691" s="130">
        <f>IFERROR(if($Z691=0,($V691/1.35)*BF691,
BF691*$Z691),)</f>
        <v/>
      </c>
      <c r="DS691" s="128">
        <f>IFERROR(IF($AB691=0,($V691/0.74)*BG691,
BG691*$AB691),)</f>
        <v/>
      </c>
      <c r="DT691" s="128">
        <f>IFERROR(IF($AB691=0,($V691/0.74)*BH691,
BH691*$AB691),)</f>
        <v/>
      </c>
      <c r="DU691" s="128">
        <f>IFERROR(IF($AB691=0,($V691/0.74)*BI691,
BI691*$AB691),)</f>
        <v/>
      </c>
    </row>
    <row r="692" ht="131.25" customHeight="1" s="162">
      <c r="A692" s="115" t="n"/>
      <c r="B692" s="115" t="n"/>
      <c r="C692" s="115" t="n"/>
      <c r="D692" s="115" t="n"/>
      <c r="E692" s="115" t="n"/>
      <c r="F692" s="115" t="n"/>
      <c r="G692" s="115" t="n"/>
      <c r="H692" s="115" t="n"/>
      <c r="I692" s="115" t="n"/>
      <c r="J692" s="115" t="n"/>
      <c r="K692" s="115" t="n"/>
      <c r="L692" s="115" t="n"/>
      <c r="M692" s="115" t="n"/>
      <c r="N692" s="115" t="n"/>
      <c r="O692" s="115" t="n"/>
      <c r="P692" s="115" t="n"/>
      <c r="Q692" s="115" t="n"/>
      <c r="R692" s="115" t="n"/>
      <c r="S692" s="115" t="n"/>
      <c r="T692" s="115" t="n"/>
      <c r="U692" s="116" t="n"/>
      <c r="V692" s="116" t="n"/>
      <c r="W692" s="117" t="n"/>
      <c r="X692" s="118" t="n"/>
      <c r="Y692" s="119" t="n"/>
      <c r="Z692" s="120" t="n"/>
      <c r="AA692" s="121" t="n"/>
      <c r="AB692" s="122" t="n"/>
      <c r="AC692" s="117" t="n"/>
      <c r="AD692" s="123">
        <f>IF(SUM($AE692:$AH692)=0,"",SUM($AE692:$AH692))</f>
        <v/>
      </c>
      <c r="AE692" s="123">
        <f>iferror(IF(SUM($AI692:$AZ692)=0,"",SUM($AI692:$AZ692)),"")</f>
        <v/>
      </c>
      <c r="AF692" s="123">
        <f>iferror(IF(SUM($BA692:$BC692)=0,"",SUM($BA692:$BC692)),"")</f>
        <v/>
      </c>
      <c r="AG692" s="123">
        <f>iferror(IF(SUM($BD692:$BF692)=0,"",SUM($BD692:$BF692)),"")</f>
        <v/>
      </c>
      <c r="AH692" s="124">
        <f>iferror(IF(SUM($BG692:$BI692)=0,"",SUM($BG692:$BI692)),"")</f>
        <v/>
      </c>
      <c r="AI692" s="131" t="n"/>
      <c r="AJ692" s="132" t="n"/>
      <c r="AK692" s="132" t="n"/>
      <c r="AL692" s="132" t="n"/>
      <c r="AM692" s="132" t="n"/>
      <c r="AN692" s="132" t="n"/>
      <c r="AO692" s="132" t="n"/>
      <c r="AP692" s="132" t="n"/>
      <c r="AQ692" s="132" t="n"/>
      <c r="AR692" s="132" t="n"/>
      <c r="AS692" s="132" t="n"/>
      <c r="AT692" s="132" t="n"/>
      <c r="AU692" s="132" t="n"/>
      <c r="AV692" s="132" t="n"/>
      <c r="AW692" s="132" t="n"/>
      <c r="AX692" s="132" t="n"/>
      <c r="AY692" s="132" t="n"/>
      <c r="AZ692" s="133" t="n"/>
      <c r="BA692" s="131" t="n"/>
      <c r="BB692" s="132" t="n"/>
      <c r="BC692" s="133" t="n"/>
      <c r="BD692" s="131" t="n"/>
      <c r="BE692" s="132" t="n"/>
      <c r="BF692" s="133" t="n"/>
      <c r="BG692" s="131" t="n"/>
      <c r="BH692" s="132" t="n"/>
      <c r="BI692" s="132" t="n"/>
      <c r="BJ692" s="128">
        <f>iferror(SUM($BK692,($BL692*1.2),($BM692*1.35),($BN692*0.74)),)</f>
        <v/>
      </c>
      <c r="BK692" s="128">
        <f>IFERROR(SUM($BT692:$CK692),)</f>
        <v/>
      </c>
      <c r="BL692" s="129">
        <f>IFERROR(SUM($CL692:$CN692),)</f>
        <v/>
      </c>
      <c r="BM692" s="130">
        <f>IFERROR(SUM($CO692:$CQ692),)</f>
        <v/>
      </c>
      <c r="BN692" s="128">
        <f>IFERROR(SUM($CR692:$CT692),)</f>
        <v/>
      </c>
      <c r="BO692" s="128">
        <f>iferror(SUM($BP692,($BQ692*1.2),($BR692*1.35),($BS692*0.74)),)</f>
        <v/>
      </c>
      <c r="BP692" s="128">
        <f>IFERROR(SUM($CU692:$DL692),)</f>
        <v/>
      </c>
      <c r="BQ692" s="128">
        <f>IFERROR(SUM($DM692:$DO692),)</f>
        <v/>
      </c>
      <c r="BR692" s="128">
        <f>IFERROR(SUM($DP692:$DR692),)</f>
        <v/>
      </c>
      <c r="BS692" s="128">
        <f>IFERROR(SUM($DS692:$DU692),)</f>
        <v/>
      </c>
      <c r="BT692" s="128">
        <f>IFERROR(AI692*$W692,)</f>
        <v/>
      </c>
      <c r="BU692" s="128">
        <f>IFERROR(AJ692*$W692,)</f>
        <v/>
      </c>
      <c r="BV692" s="128">
        <f>IFERROR(AK692*$W692,)</f>
        <v/>
      </c>
      <c r="BW692" s="128">
        <f>IFERROR(AL692*$W692,)</f>
        <v/>
      </c>
      <c r="BX692" s="128">
        <f>IFERROR(AM692*$W692,)</f>
        <v/>
      </c>
      <c r="BY692" s="128">
        <f>IFERROR(AN692*$W692,)</f>
        <v/>
      </c>
      <c r="BZ692" s="128">
        <f>IFERROR(AO692*$W692,)</f>
        <v/>
      </c>
      <c r="CA692" s="128">
        <f>IFERROR(AP692*$W692,)</f>
        <v/>
      </c>
      <c r="CB692" s="128">
        <f>IFERROR(AQ692*$W692,)</f>
        <v/>
      </c>
      <c r="CC692" s="128">
        <f>IFERROR(AR692*$W692,)</f>
        <v/>
      </c>
      <c r="CD692" s="128">
        <f>IFERROR(AS692*$W692,)</f>
        <v/>
      </c>
      <c r="CE692" s="128">
        <f>IFERROR(AT692*$W692,)</f>
        <v/>
      </c>
      <c r="CF692" s="128">
        <f>IFERROR(AU692*$W692,)</f>
        <v/>
      </c>
      <c r="CG692" s="128">
        <f>IFERROR(AV692*$W692,)</f>
        <v/>
      </c>
      <c r="CH692" s="128">
        <f>IFERROR(AW692*$W692,)</f>
        <v/>
      </c>
      <c r="CI692" s="128">
        <f>IFERROR(AX692*$W692,)</f>
        <v/>
      </c>
      <c r="CJ692" s="128">
        <f>IFERROR(AY692*$W692,)</f>
        <v/>
      </c>
      <c r="CK692" s="128">
        <f>IFERROR(AZ692*$W692,)</f>
        <v/>
      </c>
      <c r="CL692" s="129">
        <f>IFERROR(if($Y692=0,BA692*($W692/1.2),BA692*$Y692),"")</f>
        <v/>
      </c>
      <c r="CM692" s="129">
        <f>IFERROR(if($Y692=0,BB692*($W692/1.2),BB692*$Y692),"")</f>
        <v/>
      </c>
      <c r="CN692" s="129">
        <f>IFERROR(if($Y692=0,BC692*($W692/1.2),BC692*$Y692),"")</f>
        <v/>
      </c>
      <c r="CO692" s="130">
        <f>IFERROR(if($AA692=0,($W692/1.35)*BD692,BD692*$AA692),)</f>
        <v/>
      </c>
      <c r="CP692" s="130">
        <f>IFERROR(if($AA692=0,($W692/1.35)*BE692,BE692*$AA692),)</f>
        <v/>
      </c>
      <c r="CQ692" s="130">
        <f>IFERROR(if($AA692=0,($W692/1.35)*BF692,BF692*$AA692),)</f>
        <v/>
      </c>
      <c r="CR692" s="128">
        <f>IFERROR(if($AC692=0,($W692/0.74)*BG692,
BG692*$AC692),)</f>
        <v/>
      </c>
      <c r="CS692" s="128">
        <f>IFERROR(if($AC692=0,($W692/0.74)*BH692,
BH692*$AC692),)</f>
        <v/>
      </c>
      <c r="CT692" s="128">
        <f>IFERROR(if($AC692=0,($W692/0.74)*BI692,
BI692*$AC692),)</f>
        <v/>
      </c>
      <c r="CU692" s="128">
        <f>IFERROR(AI692*$V692,)</f>
        <v/>
      </c>
      <c r="CV692" s="128">
        <f>IFERROR(AJ692*$V692,)</f>
        <v/>
      </c>
      <c r="CW692" s="128">
        <f>IFERROR(AK692*$V692,)</f>
        <v/>
      </c>
      <c r="CX692" s="128">
        <f>IFERROR(AL692*$V692,)</f>
        <v/>
      </c>
      <c r="CY692" s="128">
        <f>IFERROR(AM692*$V692,)</f>
        <v/>
      </c>
      <c r="CZ692" s="128">
        <f>IFERROR(AN692*$V692,)</f>
        <v/>
      </c>
      <c r="DA692" s="128">
        <f>IFERROR(AO692*$V692,)</f>
        <v/>
      </c>
      <c r="DB692" s="128">
        <f>IFERROR(AP692*$V692,)</f>
        <v/>
      </c>
      <c r="DC692" s="128">
        <f>IFERROR(AQ692*$V692,)</f>
        <v/>
      </c>
      <c r="DD692" s="128">
        <f>IFERROR(AR692*$V692,)</f>
        <v/>
      </c>
      <c r="DE692" s="128">
        <f>IFERROR(AS692*$V692,)</f>
        <v/>
      </c>
      <c r="DF692" s="128">
        <f>IFERROR(AT692*$V692,)</f>
        <v/>
      </c>
      <c r="DG692" s="128">
        <f>IFERROR(AU692*$V692,)</f>
        <v/>
      </c>
      <c r="DH692" s="128">
        <f>IFERROR(AV692*$V692,)</f>
        <v/>
      </c>
      <c r="DI692" s="128">
        <f>IFERROR(AW692*$V692,)</f>
        <v/>
      </c>
      <c r="DJ692" s="128">
        <f>IFERROR(AX692*$V692,)</f>
        <v/>
      </c>
      <c r="DK692" s="128">
        <f>IFERROR(AY692*$V692,)</f>
        <v/>
      </c>
      <c r="DL692" s="128">
        <f>IFERROR(AZ692*$V692,)</f>
        <v/>
      </c>
      <c r="DM692" s="129">
        <f>IFERROR(if($X692=0,($V692/1.2)*BA692,
BA692*$X692),)</f>
        <v/>
      </c>
      <c r="DN692" s="129">
        <f>IFERROR(if($X692=0,($V692/1.2)*BB692,
BB692*$X692),)</f>
        <v/>
      </c>
      <c r="DO692" s="129">
        <f>IFERROR(if($X692=0,($V692/1.2)*BC692,
BC692*$X692),)</f>
        <v/>
      </c>
      <c r="DP692" s="130">
        <f>IFERROR(if($Z692=0,($V692/1.35)*BD692,
BD692*$Z692),)</f>
        <v/>
      </c>
      <c r="DQ692" s="130">
        <f>IFERROR(if($Z692=0,($V692/1.35)*BE692,
BE692*$Z692),)</f>
        <v/>
      </c>
      <c r="DR692" s="130">
        <f>IFERROR(if($Z692=0,($V692/1.35)*BF692,
BF692*$Z692),)</f>
        <v/>
      </c>
      <c r="DS692" s="128">
        <f>IFERROR(IF($AB692=0,($V692/0.74)*BG692,
BG692*$AB692),)</f>
        <v/>
      </c>
      <c r="DT692" s="128">
        <f>IFERROR(IF($AB692=0,($V692/0.74)*BH692,
BH692*$AB692),)</f>
        <v/>
      </c>
      <c r="DU692" s="128">
        <f>IFERROR(IF($AB692=0,($V692/0.74)*BI692,
BI692*$AB692),)</f>
        <v/>
      </c>
    </row>
    <row r="693" ht="131.25" customHeight="1" s="162">
      <c r="A693" s="115" t="n"/>
      <c r="B693" s="115" t="n"/>
      <c r="C693" s="115" t="n"/>
      <c r="D693" s="115" t="n"/>
      <c r="E693" s="115" t="n"/>
      <c r="F693" s="115" t="n"/>
      <c r="G693" s="115" t="n"/>
      <c r="H693" s="115" t="n"/>
      <c r="I693" s="115" t="n"/>
      <c r="J693" s="115" t="n"/>
      <c r="K693" s="115" t="n"/>
      <c r="L693" s="115" t="n"/>
      <c r="M693" s="115" t="n"/>
      <c r="N693" s="115" t="n"/>
      <c r="O693" s="115" t="n"/>
      <c r="P693" s="115" t="n"/>
      <c r="Q693" s="115" t="n"/>
      <c r="R693" s="115" t="n"/>
      <c r="S693" s="115" t="n"/>
      <c r="T693" s="115" t="n"/>
      <c r="U693" s="116" t="n"/>
      <c r="V693" s="116" t="n"/>
      <c r="W693" s="117" t="n"/>
      <c r="X693" s="118" t="n"/>
      <c r="Y693" s="119" t="n"/>
      <c r="Z693" s="120" t="n"/>
      <c r="AA693" s="121" t="n"/>
      <c r="AB693" s="122" t="n"/>
      <c r="AC693" s="117" t="n"/>
      <c r="AD693" s="123">
        <f>IF(SUM($AE693:$AH693)=0,"",SUM($AE693:$AH693))</f>
        <v/>
      </c>
      <c r="AE693" s="123">
        <f>iferror(IF(SUM($AI693:$AZ693)=0,"",SUM($AI693:$AZ693)),"")</f>
        <v/>
      </c>
      <c r="AF693" s="123">
        <f>iferror(IF(SUM($BA693:$BC693)=0,"",SUM($BA693:$BC693)),"")</f>
        <v/>
      </c>
      <c r="AG693" s="123">
        <f>iferror(IF(SUM($BD693:$BF693)=0,"",SUM($BD693:$BF693)),"")</f>
        <v/>
      </c>
      <c r="AH693" s="124">
        <f>iferror(IF(SUM($BG693:$BI693)=0,"",SUM($BG693:$BI693)),"")</f>
        <v/>
      </c>
      <c r="AI693" s="131" t="n"/>
      <c r="AJ693" s="132" t="n"/>
      <c r="AK693" s="132" t="n"/>
      <c r="AL693" s="132" t="n"/>
      <c r="AM693" s="132" t="n"/>
      <c r="AN693" s="132" t="n"/>
      <c r="AO693" s="132" t="n"/>
      <c r="AP693" s="132" t="n"/>
      <c r="AQ693" s="132" t="n"/>
      <c r="AR693" s="132" t="n"/>
      <c r="AS693" s="132" t="n"/>
      <c r="AT693" s="132" t="n"/>
      <c r="AU693" s="132" t="n"/>
      <c r="AV693" s="132" t="n"/>
      <c r="AW693" s="132" t="n"/>
      <c r="AX693" s="132" t="n"/>
      <c r="AY693" s="132" t="n"/>
      <c r="AZ693" s="133" t="n"/>
      <c r="BA693" s="131" t="n"/>
      <c r="BB693" s="132" t="n"/>
      <c r="BC693" s="133" t="n"/>
      <c r="BD693" s="131" t="n"/>
      <c r="BE693" s="132" t="n"/>
      <c r="BF693" s="133" t="n"/>
      <c r="BG693" s="131" t="n"/>
      <c r="BH693" s="132" t="n"/>
      <c r="BI693" s="132" t="n"/>
      <c r="BJ693" s="128">
        <f>iferror(SUM($BK693,($BL693*1.2),($BM693*1.35),($BN693*0.74)),)</f>
        <v/>
      </c>
      <c r="BK693" s="128">
        <f>IFERROR(SUM($BT693:$CK693),)</f>
        <v/>
      </c>
      <c r="BL693" s="129">
        <f>IFERROR(SUM($CL693:$CN693),)</f>
        <v/>
      </c>
      <c r="BM693" s="130">
        <f>IFERROR(SUM($CO693:$CQ693),)</f>
        <v/>
      </c>
      <c r="BN693" s="128">
        <f>IFERROR(SUM($CR693:$CT693),)</f>
        <v/>
      </c>
      <c r="BO693" s="128">
        <f>iferror(SUM($BP693,($BQ693*1.2),($BR693*1.35),($BS693*0.74)),)</f>
        <v/>
      </c>
      <c r="BP693" s="128">
        <f>IFERROR(SUM($CU693:$DL693),)</f>
        <v/>
      </c>
      <c r="BQ693" s="128">
        <f>IFERROR(SUM($DM693:$DO693),)</f>
        <v/>
      </c>
      <c r="BR693" s="128">
        <f>IFERROR(SUM($DP693:$DR693),)</f>
        <v/>
      </c>
      <c r="BS693" s="128">
        <f>IFERROR(SUM($DS693:$DU693),)</f>
        <v/>
      </c>
      <c r="BT693" s="128">
        <f>IFERROR(AI693*$W693,)</f>
        <v/>
      </c>
      <c r="BU693" s="128">
        <f>IFERROR(AJ693*$W693,)</f>
        <v/>
      </c>
      <c r="BV693" s="128">
        <f>IFERROR(AK693*$W693,)</f>
        <v/>
      </c>
      <c r="BW693" s="128">
        <f>IFERROR(AL693*$W693,)</f>
        <v/>
      </c>
      <c r="BX693" s="128">
        <f>IFERROR(AM693*$W693,)</f>
        <v/>
      </c>
      <c r="BY693" s="128">
        <f>IFERROR(AN693*$W693,)</f>
        <v/>
      </c>
      <c r="BZ693" s="128">
        <f>IFERROR(AO693*$W693,)</f>
        <v/>
      </c>
      <c r="CA693" s="128">
        <f>IFERROR(AP693*$W693,)</f>
        <v/>
      </c>
      <c r="CB693" s="128">
        <f>IFERROR(AQ693*$W693,)</f>
        <v/>
      </c>
      <c r="CC693" s="128">
        <f>IFERROR(AR693*$W693,)</f>
        <v/>
      </c>
      <c r="CD693" s="128">
        <f>IFERROR(AS693*$W693,)</f>
        <v/>
      </c>
      <c r="CE693" s="128">
        <f>IFERROR(AT693*$W693,)</f>
        <v/>
      </c>
      <c r="CF693" s="128">
        <f>IFERROR(AU693*$W693,)</f>
        <v/>
      </c>
      <c r="CG693" s="128">
        <f>IFERROR(AV693*$W693,)</f>
        <v/>
      </c>
      <c r="CH693" s="128">
        <f>IFERROR(AW693*$W693,)</f>
        <v/>
      </c>
      <c r="CI693" s="128">
        <f>IFERROR(AX693*$W693,)</f>
        <v/>
      </c>
      <c r="CJ693" s="128">
        <f>IFERROR(AY693*$W693,)</f>
        <v/>
      </c>
      <c r="CK693" s="128">
        <f>IFERROR(AZ693*$W693,)</f>
        <v/>
      </c>
      <c r="CL693" s="129">
        <f>IFERROR(if($Y693=0,BA693*($W693/1.2),BA693*$Y693),"")</f>
        <v/>
      </c>
      <c r="CM693" s="129">
        <f>IFERROR(if($Y693=0,BB693*($W693/1.2),BB693*$Y693),"")</f>
        <v/>
      </c>
      <c r="CN693" s="129">
        <f>IFERROR(if($Y693=0,BC693*($W693/1.2),BC693*$Y693),"")</f>
        <v/>
      </c>
      <c r="CO693" s="130">
        <f>IFERROR(if($AA693=0,($W693/1.35)*BD693,BD693*$AA693),)</f>
        <v/>
      </c>
      <c r="CP693" s="130">
        <f>IFERROR(if($AA693=0,($W693/1.35)*BE693,BE693*$AA693),)</f>
        <v/>
      </c>
      <c r="CQ693" s="130">
        <f>IFERROR(if($AA693=0,($W693/1.35)*BF693,BF693*$AA693),)</f>
        <v/>
      </c>
      <c r="CR693" s="128">
        <f>IFERROR(if($AC693=0,($W693/0.74)*BG693,
BG693*$AC693),)</f>
        <v/>
      </c>
      <c r="CS693" s="128">
        <f>IFERROR(if($AC693=0,($W693/0.74)*BH693,
BH693*$AC693),)</f>
        <v/>
      </c>
      <c r="CT693" s="128">
        <f>IFERROR(if($AC693=0,($W693/0.74)*BI693,
BI693*$AC693),)</f>
        <v/>
      </c>
      <c r="CU693" s="128">
        <f>IFERROR(AI693*$V693,)</f>
        <v/>
      </c>
      <c r="CV693" s="128">
        <f>IFERROR(AJ693*$V693,)</f>
        <v/>
      </c>
      <c r="CW693" s="128">
        <f>IFERROR(AK693*$V693,)</f>
        <v/>
      </c>
      <c r="CX693" s="128">
        <f>IFERROR(AL693*$V693,)</f>
        <v/>
      </c>
      <c r="CY693" s="128">
        <f>IFERROR(AM693*$V693,)</f>
        <v/>
      </c>
      <c r="CZ693" s="128">
        <f>IFERROR(AN693*$V693,)</f>
        <v/>
      </c>
      <c r="DA693" s="128">
        <f>IFERROR(AO693*$V693,)</f>
        <v/>
      </c>
      <c r="DB693" s="128">
        <f>IFERROR(AP693*$V693,)</f>
        <v/>
      </c>
      <c r="DC693" s="128">
        <f>IFERROR(AQ693*$V693,)</f>
        <v/>
      </c>
      <c r="DD693" s="128">
        <f>IFERROR(AR693*$V693,)</f>
        <v/>
      </c>
      <c r="DE693" s="128">
        <f>IFERROR(AS693*$V693,)</f>
        <v/>
      </c>
      <c r="DF693" s="128">
        <f>IFERROR(AT693*$V693,)</f>
        <v/>
      </c>
      <c r="DG693" s="128">
        <f>IFERROR(AU693*$V693,)</f>
        <v/>
      </c>
      <c r="DH693" s="128">
        <f>IFERROR(AV693*$V693,)</f>
        <v/>
      </c>
      <c r="DI693" s="128">
        <f>IFERROR(AW693*$V693,)</f>
        <v/>
      </c>
      <c r="DJ693" s="128">
        <f>IFERROR(AX693*$V693,)</f>
        <v/>
      </c>
      <c r="DK693" s="128">
        <f>IFERROR(AY693*$V693,)</f>
        <v/>
      </c>
      <c r="DL693" s="128">
        <f>IFERROR(AZ693*$V693,)</f>
        <v/>
      </c>
      <c r="DM693" s="129">
        <f>IFERROR(if($X693=0,($V693/1.2)*BA693,
BA693*$X693),)</f>
        <v/>
      </c>
      <c r="DN693" s="129">
        <f>IFERROR(if($X693=0,($V693/1.2)*BB693,
BB693*$X693),)</f>
        <v/>
      </c>
      <c r="DO693" s="129">
        <f>IFERROR(if($X693=0,($V693/1.2)*BC693,
BC693*$X693),)</f>
        <v/>
      </c>
      <c r="DP693" s="130">
        <f>IFERROR(if($Z693=0,($V693/1.35)*BD693,
BD693*$Z693),)</f>
        <v/>
      </c>
      <c r="DQ693" s="130">
        <f>IFERROR(if($Z693=0,($V693/1.35)*BE693,
BE693*$Z693),)</f>
        <v/>
      </c>
      <c r="DR693" s="130">
        <f>IFERROR(if($Z693=0,($V693/1.35)*BF693,
BF693*$Z693),)</f>
        <v/>
      </c>
      <c r="DS693" s="128">
        <f>IFERROR(IF($AB693=0,($V693/0.74)*BG693,
BG693*$AB693),)</f>
        <v/>
      </c>
      <c r="DT693" s="128">
        <f>IFERROR(IF($AB693=0,($V693/0.74)*BH693,
BH693*$AB693),)</f>
        <v/>
      </c>
      <c r="DU693" s="128">
        <f>IFERROR(IF($AB693=0,($V693/0.74)*BI693,
BI693*$AB693),)</f>
        <v/>
      </c>
    </row>
    <row r="694" ht="131.25" customHeight="1" s="162">
      <c r="A694" s="115" t="n"/>
      <c r="B694" s="115" t="n"/>
      <c r="C694" s="115" t="n"/>
      <c r="D694" s="115" t="n"/>
      <c r="E694" s="115" t="n"/>
      <c r="F694" s="115" t="n"/>
      <c r="G694" s="115" t="n"/>
      <c r="H694" s="115" t="n"/>
      <c r="I694" s="115" t="n"/>
      <c r="J694" s="115" t="n"/>
      <c r="K694" s="115" t="n"/>
      <c r="L694" s="115" t="n"/>
      <c r="M694" s="115" t="n"/>
      <c r="N694" s="115" t="n"/>
      <c r="O694" s="115" t="n"/>
      <c r="P694" s="115" t="n"/>
      <c r="Q694" s="115" t="n"/>
      <c r="R694" s="115" t="n"/>
      <c r="S694" s="115" t="n"/>
      <c r="T694" s="115" t="n"/>
      <c r="U694" s="116" t="n"/>
      <c r="V694" s="116" t="n"/>
      <c r="W694" s="117" t="n"/>
      <c r="X694" s="118" t="n"/>
      <c r="Y694" s="119" t="n"/>
      <c r="Z694" s="120" t="n"/>
      <c r="AA694" s="121" t="n"/>
      <c r="AB694" s="122" t="n"/>
      <c r="AC694" s="117" t="n"/>
      <c r="AD694" s="123">
        <f>IF(SUM($AE694:$AH694)=0,"",SUM($AE694:$AH694))</f>
        <v/>
      </c>
      <c r="AE694" s="123">
        <f>iferror(IF(SUM($AI694:$AZ694)=0,"",SUM($AI694:$AZ694)),"")</f>
        <v/>
      </c>
      <c r="AF694" s="123">
        <f>iferror(IF(SUM($BA694:$BC694)=0,"",SUM($BA694:$BC694)),"")</f>
        <v/>
      </c>
      <c r="AG694" s="123">
        <f>iferror(IF(SUM($BD694:$BF694)=0,"",SUM($BD694:$BF694)),"")</f>
        <v/>
      </c>
      <c r="AH694" s="124">
        <f>iferror(IF(SUM($BG694:$BI694)=0,"",SUM($BG694:$BI694)),"")</f>
        <v/>
      </c>
      <c r="AI694" s="131" t="n"/>
      <c r="AJ694" s="132" t="n"/>
      <c r="AK694" s="132" t="n"/>
      <c r="AL694" s="132" t="n"/>
      <c r="AM694" s="132" t="n"/>
      <c r="AN694" s="132" t="n"/>
      <c r="AO694" s="132" t="n"/>
      <c r="AP694" s="132" t="n"/>
      <c r="AQ694" s="132" t="n"/>
      <c r="AR694" s="132" t="n"/>
      <c r="AS694" s="132" t="n"/>
      <c r="AT694" s="132" t="n"/>
      <c r="AU694" s="132" t="n"/>
      <c r="AV694" s="132" t="n"/>
      <c r="AW694" s="132" t="n"/>
      <c r="AX694" s="132" t="n"/>
      <c r="AY694" s="132" t="n"/>
      <c r="AZ694" s="133" t="n"/>
      <c r="BA694" s="131" t="n"/>
      <c r="BB694" s="132" t="n"/>
      <c r="BC694" s="133" t="n"/>
      <c r="BD694" s="131" t="n"/>
      <c r="BE694" s="132" t="n"/>
      <c r="BF694" s="133" t="n"/>
      <c r="BG694" s="131" t="n"/>
      <c r="BH694" s="132" t="n"/>
      <c r="BI694" s="132" t="n"/>
      <c r="BJ694" s="128">
        <f>iferror(SUM($BK694,($BL694*1.2),($BM694*1.35),($BN694*0.74)),)</f>
        <v/>
      </c>
      <c r="BK694" s="128">
        <f>IFERROR(SUM($BT694:$CK694),)</f>
        <v/>
      </c>
      <c r="BL694" s="129">
        <f>IFERROR(SUM($CL694:$CN694),)</f>
        <v/>
      </c>
      <c r="BM694" s="130">
        <f>IFERROR(SUM($CO694:$CQ694),)</f>
        <v/>
      </c>
      <c r="BN694" s="128">
        <f>IFERROR(SUM($CR694:$CT694),)</f>
        <v/>
      </c>
      <c r="BO694" s="128">
        <f>iferror(SUM($BP694,($BQ694*1.2),($BR694*1.35),($BS694*0.74)),)</f>
        <v/>
      </c>
      <c r="BP694" s="128">
        <f>IFERROR(SUM($CU694:$DL694),)</f>
        <v/>
      </c>
      <c r="BQ694" s="128">
        <f>IFERROR(SUM($DM694:$DO694),)</f>
        <v/>
      </c>
      <c r="BR694" s="128">
        <f>IFERROR(SUM($DP694:$DR694),)</f>
        <v/>
      </c>
      <c r="BS694" s="128">
        <f>IFERROR(SUM($DS694:$DU694),)</f>
        <v/>
      </c>
      <c r="BT694" s="128">
        <f>IFERROR(AI694*$W694,)</f>
        <v/>
      </c>
      <c r="BU694" s="128">
        <f>IFERROR(AJ694*$W694,)</f>
        <v/>
      </c>
      <c r="BV694" s="128">
        <f>IFERROR(AK694*$W694,)</f>
        <v/>
      </c>
      <c r="BW694" s="128">
        <f>IFERROR(AL694*$W694,)</f>
        <v/>
      </c>
      <c r="BX694" s="128">
        <f>IFERROR(AM694*$W694,)</f>
        <v/>
      </c>
      <c r="BY694" s="128">
        <f>IFERROR(AN694*$W694,)</f>
        <v/>
      </c>
      <c r="BZ694" s="128">
        <f>IFERROR(AO694*$W694,)</f>
        <v/>
      </c>
      <c r="CA694" s="128">
        <f>IFERROR(AP694*$W694,)</f>
        <v/>
      </c>
      <c r="CB694" s="128">
        <f>IFERROR(AQ694*$W694,)</f>
        <v/>
      </c>
      <c r="CC694" s="128">
        <f>IFERROR(AR694*$W694,)</f>
        <v/>
      </c>
      <c r="CD694" s="128">
        <f>IFERROR(AS694*$W694,)</f>
        <v/>
      </c>
      <c r="CE694" s="128">
        <f>IFERROR(AT694*$W694,)</f>
        <v/>
      </c>
      <c r="CF694" s="128">
        <f>IFERROR(AU694*$W694,)</f>
        <v/>
      </c>
      <c r="CG694" s="128">
        <f>IFERROR(AV694*$W694,)</f>
        <v/>
      </c>
      <c r="CH694" s="128">
        <f>IFERROR(AW694*$W694,)</f>
        <v/>
      </c>
      <c r="CI694" s="128">
        <f>IFERROR(AX694*$W694,)</f>
        <v/>
      </c>
      <c r="CJ694" s="128">
        <f>IFERROR(AY694*$W694,)</f>
        <v/>
      </c>
      <c r="CK694" s="128">
        <f>IFERROR(AZ694*$W694,)</f>
        <v/>
      </c>
      <c r="CL694" s="129">
        <f>IFERROR(if($Y694=0,BA694*($W694/1.2),BA694*$Y694),"")</f>
        <v/>
      </c>
      <c r="CM694" s="129">
        <f>IFERROR(if($Y694=0,BB694*($W694/1.2),BB694*$Y694),"")</f>
        <v/>
      </c>
      <c r="CN694" s="129">
        <f>IFERROR(if($Y694=0,BC694*($W694/1.2),BC694*$Y694),"")</f>
        <v/>
      </c>
      <c r="CO694" s="130">
        <f>IFERROR(if($AA694=0,($W694/1.35)*BD694,BD694*$AA694),)</f>
        <v/>
      </c>
      <c r="CP694" s="130">
        <f>IFERROR(if($AA694=0,($W694/1.35)*BE694,BE694*$AA694),)</f>
        <v/>
      </c>
      <c r="CQ694" s="130">
        <f>IFERROR(if($AA694=0,($W694/1.35)*BF694,BF694*$AA694),)</f>
        <v/>
      </c>
      <c r="CR694" s="128">
        <f>IFERROR(if($AC694=0,($W694/0.74)*BG694,
BG694*$AC694),)</f>
        <v/>
      </c>
      <c r="CS694" s="128">
        <f>IFERROR(if($AC694=0,($W694/0.74)*BH694,
BH694*$AC694),)</f>
        <v/>
      </c>
      <c r="CT694" s="128">
        <f>IFERROR(if($AC694=0,($W694/0.74)*BI694,
BI694*$AC694),)</f>
        <v/>
      </c>
      <c r="CU694" s="128">
        <f>IFERROR(AI694*$V694,)</f>
        <v/>
      </c>
      <c r="CV694" s="128">
        <f>IFERROR(AJ694*$V694,)</f>
        <v/>
      </c>
      <c r="CW694" s="128">
        <f>IFERROR(AK694*$V694,)</f>
        <v/>
      </c>
      <c r="CX694" s="128">
        <f>IFERROR(AL694*$V694,)</f>
        <v/>
      </c>
      <c r="CY694" s="128">
        <f>IFERROR(AM694*$V694,)</f>
        <v/>
      </c>
      <c r="CZ694" s="128">
        <f>IFERROR(AN694*$V694,)</f>
        <v/>
      </c>
      <c r="DA694" s="128">
        <f>IFERROR(AO694*$V694,)</f>
        <v/>
      </c>
      <c r="DB694" s="128">
        <f>IFERROR(AP694*$V694,)</f>
        <v/>
      </c>
      <c r="DC694" s="128">
        <f>IFERROR(AQ694*$V694,)</f>
        <v/>
      </c>
      <c r="DD694" s="128">
        <f>IFERROR(AR694*$V694,)</f>
        <v/>
      </c>
      <c r="DE694" s="128">
        <f>IFERROR(AS694*$V694,)</f>
        <v/>
      </c>
      <c r="DF694" s="128">
        <f>IFERROR(AT694*$V694,)</f>
        <v/>
      </c>
      <c r="DG694" s="128">
        <f>IFERROR(AU694*$V694,)</f>
        <v/>
      </c>
      <c r="DH694" s="128">
        <f>IFERROR(AV694*$V694,)</f>
        <v/>
      </c>
      <c r="DI694" s="128">
        <f>IFERROR(AW694*$V694,)</f>
        <v/>
      </c>
      <c r="DJ694" s="128">
        <f>IFERROR(AX694*$V694,)</f>
        <v/>
      </c>
      <c r="DK694" s="128">
        <f>IFERROR(AY694*$V694,)</f>
        <v/>
      </c>
      <c r="DL694" s="128">
        <f>IFERROR(AZ694*$V694,)</f>
        <v/>
      </c>
      <c r="DM694" s="129">
        <f>IFERROR(if($X694=0,($V694/1.2)*BA694,
BA694*$X694),)</f>
        <v/>
      </c>
      <c r="DN694" s="129">
        <f>IFERROR(if($X694=0,($V694/1.2)*BB694,
BB694*$X694),)</f>
        <v/>
      </c>
      <c r="DO694" s="129">
        <f>IFERROR(if($X694=0,($V694/1.2)*BC694,
BC694*$X694),)</f>
        <v/>
      </c>
      <c r="DP694" s="130">
        <f>IFERROR(if($Z694=0,($V694/1.35)*BD694,
BD694*$Z694),)</f>
        <v/>
      </c>
      <c r="DQ694" s="130">
        <f>IFERROR(if($Z694=0,($V694/1.35)*BE694,
BE694*$Z694),)</f>
        <v/>
      </c>
      <c r="DR694" s="130">
        <f>IFERROR(if($Z694=0,($V694/1.35)*BF694,
BF694*$Z694),)</f>
        <v/>
      </c>
      <c r="DS694" s="128">
        <f>IFERROR(IF($AB694=0,($V694/0.74)*BG694,
BG694*$AB694),)</f>
        <v/>
      </c>
      <c r="DT694" s="128">
        <f>IFERROR(IF($AB694=0,($V694/0.74)*BH694,
BH694*$AB694),)</f>
        <v/>
      </c>
      <c r="DU694" s="128">
        <f>IFERROR(IF($AB694=0,($V694/0.74)*BI694,
BI694*$AB694),)</f>
        <v/>
      </c>
    </row>
    <row r="695" ht="131.25" customHeight="1" s="162">
      <c r="A695" s="115" t="n"/>
      <c r="B695" s="115" t="n"/>
      <c r="C695" s="115" t="n"/>
      <c r="D695" s="115" t="n"/>
      <c r="E695" s="115" t="n"/>
      <c r="F695" s="115" t="n"/>
      <c r="G695" s="115" t="n"/>
      <c r="H695" s="115" t="n"/>
      <c r="I695" s="115" t="n"/>
      <c r="J695" s="115" t="n"/>
      <c r="K695" s="115" t="n"/>
      <c r="L695" s="115" t="n"/>
      <c r="M695" s="115" t="n"/>
      <c r="N695" s="115" t="n"/>
      <c r="O695" s="115" t="n"/>
      <c r="P695" s="115" t="n"/>
      <c r="Q695" s="115" t="n"/>
      <c r="R695" s="115" t="n"/>
      <c r="S695" s="115" t="n"/>
      <c r="T695" s="115" t="n"/>
      <c r="U695" s="116" t="n"/>
      <c r="V695" s="116" t="n"/>
      <c r="W695" s="117" t="n"/>
      <c r="X695" s="118" t="n"/>
      <c r="Y695" s="119" t="n"/>
      <c r="Z695" s="120" t="n"/>
      <c r="AA695" s="121" t="n"/>
      <c r="AB695" s="122" t="n"/>
      <c r="AC695" s="117" t="n"/>
      <c r="AD695" s="123">
        <f>IF(SUM($AE695:$AH695)=0,"",SUM($AE695:$AH695))</f>
        <v/>
      </c>
      <c r="AE695" s="123">
        <f>iferror(IF(SUM($AI695:$AZ695)=0,"",SUM($AI695:$AZ695)),"")</f>
        <v/>
      </c>
      <c r="AF695" s="123">
        <f>iferror(IF(SUM($BA695:$BC695)=0,"",SUM($BA695:$BC695)),"")</f>
        <v/>
      </c>
      <c r="AG695" s="123">
        <f>iferror(IF(SUM($BD695:$BF695)=0,"",SUM($BD695:$BF695)),"")</f>
        <v/>
      </c>
      <c r="AH695" s="124">
        <f>iferror(IF(SUM($BG695:$BI695)=0,"",SUM($BG695:$BI695)),"")</f>
        <v/>
      </c>
      <c r="AI695" s="131" t="n"/>
      <c r="AJ695" s="132" t="n"/>
      <c r="AK695" s="132" t="n"/>
      <c r="AL695" s="132" t="n"/>
      <c r="AM695" s="132" t="n"/>
      <c r="AN695" s="132" t="n"/>
      <c r="AO695" s="132" t="n"/>
      <c r="AP695" s="132" t="n"/>
      <c r="AQ695" s="132" t="n"/>
      <c r="AR695" s="132" t="n"/>
      <c r="AS695" s="132" t="n"/>
      <c r="AT695" s="132" t="n"/>
      <c r="AU695" s="132" t="n"/>
      <c r="AV695" s="132" t="n"/>
      <c r="AW695" s="132" t="n"/>
      <c r="AX695" s="132" t="n"/>
      <c r="AY695" s="132" t="n"/>
      <c r="AZ695" s="133" t="n"/>
      <c r="BA695" s="131" t="n"/>
      <c r="BB695" s="132" t="n"/>
      <c r="BC695" s="133" t="n"/>
      <c r="BD695" s="131" t="n"/>
      <c r="BE695" s="132" t="n"/>
      <c r="BF695" s="133" t="n"/>
      <c r="BG695" s="131" t="n"/>
      <c r="BH695" s="132" t="n"/>
      <c r="BI695" s="132" t="n"/>
      <c r="BJ695" s="128">
        <f>iferror(SUM($BK695,($BL695*1.2),($BM695*1.35),($BN695*0.74)),)</f>
        <v/>
      </c>
      <c r="BK695" s="128">
        <f>IFERROR(SUM($BT695:$CK695),)</f>
        <v/>
      </c>
      <c r="BL695" s="129">
        <f>IFERROR(SUM($CL695:$CN695),)</f>
        <v/>
      </c>
      <c r="BM695" s="130">
        <f>IFERROR(SUM($CO695:$CQ695),)</f>
        <v/>
      </c>
      <c r="BN695" s="128">
        <f>IFERROR(SUM($CR695:$CT695),)</f>
        <v/>
      </c>
      <c r="BO695" s="128">
        <f>iferror(SUM($BP695,($BQ695*1.2),($BR695*1.35),($BS695*0.74)),)</f>
        <v/>
      </c>
      <c r="BP695" s="128">
        <f>IFERROR(SUM($CU695:$DL695),)</f>
        <v/>
      </c>
      <c r="BQ695" s="128">
        <f>IFERROR(SUM($DM695:$DO695),)</f>
        <v/>
      </c>
      <c r="BR695" s="128">
        <f>IFERROR(SUM($DP695:$DR695),)</f>
        <v/>
      </c>
      <c r="BS695" s="128">
        <f>IFERROR(SUM($DS695:$DU695),)</f>
        <v/>
      </c>
      <c r="BT695" s="128">
        <f>IFERROR(AI695*$W695,)</f>
        <v/>
      </c>
      <c r="BU695" s="128">
        <f>IFERROR(AJ695*$W695,)</f>
        <v/>
      </c>
      <c r="BV695" s="128">
        <f>IFERROR(AK695*$W695,)</f>
        <v/>
      </c>
      <c r="BW695" s="128">
        <f>IFERROR(AL695*$W695,)</f>
        <v/>
      </c>
      <c r="BX695" s="128">
        <f>IFERROR(AM695*$W695,)</f>
        <v/>
      </c>
      <c r="BY695" s="128">
        <f>IFERROR(AN695*$W695,)</f>
        <v/>
      </c>
      <c r="BZ695" s="128">
        <f>IFERROR(AO695*$W695,)</f>
        <v/>
      </c>
      <c r="CA695" s="128">
        <f>IFERROR(AP695*$W695,)</f>
        <v/>
      </c>
      <c r="CB695" s="128">
        <f>IFERROR(AQ695*$W695,)</f>
        <v/>
      </c>
      <c r="CC695" s="128">
        <f>IFERROR(AR695*$W695,)</f>
        <v/>
      </c>
      <c r="CD695" s="128">
        <f>IFERROR(AS695*$W695,)</f>
        <v/>
      </c>
      <c r="CE695" s="128">
        <f>IFERROR(AT695*$W695,)</f>
        <v/>
      </c>
      <c r="CF695" s="128">
        <f>IFERROR(AU695*$W695,)</f>
        <v/>
      </c>
      <c r="CG695" s="128">
        <f>IFERROR(AV695*$W695,)</f>
        <v/>
      </c>
      <c r="CH695" s="128">
        <f>IFERROR(AW695*$W695,)</f>
        <v/>
      </c>
      <c r="CI695" s="128">
        <f>IFERROR(AX695*$W695,)</f>
        <v/>
      </c>
      <c r="CJ695" s="128">
        <f>IFERROR(AY695*$W695,)</f>
        <v/>
      </c>
      <c r="CK695" s="128">
        <f>IFERROR(AZ695*$W695,)</f>
        <v/>
      </c>
      <c r="CL695" s="129">
        <f>IFERROR(if($Y695=0,BA695*($W695/1.2),BA695*$Y695),"")</f>
        <v/>
      </c>
      <c r="CM695" s="129">
        <f>IFERROR(if($Y695=0,BB695*($W695/1.2),BB695*$Y695),"")</f>
        <v/>
      </c>
      <c r="CN695" s="129">
        <f>IFERROR(if($Y695=0,BC695*($W695/1.2),BC695*$Y695),"")</f>
        <v/>
      </c>
      <c r="CO695" s="130">
        <f>IFERROR(if($AA695=0,($W695/1.35)*BD695,BD695*$AA695),)</f>
        <v/>
      </c>
      <c r="CP695" s="130">
        <f>IFERROR(if($AA695=0,($W695/1.35)*BE695,BE695*$AA695),)</f>
        <v/>
      </c>
      <c r="CQ695" s="130">
        <f>IFERROR(if($AA695=0,($W695/1.35)*BF695,BF695*$AA695),)</f>
        <v/>
      </c>
      <c r="CR695" s="128">
        <f>IFERROR(if($AC695=0,($W695/0.74)*BG695,
BG695*$AC695),)</f>
        <v/>
      </c>
      <c r="CS695" s="128">
        <f>IFERROR(if($AC695=0,($W695/0.74)*BH695,
BH695*$AC695),)</f>
        <v/>
      </c>
      <c r="CT695" s="128">
        <f>IFERROR(if($AC695=0,($W695/0.74)*BI695,
BI695*$AC695),)</f>
        <v/>
      </c>
      <c r="CU695" s="128">
        <f>IFERROR(AI695*$V695,)</f>
        <v/>
      </c>
      <c r="CV695" s="128">
        <f>IFERROR(AJ695*$V695,)</f>
        <v/>
      </c>
      <c r="CW695" s="128">
        <f>IFERROR(AK695*$V695,)</f>
        <v/>
      </c>
      <c r="CX695" s="128">
        <f>IFERROR(AL695*$V695,)</f>
        <v/>
      </c>
      <c r="CY695" s="128">
        <f>IFERROR(AM695*$V695,)</f>
        <v/>
      </c>
      <c r="CZ695" s="128">
        <f>IFERROR(AN695*$V695,)</f>
        <v/>
      </c>
      <c r="DA695" s="128">
        <f>IFERROR(AO695*$V695,)</f>
        <v/>
      </c>
      <c r="DB695" s="128">
        <f>IFERROR(AP695*$V695,)</f>
        <v/>
      </c>
      <c r="DC695" s="128">
        <f>IFERROR(AQ695*$V695,)</f>
        <v/>
      </c>
      <c r="DD695" s="128">
        <f>IFERROR(AR695*$V695,)</f>
        <v/>
      </c>
      <c r="DE695" s="128">
        <f>IFERROR(AS695*$V695,)</f>
        <v/>
      </c>
      <c r="DF695" s="128">
        <f>IFERROR(AT695*$V695,)</f>
        <v/>
      </c>
      <c r="DG695" s="128">
        <f>IFERROR(AU695*$V695,)</f>
        <v/>
      </c>
      <c r="DH695" s="128">
        <f>IFERROR(AV695*$V695,)</f>
        <v/>
      </c>
      <c r="DI695" s="128">
        <f>IFERROR(AW695*$V695,)</f>
        <v/>
      </c>
      <c r="DJ695" s="128">
        <f>IFERROR(AX695*$V695,)</f>
        <v/>
      </c>
      <c r="DK695" s="128">
        <f>IFERROR(AY695*$V695,)</f>
        <v/>
      </c>
      <c r="DL695" s="128">
        <f>IFERROR(AZ695*$V695,)</f>
        <v/>
      </c>
      <c r="DM695" s="129">
        <f>IFERROR(if($X695=0,($V695/1.2)*BA695,
BA695*$X695),)</f>
        <v/>
      </c>
      <c r="DN695" s="129">
        <f>IFERROR(if($X695=0,($V695/1.2)*BB695,
BB695*$X695),)</f>
        <v/>
      </c>
      <c r="DO695" s="129">
        <f>IFERROR(if($X695=0,($V695/1.2)*BC695,
BC695*$X695),)</f>
        <v/>
      </c>
      <c r="DP695" s="130">
        <f>IFERROR(if($Z695=0,($V695/1.35)*BD695,
BD695*$Z695),)</f>
        <v/>
      </c>
      <c r="DQ695" s="130">
        <f>IFERROR(if($Z695=0,($V695/1.35)*BE695,
BE695*$Z695),)</f>
        <v/>
      </c>
      <c r="DR695" s="130">
        <f>IFERROR(if($Z695=0,($V695/1.35)*BF695,
BF695*$Z695),)</f>
        <v/>
      </c>
      <c r="DS695" s="128">
        <f>IFERROR(IF($AB695=0,($V695/0.74)*BG695,
BG695*$AB695),)</f>
        <v/>
      </c>
      <c r="DT695" s="128">
        <f>IFERROR(IF($AB695=0,($V695/0.74)*BH695,
BH695*$AB695),)</f>
        <v/>
      </c>
      <c r="DU695" s="128">
        <f>IFERROR(IF($AB695=0,($V695/0.74)*BI695,
BI695*$AB695),)</f>
        <v/>
      </c>
    </row>
    <row r="696" ht="131.25" customHeight="1" s="162">
      <c r="A696" s="115" t="n"/>
      <c r="B696" s="115" t="n"/>
      <c r="C696" s="115" t="n"/>
      <c r="D696" s="115" t="n"/>
      <c r="E696" s="115" t="n"/>
      <c r="F696" s="115" t="n"/>
      <c r="G696" s="115" t="n"/>
      <c r="H696" s="115" t="n"/>
      <c r="I696" s="115" t="n"/>
      <c r="J696" s="115" t="n"/>
      <c r="K696" s="115" t="n"/>
      <c r="L696" s="115" t="n"/>
      <c r="M696" s="115" t="n"/>
      <c r="N696" s="115" t="n"/>
      <c r="O696" s="115" t="n"/>
      <c r="P696" s="115" t="n"/>
      <c r="Q696" s="115" t="n"/>
      <c r="R696" s="115" t="n"/>
      <c r="S696" s="115" t="n"/>
      <c r="T696" s="115" t="n"/>
      <c r="U696" s="116" t="n"/>
      <c r="V696" s="116" t="n"/>
      <c r="W696" s="117" t="n"/>
      <c r="X696" s="118" t="n"/>
      <c r="Y696" s="119" t="n"/>
      <c r="Z696" s="120" t="n"/>
      <c r="AA696" s="121" t="n"/>
      <c r="AB696" s="122" t="n"/>
      <c r="AC696" s="117" t="n"/>
      <c r="AD696" s="123">
        <f>IF(SUM($AE696:$AH696)=0,"",SUM($AE696:$AH696))</f>
        <v/>
      </c>
      <c r="AE696" s="123">
        <f>iferror(IF(SUM($AI696:$AZ696)=0,"",SUM($AI696:$AZ696)),"")</f>
        <v/>
      </c>
      <c r="AF696" s="123">
        <f>iferror(IF(SUM($BA696:$BC696)=0,"",SUM($BA696:$BC696)),"")</f>
        <v/>
      </c>
      <c r="AG696" s="123">
        <f>iferror(IF(SUM($BD696:$BF696)=0,"",SUM($BD696:$BF696)),"")</f>
        <v/>
      </c>
      <c r="AH696" s="124">
        <f>iferror(IF(SUM($BG696:$BI696)=0,"",SUM($BG696:$BI696)),"")</f>
        <v/>
      </c>
      <c r="AI696" s="131" t="n"/>
      <c r="AJ696" s="132" t="n"/>
      <c r="AK696" s="132" t="n"/>
      <c r="AL696" s="132" t="n"/>
      <c r="AM696" s="132" t="n"/>
      <c r="AN696" s="132" t="n"/>
      <c r="AO696" s="132" t="n"/>
      <c r="AP696" s="132" t="n"/>
      <c r="AQ696" s="132" t="n"/>
      <c r="AR696" s="132" t="n"/>
      <c r="AS696" s="132" t="n"/>
      <c r="AT696" s="132" t="n"/>
      <c r="AU696" s="132" t="n"/>
      <c r="AV696" s="132" t="n"/>
      <c r="AW696" s="132" t="n"/>
      <c r="AX696" s="132" t="n"/>
      <c r="AY696" s="132" t="n"/>
      <c r="AZ696" s="133" t="n"/>
      <c r="BA696" s="131" t="n"/>
      <c r="BB696" s="132" t="n"/>
      <c r="BC696" s="133" t="n"/>
      <c r="BD696" s="131" t="n"/>
      <c r="BE696" s="132" t="n"/>
      <c r="BF696" s="133" t="n"/>
      <c r="BG696" s="131" t="n"/>
      <c r="BH696" s="132" t="n"/>
      <c r="BI696" s="132" t="n"/>
      <c r="BJ696" s="128">
        <f>iferror(SUM($BK696,($BL696*1.2),($BM696*1.35),($BN696*0.74)),)</f>
        <v/>
      </c>
      <c r="BK696" s="128">
        <f>IFERROR(SUM($BT696:$CK696),)</f>
        <v/>
      </c>
      <c r="BL696" s="129">
        <f>IFERROR(SUM($CL696:$CN696),)</f>
        <v/>
      </c>
      <c r="BM696" s="130">
        <f>IFERROR(SUM($CO696:$CQ696),)</f>
        <v/>
      </c>
      <c r="BN696" s="128">
        <f>IFERROR(SUM($CR696:$CT696),)</f>
        <v/>
      </c>
      <c r="BO696" s="128">
        <f>iferror(SUM($BP696,($BQ696*1.2),($BR696*1.35),($BS696*0.74)),)</f>
        <v/>
      </c>
      <c r="BP696" s="128">
        <f>IFERROR(SUM($CU696:$DL696),)</f>
        <v/>
      </c>
      <c r="BQ696" s="128">
        <f>IFERROR(SUM($DM696:$DO696),)</f>
        <v/>
      </c>
      <c r="BR696" s="128">
        <f>IFERROR(SUM($DP696:$DR696),)</f>
        <v/>
      </c>
      <c r="BS696" s="128">
        <f>IFERROR(SUM($DS696:$DU696),)</f>
        <v/>
      </c>
      <c r="BT696" s="128">
        <f>IFERROR(AI696*$W696,)</f>
        <v/>
      </c>
      <c r="BU696" s="128">
        <f>IFERROR(AJ696*$W696,)</f>
        <v/>
      </c>
      <c r="BV696" s="128">
        <f>IFERROR(AK696*$W696,)</f>
        <v/>
      </c>
      <c r="BW696" s="128">
        <f>IFERROR(AL696*$W696,)</f>
        <v/>
      </c>
      <c r="BX696" s="128">
        <f>IFERROR(AM696*$W696,)</f>
        <v/>
      </c>
      <c r="BY696" s="128">
        <f>IFERROR(AN696*$W696,)</f>
        <v/>
      </c>
      <c r="BZ696" s="128">
        <f>IFERROR(AO696*$W696,)</f>
        <v/>
      </c>
      <c r="CA696" s="128">
        <f>IFERROR(AP696*$W696,)</f>
        <v/>
      </c>
      <c r="CB696" s="128">
        <f>IFERROR(AQ696*$W696,)</f>
        <v/>
      </c>
      <c r="CC696" s="128">
        <f>IFERROR(AR696*$W696,)</f>
        <v/>
      </c>
      <c r="CD696" s="128">
        <f>IFERROR(AS696*$W696,)</f>
        <v/>
      </c>
      <c r="CE696" s="128">
        <f>IFERROR(AT696*$W696,)</f>
        <v/>
      </c>
      <c r="CF696" s="128">
        <f>IFERROR(AU696*$W696,)</f>
        <v/>
      </c>
      <c r="CG696" s="128">
        <f>IFERROR(AV696*$W696,)</f>
        <v/>
      </c>
      <c r="CH696" s="128">
        <f>IFERROR(AW696*$W696,)</f>
        <v/>
      </c>
      <c r="CI696" s="128">
        <f>IFERROR(AX696*$W696,)</f>
        <v/>
      </c>
      <c r="CJ696" s="128">
        <f>IFERROR(AY696*$W696,)</f>
        <v/>
      </c>
      <c r="CK696" s="128">
        <f>IFERROR(AZ696*$W696,)</f>
        <v/>
      </c>
      <c r="CL696" s="129">
        <f>IFERROR(if($Y696=0,BA696*($W696/1.2),BA696*$Y696),"")</f>
        <v/>
      </c>
      <c r="CM696" s="129">
        <f>IFERROR(if($Y696=0,BB696*($W696/1.2),BB696*$Y696),"")</f>
        <v/>
      </c>
      <c r="CN696" s="129">
        <f>IFERROR(if($Y696=0,BC696*($W696/1.2),BC696*$Y696),"")</f>
        <v/>
      </c>
      <c r="CO696" s="130">
        <f>IFERROR(if($AA696=0,($W696/1.35)*BD696,BD696*$AA696),)</f>
        <v/>
      </c>
      <c r="CP696" s="130">
        <f>IFERROR(if($AA696=0,($W696/1.35)*BE696,BE696*$AA696),)</f>
        <v/>
      </c>
      <c r="CQ696" s="130">
        <f>IFERROR(if($AA696=0,($W696/1.35)*BF696,BF696*$AA696),)</f>
        <v/>
      </c>
      <c r="CR696" s="128">
        <f>IFERROR(if($AC696=0,($W696/0.74)*BG696,
BG696*$AC696),)</f>
        <v/>
      </c>
      <c r="CS696" s="128">
        <f>IFERROR(if($AC696=0,($W696/0.74)*BH696,
BH696*$AC696),)</f>
        <v/>
      </c>
      <c r="CT696" s="128">
        <f>IFERROR(if($AC696=0,($W696/0.74)*BI696,
BI696*$AC696),)</f>
        <v/>
      </c>
      <c r="CU696" s="128">
        <f>IFERROR(AI696*$V696,)</f>
        <v/>
      </c>
      <c r="CV696" s="128">
        <f>IFERROR(AJ696*$V696,)</f>
        <v/>
      </c>
      <c r="CW696" s="128">
        <f>IFERROR(AK696*$V696,)</f>
        <v/>
      </c>
      <c r="CX696" s="128">
        <f>IFERROR(AL696*$V696,)</f>
        <v/>
      </c>
      <c r="CY696" s="128">
        <f>IFERROR(AM696*$V696,)</f>
        <v/>
      </c>
      <c r="CZ696" s="128">
        <f>IFERROR(AN696*$V696,)</f>
        <v/>
      </c>
      <c r="DA696" s="128">
        <f>IFERROR(AO696*$V696,)</f>
        <v/>
      </c>
      <c r="DB696" s="128">
        <f>IFERROR(AP696*$V696,)</f>
        <v/>
      </c>
      <c r="DC696" s="128">
        <f>IFERROR(AQ696*$V696,)</f>
        <v/>
      </c>
      <c r="DD696" s="128">
        <f>IFERROR(AR696*$V696,)</f>
        <v/>
      </c>
      <c r="DE696" s="128">
        <f>IFERROR(AS696*$V696,)</f>
        <v/>
      </c>
      <c r="DF696" s="128">
        <f>IFERROR(AT696*$V696,)</f>
        <v/>
      </c>
      <c r="DG696" s="128">
        <f>IFERROR(AU696*$V696,)</f>
        <v/>
      </c>
      <c r="DH696" s="128">
        <f>IFERROR(AV696*$V696,)</f>
        <v/>
      </c>
      <c r="DI696" s="128">
        <f>IFERROR(AW696*$V696,)</f>
        <v/>
      </c>
      <c r="DJ696" s="128">
        <f>IFERROR(AX696*$V696,)</f>
        <v/>
      </c>
      <c r="DK696" s="128">
        <f>IFERROR(AY696*$V696,)</f>
        <v/>
      </c>
      <c r="DL696" s="128">
        <f>IFERROR(AZ696*$V696,)</f>
        <v/>
      </c>
      <c r="DM696" s="129">
        <f>IFERROR(if($X696=0,($V696/1.2)*BA696,
BA696*$X696),)</f>
        <v/>
      </c>
      <c r="DN696" s="129">
        <f>IFERROR(if($X696=0,($V696/1.2)*BB696,
BB696*$X696),)</f>
        <v/>
      </c>
      <c r="DO696" s="129">
        <f>IFERROR(if($X696=0,($V696/1.2)*BC696,
BC696*$X696),)</f>
        <v/>
      </c>
      <c r="DP696" s="130">
        <f>IFERROR(if($Z696=0,($V696/1.35)*BD696,
BD696*$Z696),)</f>
        <v/>
      </c>
      <c r="DQ696" s="130">
        <f>IFERROR(if($Z696=0,($V696/1.35)*BE696,
BE696*$Z696),)</f>
        <v/>
      </c>
      <c r="DR696" s="130">
        <f>IFERROR(if($Z696=0,($V696/1.35)*BF696,
BF696*$Z696),)</f>
        <v/>
      </c>
      <c r="DS696" s="128">
        <f>IFERROR(IF($AB696=0,($V696/0.74)*BG696,
BG696*$AB696),)</f>
        <v/>
      </c>
      <c r="DT696" s="128">
        <f>IFERROR(IF($AB696=0,($V696/0.74)*BH696,
BH696*$AB696),)</f>
        <v/>
      </c>
      <c r="DU696" s="128">
        <f>IFERROR(IF($AB696=0,($V696/0.74)*BI696,
BI696*$AB696),)</f>
        <v/>
      </c>
    </row>
    <row r="697" ht="131.25" customHeight="1" s="162">
      <c r="A697" s="115" t="n"/>
      <c r="B697" s="115" t="n"/>
      <c r="C697" s="115" t="n"/>
      <c r="D697" s="115" t="n"/>
      <c r="E697" s="115" t="n"/>
      <c r="F697" s="115" t="n"/>
      <c r="G697" s="115" t="n"/>
      <c r="H697" s="115" t="n"/>
      <c r="I697" s="115" t="n"/>
      <c r="J697" s="115" t="n"/>
      <c r="K697" s="115" t="n"/>
      <c r="L697" s="115" t="n"/>
      <c r="M697" s="115" t="n"/>
      <c r="N697" s="115" t="n"/>
      <c r="O697" s="115" t="n"/>
      <c r="P697" s="115" t="n"/>
      <c r="Q697" s="115" t="n"/>
      <c r="R697" s="115" t="n"/>
      <c r="S697" s="115" t="n"/>
      <c r="T697" s="115" t="n"/>
      <c r="U697" s="116" t="n"/>
      <c r="V697" s="116" t="n"/>
      <c r="W697" s="117" t="n"/>
      <c r="X697" s="118" t="n"/>
      <c r="Y697" s="119" t="n"/>
      <c r="Z697" s="120" t="n"/>
      <c r="AA697" s="121" t="n"/>
      <c r="AB697" s="122" t="n"/>
      <c r="AC697" s="117" t="n"/>
      <c r="AD697" s="123">
        <f>IF(SUM($AE697:$AH697)=0,"",SUM($AE697:$AH697))</f>
        <v/>
      </c>
      <c r="AE697" s="123">
        <f>iferror(IF(SUM($AI697:$AZ697)=0,"",SUM($AI697:$AZ697)),"")</f>
        <v/>
      </c>
      <c r="AF697" s="123">
        <f>iferror(IF(SUM($BA697:$BC697)=0,"",SUM($BA697:$BC697)),"")</f>
        <v/>
      </c>
      <c r="AG697" s="123">
        <f>iferror(IF(SUM($BD697:$BF697)=0,"",SUM($BD697:$BF697)),"")</f>
        <v/>
      </c>
      <c r="AH697" s="124">
        <f>iferror(IF(SUM($BG697:$BI697)=0,"",SUM($BG697:$BI697)),"")</f>
        <v/>
      </c>
      <c r="AI697" s="131" t="n"/>
      <c r="AJ697" s="132" t="n"/>
      <c r="AK697" s="132" t="n"/>
      <c r="AL697" s="132" t="n"/>
      <c r="AM697" s="132" t="n"/>
      <c r="AN697" s="132" t="n"/>
      <c r="AO697" s="132" t="n"/>
      <c r="AP697" s="132" t="n"/>
      <c r="AQ697" s="132" t="n"/>
      <c r="AR697" s="132" t="n"/>
      <c r="AS697" s="132" t="n"/>
      <c r="AT697" s="132" t="n"/>
      <c r="AU697" s="132" t="n"/>
      <c r="AV697" s="132" t="n"/>
      <c r="AW697" s="132" t="n"/>
      <c r="AX697" s="132" t="n"/>
      <c r="AY697" s="132" t="n"/>
      <c r="AZ697" s="133" t="n"/>
      <c r="BA697" s="131" t="n"/>
      <c r="BB697" s="132" t="n"/>
      <c r="BC697" s="133" t="n"/>
      <c r="BD697" s="131" t="n"/>
      <c r="BE697" s="132" t="n"/>
      <c r="BF697" s="133" t="n"/>
      <c r="BG697" s="131" t="n"/>
      <c r="BH697" s="132" t="n"/>
      <c r="BI697" s="132" t="n"/>
      <c r="BJ697" s="128">
        <f>iferror(SUM($BK697,($BL697*1.2),($BM697*1.35),($BN697*0.74)),)</f>
        <v/>
      </c>
      <c r="BK697" s="128">
        <f>IFERROR(SUM($BT697:$CK697),)</f>
        <v/>
      </c>
      <c r="BL697" s="129">
        <f>IFERROR(SUM($CL697:$CN697),)</f>
        <v/>
      </c>
      <c r="BM697" s="130">
        <f>IFERROR(SUM($CO697:$CQ697),)</f>
        <v/>
      </c>
      <c r="BN697" s="128">
        <f>IFERROR(SUM($CR697:$CT697),)</f>
        <v/>
      </c>
      <c r="BO697" s="128">
        <f>iferror(SUM($BP697,($BQ697*1.2),($BR697*1.35),($BS697*0.74)),)</f>
        <v/>
      </c>
      <c r="BP697" s="128">
        <f>IFERROR(SUM($CU697:$DL697),)</f>
        <v/>
      </c>
      <c r="BQ697" s="128">
        <f>IFERROR(SUM($DM697:$DO697),)</f>
        <v/>
      </c>
      <c r="BR697" s="128">
        <f>IFERROR(SUM($DP697:$DR697),)</f>
        <v/>
      </c>
      <c r="BS697" s="128">
        <f>IFERROR(SUM($DS697:$DU697),)</f>
        <v/>
      </c>
      <c r="BT697" s="128">
        <f>IFERROR(AI697*$W697,)</f>
        <v/>
      </c>
      <c r="BU697" s="128">
        <f>IFERROR(AJ697*$W697,)</f>
        <v/>
      </c>
      <c r="BV697" s="128">
        <f>IFERROR(AK697*$W697,)</f>
        <v/>
      </c>
      <c r="BW697" s="128">
        <f>IFERROR(AL697*$W697,)</f>
        <v/>
      </c>
      <c r="BX697" s="128">
        <f>IFERROR(AM697*$W697,)</f>
        <v/>
      </c>
      <c r="BY697" s="128">
        <f>IFERROR(AN697*$W697,)</f>
        <v/>
      </c>
      <c r="BZ697" s="128">
        <f>IFERROR(AO697*$W697,)</f>
        <v/>
      </c>
      <c r="CA697" s="128">
        <f>IFERROR(AP697*$W697,)</f>
        <v/>
      </c>
      <c r="CB697" s="128">
        <f>IFERROR(AQ697*$W697,)</f>
        <v/>
      </c>
      <c r="CC697" s="128">
        <f>IFERROR(AR697*$W697,)</f>
        <v/>
      </c>
      <c r="CD697" s="128">
        <f>IFERROR(AS697*$W697,)</f>
        <v/>
      </c>
      <c r="CE697" s="128">
        <f>IFERROR(AT697*$W697,)</f>
        <v/>
      </c>
      <c r="CF697" s="128">
        <f>IFERROR(AU697*$W697,)</f>
        <v/>
      </c>
      <c r="CG697" s="128">
        <f>IFERROR(AV697*$W697,)</f>
        <v/>
      </c>
      <c r="CH697" s="128">
        <f>IFERROR(AW697*$W697,)</f>
        <v/>
      </c>
      <c r="CI697" s="128">
        <f>IFERROR(AX697*$W697,)</f>
        <v/>
      </c>
      <c r="CJ697" s="128">
        <f>IFERROR(AY697*$W697,)</f>
        <v/>
      </c>
      <c r="CK697" s="128">
        <f>IFERROR(AZ697*$W697,)</f>
        <v/>
      </c>
      <c r="CL697" s="129">
        <f>IFERROR(if($Y697=0,BA697*($W697/1.2),BA697*$Y697),"")</f>
        <v/>
      </c>
      <c r="CM697" s="129">
        <f>IFERROR(if($Y697=0,BB697*($W697/1.2),BB697*$Y697),"")</f>
        <v/>
      </c>
      <c r="CN697" s="129">
        <f>IFERROR(if($Y697=0,BC697*($W697/1.2),BC697*$Y697),"")</f>
        <v/>
      </c>
      <c r="CO697" s="130">
        <f>IFERROR(if($AA697=0,($W697/1.35)*BD697,BD697*$AA697),)</f>
        <v/>
      </c>
      <c r="CP697" s="130">
        <f>IFERROR(if($AA697=0,($W697/1.35)*BE697,BE697*$AA697),)</f>
        <v/>
      </c>
      <c r="CQ697" s="130">
        <f>IFERROR(if($AA697=0,($W697/1.35)*BF697,BF697*$AA697),)</f>
        <v/>
      </c>
      <c r="CR697" s="128">
        <f>IFERROR(if($AC697=0,($W697/0.74)*BG697,
BG697*$AC697),)</f>
        <v/>
      </c>
      <c r="CS697" s="128">
        <f>IFERROR(if($AC697=0,($W697/0.74)*BH697,
BH697*$AC697),)</f>
        <v/>
      </c>
      <c r="CT697" s="128">
        <f>IFERROR(if($AC697=0,($W697/0.74)*BI697,
BI697*$AC697),)</f>
        <v/>
      </c>
      <c r="CU697" s="128">
        <f>IFERROR(AI697*$V697,)</f>
        <v/>
      </c>
      <c r="CV697" s="128">
        <f>IFERROR(AJ697*$V697,)</f>
        <v/>
      </c>
      <c r="CW697" s="128">
        <f>IFERROR(AK697*$V697,)</f>
        <v/>
      </c>
      <c r="CX697" s="128">
        <f>IFERROR(AL697*$V697,)</f>
        <v/>
      </c>
      <c r="CY697" s="128">
        <f>IFERROR(AM697*$V697,)</f>
        <v/>
      </c>
      <c r="CZ697" s="128">
        <f>IFERROR(AN697*$V697,)</f>
        <v/>
      </c>
      <c r="DA697" s="128">
        <f>IFERROR(AO697*$V697,)</f>
        <v/>
      </c>
      <c r="DB697" s="128">
        <f>IFERROR(AP697*$V697,)</f>
        <v/>
      </c>
      <c r="DC697" s="128">
        <f>IFERROR(AQ697*$V697,)</f>
        <v/>
      </c>
      <c r="DD697" s="128">
        <f>IFERROR(AR697*$V697,)</f>
        <v/>
      </c>
      <c r="DE697" s="128">
        <f>IFERROR(AS697*$V697,)</f>
        <v/>
      </c>
      <c r="DF697" s="128">
        <f>IFERROR(AT697*$V697,)</f>
        <v/>
      </c>
      <c r="DG697" s="128">
        <f>IFERROR(AU697*$V697,)</f>
        <v/>
      </c>
      <c r="DH697" s="128">
        <f>IFERROR(AV697*$V697,)</f>
        <v/>
      </c>
      <c r="DI697" s="128">
        <f>IFERROR(AW697*$V697,)</f>
        <v/>
      </c>
      <c r="DJ697" s="128">
        <f>IFERROR(AX697*$V697,)</f>
        <v/>
      </c>
      <c r="DK697" s="128">
        <f>IFERROR(AY697*$V697,)</f>
        <v/>
      </c>
      <c r="DL697" s="128">
        <f>IFERROR(AZ697*$V697,)</f>
        <v/>
      </c>
      <c r="DM697" s="129">
        <f>IFERROR(if($X697=0,($V697/1.2)*BA697,
BA697*$X697),)</f>
        <v/>
      </c>
      <c r="DN697" s="129">
        <f>IFERROR(if($X697=0,($V697/1.2)*BB697,
BB697*$X697),)</f>
        <v/>
      </c>
      <c r="DO697" s="129">
        <f>IFERROR(if($X697=0,($V697/1.2)*BC697,
BC697*$X697),)</f>
        <v/>
      </c>
      <c r="DP697" s="130">
        <f>IFERROR(if($Z697=0,($V697/1.35)*BD697,
BD697*$Z697),)</f>
        <v/>
      </c>
      <c r="DQ697" s="130">
        <f>IFERROR(if($Z697=0,($V697/1.35)*BE697,
BE697*$Z697),)</f>
        <v/>
      </c>
      <c r="DR697" s="130">
        <f>IFERROR(if($Z697=0,($V697/1.35)*BF697,
BF697*$Z697),)</f>
        <v/>
      </c>
      <c r="DS697" s="128">
        <f>IFERROR(IF($AB697=0,($V697/0.74)*BG697,
BG697*$AB697),)</f>
        <v/>
      </c>
      <c r="DT697" s="128">
        <f>IFERROR(IF($AB697=0,($V697/0.74)*BH697,
BH697*$AB697),)</f>
        <v/>
      </c>
      <c r="DU697" s="128">
        <f>IFERROR(IF($AB697=0,($V697/0.74)*BI697,
BI697*$AB697),)</f>
        <v/>
      </c>
    </row>
    <row r="698" ht="131.25" customHeight="1" s="162">
      <c r="A698" s="115" t="n"/>
      <c r="B698" s="115" t="n"/>
      <c r="C698" s="115" t="n"/>
      <c r="D698" s="115" t="n"/>
      <c r="E698" s="115" t="n"/>
      <c r="F698" s="115" t="n"/>
      <c r="G698" s="115" t="n"/>
      <c r="H698" s="115" t="n"/>
      <c r="I698" s="115" t="n"/>
      <c r="J698" s="115" t="n"/>
      <c r="K698" s="115" t="n"/>
      <c r="L698" s="115" t="n"/>
      <c r="M698" s="115" t="n"/>
      <c r="N698" s="115" t="n"/>
      <c r="O698" s="115" t="n"/>
      <c r="P698" s="115" t="n"/>
      <c r="Q698" s="115" t="n"/>
      <c r="R698" s="115" t="n"/>
      <c r="S698" s="115" t="n"/>
      <c r="T698" s="115" t="n"/>
      <c r="U698" s="116" t="n"/>
      <c r="V698" s="116" t="n"/>
      <c r="W698" s="117" t="n"/>
      <c r="X698" s="118" t="n"/>
      <c r="Y698" s="119" t="n"/>
      <c r="Z698" s="120" t="n"/>
      <c r="AA698" s="121" t="n"/>
      <c r="AB698" s="122" t="n"/>
      <c r="AC698" s="117" t="n"/>
      <c r="AD698" s="123">
        <f>IF(SUM($AE698:$AH698)=0,"",SUM($AE698:$AH698))</f>
        <v/>
      </c>
      <c r="AE698" s="123">
        <f>iferror(IF(SUM($AI698:$AZ698)=0,"",SUM($AI698:$AZ698)),"")</f>
        <v/>
      </c>
      <c r="AF698" s="123">
        <f>iferror(IF(SUM($BA698:$BC698)=0,"",SUM($BA698:$BC698)),"")</f>
        <v/>
      </c>
      <c r="AG698" s="123">
        <f>iferror(IF(SUM($BD698:$BF698)=0,"",SUM($BD698:$BF698)),"")</f>
        <v/>
      </c>
      <c r="AH698" s="124">
        <f>iferror(IF(SUM($BG698:$BI698)=0,"",SUM($BG698:$BI698)),"")</f>
        <v/>
      </c>
      <c r="AI698" s="131" t="n"/>
      <c r="AJ698" s="132" t="n"/>
      <c r="AK698" s="132" t="n"/>
      <c r="AL698" s="132" t="n"/>
      <c r="AM698" s="132" t="n"/>
      <c r="AN698" s="132" t="n"/>
      <c r="AO698" s="132" t="n"/>
      <c r="AP698" s="132" t="n"/>
      <c r="AQ698" s="132" t="n"/>
      <c r="AR698" s="132" t="n"/>
      <c r="AS698" s="132" t="n"/>
      <c r="AT698" s="132" t="n"/>
      <c r="AU698" s="132" t="n"/>
      <c r="AV698" s="132" t="n"/>
      <c r="AW698" s="132" t="n"/>
      <c r="AX698" s="132" t="n"/>
      <c r="AY698" s="132" t="n"/>
      <c r="AZ698" s="133" t="n"/>
      <c r="BA698" s="131" t="n"/>
      <c r="BB698" s="132" t="n"/>
      <c r="BC698" s="133" t="n"/>
      <c r="BD698" s="131" t="n"/>
      <c r="BE698" s="132" t="n"/>
      <c r="BF698" s="133" t="n"/>
      <c r="BG698" s="131" t="n"/>
      <c r="BH698" s="132" t="n"/>
      <c r="BI698" s="132" t="n"/>
      <c r="BJ698" s="128">
        <f>iferror(SUM($BK698,($BL698*1.2),($BM698*1.35),($BN698*0.74)),)</f>
        <v/>
      </c>
      <c r="BK698" s="128">
        <f>IFERROR(SUM($BT698:$CK698),)</f>
        <v/>
      </c>
      <c r="BL698" s="129">
        <f>IFERROR(SUM($CL698:$CN698),)</f>
        <v/>
      </c>
      <c r="BM698" s="130">
        <f>IFERROR(SUM($CO698:$CQ698),)</f>
        <v/>
      </c>
      <c r="BN698" s="128">
        <f>IFERROR(SUM($CR698:$CT698),)</f>
        <v/>
      </c>
      <c r="BO698" s="128">
        <f>iferror(SUM($BP698,($BQ698*1.2),($BR698*1.35),($BS698*0.74)),)</f>
        <v/>
      </c>
      <c r="BP698" s="128">
        <f>IFERROR(SUM($CU698:$DL698),)</f>
        <v/>
      </c>
      <c r="BQ698" s="128">
        <f>IFERROR(SUM($DM698:$DO698),)</f>
        <v/>
      </c>
      <c r="BR698" s="128">
        <f>IFERROR(SUM($DP698:$DR698),)</f>
        <v/>
      </c>
      <c r="BS698" s="128">
        <f>IFERROR(SUM($DS698:$DU698),)</f>
        <v/>
      </c>
      <c r="BT698" s="128">
        <f>IFERROR(AI698*$W698,)</f>
        <v/>
      </c>
      <c r="BU698" s="128">
        <f>IFERROR(AJ698*$W698,)</f>
        <v/>
      </c>
      <c r="BV698" s="128">
        <f>IFERROR(AK698*$W698,)</f>
        <v/>
      </c>
      <c r="BW698" s="128">
        <f>IFERROR(AL698*$W698,)</f>
        <v/>
      </c>
      <c r="BX698" s="128">
        <f>IFERROR(AM698*$W698,)</f>
        <v/>
      </c>
      <c r="BY698" s="128">
        <f>IFERROR(AN698*$W698,)</f>
        <v/>
      </c>
      <c r="BZ698" s="128">
        <f>IFERROR(AO698*$W698,)</f>
        <v/>
      </c>
      <c r="CA698" s="128">
        <f>IFERROR(AP698*$W698,)</f>
        <v/>
      </c>
      <c r="CB698" s="128">
        <f>IFERROR(AQ698*$W698,)</f>
        <v/>
      </c>
      <c r="CC698" s="128">
        <f>IFERROR(AR698*$W698,)</f>
        <v/>
      </c>
      <c r="CD698" s="128">
        <f>IFERROR(AS698*$W698,)</f>
        <v/>
      </c>
      <c r="CE698" s="128">
        <f>IFERROR(AT698*$W698,)</f>
        <v/>
      </c>
      <c r="CF698" s="128">
        <f>IFERROR(AU698*$W698,)</f>
        <v/>
      </c>
      <c r="CG698" s="128">
        <f>IFERROR(AV698*$W698,)</f>
        <v/>
      </c>
      <c r="CH698" s="128">
        <f>IFERROR(AW698*$W698,)</f>
        <v/>
      </c>
      <c r="CI698" s="128">
        <f>IFERROR(AX698*$W698,)</f>
        <v/>
      </c>
      <c r="CJ698" s="128">
        <f>IFERROR(AY698*$W698,)</f>
        <v/>
      </c>
      <c r="CK698" s="128">
        <f>IFERROR(AZ698*$W698,)</f>
        <v/>
      </c>
      <c r="CL698" s="129">
        <f>IFERROR(if($Y698=0,BA698*($W698/1.2),BA698*$Y698),"")</f>
        <v/>
      </c>
      <c r="CM698" s="129">
        <f>IFERROR(if($Y698=0,BB698*($W698/1.2),BB698*$Y698),"")</f>
        <v/>
      </c>
      <c r="CN698" s="129">
        <f>IFERROR(if($Y698=0,BC698*($W698/1.2),BC698*$Y698),"")</f>
        <v/>
      </c>
      <c r="CO698" s="130">
        <f>IFERROR(if($AA698=0,($W698/1.35)*BD698,BD698*$AA698),)</f>
        <v/>
      </c>
      <c r="CP698" s="130">
        <f>IFERROR(if($AA698=0,($W698/1.35)*BE698,BE698*$AA698),)</f>
        <v/>
      </c>
      <c r="CQ698" s="130">
        <f>IFERROR(if($AA698=0,($W698/1.35)*BF698,BF698*$AA698),)</f>
        <v/>
      </c>
      <c r="CR698" s="128">
        <f>IFERROR(if($AC698=0,($W698/0.74)*BG698,
BG698*$AC698),)</f>
        <v/>
      </c>
      <c r="CS698" s="128">
        <f>IFERROR(if($AC698=0,($W698/0.74)*BH698,
BH698*$AC698),)</f>
        <v/>
      </c>
      <c r="CT698" s="128">
        <f>IFERROR(if($AC698=0,($W698/0.74)*BI698,
BI698*$AC698),)</f>
        <v/>
      </c>
      <c r="CU698" s="128">
        <f>IFERROR(AI698*$V698,)</f>
        <v/>
      </c>
      <c r="CV698" s="128">
        <f>IFERROR(AJ698*$V698,)</f>
        <v/>
      </c>
      <c r="CW698" s="128">
        <f>IFERROR(AK698*$V698,)</f>
        <v/>
      </c>
      <c r="CX698" s="128">
        <f>IFERROR(AL698*$V698,)</f>
        <v/>
      </c>
      <c r="CY698" s="128">
        <f>IFERROR(AM698*$V698,)</f>
        <v/>
      </c>
      <c r="CZ698" s="128">
        <f>IFERROR(AN698*$V698,)</f>
        <v/>
      </c>
      <c r="DA698" s="128">
        <f>IFERROR(AO698*$V698,)</f>
        <v/>
      </c>
      <c r="DB698" s="128">
        <f>IFERROR(AP698*$V698,)</f>
        <v/>
      </c>
      <c r="DC698" s="128">
        <f>IFERROR(AQ698*$V698,)</f>
        <v/>
      </c>
      <c r="DD698" s="128">
        <f>IFERROR(AR698*$V698,)</f>
        <v/>
      </c>
      <c r="DE698" s="128">
        <f>IFERROR(AS698*$V698,)</f>
        <v/>
      </c>
      <c r="DF698" s="128">
        <f>IFERROR(AT698*$V698,)</f>
        <v/>
      </c>
      <c r="DG698" s="128">
        <f>IFERROR(AU698*$V698,)</f>
        <v/>
      </c>
      <c r="DH698" s="128">
        <f>IFERROR(AV698*$V698,)</f>
        <v/>
      </c>
      <c r="DI698" s="128">
        <f>IFERROR(AW698*$V698,)</f>
        <v/>
      </c>
      <c r="DJ698" s="128">
        <f>IFERROR(AX698*$V698,)</f>
        <v/>
      </c>
      <c r="DK698" s="128">
        <f>IFERROR(AY698*$V698,)</f>
        <v/>
      </c>
      <c r="DL698" s="128">
        <f>IFERROR(AZ698*$V698,)</f>
        <v/>
      </c>
      <c r="DM698" s="129">
        <f>IFERROR(if($X698=0,($V698/1.2)*BA698,
BA698*$X698),)</f>
        <v/>
      </c>
      <c r="DN698" s="129">
        <f>IFERROR(if($X698=0,($V698/1.2)*BB698,
BB698*$X698),)</f>
        <v/>
      </c>
      <c r="DO698" s="129">
        <f>IFERROR(if($X698=0,($V698/1.2)*BC698,
BC698*$X698),)</f>
        <v/>
      </c>
      <c r="DP698" s="130">
        <f>IFERROR(if($Z698=0,($V698/1.35)*BD698,
BD698*$Z698),)</f>
        <v/>
      </c>
      <c r="DQ698" s="130">
        <f>IFERROR(if($Z698=0,($V698/1.35)*BE698,
BE698*$Z698),)</f>
        <v/>
      </c>
      <c r="DR698" s="130">
        <f>IFERROR(if($Z698=0,($V698/1.35)*BF698,
BF698*$Z698),)</f>
        <v/>
      </c>
      <c r="DS698" s="128">
        <f>IFERROR(IF($AB698=0,($V698/0.74)*BG698,
BG698*$AB698),)</f>
        <v/>
      </c>
      <c r="DT698" s="128">
        <f>IFERROR(IF($AB698=0,($V698/0.74)*BH698,
BH698*$AB698),)</f>
        <v/>
      </c>
      <c r="DU698" s="128">
        <f>IFERROR(IF($AB698=0,($V698/0.74)*BI698,
BI698*$AB698),)</f>
        <v/>
      </c>
    </row>
    <row r="699" ht="131.25" customHeight="1" s="162">
      <c r="A699" s="115" t="n"/>
      <c r="B699" s="115" t="n"/>
      <c r="C699" s="115" t="n"/>
      <c r="D699" s="115" t="n"/>
      <c r="E699" s="115" t="n"/>
      <c r="F699" s="115" t="n"/>
      <c r="G699" s="115" t="n"/>
      <c r="H699" s="115" t="n"/>
      <c r="I699" s="115" t="n"/>
      <c r="J699" s="115" t="n"/>
      <c r="K699" s="115" t="n"/>
      <c r="L699" s="115" t="n"/>
      <c r="M699" s="115" t="n"/>
      <c r="N699" s="115" t="n"/>
      <c r="O699" s="115" t="n"/>
      <c r="P699" s="115" t="n"/>
      <c r="Q699" s="115" t="n"/>
      <c r="R699" s="115" t="n"/>
      <c r="S699" s="115" t="n"/>
      <c r="T699" s="115" t="n"/>
      <c r="U699" s="116" t="n"/>
      <c r="V699" s="116" t="n"/>
      <c r="W699" s="117" t="n"/>
      <c r="X699" s="118" t="n"/>
      <c r="Y699" s="119" t="n"/>
      <c r="Z699" s="120" t="n"/>
      <c r="AA699" s="121" t="n"/>
      <c r="AB699" s="122" t="n"/>
      <c r="AC699" s="117" t="n"/>
      <c r="AD699" s="123">
        <f>IF(SUM($AE699:$AH699)=0,"",SUM($AE699:$AH699))</f>
        <v/>
      </c>
      <c r="AE699" s="123">
        <f>iferror(IF(SUM($AI699:$AZ699)=0,"",SUM($AI699:$AZ699)),"")</f>
        <v/>
      </c>
      <c r="AF699" s="123">
        <f>iferror(IF(SUM($BA699:$BC699)=0,"",SUM($BA699:$BC699)),"")</f>
        <v/>
      </c>
      <c r="AG699" s="123">
        <f>iferror(IF(SUM($BD699:$BF699)=0,"",SUM($BD699:$BF699)),"")</f>
        <v/>
      </c>
      <c r="AH699" s="124">
        <f>iferror(IF(SUM($BG699:$BI699)=0,"",SUM($BG699:$BI699)),"")</f>
        <v/>
      </c>
      <c r="AI699" s="131" t="n"/>
      <c r="AJ699" s="132" t="n"/>
      <c r="AK699" s="132" t="n"/>
      <c r="AL699" s="132" t="n"/>
      <c r="AM699" s="132" t="n"/>
      <c r="AN699" s="132" t="n"/>
      <c r="AO699" s="132" t="n"/>
      <c r="AP699" s="132" t="n"/>
      <c r="AQ699" s="132" t="n"/>
      <c r="AR699" s="132" t="n"/>
      <c r="AS699" s="132" t="n"/>
      <c r="AT699" s="132" t="n"/>
      <c r="AU699" s="132" t="n"/>
      <c r="AV699" s="132" t="n"/>
      <c r="AW699" s="132" t="n"/>
      <c r="AX699" s="132" t="n"/>
      <c r="AY699" s="132" t="n"/>
      <c r="AZ699" s="133" t="n"/>
      <c r="BA699" s="131" t="n"/>
      <c r="BB699" s="132" t="n"/>
      <c r="BC699" s="133" t="n"/>
      <c r="BD699" s="131" t="n"/>
      <c r="BE699" s="132" t="n"/>
      <c r="BF699" s="133" t="n"/>
      <c r="BG699" s="131" t="n"/>
      <c r="BH699" s="132" t="n"/>
      <c r="BI699" s="132" t="n"/>
      <c r="BJ699" s="128">
        <f>iferror(SUM($BK699,($BL699*1.2),($BM699*1.35),($BN699*0.74)),)</f>
        <v/>
      </c>
      <c r="BK699" s="128">
        <f>IFERROR(SUM($BT699:$CK699),)</f>
        <v/>
      </c>
      <c r="BL699" s="129">
        <f>IFERROR(SUM($CL699:$CN699),)</f>
        <v/>
      </c>
      <c r="BM699" s="130">
        <f>IFERROR(SUM($CO699:$CQ699),)</f>
        <v/>
      </c>
      <c r="BN699" s="128">
        <f>IFERROR(SUM($CR699:$CT699),)</f>
        <v/>
      </c>
      <c r="BO699" s="128">
        <f>iferror(SUM($BP699,($BQ699*1.2),($BR699*1.35),($BS699*0.74)),)</f>
        <v/>
      </c>
      <c r="BP699" s="128">
        <f>IFERROR(SUM($CU699:$DL699),)</f>
        <v/>
      </c>
      <c r="BQ699" s="128">
        <f>IFERROR(SUM($DM699:$DO699),)</f>
        <v/>
      </c>
      <c r="BR699" s="128">
        <f>IFERROR(SUM($DP699:$DR699),)</f>
        <v/>
      </c>
      <c r="BS699" s="128">
        <f>IFERROR(SUM($DS699:$DU699),)</f>
        <v/>
      </c>
      <c r="BT699" s="128">
        <f>IFERROR(AI699*$W699,)</f>
        <v/>
      </c>
      <c r="BU699" s="128">
        <f>IFERROR(AJ699*$W699,)</f>
        <v/>
      </c>
      <c r="BV699" s="128">
        <f>IFERROR(AK699*$W699,)</f>
        <v/>
      </c>
      <c r="BW699" s="128">
        <f>IFERROR(AL699*$W699,)</f>
        <v/>
      </c>
      <c r="BX699" s="128">
        <f>IFERROR(AM699*$W699,)</f>
        <v/>
      </c>
      <c r="BY699" s="128">
        <f>IFERROR(AN699*$W699,)</f>
        <v/>
      </c>
      <c r="BZ699" s="128">
        <f>IFERROR(AO699*$W699,)</f>
        <v/>
      </c>
      <c r="CA699" s="128">
        <f>IFERROR(AP699*$W699,)</f>
        <v/>
      </c>
      <c r="CB699" s="128">
        <f>IFERROR(AQ699*$W699,)</f>
        <v/>
      </c>
      <c r="CC699" s="128">
        <f>IFERROR(AR699*$W699,)</f>
        <v/>
      </c>
      <c r="CD699" s="128">
        <f>IFERROR(AS699*$W699,)</f>
        <v/>
      </c>
      <c r="CE699" s="128">
        <f>IFERROR(AT699*$W699,)</f>
        <v/>
      </c>
      <c r="CF699" s="128">
        <f>IFERROR(AU699*$W699,)</f>
        <v/>
      </c>
      <c r="CG699" s="128">
        <f>IFERROR(AV699*$W699,)</f>
        <v/>
      </c>
      <c r="CH699" s="128">
        <f>IFERROR(AW699*$W699,)</f>
        <v/>
      </c>
      <c r="CI699" s="128">
        <f>IFERROR(AX699*$W699,)</f>
        <v/>
      </c>
      <c r="CJ699" s="128">
        <f>IFERROR(AY699*$W699,)</f>
        <v/>
      </c>
      <c r="CK699" s="128">
        <f>IFERROR(AZ699*$W699,)</f>
        <v/>
      </c>
      <c r="CL699" s="129">
        <f>IFERROR(if($Y699=0,BA699*($W699/1.2),BA699*$Y699),"")</f>
        <v/>
      </c>
      <c r="CM699" s="129">
        <f>IFERROR(if($Y699=0,BB699*($W699/1.2),BB699*$Y699),"")</f>
        <v/>
      </c>
      <c r="CN699" s="129">
        <f>IFERROR(if($Y699=0,BC699*($W699/1.2),BC699*$Y699),"")</f>
        <v/>
      </c>
      <c r="CO699" s="130">
        <f>IFERROR(if($AA699=0,($W699/1.35)*BD699,BD699*$AA699),)</f>
        <v/>
      </c>
      <c r="CP699" s="130">
        <f>IFERROR(if($AA699=0,($W699/1.35)*BE699,BE699*$AA699),)</f>
        <v/>
      </c>
      <c r="CQ699" s="130">
        <f>IFERROR(if($AA699=0,($W699/1.35)*BF699,BF699*$AA699),)</f>
        <v/>
      </c>
      <c r="CR699" s="128">
        <f>IFERROR(if($AC699=0,($W699/0.74)*BG699,
BG699*$AC699),)</f>
        <v/>
      </c>
      <c r="CS699" s="128">
        <f>IFERROR(if($AC699=0,($W699/0.74)*BH699,
BH699*$AC699),)</f>
        <v/>
      </c>
      <c r="CT699" s="128">
        <f>IFERROR(if($AC699=0,($W699/0.74)*BI699,
BI699*$AC699),)</f>
        <v/>
      </c>
      <c r="CU699" s="128">
        <f>IFERROR(AI699*$V699,)</f>
        <v/>
      </c>
      <c r="CV699" s="128">
        <f>IFERROR(AJ699*$V699,)</f>
        <v/>
      </c>
      <c r="CW699" s="128">
        <f>IFERROR(AK699*$V699,)</f>
        <v/>
      </c>
      <c r="CX699" s="128">
        <f>IFERROR(AL699*$V699,)</f>
        <v/>
      </c>
      <c r="CY699" s="128">
        <f>IFERROR(AM699*$V699,)</f>
        <v/>
      </c>
      <c r="CZ699" s="128">
        <f>IFERROR(AN699*$V699,)</f>
        <v/>
      </c>
      <c r="DA699" s="128">
        <f>IFERROR(AO699*$V699,)</f>
        <v/>
      </c>
      <c r="DB699" s="128">
        <f>IFERROR(AP699*$V699,)</f>
        <v/>
      </c>
      <c r="DC699" s="128">
        <f>IFERROR(AQ699*$V699,)</f>
        <v/>
      </c>
      <c r="DD699" s="128">
        <f>IFERROR(AR699*$V699,)</f>
        <v/>
      </c>
      <c r="DE699" s="128">
        <f>IFERROR(AS699*$V699,)</f>
        <v/>
      </c>
      <c r="DF699" s="128">
        <f>IFERROR(AT699*$V699,)</f>
        <v/>
      </c>
      <c r="DG699" s="128">
        <f>IFERROR(AU699*$V699,)</f>
        <v/>
      </c>
      <c r="DH699" s="128">
        <f>IFERROR(AV699*$V699,)</f>
        <v/>
      </c>
      <c r="DI699" s="128">
        <f>IFERROR(AW699*$V699,)</f>
        <v/>
      </c>
      <c r="DJ699" s="128">
        <f>IFERROR(AX699*$V699,)</f>
        <v/>
      </c>
      <c r="DK699" s="128">
        <f>IFERROR(AY699*$V699,)</f>
        <v/>
      </c>
      <c r="DL699" s="128">
        <f>IFERROR(AZ699*$V699,)</f>
        <v/>
      </c>
      <c r="DM699" s="129">
        <f>IFERROR(if($X699=0,($V699/1.2)*BA699,
BA699*$X699),)</f>
        <v/>
      </c>
      <c r="DN699" s="129">
        <f>IFERROR(if($X699=0,($V699/1.2)*BB699,
BB699*$X699),)</f>
        <v/>
      </c>
      <c r="DO699" s="129">
        <f>IFERROR(if($X699=0,($V699/1.2)*BC699,
BC699*$X699),)</f>
        <v/>
      </c>
      <c r="DP699" s="130">
        <f>IFERROR(if($Z699=0,($V699/1.35)*BD699,
BD699*$Z699),)</f>
        <v/>
      </c>
      <c r="DQ699" s="130">
        <f>IFERROR(if($Z699=0,($V699/1.35)*BE699,
BE699*$Z699),)</f>
        <v/>
      </c>
      <c r="DR699" s="130">
        <f>IFERROR(if($Z699=0,($V699/1.35)*BF699,
BF699*$Z699),)</f>
        <v/>
      </c>
      <c r="DS699" s="128">
        <f>IFERROR(IF($AB699=0,($V699/0.74)*BG699,
BG699*$AB699),)</f>
        <v/>
      </c>
      <c r="DT699" s="128">
        <f>IFERROR(IF($AB699=0,($V699/0.74)*BH699,
BH699*$AB699),)</f>
        <v/>
      </c>
      <c r="DU699" s="128">
        <f>IFERROR(IF($AB699=0,($V699/0.74)*BI699,
BI699*$AB699),)</f>
        <v/>
      </c>
    </row>
    <row r="700" ht="131.25" customHeight="1" s="162">
      <c r="A700" s="115" t="n"/>
      <c r="B700" s="115" t="n"/>
      <c r="C700" s="115" t="n"/>
      <c r="D700" s="115" t="n"/>
      <c r="E700" s="115" t="n"/>
      <c r="F700" s="115" t="n"/>
      <c r="G700" s="115" t="n"/>
      <c r="H700" s="115" t="n"/>
      <c r="I700" s="115" t="n"/>
      <c r="J700" s="115" t="n"/>
      <c r="K700" s="115" t="n"/>
      <c r="L700" s="115" t="n"/>
      <c r="M700" s="115" t="n"/>
      <c r="N700" s="115" t="n"/>
      <c r="O700" s="115" t="n"/>
      <c r="P700" s="115" t="n"/>
      <c r="Q700" s="115" t="n"/>
      <c r="R700" s="115" t="n"/>
      <c r="S700" s="115" t="n"/>
      <c r="T700" s="115" t="n"/>
      <c r="U700" s="116" t="n"/>
      <c r="V700" s="116" t="n"/>
      <c r="W700" s="117" t="n"/>
      <c r="X700" s="118" t="n"/>
      <c r="Y700" s="119" t="n"/>
      <c r="Z700" s="120" t="n"/>
      <c r="AA700" s="121" t="n"/>
      <c r="AB700" s="122" t="n"/>
      <c r="AC700" s="117" t="n"/>
      <c r="AD700" s="123">
        <f>IF(SUM($AE700:$AH700)=0,"",SUM($AE700:$AH700))</f>
        <v/>
      </c>
      <c r="AE700" s="123">
        <f>iferror(IF(SUM($AI700:$AZ700)=0,"",SUM($AI700:$AZ700)),"")</f>
        <v/>
      </c>
      <c r="AF700" s="123">
        <f>iferror(IF(SUM($BA700:$BC700)=0,"",SUM($BA700:$BC700)),"")</f>
        <v/>
      </c>
      <c r="AG700" s="123">
        <f>iferror(IF(SUM($BD700:$BF700)=0,"",SUM($BD700:$BF700)),"")</f>
        <v/>
      </c>
      <c r="AH700" s="124">
        <f>iferror(IF(SUM($BG700:$BI700)=0,"",SUM($BG700:$BI700)),"")</f>
        <v/>
      </c>
      <c r="AI700" s="131" t="n"/>
      <c r="AJ700" s="132" t="n"/>
      <c r="AK700" s="132" t="n"/>
      <c r="AL700" s="132" t="n"/>
      <c r="AM700" s="132" t="n"/>
      <c r="AN700" s="132" t="n"/>
      <c r="AO700" s="132" t="n"/>
      <c r="AP700" s="132" t="n"/>
      <c r="AQ700" s="132" t="n"/>
      <c r="AR700" s="132" t="n"/>
      <c r="AS700" s="132" t="n"/>
      <c r="AT700" s="132" t="n"/>
      <c r="AU700" s="132" t="n"/>
      <c r="AV700" s="132" t="n"/>
      <c r="AW700" s="132" t="n"/>
      <c r="AX700" s="132" t="n"/>
      <c r="AY700" s="132" t="n"/>
      <c r="AZ700" s="133" t="n"/>
      <c r="BA700" s="131" t="n"/>
      <c r="BB700" s="132" t="n"/>
      <c r="BC700" s="133" t="n"/>
      <c r="BD700" s="131" t="n"/>
      <c r="BE700" s="132" t="n"/>
      <c r="BF700" s="133" t="n"/>
      <c r="BG700" s="131" t="n"/>
      <c r="BH700" s="132" t="n"/>
      <c r="BI700" s="132" t="n"/>
      <c r="BJ700" s="128">
        <f>iferror(SUM($BK700,($BL700*1.2),($BM700*1.35),($BN700*0.74)),)</f>
        <v/>
      </c>
      <c r="BK700" s="128">
        <f>IFERROR(SUM($BT700:$CK700),)</f>
        <v/>
      </c>
      <c r="BL700" s="129">
        <f>IFERROR(SUM($CL700:$CN700),)</f>
        <v/>
      </c>
      <c r="BM700" s="130">
        <f>IFERROR(SUM($CO700:$CQ700),)</f>
        <v/>
      </c>
      <c r="BN700" s="128">
        <f>IFERROR(SUM($CR700:$CT700),)</f>
        <v/>
      </c>
      <c r="BO700" s="128">
        <f>iferror(SUM($BP700,($BQ700*1.2),($BR700*1.35),($BS700*0.74)),)</f>
        <v/>
      </c>
      <c r="BP700" s="128">
        <f>IFERROR(SUM($CU700:$DL700),)</f>
        <v/>
      </c>
      <c r="BQ700" s="128">
        <f>IFERROR(SUM($DM700:$DO700),)</f>
        <v/>
      </c>
      <c r="BR700" s="128">
        <f>IFERROR(SUM($DP700:$DR700),)</f>
        <v/>
      </c>
      <c r="BS700" s="128">
        <f>IFERROR(SUM($DS700:$DU700),)</f>
        <v/>
      </c>
      <c r="BT700" s="128">
        <f>IFERROR(AI700*$W700,)</f>
        <v/>
      </c>
      <c r="BU700" s="128">
        <f>IFERROR(AJ700*$W700,)</f>
        <v/>
      </c>
      <c r="BV700" s="128">
        <f>IFERROR(AK700*$W700,)</f>
        <v/>
      </c>
      <c r="BW700" s="128">
        <f>IFERROR(AL700*$W700,)</f>
        <v/>
      </c>
      <c r="BX700" s="128">
        <f>IFERROR(AM700*$W700,)</f>
        <v/>
      </c>
      <c r="BY700" s="128">
        <f>IFERROR(AN700*$W700,)</f>
        <v/>
      </c>
      <c r="BZ700" s="128">
        <f>IFERROR(AO700*$W700,)</f>
        <v/>
      </c>
      <c r="CA700" s="128">
        <f>IFERROR(AP700*$W700,)</f>
        <v/>
      </c>
      <c r="CB700" s="128">
        <f>IFERROR(AQ700*$W700,)</f>
        <v/>
      </c>
      <c r="CC700" s="128">
        <f>IFERROR(AR700*$W700,)</f>
        <v/>
      </c>
      <c r="CD700" s="128">
        <f>IFERROR(AS700*$W700,)</f>
        <v/>
      </c>
      <c r="CE700" s="128">
        <f>IFERROR(AT700*$W700,)</f>
        <v/>
      </c>
      <c r="CF700" s="128">
        <f>IFERROR(AU700*$W700,)</f>
        <v/>
      </c>
      <c r="CG700" s="128">
        <f>IFERROR(AV700*$W700,)</f>
        <v/>
      </c>
      <c r="CH700" s="128">
        <f>IFERROR(AW700*$W700,)</f>
        <v/>
      </c>
      <c r="CI700" s="128">
        <f>IFERROR(AX700*$W700,)</f>
        <v/>
      </c>
      <c r="CJ700" s="128">
        <f>IFERROR(AY700*$W700,)</f>
        <v/>
      </c>
      <c r="CK700" s="128">
        <f>IFERROR(AZ700*$W700,)</f>
        <v/>
      </c>
      <c r="CL700" s="129">
        <f>IFERROR(if($Y700=0,BA700*($W700/1.2),BA700*$Y700),"")</f>
        <v/>
      </c>
      <c r="CM700" s="129">
        <f>IFERROR(if($Y700=0,BB700*($W700/1.2),BB700*$Y700),"")</f>
        <v/>
      </c>
      <c r="CN700" s="129">
        <f>IFERROR(if($Y700=0,BC700*($W700/1.2),BC700*$Y700),"")</f>
        <v/>
      </c>
      <c r="CO700" s="130">
        <f>IFERROR(if($AA700=0,($W700/1.35)*BD700,BD700*$AA700),)</f>
        <v/>
      </c>
      <c r="CP700" s="130">
        <f>IFERROR(if($AA700=0,($W700/1.35)*BE700,BE700*$AA700),)</f>
        <v/>
      </c>
      <c r="CQ700" s="130">
        <f>IFERROR(if($AA700=0,($W700/1.35)*BF700,BF700*$AA700),)</f>
        <v/>
      </c>
      <c r="CR700" s="128">
        <f>IFERROR(if($AC700=0,($W700/0.74)*BG700,
BG700*$AC700),)</f>
        <v/>
      </c>
      <c r="CS700" s="128">
        <f>IFERROR(if($AC700=0,($W700/0.74)*BH700,
BH700*$AC700),)</f>
        <v/>
      </c>
      <c r="CT700" s="128">
        <f>IFERROR(if($AC700=0,($W700/0.74)*BI700,
BI700*$AC700),)</f>
        <v/>
      </c>
      <c r="CU700" s="128">
        <f>IFERROR(AI700*$V700,)</f>
        <v/>
      </c>
      <c r="CV700" s="128">
        <f>IFERROR(AJ700*$V700,)</f>
        <v/>
      </c>
      <c r="CW700" s="128">
        <f>IFERROR(AK700*$V700,)</f>
        <v/>
      </c>
      <c r="CX700" s="128">
        <f>IFERROR(AL700*$V700,)</f>
        <v/>
      </c>
      <c r="CY700" s="128">
        <f>IFERROR(AM700*$V700,)</f>
        <v/>
      </c>
      <c r="CZ700" s="128">
        <f>IFERROR(AN700*$V700,)</f>
        <v/>
      </c>
      <c r="DA700" s="128">
        <f>IFERROR(AO700*$V700,)</f>
        <v/>
      </c>
      <c r="DB700" s="128">
        <f>IFERROR(AP700*$V700,)</f>
        <v/>
      </c>
      <c r="DC700" s="128">
        <f>IFERROR(AQ700*$V700,)</f>
        <v/>
      </c>
      <c r="DD700" s="128">
        <f>IFERROR(AR700*$V700,)</f>
        <v/>
      </c>
      <c r="DE700" s="128">
        <f>IFERROR(AS700*$V700,)</f>
        <v/>
      </c>
      <c r="DF700" s="128">
        <f>IFERROR(AT700*$V700,)</f>
        <v/>
      </c>
      <c r="DG700" s="128">
        <f>IFERROR(AU700*$V700,)</f>
        <v/>
      </c>
      <c r="DH700" s="128">
        <f>IFERROR(AV700*$V700,)</f>
        <v/>
      </c>
      <c r="DI700" s="128">
        <f>IFERROR(AW700*$V700,)</f>
        <v/>
      </c>
      <c r="DJ700" s="128">
        <f>IFERROR(AX700*$V700,)</f>
        <v/>
      </c>
      <c r="DK700" s="128">
        <f>IFERROR(AY700*$V700,)</f>
        <v/>
      </c>
      <c r="DL700" s="128">
        <f>IFERROR(AZ700*$V700,)</f>
        <v/>
      </c>
      <c r="DM700" s="129">
        <f>IFERROR(if($X700=0,($V700/1.2)*BA700,
BA700*$X700),)</f>
        <v/>
      </c>
      <c r="DN700" s="129">
        <f>IFERROR(if($X700=0,($V700/1.2)*BB700,
BB700*$X700),)</f>
        <v/>
      </c>
      <c r="DO700" s="129">
        <f>IFERROR(if($X700=0,($V700/1.2)*BC700,
BC700*$X700),)</f>
        <v/>
      </c>
      <c r="DP700" s="130">
        <f>IFERROR(if($Z700=0,($V700/1.35)*BD700,
BD700*$Z700),)</f>
        <v/>
      </c>
      <c r="DQ700" s="130">
        <f>IFERROR(if($Z700=0,($V700/1.35)*BE700,
BE700*$Z700),)</f>
        <v/>
      </c>
      <c r="DR700" s="130">
        <f>IFERROR(if($Z700=0,($V700/1.35)*BF700,
BF700*$Z700),)</f>
        <v/>
      </c>
      <c r="DS700" s="128">
        <f>IFERROR(IF($AB700=0,($V700/0.74)*BG700,
BG700*$AB700),)</f>
        <v/>
      </c>
      <c r="DT700" s="128">
        <f>IFERROR(IF($AB700=0,($V700/0.74)*BH700,
BH700*$AB700),)</f>
        <v/>
      </c>
      <c r="DU700" s="128">
        <f>IFERROR(IF($AB700=0,($V700/0.74)*BI700,
BI700*$AB700),)</f>
        <v/>
      </c>
    </row>
    <row r="701" ht="131.25" customHeight="1" s="162">
      <c r="A701" s="115" t="n"/>
      <c r="B701" s="115" t="n"/>
      <c r="C701" s="115" t="n"/>
      <c r="D701" s="115" t="n"/>
      <c r="E701" s="115" t="n"/>
      <c r="F701" s="115" t="n"/>
      <c r="G701" s="115" t="n"/>
      <c r="H701" s="115" t="n"/>
      <c r="I701" s="115" t="n"/>
      <c r="J701" s="115" t="n"/>
      <c r="K701" s="115" t="n"/>
      <c r="L701" s="115" t="n"/>
      <c r="M701" s="115" t="n"/>
      <c r="N701" s="115" t="n"/>
      <c r="O701" s="115" t="n"/>
      <c r="P701" s="115" t="n"/>
      <c r="Q701" s="115" t="n"/>
      <c r="R701" s="115" t="n"/>
      <c r="S701" s="115" t="n"/>
      <c r="T701" s="115" t="n"/>
      <c r="U701" s="116" t="n"/>
      <c r="V701" s="116" t="n"/>
      <c r="W701" s="117" t="n"/>
      <c r="X701" s="118" t="n"/>
      <c r="Y701" s="119" t="n"/>
      <c r="Z701" s="120" t="n"/>
      <c r="AA701" s="121" t="n"/>
      <c r="AB701" s="122" t="n"/>
      <c r="AC701" s="117" t="n"/>
      <c r="AD701" s="123">
        <f>IF(SUM($AE701:$AH701)=0,"",SUM($AE701:$AH701))</f>
        <v/>
      </c>
      <c r="AE701" s="123">
        <f>iferror(IF(SUM($AI701:$AZ701)=0,"",SUM($AI701:$AZ701)),"")</f>
        <v/>
      </c>
      <c r="AF701" s="123">
        <f>iferror(IF(SUM($BA701:$BC701)=0,"",SUM($BA701:$BC701)),"")</f>
        <v/>
      </c>
      <c r="AG701" s="123">
        <f>iferror(IF(SUM($BD701:$BF701)=0,"",SUM($BD701:$BF701)),"")</f>
        <v/>
      </c>
      <c r="AH701" s="124">
        <f>iferror(IF(SUM($BG701:$BI701)=0,"",SUM($BG701:$BI701)),"")</f>
        <v/>
      </c>
      <c r="AI701" s="131" t="n"/>
      <c r="AJ701" s="132" t="n"/>
      <c r="AK701" s="132" t="n"/>
      <c r="AL701" s="132" t="n"/>
      <c r="AM701" s="132" t="n"/>
      <c r="AN701" s="132" t="n"/>
      <c r="AO701" s="132" t="n"/>
      <c r="AP701" s="132" t="n"/>
      <c r="AQ701" s="132" t="n"/>
      <c r="AR701" s="132" t="n"/>
      <c r="AS701" s="132" t="n"/>
      <c r="AT701" s="132" t="n"/>
      <c r="AU701" s="132" t="n"/>
      <c r="AV701" s="132" t="n"/>
      <c r="AW701" s="132" t="n"/>
      <c r="AX701" s="132" t="n"/>
      <c r="AY701" s="132" t="n"/>
      <c r="AZ701" s="133" t="n"/>
      <c r="BA701" s="131" t="n"/>
      <c r="BB701" s="132" t="n"/>
      <c r="BC701" s="133" t="n"/>
      <c r="BD701" s="131" t="n"/>
      <c r="BE701" s="132" t="n"/>
      <c r="BF701" s="133" t="n"/>
      <c r="BG701" s="131" t="n"/>
      <c r="BH701" s="132" t="n"/>
      <c r="BI701" s="132" t="n"/>
      <c r="BJ701" s="128">
        <f>iferror(SUM($BK701,($BL701*1.2),($BM701*1.35),($BN701*0.74)),)</f>
        <v/>
      </c>
      <c r="BK701" s="128">
        <f>IFERROR(SUM($BT701:$CK701),)</f>
        <v/>
      </c>
      <c r="BL701" s="129">
        <f>IFERROR(SUM($CL701:$CN701),)</f>
        <v/>
      </c>
      <c r="BM701" s="130">
        <f>IFERROR(SUM($CO701:$CQ701),)</f>
        <v/>
      </c>
      <c r="BN701" s="128">
        <f>IFERROR(SUM($CR701:$CT701),)</f>
        <v/>
      </c>
      <c r="BO701" s="128">
        <f>iferror(SUM($BP701,($BQ701*1.2),($BR701*1.35),($BS701*0.74)),)</f>
        <v/>
      </c>
      <c r="BP701" s="128">
        <f>IFERROR(SUM($CU701:$DL701),)</f>
        <v/>
      </c>
      <c r="BQ701" s="128">
        <f>IFERROR(SUM($DM701:$DO701),)</f>
        <v/>
      </c>
      <c r="BR701" s="128">
        <f>IFERROR(SUM($DP701:$DR701),)</f>
        <v/>
      </c>
      <c r="BS701" s="128">
        <f>IFERROR(SUM($DS701:$DU701),)</f>
        <v/>
      </c>
      <c r="BT701" s="128">
        <f>IFERROR(AI701*$W701,)</f>
        <v/>
      </c>
      <c r="BU701" s="128">
        <f>IFERROR(AJ701*$W701,)</f>
        <v/>
      </c>
      <c r="BV701" s="128">
        <f>IFERROR(AK701*$W701,)</f>
        <v/>
      </c>
      <c r="BW701" s="128">
        <f>IFERROR(AL701*$W701,)</f>
        <v/>
      </c>
      <c r="BX701" s="128">
        <f>IFERROR(AM701*$W701,)</f>
        <v/>
      </c>
      <c r="BY701" s="128">
        <f>IFERROR(AN701*$W701,)</f>
        <v/>
      </c>
      <c r="BZ701" s="128">
        <f>IFERROR(AO701*$W701,)</f>
        <v/>
      </c>
      <c r="CA701" s="128">
        <f>IFERROR(AP701*$W701,)</f>
        <v/>
      </c>
      <c r="CB701" s="128">
        <f>IFERROR(AQ701*$W701,)</f>
        <v/>
      </c>
      <c r="CC701" s="128">
        <f>IFERROR(AR701*$W701,)</f>
        <v/>
      </c>
      <c r="CD701" s="128">
        <f>IFERROR(AS701*$W701,)</f>
        <v/>
      </c>
      <c r="CE701" s="128">
        <f>IFERROR(AT701*$W701,)</f>
        <v/>
      </c>
      <c r="CF701" s="128">
        <f>IFERROR(AU701*$W701,)</f>
        <v/>
      </c>
      <c r="CG701" s="128">
        <f>IFERROR(AV701*$W701,)</f>
        <v/>
      </c>
      <c r="CH701" s="128">
        <f>IFERROR(AW701*$W701,)</f>
        <v/>
      </c>
      <c r="CI701" s="128">
        <f>IFERROR(AX701*$W701,)</f>
        <v/>
      </c>
      <c r="CJ701" s="128">
        <f>IFERROR(AY701*$W701,)</f>
        <v/>
      </c>
      <c r="CK701" s="128">
        <f>IFERROR(AZ701*$W701,)</f>
        <v/>
      </c>
      <c r="CL701" s="129">
        <f>IFERROR(if($Y701=0,BA701*($W701/1.2),BA701*$Y701),"")</f>
        <v/>
      </c>
      <c r="CM701" s="129">
        <f>IFERROR(if($Y701=0,BB701*($W701/1.2),BB701*$Y701),"")</f>
        <v/>
      </c>
      <c r="CN701" s="129">
        <f>IFERROR(if($Y701=0,BC701*($W701/1.2),BC701*$Y701),"")</f>
        <v/>
      </c>
      <c r="CO701" s="130">
        <f>IFERROR(if($AA701=0,($W701/1.35)*BD701,BD701*$AA701),)</f>
        <v/>
      </c>
      <c r="CP701" s="130">
        <f>IFERROR(if($AA701=0,($W701/1.35)*BE701,BE701*$AA701),)</f>
        <v/>
      </c>
      <c r="CQ701" s="130">
        <f>IFERROR(if($AA701=0,($W701/1.35)*BF701,BF701*$AA701),)</f>
        <v/>
      </c>
      <c r="CR701" s="128">
        <f>IFERROR(if($AC701=0,($W701/0.74)*BG701,
BG701*$AC701),)</f>
        <v/>
      </c>
      <c r="CS701" s="128">
        <f>IFERROR(if($AC701=0,($W701/0.74)*BH701,
BH701*$AC701),)</f>
        <v/>
      </c>
      <c r="CT701" s="128">
        <f>IFERROR(if($AC701=0,($W701/0.74)*BI701,
BI701*$AC701),)</f>
        <v/>
      </c>
      <c r="CU701" s="128">
        <f>IFERROR(AI701*$V701,)</f>
        <v/>
      </c>
      <c r="CV701" s="128">
        <f>IFERROR(AJ701*$V701,)</f>
        <v/>
      </c>
      <c r="CW701" s="128">
        <f>IFERROR(AK701*$V701,)</f>
        <v/>
      </c>
      <c r="CX701" s="128">
        <f>IFERROR(AL701*$V701,)</f>
        <v/>
      </c>
      <c r="CY701" s="128">
        <f>IFERROR(AM701*$V701,)</f>
        <v/>
      </c>
      <c r="CZ701" s="128">
        <f>IFERROR(AN701*$V701,)</f>
        <v/>
      </c>
      <c r="DA701" s="128">
        <f>IFERROR(AO701*$V701,)</f>
        <v/>
      </c>
      <c r="DB701" s="128">
        <f>IFERROR(AP701*$V701,)</f>
        <v/>
      </c>
      <c r="DC701" s="128">
        <f>IFERROR(AQ701*$V701,)</f>
        <v/>
      </c>
      <c r="DD701" s="128">
        <f>IFERROR(AR701*$V701,)</f>
        <v/>
      </c>
      <c r="DE701" s="128">
        <f>IFERROR(AS701*$V701,)</f>
        <v/>
      </c>
      <c r="DF701" s="128">
        <f>IFERROR(AT701*$V701,)</f>
        <v/>
      </c>
      <c r="DG701" s="128">
        <f>IFERROR(AU701*$V701,)</f>
        <v/>
      </c>
      <c r="DH701" s="128">
        <f>IFERROR(AV701*$V701,)</f>
        <v/>
      </c>
      <c r="DI701" s="128">
        <f>IFERROR(AW701*$V701,)</f>
        <v/>
      </c>
      <c r="DJ701" s="128">
        <f>IFERROR(AX701*$V701,)</f>
        <v/>
      </c>
      <c r="DK701" s="128">
        <f>IFERROR(AY701*$V701,)</f>
        <v/>
      </c>
      <c r="DL701" s="128">
        <f>IFERROR(AZ701*$V701,)</f>
        <v/>
      </c>
      <c r="DM701" s="129">
        <f>IFERROR(if($X701=0,($V701/1.2)*BA701,
BA701*$X701),)</f>
        <v/>
      </c>
      <c r="DN701" s="129">
        <f>IFERROR(if($X701=0,($V701/1.2)*BB701,
BB701*$X701),)</f>
        <v/>
      </c>
      <c r="DO701" s="129">
        <f>IFERROR(if($X701=0,($V701/1.2)*BC701,
BC701*$X701),)</f>
        <v/>
      </c>
      <c r="DP701" s="130">
        <f>IFERROR(if($Z701=0,($V701/1.35)*BD701,
BD701*$Z701),)</f>
        <v/>
      </c>
      <c r="DQ701" s="130">
        <f>IFERROR(if($Z701=0,($V701/1.35)*BE701,
BE701*$Z701),)</f>
        <v/>
      </c>
      <c r="DR701" s="130">
        <f>IFERROR(if($Z701=0,($V701/1.35)*BF701,
BF701*$Z701),)</f>
        <v/>
      </c>
      <c r="DS701" s="128">
        <f>IFERROR(IF($AB701=0,($V701/0.74)*BG701,
BG701*$AB701),)</f>
        <v/>
      </c>
      <c r="DT701" s="128">
        <f>IFERROR(IF($AB701=0,($V701/0.74)*BH701,
BH701*$AB701),)</f>
        <v/>
      </c>
      <c r="DU701" s="128">
        <f>IFERROR(IF($AB701=0,($V701/0.74)*BI701,
BI701*$AB701),)</f>
        <v/>
      </c>
    </row>
    <row r="702" ht="131.25" customHeight="1" s="162">
      <c r="A702" s="115" t="n"/>
      <c r="B702" s="115" t="n"/>
      <c r="C702" s="115" t="n"/>
      <c r="D702" s="115" t="n"/>
      <c r="E702" s="115" t="n"/>
      <c r="F702" s="115" t="n"/>
      <c r="G702" s="115" t="n"/>
      <c r="H702" s="115" t="n"/>
      <c r="I702" s="115" t="n"/>
      <c r="J702" s="115" t="n"/>
      <c r="K702" s="115" t="n"/>
      <c r="L702" s="115" t="n"/>
      <c r="M702" s="115" t="n"/>
      <c r="N702" s="115" t="n"/>
      <c r="O702" s="115" t="n"/>
      <c r="P702" s="115" t="n"/>
      <c r="Q702" s="115" t="n"/>
      <c r="R702" s="115" t="n"/>
      <c r="S702" s="115" t="n"/>
      <c r="T702" s="115" t="n"/>
      <c r="U702" s="116" t="n"/>
      <c r="V702" s="116" t="n"/>
      <c r="W702" s="117" t="n"/>
      <c r="X702" s="118" t="n"/>
      <c r="Y702" s="119" t="n"/>
      <c r="Z702" s="120" t="n"/>
      <c r="AA702" s="121" t="n"/>
      <c r="AB702" s="122" t="n"/>
      <c r="AC702" s="117" t="n"/>
      <c r="AD702" s="123">
        <f>IF(SUM($AE702:$AH702)=0,"",SUM($AE702:$AH702))</f>
        <v/>
      </c>
      <c r="AE702" s="123">
        <f>iferror(IF(SUM($AI702:$AZ702)=0,"",SUM($AI702:$AZ702)),"")</f>
        <v/>
      </c>
      <c r="AF702" s="123">
        <f>iferror(IF(SUM($BA702:$BC702)=0,"",SUM($BA702:$BC702)),"")</f>
        <v/>
      </c>
      <c r="AG702" s="123">
        <f>iferror(IF(SUM($BD702:$BF702)=0,"",SUM($BD702:$BF702)),"")</f>
        <v/>
      </c>
      <c r="AH702" s="124">
        <f>iferror(IF(SUM($BG702:$BI702)=0,"",SUM($BG702:$BI702)),"")</f>
        <v/>
      </c>
      <c r="AI702" s="131" t="n"/>
      <c r="AJ702" s="132" t="n"/>
      <c r="AK702" s="132" t="n"/>
      <c r="AL702" s="132" t="n"/>
      <c r="AM702" s="132" t="n"/>
      <c r="AN702" s="132" t="n"/>
      <c r="AO702" s="132" t="n"/>
      <c r="AP702" s="132" t="n"/>
      <c r="AQ702" s="132" t="n"/>
      <c r="AR702" s="132" t="n"/>
      <c r="AS702" s="132" t="n"/>
      <c r="AT702" s="132" t="n"/>
      <c r="AU702" s="132" t="n"/>
      <c r="AV702" s="132" t="n"/>
      <c r="AW702" s="132" t="n"/>
      <c r="AX702" s="132" t="n"/>
      <c r="AY702" s="132" t="n"/>
      <c r="AZ702" s="133" t="n"/>
      <c r="BA702" s="131" t="n"/>
      <c r="BB702" s="132" t="n"/>
      <c r="BC702" s="133" t="n"/>
      <c r="BD702" s="131" t="n"/>
      <c r="BE702" s="132" t="n"/>
      <c r="BF702" s="133" t="n"/>
      <c r="BG702" s="131" t="n"/>
      <c r="BH702" s="132" t="n"/>
      <c r="BI702" s="132" t="n"/>
      <c r="BJ702" s="128">
        <f>iferror(SUM($BK702,($BL702*1.2),($BM702*1.35),($BN702*0.74)),)</f>
        <v/>
      </c>
      <c r="BK702" s="128">
        <f>IFERROR(SUM($BT702:$CK702),)</f>
        <v/>
      </c>
      <c r="BL702" s="129">
        <f>IFERROR(SUM($CL702:$CN702),)</f>
        <v/>
      </c>
      <c r="BM702" s="130">
        <f>IFERROR(SUM($CO702:$CQ702),)</f>
        <v/>
      </c>
      <c r="BN702" s="128">
        <f>IFERROR(SUM($CR702:$CT702),)</f>
        <v/>
      </c>
      <c r="BO702" s="128">
        <f>iferror(SUM($BP702,($BQ702*1.2),($BR702*1.35),($BS702*0.74)),)</f>
        <v/>
      </c>
      <c r="BP702" s="128">
        <f>IFERROR(SUM($CU702:$DL702),)</f>
        <v/>
      </c>
      <c r="BQ702" s="128">
        <f>IFERROR(SUM($DM702:$DO702),)</f>
        <v/>
      </c>
      <c r="BR702" s="128">
        <f>IFERROR(SUM($DP702:$DR702),)</f>
        <v/>
      </c>
      <c r="BS702" s="128">
        <f>IFERROR(SUM($DS702:$DU702),)</f>
        <v/>
      </c>
      <c r="BT702" s="128">
        <f>IFERROR(AI702*$W702,)</f>
        <v/>
      </c>
      <c r="BU702" s="128">
        <f>IFERROR(AJ702*$W702,)</f>
        <v/>
      </c>
      <c r="BV702" s="128">
        <f>IFERROR(AK702*$W702,)</f>
        <v/>
      </c>
      <c r="BW702" s="128">
        <f>IFERROR(AL702*$W702,)</f>
        <v/>
      </c>
      <c r="BX702" s="128">
        <f>IFERROR(AM702*$W702,)</f>
        <v/>
      </c>
      <c r="BY702" s="128">
        <f>IFERROR(AN702*$W702,)</f>
        <v/>
      </c>
      <c r="BZ702" s="128">
        <f>IFERROR(AO702*$W702,)</f>
        <v/>
      </c>
      <c r="CA702" s="128">
        <f>IFERROR(AP702*$W702,)</f>
        <v/>
      </c>
      <c r="CB702" s="128">
        <f>IFERROR(AQ702*$W702,)</f>
        <v/>
      </c>
      <c r="CC702" s="128">
        <f>IFERROR(AR702*$W702,)</f>
        <v/>
      </c>
      <c r="CD702" s="128">
        <f>IFERROR(AS702*$W702,)</f>
        <v/>
      </c>
      <c r="CE702" s="128">
        <f>IFERROR(AT702*$W702,)</f>
        <v/>
      </c>
      <c r="CF702" s="128">
        <f>IFERROR(AU702*$W702,)</f>
        <v/>
      </c>
      <c r="CG702" s="128">
        <f>IFERROR(AV702*$W702,)</f>
        <v/>
      </c>
      <c r="CH702" s="128">
        <f>IFERROR(AW702*$W702,)</f>
        <v/>
      </c>
      <c r="CI702" s="128">
        <f>IFERROR(AX702*$W702,)</f>
        <v/>
      </c>
      <c r="CJ702" s="128">
        <f>IFERROR(AY702*$W702,)</f>
        <v/>
      </c>
      <c r="CK702" s="128">
        <f>IFERROR(AZ702*$W702,)</f>
        <v/>
      </c>
      <c r="CL702" s="129">
        <f>IFERROR(if($Y702=0,BA702*($W702/1.2),BA702*$Y702),"")</f>
        <v/>
      </c>
      <c r="CM702" s="129">
        <f>IFERROR(if($Y702=0,BB702*($W702/1.2),BB702*$Y702),"")</f>
        <v/>
      </c>
      <c r="CN702" s="129">
        <f>IFERROR(if($Y702=0,BC702*($W702/1.2),BC702*$Y702),"")</f>
        <v/>
      </c>
      <c r="CO702" s="130">
        <f>IFERROR(if($AA702=0,($W702/1.35)*BD702,BD702*$AA702),)</f>
        <v/>
      </c>
      <c r="CP702" s="130">
        <f>IFERROR(if($AA702=0,($W702/1.35)*BE702,BE702*$AA702),)</f>
        <v/>
      </c>
      <c r="CQ702" s="130">
        <f>IFERROR(if($AA702=0,($W702/1.35)*BF702,BF702*$AA702),)</f>
        <v/>
      </c>
      <c r="CR702" s="128">
        <f>IFERROR(if($AC702=0,($W702/0.74)*BG702,
BG702*$AC702),)</f>
        <v/>
      </c>
      <c r="CS702" s="128">
        <f>IFERROR(if($AC702=0,($W702/0.74)*BH702,
BH702*$AC702),)</f>
        <v/>
      </c>
      <c r="CT702" s="128">
        <f>IFERROR(if($AC702=0,($W702/0.74)*BI702,
BI702*$AC702),)</f>
        <v/>
      </c>
      <c r="CU702" s="128">
        <f>IFERROR(AI702*$V702,)</f>
        <v/>
      </c>
      <c r="CV702" s="128">
        <f>IFERROR(AJ702*$V702,)</f>
        <v/>
      </c>
      <c r="CW702" s="128">
        <f>IFERROR(AK702*$V702,)</f>
        <v/>
      </c>
      <c r="CX702" s="128">
        <f>IFERROR(AL702*$V702,)</f>
        <v/>
      </c>
      <c r="CY702" s="128">
        <f>IFERROR(AM702*$V702,)</f>
        <v/>
      </c>
      <c r="CZ702" s="128">
        <f>IFERROR(AN702*$V702,)</f>
        <v/>
      </c>
      <c r="DA702" s="128">
        <f>IFERROR(AO702*$V702,)</f>
        <v/>
      </c>
      <c r="DB702" s="128">
        <f>IFERROR(AP702*$V702,)</f>
        <v/>
      </c>
      <c r="DC702" s="128">
        <f>IFERROR(AQ702*$V702,)</f>
        <v/>
      </c>
      <c r="DD702" s="128">
        <f>IFERROR(AR702*$V702,)</f>
        <v/>
      </c>
      <c r="DE702" s="128">
        <f>IFERROR(AS702*$V702,)</f>
        <v/>
      </c>
      <c r="DF702" s="128">
        <f>IFERROR(AT702*$V702,)</f>
        <v/>
      </c>
      <c r="DG702" s="128">
        <f>IFERROR(AU702*$V702,)</f>
        <v/>
      </c>
      <c r="DH702" s="128">
        <f>IFERROR(AV702*$V702,)</f>
        <v/>
      </c>
      <c r="DI702" s="128">
        <f>IFERROR(AW702*$V702,)</f>
        <v/>
      </c>
      <c r="DJ702" s="128">
        <f>IFERROR(AX702*$V702,)</f>
        <v/>
      </c>
      <c r="DK702" s="128">
        <f>IFERROR(AY702*$V702,)</f>
        <v/>
      </c>
      <c r="DL702" s="128">
        <f>IFERROR(AZ702*$V702,)</f>
        <v/>
      </c>
      <c r="DM702" s="129">
        <f>IFERROR(if($X702=0,($V702/1.2)*BA702,
BA702*$X702),)</f>
        <v/>
      </c>
      <c r="DN702" s="129">
        <f>IFERROR(if($X702=0,($V702/1.2)*BB702,
BB702*$X702),)</f>
        <v/>
      </c>
      <c r="DO702" s="129">
        <f>IFERROR(if($X702=0,($V702/1.2)*BC702,
BC702*$X702),)</f>
        <v/>
      </c>
      <c r="DP702" s="130">
        <f>IFERROR(if($Z702=0,($V702/1.35)*BD702,
BD702*$Z702),)</f>
        <v/>
      </c>
      <c r="DQ702" s="130">
        <f>IFERROR(if($Z702=0,($V702/1.35)*BE702,
BE702*$Z702),)</f>
        <v/>
      </c>
      <c r="DR702" s="130">
        <f>IFERROR(if($Z702=0,($V702/1.35)*BF702,
BF702*$Z702),)</f>
        <v/>
      </c>
      <c r="DS702" s="128">
        <f>IFERROR(IF($AB702=0,($V702/0.74)*BG702,
BG702*$AB702),)</f>
        <v/>
      </c>
      <c r="DT702" s="128">
        <f>IFERROR(IF($AB702=0,($V702/0.74)*BH702,
BH702*$AB702),)</f>
        <v/>
      </c>
      <c r="DU702" s="128">
        <f>IFERROR(IF($AB702=0,($V702/0.74)*BI702,
BI702*$AB702),)</f>
        <v/>
      </c>
    </row>
    <row r="703" ht="131.25" customHeight="1" s="162">
      <c r="A703" s="115" t="n"/>
      <c r="B703" s="115" t="n"/>
      <c r="C703" s="115" t="n"/>
      <c r="D703" s="115" t="n"/>
      <c r="E703" s="115" t="n"/>
      <c r="F703" s="115" t="n"/>
      <c r="G703" s="115" t="n"/>
      <c r="H703" s="115" t="n"/>
      <c r="I703" s="115" t="n"/>
      <c r="J703" s="115" t="n"/>
      <c r="K703" s="115" t="n"/>
      <c r="L703" s="115" t="n"/>
      <c r="M703" s="115" t="n"/>
      <c r="N703" s="115" t="n"/>
      <c r="O703" s="115" t="n"/>
      <c r="P703" s="115" t="n"/>
      <c r="Q703" s="115" t="n"/>
      <c r="R703" s="115" t="n"/>
      <c r="S703" s="115" t="n"/>
      <c r="T703" s="115" t="n"/>
      <c r="U703" s="116" t="n"/>
      <c r="V703" s="116" t="n"/>
      <c r="W703" s="117" t="n"/>
      <c r="X703" s="118" t="n"/>
      <c r="Y703" s="119" t="n"/>
      <c r="Z703" s="120" t="n"/>
      <c r="AA703" s="121" t="n"/>
      <c r="AB703" s="122" t="n"/>
      <c r="AC703" s="117" t="n"/>
      <c r="AD703" s="123">
        <f>IF(SUM($AE703:$AH703)=0,"",SUM($AE703:$AH703))</f>
        <v/>
      </c>
      <c r="AE703" s="123">
        <f>iferror(IF(SUM($AI703:$AZ703)=0,"",SUM($AI703:$AZ703)),"")</f>
        <v/>
      </c>
      <c r="AF703" s="123">
        <f>iferror(IF(SUM($BA703:$BC703)=0,"",SUM($BA703:$BC703)),"")</f>
        <v/>
      </c>
      <c r="AG703" s="123">
        <f>iferror(IF(SUM($BD703:$BF703)=0,"",SUM($BD703:$BF703)),"")</f>
        <v/>
      </c>
      <c r="AH703" s="124">
        <f>iferror(IF(SUM($BG703:$BI703)=0,"",SUM($BG703:$BI703)),"")</f>
        <v/>
      </c>
      <c r="AI703" s="131" t="n"/>
      <c r="AJ703" s="132" t="n"/>
      <c r="AK703" s="132" t="n"/>
      <c r="AL703" s="132" t="n"/>
      <c r="AM703" s="132" t="n"/>
      <c r="AN703" s="132" t="n"/>
      <c r="AO703" s="132" t="n"/>
      <c r="AP703" s="132" t="n"/>
      <c r="AQ703" s="132" t="n"/>
      <c r="AR703" s="132" t="n"/>
      <c r="AS703" s="132" t="n"/>
      <c r="AT703" s="132" t="n"/>
      <c r="AU703" s="132" t="n"/>
      <c r="AV703" s="132" t="n"/>
      <c r="AW703" s="132" t="n"/>
      <c r="AX703" s="132" t="n"/>
      <c r="AY703" s="132" t="n"/>
      <c r="AZ703" s="133" t="n"/>
      <c r="BA703" s="131" t="n"/>
      <c r="BB703" s="132" t="n"/>
      <c r="BC703" s="133" t="n"/>
      <c r="BD703" s="131" t="n"/>
      <c r="BE703" s="132" t="n"/>
      <c r="BF703" s="133" t="n"/>
      <c r="BG703" s="131" t="n"/>
      <c r="BH703" s="132" t="n"/>
      <c r="BI703" s="132" t="n"/>
      <c r="BJ703" s="128">
        <f>iferror(SUM($BK703,($BL703*1.2),($BM703*1.35),($BN703*0.74)),)</f>
        <v/>
      </c>
      <c r="BK703" s="128">
        <f>IFERROR(SUM($BT703:$CK703),)</f>
        <v/>
      </c>
      <c r="BL703" s="129">
        <f>IFERROR(SUM($CL703:$CN703),)</f>
        <v/>
      </c>
      <c r="BM703" s="130">
        <f>IFERROR(SUM($CO703:$CQ703),)</f>
        <v/>
      </c>
      <c r="BN703" s="128">
        <f>IFERROR(SUM($CR703:$CT703),)</f>
        <v/>
      </c>
      <c r="BO703" s="128">
        <f>iferror(SUM($BP703,($BQ703*1.2),($BR703*1.35),($BS703*0.74)),)</f>
        <v/>
      </c>
      <c r="BP703" s="128">
        <f>IFERROR(SUM($CU703:$DL703),)</f>
        <v/>
      </c>
      <c r="BQ703" s="128">
        <f>IFERROR(SUM($DM703:$DO703),)</f>
        <v/>
      </c>
      <c r="BR703" s="128">
        <f>IFERROR(SUM($DP703:$DR703),)</f>
        <v/>
      </c>
      <c r="BS703" s="128">
        <f>IFERROR(SUM($DS703:$DU703),)</f>
        <v/>
      </c>
      <c r="BT703" s="128">
        <f>IFERROR(AI703*$W703,)</f>
        <v/>
      </c>
      <c r="BU703" s="128">
        <f>IFERROR(AJ703*$W703,)</f>
        <v/>
      </c>
      <c r="BV703" s="128">
        <f>IFERROR(AK703*$W703,)</f>
        <v/>
      </c>
      <c r="BW703" s="128">
        <f>IFERROR(AL703*$W703,)</f>
        <v/>
      </c>
      <c r="BX703" s="128">
        <f>IFERROR(AM703*$W703,)</f>
        <v/>
      </c>
      <c r="BY703" s="128">
        <f>IFERROR(AN703*$W703,)</f>
        <v/>
      </c>
      <c r="BZ703" s="128">
        <f>IFERROR(AO703*$W703,)</f>
        <v/>
      </c>
      <c r="CA703" s="128">
        <f>IFERROR(AP703*$W703,)</f>
        <v/>
      </c>
      <c r="CB703" s="128">
        <f>IFERROR(AQ703*$W703,)</f>
        <v/>
      </c>
      <c r="CC703" s="128">
        <f>IFERROR(AR703*$W703,)</f>
        <v/>
      </c>
      <c r="CD703" s="128">
        <f>IFERROR(AS703*$W703,)</f>
        <v/>
      </c>
      <c r="CE703" s="128">
        <f>IFERROR(AT703*$W703,)</f>
        <v/>
      </c>
      <c r="CF703" s="128">
        <f>IFERROR(AU703*$W703,)</f>
        <v/>
      </c>
      <c r="CG703" s="128">
        <f>IFERROR(AV703*$W703,)</f>
        <v/>
      </c>
      <c r="CH703" s="128">
        <f>IFERROR(AW703*$W703,)</f>
        <v/>
      </c>
      <c r="CI703" s="128">
        <f>IFERROR(AX703*$W703,)</f>
        <v/>
      </c>
      <c r="CJ703" s="128">
        <f>IFERROR(AY703*$W703,)</f>
        <v/>
      </c>
      <c r="CK703" s="128">
        <f>IFERROR(AZ703*$W703,)</f>
        <v/>
      </c>
      <c r="CL703" s="129">
        <f>IFERROR(if($Y703=0,BA703*($W703/1.2),BA703*$Y703),"")</f>
        <v/>
      </c>
      <c r="CM703" s="129">
        <f>IFERROR(if($Y703=0,BB703*($W703/1.2),BB703*$Y703),"")</f>
        <v/>
      </c>
      <c r="CN703" s="129">
        <f>IFERROR(if($Y703=0,BC703*($W703/1.2),BC703*$Y703),"")</f>
        <v/>
      </c>
      <c r="CO703" s="130">
        <f>IFERROR(if($AA703=0,($W703/1.35)*BD703,BD703*$AA703),)</f>
        <v/>
      </c>
      <c r="CP703" s="130">
        <f>IFERROR(if($AA703=0,($W703/1.35)*BE703,BE703*$AA703),)</f>
        <v/>
      </c>
      <c r="CQ703" s="130">
        <f>IFERROR(if($AA703=0,($W703/1.35)*BF703,BF703*$AA703),)</f>
        <v/>
      </c>
      <c r="CR703" s="128">
        <f>IFERROR(if($AC703=0,($W703/0.74)*BG703,
BG703*$AC703),)</f>
        <v/>
      </c>
      <c r="CS703" s="128">
        <f>IFERROR(if($AC703=0,($W703/0.74)*BH703,
BH703*$AC703),)</f>
        <v/>
      </c>
      <c r="CT703" s="128">
        <f>IFERROR(if($AC703=0,($W703/0.74)*BI703,
BI703*$AC703),)</f>
        <v/>
      </c>
      <c r="CU703" s="128">
        <f>IFERROR(AI703*$V703,)</f>
        <v/>
      </c>
      <c r="CV703" s="128">
        <f>IFERROR(AJ703*$V703,)</f>
        <v/>
      </c>
      <c r="CW703" s="128">
        <f>IFERROR(AK703*$V703,)</f>
        <v/>
      </c>
      <c r="CX703" s="128">
        <f>IFERROR(AL703*$V703,)</f>
        <v/>
      </c>
      <c r="CY703" s="128">
        <f>IFERROR(AM703*$V703,)</f>
        <v/>
      </c>
      <c r="CZ703" s="128">
        <f>IFERROR(AN703*$V703,)</f>
        <v/>
      </c>
      <c r="DA703" s="128">
        <f>IFERROR(AO703*$V703,)</f>
        <v/>
      </c>
      <c r="DB703" s="128">
        <f>IFERROR(AP703*$V703,)</f>
        <v/>
      </c>
      <c r="DC703" s="128">
        <f>IFERROR(AQ703*$V703,)</f>
        <v/>
      </c>
      <c r="DD703" s="128">
        <f>IFERROR(AR703*$V703,)</f>
        <v/>
      </c>
      <c r="DE703" s="128">
        <f>IFERROR(AS703*$V703,)</f>
        <v/>
      </c>
      <c r="DF703" s="128">
        <f>IFERROR(AT703*$V703,)</f>
        <v/>
      </c>
      <c r="DG703" s="128">
        <f>IFERROR(AU703*$V703,)</f>
        <v/>
      </c>
      <c r="DH703" s="128">
        <f>IFERROR(AV703*$V703,)</f>
        <v/>
      </c>
      <c r="DI703" s="128">
        <f>IFERROR(AW703*$V703,)</f>
        <v/>
      </c>
      <c r="DJ703" s="128">
        <f>IFERROR(AX703*$V703,)</f>
        <v/>
      </c>
      <c r="DK703" s="128">
        <f>IFERROR(AY703*$V703,)</f>
        <v/>
      </c>
      <c r="DL703" s="128">
        <f>IFERROR(AZ703*$V703,)</f>
        <v/>
      </c>
      <c r="DM703" s="129">
        <f>IFERROR(if($X703=0,($V703/1.2)*BA703,
BA703*$X703),)</f>
        <v/>
      </c>
      <c r="DN703" s="129">
        <f>IFERROR(if($X703=0,($V703/1.2)*BB703,
BB703*$X703),)</f>
        <v/>
      </c>
      <c r="DO703" s="129">
        <f>IFERROR(if($X703=0,($V703/1.2)*BC703,
BC703*$X703),)</f>
        <v/>
      </c>
      <c r="DP703" s="130">
        <f>IFERROR(if($Z703=0,($V703/1.35)*BD703,
BD703*$Z703),)</f>
        <v/>
      </c>
      <c r="DQ703" s="130">
        <f>IFERROR(if($Z703=0,($V703/1.35)*BE703,
BE703*$Z703),)</f>
        <v/>
      </c>
      <c r="DR703" s="130">
        <f>IFERROR(if($Z703=0,($V703/1.35)*BF703,
BF703*$Z703),)</f>
        <v/>
      </c>
      <c r="DS703" s="128">
        <f>IFERROR(IF($AB703=0,($V703/0.74)*BG703,
BG703*$AB703),)</f>
        <v/>
      </c>
      <c r="DT703" s="128">
        <f>IFERROR(IF($AB703=0,($V703/0.74)*BH703,
BH703*$AB703),)</f>
        <v/>
      </c>
      <c r="DU703" s="128">
        <f>IFERROR(IF($AB703=0,($V703/0.74)*BI703,
BI703*$AB703),)</f>
        <v/>
      </c>
    </row>
    <row r="704" ht="131.25" customHeight="1" s="162">
      <c r="A704" s="115" t="n"/>
      <c r="B704" s="115" t="n"/>
      <c r="C704" s="115" t="n"/>
      <c r="D704" s="115" t="n"/>
      <c r="E704" s="115" t="n"/>
      <c r="F704" s="115" t="n"/>
      <c r="G704" s="115" t="n"/>
      <c r="H704" s="115" t="n"/>
      <c r="I704" s="115" t="n"/>
      <c r="J704" s="115" t="n"/>
      <c r="K704" s="115" t="n"/>
      <c r="L704" s="115" t="n"/>
      <c r="M704" s="115" t="n"/>
      <c r="N704" s="115" t="n"/>
      <c r="O704" s="115" t="n"/>
      <c r="P704" s="115" t="n"/>
      <c r="Q704" s="115" t="n"/>
      <c r="R704" s="115" t="n"/>
      <c r="S704" s="115" t="n"/>
      <c r="T704" s="115" t="n"/>
      <c r="U704" s="116" t="n"/>
      <c r="V704" s="116" t="n"/>
      <c r="W704" s="117" t="n"/>
      <c r="X704" s="118" t="n"/>
      <c r="Y704" s="119" t="n"/>
      <c r="Z704" s="120" t="n"/>
      <c r="AA704" s="121" t="n"/>
      <c r="AB704" s="122" t="n"/>
      <c r="AC704" s="117" t="n"/>
      <c r="AD704" s="123">
        <f>IF(SUM($AE704:$AH704)=0,"",SUM($AE704:$AH704))</f>
        <v/>
      </c>
      <c r="AE704" s="123">
        <f>iferror(IF(SUM($AI704:$AZ704)=0,"",SUM($AI704:$AZ704)),"")</f>
        <v/>
      </c>
      <c r="AF704" s="123">
        <f>iferror(IF(SUM($BA704:$BC704)=0,"",SUM($BA704:$BC704)),"")</f>
        <v/>
      </c>
      <c r="AG704" s="123">
        <f>iferror(IF(SUM($BD704:$BF704)=0,"",SUM($BD704:$BF704)),"")</f>
        <v/>
      </c>
      <c r="AH704" s="124">
        <f>iferror(IF(SUM($BG704:$BI704)=0,"",SUM($BG704:$BI704)),"")</f>
        <v/>
      </c>
      <c r="AI704" s="131" t="n"/>
      <c r="AJ704" s="132" t="n"/>
      <c r="AK704" s="132" t="n"/>
      <c r="AL704" s="132" t="n"/>
      <c r="AM704" s="132" t="n"/>
      <c r="AN704" s="132" t="n"/>
      <c r="AO704" s="132" t="n"/>
      <c r="AP704" s="132" t="n"/>
      <c r="AQ704" s="132" t="n"/>
      <c r="AR704" s="132" t="n"/>
      <c r="AS704" s="132" t="n"/>
      <c r="AT704" s="132" t="n"/>
      <c r="AU704" s="132" t="n"/>
      <c r="AV704" s="132" t="n"/>
      <c r="AW704" s="132" t="n"/>
      <c r="AX704" s="132" t="n"/>
      <c r="AY704" s="132" t="n"/>
      <c r="AZ704" s="133" t="n"/>
      <c r="BA704" s="131" t="n"/>
      <c r="BB704" s="132" t="n"/>
      <c r="BC704" s="133" t="n"/>
      <c r="BD704" s="131" t="n"/>
      <c r="BE704" s="132" t="n"/>
      <c r="BF704" s="133" t="n"/>
      <c r="BG704" s="131" t="n"/>
      <c r="BH704" s="132" t="n"/>
      <c r="BI704" s="132" t="n"/>
      <c r="BJ704" s="128">
        <f>iferror(SUM($BK704,($BL704*1.2),($BM704*1.35),($BN704*0.74)),)</f>
        <v/>
      </c>
      <c r="BK704" s="128">
        <f>IFERROR(SUM($BT704:$CK704),)</f>
        <v/>
      </c>
      <c r="BL704" s="129">
        <f>IFERROR(SUM($CL704:$CN704),)</f>
        <v/>
      </c>
      <c r="BM704" s="130">
        <f>IFERROR(SUM($CO704:$CQ704),)</f>
        <v/>
      </c>
      <c r="BN704" s="128">
        <f>IFERROR(SUM($CR704:$CT704),)</f>
        <v/>
      </c>
      <c r="BO704" s="128">
        <f>iferror(SUM($BP704,($BQ704*1.2),($BR704*1.35),($BS704*0.74)),)</f>
        <v/>
      </c>
      <c r="BP704" s="128">
        <f>IFERROR(SUM($CU704:$DL704),)</f>
        <v/>
      </c>
      <c r="BQ704" s="128">
        <f>IFERROR(SUM($DM704:$DO704),)</f>
        <v/>
      </c>
      <c r="BR704" s="128">
        <f>IFERROR(SUM($DP704:$DR704),)</f>
        <v/>
      </c>
      <c r="BS704" s="128">
        <f>IFERROR(SUM($DS704:$DU704),)</f>
        <v/>
      </c>
      <c r="BT704" s="128">
        <f>IFERROR(AI704*$W704,)</f>
        <v/>
      </c>
      <c r="BU704" s="128">
        <f>IFERROR(AJ704*$W704,)</f>
        <v/>
      </c>
      <c r="BV704" s="128">
        <f>IFERROR(AK704*$W704,)</f>
        <v/>
      </c>
      <c r="BW704" s="128">
        <f>IFERROR(AL704*$W704,)</f>
        <v/>
      </c>
      <c r="BX704" s="128">
        <f>IFERROR(AM704*$W704,)</f>
        <v/>
      </c>
      <c r="BY704" s="128">
        <f>IFERROR(AN704*$W704,)</f>
        <v/>
      </c>
      <c r="BZ704" s="128">
        <f>IFERROR(AO704*$W704,)</f>
        <v/>
      </c>
      <c r="CA704" s="128">
        <f>IFERROR(AP704*$W704,)</f>
        <v/>
      </c>
      <c r="CB704" s="128">
        <f>IFERROR(AQ704*$W704,)</f>
        <v/>
      </c>
      <c r="CC704" s="128">
        <f>IFERROR(AR704*$W704,)</f>
        <v/>
      </c>
      <c r="CD704" s="128">
        <f>IFERROR(AS704*$W704,)</f>
        <v/>
      </c>
      <c r="CE704" s="128">
        <f>IFERROR(AT704*$W704,)</f>
        <v/>
      </c>
      <c r="CF704" s="128">
        <f>IFERROR(AU704*$W704,)</f>
        <v/>
      </c>
      <c r="CG704" s="128">
        <f>IFERROR(AV704*$W704,)</f>
        <v/>
      </c>
      <c r="CH704" s="128">
        <f>IFERROR(AW704*$W704,)</f>
        <v/>
      </c>
      <c r="CI704" s="128">
        <f>IFERROR(AX704*$W704,)</f>
        <v/>
      </c>
      <c r="CJ704" s="128">
        <f>IFERROR(AY704*$W704,)</f>
        <v/>
      </c>
      <c r="CK704" s="128">
        <f>IFERROR(AZ704*$W704,)</f>
        <v/>
      </c>
      <c r="CL704" s="129">
        <f>IFERROR(if($Y704=0,BA704*($W704/1.2),BA704*$Y704),"")</f>
        <v/>
      </c>
      <c r="CM704" s="129">
        <f>IFERROR(if($Y704=0,BB704*($W704/1.2),BB704*$Y704),"")</f>
        <v/>
      </c>
      <c r="CN704" s="129">
        <f>IFERROR(if($Y704=0,BC704*($W704/1.2),BC704*$Y704),"")</f>
        <v/>
      </c>
      <c r="CO704" s="130">
        <f>IFERROR(if($AA704=0,($W704/1.35)*BD704,BD704*$AA704),)</f>
        <v/>
      </c>
      <c r="CP704" s="130">
        <f>IFERROR(if($AA704=0,($W704/1.35)*BE704,BE704*$AA704),)</f>
        <v/>
      </c>
      <c r="CQ704" s="130">
        <f>IFERROR(if($AA704=0,($W704/1.35)*BF704,BF704*$AA704),)</f>
        <v/>
      </c>
      <c r="CR704" s="128">
        <f>IFERROR(if($AC704=0,($W704/0.74)*BG704,
BG704*$AC704),)</f>
        <v/>
      </c>
      <c r="CS704" s="128">
        <f>IFERROR(if($AC704=0,($W704/0.74)*BH704,
BH704*$AC704),)</f>
        <v/>
      </c>
      <c r="CT704" s="128">
        <f>IFERROR(if($AC704=0,($W704/0.74)*BI704,
BI704*$AC704),)</f>
        <v/>
      </c>
      <c r="CU704" s="128">
        <f>IFERROR(AI704*$V704,)</f>
        <v/>
      </c>
      <c r="CV704" s="128">
        <f>IFERROR(AJ704*$V704,)</f>
        <v/>
      </c>
      <c r="CW704" s="128">
        <f>IFERROR(AK704*$V704,)</f>
        <v/>
      </c>
      <c r="CX704" s="128">
        <f>IFERROR(AL704*$V704,)</f>
        <v/>
      </c>
      <c r="CY704" s="128">
        <f>IFERROR(AM704*$V704,)</f>
        <v/>
      </c>
      <c r="CZ704" s="128">
        <f>IFERROR(AN704*$V704,)</f>
        <v/>
      </c>
      <c r="DA704" s="128">
        <f>IFERROR(AO704*$V704,)</f>
        <v/>
      </c>
      <c r="DB704" s="128">
        <f>IFERROR(AP704*$V704,)</f>
        <v/>
      </c>
      <c r="DC704" s="128">
        <f>IFERROR(AQ704*$V704,)</f>
        <v/>
      </c>
      <c r="DD704" s="128">
        <f>IFERROR(AR704*$V704,)</f>
        <v/>
      </c>
      <c r="DE704" s="128">
        <f>IFERROR(AS704*$V704,)</f>
        <v/>
      </c>
      <c r="DF704" s="128">
        <f>IFERROR(AT704*$V704,)</f>
        <v/>
      </c>
      <c r="DG704" s="128">
        <f>IFERROR(AU704*$V704,)</f>
        <v/>
      </c>
      <c r="DH704" s="128">
        <f>IFERROR(AV704*$V704,)</f>
        <v/>
      </c>
      <c r="DI704" s="128">
        <f>IFERROR(AW704*$V704,)</f>
        <v/>
      </c>
      <c r="DJ704" s="128">
        <f>IFERROR(AX704*$V704,)</f>
        <v/>
      </c>
      <c r="DK704" s="128">
        <f>IFERROR(AY704*$V704,)</f>
        <v/>
      </c>
      <c r="DL704" s="128">
        <f>IFERROR(AZ704*$V704,)</f>
        <v/>
      </c>
      <c r="DM704" s="129">
        <f>IFERROR(if($X704=0,($V704/1.2)*BA704,
BA704*$X704),)</f>
        <v/>
      </c>
      <c r="DN704" s="129">
        <f>IFERROR(if($X704=0,($V704/1.2)*BB704,
BB704*$X704),)</f>
        <v/>
      </c>
      <c r="DO704" s="129">
        <f>IFERROR(if($X704=0,($V704/1.2)*BC704,
BC704*$X704),)</f>
        <v/>
      </c>
      <c r="DP704" s="130">
        <f>IFERROR(if($Z704=0,($V704/1.35)*BD704,
BD704*$Z704),)</f>
        <v/>
      </c>
      <c r="DQ704" s="130">
        <f>IFERROR(if($Z704=0,($V704/1.35)*BE704,
BE704*$Z704),)</f>
        <v/>
      </c>
      <c r="DR704" s="130">
        <f>IFERROR(if($Z704=0,($V704/1.35)*BF704,
BF704*$Z704),)</f>
        <v/>
      </c>
      <c r="DS704" s="128">
        <f>IFERROR(IF($AB704=0,($V704/0.74)*BG704,
BG704*$AB704),)</f>
        <v/>
      </c>
      <c r="DT704" s="128">
        <f>IFERROR(IF($AB704=0,($V704/0.74)*BH704,
BH704*$AB704),)</f>
        <v/>
      </c>
      <c r="DU704" s="128">
        <f>IFERROR(IF($AB704=0,($V704/0.74)*BI704,
BI704*$AB704),)</f>
        <v/>
      </c>
    </row>
    <row r="705" ht="131.25" customHeight="1" s="162">
      <c r="A705" s="115" t="n"/>
      <c r="B705" s="115" t="n"/>
      <c r="C705" s="115" t="n"/>
      <c r="D705" s="115" t="n"/>
      <c r="E705" s="115" t="n"/>
      <c r="F705" s="115" t="n"/>
      <c r="G705" s="115" t="n"/>
      <c r="H705" s="115" t="n"/>
      <c r="I705" s="115" t="n"/>
      <c r="J705" s="115" t="n"/>
      <c r="K705" s="115" t="n"/>
      <c r="L705" s="115" t="n"/>
      <c r="M705" s="115" t="n"/>
      <c r="N705" s="115" t="n"/>
      <c r="O705" s="115" t="n"/>
      <c r="P705" s="115" t="n"/>
      <c r="Q705" s="115" t="n"/>
      <c r="R705" s="115" t="n"/>
      <c r="S705" s="115" t="n"/>
      <c r="T705" s="115" t="n"/>
      <c r="U705" s="116" t="n"/>
      <c r="V705" s="116" t="n"/>
      <c r="W705" s="117" t="n"/>
      <c r="X705" s="118" t="n"/>
      <c r="Y705" s="119" t="n"/>
      <c r="Z705" s="120" t="n"/>
      <c r="AA705" s="121" t="n"/>
      <c r="AB705" s="122" t="n"/>
      <c r="AC705" s="117" t="n"/>
      <c r="AD705" s="123">
        <f>IF(SUM($AE705:$AH705)=0,"",SUM($AE705:$AH705))</f>
        <v/>
      </c>
      <c r="AE705" s="123">
        <f>iferror(IF(SUM($AI705:$AZ705)=0,"",SUM($AI705:$AZ705)),"")</f>
        <v/>
      </c>
      <c r="AF705" s="123">
        <f>iferror(IF(SUM($BA705:$BC705)=0,"",SUM($BA705:$BC705)),"")</f>
        <v/>
      </c>
      <c r="AG705" s="123">
        <f>iferror(IF(SUM($BD705:$BF705)=0,"",SUM($BD705:$BF705)),"")</f>
        <v/>
      </c>
      <c r="AH705" s="124">
        <f>iferror(IF(SUM($BG705:$BI705)=0,"",SUM($BG705:$BI705)),"")</f>
        <v/>
      </c>
      <c r="AI705" s="131" t="n"/>
      <c r="AJ705" s="132" t="n"/>
      <c r="AK705" s="132" t="n"/>
      <c r="AL705" s="132" t="n"/>
      <c r="AM705" s="132" t="n"/>
      <c r="AN705" s="132" t="n"/>
      <c r="AO705" s="132" t="n"/>
      <c r="AP705" s="132" t="n"/>
      <c r="AQ705" s="132" t="n"/>
      <c r="AR705" s="132" t="n"/>
      <c r="AS705" s="132" t="n"/>
      <c r="AT705" s="132" t="n"/>
      <c r="AU705" s="132" t="n"/>
      <c r="AV705" s="132" t="n"/>
      <c r="AW705" s="132" t="n"/>
      <c r="AX705" s="132" t="n"/>
      <c r="AY705" s="132" t="n"/>
      <c r="AZ705" s="133" t="n"/>
      <c r="BA705" s="131" t="n"/>
      <c r="BB705" s="132" t="n"/>
      <c r="BC705" s="133" t="n"/>
      <c r="BD705" s="131" t="n"/>
      <c r="BE705" s="132" t="n"/>
      <c r="BF705" s="133" t="n"/>
      <c r="BG705" s="131" t="n"/>
      <c r="BH705" s="132" t="n"/>
      <c r="BI705" s="132" t="n"/>
      <c r="BJ705" s="128">
        <f>iferror(SUM($BK705,($BL705*1.2),($BM705*1.35),($BN705*0.74)),)</f>
        <v/>
      </c>
      <c r="BK705" s="128">
        <f>IFERROR(SUM($BT705:$CK705),)</f>
        <v/>
      </c>
      <c r="BL705" s="129">
        <f>IFERROR(SUM($CL705:$CN705),)</f>
        <v/>
      </c>
      <c r="BM705" s="130">
        <f>IFERROR(SUM($CO705:$CQ705),)</f>
        <v/>
      </c>
      <c r="BN705" s="128">
        <f>IFERROR(SUM($CR705:$CT705),)</f>
        <v/>
      </c>
      <c r="BO705" s="128">
        <f>iferror(SUM($BP705,($BQ705*1.2),($BR705*1.35),($BS705*0.74)),)</f>
        <v/>
      </c>
      <c r="BP705" s="128">
        <f>IFERROR(SUM($CU705:$DL705),)</f>
        <v/>
      </c>
      <c r="BQ705" s="128">
        <f>IFERROR(SUM($DM705:$DO705),)</f>
        <v/>
      </c>
      <c r="BR705" s="128">
        <f>IFERROR(SUM($DP705:$DR705),)</f>
        <v/>
      </c>
      <c r="BS705" s="128">
        <f>IFERROR(SUM($DS705:$DU705),)</f>
        <v/>
      </c>
      <c r="BT705" s="128">
        <f>IFERROR(AI705*$W705,)</f>
        <v/>
      </c>
      <c r="BU705" s="128">
        <f>IFERROR(AJ705*$W705,)</f>
        <v/>
      </c>
      <c r="BV705" s="128">
        <f>IFERROR(AK705*$W705,)</f>
        <v/>
      </c>
      <c r="BW705" s="128">
        <f>IFERROR(AL705*$W705,)</f>
        <v/>
      </c>
      <c r="BX705" s="128">
        <f>IFERROR(AM705*$W705,)</f>
        <v/>
      </c>
      <c r="BY705" s="128">
        <f>IFERROR(AN705*$W705,)</f>
        <v/>
      </c>
      <c r="BZ705" s="128">
        <f>IFERROR(AO705*$W705,)</f>
        <v/>
      </c>
      <c r="CA705" s="128">
        <f>IFERROR(AP705*$W705,)</f>
        <v/>
      </c>
      <c r="CB705" s="128">
        <f>IFERROR(AQ705*$W705,)</f>
        <v/>
      </c>
      <c r="CC705" s="128">
        <f>IFERROR(AR705*$W705,)</f>
        <v/>
      </c>
      <c r="CD705" s="128">
        <f>IFERROR(AS705*$W705,)</f>
        <v/>
      </c>
      <c r="CE705" s="128">
        <f>IFERROR(AT705*$W705,)</f>
        <v/>
      </c>
      <c r="CF705" s="128">
        <f>IFERROR(AU705*$W705,)</f>
        <v/>
      </c>
      <c r="CG705" s="128">
        <f>IFERROR(AV705*$W705,)</f>
        <v/>
      </c>
      <c r="CH705" s="128">
        <f>IFERROR(AW705*$W705,)</f>
        <v/>
      </c>
      <c r="CI705" s="128">
        <f>IFERROR(AX705*$W705,)</f>
        <v/>
      </c>
      <c r="CJ705" s="128">
        <f>IFERROR(AY705*$W705,)</f>
        <v/>
      </c>
      <c r="CK705" s="128">
        <f>IFERROR(AZ705*$W705,)</f>
        <v/>
      </c>
      <c r="CL705" s="129">
        <f>IFERROR(if($Y705=0,BA705*($W705/1.2),BA705*$Y705),"")</f>
        <v/>
      </c>
      <c r="CM705" s="129">
        <f>IFERROR(if($Y705=0,BB705*($W705/1.2),BB705*$Y705),"")</f>
        <v/>
      </c>
      <c r="CN705" s="129">
        <f>IFERROR(if($Y705=0,BC705*($W705/1.2),BC705*$Y705),"")</f>
        <v/>
      </c>
      <c r="CO705" s="130">
        <f>IFERROR(if($AA705=0,($W705/1.35)*BD705,BD705*$AA705),)</f>
        <v/>
      </c>
      <c r="CP705" s="130">
        <f>IFERROR(if($AA705=0,($W705/1.35)*BE705,BE705*$AA705),)</f>
        <v/>
      </c>
      <c r="CQ705" s="130">
        <f>IFERROR(if($AA705=0,($W705/1.35)*BF705,BF705*$AA705),)</f>
        <v/>
      </c>
      <c r="CR705" s="128">
        <f>IFERROR(if($AC705=0,($W705/0.74)*BG705,
BG705*$AC705),)</f>
        <v/>
      </c>
      <c r="CS705" s="128">
        <f>IFERROR(if($AC705=0,($W705/0.74)*BH705,
BH705*$AC705),)</f>
        <v/>
      </c>
      <c r="CT705" s="128">
        <f>IFERROR(if($AC705=0,($W705/0.74)*BI705,
BI705*$AC705),)</f>
        <v/>
      </c>
      <c r="CU705" s="128">
        <f>IFERROR(AI705*$V705,)</f>
        <v/>
      </c>
      <c r="CV705" s="128">
        <f>IFERROR(AJ705*$V705,)</f>
        <v/>
      </c>
      <c r="CW705" s="128">
        <f>IFERROR(AK705*$V705,)</f>
        <v/>
      </c>
      <c r="CX705" s="128">
        <f>IFERROR(AL705*$V705,)</f>
        <v/>
      </c>
      <c r="CY705" s="128">
        <f>IFERROR(AM705*$V705,)</f>
        <v/>
      </c>
      <c r="CZ705" s="128">
        <f>IFERROR(AN705*$V705,)</f>
        <v/>
      </c>
      <c r="DA705" s="128">
        <f>IFERROR(AO705*$V705,)</f>
        <v/>
      </c>
      <c r="DB705" s="128">
        <f>IFERROR(AP705*$V705,)</f>
        <v/>
      </c>
      <c r="DC705" s="128">
        <f>IFERROR(AQ705*$V705,)</f>
        <v/>
      </c>
      <c r="DD705" s="128">
        <f>IFERROR(AR705*$V705,)</f>
        <v/>
      </c>
      <c r="DE705" s="128">
        <f>IFERROR(AS705*$V705,)</f>
        <v/>
      </c>
      <c r="DF705" s="128">
        <f>IFERROR(AT705*$V705,)</f>
        <v/>
      </c>
      <c r="DG705" s="128">
        <f>IFERROR(AU705*$V705,)</f>
        <v/>
      </c>
      <c r="DH705" s="128">
        <f>IFERROR(AV705*$V705,)</f>
        <v/>
      </c>
      <c r="DI705" s="128">
        <f>IFERROR(AW705*$V705,)</f>
        <v/>
      </c>
      <c r="DJ705" s="128">
        <f>IFERROR(AX705*$V705,)</f>
        <v/>
      </c>
      <c r="DK705" s="128">
        <f>IFERROR(AY705*$V705,)</f>
        <v/>
      </c>
      <c r="DL705" s="128">
        <f>IFERROR(AZ705*$V705,)</f>
        <v/>
      </c>
      <c r="DM705" s="129">
        <f>IFERROR(if($X705=0,($V705/1.2)*BA705,
BA705*$X705),)</f>
        <v/>
      </c>
      <c r="DN705" s="129">
        <f>IFERROR(if($X705=0,($V705/1.2)*BB705,
BB705*$X705),)</f>
        <v/>
      </c>
      <c r="DO705" s="129">
        <f>IFERROR(if($X705=0,($V705/1.2)*BC705,
BC705*$X705),)</f>
        <v/>
      </c>
      <c r="DP705" s="130">
        <f>IFERROR(if($Z705=0,($V705/1.35)*BD705,
BD705*$Z705),)</f>
        <v/>
      </c>
      <c r="DQ705" s="130">
        <f>IFERROR(if($Z705=0,($V705/1.35)*BE705,
BE705*$Z705),)</f>
        <v/>
      </c>
      <c r="DR705" s="130">
        <f>IFERROR(if($Z705=0,($V705/1.35)*BF705,
BF705*$Z705),)</f>
        <v/>
      </c>
      <c r="DS705" s="128">
        <f>IFERROR(IF($AB705=0,($V705/0.74)*BG705,
BG705*$AB705),)</f>
        <v/>
      </c>
      <c r="DT705" s="128">
        <f>IFERROR(IF($AB705=0,($V705/0.74)*BH705,
BH705*$AB705),)</f>
        <v/>
      </c>
      <c r="DU705" s="128">
        <f>IFERROR(IF($AB705=0,($V705/0.74)*BI705,
BI705*$AB705),)</f>
        <v/>
      </c>
    </row>
    <row r="706" ht="131.25" customHeight="1" s="162">
      <c r="A706" s="115" t="n"/>
      <c r="B706" s="115" t="n"/>
      <c r="C706" s="115" t="n"/>
      <c r="D706" s="115" t="n"/>
      <c r="E706" s="115" t="n"/>
      <c r="F706" s="115" t="n"/>
      <c r="G706" s="115" t="n"/>
      <c r="H706" s="115" t="n"/>
      <c r="I706" s="115" t="n"/>
      <c r="J706" s="115" t="n"/>
      <c r="K706" s="115" t="n"/>
      <c r="L706" s="115" t="n"/>
      <c r="M706" s="115" t="n"/>
      <c r="N706" s="115" t="n"/>
      <c r="O706" s="115" t="n"/>
      <c r="P706" s="115" t="n"/>
      <c r="Q706" s="115" t="n"/>
      <c r="R706" s="115" t="n"/>
      <c r="S706" s="115" t="n"/>
      <c r="T706" s="115" t="n"/>
      <c r="U706" s="116" t="n"/>
      <c r="V706" s="116" t="n"/>
      <c r="W706" s="117" t="n"/>
      <c r="X706" s="118" t="n"/>
      <c r="Y706" s="119" t="n"/>
      <c r="Z706" s="120" t="n"/>
      <c r="AA706" s="121" t="n"/>
      <c r="AB706" s="122" t="n"/>
      <c r="AC706" s="117" t="n"/>
      <c r="AD706" s="123">
        <f>IF(SUM($AE706:$AH706)=0,"",SUM($AE706:$AH706))</f>
        <v/>
      </c>
      <c r="AE706" s="123">
        <f>iferror(IF(SUM($AI706:$AZ706)=0,"",SUM($AI706:$AZ706)),"")</f>
        <v/>
      </c>
      <c r="AF706" s="123">
        <f>iferror(IF(SUM($BA706:$BC706)=0,"",SUM($BA706:$BC706)),"")</f>
        <v/>
      </c>
      <c r="AG706" s="123">
        <f>iferror(IF(SUM($BD706:$BF706)=0,"",SUM($BD706:$BF706)),"")</f>
        <v/>
      </c>
      <c r="AH706" s="124">
        <f>iferror(IF(SUM($BG706:$BI706)=0,"",SUM($BG706:$BI706)),"")</f>
        <v/>
      </c>
      <c r="AI706" s="131" t="n"/>
      <c r="AJ706" s="132" t="n"/>
      <c r="AK706" s="132" t="n"/>
      <c r="AL706" s="132" t="n"/>
      <c r="AM706" s="132" t="n"/>
      <c r="AN706" s="132" t="n"/>
      <c r="AO706" s="132" t="n"/>
      <c r="AP706" s="132" t="n"/>
      <c r="AQ706" s="132" t="n"/>
      <c r="AR706" s="132" t="n"/>
      <c r="AS706" s="132" t="n"/>
      <c r="AT706" s="132" t="n"/>
      <c r="AU706" s="132" t="n"/>
      <c r="AV706" s="132" t="n"/>
      <c r="AW706" s="132" t="n"/>
      <c r="AX706" s="132" t="n"/>
      <c r="AY706" s="132" t="n"/>
      <c r="AZ706" s="133" t="n"/>
      <c r="BA706" s="131" t="n"/>
      <c r="BB706" s="132" t="n"/>
      <c r="BC706" s="133" t="n"/>
      <c r="BD706" s="131" t="n"/>
      <c r="BE706" s="132" t="n"/>
      <c r="BF706" s="133" t="n"/>
      <c r="BG706" s="131" t="n"/>
      <c r="BH706" s="132" t="n"/>
      <c r="BI706" s="132" t="n"/>
      <c r="BJ706" s="128">
        <f>iferror(SUM($BK706,($BL706*1.2),($BM706*1.35),($BN706*0.74)),)</f>
        <v/>
      </c>
      <c r="BK706" s="128">
        <f>IFERROR(SUM($BT706:$CK706),)</f>
        <v/>
      </c>
      <c r="BL706" s="129">
        <f>IFERROR(SUM($CL706:$CN706),)</f>
        <v/>
      </c>
      <c r="BM706" s="130">
        <f>IFERROR(SUM($CO706:$CQ706),)</f>
        <v/>
      </c>
      <c r="BN706" s="128">
        <f>IFERROR(SUM($CR706:$CT706),)</f>
        <v/>
      </c>
      <c r="BO706" s="128">
        <f>iferror(SUM($BP706,($BQ706*1.2),($BR706*1.35),($BS706*0.74)),)</f>
        <v/>
      </c>
      <c r="BP706" s="128">
        <f>IFERROR(SUM($CU706:$DL706),)</f>
        <v/>
      </c>
      <c r="BQ706" s="128">
        <f>IFERROR(SUM($DM706:$DO706),)</f>
        <v/>
      </c>
      <c r="BR706" s="128">
        <f>IFERROR(SUM($DP706:$DR706),)</f>
        <v/>
      </c>
      <c r="BS706" s="128">
        <f>IFERROR(SUM($DS706:$DU706),)</f>
        <v/>
      </c>
      <c r="BT706" s="128">
        <f>IFERROR(AI706*$W706,)</f>
        <v/>
      </c>
      <c r="BU706" s="128">
        <f>IFERROR(AJ706*$W706,)</f>
        <v/>
      </c>
      <c r="BV706" s="128">
        <f>IFERROR(AK706*$W706,)</f>
        <v/>
      </c>
      <c r="BW706" s="128">
        <f>IFERROR(AL706*$W706,)</f>
        <v/>
      </c>
      <c r="BX706" s="128">
        <f>IFERROR(AM706*$W706,)</f>
        <v/>
      </c>
      <c r="BY706" s="128">
        <f>IFERROR(AN706*$W706,)</f>
        <v/>
      </c>
      <c r="BZ706" s="128">
        <f>IFERROR(AO706*$W706,)</f>
        <v/>
      </c>
      <c r="CA706" s="128">
        <f>IFERROR(AP706*$W706,)</f>
        <v/>
      </c>
      <c r="CB706" s="128">
        <f>IFERROR(AQ706*$W706,)</f>
        <v/>
      </c>
      <c r="CC706" s="128">
        <f>IFERROR(AR706*$W706,)</f>
        <v/>
      </c>
      <c r="CD706" s="128">
        <f>IFERROR(AS706*$W706,)</f>
        <v/>
      </c>
      <c r="CE706" s="128">
        <f>IFERROR(AT706*$W706,)</f>
        <v/>
      </c>
      <c r="CF706" s="128">
        <f>IFERROR(AU706*$W706,)</f>
        <v/>
      </c>
      <c r="CG706" s="128">
        <f>IFERROR(AV706*$W706,)</f>
        <v/>
      </c>
      <c r="CH706" s="128">
        <f>IFERROR(AW706*$W706,)</f>
        <v/>
      </c>
      <c r="CI706" s="128">
        <f>IFERROR(AX706*$W706,)</f>
        <v/>
      </c>
      <c r="CJ706" s="128">
        <f>IFERROR(AY706*$W706,)</f>
        <v/>
      </c>
      <c r="CK706" s="128">
        <f>IFERROR(AZ706*$W706,)</f>
        <v/>
      </c>
      <c r="CL706" s="129">
        <f>IFERROR(if($Y706=0,BA706*($W706/1.2),BA706*$Y706),"")</f>
        <v/>
      </c>
      <c r="CM706" s="129">
        <f>IFERROR(if($Y706=0,BB706*($W706/1.2),BB706*$Y706),"")</f>
        <v/>
      </c>
      <c r="CN706" s="129">
        <f>IFERROR(if($Y706=0,BC706*($W706/1.2),BC706*$Y706),"")</f>
        <v/>
      </c>
      <c r="CO706" s="130">
        <f>IFERROR(if($AA706=0,($W706/1.35)*BD706,BD706*$AA706),)</f>
        <v/>
      </c>
      <c r="CP706" s="130">
        <f>IFERROR(if($AA706=0,($W706/1.35)*BE706,BE706*$AA706),)</f>
        <v/>
      </c>
      <c r="CQ706" s="130">
        <f>IFERROR(if($AA706=0,($W706/1.35)*BF706,BF706*$AA706),)</f>
        <v/>
      </c>
      <c r="CR706" s="128">
        <f>IFERROR(if($AC706=0,($W706/0.74)*BG706,
BG706*$AC706),)</f>
        <v/>
      </c>
      <c r="CS706" s="128">
        <f>IFERROR(if($AC706=0,($W706/0.74)*BH706,
BH706*$AC706),)</f>
        <v/>
      </c>
      <c r="CT706" s="128">
        <f>IFERROR(if($AC706=0,($W706/0.74)*BI706,
BI706*$AC706),)</f>
        <v/>
      </c>
      <c r="CU706" s="128">
        <f>IFERROR(AI706*$V706,)</f>
        <v/>
      </c>
      <c r="CV706" s="128">
        <f>IFERROR(AJ706*$V706,)</f>
        <v/>
      </c>
      <c r="CW706" s="128">
        <f>IFERROR(AK706*$V706,)</f>
        <v/>
      </c>
      <c r="CX706" s="128">
        <f>IFERROR(AL706*$V706,)</f>
        <v/>
      </c>
      <c r="CY706" s="128">
        <f>IFERROR(AM706*$V706,)</f>
        <v/>
      </c>
      <c r="CZ706" s="128">
        <f>IFERROR(AN706*$V706,)</f>
        <v/>
      </c>
      <c r="DA706" s="128">
        <f>IFERROR(AO706*$V706,)</f>
        <v/>
      </c>
      <c r="DB706" s="128">
        <f>IFERROR(AP706*$V706,)</f>
        <v/>
      </c>
      <c r="DC706" s="128">
        <f>IFERROR(AQ706*$V706,)</f>
        <v/>
      </c>
      <c r="DD706" s="128">
        <f>IFERROR(AR706*$V706,)</f>
        <v/>
      </c>
      <c r="DE706" s="128">
        <f>IFERROR(AS706*$V706,)</f>
        <v/>
      </c>
      <c r="DF706" s="128">
        <f>IFERROR(AT706*$V706,)</f>
        <v/>
      </c>
      <c r="DG706" s="128">
        <f>IFERROR(AU706*$V706,)</f>
        <v/>
      </c>
      <c r="DH706" s="128">
        <f>IFERROR(AV706*$V706,)</f>
        <v/>
      </c>
      <c r="DI706" s="128">
        <f>IFERROR(AW706*$V706,)</f>
        <v/>
      </c>
      <c r="DJ706" s="128">
        <f>IFERROR(AX706*$V706,)</f>
        <v/>
      </c>
      <c r="DK706" s="128">
        <f>IFERROR(AY706*$V706,)</f>
        <v/>
      </c>
      <c r="DL706" s="128">
        <f>IFERROR(AZ706*$V706,)</f>
        <v/>
      </c>
      <c r="DM706" s="129">
        <f>IFERROR(if($X706=0,($V706/1.2)*BA706,
BA706*$X706),)</f>
        <v/>
      </c>
      <c r="DN706" s="129">
        <f>IFERROR(if($X706=0,($V706/1.2)*BB706,
BB706*$X706),)</f>
        <v/>
      </c>
      <c r="DO706" s="129">
        <f>IFERROR(if($X706=0,($V706/1.2)*BC706,
BC706*$X706),)</f>
        <v/>
      </c>
      <c r="DP706" s="130">
        <f>IFERROR(if($Z706=0,($V706/1.35)*BD706,
BD706*$Z706),)</f>
        <v/>
      </c>
      <c r="DQ706" s="130">
        <f>IFERROR(if($Z706=0,($V706/1.35)*BE706,
BE706*$Z706),)</f>
        <v/>
      </c>
      <c r="DR706" s="130">
        <f>IFERROR(if($Z706=0,($V706/1.35)*BF706,
BF706*$Z706),)</f>
        <v/>
      </c>
      <c r="DS706" s="128">
        <f>IFERROR(IF($AB706=0,($V706/0.74)*BG706,
BG706*$AB706),)</f>
        <v/>
      </c>
      <c r="DT706" s="128">
        <f>IFERROR(IF($AB706=0,($V706/0.74)*BH706,
BH706*$AB706),)</f>
        <v/>
      </c>
      <c r="DU706" s="128">
        <f>IFERROR(IF($AB706=0,($V706/0.74)*BI706,
BI706*$AB706),)</f>
        <v/>
      </c>
    </row>
    <row r="707" ht="131.25" customHeight="1" s="162">
      <c r="A707" s="115" t="n"/>
      <c r="B707" s="115" t="n"/>
      <c r="C707" s="115" t="n"/>
      <c r="D707" s="115" t="n"/>
      <c r="E707" s="115" t="n"/>
      <c r="F707" s="115" t="n"/>
      <c r="G707" s="115" t="n"/>
      <c r="H707" s="115" t="n"/>
      <c r="I707" s="115" t="n"/>
      <c r="J707" s="115" t="n"/>
      <c r="K707" s="115" t="n"/>
      <c r="L707" s="115" t="n"/>
      <c r="M707" s="115" t="n"/>
      <c r="N707" s="115" t="n"/>
      <c r="O707" s="115" t="n"/>
      <c r="P707" s="115" t="n"/>
      <c r="Q707" s="115" t="n"/>
      <c r="R707" s="115" t="n"/>
      <c r="S707" s="115" t="n"/>
      <c r="T707" s="115" t="n"/>
      <c r="U707" s="116" t="n"/>
      <c r="V707" s="116" t="n"/>
      <c r="W707" s="117" t="n"/>
      <c r="X707" s="118" t="n"/>
      <c r="Y707" s="119" t="n"/>
      <c r="Z707" s="120" t="n"/>
      <c r="AA707" s="121" t="n"/>
      <c r="AB707" s="122" t="n"/>
      <c r="AC707" s="117" t="n"/>
      <c r="AD707" s="123">
        <f>IF(SUM($AE707:$AH707)=0,"",SUM($AE707:$AH707))</f>
        <v/>
      </c>
      <c r="AE707" s="123">
        <f>iferror(IF(SUM($AI707:$AZ707)=0,"",SUM($AI707:$AZ707)),"")</f>
        <v/>
      </c>
      <c r="AF707" s="123">
        <f>iferror(IF(SUM($BA707:$BC707)=0,"",SUM($BA707:$BC707)),"")</f>
        <v/>
      </c>
      <c r="AG707" s="123">
        <f>iferror(IF(SUM($BD707:$BF707)=0,"",SUM($BD707:$BF707)),"")</f>
        <v/>
      </c>
      <c r="AH707" s="124">
        <f>iferror(IF(SUM($BG707:$BI707)=0,"",SUM($BG707:$BI707)),"")</f>
        <v/>
      </c>
      <c r="AI707" s="131" t="n"/>
      <c r="AJ707" s="132" t="n"/>
      <c r="AK707" s="132" t="n"/>
      <c r="AL707" s="132" t="n"/>
      <c r="AM707" s="132" t="n"/>
      <c r="AN707" s="132" t="n"/>
      <c r="AO707" s="132" t="n"/>
      <c r="AP707" s="132" t="n"/>
      <c r="AQ707" s="132" t="n"/>
      <c r="AR707" s="132" t="n"/>
      <c r="AS707" s="132" t="n"/>
      <c r="AT707" s="132" t="n"/>
      <c r="AU707" s="132" t="n"/>
      <c r="AV707" s="132" t="n"/>
      <c r="AW707" s="132" t="n"/>
      <c r="AX707" s="132" t="n"/>
      <c r="AY707" s="132" t="n"/>
      <c r="AZ707" s="133" t="n"/>
      <c r="BA707" s="131" t="n"/>
      <c r="BB707" s="132" t="n"/>
      <c r="BC707" s="133" t="n"/>
      <c r="BD707" s="131" t="n"/>
      <c r="BE707" s="132" t="n"/>
      <c r="BF707" s="133" t="n"/>
      <c r="BG707" s="131" t="n"/>
      <c r="BH707" s="132" t="n"/>
      <c r="BI707" s="132" t="n"/>
      <c r="BJ707" s="128">
        <f>iferror(SUM($BK707,($BL707*1.2),($BM707*1.35),($BN707*0.74)),)</f>
        <v/>
      </c>
      <c r="BK707" s="128">
        <f>IFERROR(SUM($BT707:$CK707),)</f>
        <v/>
      </c>
      <c r="BL707" s="129">
        <f>IFERROR(SUM($CL707:$CN707),)</f>
        <v/>
      </c>
      <c r="BM707" s="130">
        <f>IFERROR(SUM($CO707:$CQ707),)</f>
        <v/>
      </c>
      <c r="BN707" s="128">
        <f>IFERROR(SUM($CR707:$CT707),)</f>
        <v/>
      </c>
      <c r="BO707" s="128">
        <f>iferror(SUM($BP707,($BQ707*1.2),($BR707*1.35),($BS707*0.74)),)</f>
        <v/>
      </c>
      <c r="BP707" s="128">
        <f>IFERROR(SUM($CU707:$DL707),)</f>
        <v/>
      </c>
      <c r="BQ707" s="128">
        <f>IFERROR(SUM($DM707:$DO707),)</f>
        <v/>
      </c>
      <c r="BR707" s="128">
        <f>IFERROR(SUM($DP707:$DR707),)</f>
        <v/>
      </c>
      <c r="BS707" s="128">
        <f>IFERROR(SUM($DS707:$DU707),)</f>
        <v/>
      </c>
      <c r="BT707" s="128">
        <f>IFERROR(AI707*$W707,)</f>
        <v/>
      </c>
      <c r="BU707" s="128">
        <f>IFERROR(AJ707*$W707,)</f>
        <v/>
      </c>
      <c r="BV707" s="128">
        <f>IFERROR(AK707*$W707,)</f>
        <v/>
      </c>
      <c r="BW707" s="128">
        <f>IFERROR(AL707*$W707,)</f>
        <v/>
      </c>
      <c r="BX707" s="128">
        <f>IFERROR(AM707*$W707,)</f>
        <v/>
      </c>
      <c r="BY707" s="128">
        <f>IFERROR(AN707*$W707,)</f>
        <v/>
      </c>
      <c r="BZ707" s="128">
        <f>IFERROR(AO707*$W707,)</f>
        <v/>
      </c>
      <c r="CA707" s="128">
        <f>IFERROR(AP707*$W707,)</f>
        <v/>
      </c>
      <c r="CB707" s="128">
        <f>IFERROR(AQ707*$W707,)</f>
        <v/>
      </c>
      <c r="CC707" s="128">
        <f>IFERROR(AR707*$W707,)</f>
        <v/>
      </c>
      <c r="CD707" s="128">
        <f>IFERROR(AS707*$W707,)</f>
        <v/>
      </c>
      <c r="CE707" s="128">
        <f>IFERROR(AT707*$W707,)</f>
        <v/>
      </c>
      <c r="CF707" s="128">
        <f>IFERROR(AU707*$W707,)</f>
        <v/>
      </c>
      <c r="CG707" s="128">
        <f>IFERROR(AV707*$W707,)</f>
        <v/>
      </c>
      <c r="CH707" s="128">
        <f>IFERROR(AW707*$W707,)</f>
        <v/>
      </c>
      <c r="CI707" s="128">
        <f>IFERROR(AX707*$W707,)</f>
        <v/>
      </c>
      <c r="CJ707" s="128">
        <f>IFERROR(AY707*$W707,)</f>
        <v/>
      </c>
      <c r="CK707" s="128">
        <f>IFERROR(AZ707*$W707,)</f>
        <v/>
      </c>
      <c r="CL707" s="129">
        <f>IFERROR(if($Y707=0,BA707*($W707/1.2),BA707*$Y707),"")</f>
        <v/>
      </c>
      <c r="CM707" s="129">
        <f>IFERROR(if($Y707=0,BB707*($W707/1.2),BB707*$Y707),"")</f>
        <v/>
      </c>
      <c r="CN707" s="129">
        <f>IFERROR(if($Y707=0,BC707*($W707/1.2),BC707*$Y707),"")</f>
        <v/>
      </c>
      <c r="CO707" s="130">
        <f>IFERROR(if($AA707=0,($W707/1.35)*BD707,BD707*$AA707),)</f>
        <v/>
      </c>
      <c r="CP707" s="130">
        <f>IFERROR(if($AA707=0,($W707/1.35)*BE707,BE707*$AA707),)</f>
        <v/>
      </c>
      <c r="CQ707" s="130">
        <f>IFERROR(if($AA707=0,($W707/1.35)*BF707,BF707*$AA707),)</f>
        <v/>
      </c>
      <c r="CR707" s="128">
        <f>IFERROR(if($AC707=0,($W707/0.74)*BG707,
BG707*$AC707),)</f>
        <v/>
      </c>
      <c r="CS707" s="128">
        <f>IFERROR(if($AC707=0,($W707/0.74)*BH707,
BH707*$AC707),)</f>
        <v/>
      </c>
      <c r="CT707" s="128">
        <f>IFERROR(if($AC707=0,($W707/0.74)*BI707,
BI707*$AC707),)</f>
        <v/>
      </c>
      <c r="CU707" s="128">
        <f>IFERROR(AI707*$V707,)</f>
        <v/>
      </c>
      <c r="CV707" s="128">
        <f>IFERROR(AJ707*$V707,)</f>
        <v/>
      </c>
      <c r="CW707" s="128">
        <f>IFERROR(AK707*$V707,)</f>
        <v/>
      </c>
      <c r="CX707" s="128">
        <f>IFERROR(AL707*$V707,)</f>
        <v/>
      </c>
      <c r="CY707" s="128">
        <f>IFERROR(AM707*$V707,)</f>
        <v/>
      </c>
      <c r="CZ707" s="128">
        <f>IFERROR(AN707*$V707,)</f>
        <v/>
      </c>
      <c r="DA707" s="128">
        <f>IFERROR(AO707*$V707,)</f>
        <v/>
      </c>
      <c r="DB707" s="128">
        <f>IFERROR(AP707*$V707,)</f>
        <v/>
      </c>
      <c r="DC707" s="128">
        <f>IFERROR(AQ707*$V707,)</f>
        <v/>
      </c>
      <c r="DD707" s="128">
        <f>IFERROR(AR707*$V707,)</f>
        <v/>
      </c>
      <c r="DE707" s="128">
        <f>IFERROR(AS707*$V707,)</f>
        <v/>
      </c>
      <c r="DF707" s="128">
        <f>IFERROR(AT707*$V707,)</f>
        <v/>
      </c>
      <c r="DG707" s="128">
        <f>IFERROR(AU707*$V707,)</f>
        <v/>
      </c>
      <c r="DH707" s="128">
        <f>IFERROR(AV707*$V707,)</f>
        <v/>
      </c>
      <c r="DI707" s="128">
        <f>IFERROR(AW707*$V707,)</f>
        <v/>
      </c>
      <c r="DJ707" s="128">
        <f>IFERROR(AX707*$V707,)</f>
        <v/>
      </c>
      <c r="DK707" s="128">
        <f>IFERROR(AY707*$V707,)</f>
        <v/>
      </c>
      <c r="DL707" s="128">
        <f>IFERROR(AZ707*$V707,)</f>
        <v/>
      </c>
      <c r="DM707" s="129">
        <f>IFERROR(if($X707=0,($V707/1.2)*BA707,
BA707*$X707),)</f>
        <v/>
      </c>
      <c r="DN707" s="129">
        <f>IFERROR(if($X707=0,($V707/1.2)*BB707,
BB707*$X707),)</f>
        <v/>
      </c>
      <c r="DO707" s="129">
        <f>IFERROR(if($X707=0,($V707/1.2)*BC707,
BC707*$X707),)</f>
        <v/>
      </c>
      <c r="DP707" s="130">
        <f>IFERROR(if($Z707=0,($V707/1.35)*BD707,
BD707*$Z707),)</f>
        <v/>
      </c>
      <c r="DQ707" s="130">
        <f>IFERROR(if($Z707=0,($V707/1.35)*BE707,
BE707*$Z707),)</f>
        <v/>
      </c>
      <c r="DR707" s="130">
        <f>IFERROR(if($Z707=0,($V707/1.35)*BF707,
BF707*$Z707),)</f>
        <v/>
      </c>
      <c r="DS707" s="128">
        <f>IFERROR(IF($AB707=0,($V707/0.74)*BG707,
BG707*$AB707),)</f>
        <v/>
      </c>
      <c r="DT707" s="128">
        <f>IFERROR(IF($AB707=0,($V707/0.74)*BH707,
BH707*$AB707),)</f>
        <v/>
      </c>
      <c r="DU707" s="128">
        <f>IFERROR(IF($AB707=0,($V707/0.74)*BI707,
BI707*$AB707),)</f>
        <v/>
      </c>
    </row>
    <row r="708" ht="131.25" customHeight="1" s="162">
      <c r="A708" s="115" t="n"/>
      <c r="B708" s="115" t="n"/>
      <c r="C708" s="115" t="n"/>
      <c r="D708" s="115" t="n"/>
      <c r="E708" s="115" t="n"/>
      <c r="F708" s="115" t="n"/>
      <c r="G708" s="115" t="n"/>
      <c r="H708" s="115" t="n"/>
      <c r="I708" s="115" t="n"/>
      <c r="J708" s="115" t="n"/>
      <c r="K708" s="115" t="n"/>
      <c r="L708" s="115" t="n"/>
      <c r="M708" s="115" t="n"/>
      <c r="N708" s="115" t="n"/>
      <c r="O708" s="115" t="n"/>
      <c r="P708" s="115" t="n"/>
      <c r="Q708" s="115" t="n"/>
      <c r="R708" s="115" t="n"/>
      <c r="S708" s="115" t="n"/>
      <c r="T708" s="115" t="n"/>
      <c r="U708" s="116" t="n"/>
      <c r="V708" s="116" t="n"/>
      <c r="W708" s="117" t="n"/>
      <c r="X708" s="118" t="n"/>
      <c r="Y708" s="119" t="n"/>
      <c r="Z708" s="120" t="n"/>
      <c r="AA708" s="121" t="n"/>
      <c r="AB708" s="122" t="n"/>
      <c r="AC708" s="117" t="n"/>
      <c r="AD708" s="123">
        <f>IF(SUM($AE708:$AH708)=0,"",SUM($AE708:$AH708))</f>
        <v/>
      </c>
      <c r="AE708" s="123">
        <f>iferror(IF(SUM($AI708:$AZ708)=0,"",SUM($AI708:$AZ708)),"")</f>
        <v/>
      </c>
      <c r="AF708" s="123">
        <f>iferror(IF(SUM($BA708:$BC708)=0,"",SUM($BA708:$BC708)),"")</f>
        <v/>
      </c>
      <c r="AG708" s="123">
        <f>iferror(IF(SUM($BD708:$BF708)=0,"",SUM($BD708:$BF708)),"")</f>
        <v/>
      </c>
      <c r="AH708" s="124">
        <f>iferror(IF(SUM($BG708:$BI708)=0,"",SUM($BG708:$BI708)),"")</f>
        <v/>
      </c>
      <c r="AI708" s="131" t="n"/>
      <c r="AJ708" s="132" t="n"/>
      <c r="AK708" s="132" t="n"/>
      <c r="AL708" s="132" t="n"/>
      <c r="AM708" s="132" t="n"/>
      <c r="AN708" s="132" t="n"/>
      <c r="AO708" s="132" t="n"/>
      <c r="AP708" s="132" t="n"/>
      <c r="AQ708" s="132" t="n"/>
      <c r="AR708" s="132" t="n"/>
      <c r="AS708" s="132" t="n"/>
      <c r="AT708" s="132" t="n"/>
      <c r="AU708" s="132" t="n"/>
      <c r="AV708" s="132" t="n"/>
      <c r="AW708" s="132" t="n"/>
      <c r="AX708" s="132" t="n"/>
      <c r="AY708" s="132" t="n"/>
      <c r="AZ708" s="133" t="n"/>
      <c r="BA708" s="131" t="n"/>
      <c r="BB708" s="132" t="n"/>
      <c r="BC708" s="133" t="n"/>
      <c r="BD708" s="131" t="n"/>
      <c r="BE708" s="132" t="n"/>
      <c r="BF708" s="133" t="n"/>
      <c r="BG708" s="131" t="n"/>
      <c r="BH708" s="132" t="n"/>
      <c r="BI708" s="132" t="n"/>
      <c r="BJ708" s="128">
        <f>iferror(SUM($BK708,($BL708*1.2),($BM708*1.35),($BN708*0.74)),)</f>
        <v/>
      </c>
      <c r="BK708" s="128">
        <f>IFERROR(SUM($BT708:$CK708),)</f>
        <v/>
      </c>
      <c r="BL708" s="129">
        <f>IFERROR(SUM($CL708:$CN708),)</f>
        <v/>
      </c>
      <c r="BM708" s="130">
        <f>IFERROR(SUM($CO708:$CQ708),)</f>
        <v/>
      </c>
      <c r="BN708" s="128">
        <f>IFERROR(SUM($CR708:$CT708),)</f>
        <v/>
      </c>
      <c r="BO708" s="128">
        <f>iferror(SUM($BP708,($BQ708*1.2),($BR708*1.35),($BS708*0.74)),)</f>
        <v/>
      </c>
      <c r="BP708" s="128">
        <f>IFERROR(SUM($CU708:$DL708),)</f>
        <v/>
      </c>
      <c r="BQ708" s="128">
        <f>IFERROR(SUM($DM708:$DO708),)</f>
        <v/>
      </c>
      <c r="BR708" s="128">
        <f>IFERROR(SUM($DP708:$DR708),)</f>
        <v/>
      </c>
      <c r="BS708" s="128">
        <f>IFERROR(SUM($DS708:$DU708),)</f>
        <v/>
      </c>
      <c r="BT708" s="128">
        <f>IFERROR(AI708*$W708,)</f>
        <v/>
      </c>
      <c r="BU708" s="128">
        <f>IFERROR(AJ708*$W708,)</f>
        <v/>
      </c>
      <c r="BV708" s="128">
        <f>IFERROR(AK708*$W708,)</f>
        <v/>
      </c>
      <c r="BW708" s="128">
        <f>IFERROR(AL708*$W708,)</f>
        <v/>
      </c>
      <c r="BX708" s="128">
        <f>IFERROR(AM708*$W708,)</f>
        <v/>
      </c>
      <c r="BY708" s="128">
        <f>IFERROR(AN708*$W708,)</f>
        <v/>
      </c>
      <c r="BZ708" s="128">
        <f>IFERROR(AO708*$W708,)</f>
        <v/>
      </c>
      <c r="CA708" s="128">
        <f>IFERROR(AP708*$W708,)</f>
        <v/>
      </c>
      <c r="CB708" s="128">
        <f>IFERROR(AQ708*$W708,)</f>
        <v/>
      </c>
      <c r="CC708" s="128">
        <f>IFERROR(AR708*$W708,)</f>
        <v/>
      </c>
      <c r="CD708" s="128">
        <f>IFERROR(AS708*$W708,)</f>
        <v/>
      </c>
      <c r="CE708" s="128">
        <f>IFERROR(AT708*$W708,)</f>
        <v/>
      </c>
      <c r="CF708" s="128">
        <f>IFERROR(AU708*$W708,)</f>
        <v/>
      </c>
      <c r="CG708" s="128">
        <f>IFERROR(AV708*$W708,)</f>
        <v/>
      </c>
      <c r="CH708" s="128">
        <f>IFERROR(AW708*$W708,)</f>
        <v/>
      </c>
      <c r="CI708" s="128">
        <f>IFERROR(AX708*$W708,)</f>
        <v/>
      </c>
      <c r="CJ708" s="128">
        <f>IFERROR(AY708*$W708,)</f>
        <v/>
      </c>
      <c r="CK708" s="128">
        <f>IFERROR(AZ708*$W708,)</f>
        <v/>
      </c>
      <c r="CL708" s="129">
        <f>IFERROR(if($Y708=0,BA708*($W708/1.2),BA708*$Y708),"")</f>
        <v/>
      </c>
      <c r="CM708" s="129">
        <f>IFERROR(if($Y708=0,BB708*($W708/1.2),BB708*$Y708),"")</f>
        <v/>
      </c>
      <c r="CN708" s="129">
        <f>IFERROR(if($Y708=0,BC708*($W708/1.2),BC708*$Y708),"")</f>
        <v/>
      </c>
      <c r="CO708" s="130">
        <f>IFERROR(if($AA708=0,($W708/1.35)*BD708,BD708*$AA708),)</f>
        <v/>
      </c>
      <c r="CP708" s="130">
        <f>IFERROR(if($AA708=0,($W708/1.35)*BE708,BE708*$AA708),)</f>
        <v/>
      </c>
      <c r="CQ708" s="130">
        <f>IFERROR(if($AA708=0,($W708/1.35)*BF708,BF708*$AA708),)</f>
        <v/>
      </c>
      <c r="CR708" s="128">
        <f>IFERROR(if($AC708=0,($W708/0.74)*BG708,
BG708*$AC708),)</f>
        <v/>
      </c>
      <c r="CS708" s="128">
        <f>IFERROR(if($AC708=0,($W708/0.74)*BH708,
BH708*$AC708),)</f>
        <v/>
      </c>
      <c r="CT708" s="128">
        <f>IFERROR(if($AC708=0,($W708/0.74)*BI708,
BI708*$AC708),)</f>
        <v/>
      </c>
      <c r="CU708" s="128">
        <f>IFERROR(AI708*$V708,)</f>
        <v/>
      </c>
      <c r="CV708" s="128">
        <f>IFERROR(AJ708*$V708,)</f>
        <v/>
      </c>
      <c r="CW708" s="128">
        <f>IFERROR(AK708*$V708,)</f>
        <v/>
      </c>
      <c r="CX708" s="128">
        <f>IFERROR(AL708*$V708,)</f>
        <v/>
      </c>
      <c r="CY708" s="128">
        <f>IFERROR(AM708*$V708,)</f>
        <v/>
      </c>
      <c r="CZ708" s="128">
        <f>IFERROR(AN708*$V708,)</f>
        <v/>
      </c>
      <c r="DA708" s="128">
        <f>IFERROR(AO708*$V708,)</f>
        <v/>
      </c>
      <c r="DB708" s="128">
        <f>IFERROR(AP708*$V708,)</f>
        <v/>
      </c>
      <c r="DC708" s="128">
        <f>IFERROR(AQ708*$V708,)</f>
        <v/>
      </c>
      <c r="DD708" s="128">
        <f>IFERROR(AR708*$V708,)</f>
        <v/>
      </c>
      <c r="DE708" s="128">
        <f>IFERROR(AS708*$V708,)</f>
        <v/>
      </c>
      <c r="DF708" s="128">
        <f>IFERROR(AT708*$V708,)</f>
        <v/>
      </c>
      <c r="DG708" s="128">
        <f>IFERROR(AU708*$V708,)</f>
        <v/>
      </c>
      <c r="DH708" s="128">
        <f>IFERROR(AV708*$V708,)</f>
        <v/>
      </c>
      <c r="DI708" s="128">
        <f>IFERROR(AW708*$V708,)</f>
        <v/>
      </c>
      <c r="DJ708" s="128">
        <f>IFERROR(AX708*$V708,)</f>
        <v/>
      </c>
      <c r="DK708" s="128">
        <f>IFERROR(AY708*$V708,)</f>
        <v/>
      </c>
      <c r="DL708" s="128">
        <f>IFERROR(AZ708*$V708,)</f>
        <v/>
      </c>
      <c r="DM708" s="129">
        <f>IFERROR(if($X708=0,($V708/1.2)*BA708,
BA708*$X708),)</f>
        <v/>
      </c>
      <c r="DN708" s="129">
        <f>IFERROR(if($X708=0,($V708/1.2)*BB708,
BB708*$X708),)</f>
        <v/>
      </c>
      <c r="DO708" s="129">
        <f>IFERROR(if($X708=0,($V708/1.2)*BC708,
BC708*$X708),)</f>
        <v/>
      </c>
      <c r="DP708" s="130">
        <f>IFERROR(if($Z708=0,($V708/1.35)*BD708,
BD708*$Z708),)</f>
        <v/>
      </c>
      <c r="DQ708" s="130">
        <f>IFERROR(if($Z708=0,($V708/1.35)*BE708,
BE708*$Z708),)</f>
        <v/>
      </c>
      <c r="DR708" s="130">
        <f>IFERROR(if($Z708=0,($V708/1.35)*BF708,
BF708*$Z708),)</f>
        <v/>
      </c>
      <c r="DS708" s="128">
        <f>IFERROR(IF($AB708=0,($V708/0.74)*BG708,
BG708*$AB708),)</f>
        <v/>
      </c>
      <c r="DT708" s="128">
        <f>IFERROR(IF($AB708=0,($V708/0.74)*BH708,
BH708*$AB708),)</f>
        <v/>
      </c>
      <c r="DU708" s="128">
        <f>IFERROR(IF($AB708=0,($V708/0.74)*BI708,
BI708*$AB708),)</f>
        <v/>
      </c>
    </row>
    <row r="709" ht="131.25" customHeight="1" s="162">
      <c r="A709" s="115" t="n"/>
      <c r="B709" s="115" t="n"/>
      <c r="C709" s="115" t="n"/>
      <c r="D709" s="115" t="n"/>
      <c r="E709" s="115" t="n"/>
      <c r="F709" s="115" t="n"/>
      <c r="G709" s="115" t="n"/>
      <c r="H709" s="115" t="n"/>
      <c r="I709" s="115" t="n"/>
      <c r="J709" s="115" t="n"/>
      <c r="K709" s="115" t="n"/>
      <c r="L709" s="115" t="n"/>
      <c r="M709" s="115" t="n"/>
      <c r="N709" s="115" t="n"/>
      <c r="O709" s="115" t="n"/>
      <c r="P709" s="115" t="n"/>
      <c r="Q709" s="115" t="n"/>
      <c r="R709" s="115" t="n"/>
      <c r="S709" s="115" t="n"/>
      <c r="T709" s="115" t="n"/>
      <c r="U709" s="116" t="n"/>
      <c r="V709" s="116" t="n"/>
      <c r="W709" s="117" t="n"/>
      <c r="X709" s="118" t="n"/>
      <c r="Y709" s="119" t="n"/>
      <c r="Z709" s="120" t="n"/>
      <c r="AA709" s="121" t="n"/>
      <c r="AB709" s="122" t="n"/>
      <c r="AC709" s="117" t="n"/>
      <c r="AD709" s="123">
        <f>IF(SUM($AE709:$AH709)=0,"",SUM($AE709:$AH709))</f>
        <v/>
      </c>
      <c r="AE709" s="123">
        <f>iferror(IF(SUM($AI709:$AZ709)=0,"",SUM($AI709:$AZ709)),"")</f>
        <v/>
      </c>
      <c r="AF709" s="123">
        <f>iferror(IF(SUM($BA709:$BC709)=0,"",SUM($BA709:$BC709)),"")</f>
        <v/>
      </c>
      <c r="AG709" s="123">
        <f>iferror(IF(SUM($BD709:$BF709)=0,"",SUM($BD709:$BF709)),"")</f>
        <v/>
      </c>
      <c r="AH709" s="124">
        <f>iferror(IF(SUM($BG709:$BI709)=0,"",SUM($BG709:$BI709)),"")</f>
        <v/>
      </c>
      <c r="AI709" s="131" t="n"/>
      <c r="AJ709" s="132" t="n"/>
      <c r="AK709" s="132" t="n"/>
      <c r="AL709" s="132" t="n"/>
      <c r="AM709" s="132" t="n"/>
      <c r="AN709" s="132" t="n"/>
      <c r="AO709" s="132" t="n"/>
      <c r="AP709" s="132" t="n"/>
      <c r="AQ709" s="132" t="n"/>
      <c r="AR709" s="132" t="n"/>
      <c r="AS709" s="132" t="n"/>
      <c r="AT709" s="132" t="n"/>
      <c r="AU709" s="132" t="n"/>
      <c r="AV709" s="132" t="n"/>
      <c r="AW709" s="132" t="n"/>
      <c r="AX709" s="132" t="n"/>
      <c r="AY709" s="132" t="n"/>
      <c r="AZ709" s="133" t="n"/>
      <c r="BA709" s="131" t="n"/>
      <c r="BB709" s="132" t="n"/>
      <c r="BC709" s="133" t="n"/>
      <c r="BD709" s="131" t="n"/>
      <c r="BE709" s="132" t="n"/>
      <c r="BF709" s="133" t="n"/>
      <c r="BG709" s="131" t="n"/>
      <c r="BH709" s="132" t="n"/>
      <c r="BI709" s="132" t="n"/>
      <c r="BJ709" s="128">
        <f>iferror(SUM($BK709,($BL709*1.2),($BM709*1.35),($BN709*0.74)),)</f>
        <v/>
      </c>
      <c r="BK709" s="128">
        <f>IFERROR(SUM($BT709:$CK709),)</f>
        <v/>
      </c>
      <c r="BL709" s="129">
        <f>IFERROR(SUM($CL709:$CN709),)</f>
        <v/>
      </c>
      <c r="BM709" s="130">
        <f>IFERROR(SUM($CO709:$CQ709),)</f>
        <v/>
      </c>
      <c r="BN709" s="128">
        <f>IFERROR(SUM($CR709:$CT709),)</f>
        <v/>
      </c>
      <c r="BO709" s="128">
        <f>iferror(SUM($BP709,($BQ709*1.2),($BR709*1.35),($BS709*0.74)),)</f>
        <v/>
      </c>
      <c r="BP709" s="128">
        <f>IFERROR(SUM($CU709:$DL709),)</f>
        <v/>
      </c>
      <c r="BQ709" s="128">
        <f>IFERROR(SUM($DM709:$DO709),)</f>
        <v/>
      </c>
      <c r="BR709" s="128">
        <f>IFERROR(SUM($DP709:$DR709),)</f>
        <v/>
      </c>
      <c r="BS709" s="128">
        <f>IFERROR(SUM($DS709:$DU709),)</f>
        <v/>
      </c>
      <c r="BT709" s="128">
        <f>IFERROR(AI709*$W709,)</f>
        <v/>
      </c>
      <c r="BU709" s="128">
        <f>IFERROR(AJ709*$W709,)</f>
        <v/>
      </c>
      <c r="BV709" s="128">
        <f>IFERROR(AK709*$W709,)</f>
        <v/>
      </c>
      <c r="BW709" s="128">
        <f>IFERROR(AL709*$W709,)</f>
        <v/>
      </c>
      <c r="BX709" s="128">
        <f>IFERROR(AM709*$W709,)</f>
        <v/>
      </c>
      <c r="BY709" s="128">
        <f>IFERROR(AN709*$W709,)</f>
        <v/>
      </c>
      <c r="BZ709" s="128">
        <f>IFERROR(AO709*$W709,)</f>
        <v/>
      </c>
      <c r="CA709" s="128">
        <f>IFERROR(AP709*$W709,)</f>
        <v/>
      </c>
      <c r="CB709" s="128">
        <f>IFERROR(AQ709*$W709,)</f>
        <v/>
      </c>
      <c r="CC709" s="128">
        <f>IFERROR(AR709*$W709,)</f>
        <v/>
      </c>
      <c r="CD709" s="128">
        <f>IFERROR(AS709*$W709,)</f>
        <v/>
      </c>
      <c r="CE709" s="128">
        <f>IFERROR(AT709*$W709,)</f>
        <v/>
      </c>
      <c r="CF709" s="128">
        <f>IFERROR(AU709*$W709,)</f>
        <v/>
      </c>
      <c r="CG709" s="128">
        <f>IFERROR(AV709*$W709,)</f>
        <v/>
      </c>
      <c r="CH709" s="128">
        <f>IFERROR(AW709*$W709,)</f>
        <v/>
      </c>
      <c r="CI709" s="128">
        <f>IFERROR(AX709*$W709,)</f>
        <v/>
      </c>
      <c r="CJ709" s="128">
        <f>IFERROR(AY709*$W709,)</f>
        <v/>
      </c>
      <c r="CK709" s="128">
        <f>IFERROR(AZ709*$W709,)</f>
        <v/>
      </c>
      <c r="CL709" s="129">
        <f>IFERROR(if($Y709=0,BA709*($W709/1.2),BA709*$Y709),"")</f>
        <v/>
      </c>
      <c r="CM709" s="129">
        <f>IFERROR(if($Y709=0,BB709*($W709/1.2),BB709*$Y709),"")</f>
        <v/>
      </c>
      <c r="CN709" s="129">
        <f>IFERROR(if($Y709=0,BC709*($W709/1.2),BC709*$Y709),"")</f>
        <v/>
      </c>
      <c r="CO709" s="130">
        <f>IFERROR(if($AA709=0,($W709/1.35)*BD709,BD709*$AA709),)</f>
        <v/>
      </c>
      <c r="CP709" s="130">
        <f>IFERROR(if($AA709=0,($W709/1.35)*BE709,BE709*$AA709),)</f>
        <v/>
      </c>
      <c r="CQ709" s="130">
        <f>IFERROR(if($AA709=0,($W709/1.35)*BF709,BF709*$AA709),)</f>
        <v/>
      </c>
      <c r="CR709" s="128">
        <f>IFERROR(if($AC709=0,($W709/0.74)*BG709,
BG709*$AC709),)</f>
        <v/>
      </c>
      <c r="CS709" s="128">
        <f>IFERROR(if($AC709=0,($W709/0.74)*BH709,
BH709*$AC709),)</f>
        <v/>
      </c>
      <c r="CT709" s="128">
        <f>IFERROR(if($AC709=0,($W709/0.74)*BI709,
BI709*$AC709),)</f>
        <v/>
      </c>
      <c r="CU709" s="128">
        <f>IFERROR(AI709*$V709,)</f>
        <v/>
      </c>
      <c r="CV709" s="128">
        <f>IFERROR(AJ709*$V709,)</f>
        <v/>
      </c>
      <c r="CW709" s="128">
        <f>IFERROR(AK709*$V709,)</f>
        <v/>
      </c>
      <c r="CX709" s="128">
        <f>IFERROR(AL709*$V709,)</f>
        <v/>
      </c>
      <c r="CY709" s="128">
        <f>IFERROR(AM709*$V709,)</f>
        <v/>
      </c>
      <c r="CZ709" s="128">
        <f>IFERROR(AN709*$V709,)</f>
        <v/>
      </c>
      <c r="DA709" s="128">
        <f>IFERROR(AO709*$V709,)</f>
        <v/>
      </c>
      <c r="DB709" s="128">
        <f>IFERROR(AP709*$V709,)</f>
        <v/>
      </c>
      <c r="DC709" s="128">
        <f>IFERROR(AQ709*$V709,)</f>
        <v/>
      </c>
      <c r="DD709" s="128">
        <f>IFERROR(AR709*$V709,)</f>
        <v/>
      </c>
      <c r="DE709" s="128">
        <f>IFERROR(AS709*$V709,)</f>
        <v/>
      </c>
      <c r="DF709" s="128">
        <f>IFERROR(AT709*$V709,)</f>
        <v/>
      </c>
      <c r="DG709" s="128">
        <f>IFERROR(AU709*$V709,)</f>
        <v/>
      </c>
      <c r="DH709" s="128">
        <f>IFERROR(AV709*$V709,)</f>
        <v/>
      </c>
      <c r="DI709" s="128">
        <f>IFERROR(AW709*$V709,)</f>
        <v/>
      </c>
      <c r="DJ709" s="128">
        <f>IFERROR(AX709*$V709,)</f>
        <v/>
      </c>
      <c r="DK709" s="128">
        <f>IFERROR(AY709*$V709,)</f>
        <v/>
      </c>
      <c r="DL709" s="128">
        <f>IFERROR(AZ709*$V709,)</f>
        <v/>
      </c>
      <c r="DM709" s="129">
        <f>IFERROR(if($X709=0,($V709/1.2)*BA709,
BA709*$X709),)</f>
        <v/>
      </c>
      <c r="DN709" s="129">
        <f>IFERROR(if($X709=0,($V709/1.2)*BB709,
BB709*$X709),)</f>
        <v/>
      </c>
      <c r="DO709" s="129">
        <f>IFERROR(if($X709=0,($V709/1.2)*BC709,
BC709*$X709),)</f>
        <v/>
      </c>
      <c r="DP709" s="130">
        <f>IFERROR(if($Z709=0,($V709/1.35)*BD709,
BD709*$Z709),)</f>
        <v/>
      </c>
      <c r="DQ709" s="130">
        <f>IFERROR(if($Z709=0,($V709/1.35)*BE709,
BE709*$Z709),)</f>
        <v/>
      </c>
      <c r="DR709" s="130">
        <f>IFERROR(if($Z709=0,($V709/1.35)*BF709,
BF709*$Z709),)</f>
        <v/>
      </c>
      <c r="DS709" s="128">
        <f>IFERROR(IF($AB709=0,($V709/0.74)*BG709,
BG709*$AB709),)</f>
        <v/>
      </c>
      <c r="DT709" s="128">
        <f>IFERROR(IF($AB709=0,($V709/0.74)*BH709,
BH709*$AB709),)</f>
        <v/>
      </c>
      <c r="DU709" s="128">
        <f>IFERROR(IF($AB709=0,($V709/0.74)*BI709,
BI709*$AB709),)</f>
        <v/>
      </c>
    </row>
    <row r="710" ht="131.25" customHeight="1" s="162">
      <c r="A710" s="115" t="n"/>
      <c r="B710" s="115" t="n"/>
      <c r="C710" s="115" t="n"/>
      <c r="D710" s="115" t="n"/>
      <c r="E710" s="115" t="n"/>
      <c r="F710" s="115" t="n"/>
      <c r="G710" s="115" t="n"/>
      <c r="H710" s="115" t="n"/>
      <c r="I710" s="115" t="n"/>
      <c r="J710" s="115" t="n"/>
      <c r="K710" s="115" t="n"/>
      <c r="L710" s="115" t="n"/>
      <c r="M710" s="115" t="n"/>
      <c r="N710" s="115" t="n"/>
      <c r="O710" s="115" t="n"/>
      <c r="P710" s="115" t="n"/>
      <c r="Q710" s="115" t="n"/>
      <c r="R710" s="115" t="n"/>
      <c r="S710" s="115" t="n"/>
      <c r="T710" s="115" t="n"/>
      <c r="U710" s="116" t="n"/>
      <c r="V710" s="116" t="n"/>
      <c r="W710" s="117" t="n"/>
      <c r="X710" s="118" t="n"/>
      <c r="Y710" s="119" t="n"/>
      <c r="Z710" s="120" t="n"/>
      <c r="AA710" s="121" t="n"/>
      <c r="AB710" s="122" t="n"/>
      <c r="AC710" s="117" t="n"/>
      <c r="AD710" s="123">
        <f>IF(SUM($AE710:$AH710)=0,"",SUM($AE710:$AH710))</f>
        <v/>
      </c>
      <c r="AE710" s="123">
        <f>iferror(IF(SUM($AI710:$AZ710)=0,"",SUM($AI710:$AZ710)),"")</f>
        <v/>
      </c>
      <c r="AF710" s="123">
        <f>iferror(IF(SUM($BA710:$BC710)=0,"",SUM($BA710:$BC710)),"")</f>
        <v/>
      </c>
      <c r="AG710" s="123">
        <f>iferror(IF(SUM($BD710:$BF710)=0,"",SUM($BD710:$BF710)),"")</f>
        <v/>
      </c>
      <c r="AH710" s="124">
        <f>iferror(IF(SUM($BG710:$BI710)=0,"",SUM($BG710:$BI710)),"")</f>
        <v/>
      </c>
      <c r="AI710" s="131" t="n"/>
      <c r="AJ710" s="132" t="n"/>
      <c r="AK710" s="132" t="n"/>
      <c r="AL710" s="132" t="n"/>
      <c r="AM710" s="132" t="n"/>
      <c r="AN710" s="132" t="n"/>
      <c r="AO710" s="132" t="n"/>
      <c r="AP710" s="132" t="n"/>
      <c r="AQ710" s="132" t="n"/>
      <c r="AR710" s="132" t="n"/>
      <c r="AS710" s="132" t="n"/>
      <c r="AT710" s="132" t="n"/>
      <c r="AU710" s="132" t="n"/>
      <c r="AV710" s="132" t="n"/>
      <c r="AW710" s="132" t="n"/>
      <c r="AX710" s="132" t="n"/>
      <c r="AY710" s="132" t="n"/>
      <c r="AZ710" s="133" t="n"/>
      <c r="BA710" s="131" t="n"/>
      <c r="BB710" s="132" t="n"/>
      <c r="BC710" s="133" t="n"/>
      <c r="BD710" s="131" t="n"/>
      <c r="BE710" s="132" t="n"/>
      <c r="BF710" s="133" t="n"/>
      <c r="BG710" s="131" t="n"/>
      <c r="BH710" s="132" t="n"/>
      <c r="BI710" s="132" t="n"/>
      <c r="BJ710" s="128">
        <f>iferror(SUM($BK710,($BL710*1.2),($BM710*1.35),($BN710*0.74)),)</f>
        <v/>
      </c>
      <c r="BK710" s="128">
        <f>IFERROR(SUM($BT710:$CK710),)</f>
        <v/>
      </c>
      <c r="BL710" s="129">
        <f>IFERROR(SUM($CL710:$CN710),)</f>
        <v/>
      </c>
      <c r="BM710" s="130">
        <f>IFERROR(SUM($CO710:$CQ710),)</f>
        <v/>
      </c>
      <c r="BN710" s="128">
        <f>IFERROR(SUM($CR710:$CT710),)</f>
        <v/>
      </c>
      <c r="BO710" s="128">
        <f>iferror(SUM($BP710,($BQ710*1.2),($BR710*1.35),($BS710*0.74)),)</f>
        <v/>
      </c>
      <c r="BP710" s="128">
        <f>IFERROR(SUM($CU710:$DL710),)</f>
        <v/>
      </c>
      <c r="BQ710" s="128">
        <f>IFERROR(SUM($DM710:$DO710),)</f>
        <v/>
      </c>
      <c r="BR710" s="128">
        <f>IFERROR(SUM($DP710:$DR710),)</f>
        <v/>
      </c>
      <c r="BS710" s="128">
        <f>IFERROR(SUM($DS710:$DU710),)</f>
        <v/>
      </c>
      <c r="BT710" s="128">
        <f>IFERROR(AI710*$W710,)</f>
        <v/>
      </c>
      <c r="BU710" s="128">
        <f>IFERROR(AJ710*$W710,)</f>
        <v/>
      </c>
      <c r="BV710" s="128">
        <f>IFERROR(AK710*$W710,)</f>
        <v/>
      </c>
      <c r="BW710" s="128">
        <f>IFERROR(AL710*$W710,)</f>
        <v/>
      </c>
      <c r="BX710" s="128">
        <f>IFERROR(AM710*$W710,)</f>
        <v/>
      </c>
      <c r="BY710" s="128">
        <f>IFERROR(AN710*$W710,)</f>
        <v/>
      </c>
      <c r="BZ710" s="128">
        <f>IFERROR(AO710*$W710,)</f>
        <v/>
      </c>
      <c r="CA710" s="128">
        <f>IFERROR(AP710*$W710,)</f>
        <v/>
      </c>
      <c r="CB710" s="128">
        <f>IFERROR(AQ710*$W710,)</f>
        <v/>
      </c>
      <c r="CC710" s="128">
        <f>IFERROR(AR710*$W710,)</f>
        <v/>
      </c>
      <c r="CD710" s="128">
        <f>IFERROR(AS710*$W710,)</f>
        <v/>
      </c>
      <c r="CE710" s="128">
        <f>IFERROR(AT710*$W710,)</f>
        <v/>
      </c>
      <c r="CF710" s="128">
        <f>IFERROR(AU710*$W710,)</f>
        <v/>
      </c>
      <c r="CG710" s="128">
        <f>IFERROR(AV710*$W710,)</f>
        <v/>
      </c>
      <c r="CH710" s="128">
        <f>IFERROR(AW710*$W710,)</f>
        <v/>
      </c>
      <c r="CI710" s="128">
        <f>IFERROR(AX710*$W710,)</f>
        <v/>
      </c>
      <c r="CJ710" s="128">
        <f>IFERROR(AY710*$W710,)</f>
        <v/>
      </c>
      <c r="CK710" s="128">
        <f>IFERROR(AZ710*$W710,)</f>
        <v/>
      </c>
      <c r="CL710" s="129">
        <f>IFERROR(if($Y710=0,BA710*($W710/1.2),BA710*$Y710),"")</f>
        <v/>
      </c>
      <c r="CM710" s="129">
        <f>IFERROR(if($Y710=0,BB710*($W710/1.2),BB710*$Y710),"")</f>
        <v/>
      </c>
      <c r="CN710" s="129">
        <f>IFERROR(if($Y710=0,BC710*($W710/1.2),BC710*$Y710),"")</f>
        <v/>
      </c>
      <c r="CO710" s="130">
        <f>IFERROR(if($AA710=0,($W710/1.35)*BD710,BD710*$AA710),)</f>
        <v/>
      </c>
      <c r="CP710" s="130">
        <f>IFERROR(if($AA710=0,($W710/1.35)*BE710,BE710*$AA710),)</f>
        <v/>
      </c>
      <c r="CQ710" s="130">
        <f>IFERROR(if($AA710=0,($W710/1.35)*BF710,BF710*$AA710),)</f>
        <v/>
      </c>
      <c r="CR710" s="128">
        <f>IFERROR(if($AC710=0,($W710/0.74)*BG710,
BG710*$AC710),)</f>
        <v/>
      </c>
      <c r="CS710" s="128">
        <f>IFERROR(if($AC710=0,($W710/0.74)*BH710,
BH710*$AC710),)</f>
        <v/>
      </c>
      <c r="CT710" s="128">
        <f>IFERROR(if($AC710=0,($W710/0.74)*BI710,
BI710*$AC710),)</f>
        <v/>
      </c>
      <c r="CU710" s="128">
        <f>IFERROR(AI710*$V710,)</f>
        <v/>
      </c>
      <c r="CV710" s="128">
        <f>IFERROR(AJ710*$V710,)</f>
        <v/>
      </c>
      <c r="CW710" s="128">
        <f>IFERROR(AK710*$V710,)</f>
        <v/>
      </c>
      <c r="CX710" s="128">
        <f>IFERROR(AL710*$V710,)</f>
        <v/>
      </c>
      <c r="CY710" s="128">
        <f>IFERROR(AM710*$V710,)</f>
        <v/>
      </c>
      <c r="CZ710" s="128">
        <f>IFERROR(AN710*$V710,)</f>
        <v/>
      </c>
      <c r="DA710" s="128">
        <f>IFERROR(AO710*$V710,)</f>
        <v/>
      </c>
      <c r="DB710" s="128">
        <f>IFERROR(AP710*$V710,)</f>
        <v/>
      </c>
      <c r="DC710" s="128">
        <f>IFERROR(AQ710*$V710,)</f>
        <v/>
      </c>
      <c r="DD710" s="128">
        <f>IFERROR(AR710*$V710,)</f>
        <v/>
      </c>
      <c r="DE710" s="128">
        <f>IFERROR(AS710*$V710,)</f>
        <v/>
      </c>
      <c r="DF710" s="128">
        <f>IFERROR(AT710*$V710,)</f>
        <v/>
      </c>
      <c r="DG710" s="128">
        <f>IFERROR(AU710*$V710,)</f>
        <v/>
      </c>
      <c r="DH710" s="128">
        <f>IFERROR(AV710*$V710,)</f>
        <v/>
      </c>
      <c r="DI710" s="128">
        <f>IFERROR(AW710*$V710,)</f>
        <v/>
      </c>
      <c r="DJ710" s="128">
        <f>IFERROR(AX710*$V710,)</f>
        <v/>
      </c>
      <c r="DK710" s="128">
        <f>IFERROR(AY710*$V710,)</f>
        <v/>
      </c>
      <c r="DL710" s="128">
        <f>IFERROR(AZ710*$V710,)</f>
        <v/>
      </c>
      <c r="DM710" s="129">
        <f>IFERROR(if($X710=0,($V710/1.2)*BA710,
BA710*$X710),)</f>
        <v/>
      </c>
      <c r="DN710" s="129">
        <f>IFERROR(if($X710=0,($V710/1.2)*BB710,
BB710*$X710),)</f>
        <v/>
      </c>
      <c r="DO710" s="129">
        <f>IFERROR(if($X710=0,($V710/1.2)*BC710,
BC710*$X710),)</f>
        <v/>
      </c>
      <c r="DP710" s="130">
        <f>IFERROR(if($Z710=0,($V710/1.35)*BD710,
BD710*$Z710),)</f>
        <v/>
      </c>
      <c r="DQ710" s="130">
        <f>IFERROR(if($Z710=0,($V710/1.35)*BE710,
BE710*$Z710),)</f>
        <v/>
      </c>
      <c r="DR710" s="130">
        <f>IFERROR(if($Z710=0,($V710/1.35)*BF710,
BF710*$Z710),)</f>
        <v/>
      </c>
      <c r="DS710" s="128">
        <f>IFERROR(IF($AB710=0,($V710/0.74)*BG710,
BG710*$AB710),)</f>
        <v/>
      </c>
      <c r="DT710" s="128">
        <f>IFERROR(IF($AB710=0,($V710/0.74)*BH710,
BH710*$AB710),)</f>
        <v/>
      </c>
      <c r="DU710" s="128">
        <f>IFERROR(IF($AB710=0,($V710/0.74)*BI710,
BI710*$AB710),)</f>
        <v/>
      </c>
    </row>
    <row r="711" ht="131.25" customHeight="1" s="162">
      <c r="A711" s="115" t="n"/>
      <c r="B711" s="115" t="n"/>
      <c r="C711" s="115" t="n"/>
      <c r="D711" s="115" t="n"/>
      <c r="E711" s="115" t="n"/>
      <c r="F711" s="115" t="n"/>
      <c r="G711" s="115" t="n"/>
      <c r="H711" s="115" t="n"/>
      <c r="I711" s="115" t="n"/>
      <c r="J711" s="115" t="n"/>
      <c r="K711" s="115" t="n"/>
      <c r="L711" s="115" t="n"/>
      <c r="M711" s="115" t="n"/>
      <c r="N711" s="115" t="n"/>
      <c r="O711" s="115" t="n"/>
      <c r="P711" s="115" t="n"/>
      <c r="Q711" s="115" t="n"/>
      <c r="R711" s="115" t="n"/>
      <c r="S711" s="115" t="n"/>
      <c r="T711" s="115" t="n"/>
      <c r="U711" s="116" t="n"/>
      <c r="V711" s="116" t="n"/>
      <c r="W711" s="117" t="n"/>
      <c r="X711" s="118" t="n"/>
      <c r="Y711" s="119" t="n"/>
      <c r="Z711" s="120" t="n"/>
      <c r="AA711" s="121" t="n"/>
      <c r="AB711" s="122" t="n"/>
      <c r="AC711" s="117" t="n"/>
      <c r="AD711" s="123">
        <f>IF(SUM($AE711:$AH711)=0,"",SUM($AE711:$AH711))</f>
        <v/>
      </c>
      <c r="AE711" s="123">
        <f>iferror(IF(SUM($AI711:$AZ711)=0,"",SUM($AI711:$AZ711)),"")</f>
        <v/>
      </c>
      <c r="AF711" s="123">
        <f>iferror(IF(SUM($BA711:$BC711)=0,"",SUM($BA711:$BC711)),"")</f>
        <v/>
      </c>
      <c r="AG711" s="123">
        <f>iferror(IF(SUM($BD711:$BF711)=0,"",SUM($BD711:$BF711)),"")</f>
        <v/>
      </c>
      <c r="AH711" s="124">
        <f>iferror(IF(SUM($BG711:$BI711)=0,"",SUM($BG711:$BI711)),"")</f>
        <v/>
      </c>
      <c r="AI711" s="131" t="n"/>
      <c r="AJ711" s="132" t="n"/>
      <c r="AK711" s="132" t="n"/>
      <c r="AL711" s="132" t="n"/>
      <c r="AM711" s="132" t="n"/>
      <c r="AN711" s="132" t="n"/>
      <c r="AO711" s="132" t="n"/>
      <c r="AP711" s="132" t="n"/>
      <c r="AQ711" s="132" t="n"/>
      <c r="AR711" s="132" t="n"/>
      <c r="AS711" s="132" t="n"/>
      <c r="AT711" s="132" t="n"/>
      <c r="AU711" s="132" t="n"/>
      <c r="AV711" s="132" t="n"/>
      <c r="AW711" s="132" t="n"/>
      <c r="AX711" s="132" t="n"/>
      <c r="AY711" s="132" t="n"/>
      <c r="AZ711" s="133" t="n"/>
      <c r="BA711" s="131" t="n"/>
      <c r="BB711" s="132" t="n"/>
      <c r="BC711" s="133" t="n"/>
      <c r="BD711" s="131" t="n"/>
      <c r="BE711" s="132" t="n"/>
      <c r="BF711" s="133" t="n"/>
      <c r="BG711" s="131" t="n"/>
      <c r="BH711" s="132" t="n"/>
      <c r="BI711" s="132" t="n"/>
      <c r="BJ711" s="128">
        <f>iferror(SUM($BK711,($BL711*1.2),($BM711*1.35),($BN711*0.74)),)</f>
        <v/>
      </c>
      <c r="BK711" s="128">
        <f>IFERROR(SUM($BT711:$CK711),)</f>
        <v/>
      </c>
      <c r="BL711" s="129">
        <f>IFERROR(SUM($CL711:$CN711),)</f>
        <v/>
      </c>
      <c r="BM711" s="130">
        <f>IFERROR(SUM($CO711:$CQ711),)</f>
        <v/>
      </c>
      <c r="BN711" s="128">
        <f>IFERROR(SUM($CR711:$CT711),)</f>
        <v/>
      </c>
      <c r="BO711" s="128">
        <f>iferror(SUM($BP711,($BQ711*1.2),($BR711*1.35),($BS711*0.74)),)</f>
        <v/>
      </c>
      <c r="BP711" s="128">
        <f>IFERROR(SUM($CU711:$DL711),)</f>
        <v/>
      </c>
      <c r="BQ711" s="128">
        <f>IFERROR(SUM($DM711:$DO711),)</f>
        <v/>
      </c>
      <c r="BR711" s="128">
        <f>IFERROR(SUM($DP711:$DR711),)</f>
        <v/>
      </c>
      <c r="BS711" s="128">
        <f>IFERROR(SUM($DS711:$DU711),)</f>
        <v/>
      </c>
      <c r="BT711" s="128">
        <f>IFERROR(AI711*$W711,)</f>
        <v/>
      </c>
      <c r="BU711" s="128">
        <f>IFERROR(AJ711*$W711,)</f>
        <v/>
      </c>
      <c r="BV711" s="128">
        <f>IFERROR(AK711*$W711,)</f>
        <v/>
      </c>
      <c r="BW711" s="128">
        <f>IFERROR(AL711*$W711,)</f>
        <v/>
      </c>
      <c r="BX711" s="128">
        <f>IFERROR(AM711*$W711,)</f>
        <v/>
      </c>
      <c r="BY711" s="128">
        <f>IFERROR(AN711*$W711,)</f>
        <v/>
      </c>
      <c r="BZ711" s="128">
        <f>IFERROR(AO711*$W711,)</f>
        <v/>
      </c>
      <c r="CA711" s="128">
        <f>IFERROR(AP711*$W711,)</f>
        <v/>
      </c>
      <c r="CB711" s="128">
        <f>IFERROR(AQ711*$W711,)</f>
        <v/>
      </c>
      <c r="CC711" s="128">
        <f>IFERROR(AR711*$W711,)</f>
        <v/>
      </c>
      <c r="CD711" s="128">
        <f>IFERROR(AS711*$W711,)</f>
        <v/>
      </c>
      <c r="CE711" s="128">
        <f>IFERROR(AT711*$W711,)</f>
        <v/>
      </c>
      <c r="CF711" s="128">
        <f>IFERROR(AU711*$W711,)</f>
        <v/>
      </c>
      <c r="CG711" s="128">
        <f>IFERROR(AV711*$W711,)</f>
        <v/>
      </c>
      <c r="CH711" s="128">
        <f>IFERROR(AW711*$W711,)</f>
        <v/>
      </c>
      <c r="CI711" s="128">
        <f>IFERROR(AX711*$W711,)</f>
        <v/>
      </c>
      <c r="CJ711" s="128">
        <f>IFERROR(AY711*$W711,)</f>
        <v/>
      </c>
      <c r="CK711" s="128">
        <f>IFERROR(AZ711*$W711,)</f>
        <v/>
      </c>
      <c r="CL711" s="129">
        <f>IFERROR(if($Y711=0,BA711*($W711/1.2),BA711*$Y711),"")</f>
        <v/>
      </c>
      <c r="CM711" s="129">
        <f>IFERROR(if($Y711=0,BB711*($W711/1.2),BB711*$Y711),"")</f>
        <v/>
      </c>
      <c r="CN711" s="129">
        <f>IFERROR(if($Y711=0,BC711*($W711/1.2),BC711*$Y711),"")</f>
        <v/>
      </c>
      <c r="CO711" s="130">
        <f>IFERROR(if($AA711=0,($W711/1.35)*BD711,BD711*$AA711),)</f>
        <v/>
      </c>
      <c r="CP711" s="130">
        <f>IFERROR(if($AA711=0,($W711/1.35)*BE711,BE711*$AA711),)</f>
        <v/>
      </c>
      <c r="CQ711" s="130">
        <f>IFERROR(if($AA711=0,($W711/1.35)*BF711,BF711*$AA711),)</f>
        <v/>
      </c>
      <c r="CR711" s="128">
        <f>IFERROR(if($AC711=0,($W711/0.74)*BG711,
BG711*$AC711),)</f>
        <v/>
      </c>
      <c r="CS711" s="128">
        <f>IFERROR(if($AC711=0,($W711/0.74)*BH711,
BH711*$AC711),)</f>
        <v/>
      </c>
      <c r="CT711" s="128">
        <f>IFERROR(if($AC711=0,($W711/0.74)*BI711,
BI711*$AC711),)</f>
        <v/>
      </c>
      <c r="CU711" s="128">
        <f>IFERROR(AI711*$V711,)</f>
        <v/>
      </c>
      <c r="CV711" s="128">
        <f>IFERROR(AJ711*$V711,)</f>
        <v/>
      </c>
      <c r="CW711" s="128">
        <f>IFERROR(AK711*$V711,)</f>
        <v/>
      </c>
      <c r="CX711" s="128">
        <f>IFERROR(AL711*$V711,)</f>
        <v/>
      </c>
      <c r="CY711" s="128">
        <f>IFERROR(AM711*$V711,)</f>
        <v/>
      </c>
      <c r="CZ711" s="128">
        <f>IFERROR(AN711*$V711,)</f>
        <v/>
      </c>
      <c r="DA711" s="128">
        <f>IFERROR(AO711*$V711,)</f>
        <v/>
      </c>
      <c r="DB711" s="128">
        <f>IFERROR(AP711*$V711,)</f>
        <v/>
      </c>
      <c r="DC711" s="128">
        <f>IFERROR(AQ711*$V711,)</f>
        <v/>
      </c>
      <c r="DD711" s="128">
        <f>IFERROR(AR711*$V711,)</f>
        <v/>
      </c>
      <c r="DE711" s="128">
        <f>IFERROR(AS711*$V711,)</f>
        <v/>
      </c>
      <c r="DF711" s="128">
        <f>IFERROR(AT711*$V711,)</f>
        <v/>
      </c>
      <c r="DG711" s="128">
        <f>IFERROR(AU711*$V711,)</f>
        <v/>
      </c>
      <c r="DH711" s="128">
        <f>IFERROR(AV711*$V711,)</f>
        <v/>
      </c>
      <c r="DI711" s="128">
        <f>IFERROR(AW711*$V711,)</f>
        <v/>
      </c>
      <c r="DJ711" s="128">
        <f>IFERROR(AX711*$V711,)</f>
        <v/>
      </c>
      <c r="DK711" s="128">
        <f>IFERROR(AY711*$V711,)</f>
        <v/>
      </c>
      <c r="DL711" s="128">
        <f>IFERROR(AZ711*$V711,)</f>
        <v/>
      </c>
      <c r="DM711" s="129">
        <f>IFERROR(if($X711=0,($V711/1.2)*BA711,
BA711*$X711),)</f>
        <v/>
      </c>
      <c r="DN711" s="129">
        <f>IFERROR(if($X711=0,($V711/1.2)*BB711,
BB711*$X711),)</f>
        <v/>
      </c>
      <c r="DO711" s="129">
        <f>IFERROR(if($X711=0,($V711/1.2)*BC711,
BC711*$X711),)</f>
        <v/>
      </c>
      <c r="DP711" s="130">
        <f>IFERROR(if($Z711=0,($V711/1.35)*BD711,
BD711*$Z711),)</f>
        <v/>
      </c>
      <c r="DQ711" s="130">
        <f>IFERROR(if($Z711=0,($V711/1.35)*BE711,
BE711*$Z711),)</f>
        <v/>
      </c>
      <c r="DR711" s="130">
        <f>IFERROR(if($Z711=0,($V711/1.35)*BF711,
BF711*$Z711),)</f>
        <v/>
      </c>
      <c r="DS711" s="128">
        <f>IFERROR(IF($AB711=0,($V711/0.74)*BG711,
BG711*$AB711),)</f>
        <v/>
      </c>
      <c r="DT711" s="128">
        <f>IFERROR(IF($AB711=0,($V711/0.74)*BH711,
BH711*$AB711),)</f>
        <v/>
      </c>
      <c r="DU711" s="128">
        <f>IFERROR(IF($AB711=0,($V711/0.74)*BI711,
BI711*$AB711),)</f>
        <v/>
      </c>
    </row>
    <row r="712" ht="131.25" customHeight="1" s="162">
      <c r="A712" s="115" t="n"/>
      <c r="B712" s="115" t="n"/>
      <c r="C712" s="115" t="n"/>
      <c r="D712" s="115" t="n"/>
      <c r="E712" s="115" t="n"/>
      <c r="F712" s="115" t="n"/>
      <c r="G712" s="115" t="n"/>
      <c r="H712" s="115" t="n"/>
      <c r="I712" s="115" t="n"/>
      <c r="J712" s="115" t="n"/>
      <c r="K712" s="115" t="n"/>
      <c r="L712" s="115" t="n"/>
      <c r="M712" s="115" t="n"/>
      <c r="N712" s="115" t="n"/>
      <c r="O712" s="115" t="n"/>
      <c r="P712" s="115" t="n"/>
      <c r="Q712" s="115" t="n"/>
      <c r="R712" s="115" t="n"/>
      <c r="S712" s="115" t="n"/>
      <c r="T712" s="115" t="n"/>
      <c r="U712" s="116" t="n"/>
      <c r="V712" s="116" t="n"/>
      <c r="W712" s="117" t="n"/>
      <c r="X712" s="118" t="n"/>
      <c r="Y712" s="119" t="n"/>
      <c r="Z712" s="120" t="n"/>
      <c r="AA712" s="121" t="n"/>
      <c r="AB712" s="122" t="n"/>
      <c r="AC712" s="117" t="n"/>
      <c r="AD712" s="123">
        <f>IF(SUM($AE712:$AH712)=0,"",SUM($AE712:$AH712))</f>
        <v/>
      </c>
      <c r="AE712" s="123">
        <f>iferror(IF(SUM($AI712:$AZ712)=0,"",SUM($AI712:$AZ712)),"")</f>
        <v/>
      </c>
      <c r="AF712" s="123">
        <f>iferror(IF(SUM($BA712:$BC712)=0,"",SUM($BA712:$BC712)),"")</f>
        <v/>
      </c>
      <c r="AG712" s="123">
        <f>iferror(IF(SUM($BD712:$BF712)=0,"",SUM($BD712:$BF712)),"")</f>
        <v/>
      </c>
      <c r="AH712" s="124">
        <f>iferror(IF(SUM($BG712:$BI712)=0,"",SUM($BG712:$BI712)),"")</f>
        <v/>
      </c>
      <c r="AI712" s="131" t="n"/>
      <c r="AJ712" s="132" t="n"/>
      <c r="AK712" s="132" t="n"/>
      <c r="AL712" s="132" t="n"/>
      <c r="AM712" s="132" t="n"/>
      <c r="AN712" s="132" t="n"/>
      <c r="AO712" s="132" t="n"/>
      <c r="AP712" s="132" t="n"/>
      <c r="AQ712" s="132" t="n"/>
      <c r="AR712" s="132" t="n"/>
      <c r="AS712" s="132" t="n"/>
      <c r="AT712" s="132" t="n"/>
      <c r="AU712" s="132" t="n"/>
      <c r="AV712" s="132" t="n"/>
      <c r="AW712" s="132" t="n"/>
      <c r="AX712" s="132" t="n"/>
      <c r="AY712" s="132" t="n"/>
      <c r="AZ712" s="133" t="n"/>
      <c r="BA712" s="131" t="n"/>
      <c r="BB712" s="132" t="n"/>
      <c r="BC712" s="133" t="n"/>
      <c r="BD712" s="131" t="n"/>
      <c r="BE712" s="132" t="n"/>
      <c r="BF712" s="133" t="n"/>
      <c r="BG712" s="131" t="n"/>
      <c r="BH712" s="132" t="n"/>
      <c r="BI712" s="132" t="n"/>
      <c r="BJ712" s="128">
        <f>iferror(SUM($BK712,($BL712*1.2),($BM712*1.35),($BN712*0.74)),)</f>
        <v/>
      </c>
      <c r="BK712" s="128">
        <f>IFERROR(SUM($BT712:$CK712),)</f>
        <v/>
      </c>
      <c r="BL712" s="129">
        <f>IFERROR(SUM($CL712:$CN712),)</f>
        <v/>
      </c>
      <c r="BM712" s="130">
        <f>IFERROR(SUM($CO712:$CQ712),)</f>
        <v/>
      </c>
      <c r="BN712" s="128">
        <f>IFERROR(SUM($CR712:$CT712),)</f>
        <v/>
      </c>
      <c r="BO712" s="128">
        <f>iferror(SUM($BP712,($BQ712*1.2),($BR712*1.35),($BS712*0.74)),)</f>
        <v/>
      </c>
      <c r="BP712" s="128">
        <f>IFERROR(SUM($CU712:$DL712),)</f>
        <v/>
      </c>
      <c r="BQ712" s="128">
        <f>IFERROR(SUM($DM712:$DO712),)</f>
        <v/>
      </c>
      <c r="BR712" s="128">
        <f>IFERROR(SUM($DP712:$DR712),)</f>
        <v/>
      </c>
      <c r="BS712" s="128">
        <f>IFERROR(SUM($DS712:$DU712),)</f>
        <v/>
      </c>
      <c r="BT712" s="128">
        <f>IFERROR(AI712*$W712,)</f>
        <v/>
      </c>
      <c r="BU712" s="128">
        <f>IFERROR(AJ712*$W712,)</f>
        <v/>
      </c>
      <c r="BV712" s="128">
        <f>IFERROR(AK712*$W712,)</f>
        <v/>
      </c>
      <c r="BW712" s="128">
        <f>IFERROR(AL712*$W712,)</f>
        <v/>
      </c>
      <c r="BX712" s="128">
        <f>IFERROR(AM712*$W712,)</f>
        <v/>
      </c>
      <c r="BY712" s="128">
        <f>IFERROR(AN712*$W712,)</f>
        <v/>
      </c>
      <c r="BZ712" s="128">
        <f>IFERROR(AO712*$W712,)</f>
        <v/>
      </c>
      <c r="CA712" s="128">
        <f>IFERROR(AP712*$W712,)</f>
        <v/>
      </c>
      <c r="CB712" s="128">
        <f>IFERROR(AQ712*$W712,)</f>
        <v/>
      </c>
      <c r="CC712" s="128">
        <f>IFERROR(AR712*$W712,)</f>
        <v/>
      </c>
      <c r="CD712" s="128">
        <f>IFERROR(AS712*$W712,)</f>
        <v/>
      </c>
      <c r="CE712" s="128">
        <f>IFERROR(AT712*$W712,)</f>
        <v/>
      </c>
      <c r="CF712" s="128">
        <f>IFERROR(AU712*$W712,)</f>
        <v/>
      </c>
      <c r="CG712" s="128">
        <f>IFERROR(AV712*$W712,)</f>
        <v/>
      </c>
      <c r="CH712" s="128">
        <f>IFERROR(AW712*$W712,)</f>
        <v/>
      </c>
      <c r="CI712" s="128">
        <f>IFERROR(AX712*$W712,)</f>
        <v/>
      </c>
      <c r="CJ712" s="128">
        <f>IFERROR(AY712*$W712,)</f>
        <v/>
      </c>
      <c r="CK712" s="128">
        <f>IFERROR(AZ712*$W712,)</f>
        <v/>
      </c>
      <c r="CL712" s="129">
        <f>IFERROR(if($Y712=0,BA712*($W712/1.2),BA712*$Y712),"")</f>
        <v/>
      </c>
      <c r="CM712" s="129">
        <f>IFERROR(if($Y712=0,BB712*($W712/1.2),BB712*$Y712),"")</f>
        <v/>
      </c>
      <c r="CN712" s="129">
        <f>IFERROR(if($Y712=0,BC712*($W712/1.2),BC712*$Y712),"")</f>
        <v/>
      </c>
      <c r="CO712" s="130">
        <f>IFERROR(if($AA712=0,($W712/1.35)*BD712,BD712*$AA712),)</f>
        <v/>
      </c>
      <c r="CP712" s="130">
        <f>IFERROR(if($AA712=0,($W712/1.35)*BE712,BE712*$AA712),)</f>
        <v/>
      </c>
      <c r="CQ712" s="130">
        <f>IFERROR(if($AA712=0,($W712/1.35)*BF712,BF712*$AA712),)</f>
        <v/>
      </c>
      <c r="CR712" s="128">
        <f>IFERROR(if($AC712=0,($W712/0.74)*BG712,
BG712*$AC712),)</f>
        <v/>
      </c>
      <c r="CS712" s="128">
        <f>IFERROR(if($AC712=0,($W712/0.74)*BH712,
BH712*$AC712),)</f>
        <v/>
      </c>
      <c r="CT712" s="128">
        <f>IFERROR(if($AC712=0,($W712/0.74)*BI712,
BI712*$AC712),)</f>
        <v/>
      </c>
      <c r="CU712" s="128">
        <f>IFERROR(AI712*$V712,)</f>
        <v/>
      </c>
      <c r="CV712" s="128">
        <f>IFERROR(AJ712*$V712,)</f>
        <v/>
      </c>
      <c r="CW712" s="128">
        <f>IFERROR(AK712*$V712,)</f>
        <v/>
      </c>
      <c r="CX712" s="128">
        <f>IFERROR(AL712*$V712,)</f>
        <v/>
      </c>
      <c r="CY712" s="128">
        <f>IFERROR(AM712*$V712,)</f>
        <v/>
      </c>
      <c r="CZ712" s="128">
        <f>IFERROR(AN712*$V712,)</f>
        <v/>
      </c>
      <c r="DA712" s="128">
        <f>IFERROR(AO712*$V712,)</f>
        <v/>
      </c>
      <c r="DB712" s="128">
        <f>IFERROR(AP712*$V712,)</f>
        <v/>
      </c>
      <c r="DC712" s="128">
        <f>IFERROR(AQ712*$V712,)</f>
        <v/>
      </c>
      <c r="DD712" s="128">
        <f>IFERROR(AR712*$V712,)</f>
        <v/>
      </c>
      <c r="DE712" s="128">
        <f>IFERROR(AS712*$V712,)</f>
        <v/>
      </c>
      <c r="DF712" s="128">
        <f>IFERROR(AT712*$V712,)</f>
        <v/>
      </c>
      <c r="DG712" s="128">
        <f>IFERROR(AU712*$V712,)</f>
        <v/>
      </c>
      <c r="DH712" s="128">
        <f>IFERROR(AV712*$V712,)</f>
        <v/>
      </c>
      <c r="DI712" s="128">
        <f>IFERROR(AW712*$V712,)</f>
        <v/>
      </c>
      <c r="DJ712" s="128">
        <f>IFERROR(AX712*$V712,)</f>
        <v/>
      </c>
      <c r="DK712" s="128">
        <f>IFERROR(AY712*$V712,)</f>
        <v/>
      </c>
      <c r="DL712" s="128">
        <f>IFERROR(AZ712*$V712,)</f>
        <v/>
      </c>
      <c r="DM712" s="129">
        <f>IFERROR(if($X712=0,($V712/1.2)*BA712,
BA712*$X712),)</f>
        <v/>
      </c>
      <c r="DN712" s="129">
        <f>IFERROR(if($X712=0,($V712/1.2)*BB712,
BB712*$X712),)</f>
        <v/>
      </c>
      <c r="DO712" s="129">
        <f>IFERROR(if($X712=0,($V712/1.2)*BC712,
BC712*$X712),)</f>
        <v/>
      </c>
      <c r="DP712" s="130">
        <f>IFERROR(if($Z712=0,($V712/1.35)*BD712,
BD712*$Z712),)</f>
        <v/>
      </c>
      <c r="DQ712" s="130">
        <f>IFERROR(if($Z712=0,($V712/1.35)*BE712,
BE712*$Z712),)</f>
        <v/>
      </c>
      <c r="DR712" s="130">
        <f>IFERROR(if($Z712=0,($V712/1.35)*BF712,
BF712*$Z712),)</f>
        <v/>
      </c>
      <c r="DS712" s="128">
        <f>IFERROR(IF($AB712=0,($V712/0.74)*BG712,
BG712*$AB712),)</f>
        <v/>
      </c>
      <c r="DT712" s="128">
        <f>IFERROR(IF($AB712=0,($V712/0.74)*BH712,
BH712*$AB712),)</f>
        <v/>
      </c>
      <c r="DU712" s="128">
        <f>IFERROR(IF($AB712=0,($V712/0.74)*BI712,
BI712*$AB712),)</f>
        <v/>
      </c>
    </row>
    <row r="713" ht="131.25" customHeight="1" s="162">
      <c r="A713" s="115" t="n"/>
      <c r="B713" s="115" t="n"/>
      <c r="C713" s="115" t="n"/>
      <c r="D713" s="115" t="n"/>
      <c r="E713" s="115" t="n"/>
      <c r="F713" s="115" t="n"/>
      <c r="G713" s="115" t="n"/>
      <c r="H713" s="115" t="n"/>
      <c r="I713" s="115" t="n"/>
      <c r="J713" s="115" t="n"/>
      <c r="K713" s="115" t="n"/>
      <c r="L713" s="115" t="n"/>
      <c r="M713" s="115" t="n"/>
      <c r="N713" s="115" t="n"/>
      <c r="O713" s="115" t="n"/>
      <c r="P713" s="115" t="n"/>
      <c r="Q713" s="115" t="n"/>
      <c r="R713" s="115" t="n"/>
      <c r="S713" s="115" t="n"/>
      <c r="T713" s="115" t="n"/>
      <c r="U713" s="116" t="n"/>
      <c r="V713" s="116" t="n"/>
      <c r="W713" s="117" t="n"/>
      <c r="X713" s="118" t="n"/>
      <c r="Y713" s="119" t="n"/>
      <c r="Z713" s="120" t="n"/>
      <c r="AA713" s="121" t="n"/>
      <c r="AB713" s="122" t="n"/>
      <c r="AC713" s="117" t="n"/>
      <c r="AD713" s="123">
        <f>IF(SUM($AE713:$AH713)=0,"",SUM($AE713:$AH713))</f>
        <v/>
      </c>
      <c r="AE713" s="123">
        <f>iferror(IF(SUM($AI713:$AZ713)=0,"",SUM($AI713:$AZ713)),"")</f>
        <v/>
      </c>
      <c r="AF713" s="123">
        <f>iferror(IF(SUM($BA713:$BC713)=0,"",SUM($BA713:$BC713)),"")</f>
        <v/>
      </c>
      <c r="AG713" s="123">
        <f>iferror(IF(SUM($BD713:$BF713)=0,"",SUM($BD713:$BF713)),"")</f>
        <v/>
      </c>
      <c r="AH713" s="124">
        <f>iferror(IF(SUM($BG713:$BI713)=0,"",SUM($BG713:$BI713)),"")</f>
        <v/>
      </c>
      <c r="AI713" s="131" t="n"/>
      <c r="AJ713" s="132" t="n"/>
      <c r="AK713" s="132" t="n"/>
      <c r="AL713" s="132" t="n"/>
      <c r="AM713" s="132" t="n"/>
      <c r="AN713" s="132" t="n"/>
      <c r="AO713" s="132" t="n"/>
      <c r="AP713" s="132" t="n"/>
      <c r="AQ713" s="132" t="n"/>
      <c r="AR713" s="132" t="n"/>
      <c r="AS713" s="132" t="n"/>
      <c r="AT713" s="132" t="n"/>
      <c r="AU713" s="132" t="n"/>
      <c r="AV713" s="132" t="n"/>
      <c r="AW713" s="132" t="n"/>
      <c r="AX713" s="132" t="n"/>
      <c r="AY713" s="132" t="n"/>
      <c r="AZ713" s="133" t="n"/>
      <c r="BA713" s="131" t="n"/>
      <c r="BB713" s="132" t="n"/>
      <c r="BC713" s="133" t="n"/>
      <c r="BD713" s="131" t="n"/>
      <c r="BE713" s="132" t="n"/>
      <c r="BF713" s="133" t="n"/>
      <c r="BG713" s="131" t="n"/>
      <c r="BH713" s="132" t="n"/>
      <c r="BI713" s="132" t="n"/>
      <c r="BJ713" s="128">
        <f>iferror(SUM($BK713,($BL713*1.2),($BM713*1.35),($BN713*0.74)),)</f>
        <v/>
      </c>
      <c r="BK713" s="128">
        <f>IFERROR(SUM($BT713:$CK713),)</f>
        <v/>
      </c>
      <c r="BL713" s="129">
        <f>IFERROR(SUM($CL713:$CN713),)</f>
        <v/>
      </c>
      <c r="BM713" s="130">
        <f>IFERROR(SUM($CO713:$CQ713),)</f>
        <v/>
      </c>
      <c r="BN713" s="128">
        <f>IFERROR(SUM($CR713:$CT713),)</f>
        <v/>
      </c>
      <c r="BO713" s="128">
        <f>iferror(SUM($BP713,($BQ713*1.2),($BR713*1.35),($BS713*0.74)),)</f>
        <v/>
      </c>
      <c r="BP713" s="128">
        <f>IFERROR(SUM($CU713:$DL713),)</f>
        <v/>
      </c>
      <c r="BQ713" s="128">
        <f>IFERROR(SUM($DM713:$DO713),)</f>
        <v/>
      </c>
      <c r="BR713" s="128">
        <f>IFERROR(SUM($DP713:$DR713),)</f>
        <v/>
      </c>
      <c r="BS713" s="128">
        <f>IFERROR(SUM($DS713:$DU713),)</f>
        <v/>
      </c>
      <c r="BT713" s="128">
        <f>IFERROR(AI713*$W713,)</f>
        <v/>
      </c>
      <c r="BU713" s="128">
        <f>IFERROR(AJ713*$W713,)</f>
        <v/>
      </c>
      <c r="BV713" s="128">
        <f>IFERROR(AK713*$W713,)</f>
        <v/>
      </c>
      <c r="BW713" s="128">
        <f>IFERROR(AL713*$W713,)</f>
        <v/>
      </c>
      <c r="BX713" s="128">
        <f>IFERROR(AM713*$W713,)</f>
        <v/>
      </c>
      <c r="BY713" s="128">
        <f>IFERROR(AN713*$W713,)</f>
        <v/>
      </c>
      <c r="BZ713" s="128">
        <f>IFERROR(AO713*$W713,)</f>
        <v/>
      </c>
      <c r="CA713" s="128">
        <f>IFERROR(AP713*$W713,)</f>
        <v/>
      </c>
      <c r="CB713" s="128">
        <f>IFERROR(AQ713*$W713,)</f>
        <v/>
      </c>
      <c r="CC713" s="128">
        <f>IFERROR(AR713*$W713,)</f>
        <v/>
      </c>
      <c r="CD713" s="128">
        <f>IFERROR(AS713*$W713,)</f>
        <v/>
      </c>
      <c r="CE713" s="128">
        <f>IFERROR(AT713*$W713,)</f>
        <v/>
      </c>
      <c r="CF713" s="128">
        <f>IFERROR(AU713*$W713,)</f>
        <v/>
      </c>
      <c r="CG713" s="128">
        <f>IFERROR(AV713*$W713,)</f>
        <v/>
      </c>
      <c r="CH713" s="128">
        <f>IFERROR(AW713*$W713,)</f>
        <v/>
      </c>
      <c r="CI713" s="128">
        <f>IFERROR(AX713*$W713,)</f>
        <v/>
      </c>
      <c r="CJ713" s="128">
        <f>IFERROR(AY713*$W713,)</f>
        <v/>
      </c>
      <c r="CK713" s="128">
        <f>IFERROR(AZ713*$W713,)</f>
        <v/>
      </c>
      <c r="CL713" s="129">
        <f>IFERROR(if($Y713=0,BA713*($W713/1.2),BA713*$Y713),"")</f>
        <v/>
      </c>
      <c r="CM713" s="129">
        <f>IFERROR(if($Y713=0,BB713*($W713/1.2),BB713*$Y713),"")</f>
        <v/>
      </c>
      <c r="CN713" s="129">
        <f>IFERROR(if($Y713=0,BC713*($W713/1.2),BC713*$Y713),"")</f>
        <v/>
      </c>
      <c r="CO713" s="130">
        <f>IFERROR(if($AA713=0,($W713/1.35)*BD713,BD713*$AA713),)</f>
        <v/>
      </c>
      <c r="CP713" s="130">
        <f>IFERROR(if($AA713=0,($W713/1.35)*BE713,BE713*$AA713),)</f>
        <v/>
      </c>
      <c r="CQ713" s="130">
        <f>IFERROR(if($AA713=0,($W713/1.35)*BF713,BF713*$AA713),)</f>
        <v/>
      </c>
      <c r="CR713" s="128">
        <f>IFERROR(if($AC713=0,($W713/0.74)*BG713,
BG713*$AC713),)</f>
        <v/>
      </c>
      <c r="CS713" s="128">
        <f>IFERROR(if($AC713=0,($W713/0.74)*BH713,
BH713*$AC713),)</f>
        <v/>
      </c>
      <c r="CT713" s="128">
        <f>IFERROR(if($AC713=0,($W713/0.74)*BI713,
BI713*$AC713),)</f>
        <v/>
      </c>
      <c r="CU713" s="128">
        <f>IFERROR(AI713*$V713,)</f>
        <v/>
      </c>
      <c r="CV713" s="128">
        <f>IFERROR(AJ713*$V713,)</f>
        <v/>
      </c>
      <c r="CW713" s="128">
        <f>IFERROR(AK713*$V713,)</f>
        <v/>
      </c>
      <c r="CX713" s="128">
        <f>IFERROR(AL713*$V713,)</f>
        <v/>
      </c>
      <c r="CY713" s="128">
        <f>IFERROR(AM713*$V713,)</f>
        <v/>
      </c>
      <c r="CZ713" s="128">
        <f>IFERROR(AN713*$V713,)</f>
        <v/>
      </c>
      <c r="DA713" s="128">
        <f>IFERROR(AO713*$V713,)</f>
        <v/>
      </c>
      <c r="DB713" s="128">
        <f>IFERROR(AP713*$V713,)</f>
        <v/>
      </c>
      <c r="DC713" s="128">
        <f>IFERROR(AQ713*$V713,)</f>
        <v/>
      </c>
      <c r="DD713" s="128">
        <f>IFERROR(AR713*$V713,)</f>
        <v/>
      </c>
      <c r="DE713" s="128">
        <f>IFERROR(AS713*$V713,)</f>
        <v/>
      </c>
      <c r="DF713" s="128">
        <f>IFERROR(AT713*$V713,)</f>
        <v/>
      </c>
      <c r="DG713" s="128">
        <f>IFERROR(AU713*$V713,)</f>
        <v/>
      </c>
      <c r="DH713" s="128">
        <f>IFERROR(AV713*$V713,)</f>
        <v/>
      </c>
      <c r="DI713" s="128">
        <f>IFERROR(AW713*$V713,)</f>
        <v/>
      </c>
      <c r="DJ713" s="128">
        <f>IFERROR(AX713*$V713,)</f>
        <v/>
      </c>
      <c r="DK713" s="128">
        <f>IFERROR(AY713*$V713,)</f>
        <v/>
      </c>
      <c r="DL713" s="128">
        <f>IFERROR(AZ713*$V713,)</f>
        <v/>
      </c>
      <c r="DM713" s="129">
        <f>IFERROR(if($X713=0,($V713/1.2)*BA713,
BA713*$X713),)</f>
        <v/>
      </c>
      <c r="DN713" s="129">
        <f>IFERROR(if($X713=0,($V713/1.2)*BB713,
BB713*$X713),)</f>
        <v/>
      </c>
      <c r="DO713" s="129">
        <f>IFERROR(if($X713=0,($V713/1.2)*BC713,
BC713*$X713),)</f>
        <v/>
      </c>
      <c r="DP713" s="130">
        <f>IFERROR(if($Z713=0,($V713/1.35)*BD713,
BD713*$Z713),)</f>
        <v/>
      </c>
      <c r="DQ713" s="130">
        <f>IFERROR(if($Z713=0,($V713/1.35)*BE713,
BE713*$Z713),)</f>
        <v/>
      </c>
      <c r="DR713" s="130">
        <f>IFERROR(if($Z713=0,($V713/1.35)*BF713,
BF713*$Z713),)</f>
        <v/>
      </c>
      <c r="DS713" s="128">
        <f>IFERROR(IF($AB713=0,($V713/0.74)*BG713,
BG713*$AB713),)</f>
        <v/>
      </c>
      <c r="DT713" s="128">
        <f>IFERROR(IF($AB713=0,($V713/0.74)*BH713,
BH713*$AB713),)</f>
        <v/>
      </c>
      <c r="DU713" s="128">
        <f>IFERROR(IF($AB713=0,($V713/0.74)*BI713,
BI713*$AB713),)</f>
        <v/>
      </c>
    </row>
    <row r="714" ht="131.25" customHeight="1" s="162">
      <c r="A714" s="115" t="n"/>
      <c r="B714" s="115" t="n"/>
      <c r="C714" s="115" t="n"/>
      <c r="D714" s="115" t="n"/>
      <c r="E714" s="115" t="n"/>
      <c r="F714" s="115" t="n"/>
      <c r="G714" s="115" t="n"/>
      <c r="H714" s="115" t="n"/>
      <c r="I714" s="115" t="n"/>
      <c r="J714" s="115" t="n"/>
      <c r="K714" s="115" t="n"/>
      <c r="L714" s="115" t="n"/>
      <c r="M714" s="115" t="n"/>
      <c r="N714" s="115" t="n"/>
      <c r="O714" s="115" t="n"/>
      <c r="P714" s="115" t="n"/>
      <c r="Q714" s="115" t="n"/>
      <c r="R714" s="115" t="n"/>
      <c r="S714" s="115" t="n"/>
      <c r="T714" s="115" t="n"/>
      <c r="U714" s="116" t="n"/>
      <c r="V714" s="116" t="n"/>
      <c r="W714" s="117" t="n"/>
      <c r="X714" s="118" t="n"/>
      <c r="Y714" s="119" t="n"/>
      <c r="Z714" s="120" t="n"/>
      <c r="AA714" s="121" t="n"/>
      <c r="AB714" s="122" t="n"/>
      <c r="AC714" s="117" t="n"/>
      <c r="AD714" s="123">
        <f>IF(SUM($AE714:$AH714)=0,"",SUM($AE714:$AH714))</f>
        <v/>
      </c>
      <c r="AE714" s="123">
        <f>iferror(IF(SUM($AI714:$AZ714)=0,"",SUM($AI714:$AZ714)),"")</f>
        <v/>
      </c>
      <c r="AF714" s="123">
        <f>iferror(IF(SUM($BA714:$BC714)=0,"",SUM($BA714:$BC714)),"")</f>
        <v/>
      </c>
      <c r="AG714" s="123">
        <f>iferror(IF(SUM($BD714:$BF714)=0,"",SUM($BD714:$BF714)),"")</f>
        <v/>
      </c>
      <c r="AH714" s="124">
        <f>iferror(IF(SUM($BG714:$BI714)=0,"",SUM($BG714:$BI714)),"")</f>
        <v/>
      </c>
      <c r="AI714" s="131" t="n"/>
      <c r="AJ714" s="132" t="n"/>
      <c r="AK714" s="132" t="n"/>
      <c r="AL714" s="132" t="n"/>
      <c r="AM714" s="132" t="n"/>
      <c r="AN714" s="132" t="n"/>
      <c r="AO714" s="132" t="n"/>
      <c r="AP714" s="132" t="n"/>
      <c r="AQ714" s="132" t="n"/>
      <c r="AR714" s="132" t="n"/>
      <c r="AS714" s="132" t="n"/>
      <c r="AT714" s="132" t="n"/>
      <c r="AU714" s="132" t="n"/>
      <c r="AV714" s="132" t="n"/>
      <c r="AW714" s="132" t="n"/>
      <c r="AX714" s="132" t="n"/>
      <c r="AY714" s="132" t="n"/>
      <c r="AZ714" s="133" t="n"/>
      <c r="BA714" s="131" t="n"/>
      <c r="BB714" s="132" t="n"/>
      <c r="BC714" s="133" t="n"/>
      <c r="BD714" s="131" t="n"/>
      <c r="BE714" s="132" t="n"/>
      <c r="BF714" s="133" t="n"/>
      <c r="BG714" s="131" t="n"/>
      <c r="BH714" s="132" t="n"/>
      <c r="BI714" s="132" t="n"/>
      <c r="BJ714" s="128">
        <f>iferror(SUM($BK714,($BL714*1.2),($BM714*1.35),($BN714*0.74)),)</f>
        <v/>
      </c>
      <c r="BK714" s="128">
        <f>IFERROR(SUM($BT714:$CK714),)</f>
        <v/>
      </c>
      <c r="BL714" s="129">
        <f>IFERROR(SUM($CL714:$CN714),)</f>
        <v/>
      </c>
      <c r="BM714" s="130">
        <f>IFERROR(SUM($CO714:$CQ714),)</f>
        <v/>
      </c>
      <c r="BN714" s="128">
        <f>IFERROR(SUM($CR714:$CT714),)</f>
        <v/>
      </c>
      <c r="BO714" s="128">
        <f>iferror(SUM($BP714,($BQ714*1.2),($BR714*1.35),($BS714*0.74)),)</f>
        <v/>
      </c>
      <c r="BP714" s="128">
        <f>IFERROR(SUM($CU714:$DL714),)</f>
        <v/>
      </c>
      <c r="BQ714" s="128">
        <f>IFERROR(SUM($DM714:$DO714),)</f>
        <v/>
      </c>
      <c r="BR714" s="128">
        <f>IFERROR(SUM($DP714:$DR714),)</f>
        <v/>
      </c>
      <c r="BS714" s="128">
        <f>IFERROR(SUM($DS714:$DU714),)</f>
        <v/>
      </c>
      <c r="BT714" s="128">
        <f>IFERROR(AI714*$W714,)</f>
        <v/>
      </c>
      <c r="BU714" s="128">
        <f>IFERROR(AJ714*$W714,)</f>
        <v/>
      </c>
      <c r="BV714" s="128">
        <f>IFERROR(AK714*$W714,)</f>
        <v/>
      </c>
      <c r="BW714" s="128">
        <f>IFERROR(AL714*$W714,)</f>
        <v/>
      </c>
      <c r="BX714" s="128">
        <f>IFERROR(AM714*$W714,)</f>
        <v/>
      </c>
      <c r="BY714" s="128">
        <f>IFERROR(AN714*$W714,)</f>
        <v/>
      </c>
      <c r="BZ714" s="128">
        <f>IFERROR(AO714*$W714,)</f>
        <v/>
      </c>
      <c r="CA714" s="128">
        <f>IFERROR(AP714*$W714,)</f>
        <v/>
      </c>
      <c r="CB714" s="128">
        <f>IFERROR(AQ714*$W714,)</f>
        <v/>
      </c>
      <c r="CC714" s="128">
        <f>IFERROR(AR714*$W714,)</f>
        <v/>
      </c>
      <c r="CD714" s="128">
        <f>IFERROR(AS714*$W714,)</f>
        <v/>
      </c>
      <c r="CE714" s="128">
        <f>IFERROR(AT714*$W714,)</f>
        <v/>
      </c>
      <c r="CF714" s="128">
        <f>IFERROR(AU714*$W714,)</f>
        <v/>
      </c>
      <c r="CG714" s="128">
        <f>IFERROR(AV714*$W714,)</f>
        <v/>
      </c>
      <c r="CH714" s="128">
        <f>IFERROR(AW714*$W714,)</f>
        <v/>
      </c>
      <c r="CI714" s="128">
        <f>IFERROR(AX714*$W714,)</f>
        <v/>
      </c>
      <c r="CJ714" s="128">
        <f>IFERROR(AY714*$W714,)</f>
        <v/>
      </c>
      <c r="CK714" s="128">
        <f>IFERROR(AZ714*$W714,)</f>
        <v/>
      </c>
      <c r="CL714" s="129">
        <f>IFERROR(if($Y714=0,BA714*($W714/1.2),BA714*$Y714),"")</f>
        <v/>
      </c>
      <c r="CM714" s="129">
        <f>IFERROR(if($Y714=0,BB714*($W714/1.2),BB714*$Y714),"")</f>
        <v/>
      </c>
      <c r="CN714" s="129">
        <f>IFERROR(if($Y714=0,BC714*($W714/1.2),BC714*$Y714),"")</f>
        <v/>
      </c>
      <c r="CO714" s="130">
        <f>IFERROR(if($AA714=0,($W714/1.35)*BD714,BD714*$AA714),)</f>
        <v/>
      </c>
      <c r="CP714" s="130">
        <f>IFERROR(if($AA714=0,($W714/1.35)*BE714,BE714*$AA714),)</f>
        <v/>
      </c>
      <c r="CQ714" s="130">
        <f>IFERROR(if($AA714=0,($W714/1.35)*BF714,BF714*$AA714),)</f>
        <v/>
      </c>
      <c r="CR714" s="128">
        <f>IFERROR(if($AC714=0,($W714/0.74)*BG714,
BG714*$AC714),)</f>
        <v/>
      </c>
      <c r="CS714" s="128">
        <f>IFERROR(if($AC714=0,($W714/0.74)*BH714,
BH714*$AC714),)</f>
        <v/>
      </c>
      <c r="CT714" s="128">
        <f>IFERROR(if($AC714=0,($W714/0.74)*BI714,
BI714*$AC714),)</f>
        <v/>
      </c>
      <c r="CU714" s="128">
        <f>IFERROR(AI714*$V714,)</f>
        <v/>
      </c>
      <c r="CV714" s="128">
        <f>IFERROR(AJ714*$V714,)</f>
        <v/>
      </c>
      <c r="CW714" s="128">
        <f>IFERROR(AK714*$V714,)</f>
        <v/>
      </c>
      <c r="CX714" s="128">
        <f>IFERROR(AL714*$V714,)</f>
        <v/>
      </c>
      <c r="CY714" s="128">
        <f>IFERROR(AM714*$V714,)</f>
        <v/>
      </c>
      <c r="CZ714" s="128">
        <f>IFERROR(AN714*$V714,)</f>
        <v/>
      </c>
      <c r="DA714" s="128">
        <f>IFERROR(AO714*$V714,)</f>
        <v/>
      </c>
      <c r="DB714" s="128">
        <f>IFERROR(AP714*$V714,)</f>
        <v/>
      </c>
      <c r="DC714" s="128">
        <f>IFERROR(AQ714*$V714,)</f>
        <v/>
      </c>
      <c r="DD714" s="128">
        <f>IFERROR(AR714*$V714,)</f>
        <v/>
      </c>
      <c r="DE714" s="128">
        <f>IFERROR(AS714*$V714,)</f>
        <v/>
      </c>
      <c r="DF714" s="128">
        <f>IFERROR(AT714*$V714,)</f>
        <v/>
      </c>
      <c r="DG714" s="128">
        <f>IFERROR(AU714*$V714,)</f>
        <v/>
      </c>
      <c r="DH714" s="128">
        <f>IFERROR(AV714*$V714,)</f>
        <v/>
      </c>
      <c r="DI714" s="128">
        <f>IFERROR(AW714*$V714,)</f>
        <v/>
      </c>
      <c r="DJ714" s="128">
        <f>IFERROR(AX714*$V714,)</f>
        <v/>
      </c>
      <c r="DK714" s="128">
        <f>IFERROR(AY714*$V714,)</f>
        <v/>
      </c>
      <c r="DL714" s="128">
        <f>IFERROR(AZ714*$V714,)</f>
        <v/>
      </c>
      <c r="DM714" s="129">
        <f>IFERROR(if($X714=0,($V714/1.2)*BA714,
BA714*$X714),)</f>
        <v/>
      </c>
      <c r="DN714" s="129">
        <f>IFERROR(if($X714=0,($V714/1.2)*BB714,
BB714*$X714),)</f>
        <v/>
      </c>
      <c r="DO714" s="129">
        <f>IFERROR(if($X714=0,($V714/1.2)*BC714,
BC714*$X714),)</f>
        <v/>
      </c>
      <c r="DP714" s="130">
        <f>IFERROR(if($Z714=0,($V714/1.35)*BD714,
BD714*$Z714),)</f>
        <v/>
      </c>
      <c r="DQ714" s="130">
        <f>IFERROR(if($Z714=0,($V714/1.35)*BE714,
BE714*$Z714),)</f>
        <v/>
      </c>
      <c r="DR714" s="130">
        <f>IFERROR(if($Z714=0,($V714/1.35)*BF714,
BF714*$Z714),)</f>
        <v/>
      </c>
      <c r="DS714" s="128">
        <f>IFERROR(IF($AB714=0,($V714/0.74)*BG714,
BG714*$AB714),)</f>
        <v/>
      </c>
      <c r="DT714" s="128">
        <f>IFERROR(IF($AB714=0,($V714/0.74)*BH714,
BH714*$AB714),)</f>
        <v/>
      </c>
      <c r="DU714" s="128">
        <f>IFERROR(IF($AB714=0,($V714/0.74)*BI714,
BI714*$AB714),)</f>
        <v/>
      </c>
    </row>
    <row r="715" ht="131.25" customHeight="1" s="162">
      <c r="A715" s="115" t="n"/>
      <c r="B715" s="115" t="n"/>
      <c r="C715" s="115" t="n"/>
      <c r="D715" s="115" t="n"/>
      <c r="E715" s="115" t="n"/>
      <c r="F715" s="115" t="n"/>
      <c r="G715" s="115" t="n"/>
      <c r="H715" s="115" t="n"/>
      <c r="I715" s="115" t="n"/>
      <c r="J715" s="115" t="n"/>
      <c r="K715" s="115" t="n"/>
      <c r="L715" s="115" t="n"/>
      <c r="M715" s="115" t="n"/>
      <c r="N715" s="115" t="n"/>
      <c r="O715" s="115" t="n"/>
      <c r="P715" s="115" t="n"/>
      <c r="Q715" s="115" t="n"/>
      <c r="R715" s="115" t="n"/>
      <c r="S715" s="115" t="n"/>
      <c r="T715" s="115" t="n"/>
      <c r="U715" s="116" t="n"/>
      <c r="V715" s="116" t="n"/>
      <c r="W715" s="117" t="n"/>
      <c r="X715" s="118" t="n"/>
      <c r="Y715" s="119" t="n"/>
      <c r="Z715" s="120" t="n"/>
      <c r="AA715" s="121" t="n"/>
      <c r="AB715" s="122" t="n"/>
      <c r="AC715" s="117" t="n"/>
      <c r="AD715" s="123">
        <f>IF(SUM($AE715:$AH715)=0,"",SUM($AE715:$AH715))</f>
        <v/>
      </c>
      <c r="AE715" s="123">
        <f>iferror(IF(SUM($AI715:$AZ715)=0,"",SUM($AI715:$AZ715)),"")</f>
        <v/>
      </c>
      <c r="AF715" s="123">
        <f>iferror(IF(SUM($BA715:$BC715)=0,"",SUM($BA715:$BC715)),"")</f>
        <v/>
      </c>
      <c r="AG715" s="123">
        <f>iferror(IF(SUM($BD715:$BF715)=0,"",SUM($BD715:$BF715)),"")</f>
        <v/>
      </c>
      <c r="AH715" s="124">
        <f>iferror(IF(SUM($BG715:$BI715)=0,"",SUM($BG715:$BI715)),"")</f>
        <v/>
      </c>
      <c r="AI715" s="131" t="n"/>
      <c r="AJ715" s="132" t="n"/>
      <c r="AK715" s="132" t="n"/>
      <c r="AL715" s="132" t="n"/>
      <c r="AM715" s="132" t="n"/>
      <c r="AN715" s="132" t="n"/>
      <c r="AO715" s="132" t="n"/>
      <c r="AP715" s="132" t="n"/>
      <c r="AQ715" s="132" t="n"/>
      <c r="AR715" s="132" t="n"/>
      <c r="AS715" s="132" t="n"/>
      <c r="AT715" s="132" t="n"/>
      <c r="AU715" s="132" t="n"/>
      <c r="AV715" s="132" t="n"/>
      <c r="AW715" s="132" t="n"/>
      <c r="AX715" s="132" t="n"/>
      <c r="AY715" s="132" t="n"/>
      <c r="AZ715" s="133" t="n"/>
      <c r="BA715" s="131" t="n"/>
      <c r="BB715" s="132" t="n"/>
      <c r="BC715" s="133" t="n"/>
      <c r="BD715" s="131" t="n"/>
      <c r="BE715" s="132" t="n"/>
      <c r="BF715" s="133" t="n"/>
      <c r="BG715" s="131" t="n"/>
      <c r="BH715" s="132" t="n"/>
      <c r="BI715" s="132" t="n"/>
      <c r="BJ715" s="128">
        <f>iferror(SUM($BK715,($BL715*1.2),($BM715*1.35),($BN715*0.74)),)</f>
        <v/>
      </c>
      <c r="BK715" s="128">
        <f>IFERROR(SUM($BT715:$CK715),)</f>
        <v/>
      </c>
      <c r="BL715" s="129">
        <f>IFERROR(SUM($CL715:$CN715),)</f>
        <v/>
      </c>
      <c r="BM715" s="130">
        <f>IFERROR(SUM($CO715:$CQ715),)</f>
        <v/>
      </c>
      <c r="BN715" s="128">
        <f>IFERROR(SUM($CR715:$CT715),)</f>
        <v/>
      </c>
      <c r="BO715" s="128">
        <f>iferror(SUM($BP715,($BQ715*1.2),($BR715*1.35),($BS715*0.74)),)</f>
        <v/>
      </c>
      <c r="BP715" s="128">
        <f>IFERROR(SUM($CU715:$DL715),)</f>
        <v/>
      </c>
      <c r="BQ715" s="128">
        <f>IFERROR(SUM($DM715:$DO715),)</f>
        <v/>
      </c>
      <c r="BR715" s="128">
        <f>IFERROR(SUM($DP715:$DR715),)</f>
        <v/>
      </c>
      <c r="BS715" s="128">
        <f>IFERROR(SUM($DS715:$DU715),)</f>
        <v/>
      </c>
      <c r="BT715" s="128">
        <f>IFERROR(AI715*$W715,)</f>
        <v/>
      </c>
      <c r="BU715" s="128">
        <f>IFERROR(AJ715*$W715,)</f>
        <v/>
      </c>
      <c r="BV715" s="128">
        <f>IFERROR(AK715*$W715,)</f>
        <v/>
      </c>
      <c r="BW715" s="128">
        <f>IFERROR(AL715*$W715,)</f>
        <v/>
      </c>
      <c r="BX715" s="128">
        <f>IFERROR(AM715*$W715,)</f>
        <v/>
      </c>
      <c r="BY715" s="128">
        <f>IFERROR(AN715*$W715,)</f>
        <v/>
      </c>
      <c r="BZ715" s="128">
        <f>IFERROR(AO715*$W715,)</f>
        <v/>
      </c>
      <c r="CA715" s="128">
        <f>IFERROR(AP715*$W715,)</f>
        <v/>
      </c>
      <c r="CB715" s="128">
        <f>IFERROR(AQ715*$W715,)</f>
        <v/>
      </c>
      <c r="CC715" s="128">
        <f>IFERROR(AR715*$W715,)</f>
        <v/>
      </c>
      <c r="CD715" s="128">
        <f>IFERROR(AS715*$W715,)</f>
        <v/>
      </c>
      <c r="CE715" s="128">
        <f>IFERROR(AT715*$W715,)</f>
        <v/>
      </c>
      <c r="CF715" s="128">
        <f>IFERROR(AU715*$W715,)</f>
        <v/>
      </c>
      <c r="CG715" s="128">
        <f>IFERROR(AV715*$W715,)</f>
        <v/>
      </c>
      <c r="CH715" s="128">
        <f>IFERROR(AW715*$W715,)</f>
        <v/>
      </c>
      <c r="CI715" s="128">
        <f>IFERROR(AX715*$W715,)</f>
        <v/>
      </c>
      <c r="CJ715" s="128">
        <f>IFERROR(AY715*$W715,)</f>
        <v/>
      </c>
      <c r="CK715" s="128">
        <f>IFERROR(AZ715*$W715,)</f>
        <v/>
      </c>
      <c r="CL715" s="129">
        <f>IFERROR(if($Y715=0,BA715*($W715/1.2),BA715*$Y715),"")</f>
        <v/>
      </c>
      <c r="CM715" s="129">
        <f>IFERROR(if($Y715=0,BB715*($W715/1.2),BB715*$Y715),"")</f>
        <v/>
      </c>
      <c r="CN715" s="129">
        <f>IFERROR(if($Y715=0,BC715*($W715/1.2),BC715*$Y715),"")</f>
        <v/>
      </c>
      <c r="CO715" s="130">
        <f>IFERROR(if($AA715=0,($W715/1.35)*BD715,BD715*$AA715),)</f>
        <v/>
      </c>
      <c r="CP715" s="130">
        <f>IFERROR(if($AA715=0,($W715/1.35)*BE715,BE715*$AA715),)</f>
        <v/>
      </c>
      <c r="CQ715" s="130">
        <f>IFERROR(if($AA715=0,($W715/1.35)*BF715,BF715*$AA715),)</f>
        <v/>
      </c>
      <c r="CR715" s="128">
        <f>IFERROR(if($AC715=0,($W715/0.74)*BG715,
BG715*$AC715),)</f>
        <v/>
      </c>
      <c r="CS715" s="128">
        <f>IFERROR(if($AC715=0,($W715/0.74)*BH715,
BH715*$AC715),)</f>
        <v/>
      </c>
      <c r="CT715" s="128">
        <f>IFERROR(if($AC715=0,($W715/0.74)*BI715,
BI715*$AC715),)</f>
        <v/>
      </c>
      <c r="CU715" s="128">
        <f>IFERROR(AI715*$V715,)</f>
        <v/>
      </c>
      <c r="CV715" s="128">
        <f>IFERROR(AJ715*$V715,)</f>
        <v/>
      </c>
      <c r="CW715" s="128">
        <f>IFERROR(AK715*$V715,)</f>
        <v/>
      </c>
      <c r="CX715" s="128">
        <f>IFERROR(AL715*$V715,)</f>
        <v/>
      </c>
      <c r="CY715" s="128">
        <f>IFERROR(AM715*$V715,)</f>
        <v/>
      </c>
      <c r="CZ715" s="128">
        <f>IFERROR(AN715*$V715,)</f>
        <v/>
      </c>
      <c r="DA715" s="128">
        <f>IFERROR(AO715*$V715,)</f>
        <v/>
      </c>
      <c r="DB715" s="128">
        <f>IFERROR(AP715*$V715,)</f>
        <v/>
      </c>
      <c r="DC715" s="128">
        <f>IFERROR(AQ715*$V715,)</f>
        <v/>
      </c>
      <c r="DD715" s="128">
        <f>IFERROR(AR715*$V715,)</f>
        <v/>
      </c>
      <c r="DE715" s="128">
        <f>IFERROR(AS715*$V715,)</f>
        <v/>
      </c>
      <c r="DF715" s="128">
        <f>IFERROR(AT715*$V715,)</f>
        <v/>
      </c>
      <c r="DG715" s="128">
        <f>IFERROR(AU715*$V715,)</f>
        <v/>
      </c>
      <c r="DH715" s="128">
        <f>IFERROR(AV715*$V715,)</f>
        <v/>
      </c>
      <c r="DI715" s="128">
        <f>IFERROR(AW715*$V715,)</f>
        <v/>
      </c>
      <c r="DJ715" s="128">
        <f>IFERROR(AX715*$V715,)</f>
        <v/>
      </c>
      <c r="DK715" s="128">
        <f>IFERROR(AY715*$V715,)</f>
        <v/>
      </c>
      <c r="DL715" s="128">
        <f>IFERROR(AZ715*$V715,)</f>
        <v/>
      </c>
      <c r="DM715" s="129">
        <f>IFERROR(if($X715=0,($V715/1.2)*BA715,
BA715*$X715),)</f>
        <v/>
      </c>
      <c r="DN715" s="129">
        <f>IFERROR(if($X715=0,($V715/1.2)*BB715,
BB715*$X715),)</f>
        <v/>
      </c>
      <c r="DO715" s="129">
        <f>IFERROR(if($X715=0,($V715/1.2)*BC715,
BC715*$X715),)</f>
        <v/>
      </c>
      <c r="DP715" s="130">
        <f>IFERROR(if($Z715=0,($V715/1.35)*BD715,
BD715*$Z715),)</f>
        <v/>
      </c>
      <c r="DQ715" s="130">
        <f>IFERROR(if($Z715=0,($V715/1.35)*BE715,
BE715*$Z715),)</f>
        <v/>
      </c>
      <c r="DR715" s="130">
        <f>IFERROR(if($Z715=0,($V715/1.35)*BF715,
BF715*$Z715),)</f>
        <v/>
      </c>
      <c r="DS715" s="128">
        <f>IFERROR(IF($AB715=0,($V715/0.74)*BG715,
BG715*$AB715),)</f>
        <v/>
      </c>
      <c r="DT715" s="128">
        <f>IFERROR(IF($AB715=0,($V715/0.74)*BH715,
BH715*$AB715),)</f>
        <v/>
      </c>
      <c r="DU715" s="128">
        <f>IFERROR(IF($AB715=0,($V715/0.74)*BI715,
BI715*$AB715),)</f>
        <v/>
      </c>
    </row>
    <row r="716" ht="131.25" customHeight="1" s="162">
      <c r="A716" s="115" t="n"/>
      <c r="B716" s="115" t="n"/>
      <c r="C716" s="115" t="n"/>
      <c r="D716" s="115" t="n"/>
      <c r="E716" s="115" t="n"/>
      <c r="F716" s="115" t="n"/>
      <c r="G716" s="115" t="n"/>
      <c r="H716" s="115" t="n"/>
      <c r="I716" s="115" t="n"/>
      <c r="J716" s="115" t="n"/>
      <c r="K716" s="115" t="n"/>
      <c r="L716" s="115" t="n"/>
      <c r="M716" s="115" t="n"/>
      <c r="N716" s="115" t="n"/>
      <c r="O716" s="115" t="n"/>
      <c r="P716" s="115" t="n"/>
      <c r="Q716" s="115" t="n"/>
      <c r="R716" s="115" t="n"/>
      <c r="S716" s="115" t="n"/>
      <c r="T716" s="115" t="n"/>
      <c r="U716" s="116" t="n"/>
      <c r="V716" s="116" t="n"/>
      <c r="W716" s="117" t="n"/>
      <c r="X716" s="118" t="n"/>
      <c r="Y716" s="119" t="n"/>
      <c r="Z716" s="120" t="n"/>
      <c r="AA716" s="121" t="n"/>
      <c r="AB716" s="122" t="n"/>
      <c r="AC716" s="117" t="n"/>
      <c r="AD716" s="123">
        <f>IF(SUM($AE716:$AH716)=0,"",SUM($AE716:$AH716))</f>
        <v/>
      </c>
      <c r="AE716" s="123">
        <f>iferror(IF(SUM($AI716:$AZ716)=0,"",SUM($AI716:$AZ716)),"")</f>
        <v/>
      </c>
      <c r="AF716" s="123">
        <f>iferror(IF(SUM($BA716:$BC716)=0,"",SUM($BA716:$BC716)),"")</f>
        <v/>
      </c>
      <c r="AG716" s="123">
        <f>iferror(IF(SUM($BD716:$BF716)=0,"",SUM($BD716:$BF716)),"")</f>
        <v/>
      </c>
      <c r="AH716" s="124">
        <f>iferror(IF(SUM($BG716:$BI716)=0,"",SUM($BG716:$BI716)),"")</f>
        <v/>
      </c>
      <c r="AI716" s="131" t="n"/>
      <c r="AJ716" s="132" t="n"/>
      <c r="AK716" s="132" t="n"/>
      <c r="AL716" s="132" t="n"/>
      <c r="AM716" s="132" t="n"/>
      <c r="AN716" s="132" t="n"/>
      <c r="AO716" s="132" t="n"/>
      <c r="AP716" s="132" t="n"/>
      <c r="AQ716" s="132" t="n"/>
      <c r="AR716" s="132" t="n"/>
      <c r="AS716" s="132" t="n"/>
      <c r="AT716" s="132" t="n"/>
      <c r="AU716" s="132" t="n"/>
      <c r="AV716" s="132" t="n"/>
      <c r="AW716" s="132" t="n"/>
      <c r="AX716" s="132" t="n"/>
      <c r="AY716" s="132" t="n"/>
      <c r="AZ716" s="133" t="n"/>
      <c r="BA716" s="131" t="n"/>
      <c r="BB716" s="132" t="n"/>
      <c r="BC716" s="133" t="n"/>
      <c r="BD716" s="131" t="n"/>
      <c r="BE716" s="132" t="n"/>
      <c r="BF716" s="133" t="n"/>
      <c r="BG716" s="131" t="n"/>
      <c r="BH716" s="132" t="n"/>
      <c r="BI716" s="132" t="n"/>
      <c r="BJ716" s="128">
        <f>iferror(SUM($BK716,($BL716*1.2),($BM716*1.35),($BN716*0.74)),)</f>
        <v/>
      </c>
      <c r="BK716" s="128">
        <f>IFERROR(SUM($BT716:$CK716),)</f>
        <v/>
      </c>
      <c r="BL716" s="129">
        <f>IFERROR(SUM($CL716:$CN716),)</f>
        <v/>
      </c>
      <c r="BM716" s="130">
        <f>IFERROR(SUM($CO716:$CQ716),)</f>
        <v/>
      </c>
      <c r="BN716" s="128">
        <f>IFERROR(SUM($CR716:$CT716),)</f>
        <v/>
      </c>
      <c r="BO716" s="128">
        <f>iferror(SUM($BP716,($BQ716*1.2),($BR716*1.35),($BS716*0.74)),)</f>
        <v/>
      </c>
      <c r="BP716" s="128">
        <f>IFERROR(SUM($CU716:$DL716),)</f>
        <v/>
      </c>
      <c r="BQ716" s="128">
        <f>IFERROR(SUM($DM716:$DO716),)</f>
        <v/>
      </c>
      <c r="BR716" s="128">
        <f>IFERROR(SUM($DP716:$DR716),)</f>
        <v/>
      </c>
      <c r="BS716" s="128">
        <f>IFERROR(SUM($DS716:$DU716),)</f>
        <v/>
      </c>
      <c r="BT716" s="128">
        <f>IFERROR(AI716*$W716,)</f>
        <v/>
      </c>
      <c r="BU716" s="128">
        <f>IFERROR(AJ716*$W716,)</f>
        <v/>
      </c>
      <c r="BV716" s="128">
        <f>IFERROR(AK716*$W716,)</f>
        <v/>
      </c>
      <c r="BW716" s="128">
        <f>IFERROR(AL716*$W716,)</f>
        <v/>
      </c>
      <c r="BX716" s="128">
        <f>IFERROR(AM716*$W716,)</f>
        <v/>
      </c>
      <c r="BY716" s="128">
        <f>IFERROR(AN716*$W716,)</f>
        <v/>
      </c>
      <c r="BZ716" s="128">
        <f>IFERROR(AO716*$W716,)</f>
        <v/>
      </c>
      <c r="CA716" s="128">
        <f>IFERROR(AP716*$W716,)</f>
        <v/>
      </c>
      <c r="CB716" s="128">
        <f>IFERROR(AQ716*$W716,)</f>
        <v/>
      </c>
      <c r="CC716" s="128">
        <f>IFERROR(AR716*$W716,)</f>
        <v/>
      </c>
      <c r="CD716" s="128">
        <f>IFERROR(AS716*$W716,)</f>
        <v/>
      </c>
      <c r="CE716" s="128">
        <f>IFERROR(AT716*$W716,)</f>
        <v/>
      </c>
      <c r="CF716" s="128">
        <f>IFERROR(AU716*$W716,)</f>
        <v/>
      </c>
      <c r="CG716" s="128">
        <f>IFERROR(AV716*$W716,)</f>
        <v/>
      </c>
      <c r="CH716" s="128">
        <f>IFERROR(AW716*$W716,)</f>
        <v/>
      </c>
      <c r="CI716" s="128">
        <f>IFERROR(AX716*$W716,)</f>
        <v/>
      </c>
      <c r="CJ716" s="128">
        <f>IFERROR(AY716*$W716,)</f>
        <v/>
      </c>
      <c r="CK716" s="128">
        <f>IFERROR(AZ716*$W716,)</f>
        <v/>
      </c>
      <c r="CL716" s="129">
        <f>IFERROR(if($Y716=0,BA716*($W716/1.2),BA716*$Y716),"")</f>
        <v/>
      </c>
      <c r="CM716" s="129">
        <f>IFERROR(if($Y716=0,BB716*($W716/1.2),BB716*$Y716),"")</f>
        <v/>
      </c>
      <c r="CN716" s="129">
        <f>IFERROR(if($Y716=0,BC716*($W716/1.2),BC716*$Y716),"")</f>
        <v/>
      </c>
      <c r="CO716" s="130">
        <f>IFERROR(if($AA716=0,($W716/1.35)*BD716,BD716*$AA716),)</f>
        <v/>
      </c>
      <c r="CP716" s="130">
        <f>IFERROR(if($AA716=0,($W716/1.35)*BE716,BE716*$AA716),)</f>
        <v/>
      </c>
      <c r="CQ716" s="130">
        <f>IFERROR(if($AA716=0,($W716/1.35)*BF716,BF716*$AA716),)</f>
        <v/>
      </c>
      <c r="CR716" s="128">
        <f>IFERROR(if($AC716=0,($W716/0.74)*BG716,
BG716*$AC716),)</f>
        <v/>
      </c>
      <c r="CS716" s="128">
        <f>IFERROR(if($AC716=0,($W716/0.74)*BH716,
BH716*$AC716),)</f>
        <v/>
      </c>
      <c r="CT716" s="128">
        <f>IFERROR(if($AC716=0,($W716/0.74)*BI716,
BI716*$AC716),)</f>
        <v/>
      </c>
      <c r="CU716" s="128">
        <f>IFERROR(AI716*$V716,)</f>
        <v/>
      </c>
      <c r="CV716" s="128">
        <f>IFERROR(AJ716*$V716,)</f>
        <v/>
      </c>
      <c r="CW716" s="128">
        <f>IFERROR(AK716*$V716,)</f>
        <v/>
      </c>
      <c r="CX716" s="128">
        <f>IFERROR(AL716*$V716,)</f>
        <v/>
      </c>
      <c r="CY716" s="128">
        <f>IFERROR(AM716*$V716,)</f>
        <v/>
      </c>
      <c r="CZ716" s="128">
        <f>IFERROR(AN716*$V716,)</f>
        <v/>
      </c>
      <c r="DA716" s="128">
        <f>IFERROR(AO716*$V716,)</f>
        <v/>
      </c>
      <c r="DB716" s="128">
        <f>IFERROR(AP716*$V716,)</f>
        <v/>
      </c>
      <c r="DC716" s="128">
        <f>IFERROR(AQ716*$V716,)</f>
        <v/>
      </c>
      <c r="DD716" s="128">
        <f>IFERROR(AR716*$V716,)</f>
        <v/>
      </c>
      <c r="DE716" s="128">
        <f>IFERROR(AS716*$V716,)</f>
        <v/>
      </c>
      <c r="DF716" s="128">
        <f>IFERROR(AT716*$V716,)</f>
        <v/>
      </c>
      <c r="DG716" s="128">
        <f>IFERROR(AU716*$V716,)</f>
        <v/>
      </c>
      <c r="DH716" s="128">
        <f>IFERROR(AV716*$V716,)</f>
        <v/>
      </c>
      <c r="DI716" s="128">
        <f>IFERROR(AW716*$V716,)</f>
        <v/>
      </c>
      <c r="DJ716" s="128">
        <f>IFERROR(AX716*$V716,)</f>
        <v/>
      </c>
      <c r="DK716" s="128">
        <f>IFERROR(AY716*$V716,)</f>
        <v/>
      </c>
      <c r="DL716" s="128">
        <f>IFERROR(AZ716*$V716,)</f>
        <v/>
      </c>
      <c r="DM716" s="129">
        <f>IFERROR(if($X716=0,($V716/1.2)*BA716,
BA716*$X716),)</f>
        <v/>
      </c>
      <c r="DN716" s="129">
        <f>IFERROR(if($X716=0,($V716/1.2)*BB716,
BB716*$X716),)</f>
        <v/>
      </c>
      <c r="DO716" s="129">
        <f>IFERROR(if($X716=0,($V716/1.2)*BC716,
BC716*$X716),)</f>
        <v/>
      </c>
      <c r="DP716" s="130">
        <f>IFERROR(if($Z716=0,($V716/1.35)*BD716,
BD716*$Z716),)</f>
        <v/>
      </c>
      <c r="DQ716" s="130">
        <f>IFERROR(if($Z716=0,($V716/1.35)*BE716,
BE716*$Z716),)</f>
        <v/>
      </c>
      <c r="DR716" s="130">
        <f>IFERROR(if($Z716=0,($V716/1.35)*BF716,
BF716*$Z716),)</f>
        <v/>
      </c>
      <c r="DS716" s="128">
        <f>IFERROR(IF($AB716=0,($V716/0.74)*BG716,
BG716*$AB716),)</f>
        <v/>
      </c>
      <c r="DT716" s="128">
        <f>IFERROR(IF($AB716=0,($V716/0.74)*BH716,
BH716*$AB716),)</f>
        <v/>
      </c>
      <c r="DU716" s="128">
        <f>IFERROR(IF($AB716=0,($V716/0.74)*BI716,
BI716*$AB716),)</f>
        <v/>
      </c>
    </row>
    <row r="717" ht="131.25" customHeight="1" s="162">
      <c r="A717" s="115" t="n"/>
      <c r="B717" s="115" t="n"/>
      <c r="C717" s="115" t="n"/>
      <c r="D717" s="115" t="n"/>
      <c r="E717" s="115" t="n"/>
      <c r="F717" s="115" t="n"/>
      <c r="G717" s="115" t="n"/>
      <c r="H717" s="115" t="n"/>
      <c r="I717" s="115" t="n"/>
      <c r="J717" s="115" t="n"/>
      <c r="K717" s="115" t="n"/>
      <c r="L717" s="115" t="n"/>
      <c r="M717" s="115" t="n"/>
      <c r="N717" s="115" t="n"/>
      <c r="O717" s="115" t="n"/>
      <c r="P717" s="115" t="n"/>
      <c r="Q717" s="115" t="n"/>
      <c r="R717" s="115" t="n"/>
      <c r="S717" s="115" t="n"/>
      <c r="T717" s="115" t="n"/>
      <c r="U717" s="116" t="n"/>
      <c r="V717" s="116" t="n"/>
      <c r="W717" s="117" t="n"/>
      <c r="X717" s="118" t="n"/>
      <c r="Y717" s="119" t="n"/>
      <c r="Z717" s="120" t="n"/>
      <c r="AA717" s="121" t="n"/>
      <c r="AB717" s="122" t="n"/>
      <c r="AC717" s="117" t="n"/>
      <c r="AD717" s="123">
        <f>IF(SUM($AE717:$AH717)=0,"",SUM($AE717:$AH717))</f>
        <v/>
      </c>
      <c r="AE717" s="123">
        <f>iferror(IF(SUM($AI717:$AZ717)=0,"",SUM($AI717:$AZ717)),"")</f>
        <v/>
      </c>
      <c r="AF717" s="123">
        <f>iferror(IF(SUM($BA717:$BC717)=0,"",SUM($BA717:$BC717)),"")</f>
        <v/>
      </c>
      <c r="AG717" s="123">
        <f>iferror(IF(SUM($BD717:$BF717)=0,"",SUM($BD717:$BF717)),"")</f>
        <v/>
      </c>
      <c r="AH717" s="124">
        <f>iferror(IF(SUM($BG717:$BI717)=0,"",SUM($BG717:$BI717)),"")</f>
        <v/>
      </c>
      <c r="AI717" s="131" t="n"/>
      <c r="AJ717" s="132" t="n"/>
      <c r="AK717" s="132" t="n"/>
      <c r="AL717" s="132" t="n"/>
      <c r="AM717" s="132" t="n"/>
      <c r="AN717" s="132" t="n"/>
      <c r="AO717" s="132" t="n"/>
      <c r="AP717" s="132" t="n"/>
      <c r="AQ717" s="132" t="n"/>
      <c r="AR717" s="132" t="n"/>
      <c r="AS717" s="132" t="n"/>
      <c r="AT717" s="132" t="n"/>
      <c r="AU717" s="132" t="n"/>
      <c r="AV717" s="132" t="n"/>
      <c r="AW717" s="132" t="n"/>
      <c r="AX717" s="132" t="n"/>
      <c r="AY717" s="132" t="n"/>
      <c r="AZ717" s="133" t="n"/>
      <c r="BA717" s="131" t="n"/>
      <c r="BB717" s="132" t="n"/>
      <c r="BC717" s="133" t="n"/>
      <c r="BD717" s="131" t="n"/>
      <c r="BE717" s="132" t="n"/>
      <c r="BF717" s="133" t="n"/>
      <c r="BG717" s="131" t="n"/>
      <c r="BH717" s="132" t="n"/>
      <c r="BI717" s="132" t="n"/>
      <c r="BJ717" s="128">
        <f>iferror(SUM($BK717,($BL717*1.2),($BM717*1.35),($BN717*0.74)),)</f>
        <v/>
      </c>
      <c r="BK717" s="128">
        <f>IFERROR(SUM($BT717:$CK717),)</f>
        <v/>
      </c>
      <c r="BL717" s="129">
        <f>IFERROR(SUM($CL717:$CN717),)</f>
        <v/>
      </c>
      <c r="BM717" s="130">
        <f>IFERROR(SUM($CO717:$CQ717),)</f>
        <v/>
      </c>
      <c r="BN717" s="128">
        <f>IFERROR(SUM($CR717:$CT717),)</f>
        <v/>
      </c>
      <c r="BO717" s="128">
        <f>iferror(SUM($BP717,($BQ717*1.2),($BR717*1.35),($BS717*0.74)),)</f>
        <v/>
      </c>
      <c r="BP717" s="128">
        <f>IFERROR(SUM($CU717:$DL717),)</f>
        <v/>
      </c>
      <c r="BQ717" s="128">
        <f>IFERROR(SUM($DM717:$DO717),)</f>
        <v/>
      </c>
      <c r="BR717" s="128">
        <f>IFERROR(SUM($DP717:$DR717),)</f>
        <v/>
      </c>
      <c r="BS717" s="128">
        <f>IFERROR(SUM($DS717:$DU717),)</f>
        <v/>
      </c>
      <c r="BT717" s="128">
        <f>IFERROR(AI717*$W717,)</f>
        <v/>
      </c>
      <c r="BU717" s="128">
        <f>IFERROR(AJ717*$W717,)</f>
        <v/>
      </c>
      <c r="BV717" s="128">
        <f>IFERROR(AK717*$W717,)</f>
        <v/>
      </c>
      <c r="BW717" s="128">
        <f>IFERROR(AL717*$W717,)</f>
        <v/>
      </c>
      <c r="BX717" s="128">
        <f>IFERROR(AM717*$W717,)</f>
        <v/>
      </c>
      <c r="BY717" s="128">
        <f>IFERROR(AN717*$W717,)</f>
        <v/>
      </c>
      <c r="BZ717" s="128">
        <f>IFERROR(AO717*$W717,)</f>
        <v/>
      </c>
      <c r="CA717" s="128">
        <f>IFERROR(AP717*$W717,)</f>
        <v/>
      </c>
      <c r="CB717" s="128">
        <f>IFERROR(AQ717*$W717,)</f>
        <v/>
      </c>
      <c r="CC717" s="128">
        <f>IFERROR(AR717*$W717,)</f>
        <v/>
      </c>
      <c r="CD717" s="128">
        <f>IFERROR(AS717*$W717,)</f>
        <v/>
      </c>
      <c r="CE717" s="128">
        <f>IFERROR(AT717*$W717,)</f>
        <v/>
      </c>
      <c r="CF717" s="128">
        <f>IFERROR(AU717*$W717,)</f>
        <v/>
      </c>
      <c r="CG717" s="128">
        <f>IFERROR(AV717*$W717,)</f>
        <v/>
      </c>
      <c r="CH717" s="128">
        <f>IFERROR(AW717*$W717,)</f>
        <v/>
      </c>
      <c r="CI717" s="128">
        <f>IFERROR(AX717*$W717,)</f>
        <v/>
      </c>
      <c r="CJ717" s="128">
        <f>IFERROR(AY717*$W717,)</f>
        <v/>
      </c>
      <c r="CK717" s="128">
        <f>IFERROR(AZ717*$W717,)</f>
        <v/>
      </c>
      <c r="CL717" s="129">
        <f>IFERROR(if($Y717=0,BA717*($W717/1.2),BA717*$Y717),"")</f>
        <v/>
      </c>
      <c r="CM717" s="129">
        <f>IFERROR(if($Y717=0,BB717*($W717/1.2),BB717*$Y717),"")</f>
        <v/>
      </c>
      <c r="CN717" s="129">
        <f>IFERROR(if($Y717=0,BC717*($W717/1.2),BC717*$Y717),"")</f>
        <v/>
      </c>
      <c r="CO717" s="130">
        <f>IFERROR(if($AA717=0,($W717/1.35)*BD717,BD717*$AA717),)</f>
        <v/>
      </c>
      <c r="CP717" s="130">
        <f>IFERROR(if($AA717=0,($W717/1.35)*BE717,BE717*$AA717),)</f>
        <v/>
      </c>
      <c r="CQ717" s="130">
        <f>IFERROR(if($AA717=0,($W717/1.35)*BF717,BF717*$AA717),)</f>
        <v/>
      </c>
      <c r="CR717" s="128">
        <f>IFERROR(if($AC717=0,($W717/0.74)*BG717,
BG717*$AC717),)</f>
        <v/>
      </c>
      <c r="CS717" s="128">
        <f>IFERROR(if($AC717=0,($W717/0.74)*BH717,
BH717*$AC717),)</f>
        <v/>
      </c>
      <c r="CT717" s="128">
        <f>IFERROR(if($AC717=0,($W717/0.74)*BI717,
BI717*$AC717),)</f>
        <v/>
      </c>
      <c r="CU717" s="128">
        <f>IFERROR(AI717*$V717,)</f>
        <v/>
      </c>
      <c r="CV717" s="128">
        <f>IFERROR(AJ717*$V717,)</f>
        <v/>
      </c>
      <c r="CW717" s="128">
        <f>IFERROR(AK717*$V717,)</f>
        <v/>
      </c>
      <c r="CX717" s="128">
        <f>IFERROR(AL717*$V717,)</f>
        <v/>
      </c>
      <c r="CY717" s="128">
        <f>IFERROR(AM717*$V717,)</f>
        <v/>
      </c>
      <c r="CZ717" s="128">
        <f>IFERROR(AN717*$V717,)</f>
        <v/>
      </c>
      <c r="DA717" s="128">
        <f>IFERROR(AO717*$V717,)</f>
        <v/>
      </c>
      <c r="DB717" s="128">
        <f>IFERROR(AP717*$V717,)</f>
        <v/>
      </c>
      <c r="DC717" s="128">
        <f>IFERROR(AQ717*$V717,)</f>
        <v/>
      </c>
      <c r="DD717" s="128">
        <f>IFERROR(AR717*$V717,)</f>
        <v/>
      </c>
      <c r="DE717" s="128">
        <f>IFERROR(AS717*$V717,)</f>
        <v/>
      </c>
      <c r="DF717" s="128">
        <f>IFERROR(AT717*$V717,)</f>
        <v/>
      </c>
      <c r="DG717" s="128">
        <f>IFERROR(AU717*$V717,)</f>
        <v/>
      </c>
      <c r="DH717" s="128">
        <f>IFERROR(AV717*$V717,)</f>
        <v/>
      </c>
      <c r="DI717" s="128">
        <f>IFERROR(AW717*$V717,)</f>
        <v/>
      </c>
      <c r="DJ717" s="128">
        <f>IFERROR(AX717*$V717,)</f>
        <v/>
      </c>
      <c r="DK717" s="128">
        <f>IFERROR(AY717*$V717,)</f>
        <v/>
      </c>
      <c r="DL717" s="128">
        <f>IFERROR(AZ717*$V717,)</f>
        <v/>
      </c>
      <c r="DM717" s="129">
        <f>IFERROR(if($X717=0,($V717/1.2)*BA717,
BA717*$X717),)</f>
        <v/>
      </c>
      <c r="DN717" s="129">
        <f>IFERROR(if($X717=0,($V717/1.2)*BB717,
BB717*$X717),)</f>
        <v/>
      </c>
      <c r="DO717" s="129">
        <f>IFERROR(if($X717=0,($V717/1.2)*BC717,
BC717*$X717),)</f>
        <v/>
      </c>
      <c r="DP717" s="130">
        <f>IFERROR(if($Z717=0,($V717/1.35)*BD717,
BD717*$Z717),)</f>
        <v/>
      </c>
      <c r="DQ717" s="130">
        <f>IFERROR(if($Z717=0,($V717/1.35)*BE717,
BE717*$Z717),)</f>
        <v/>
      </c>
      <c r="DR717" s="130">
        <f>IFERROR(if($Z717=0,($V717/1.35)*BF717,
BF717*$Z717),)</f>
        <v/>
      </c>
      <c r="DS717" s="128">
        <f>IFERROR(IF($AB717=0,($V717/0.74)*BG717,
BG717*$AB717),)</f>
        <v/>
      </c>
      <c r="DT717" s="128">
        <f>IFERROR(IF($AB717=0,($V717/0.74)*BH717,
BH717*$AB717),)</f>
        <v/>
      </c>
      <c r="DU717" s="128">
        <f>IFERROR(IF($AB717=0,($V717/0.74)*BI717,
BI717*$AB717),)</f>
        <v/>
      </c>
    </row>
    <row r="718" ht="131.25" customHeight="1" s="162">
      <c r="A718" s="115" t="n"/>
      <c r="B718" s="115" t="n"/>
      <c r="C718" s="115" t="n"/>
      <c r="D718" s="115" t="n"/>
      <c r="E718" s="115" t="n"/>
      <c r="F718" s="115" t="n"/>
      <c r="G718" s="115" t="n"/>
      <c r="H718" s="115" t="n"/>
      <c r="I718" s="115" t="n"/>
      <c r="J718" s="115" t="n"/>
      <c r="K718" s="115" t="n"/>
      <c r="L718" s="115" t="n"/>
      <c r="M718" s="115" t="n"/>
      <c r="N718" s="115" t="n"/>
      <c r="O718" s="115" t="n"/>
      <c r="P718" s="115" t="n"/>
      <c r="Q718" s="115" t="n"/>
      <c r="R718" s="115" t="n"/>
      <c r="S718" s="115" t="n"/>
      <c r="T718" s="115" t="n"/>
      <c r="U718" s="116" t="n"/>
      <c r="V718" s="116" t="n"/>
      <c r="W718" s="117" t="n"/>
      <c r="X718" s="118" t="n"/>
      <c r="Y718" s="119" t="n"/>
      <c r="Z718" s="120" t="n"/>
      <c r="AA718" s="121" t="n"/>
      <c r="AB718" s="122" t="n"/>
      <c r="AC718" s="117" t="n"/>
      <c r="AD718" s="123">
        <f>IF(SUM($AE718:$AH718)=0,"",SUM($AE718:$AH718))</f>
        <v/>
      </c>
      <c r="AE718" s="123">
        <f>iferror(IF(SUM($AI718:$AZ718)=0,"",SUM($AI718:$AZ718)),"")</f>
        <v/>
      </c>
      <c r="AF718" s="123">
        <f>iferror(IF(SUM($BA718:$BC718)=0,"",SUM($BA718:$BC718)),"")</f>
        <v/>
      </c>
      <c r="AG718" s="123">
        <f>iferror(IF(SUM($BD718:$BF718)=0,"",SUM($BD718:$BF718)),"")</f>
        <v/>
      </c>
      <c r="AH718" s="124">
        <f>iferror(IF(SUM($BG718:$BI718)=0,"",SUM($BG718:$BI718)),"")</f>
        <v/>
      </c>
      <c r="AI718" s="131" t="n"/>
      <c r="AJ718" s="132" t="n"/>
      <c r="AK718" s="132" t="n"/>
      <c r="AL718" s="132" t="n"/>
      <c r="AM718" s="132" t="n"/>
      <c r="AN718" s="132" t="n"/>
      <c r="AO718" s="132" t="n"/>
      <c r="AP718" s="132" t="n"/>
      <c r="AQ718" s="132" t="n"/>
      <c r="AR718" s="132" t="n"/>
      <c r="AS718" s="132" t="n"/>
      <c r="AT718" s="132" t="n"/>
      <c r="AU718" s="132" t="n"/>
      <c r="AV718" s="132" t="n"/>
      <c r="AW718" s="132" t="n"/>
      <c r="AX718" s="132" t="n"/>
      <c r="AY718" s="132" t="n"/>
      <c r="AZ718" s="133" t="n"/>
      <c r="BA718" s="131" t="n"/>
      <c r="BB718" s="132" t="n"/>
      <c r="BC718" s="133" t="n"/>
      <c r="BD718" s="131" t="n"/>
      <c r="BE718" s="132" t="n"/>
      <c r="BF718" s="133" t="n"/>
      <c r="BG718" s="131" t="n"/>
      <c r="BH718" s="132" t="n"/>
      <c r="BI718" s="132" t="n"/>
      <c r="BJ718" s="128">
        <f>iferror(SUM($BK718,($BL718*1.2),($BM718*1.35),($BN718*0.74)),)</f>
        <v/>
      </c>
      <c r="BK718" s="128">
        <f>IFERROR(SUM($BT718:$CK718),)</f>
        <v/>
      </c>
      <c r="BL718" s="129">
        <f>IFERROR(SUM($CL718:$CN718),)</f>
        <v/>
      </c>
      <c r="BM718" s="130">
        <f>IFERROR(SUM($CO718:$CQ718),)</f>
        <v/>
      </c>
      <c r="BN718" s="128">
        <f>IFERROR(SUM($CR718:$CT718),)</f>
        <v/>
      </c>
      <c r="BO718" s="128">
        <f>iferror(SUM($BP718,($BQ718*1.2),($BR718*1.35),($BS718*0.74)),)</f>
        <v/>
      </c>
      <c r="BP718" s="128">
        <f>IFERROR(SUM($CU718:$DL718),)</f>
        <v/>
      </c>
      <c r="BQ718" s="128">
        <f>IFERROR(SUM($DM718:$DO718),)</f>
        <v/>
      </c>
      <c r="BR718" s="128">
        <f>IFERROR(SUM($DP718:$DR718),)</f>
        <v/>
      </c>
      <c r="BS718" s="128">
        <f>IFERROR(SUM($DS718:$DU718),)</f>
        <v/>
      </c>
      <c r="BT718" s="128">
        <f>IFERROR(AI718*$W718,)</f>
        <v/>
      </c>
      <c r="BU718" s="128">
        <f>IFERROR(AJ718*$W718,)</f>
        <v/>
      </c>
      <c r="BV718" s="128">
        <f>IFERROR(AK718*$W718,)</f>
        <v/>
      </c>
      <c r="BW718" s="128">
        <f>IFERROR(AL718*$W718,)</f>
        <v/>
      </c>
      <c r="BX718" s="128">
        <f>IFERROR(AM718*$W718,)</f>
        <v/>
      </c>
      <c r="BY718" s="128">
        <f>IFERROR(AN718*$W718,)</f>
        <v/>
      </c>
      <c r="BZ718" s="128">
        <f>IFERROR(AO718*$W718,)</f>
        <v/>
      </c>
      <c r="CA718" s="128">
        <f>IFERROR(AP718*$W718,)</f>
        <v/>
      </c>
      <c r="CB718" s="128">
        <f>IFERROR(AQ718*$W718,)</f>
        <v/>
      </c>
      <c r="CC718" s="128">
        <f>IFERROR(AR718*$W718,)</f>
        <v/>
      </c>
      <c r="CD718" s="128">
        <f>IFERROR(AS718*$W718,)</f>
        <v/>
      </c>
      <c r="CE718" s="128">
        <f>IFERROR(AT718*$W718,)</f>
        <v/>
      </c>
      <c r="CF718" s="128">
        <f>IFERROR(AU718*$W718,)</f>
        <v/>
      </c>
      <c r="CG718" s="128">
        <f>IFERROR(AV718*$W718,)</f>
        <v/>
      </c>
      <c r="CH718" s="128">
        <f>IFERROR(AW718*$W718,)</f>
        <v/>
      </c>
      <c r="CI718" s="128">
        <f>IFERROR(AX718*$W718,)</f>
        <v/>
      </c>
      <c r="CJ718" s="128">
        <f>IFERROR(AY718*$W718,)</f>
        <v/>
      </c>
      <c r="CK718" s="128">
        <f>IFERROR(AZ718*$W718,)</f>
        <v/>
      </c>
      <c r="CL718" s="129">
        <f>IFERROR(if($Y718=0,BA718*($W718/1.2),BA718*$Y718),"")</f>
        <v/>
      </c>
      <c r="CM718" s="129">
        <f>IFERROR(if($Y718=0,BB718*($W718/1.2),BB718*$Y718),"")</f>
        <v/>
      </c>
      <c r="CN718" s="129">
        <f>IFERROR(if($Y718=0,BC718*($W718/1.2),BC718*$Y718),"")</f>
        <v/>
      </c>
      <c r="CO718" s="130">
        <f>IFERROR(if($AA718=0,($W718/1.35)*BD718,BD718*$AA718),)</f>
        <v/>
      </c>
      <c r="CP718" s="130">
        <f>IFERROR(if($AA718=0,($W718/1.35)*BE718,BE718*$AA718),)</f>
        <v/>
      </c>
      <c r="CQ718" s="130">
        <f>IFERROR(if($AA718=0,($W718/1.35)*BF718,BF718*$AA718),)</f>
        <v/>
      </c>
      <c r="CR718" s="128">
        <f>IFERROR(if($AC718=0,($W718/0.74)*BG718,
BG718*$AC718),)</f>
        <v/>
      </c>
      <c r="CS718" s="128">
        <f>IFERROR(if($AC718=0,($W718/0.74)*BH718,
BH718*$AC718),)</f>
        <v/>
      </c>
      <c r="CT718" s="128">
        <f>IFERROR(if($AC718=0,($W718/0.74)*BI718,
BI718*$AC718),)</f>
        <v/>
      </c>
      <c r="CU718" s="128">
        <f>IFERROR(AI718*$V718,)</f>
        <v/>
      </c>
      <c r="CV718" s="128">
        <f>IFERROR(AJ718*$V718,)</f>
        <v/>
      </c>
      <c r="CW718" s="128">
        <f>IFERROR(AK718*$V718,)</f>
        <v/>
      </c>
      <c r="CX718" s="128">
        <f>IFERROR(AL718*$V718,)</f>
        <v/>
      </c>
      <c r="CY718" s="128">
        <f>IFERROR(AM718*$V718,)</f>
        <v/>
      </c>
      <c r="CZ718" s="128">
        <f>IFERROR(AN718*$V718,)</f>
        <v/>
      </c>
      <c r="DA718" s="128">
        <f>IFERROR(AO718*$V718,)</f>
        <v/>
      </c>
      <c r="DB718" s="128">
        <f>IFERROR(AP718*$V718,)</f>
        <v/>
      </c>
      <c r="DC718" s="128">
        <f>IFERROR(AQ718*$V718,)</f>
        <v/>
      </c>
      <c r="DD718" s="128">
        <f>IFERROR(AR718*$V718,)</f>
        <v/>
      </c>
      <c r="DE718" s="128">
        <f>IFERROR(AS718*$V718,)</f>
        <v/>
      </c>
      <c r="DF718" s="128">
        <f>IFERROR(AT718*$V718,)</f>
        <v/>
      </c>
      <c r="DG718" s="128">
        <f>IFERROR(AU718*$V718,)</f>
        <v/>
      </c>
      <c r="DH718" s="128">
        <f>IFERROR(AV718*$V718,)</f>
        <v/>
      </c>
      <c r="DI718" s="128">
        <f>IFERROR(AW718*$V718,)</f>
        <v/>
      </c>
      <c r="DJ718" s="128">
        <f>IFERROR(AX718*$V718,)</f>
        <v/>
      </c>
      <c r="DK718" s="128">
        <f>IFERROR(AY718*$V718,)</f>
        <v/>
      </c>
      <c r="DL718" s="128">
        <f>IFERROR(AZ718*$V718,)</f>
        <v/>
      </c>
      <c r="DM718" s="129">
        <f>IFERROR(if($X718=0,($V718/1.2)*BA718,
BA718*$X718),)</f>
        <v/>
      </c>
      <c r="DN718" s="129">
        <f>IFERROR(if($X718=0,($V718/1.2)*BB718,
BB718*$X718),)</f>
        <v/>
      </c>
      <c r="DO718" s="129">
        <f>IFERROR(if($X718=0,($V718/1.2)*BC718,
BC718*$X718),)</f>
        <v/>
      </c>
      <c r="DP718" s="130">
        <f>IFERROR(if($Z718=0,($V718/1.35)*BD718,
BD718*$Z718),)</f>
        <v/>
      </c>
      <c r="DQ718" s="130">
        <f>IFERROR(if($Z718=0,($V718/1.35)*BE718,
BE718*$Z718),)</f>
        <v/>
      </c>
      <c r="DR718" s="130">
        <f>IFERROR(if($Z718=0,($V718/1.35)*BF718,
BF718*$Z718),)</f>
        <v/>
      </c>
      <c r="DS718" s="128">
        <f>IFERROR(IF($AB718=0,($V718/0.74)*BG718,
BG718*$AB718),)</f>
        <v/>
      </c>
      <c r="DT718" s="128">
        <f>IFERROR(IF($AB718=0,($V718/0.74)*BH718,
BH718*$AB718),)</f>
        <v/>
      </c>
      <c r="DU718" s="128">
        <f>IFERROR(IF($AB718=0,($V718/0.74)*BI718,
BI718*$AB718),)</f>
        <v/>
      </c>
    </row>
    <row r="719" ht="131.25" customHeight="1" s="162">
      <c r="A719" s="115" t="n"/>
      <c r="B719" s="115" t="n"/>
      <c r="C719" s="115" t="n"/>
      <c r="D719" s="115" t="n"/>
      <c r="E719" s="115" t="n"/>
      <c r="F719" s="115" t="n"/>
      <c r="G719" s="115" t="n"/>
      <c r="H719" s="115" t="n"/>
      <c r="I719" s="115" t="n"/>
      <c r="J719" s="115" t="n"/>
      <c r="K719" s="115" t="n"/>
      <c r="L719" s="115" t="n"/>
      <c r="M719" s="115" t="n"/>
      <c r="N719" s="115" t="n"/>
      <c r="O719" s="115" t="n"/>
      <c r="P719" s="115" t="n"/>
      <c r="Q719" s="115" t="n"/>
      <c r="R719" s="115" t="n"/>
      <c r="S719" s="115" t="n"/>
      <c r="T719" s="115" t="n"/>
      <c r="U719" s="116" t="n"/>
      <c r="V719" s="116" t="n"/>
      <c r="W719" s="117" t="n"/>
      <c r="X719" s="118" t="n"/>
      <c r="Y719" s="119" t="n"/>
      <c r="Z719" s="120" t="n"/>
      <c r="AA719" s="121" t="n"/>
      <c r="AB719" s="122" t="n"/>
      <c r="AC719" s="117" t="n"/>
      <c r="AD719" s="123">
        <f>IF(SUM($AE719:$AH719)=0,"",SUM($AE719:$AH719))</f>
        <v/>
      </c>
      <c r="AE719" s="123">
        <f>iferror(IF(SUM($AI719:$AZ719)=0,"",SUM($AI719:$AZ719)),"")</f>
        <v/>
      </c>
      <c r="AF719" s="123">
        <f>iferror(IF(SUM($BA719:$BC719)=0,"",SUM($BA719:$BC719)),"")</f>
        <v/>
      </c>
      <c r="AG719" s="123">
        <f>iferror(IF(SUM($BD719:$BF719)=0,"",SUM($BD719:$BF719)),"")</f>
        <v/>
      </c>
      <c r="AH719" s="124">
        <f>iferror(IF(SUM($BG719:$BI719)=0,"",SUM($BG719:$BI719)),"")</f>
        <v/>
      </c>
      <c r="AI719" s="131" t="n"/>
      <c r="AJ719" s="132" t="n"/>
      <c r="AK719" s="132" t="n"/>
      <c r="AL719" s="132" t="n"/>
      <c r="AM719" s="132" t="n"/>
      <c r="AN719" s="132" t="n"/>
      <c r="AO719" s="132" t="n"/>
      <c r="AP719" s="132" t="n"/>
      <c r="AQ719" s="132" t="n"/>
      <c r="AR719" s="132" t="n"/>
      <c r="AS719" s="132" t="n"/>
      <c r="AT719" s="132" t="n"/>
      <c r="AU719" s="132" t="n"/>
      <c r="AV719" s="132" t="n"/>
      <c r="AW719" s="132" t="n"/>
      <c r="AX719" s="132" t="n"/>
      <c r="AY719" s="132" t="n"/>
      <c r="AZ719" s="133" t="n"/>
      <c r="BA719" s="131" t="n"/>
      <c r="BB719" s="132" t="n"/>
      <c r="BC719" s="133" t="n"/>
      <c r="BD719" s="131" t="n"/>
      <c r="BE719" s="132" t="n"/>
      <c r="BF719" s="133" t="n"/>
      <c r="BG719" s="131" t="n"/>
      <c r="BH719" s="132" t="n"/>
      <c r="BI719" s="132" t="n"/>
      <c r="BJ719" s="128">
        <f>iferror(SUM($BK719,($BL719*1.2),($BM719*1.35),($BN719*0.74)),)</f>
        <v/>
      </c>
      <c r="BK719" s="128">
        <f>IFERROR(SUM($BT719:$CK719),)</f>
        <v/>
      </c>
      <c r="BL719" s="129">
        <f>IFERROR(SUM($CL719:$CN719),)</f>
        <v/>
      </c>
      <c r="BM719" s="130">
        <f>IFERROR(SUM($CO719:$CQ719),)</f>
        <v/>
      </c>
      <c r="BN719" s="128">
        <f>IFERROR(SUM($CR719:$CT719),)</f>
        <v/>
      </c>
      <c r="BO719" s="128">
        <f>iferror(SUM($BP719,($BQ719*1.2),($BR719*1.35),($BS719*0.74)),)</f>
        <v/>
      </c>
      <c r="BP719" s="128">
        <f>IFERROR(SUM($CU719:$DL719),)</f>
        <v/>
      </c>
      <c r="BQ719" s="128">
        <f>IFERROR(SUM($DM719:$DO719),)</f>
        <v/>
      </c>
      <c r="BR719" s="128">
        <f>IFERROR(SUM($DP719:$DR719),)</f>
        <v/>
      </c>
      <c r="BS719" s="128">
        <f>IFERROR(SUM($DS719:$DU719),)</f>
        <v/>
      </c>
      <c r="BT719" s="128">
        <f>IFERROR(AI719*$W719,)</f>
        <v/>
      </c>
      <c r="BU719" s="128">
        <f>IFERROR(AJ719*$W719,)</f>
        <v/>
      </c>
      <c r="BV719" s="128">
        <f>IFERROR(AK719*$W719,)</f>
        <v/>
      </c>
      <c r="BW719" s="128">
        <f>IFERROR(AL719*$W719,)</f>
        <v/>
      </c>
      <c r="BX719" s="128">
        <f>IFERROR(AM719*$W719,)</f>
        <v/>
      </c>
      <c r="BY719" s="128">
        <f>IFERROR(AN719*$W719,)</f>
        <v/>
      </c>
      <c r="BZ719" s="128">
        <f>IFERROR(AO719*$W719,)</f>
        <v/>
      </c>
      <c r="CA719" s="128">
        <f>IFERROR(AP719*$W719,)</f>
        <v/>
      </c>
      <c r="CB719" s="128">
        <f>IFERROR(AQ719*$W719,)</f>
        <v/>
      </c>
      <c r="CC719" s="128">
        <f>IFERROR(AR719*$W719,)</f>
        <v/>
      </c>
      <c r="CD719" s="128">
        <f>IFERROR(AS719*$W719,)</f>
        <v/>
      </c>
      <c r="CE719" s="128">
        <f>IFERROR(AT719*$W719,)</f>
        <v/>
      </c>
      <c r="CF719" s="128">
        <f>IFERROR(AU719*$W719,)</f>
        <v/>
      </c>
      <c r="CG719" s="128">
        <f>IFERROR(AV719*$W719,)</f>
        <v/>
      </c>
      <c r="CH719" s="128">
        <f>IFERROR(AW719*$W719,)</f>
        <v/>
      </c>
      <c r="CI719" s="128">
        <f>IFERROR(AX719*$W719,)</f>
        <v/>
      </c>
      <c r="CJ719" s="128">
        <f>IFERROR(AY719*$W719,)</f>
        <v/>
      </c>
      <c r="CK719" s="128">
        <f>IFERROR(AZ719*$W719,)</f>
        <v/>
      </c>
      <c r="CL719" s="129">
        <f>IFERROR(if($Y719=0,BA719*($W719/1.2),BA719*$Y719),"")</f>
        <v/>
      </c>
      <c r="CM719" s="129">
        <f>IFERROR(if($Y719=0,BB719*($W719/1.2),BB719*$Y719),"")</f>
        <v/>
      </c>
      <c r="CN719" s="129">
        <f>IFERROR(if($Y719=0,BC719*($W719/1.2),BC719*$Y719),"")</f>
        <v/>
      </c>
      <c r="CO719" s="130">
        <f>IFERROR(if($AA719=0,($W719/1.35)*BD719,BD719*$AA719),)</f>
        <v/>
      </c>
      <c r="CP719" s="130">
        <f>IFERROR(if($AA719=0,($W719/1.35)*BE719,BE719*$AA719),)</f>
        <v/>
      </c>
      <c r="CQ719" s="130">
        <f>IFERROR(if($AA719=0,($W719/1.35)*BF719,BF719*$AA719),)</f>
        <v/>
      </c>
      <c r="CR719" s="128">
        <f>IFERROR(if($AC719=0,($W719/0.74)*BG719,
BG719*$AC719),)</f>
        <v/>
      </c>
      <c r="CS719" s="128">
        <f>IFERROR(if($AC719=0,($W719/0.74)*BH719,
BH719*$AC719),)</f>
        <v/>
      </c>
      <c r="CT719" s="128">
        <f>IFERROR(if($AC719=0,($W719/0.74)*BI719,
BI719*$AC719),)</f>
        <v/>
      </c>
      <c r="CU719" s="128">
        <f>IFERROR(AI719*$V719,)</f>
        <v/>
      </c>
      <c r="CV719" s="128">
        <f>IFERROR(AJ719*$V719,)</f>
        <v/>
      </c>
      <c r="CW719" s="128">
        <f>IFERROR(AK719*$V719,)</f>
        <v/>
      </c>
      <c r="CX719" s="128">
        <f>IFERROR(AL719*$V719,)</f>
        <v/>
      </c>
      <c r="CY719" s="128">
        <f>IFERROR(AM719*$V719,)</f>
        <v/>
      </c>
      <c r="CZ719" s="128">
        <f>IFERROR(AN719*$V719,)</f>
        <v/>
      </c>
      <c r="DA719" s="128">
        <f>IFERROR(AO719*$V719,)</f>
        <v/>
      </c>
      <c r="DB719" s="128">
        <f>IFERROR(AP719*$V719,)</f>
        <v/>
      </c>
      <c r="DC719" s="128">
        <f>IFERROR(AQ719*$V719,)</f>
        <v/>
      </c>
      <c r="DD719" s="128">
        <f>IFERROR(AR719*$V719,)</f>
        <v/>
      </c>
      <c r="DE719" s="128">
        <f>IFERROR(AS719*$V719,)</f>
        <v/>
      </c>
      <c r="DF719" s="128">
        <f>IFERROR(AT719*$V719,)</f>
        <v/>
      </c>
      <c r="DG719" s="128">
        <f>IFERROR(AU719*$V719,)</f>
        <v/>
      </c>
      <c r="DH719" s="128">
        <f>IFERROR(AV719*$V719,)</f>
        <v/>
      </c>
      <c r="DI719" s="128">
        <f>IFERROR(AW719*$V719,)</f>
        <v/>
      </c>
      <c r="DJ719" s="128">
        <f>IFERROR(AX719*$V719,)</f>
        <v/>
      </c>
      <c r="DK719" s="128">
        <f>IFERROR(AY719*$V719,)</f>
        <v/>
      </c>
      <c r="DL719" s="128">
        <f>IFERROR(AZ719*$V719,)</f>
        <v/>
      </c>
      <c r="DM719" s="129">
        <f>IFERROR(if($X719=0,($V719/1.2)*BA719,
BA719*$X719),)</f>
        <v/>
      </c>
      <c r="DN719" s="129">
        <f>IFERROR(if($X719=0,($V719/1.2)*BB719,
BB719*$X719),)</f>
        <v/>
      </c>
      <c r="DO719" s="129">
        <f>IFERROR(if($X719=0,($V719/1.2)*BC719,
BC719*$X719),)</f>
        <v/>
      </c>
      <c r="DP719" s="130">
        <f>IFERROR(if($Z719=0,($V719/1.35)*BD719,
BD719*$Z719),)</f>
        <v/>
      </c>
      <c r="DQ719" s="130">
        <f>IFERROR(if($Z719=0,($V719/1.35)*BE719,
BE719*$Z719),)</f>
        <v/>
      </c>
      <c r="DR719" s="130">
        <f>IFERROR(if($Z719=0,($V719/1.35)*BF719,
BF719*$Z719),)</f>
        <v/>
      </c>
      <c r="DS719" s="128">
        <f>IFERROR(IF($AB719=0,($V719/0.74)*BG719,
BG719*$AB719),)</f>
        <v/>
      </c>
      <c r="DT719" s="128">
        <f>IFERROR(IF($AB719=0,($V719/0.74)*BH719,
BH719*$AB719),)</f>
        <v/>
      </c>
      <c r="DU719" s="128">
        <f>IFERROR(IF($AB719=0,($V719/0.74)*BI719,
BI719*$AB719),)</f>
        <v/>
      </c>
    </row>
    <row r="720" ht="131.25" customHeight="1" s="162">
      <c r="A720" s="115" t="n"/>
      <c r="B720" s="115" t="n"/>
      <c r="C720" s="115" t="n"/>
      <c r="D720" s="115" t="n"/>
      <c r="E720" s="115" t="n"/>
      <c r="F720" s="115" t="n"/>
      <c r="G720" s="115" t="n"/>
      <c r="H720" s="115" t="n"/>
      <c r="I720" s="115" t="n"/>
      <c r="J720" s="115" t="n"/>
      <c r="K720" s="115" t="n"/>
      <c r="L720" s="115" t="n"/>
      <c r="M720" s="115" t="n"/>
      <c r="N720" s="115" t="n"/>
      <c r="O720" s="115" t="n"/>
      <c r="P720" s="115" t="n"/>
      <c r="Q720" s="115" t="n"/>
      <c r="R720" s="115" t="n"/>
      <c r="S720" s="115" t="n"/>
      <c r="T720" s="115" t="n"/>
      <c r="U720" s="116" t="n"/>
      <c r="V720" s="116" t="n"/>
      <c r="W720" s="117" t="n"/>
      <c r="X720" s="118" t="n"/>
      <c r="Y720" s="119" t="n"/>
      <c r="Z720" s="120" t="n"/>
      <c r="AA720" s="121" t="n"/>
      <c r="AB720" s="122" t="n"/>
      <c r="AC720" s="117" t="n"/>
      <c r="AD720" s="123">
        <f>IF(SUM($AE720:$AH720)=0,"",SUM($AE720:$AH720))</f>
        <v/>
      </c>
      <c r="AE720" s="123">
        <f>iferror(IF(SUM($AI720:$AZ720)=0,"",SUM($AI720:$AZ720)),"")</f>
        <v/>
      </c>
      <c r="AF720" s="123">
        <f>iferror(IF(SUM($BA720:$BC720)=0,"",SUM($BA720:$BC720)),"")</f>
        <v/>
      </c>
      <c r="AG720" s="123">
        <f>iferror(IF(SUM($BD720:$BF720)=0,"",SUM($BD720:$BF720)),"")</f>
        <v/>
      </c>
      <c r="AH720" s="124">
        <f>iferror(IF(SUM($BG720:$BI720)=0,"",SUM($BG720:$BI720)),"")</f>
        <v/>
      </c>
      <c r="AI720" s="131" t="n"/>
      <c r="AJ720" s="132" t="n"/>
      <c r="AK720" s="132" t="n"/>
      <c r="AL720" s="132" t="n"/>
      <c r="AM720" s="132" t="n"/>
      <c r="AN720" s="132" t="n"/>
      <c r="AO720" s="132" t="n"/>
      <c r="AP720" s="132" t="n"/>
      <c r="AQ720" s="132" t="n"/>
      <c r="AR720" s="132" t="n"/>
      <c r="AS720" s="132" t="n"/>
      <c r="AT720" s="132" t="n"/>
      <c r="AU720" s="132" t="n"/>
      <c r="AV720" s="132" t="n"/>
      <c r="AW720" s="132" t="n"/>
      <c r="AX720" s="132" t="n"/>
      <c r="AY720" s="132" t="n"/>
      <c r="AZ720" s="133" t="n"/>
      <c r="BA720" s="131" t="n"/>
      <c r="BB720" s="132" t="n"/>
      <c r="BC720" s="133" t="n"/>
      <c r="BD720" s="131" t="n"/>
      <c r="BE720" s="132" t="n"/>
      <c r="BF720" s="133" t="n"/>
      <c r="BG720" s="131" t="n"/>
      <c r="BH720" s="132" t="n"/>
      <c r="BI720" s="132" t="n"/>
      <c r="BJ720" s="128">
        <f>iferror(SUM($BK720,($BL720*1.2),($BM720*1.35),($BN720*0.74)),)</f>
        <v/>
      </c>
      <c r="BK720" s="128">
        <f>IFERROR(SUM($BT720:$CK720),)</f>
        <v/>
      </c>
      <c r="BL720" s="129">
        <f>IFERROR(SUM($CL720:$CN720),)</f>
        <v/>
      </c>
      <c r="BM720" s="130">
        <f>IFERROR(SUM($CO720:$CQ720),)</f>
        <v/>
      </c>
      <c r="BN720" s="128">
        <f>IFERROR(SUM($CR720:$CT720),)</f>
        <v/>
      </c>
      <c r="BO720" s="128">
        <f>iferror(SUM($BP720,($BQ720*1.2),($BR720*1.35),($BS720*0.74)),)</f>
        <v/>
      </c>
      <c r="BP720" s="128">
        <f>IFERROR(SUM($CU720:$DL720),)</f>
        <v/>
      </c>
      <c r="BQ720" s="128">
        <f>IFERROR(SUM($DM720:$DO720),)</f>
        <v/>
      </c>
      <c r="BR720" s="128">
        <f>IFERROR(SUM($DP720:$DR720),)</f>
        <v/>
      </c>
      <c r="BS720" s="128">
        <f>IFERROR(SUM($DS720:$DU720),)</f>
        <v/>
      </c>
      <c r="BT720" s="128">
        <f>IFERROR(AI720*$W720,)</f>
        <v/>
      </c>
      <c r="BU720" s="128">
        <f>IFERROR(AJ720*$W720,)</f>
        <v/>
      </c>
      <c r="BV720" s="128">
        <f>IFERROR(AK720*$W720,)</f>
        <v/>
      </c>
      <c r="BW720" s="128">
        <f>IFERROR(AL720*$W720,)</f>
        <v/>
      </c>
      <c r="BX720" s="128">
        <f>IFERROR(AM720*$W720,)</f>
        <v/>
      </c>
      <c r="BY720" s="128">
        <f>IFERROR(AN720*$W720,)</f>
        <v/>
      </c>
      <c r="BZ720" s="128">
        <f>IFERROR(AO720*$W720,)</f>
        <v/>
      </c>
      <c r="CA720" s="128">
        <f>IFERROR(AP720*$W720,)</f>
        <v/>
      </c>
      <c r="CB720" s="128">
        <f>IFERROR(AQ720*$W720,)</f>
        <v/>
      </c>
      <c r="CC720" s="128">
        <f>IFERROR(AR720*$W720,)</f>
        <v/>
      </c>
      <c r="CD720" s="128">
        <f>IFERROR(AS720*$W720,)</f>
        <v/>
      </c>
      <c r="CE720" s="128">
        <f>IFERROR(AT720*$W720,)</f>
        <v/>
      </c>
      <c r="CF720" s="128">
        <f>IFERROR(AU720*$W720,)</f>
        <v/>
      </c>
      <c r="CG720" s="128">
        <f>IFERROR(AV720*$W720,)</f>
        <v/>
      </c>
      <c r="CH720" s="128">
        <f>IFERROR(AW720*$W720,)</f>
        <v/>
      </c>
      <c r="CI720" s="128">
        <f>IFERROR(AX720*$W720,)</f>
        <v/>
      </c>
      <c r="CJ720" s="128">
        <f>IFERROR(AY720*$W720,)</f>
        <v/>
      </c>
      <c r="CK720" s="128">
        <f>IFERROR(AZ720*$W720,)</f>
        <v/>
      </c>
      <c r="CL720" s="129">
        <f>IFERROR(if($Y720=0,BA720*($W720/1.2),BA720*$Y720),"")</f>
        <v/>
      </c>
      <c r="CM720" s="129">
        <f>IFERROR(if($Y720=0,BB720*($W720/1.2),BB720*$Y720),"")</f>
        <v/>
      </c>
      <c r="CN720" s="129">
        <f>IFERROR(if($Y720=0,BC720*($W720/1.2),BC720*$Y720),"")</f>
        <v/>
      </c>
      <c r="CO720" s="130">
        <f>IFERROR(if($AA720=0,($W720/1.35)*BD720,BD720*$AA720),)</f>
        <v/>
      </c>
      <c r="CP720" s="130">
        <f>IFERROR(if($AA720=0,($W720/1.35)*BE720,BE720*$AA720),)</f>
        <v/>
      </c>
      <c r="CQ720" s="130">
        <f>IFERROR(if($AA720=0,($W720/1.35)*BF720,BF720*$AA720),)</f>
        <v/>
      </c>
      <c r="CR720" s="128">
        <f>IFERROR(if($AC720=0,($W720/0.74)*BG720,
BG720*$AC720),)</f>
        <v/>
      </c>
      <c r="CS720" s="128">
        <f>IFERROR(if($AC720=0,($W720/0.74)*BH720,
BH720*$AC720),)</f>
        <v/>
      </c>
      <c r="CT720" s="128">
        <f>IFERROR(if($AC720=0,($W720/0.74)*BI720,
BI720*$AC720),)</f>
        <v/>
      </c>
      <c r="CU720" s="128">
        <f>IFERROR(AI720*$V720,)</f>
        <v/>
      </c>
      <c r="CV720" s="128">
        <f>IFERROR(AJ720*$V720,)</f>
        <v/>
      </c>
      <c r="CW720" s="128">
        <f>IFERROR(AK720*$V720,)</f>
        <v/>
      </c>
      <c r="CX720" s="128">
        <f>IFERROR(AL720*$V720,)</f>
        <v/>
      </c>
      <c r="CY720" s="128">
        <f>IFERROR(AM720*$V720,)</f>
        <v/>
      </c>
      <c r="CZ720" s="128">
        <f>IFERROR(AN720*$V720,)</f>
        <v/>
      </c>
      <c r="DA720" s="128">
        <f>IFERROR(AO720*$V720,)</f>
        <v/>
      </c>
      <c r="DB720" s="128">
        <f>IFERROR(AP720*$V720,)</f>
        <v/>
      </c>
      <c r="DC720" s="128">
        <f>IFERROR(AQ720*$V720,)</f>
        <v/>
      </c>
      <c r="DD720" s="128">
        <f>IFERROR(AR720*$V720,)</f>
        <v/>
      </c>
      <c r="DE720" s="128">
        <f>IFERROR(AS720*$V720,)</f>
        <v/>
      </c>
      <c r="DF720" s="128">
        <f>IFERROR(AT720*$V720,)</f>
        <v/>
      </c>
      <c r="DG720" s="128">
        <f>IFERROR(AU720*$V720,)</f>
        <v/>
      </c>
      <c r="DH720" s="128">
        <f>IFERROR(AV720*$V720,)</f>
        <v/>
      </c>
      <c r="DI720" s="128">
        <f>IFERROR(AW720*$V720,)</f>
        <v/>
      </c>
      <c r="DJ720" s="128">
        <f>IFERROR(AX720*$V720,)</f>
        <v/>
      </c>
      <c r="DK720" s="128">
        <f>IFERROR(AY720*$V720,)</f>
        <v/>
      </c>
      <c r="DL720" s="128">
        <f>IFERROR(AZ720*$V720,)</f>
        <v/>
      </c>
      <c r="DM720" s="129">
        <f>IFERROR(if($X720=0,($V720/1.2)*BA720,
BA720*$X720),)</f>
        <v/>
      </c>
      <c r="DN720" s="129">
        <f>IFERROR(if($X720=0,($V720/1.2)*BB720,
BB720*$X720),)</f>
        <v/>
      </c>
      <c r="DO720" s="129">
        <f>IFERROR(if($X720=0,($V720/1.2)*BC720,
BC720*$X720),)</f>
        <v/>
      </c>
      <c r="DP720" s="130">
        <f>IFERROR(if($Z720=0,($V720/1.35)*BD720,
BD720*$Z720),)</f>
        <v/>
      </c>
      <c r="DQ720" s="130">
        <f>IFERROR(if($Z720=0,($V720/1.35)*BE720,
BE720*$Z720),)</f>
        <v/>
      </c>
      <c r="DR720" s="130">
        <f>IFERROR(if($Z720=0,($V720/1.35)*BF720,
BF720*$Z720),)</f>
        <v/>
      </c>
      <c r="DS720" s="128">
        <f>IFERROR(IF($AB720=0,($V720/0.74)*BG720,
BG720*$AB720),)</f>
        <v/>
      </c>
      <c r="DT720" s="128">
        <f>IFERROR(IF($AB720=0,($V720/0.74)*BH720,
BH720*$AB720),)</f>
        <v/>
      </c>
      <c r="DU720" s="128">
        <f>IFERROR(IF($AB720=0,($V720/0.74)*BI720,
BI720*$AB720),)</f>
        <v/>
      </c>
    </row>
    <row r="721" ht="131.25" customHeight="1" s="162">
      <c r="A721" s="115" t="n"/>
      <c r="B721" s="115" t="n"/>
      <c r="C721" s="115" t="n"/>
      <c r="D721" s="115" t="n"/>
      <c r="E721" s="115" t="n"/>
      <c r="F721" s="115" t="n"/>
      <c r="G721" s="115" t="n"/>
      <c r="H721" s="115" t="n"/>
      <c r="I721" s="115" t="n"/>
      <c r="J721" s="115" t="n"/>
      <c r="K721" s="115" t="n"/>
      <c r="L721" s="115" t="n"/>
      <c r="M721" s="115" t="n"/>
      <c r="N721" s="115" t="n"/>
      <c r="O721" s="115" t="n"/>
      <c r="P721" s="115" t="n"/>
      <c r="Q721" s="115" t="n"/>
      <c r="R721" s="115" t="n"/>
      <c r="S721" s="115" t="n"/>
      <c r="T721" s="115" t="n"/>
      <c r="U721" s="116" t="n"/>
      <c r="V721" s="116" t="n"/>
      <c r="W721" s="117" t="n"/>
      <c r="X721" s="118" t="n"/>
      <c r="Y721" s="119" t="n"/>
      <c r="Z721" s="120" t="n"/>
      <c r="AA721" s="121" t="n"/>
      <c r="AB721" s="122" t="n"/>
      <c r="AC721" s="117" t="n"/>
      <c r="AD721" s="123">
        <f>IF(SUM($AE721:$AH721)=0,"",SUM($AE721:$AH721))</f>
        <v/>
      </c>
      <c r="AE721" s="123">
        <f>iferror(IF(SUM($AI721:$AZ721)=0,"",SUM($AI721:$AZ721)),"")</f>
        <v/>
      </c>
      <c r="AF721" s="123">
        <f>iferror(IF(SUM($BA721:$BC721)=0,"",SUM($BA721:$BC721)),"")</f>
        <v/>
      </c>
      <c r="AG721" s="123">
        <f>iferror(IF(SUM($BD721:$BF721)=0,"",SUM($BD721:$BF721)),"")</f>
        <v/>
      </c>
      <c r="AH721" s="124">
        <f>iferror(IF(SUM($BG721:$BI721)=0,"",SUM($BG721:$BI721)),"")</f>
        <v/>
      </c>
      <c r="AI721" s="131" t="n"/>
      <c r="AJ721" s="132" t="n"/>
      <c r="AK721" s="132" t="n"/>
      <c r="AL721" s="132" t="n"/>
      <c r="AM721" s="132" t="n"/>
      <c r="AN721" s="132" t="n"/>
      <c r="AO721" s="132" t="n"/>
      <c r="AP721" s="132" t="n"/>
      <c r="AQ721" s="132" t="n"/>
      <c r="AR721" s="132" t="n"/>
      <c r="AS721" s="132" t="n"/>
      <c r="AT721" s="132" t="n"/>
      <c r="AU721" s="132" t="n"/>
      <c r="AV721" s="132" t="n"/>
      <c r="AW721" s="132" t="n"/>
      <c r="AX721" s="132" t="n"/>
      <c r="AY721" s="132" t="n"/>
      <c r="AZ721" s="133" t="n"/>
      <c r="BA721" s="131" t="n"/>
      <c r="BB721" s="132" t="n"/>
      <c r="BC721" s="133" t="n"/>
      <c r="BD721" s="131" t="n"/>
      <c r="BE721" s="132" t="n"/>
      <c r="BF721" s="133" t="n"/>
      <c r="BG721" s="131" t="n"/>
      <c r="BH721" s="132" t="n"/>
      <c r="BI721" s="132" t="n"/>
      <c r="BJ721" s="128">
        <f>iferror(SUM($BK721,($BL721*1.2),($BM721*1.35),($BN721*0.74)),)</f>
        <v/>
      </c>
      <c r="BK721" s="128">
        <f>IFERROR(SUM($BT721:$CK721),)</f>
        <v/>
      </c>
      <c r="BL721" s="129">
        <f>IFERROR(SUM($CL721:$CN721),)</f>
        <v/>
      </c>
      <c r="BM721" s="130">
        <f>IFERROR(SUM($CO721:$CQ721),)</f>
        <v/>
      </c>
      <c r="BN721" s="128">
        <f>IFERROR(SUM($CR721:$CT721),)</f>
        <v/>
      </c>
      <c r="BO721" s="128">
        <f>iferror(SUM($BP721,($BQ721*1.2),($BR721*1.35),($BS721*0.74)),)</f>
        <v/>
      </c>
      <c r="BP721" s="128">
        <f>IFERROR(SUM($CU721:$DL721),)</f>
        <v/>
      </c>
      <c r="BQ721" s="128">
        <f>IFERROR(SUM($DM721:$DO721),)</f>
        <v/>
      </c>
      <c r="BR721" s="128">
        <f>IFERROR(SUM($DP721:$DR721),)</f>
        <v/>
      </c>
      <c r="BS721" s="128">
        <f>IFERROR(SUM($DS721:$DU721),)</f>
        <v/>
      </c>
      <c r="BT721" s="128">
        <f>IFERROR(AI721*$W721,)</f>
        <v/>
      </c>
      <c r="BU721" s="128">
        <f>IFERROR(AJ721*$W721,)</f>
        <v/>
      </c>
      <c r="BV721" s="128">
        <f>IFERROR(AK721*$W721,)</f>
        <v/>
      </c>
      <c r="BW721" s="128">
        <f>IFERROR(AL721*$W721,)</f>
        <v/>
      </c>
      <c r="BX721" s="128">
        <f>IFERROR(AM721*$W721,)</f>
        <v/>
      </c>
      <c r="BY721" s="128">
        <f>IFERROR(AN721*$W721,)</f>
        <v/>
      </c>
      <c r="BZ721" s="128">
        <f>IFERROR(AO721*$W721,)</f>
        <v/>
      </c>
      <c r="CA721" s="128">
        <f>IFERROR(AP721*$W721,)</f>
        <v/>
      </c>
      <c r="CB721" s="128">
        <f>IFERROR(AQ721*$W721,)</f>
        <v/>
      </c>
      <c r="CC721" s="128">
        <f>IFERROR(AR721*$W721,)</f>
        <v/>
      </c>
      <c r="CD721" s="128">
        <f>IFERROR(AS721*$W721,)</f>
        <v/>
      </c>
      <c r="CE721" s="128">
        <f>IFERROR(AT721*$W721,)</f>
        <v/>
      </c>
      <c r="CF721" s="128">
        <f>IFERROR(AU721*$W721,)</f>
        <v/>
      </c>
      <c r="CG721" s="128">
        <f>IFERROR(AV721*$W721,)</f>
        <v/>
      </c>
      <c r="CH721" s="128">
        <f>IFERROR(AW721*$W721,)</f>
        <v/>
      </c>
      <c r="CI721" s="128">
        <f>IFERROR(AX721*$W721,)</f>
        <v/>
      </c>
      <c r="CJ721" s="128">
        <f>IFERROR(AY721*$W721,)</f>
        <v/>
      </c>
      <c r="CK721" s="128">
        <f>IFERROR(AZ721*$W721,)</f>
        <v/>
      </c>
      <c r="CL721" s="129">
        <f>IFERROR(if($Y721=0,BA721*($W721/1.2),BA721*$Y721),"")</f>
        <v/>
      </c>
      <c r="CM721" s="129">
        <f>IFERROR(if($Y721=0,BB721*($W721/1.2),BB721*$Y721),"")</f>
        <v/>
      </c>
      <c r="CN721" s="129">
        <f>IFERROR(if($Y721=0,BC721*($W721/1.2),BC721*$Y721),"")</f>
        <v/>
      </c>
      <c r="CO721" s="130">
        <f>IFERROR(if($AA721=0,($W721/1.35)*BD721,BD721*$AA721),)</f>
        <v/>
      </c>
      <c r="CP721" s="130">
        <f>IFERROR(if($AA721=0,($W721/1.35)*BE721,BE721*$AA721),)</f>
        <v/>
      </c>
      <c r="CQ721" s="130">
        <f>IFERROR(if($AA721=0,($W721/1.35)*BF721,BF721*$AA721),)</f>
        <v/>
      </c>
      <c r="CR721" s="128">
        <f>IFERROR(if($AC721=0,($W721/0.74)*BG721,
BG721*$AC721),)</f>
        <v/>
      </c>
      <c r="CS721" s="128">
        <f>IFERROR(if($AC721=0,($W721/0.74)*BH721,
BH721*$AC721),)</f>
        <v/>
      </c>
      <c r="CT721" s="128">
        <f>IFERROR(if($AC721=0,($W721/0.74)*BI721,
BI721*$AC721),)</f>
        <v/>
      </c>
      <c r="CU721" s="128">
        <f>IFERROR(AI721*$V721,)</f>
        <v/>
      </c>
      <c r="CV721" s="128">
        <f>IFERROR(AJ721*$V721,)</f>
        <v/>
      </c>
      <c r="CW721" s="128">
        <f>IFERROR(AK721*$V721,)</f>
        <v/>
      </c>
      <c r="CX721" s="128">
        <f>IFERROR(AL721*$V721,)</f>
        <v/>
      </c>
      <c r="CY721" s="128">
        <f>IFERROR(AM721*$V721,)</f>
        <v/>
      </c>
      <c r="CZ721" s="128">
        <f>IFERROR(AN721*$V721,)</f>
        <v/>
      </c>
      <c r="DA721" s="128">
        <f>IFERROR(AO721*$V721,)</f>
        <v/>
      </c>
      <c r="DB721" s="128">
        <f>IFERROR(AP721*$V721,)</f>
        <v/>
      </c>
      <c r="DC721" s="128">
        <f>IFERROR(AQ721*$V721,)</f>
        <v/>
      </c>
      <c r="DD721" s="128">
        <f>IFERROR(AR721*$V721,)</f>
        <v/>
      </c>
      <c r="DE721" s="128">
        <f>IFERROR(AS721*$V721,)</f>
        <v/>
      </c>
      <c r="DF721" s="128">
        <f>IFERROR(AT721*$V721,)</f>
        <v/>
      </c>
      <c r="DG721" s="128">
        <f>IFERROR(AU721*$V721,)</f>
        <v/>
      </c>
      <c r="DH721" s="128">
        <f>IFERROR(AV721*$V721,)</f>
        <v/>
      </c>
      <c r="DI721" s="128">
        <f>IFERROR(AW721*$V721,)</f>
        <v/>
      </c>
      <c r="DJ721" s="128">
        <f>IFERROR(AX721*$V721,)</f>
        <v/>
      </c>
      <c r="DK721" s="128">
        <f>IFERROR(AY721*$V721,)</f>
        <v/>
      </c>
      <c r="DL721" s="128">
        <f>IFERROR(AZ721*$V721,)</f>
        <v/>
      </c>
      <c r="DM721" s="129">
        <f>IFERROR(if($X721=0,($V721/1.2)*BA721,
BA721*$X721),)</f>
        <v/>
      </c>
      <c r="DN721" s="129">
        <f>IFERROR(if($X721=0,($V721/1.2)*BB721,
BB721*$X721),)</f>
        <v/>
      </c>
      <c r="DO721" s="129">
        <f>IFERROR(if($X721=0,($V721/1.2)*BC721,
BC721*$X721),)</f>
        <v/>
      </c>
      <c r="DP721" s="130">
        <f>IFERROR(if($Z721=0,($V721/1.35)*BD721,
BD721*$Z721),)</f>
        <v/>
      </c>
      <c r="DQ721" s="130">
        <f>IFERROR(if($Z721=0,($V721/1.35)*BE721,
BE721*$Z721),)</f>
        <v/>
      </c>
      <c r="DR721" s="130">
        <f>IFERROR(if($Z721=0,($V721/1.35)*BF721,
BF721*$Z721),)</f>
        <v/>
      </c>
      <c r="DS721" s="128">
        <f>IFERROR(IF($AB721=0,($V721/0.74)*BG721,
BG721*$AB721),)</f>
        <v/>
      </c>
      <c r="DT721" s="128">
        <f>IFERROR(IF($AB721=0,($V721/0.74)*BH721,
BH721*$AB721),)</f>
        <v/>
      </c>
      <c r="DU721" s="128">
        <f>IFERROR(IF($AB721=0,($V721/0.74)*BI721,
BI721*$AB721),)</f>
        <v/>
      </c>
    </row>
    <row r="722" ht="131.25" customHeight="1" s="162">
      <c r="A722" s="115" t="n"/>
      <c r="B722" s="115" t="n"/>
      <c r="C722" s="115" t="n"/>
      <c r="D722" s="115" t="n"/>
      <c r="E722" s="115" t="n"/>
      <c r="F722" s="115" t="n"/>
      <c r="G722" s="115" t="n"/>
      <c r="H722" s="115" t="n"/>
      <c r="I722" s="115" t="n"/>
      <c r="J722" s="115" t="n"/>
      <c r="K722" s="115" t="n"/>
      <c r="L722" s="115" t="n"/>
      <c r="M722" s="115" t="n"/>
      <c r="N722" s="115" t="n"/>
      <c r="O722" s="115" t="n"/>
      <c r="P722" s="115" t="n"/>
      <c r="Q722" s="115" t="n"/>
      <c r="R722" s="115" t="n"/>
      <c r="S722" s="115" t="n"/>
      <c r="T722" s="115" t="n"/>
      <c r="U722" s="116" t="n"/>
      <c r="V722" s="116" t="n"/>
      <c r="W722" s="117" t="n"/>
      <c r="X722" s="118" t="n"/>
      <c r="Y722" s="119" t="n"/>
      <c r="Z722" s="120" t="n"/>
      <c r="AA722" s="121" t="n"/>
      <c r="AB722" s="122" t="n"/>
      <c r="AC722" s="117" t="n"/>
      <c r="AD722" s="123">
        <f>IF(SUM($AE722:$AH722)=0,"",SUM($AE722:$AH722))</f>
        <v/>
      </c>
      <c r="AE722" s="123">
        <f>iferror(IF(SUM($AI722:$AZ722)=0,"",SUM($AI722:$AZ722)),"")</f>
        <v/>
      </c>
      <c r="AF722" s="123">
        <f>iferror(IF(SUM($BA722:$BC722)=0,"",SUM($BA722:$BC722)),"")</f>
        <v/>
      </c>
      <c r="AG722" s="123">
        <f>iferror(IF(SUM($BD722:$BF722)=0,"",SUM($BD722:$BF722)),"")</f>
        <v/>
      </c>
      <c r="AH722" s="124">
        <f>iferror(IF(SUM($BG722:$BI722)=0,"",SUM($BG722:$BI722)),"")</f>
        <v/>
      </c>
      <c r="AI722" s="131" t="n"/>
      <c r="AJ722" s="132" t="n"/>
      <c r="AK722" s="132" t="n"/>
      <c r="AL722" s="132" t="n"/>
      <c r="AM722" s="132" t="n"/>
      <c r="AN722" s="132" t="n"/>
      <c r="AO722" s="132" t="n"/>
      <c r="AP722" s="132" t="n"/>
      <c r="AQ722" s="132" t="n"/>
      <c r="AR722" s="132" t="n"/>
      <c r="AS722" s="132" t="n"/>
      <c r="AT722" s="132" t="n"/>
      <c r="AU722" s="132" t="n"/>
      <c r="AV722" s="132" t="n"/>
      <c r="AW722" s="132" t="n"/>
      <c r="AX722" s="132" t="n"/>
      <c r="AY722" s="132" t="n"/>
      <c r="AZ722" s="133" t="n"/>
      <c r="BA722" s="131" t="n"/>
      <c r="BB722" s="132" t="n"/>
      <c r="BC722" s="133" t="n"/>
      <c r="BD722" s="131" t="n"/>
      <c r="BE722" s="132" t="n"/>
      <c r="BF722" s="133" t="n"/>
      <c r="BG722" s="131" t="n"/>
      <c r="BH722" s="132" t="n"/>
      <c r="BI722" s="132" t="n"/>
      <c r="BJ722" s="128">
        <f>iferror(SUM($BK722,($BL722*1.2),($BM722*1.35),($BN722*0.74)),)</f>
        <v/>
      </c>
      <c r="BK722" s="128">
        <f>IFERROR(SUM($BT722:$CK722),)</f>
        <v/>
      </c>
      <c r="BL722" s="129">
        <f>IFERROR(SUM($CL722:$CN722),)</f>
        <v/>
      </c>
      <c r="BM722" s="130">
        <f>IFERROR(SUM($CO722:$CQ722),)</f>
        <v/>
      </c>
      <c r="BN722" s="128">
        <f>IFERROR(SUM($CR722:$CT722),)</f>
        <v/>
      </c>
      <c r="BO722" s="128">
        <f>iferror(SUM($BP722,($BQ722*1.2),($BR722*1.35),($BS722*0.74)),)</f>
        <v/>
      </c>
      <c r="BP722" s="128">
        <f>IFERROR(SUM($CU722:$DL722),)</f>
        <v/>
      </c>
      <c r="BQ722" s="128">
        <f>IFERROR(SUM($DM722:$DO722),)</f>
        <v/>
      </c>
      <c r="BR722" s="128">
        <f>IFERROR(SUM($DP722:$DR722),)</f>
        <v/>
      </c>
      <c r="BS722" s="128">
        <f>IFERROR(SUM($DS722:$DU722),)</f>
        <v/>
      </c>
      <c r="BT722" s="128">
        <f>IFERROR(AI722*$W722,)</f>
        <v/>
      </c>
      <c r="BU722" s="128">
        <f>IFERROR(AJ722*$W722,)</f>
        <v/>
      </c>
      <c r="BV722" s="128">
        <f>IFERROR(AK722*$W722,)</f>
        <v/>
      </c>
      <c r="BW722" s="128">
        <f>IFERROR(AL722*$W722,)</f>
        <v/>
      </c>
      <c r="BX722" s="128">
        <f>IFERROR(AM722*$W722,)</f>
        <v/>
      </c>
      <c r="BY722" s="128">
        <f>IFERROR(AN722*$W722,)</f>
        <v/>
      </c>
      <c r="BZ722" s="128">
        <f>IFERROR(AO722*$W722,)</f>
        <v/>
      </c>
      <c r="CA722" s="128">
        <f>IFERROR(AP722*$W722,)</f>
        <v/>
      </c>
      <c r="CB722" s="128">
        <f>IFERROR(AQ722*$W722,)</f>
        <v/>
      </c>
      <c r="CC722" s="128">
        <f>IFERROR(AR722*$W722,)</f>
        <v/>
      </c>
      <c r="CD722" s="128">
        <f>IFERROR(AS722*$W722,)</f>
        <v/>
      </c>
      <c r="CE722" s="128">
        <f>IFERROR(AT722*$W722,)</f>
        <v/>
      </c>
      <c r="CF722" s="128">
        <f>IFERROR(AU722*$W722,)</f>
        <v/>
      </c>
      <c r="CG722" s="128">
        <f>IFERROR(AV722*$W722,)</f>
        <v/>
      </c>
      <c r="CH722" s="128">
        <f>IFERROR(AW722*$W722,)</f>
        <v/>
      </c>
      <c r="CI722" s="128">
        <f>IFERROR(AX722*$W722,)</f>
        <v/>
      </c>
      <c r="CJ722" s="128">
        <f>IFERROR(AY722*$W722,)</f>
        <v/>
      </c>
      <c r="CK722" s="128">
        <f>IFERROR(AZ722*$W722,)</f>
        <v/>
      </c>
      <c r="CL722" s="129">
        <f>IFERROR(if($Y722=0,BA722*($W722/1.2),BA722*$Y722),"")</f>
        <v/>
      </c>
      <c r="CM722" s="129">
        <f>IFERROR(if($Y722=0,BB722*($W722/1.2),BB722*$Y722),"")</f>
        <v/>
      </c>
      <c r="CN722" s="129">
        <f>IFERROR(if($Y722=0,BC722*($W722/1.2),BC722*$Y722),"")</f>
        <v/>
      </c>
      <c r="CO722" s="130">
        <f>IFERROR(if($AA722=0,($W722/1.35)*BD722,BD722*$AA722),)</f>
        <v/>
      </c>
      <c r="CP722" s="130">
        <f>IFERROR(if($AA722=0,($W722/1.35)*BE722,BE722*$AA722),)</f>
        <v/>
      </c>
      <c r="CQ722" s="130">
        <f>IFERROR(if($AA722=0,($W722/1.35)*BF722,BF722*$AA722),)</f>
        <v/>
      </c>
      <c r="CR722" s="128">
        <f>IFERROR(if($AC722=0,($W722/0.74)*BG722,
BG722*$AC722),)</f>
        <v/>
      </c>
      <c r="CS722" s="128">
        <f>IFERROR(if($AC722=0,($W722/0.74)*BH722,
BH722*$AC722),)</f>
        <v/>
      </c>
      <c r="CT722" s="128">
        <f>IFERROR(if($AC722=0,($W722/0.74)*BI722,
BI722*$AC722),)</f>
        <v/>
      </c>
      <c r="CU722" s="128">
        <f>IFERROR(AI722*$V722,)</f>
        <v/>
      </c>
      <c r="CV722" s="128">
        <f>IFERROR(AJ722*$V722,)</f>
        <v/>
      </c>
      <c r="CW722" s="128">
        <f>IFERROR(AK722*$V722,)</f>
        <v/>
      </c>
      <c r="CX722" s="128">
        <f>IFERROR(AL722*$V722,)</f>
        <v/>
      </c>
      <c r="CY722" s="128">
        <f>IFERROR(AM722*$V722,)</f>
        <v/>
      </c>
      <c r="CZ722" s="128">
        <f>IFERROR(AN722*$V722,)</f>
        <v/>
      </c>
      <c r="DA722" s="128">
        <f>IFERROR(AO722*$V722,)</f>
        <v/>
      </c>
      <c r="DB722" s="128">
        <f>IFERROR(AP722*$V722,)</f>
        <v/>
      </c>
      <c r="DC722" s="128">
        <f>IFERROR(AQ722*$V722,)</f>
        <v/>
      </c>
      <c r="DD722" s="128">
        <f>IFERROR(AR722*$V722,)</f>
        <v/>
      </c>
      <c r="DE722" s="128">
        <f>IFERROR(AS722*$V722,)</f>
        <v/>
      </c>
      <c r="DF722" s="128">
        <f>IFERROR(AT722*$V722,)</f>
        <v/>
      </c>
      <c r="DG722" s="128">
        <f>IFERROR(AU722*$V722,)</f>
        <v/>
      </c>
      <c r="DH722" s="128">
        <f>IFERROR(AV722*$V722,)</f>
        <v/>
      </c>
      <c r="DI722" s="128">
        <f>IFERROR(AW722*$V722,)</f>
        <v/>
      </c>
      <c r="DJ722" s="128">
        <f>IFERROR(AX722*$V722,)</f>
        <v/>
      </c>
      <c r="DK722" s="128">
        <f>IFERROR(AY722*$V722,)</f>
        <v/>
      </c>
      <c r="DL722" s="128">
        <f>IFERROR(AZ722*$V722,)</f>
        <v/>
      </c>
      <c r="DM722" s="129">
        <f>IFERROR(if($X722=0,($V722/1.2)*BA722,
BA722*$X722),)</f>
        <v/>
      </c>
      <c r="DN722" s="129">
        <f>IFERROR(if($X722=0,($V722/1.2)*BB722,
BB722*$X722),)</f>
        <v/>
      </c>
      <c r="DO722" s="129">
        <f>IFERROR(if($X722=0,($V722/1.2)*BC722,
BC722*$X722),)</f>
        <v/>
      </c>
      <c r="DP722" s="130">
        <f>IFERROR(if($Z722=0,($V722/1.35)*BD722,
BD722*$Z722),)</f>
        <v/>
      </c>
      <c r="DQ722" s="130">
        <f>IFERROR(if($Z722=0,($V722/1.35)*BE722,
BE722*$Z722),)</f>
        <v/>
      </c>
      <c r="DR722" s="130">
        <f>IFERROR(if($Z722=0,($V722/1.35)*BF722,
BF722*$Z722),)</f>
        <v/>
      </c>
      <c r="DS722" s="128">
        <f>IFERROR(IF($AB722=0,($V722/0.74)*BG722,
BG722*$AB722),)</f>
        <v/>
      </c>
      <c r="DT722" s="128">
        <f>IFERROR(IF($AB722=0,($V722/0.74)*BH722,
BH722*$AB722),)</f>
        <v/>
      </c>
      <c r="DU722" s="128">
        <f>IFERROR(IF($AB722=0,($V722/0.74)*BI722,
BI722*$AB722),)</f>
        <v/>
      </c>
    </row>
    <row r="723" ht="131.25" customHeight="1" s="162">
      <c r="A723" s="115" t="n"/>
      <c r="B723" s="115" t="n"/>
      <c r="C723" s="115" t="n"/>
      <c r="D723" s="115" t="n"/>
      <c r="E723" s="115" t="n"/>
      <c r="F723" s="115" t="n"/>
      <c r="G723" s="115" t="n"/>
      <c r="H723" s="115" t="n"/>
      <c r="I723" s="115" t="n"/>
      <c r="J723" s="115" t="n"/>
      <c r="K723" s="115" t="n"/>
      <c r="L723" s="115" t="n"/>
      <c r="M723" s="115" t="n"/>
      <c r="N723" s="115" t="n"/>
      <c r="O723" s="115" t="n"/>
      <c r="P723" s="115" t="n"/>
      <c r="Q723" s="115" t="n"/>
      <c r="R723" s="115" t="n"/>
      <c r="S723" s="115" t="n"/>
      <c r="T723" s="115" t="n"/>
      <c r="U723" s="116" t="n"/>
      <c r="V723" s="116" t="n"/>
      <c r="W723" s="117" t="n"/>
      <c r="X723" s="118" t="n"/>
      <c r="Y723" s="119" t="n"/>
      <c r="Z723" s="120" t="n"/>
      <c r="AA723" s="121" t="n"/>
      <c r="AB723" s="122" t="n"/>
      <c r="AC723" s="117" t="n"/>
      <c r="AD723" s="123">
        <f>IF(SUM($AE723:$AH723)=0,"",SUM($AE723:$AH723))</f>
        <v/>
      </c>
      <c r="AE723" s="123">
        <f>iferror(IF(SUM($AI723:$AZ723)=0,"",SUM($AI723:$AZ723)),"")</f>
        <v/>
      </c>
      <c r="AF723" s="123">
        <f>iferror(IF(SUM($BA723:$BC723)=0,"",SUM($BA723:$BC723)),"")</f>
        <v/>
      </c>
      <c r="AG723" s="123">
        <f>iferror(IF(SUM($BD723:$BF723)=0,"",SUM($BD723:$BF723)),"")</f>
        <v/>
      </c>
      <c r="AH723" s="124">
        <f>iferror(IF(SUM($BG723:$BI723)=0,"",SUM($BG723:$BI723)),"")</f>
        <v/>
      </c>
      <c r="AI723" s="131" t="n"/>
      <c r="AJ723" s="132" t="n"/>
      <c r="AK723" s="132" t="n"/>
      <c r="AL723" s="132" t="n"/>
      <c r="AM723" s="132" t="n"/>
      <c r="AN723" s="132" t="n"/>
      <c r="AO723" s="132" t="n"/>
      <c r="AP723" s="132" t="n"/>
      <c r="AQ723" s="132" t="n"/>
      <c r="AR723" s="132" t="n"/>
      <c r="AS723" s="132" t="n"/>
      <c r="AT723" s="132" t="n"/>
      <c r="AU723" s="132" t="n"/>
      <c r="AV723" s="132" t="n"/>
      <c r="AW723" s="132" t="n"/>
      <c r="AX723" s="132" t="n"/>
      <c r="AY723" s="132" t="n"/>
      <c r="AZ723" s="133" t="n"/>
      <c r="BA723" s="131" t="n"/>
      <c r="BB723" s="132" t="n"/>
      <c r="BC723" s="133" t="n"/>
      <c r="BD723" s="131" t="n"/>
      <c r="BE723" s="132" t="n"/>
      <c r="BF723" s="133" t="n"/>
      <c r="BG723" s="131" t="n"/>
      <c r="BH723" s="132" t="n"/>
      <c r="BI723" s="132" t="n"/>
      <c r="BJ723" s="128">
        <f>iferror(SUM($BK723,($BL723*1.2),($BM723*1.35),($BN723*0.74)),)</f>
        <v/>
      </c>
      <c r="BK723" s="128">
        <f>IFERROR(SUM($BT723:$CK723),)</f>
        <v/>
      </c>
      <c r="BL723" s="129">
        <f>IFERROR(SUM($CL723:$CN723),)</f>
        <v/>
      </c>
      <c r="BM723" s="130">
        <f>IFERROR(SUM($CO723:$CQ723),)</f>
        <v/>
      </c>
      <c r="BN723" s="128">
        <f>IFERROR(SUM($CR723:$CT723),)</f>
        <v/>
      </c>
      <c r="BO723" s="128">
        <f>iferror(SUM($BP723,($BQ723*1.2),($BR723*1.35),($BS723*0.74)),)</f>
        <v/>
      </c>
      <c r="BP723" s="128">
        <f>IFERROR(SUM($CU723:$DL723),)</f>
        <v/>
      </c>
      <c r="BQ723" s="128">
        <f>IFERROR(SUM($DM723:$DO723),)</f>
        <v/>
      </c>
      <c r="BR723" s="128">
        <f>IFERROR(SUM($DP723:$DR723),)</f>
        <v/>
      </c>
      <c r="BS723" s="128">
        <f>IFERROR(SUM($DS723:$DU723),)</f>
        <v/>
      </c>
      <c r="BT723" s="128">
        <f>IFERROR(AI723*$W723,)</f>
        <v/>
      </c>
      <c r="BU723" s="128">
        <f>IFERROR(AJ723*$W723,)</f>
        <v/>
      </c>
      <c r="BV723" s="128">
        <f>IFERROR(AK723*$W723,)</f>
        <v/>
      </c>
      <c r="BW723" s="128">
        <f>IFERROR(AL723*$W723,)</f>
        <v/>
      </c>
      <c r="BX723" s="128">
        <f>IFERROR(AM723*$W723,)</f>
        <v/>
      </c>
      <c r="BY723" s="128">
        <f>IFERROR(AN723*$W723,)</f>
        <v/>
      </c>
      <c r="BZ723" s="128">
        <f>IFERROR(AO723*$W723,)</f>
        <v/>
      </c>
      <c r="CA723" s="128">
        <f>IFERROR(AP723*$W723,)</f>
        <v/>
      </c>
      <c r="CB723" s="128">
        <f>IFERROR(AQ723*$W723,)</f>
        <v/>
      </c>
      <c r="CC723" s="128">
        <f>IFERROR(AR723*$W723,)</f>
        <v/>
      </c>
      <c r="CD723" s="128">
        <f>IFERROR(AS723*$W723,)</f>
        <v/>
      </c>
      <c r="CE723" s="128">
        <f>IFERROR(AT723*$W723,)</f>
        <v/>
      </c>
      <c r="CF723" s="128">
        <f>IFERROR(AU723*$W723,)</f>
        <v/>
      </c>
      <c r="CG723" s="128">
        <f>IFERROR(AV723*$W723,)</f>
        <v/>
      </c>
      <c r="CH723" s="128">
        <f>IFERROR(AW723*$W723,)</f>
        <v/>
      </c>
      <c r="CI723" s="128">
        <f>IFERROR(AX723*$W723,)</f>
        <v/>
      </c>
      <c r="CJ723" s="128">
        <f>IFERROR(AY723*$W723,)</f>
        <v/>
      </c>
      <c r="CK723" s="128">
        <f>IFERROR(AZ723*$W723,)</f>
        <v/>
      </c>
      <c r="CL723" s="129">
        <f>IFERROR(if($Y723=0,BA723*($W723/1.2),BA723*$Y723),"")</f>
        <v/>
      </c>
      <c r="CM723" s="129">
        <f>IFERROR(if($Y723=0,BB723*($W723/1.2),BB723*$Y723),"")</f>
        <v/>
      </c>
      <c r="CN723" s="129">
        <f>IFERROR(if($Y723=0,BC723*($W723/1.2),BC723*$Y723),"")</f>
        <v/>
      </c>
      <c r="CO723" s="130">
        <f>IFERROR(if($AA723=0,($W723/1.35)*BD723,BD723*$AA723),)</f>
        <v/>
      </c>
      <c r="CP723" s="130">
        <f>IFERROR(if($AA723=0,($W723/1.35)*BE723,BE723*$AA723),)</f>
        <v/>
      </c>
      <c r="CQ723" s="130">
        <f>IFERROR(if($AA723=0,($W723/1.35)*BF723,BF723*$AA723),)</f>
        <v/>
      </c>
      <c r="CR723" s="128">
        <f>IFERROR(if($AC723=0,($W723/0.74)*BG723,
BG723*$AC723),)</f>
        <v/>
      </c>
      <c r="CS723" s="128">
        <f>IFERROR(if($AC723=0,($W723/0.74)*BH723,
BH723*$AC723),)</f>
        <v/>
      </c>
      <c r="CT723" s="128">
        <f>IFERROR(if($AC723=0,($W723/0.74)*BI723,
BI723*$AC723),)</f>
        <v/>
      </c>
      <c r="CU723" s="128">
        <f>IFERROR(AI723*$V723,)</f>
        <v/>
      </c>
      <c r="CV723" s="128">
        <f>IFERROR(AJ723*$V723,)</f>
        <v/>
      </c>
      <c r="CW723" s="128">
        <f>IFERROR(AK723*$V723,)</f>
        <v/>
      </c>
      <c r="CX723" s="128">
        <f>IFERROR(AL723*$V723,)</f>
        <v/>
      </c>
      <c r="CY723" s="128">
        <f>IFERROR(AM723*$V723,)</f>
        <v/>
      </c>
      <c r="CZ723" s="128">
        <f>IFERROR(AN723*$V723,)</f>
        <v/>
      </c>
      <c r="DA723" s="128">
        <f>IFERROR(AO723*$V723,)</f>
        <v/>
      </c>
      <c r="DB723" s="128">
        <f>IFERROR(AP723*$V723,)</f>
        <v/>
      </c>
      <c r="DC723" s="128">
        <f>IFERROR(AQ723*$V723,)</f>
        <v/>
      </c>
      <c r="DD723" s="128">
        <f>IFERROR(AR723*$V723,)</f>
        <v/>
      </c>
      <c r="DE723" s="128">
        <f>IFERROR(AS723*$V723,)</f>
        <v/>
      </c>
      <c r="DF723" s="128">
        <f>IFERROR(AT723*$V723,)</f>
        <v/>
      </c>
      <c r="DG723" s="128">
        <f>IFERROR(AU723*$V723,)</f>
        <v/>
      </c>
      <c r="DH723" s="128">
        <f>IFERROR(AV723*$V723,)</f>
        <v/>
      </c>
      <c r="DI723" s="128">
        <f>IFERROR(AW723*$V723,)</f>
        <v/>
      </c>
      <c r="DJ723" s="128">
        <f>IFERROR(AX723*$V723,)</f>
        <v/>
      </c>
      <c r="DK723" s="128">
        <f>IFERROR(AY723*$V723,)</f>
        <v/>
      </c>
      <c r="DL723" s="128">
        <f>IFERROR(AZ723*$V723,)</f>
        <v/>
      </c>
      <c r="DM723" s="129">
        <f>IFERROR(if($X723=0,($V723/1.2)*BA723,
BA723*$X723),)</f>
        <v/>
      </c>
      <c r="DN723" s="129">
        <f>IFERROR(if($X723=0,($V723/1.2)*BB723,
BB723*$X723),)</f>
        <v/>
      </c>
      <c r="DO723" s="129">
        <f>IFERROR(if($X723=0,($V723/1.2)*BC723,
BC723*$X723),)</f>
        <v/>
      </c>
      <c r="DP723" s="130">
        <f>IFERROR(if($Z723=0,($V723/1.35)*BD723,
BD723*$Z723),)</f>
        <v/>
      </c>
      <c r="DQ723" s="130">
        <f>IFERROR(if($Z723=0,($V723/1.35)*BE723,
BE723*$Z723),)</f>
        <v/>
      </c>
      <c r="DR723" s="130">
        <f>IFERROR(if($Z723=0,($V723/1.35)*BF723,
BF723*$Z723),)</f>
        <v/>
      </c>
      <c r="DS723" s="128">
        <f>IFERROR(IF($AB723=0,($V723/0.74)*BG723,
BG723*$AB723),)</f>
        <v/>
      </c>
      <c r="DT723" s="128">
        <f>IFERROR(IF($AB723=0,($V723/0.74)*BH723,
BH723*$AB723),)</f>
        <v/>
      </c>
      <c r="DU723" s="128">
        <f>IFERROR(IF($AB723=0,($V723/0.74)*BI723,
BI723*$AB723),)</f>
        <v/>
      </c>
    </row>
    <row r="724" ht="131.25" customHeight="1" s="162">
      <c r="A724" s="115" t="n"/>
      <c r="B724" s="115" t="n"/>
      <c r="C724" s="115" t="n"/>
      <c r="D724" s="115" t="n"/>
      <c r="E724" s="115" t="n"/>
      <c r="F724" s="115" t="n"/>
      <c r="G724" s="115" t="n"/>
      <c r="H724" s="115" t="n"/>
      <c r="I724" s="115" t="n"/>
      <c r="J724" s="115" t="n"/>
      <c r="K724" s="115" t="n"/>
      <c r="L724" s="115" t="n"/>
      <c r="M724" s="115" t="n"/>
      <c r="N724" s="115" t="n"/>
      <c r="O724" s="115" t="n"/>
      <c r="P724" s="115" t="n"/>
      <c r="Q724" s="115" t="n"/>
      <c r="R724" s="115" t="n"/>
      <c r="S724" s="115" t="n"/>
      <c r="T724" s="115" t="n"/>
      <c r="U724" s="116" t="n"/>
      <c r="V724" s="116" t="n"/>
      <c r="W724" s="117" t="n"/>
      <c r="X724" s="118" t="n"/>
      <c r="Y724" s="119" t="n"/>
      <c r="Z724" s="120" t="n"/>
      <c r="AA724" s="121" t="n"/>
      <c r="AB724" s="122" t="n"/>
      <c r="AC724" s="117" t="n"/>
      <c r="AD724" s="123">
        <f>IF(SUM($AE724:$AH724)=0,"",SUM($AE724:$AH724))</f>
        <v/>
      </c>
      <c r="AE724" s="123">
        <f>iferror(IF(SUM($AI724:$AZ724)=0,"",SUM($AI724:$AZ724)),"")</f>
        <v/>
      </c>
      <c r="AF724" s="123">
        <f>iferror(IF(SUM($BA724:$BC724)=0,"",SUM($BA724:$BC724)),"")</f>
        <v/>
      </c>
      <c r="AG724" s="123">
        <f>iferror(IF(SUM($BD724:$BF724)=0,"",SUM($BD724:$BF724)),"")</f>
        <v/>
      </c>
      <c r="AH724" s="124">
        <f>iferror(IF(SUM($BG724:$BI724)=0,"",SUM($BG724:$BI724)),"")</f>
        <v/>
      </c>
      <c r="AI724" s="131" t="n"/>
      <c r="AJ724" s="132" t="n"/>
      <c r="AK724" s="132" t="n"/>
      <c r="AL724" s="132" t="n"/>
      <c r="AM724" s="132" t="n"/>
      <c r="AN724" s="132" t="n"/>
      <c r="AO724" s="132" t="n"/>
      <c r="AP724" s="132" t="n"/>
      <c r="AQ724" s="132" t="n"/>
      <c r="AR724" s="132" t="n"/>
      <c r="AS724" s="132" t="n"/>
      <c r="AT724" s="132" t="n"/>
      <c r="AU724" s="132" t="n"/>
      <c r="AV724" s="132" t="n"/>
      <c r="AW724" s="132" t="n"/>
      <c r="AX724" s="132" t="n"/>
      <c r="AY724" s="132" t="n"/>
      <c r="AZ724" s="133" t="n"/>
      <c r="BA724" s="131" t="n"/>
      <c r="BB724" s="132" t="n"/>
      <c r="BC724" s="133" t="n"/>
      <c r="BD724" s="131" t="n"/>
      <c r="BE724" s="132" t="n"/>
      <c r="BF724" s="133" t="n"/>
      <c r="BG724" s="131" t="n"/>
      <c r="BH724" s="132" t="n"/>
      <c r="BI724" s="132" t="n"/>
      <c r="BJ724" s="128">
        <f>iferror(SUM($BK724,($BL724*1.2),($BM724*1.35),($BN724*0.74)),)</f>
        <v/>
      </c>
      <c r="BK724" s="128">
        <f>IFERROR(SUM($BT724:$CK724),)</f>
        <v/>
      </c>
      <c r="BL724" s="129">
        <f>IFERROR(SUM($CL724:$CN724),)</f>
        <v/>
      </c>
      <c r="BM724" s="130">
        <f>IFERROR(SUM($CO724:$CQ724),)</f>
        <v/>
      </c>
      <c r="BN724" s="128">
        <f>IFERROR(SUM($CR724:$CT724),)</f>
        <v/>
      </c>
      <c r="BO724" s="128">
        <f>iferror(SUM($BP724,($BQ724*1.2),($BR724*1.35),($BS724*0.74)),)</f>
        <v/>
      </c>
      <c r="BP724" s="128">
        <f>IFERROR(SUM($CU724:$DL724),)</f>
        <v/>
      </c>
      <c r="BQ724" s="128">
        <f>IFERROR(SUM($DM724:$DO724),)</f>
        <v/>
      </c>
      <c r="BR724" s="128">
        <f>IFERROR(SUM($DP724:$DR724),)</f>
        <v/>
      </c>
      <c r="BS724" s="128">
        <f>IFERROR(SUM($DS724:$DU724),)</f>
        <v/>
      </c>
      <c r="BT724" s="128">
        <f>IFERROR(AI724*$W724,)</f>
        <v/>
      </c>
      <c r="BU724" s="128">
        <f>IFERROR(AJ724*$W724,)</f>
        <v/>
      </c>
      <c r="BV724" s="128">
        <f>IFERROR(AK724*$W724,)</f>
        <v/>
      </c>
      <c r="BW724" s="128">
        <f>IFERROR(AL724*$W724,)</f>
        <v/>
      </c>
      <c r="BX724" s="128">
        <f>IFERROR(AM724*$W724,)</f>
        <v/>
      </c>
      <c r="BY724" s="128">
        <f>IFERROR(AN724*$W724,)</f>
        <v/>
      </c>
      <c r="BZ724" s="128">
        <f>IFERROR(AO724*$W724,)</f>
        <v/>
      </c>
      <c r="CA724" s="128">
        <f>IFERROR(AP724*$W724,)</f>
        <v/>
      </c>
      <c r="CB724" s="128">
        <f>IFERROR(AQ724*$W724,)</f>
        <v/>
      </c>
      <c r="CC724" s="128">
        <f>IFERROR(AR724*$W724,)</f>
        <v/>
      </c>
      <c r="CD724" s="128">
        <f>IFERROR(AS724*$W724,)</f>
        <v/>
      </c>
      <c r="CE724" s="128">
        <f>IFERROR(AT724*$W724,)</f>
        <v/>
      </c>
      <c r="CF724" s="128">
        <f>IFERROR(AU724*$W724,)</f>
        <v/>
      </c>
      <c r="CG724" s="128">
        <f>IFERROR(AV724*$W724,)</f>
        <v/>
      </c>
      <c r="CH724" s="128">
        <f>IFERROR(AW724*$W724,)</f>
        <v/>
      </c>
      <c r="CI724" s="128">
        <f>IFERROR(AX724*$W724,)</f>
        <v/>
      </c>
      <c r="CJ724" s="128">
        <f>IFERROR(AY724*$W724,)</f>
        <v/>
      </c>
      <c r="CK724" s="128">
        <f>IFERROR(AZ724*$W724,)</f>
        <v/>
      </c>
      <c r="CL724" s="129">
        <f>IFERROR(if($Y724=0,BA724*($W724/1.2),BA724*$Y724),"")</f>
        <v/>
      </c>
      <c r="CM724" s="129">
        <f>IFERROR(if($Y724=0,BB724*($W724/1.2),BB724*$Y724),"")</f>
        <v/>
      </c>
      <c r="CN724" s="129">
        <f>IFERROR(if($Y724=0,BC724*($W724/1.2),BC724*$Y724),"")</f>
        <v/>
      </c>
      <c r="CO724" s="130">
        <f>IFERROR(if($AA724=0,($W724/1.35)*BD724,BD724*$AA724),)</f>
        <v/>
      </c>
      <c r="CP724" s="130">
        <f>IFERROR(if($AA724=0,($W724/1.35)*BE724,BE724*$AA724),)</f>
        <v/>
      </c>
      <c r="CQ724" s="130">
        <f>IFERROR(if($AA724=0,($W724/1.35)*BF724,BF724*$AA724),)</f>
        <v/>
      </c>
      <c r="CR724" s="128">
        <f>IFERROR(if($AC724=0,($W724/0.74)*BG724,
BG724*$AC724),)</f>
        <v/>
      </c>
      <c r="CS724" s="128">
        <f>IFERROR(if($AC724=0,($W724/0.74)*BH724,
BH724*$AC724),)</f>
        <v/>
      </c>
      <c r="CT724" s="128">
        <f>IFERROR(if($AC724=0,($W724/0.74)*BI724,
BI724*$AC724),)</f>
        <v/>
      </c>
      <c r="CU724" s="128">
        <f>IFERROR(AI724*$V724,)</f>
        <v/>
      </c>
      <c r="CV724" s="128">
        <f>IFERROR(AJ724*$V724,)</f>
        <v/>
      </c>
      <c r="CW724" s="128">
        <f>IFERROR(AK724*$V724,)</f>
        <v/>
      </c>
      <c r="CX724" s="128">
        <f>IFERROR(AL724*$V724,)</f>
        <v/>
      </c>
      <c r="CY724" s="128">
        <f>IFERROR(AM724*$V724,)</f>
        <v/>
      </c>
      <c r="CZ724" s="128">
        <f>IFERROR(AN724*$V724,)</f>
        <v/>
      </c>
      <c r="DA724" s="128">
        <f>IFERROR(AO724*$V724,)</f>
        <v/>
      </c>
      <c r="DB724" s="128">
        <f>IFERROR(AP724*$V724,)</f>
        <v/>
      </c>
      <c r="DC724" s="128">
        <f>IFERROR(AQ724*$V724,)</f>
        <v/>
      </c>
      <c r="DD724" s="128">
        <f>IFERROR(AR724*$V724,)</f>
        <v/>
      </c>
      <c r="DE724" s="128">
        <f>IFERROR(AS724*$V724,)</f>
        <v/>
      </c>
      <c r="DF724" s="128">
        <f>IFERROR(AT724*$V724,)</f>
        <v/>
      </c>
      <c r="DG724" s="128">
        <f>IFERROR(AU724*$V724,)</f>
        <v/>
      </c>
      <c r="DH724" s="128">
        <f>IFERROR(AV724*$V724,)</f>
        <v/>
      </c>
      <c r="DI724" s="128">
        <f>IFERROR(AW724*$V724,)</f>
        <v/>
      </c>
      <c r="DJ724" s="128">
        <f>IFERROR(AX724*$V724,)</f>
        <v/>
      </c>
      <c r="DK724" s="128">
        <f>IFERROR(AY724*$V724,)</f>
        <v/>
      </c>
      <c r="DL724" s="128">
        <f>IFERROR(AZ724*$V724,)</f>
        <v/>
      </c>
      <c r="DM724" s="129">
        <f>IFERROR(if($X724=0,($V724/1.2)*BA724,
BA724*$X724),)</f>
        <v/>
      </c>
      <c r="DN724" s="129">
        <f>IFERROR(if($X724=0,($V724/1.2)*BB724,
BB724*$X724),)</f>
        <v/>
      </c>
      <c r="DO724" s="129">
        <f>IFERROR(if($X724=0,($V724/1.2)*BC724,
BC724*$X724),)</f>
        <v/>
      </c>
      <c r="DP724" s="130">
        <f>IFERROR(if($Z724=0,($V724/1.35)*BD724,
BD724*$Z724),)</f>
        <v/>
      </c>
      <c r="DQ724" s="130">
        <f>IFERROR(if($Z724=0,($V724/1.35)*BE724,
BE724*$Z724),)</f>
        <v/>
      </c>
      <c r="DR724" s="130">
        <f>IFERROR(if($Z724=0,($V724/1.35)*BF724,
BF724*$Z724),)</f>
        <v/>
      </c>
      <c r="DS724" s="128">
        <f>IFERROR(IF($AB724=0,($V724/0.74)*BG724,
BG724*$AB724),)</f>
        <v/>
      </c>
      <c r="DT724" s="128">
        <f>IFERROR(IF($AB724=0,($V724/0.74)*BH724,
BH724*$AB724),)</f>
        <v/>
      </c>
      <c r="DU724" s="128">
        <f>IFERROR(IF($AB724=0,($V724/0.74)*BI724,
BI724*$AB724),)</f>
        <v/>
      </c>
    </row>
    <row r="725" ht="131.25" customHeight="1" s="162">
      <c r="A725" s="115" t="n"/>
      <c r="B725" s="115" t="n"/>
      <c r="C725" s="115" t="n"/>
      <c r="D725" s="115" t="n"/>
      <c r="E725" s="115" t="n"/>
      <c r="F725" s="115" t="n"/>
      <c r="G725" s="115" t="n"/>
      <c r="H725" s="115" t="n"/>
      <c r="I725" s="115" t="n"/>
      <c r="J725" s="115" t="n"/>
      <c r="K725" s="115" t="n"/>
      <c r="L725" s="115" t="n"/>
      <c r="M725" s="115" t="n"/>
      <c r="N725" s="115" t="n"/>
      <c r="O725" s="115" t="n"/>
      <c r="P725" s="115" t="n"/>
      <c r="Q725" s="115" t="n"/>
      <c r="R725" s="115" t="n"/>
      <c r="S725" s="115" t="n"/>
      <c r="T725" s="115" t="n"/>
      <c r="U725" s="116" t="n"/>
      <c r="V725" s="116" t="n"/>
      <c r="W725" s="117" t="n"/>
      <c r="X725" s="118" t="n"/>
      <c r="Y725" s="119" t="n"/>
      <c r="Z725" s="120" t="n"/>
      <c r="AA725" s="121" t="n"/>
      <c r="AB725" s="122" t="n"/>
      <c r="AC725" s="117" t="n"/>
      <c r="AD725" s="123">
        <f>IF(SUM($AE725:$AH725)=0,"",SUM($AE725:$AH725))</f>
        <v/>
      </c>
      <c r="AE725" s="123">
        <f>iferror(IF(SUM($AI725:$AZ725)=0,"",SUM($AI725:$AZ725)),"")</f>
        <v/>
      </c>
      <c r="AF725" s="123">
        <f>iferror(IF(SUM($BA725:$BC725)=0,"",SUM($BA725:$BC725)),"")</f>
        <v/>
      </c>
      <c r="AG725" s="123">
        <f>iferror(IF(SUM($BD725:$BF725)=0,"",SUM($BD725:$BF725)),"")</f>
        <v/>
      </c>
      <c r="AH725" s="124">
        <f>iferror(IF(SUM($BG725:$BI725)=0,"",SUM($BG725:$BI725)),"")</f>
        <v/>
      </c>
      <c r="AI725" s="131" t="n"/>
      <c r="AJ725" s="132" t="n"/>
      <c r="AK725" s="132" t="n"/>
      <c r="AL725" s="132" t="n"/>
      <c r="AM725" s="132" t="n"/>
      <c r="AN725" s="132" t="n"/>
      <c r="AO725" s="132" t="n"/>
      <c r="AP725" s="132" t="n"/>
      <c r="AQ725" s="132" t="n"/>
      <c r="AR725" s="132" t="n"/>
      <c r="AS725" s="132" t="n"/>
      <c r="AT725" s="132" t="n"/>
      <c r="AU725" s="132" t="n"/>
      <c r="AV725" s="132" t="n"/>
      <c r="AW725" s="132" t="n"/>
      <c r="AX725" s="132" t="n"/>
      <c r="AY725" s="132" t="n"/>
      <c r="AZ725" s="133" t="n"/>
      <c r="BA725" s="131" t="n"/>
      <c r="BB725" s="132" t="n"/>
      <c r="BC725" s="133" t="n"/>
      <c r="BD725" s="131" t="n"/>
      <c r="BE725" s="132" t="n"/>
      <c r="BF725" s="133" t="n"/>
      <c r="BG725" s="131" t="n"/>
      <c r="BH725" s="132" t="n"/>
      <c r="BI725" s="132" t="n"/>
      <c r="BJ725" s="128">
        <f>iferror(SUM($BK725,($BL725*1.2),($BM725*1.35),($BN725*0.74)),)</f>
        <v/>
      </c>
      <c r="BK725" s="128">
        <f>IFERROR(SUM($BT725:$CK725),)</f>
        <v/>
      </c>
      <c r="BL725" s="129">
        <f>IFERROR(SUM($CL725:$CN725),)</f>
        <v/>
      </c>
      <c r="BM725" s="130">
        <f>IFERROR(SUM($CO725:$CQ725),)</f>
        <v/>
      </c>
      <c r="BN725" s="128">
        <f>IFERROR(SUM($CR725:$CT725),)</f>
        <v/>
      </c>
      <c r="BO725" s="128">
        <f>iferror(SUM($BP725,($BQ725*1.2),($BR725*1.35),($BS725*0.74)),)</f>
        <v/>
      </c>
      <c r="BP725" s="128">
        <f>IFERROR(SUM($CU725:$DL725),)</f>
        <v/>
      </c>
      <c r="BQ725" s="128">
        <f>IFERROR(SUM($DM725:$DO725),)</f>
        <v/>
      </c>
      <c r="BR725" s="128">
        <f>IFERROR(SUM($DP725:$DR725),)</f>
        <v/>
      </c>
      <c r="BS725" s="128">
        <f>IFERROR(SUM($DS725:$DU725),)</f>
        <v/>
      </c>
      <c r="BT725" s="128">
        <f>IFERROR(AI725*$W725,)</f>
        <v/>
      </c>
      <c r="BU725" s="128">
        <f>IFERROR(AJ725*$W725,)</f>
        <v/>
      </c>
      <c r="BV725" s="128">
        <f>IFERROR(AK725*$W725,)</f>
        <v/>
      </c>
      <c r="BW725" s="128">
        <f>IFERROR(AL725*$W725,)</f>
        <v/>
      </c>
      <c r="BX725" s="128">
        <f>IFERROR(AM725*$W725,)</f>
        <v/>
      </c>
      <c r="BY725" s="128">
        <f>IFERROR(AN725*$W725,)</f>
        <v/>
      </c>
      <c r="BZ725" s="128">
        <f>IFERROR(AO725*$W725,)</f>
        <v/>
      </c>
      <c r="CA725" s="128">
        <f>IFERROR(AP725*$W725,)</f>
        <v/>
      </c>
      <c r="CB725" s="128">
        <f>IFERROR(AQ725*$W725,)</f>
        <v/>
      </c>
      <c r="CC725" s="128">
        <f>IFERROR(AR725*$W725,)</f>
        <v/>
      </c>
      <c r="CD725" s="128">
        <f>IFERROR(AS725*$W725,)</f>
        <v/>
      </c>
      <c r="CE725" s="128">
        <f>IFERROR(AT725*$W725,)</f>
        <v/>
      </c>
      <c r="CF725" s="128">
        <f>IFERROR(AU725*$W725,)</f>
        <v/>
      </c>
      <c r="CG725" s="128">
        <f>IFERROR(AV725*$W725,)</f>
        <v/>
      </c>
      <c r="CH725" s="128">
        <f>IFERROR(AW725*$W725,)</f>
        <v/>
      </c>
      <c r="CI725" s="128">
        <f>IFERROR(AX725*$W725,)</f>
        <v/>
      </c>
      <c r="CJ725" s="128">
        <f>IFERROR(AY725*$W725,)</f>
        <v/>
      </c>
      <c r="CK725" s="128">
        <f>IFERROR(AZ725*$W725,)</f>
        <v/>
      </c>
      <c r="CL725" s="129">
        <f>IFERROR(if($Y725=0,BA725*($W725/1.2),BA725*$Y725),"")</f>
        <v/>
      </c>
      <c r="CM725" s="129">
        <f>IFERROR(if($Y725=0,BB725*($W725/1.2),BB725*$Y725),"")</f>
        <v/>
      </c>
      <c r="CN725" s="129">
        <f>IFERROR(if($Y725=0,BC725*($W725/1.2),BC725*$Y725),"")</f>
        <v/>
      </c>
      <c r="CO725" s="130">
        <f>IFERROR(if($AA725=0,($W725/1.35)*BD725,BD725*$AA725),)</f>
        <v/>
      </c>
      <c r="CP725" s="130">
        <f>IFERROR(if($AA725=0,($W725/1.35)*BE725,BE725*$AA725),)</f>
        <v/>
      </c>
      <c r="CQ725" s="130">
        <f>IFERROR(if($AA725=0,($W725/1.35)*BF725,BF725*$AA725),)</f>
        <v/>
      </c>
      <c r="CR725" s="128">
        <f>IFERROR(if($AC725=0,($W725/0.74)*BG725,
BG725*$AC725),)</f>
        <v/>
      </c>
      <c r="CS725" s="128">
        <f>IFERROR(if($AC725=0,($W725/0.74)*BH725,
BH725*$AC725),)</f>
        <v/>
      </c>
      <c r="CT725" s="128">
        <f>IFERROR(if($AC725=0,($W725/0.74)*BI725,
BI725*$AC725),)</f>
        <v/>
      </c>
      <c r="CU725" s="128">
        <f>IFERROR(AI725*$V725,)</f>
        <v/>
      </c>
      <c r="CV725" s="128">
        <f>IFERROR(AJ725*$V725,)</f>
        <v/>
      </c>
      <c r="CW725" s="128">
        <f>IFERROR(AK725*$V725,)</f>
        <v/>
      </c>
      <c r="CX725" s="128">
        <f>IFERROR(AL725*$V725,)</f>
        <v/>
      </c>
      <c r="CY725" s="128">
        <f>IFERROR(AM725*$V725,)</f>
        <v/>
      </c>
      <c r="CZ725" s="128">
        <f>IFERROR(AN725*$V725,)</f>
        <v/>
      </c>
      <c r="DA725" s="128">
        <f>IFERROR(AO725*$V725,)</f>
        <v/>
      </c>
      <c r="DB725" s="128">
        <f>IFERROR(AP725*$V725,)</f>
        <v/>
      </c>
      <c r="DC725" s="128">
        <f>IFERROR(AQ725*$V725,)</f>
        <v/>
      </c>
      <c r="DD725" s="128">
        <f>IFERROR(AR725*$V725,)</f>
        <v/>
      </c>
      <c r="DE725" s="128">
        <f>IFERROR(AS725*$V725,)</f>
        <v/>
      </c>
      <c r="DF725" s="128">
        <f>IFERROR(AT725*$V725,)</f>
        <v/>
      </c>
      <c r="DG725" s="128">
        <f>IFERROR(AU725*$V725,)</f>
        <v/>
      </c>
      <c r="DH725" s="128">
        <f>IFERROR(AV725*$V725,)</f>
        <v/>
      </c>
      <c r="DI725" s="128">
        <f>IFERROR(AW725*$V725,)</f>
        <v/>
      </c>
      <c r="DJ725" s="128">
        <f>IFERROR(AX725*$V725,)</f>
        <v/>
      </c>
      <c r="DK725" s="128">
        <f>IFERROR(AY725*$V725,)</f>
        <v/>
      </c>
      <c r="DL725" s="128">
        <f>IFERROR(AZ725*$V725,)</f>
        <v/>
      </c>
      <c r="DM725" s="129">
        <f>IFERROR(if($X725=0,($V725/1.2)*BA725,
BA725*$X725),)</f>
        <v/>
      </c>
      <c r="DN725" s="129">
        <f>IFERROR(if($X725=0,($V725/1.2)*BB725,
BB725*$X725),)</f>
        <v/>
      </c>
      <c r="DO725" s="129">
        <f>IFERROR(if($X725=0,($V725/1.2)*BC725,
BC725*$X725),)</f>
        <v/>
      </c>
      <c r="DP725" s="130">
        <f>IFERROR(if($Z725=0,($V725/1.35)*BD725,
BD725*$Z725),)</f>
        <v/>
      </c>
      <c r="DQ725" s="130">
        <f>IFERROR(if($Z725=0,($V725/1.35)*BE725,
BE725*$Z725),)</f>
        <v/>
      </c>
      <c r="DR725" s="130">
        <f>IFERROR(if($Z725=0,($V725/1.35)*BF725,
BF725*$Z725),)</f>
        <v/>
      </c>
      <c r="DS725" s="128">
        <f>IFERROR(IF($AB725=0,($V725/0.74)*BG725,
BG725*$AB725),)</f>
        <v/>
      </c>
      <c r="DT725" s="128">
        <f>IFERROR(IF($AB725=0,($V725/0.74)*BH725,
BH725*$AB725),)</f>
        <v/>
      </c>
      <c r="DU725" s="128">
        <f>IFERROR(IF($AB725=0,($V725/0.74)*BI725,
BI725*$AB725),)</f>
        <v/>
      </c>
    </row>
    <row r="726" ht="131.25" customHeight="1" s="162">
      <c r="A726" s="115" t="n"/>
      <c r="B726" s="115" t="n"/>
      <c r="C726" s="115" t="n"/>
      <c r="D726" s="115" t="n"/>
      <c r="E726" s="115" t="n"/>
      <c r="F726" s="115" t="n"/>
      <c r="G726" s="115" t="n"/>
      <c r="H726" s="115" t="n"/>
      <c r="I726" s="115" t="n"/>
      <c r="J726" s="115" t="n"/>
      <c r="K726" s="115" t="n"/>
      <c r="L726" s="115" t="n"/>
      <c r="M726" s="115" t="n"/>
      <c r="N726" s="115" t="n"/>
      <c r="O726" s="115" t="n"/>
      <c r="P726" s="115" t="n"/>
      <c r="Q726" s="115" t="n"/>
      <c r="R726" s="115" t="n"/>
      <c r="S726" s="115" t="n"/>
      <c r="T726" s="115" t="n"/>
      <c r="U726" s="116" t="n"/>
      <c r="V726" s="116" t="n"/>
      <c r="W726" s="117" t="n"/>
      <c r="X726" s="118" t="n"/>
      <c r="Y726" s="119" t="n"/>
      <c r="Z726" s="120" t="n"/>
      <c r="AA726" s="121" t="n"/>
      <c r="AB726" s="122" t="n"/>
      <c r="AC726" s="117" t="n"/>
      <c r="AD726" s="123">
        <f>IF(SUM($AE726:$AH726)=0,"",SUM($AE726:$AH726))</f>
        <v/>
      </c>
      <c r="AE726" s="123">
        <f>iferror(IF(SUM($AI726:$AZ726)=0,"",SUM($AI726:$AZ726)),"")</f>
        <v/>
      </c>
      <c r="AF726" s="123">
        <f>iferror(IF(SUM($BA726:$BC726)=0,"",SUM($BA726:$BC726)),"")</f>
        <v/>
      </c>
      <c r="AG726" s="123">
        <f>iferror(IF(SUM($BD726:$BF726)=0,"",SUM($BD726:$BF726)),"")</f>
        <v/>
      </c>
      <c r="AH726" s="124">
        <f>iferror(IF(SUM($BG726:$BI726)=0,"",SUM($BG726:$BI726)),"")</f>
        <v/>
      </c>
      <c r="AI726" s="131" t="n"/>
      <c r="AJ726" s="132" t="n"/>
      <c r="AK726" s="132" t="n"/>
      <c r="AL726" s="132" t="n"/>
      <c r="AM726" s="132" t="n"/>
      <c r="AN726" s="132" t="n"/>
      <c r="AO726" s="132" t="n"/>
      <c r="AP726" s="132" t="n"/>
      <c r="AQ726" s="132" t="n"/>
      <c r="AR726" s="132" t="n"/>
      <c r="AS726" s="132" t="n"/>
      <c r="AT726" s="132" t="n"/>
      <c r="AU726" s="132" t="n"/>
      <c r="AV726" s="132" t="n"/>
      <c r="AW726" s="132" t="n"/>
      <c r="AX726" s="132" t="n"/>
      <c r="AY726" s="132" t="n"/>
      <c r="AZ726" s="133" t="n"/>
      <c r="BA726" s="131" t="n"/>
      <c r="BB726" s="132" t="n"/>
      <c r="BC726" s="133" t="n"/>
      <c r="BD726" s="131" t="n"/>
      <c r="BE726" s="132" t="n"/>
      <c r="BF726" s="133" t="n"/>
      <c r="BG726" s="131" t="n"/>
      <c r="BH726" s="132" t="n"/>
      <c r="BI726" s="132" t="n"/>
      <c r="BJ726" s="128">
        <f>iferror(SUM($BK726,($BL726*1.2),($BM726*1.35),($BN726*0.74)),)</f>
        <v/>
      </c>
      <c r="BK726" s="128">
        <f>IFERROR(SUM($BT726:$CK726),)</f>
        <v/>
      </c>
      <c r="BL726" s="129">
        <f>IFERROR(SUM($CL726:$CN726),)</f>
        <v/>
      </c>
      <c r="BM726" s="130">
        <f>IFERROR(SUM($CO726:$CQ726),)</f>
        <v/>
      </c>
      <c r="BN726" s="128">
        <f>IFERROR(SUM($CR726:$CT726),)</f>
        <v/>
      </c>
      <c r="BO726" s="128">
        <f>iferror(SUM($BP726,($BQ726*1.2),($BR726*1.35),($BS726*0.74)),)</f>
        <v/>
      </c>
      <c r="BP726" s="128">
        <f>IFERROR(SUM($CU726:$DL726),)</f>
        <v/>
      </c>
      <c r="BQ726" s="128">
        <f>IFERROR(SUM($DM726:$DO726),)</f>
        <v/>
      </c>
      <c r="BR726" s="128">
        <f>IFERROR(SUM($DP726:$DR726),)</f>
        <v/>
      </c>
      <c r="BS726" s="128">
        <f>IFERROR(SUM($DS726:$DU726),)</f>
        <v/>
      </c>
      <c r="BT726" s="128">
        <f>IFERROR(AI726*$W726,)</f>
        <v/>
      </c>
      <c r="BU726" s="128">
        <f>IFERROR(AJ726*$W726,)</f>
        <v/>
      </c>
      <c r="BV726" s="128">
        <f>IFERROR(AK726*$W726,)</f>
        <v/>
      </c>
      <c r="BW726" s="128">
        <f>IFERROR(AL726*$W726,)</f>
        <v/>
      </c>
      <c r="BX726" s="128">
        <f>IFERROR(AM726*$W726,)</f>
        <v/>
      </c>
      <c r="BY726" s="128">
        <f>IFERROR(AN726*$W726,)</f>
        <v/>
      </c>
      <c r="BZ726" s="128">
        <f>IFERROR(AO726*$W726,)</f>
        <v/>
      </c>
      <c r="CA726" s="128">
        <f>IFERROR(AP726*$W726,)</f>
        <v/>
      </c>
      <c r="CB726" s="128">
        <f>IFERROR(AQ726*$W726,)</f>
        <v/>
      </c>
      <c r="CC726" s="128">
        <f>IFERROR(AR726*$W726,)</f>
        <v/>
      </c>
      <c r="CD726" s="128">
        <f>IFERROR(AS726*$W726,)</f>
        <v/>
      </c>
      <c r="CE726" s="128">
        <f>IFERROR(AT726*$W726,)</f>
        <v/>
      </c>
      <c r="CF726" s="128">
        <f>IFERROR(AU726*$W726,)</f>
        <v/>
      </c>
      <c r="CG726" s="128">
        <f>IFERROR(AV726*$W726,)</f>
        <v/>
      </c>
      <c r="CH726" s="128">
        <f>IFERROR(AW726*$W726,)</f>
        <v/>
      </c>
      <c r="CI726" s="128">
        <f>IFERROR(AX726*$W726,)</f>
        <v/>
      </c>
      <c r="CJ726" s="128">
        <f>IFERROR(AY726*$W726,)</f>
        <v/>
      </c>
      <c r="CK726" s="128">
        <f>IFERROR(AZ726*$W726,)</f>
        <v/>
      </c>
      <c r="CL726" s="129">
        <f>IFERROR(if($Y726=0,BA726*($W726/1.2),BA726*$Y726),"")</f>
        <v/>
      </c>
      <c r="CM726" s="129">
        <f>IFERROR(if($Y726=0,BB726*($W726/1.2),BB726*$Y726),"")</f>
        <v/>
      </c>
      <c r="CN726" s="129">
        <f>IFERROR(if($Y726=0,BC726*($W726/1.2),BC726*$Y726),"")</f>
        <v/>
      </c>
      <c r="CO726" s="130">
        <f>IFERROR(if($AA726=0,($W726/1.35)*BD726,BD726*$AA726),)</f>
        <v/>
      </c>
      <c r="CP726" s="130">
        <f>IFERROR(if($AA726=0,($W726/1.35)*BE726,BE726*$AA726),)</f>
        <v/>
      </c>
      <c r="CQ726" s="130">
        <f>IFERROR(if($AA726=0,($W726/1.35)*BF726,BF726*$AA726),)</f>
        <v/>
      </c>
      <c r="CR726" s="128">
        <f>IFERROR(if($AC726=0,($W726/0.74)*BG726,
BG726*$AC726),)</f>
        <v/>
      </c>
      <c r="CS726" s="128">
        <f>IFERROR(if($AC726=0,($W726/0.74)*BH726,
BH726*$AC726),)</f>
        <v/>
      </c>
      <c r="CT726" s="128">
        <f>IFERROR(if($AC726=0,($W726/0.74)*BI726,
BI726*$AC726),)</f>
        <v/>
      </c>
      <c r="CU726" s="128">
        <f>IFERROR(AI726*$V726,)</f>
        <v/>
      </c>
      <c r="CV726" s="128">
        <f>IFERROR(AJ726*$V726,)</f>
        <v/>
      </c>
      <c r="CW726" s="128">
        <f>IFERROR(AK726*$V726,)</f>
        <v/>
      </c>
      <c r="CX726" s="128">
        <f>IFERROR(AL726*$V726,)</f>
        <v/>
      </c>
      <c r="CY726" s="128">
        <f>IFERROR(AM726*$V726,)</f>
        <v/>
      </c>
      <c r="CZ726" s="128">
        <f>IFERROR(AN726*$V726,)</f>
        <v/>
      </c>
      <c r="DA726" s="128">
        <f>IFERROR(AO726*$V726,)</f>
        <v/>
      </c>
      <c r="DB726" s="128">
        <f>IFERROR(AP726*$V726,)</f>
        <v/>
      </c>
      <c r="DC726" s="128">
        <f>IFERROR(AQ726*$V726,)</f>
        <v/>
      </c>
      <c r="DD726" s="128">
        <f>IFERROR(AR726*$V726,)</f>
        <v/>
      </c>
      <c r="DE726" s="128">
        <f>IFERROR(AS726*$V726,)</f>
        <v/>
      </c>
      <c r="DF726" s="128">
        <f>IFERROR(AT726*$V726,)</f>
        <v/>
      </c>
      <c r="DG726" s="128">
        <f>IFERROR(AU726*$V726,)</f>
        <v/>
      </c>
      <c r="DH726" s="128">
        <f>IFERROR(AV726*$V726,)</f>
        <v/>
      </c>
      <c r="DI726" s="128">
        <f>IFERROR(AW726*$V726,)</f>
        <v/>
      </c>
      <c r="DJ726" s="128">
        <f>IFERROR(AX726*$V726,)</f>
        <v/>
      </c>
      <c r="DK726" s="128">
        <f>IFERROR(AY726*$V726,)</f>
        <v/>
      </c>
      <c r="DL726" s="128">
        <f>IFERROR(AZ726*$V726,)</f>
        <v/>
      </c>
      <c r="DM726" s="129">
        <f>IFERROR(if($X726=0,($V726/1.2)*BA726,
BA726*$X726),)</f>
        <v/>
      </c>
      <c r="DN726" s="129">
        <f>IFERROR(if($X726=0,($V726/1.2)*BB726,
BB726*$X726),)</f>
        <v/>
      </c>
      <c r="DO726" s="129">
        <f>IFERROR(if($X726=0,($V726/1.2)*BC726,
BC726*$X726),)</f>
        <v/>
      </c>
      <c r="DP726" s="130">
        <f>IFERROR(if($Z726=0,($V726/1.35)*BD726,
BD726*$Z726),)</f>
        <v/>
      </c>
      <c r="DQ726" s="130">
        <f>IFERROR(if($Z726=0,($V726/1.35)*BE726,
BE726*$Z726),)</f>
        <v/>
      </c>
      <c r="DR726" s="130">
        <f>IFERROR(if($Z726=0,($V726/1.35)*BF726,
BF726*$Z726),)</f>
        <v/>
      </c>
      <c r="DS726" s="128">
        <f>IFERROR(IF($AB726=0,($V726/0.74)*BG726,
BG726*$AB726),)</f>
        <v/>
      </c>
      <c r="DT726" s="128">
        <f>IFERROR(IF($AB726=0,($V726/0.74)*BH726,
BH726*$AB726),)</f>
        <v/>
      </c>
      <c r="DU726" s="128">
        <f>IFERROR(IF($AB726=0,($V726/0.74)*BI726,
BI726*$AB726),)</f>
        <v/>
      </c>
    </row>
    <row r="727" ht="131.25" customHeight="1" s="162">
      <c r="A727" s="115" t="n"/>
      <c r="B727" s="115" t="n"/>
      <c r="C727" s="115" t="n"/>
      <c r="D727" s="115" t="n"/>
      <c r="E727" s="115" t="n"/>
      <c r="F727" s="115" t="n"/>
      <c r="G727" s="115" t="n"/>
      <c r="H727" s="115" t="n"/>
      <c r="I727" s="115" t="n"/>
      <c r="J727" s="115" t="n"/>
      <c r="K727" s="115" t="n"/>
      <c r="L727" s="115" t="n"/>
      <c r="M727" s="115" t="n"/>
      <c r="N727" s="115" t="n"/>
      <c r="O727" s="115" t="n"/>
      <c r="P727" s="115" t="n"/>
      <c r="Q727" s="115" t="n"/>
      <c r="R727" s="115" t="n"/>
      <c r="S727" s="115" t="n"/>
      <c r="T727" s="115" t="n"/>
      <c r="U727" s="116" t="n"/>
      <c r="V727" s="116" t="n"/>
      <c r="W727" s="117" t="n"/>
      <c r="X727" s="118" t="n"/>
      <c r="Y727" s="119" t="n"/>
      <c r="Z727" s="120" t="n"/>
      <c r="AA727" s="121" t="n"/>
      <c r="AB727" s="122" t="n"/>
      <c r="AC727" s="117" t="n"/>
      <c r="AD727" s="123">
        <f>IF(SUM($AE727:$AH727)=0,"",SUM($AE727:$AH727))</f>
        <v/>
      </c>
      <c r="AE727" s="123">
        <f>iferror(IF(SUM($AI727:$AZ727)=0,"",SUM($AI727:$AZ727)),"")</f>
        <v/>
      </c>
      <c r="AF727" s="123">
        <f>iferror(IF(SUM($BA727:$BC727)=0,"",SUM($BA727:$BC727)),"")</f>
        <v/>
      </c>
      <c r="AG727" s="123">
        <f>iferror(IF(SUM($BD727:$BF727)=0,"",SUM($BD727:$BF727)),"")</f>
        <v/>
      </c>
      <c r="AH727" s="124">
        <f>iferror(IF(SUM($BG727:$BI727)=0,"",SUM($BG727:$BI727)),"")</f>
        <v/>
      </c>
      <c r="AI727" s="131" t="n"/>
      <c r="AJ727" s="132" t="n"/>
      <c r="AK727" s="132" t="n"/>
      <c r="AL727" s="132" t="n"/>
      <c r="AM727" s="132" t="n"/>
      <c r="AN727" s="132" t="n"/>
      <c r="AO727" s="132" t="n"/>
      <c r="AP727" s="132" t="n"/>
      <c r="AQ727" s="132" t="n"/>
      <c r="AR727" s="132" t="n"/>
      <c r="AS727" s="132" t="n"/>
      <c r="AT727" s="132" t="n"/>
      <c r="AU727" s="132" t="n"/>
      <c r="AV727" s="132" t="n"/>
      <c r="AW727" s="132" t="n"/>
      <c r="AX727" s="132" t="n"/>
      <c r="AY727" s="132" t="n"/>
      <c r="AZ727" s="133" t="n"/>
      <c r="BA727" s="131" t="n"/>
      <c r="BB727" s="132" t="n"/>
      <c r="BC727" s="133" t="n"/>
      <c r="BD727" s="131" t="n"/>
      <c r="BE727" s="132" t="n"/>
      <c r="BF727" s="133" t="n"/>
      <c r="BG727" s="131" t="n"/>
      <c r="BH727" s="132" t="n"/>
      <c r="BI727" s="132" t="n"/>
      <c r="BJ727" s="128">
        <f>iferror(SUM($BK727,($BL727*1.2),($BM727*1.35),($BN727*0.74)),)</f>
        <v/>
      </c>
      <c r="BK727" s="128">
        <f>IFERROR(SUM($BT727:$CK727),)</f>
        <v/>
      </c>
      <c r="BL727" s="129">
        <f>IFERROR(SUM($CL727:$CN727),)</f>
        <v/>
      </c>
      <c r="BM727" s="130">
        <f>IFERROR(SUM($CO727:$CQ727),)</f>
        <v/>
      </c>
      <c r="BN727" s="128">
        <f>IFERROR(SUM($CR727:$CT727),)</f>
        <v/>
      </c>
      <c r="BO727" s="128">
        <f>iferror(SUM($BP727,($BQ727*1.2),($BR727*1.35),($BS727*0.74)),)</f>
        <v/>
      </c>
      <c r="BP727" s="128">
        <f>IFERROR(SUM($CU727:$DL727),)</f>
        <v/>
      </c>
      <c r="BQ727" s="128">
        <f>IFERROR(SUM($DM727:$DO727),)</f>
        <v/>
      </c>
      <c r="BR727" s="128">
        <f>IFERROR(SUM($DP727:$DR727),)</f>
        <v/>
      </c>
      <c r="BS727" s="128">
        <f>IFERROR(SUM($DS727:$DU727),)</f>
        <v/>
      </c>
      <c r="BT727" s="128">
        <f>IFERROR(AI727*$W727,)</f>
        <v/>
      </c>
      <c r="BU727" s="128">
        <f>IFERROR(AJ727*$W727,)</f>
        <v/>
      </c>
      <c r="BV727" s="128">
        <f>IFERROR(AK727*$W727,)</f>
        <v/>
      </c>
      <c r="BW727" s="128">
        <f>IFERROR(AL727*$W727,)</f>
        <v/>
      </c>
      <c r="BX727" s="128">
        <f>IFERROR(AM727*$W727,)</f>
        <v/>
      </c>
      <c r="BY727" s="128">
        <f>IFERROR(AN727*$W727,)</f>
        <v/>
      </c>
      <c r="BZ727" s="128">
        <f>IFERROR(AO727*$W727,)</f>
        <v/>
      </c>
      <c r="CA727" s="128">
        <f>IFERROR(AP727*$W727,)</f>
        <v/>
      </c>
      <c r="CB727" s="128">
        <f>IFERROR(AQ727*$W727,)</f>
        <v/>
      </c>
      <c r="CC727" s="128">
        <f>IFERROR(AR727*$W727,)</f>
        <v/>
      </c>
      <c r="CD727" s="128">
        <f>IFERROR(AS727*$W727,)</f>
        <v/>
      </c>
      <c r="CE727" s="128">
        <f>IFERROR(AT727*$W727,)</f>
        <v/>
      </c>
      <c r="CF727" s="128">
        <f>IFERROR(AU727*$W727,)</f>
        <v/>
      </c>
      <c r="CG727" s="128">
        <f>IFERROR(AV727*$W727,)</f>
        <v/>
      </c>
      <c r="CH727" s="128">
        <f>IFERROR(AW727*$W727,)</f>
        <v/>
      </c>
      <c r="CI727" s="128">
        <f>IFERROR(AX727*$W727,)</f>
        <v/>
      </c>
      <c r="CJ727" s="128">
        <f>IFERROR(AY727*$W727,)</f>
        <v/>
      </c>
      <c r="CK727" s="128">
        <f>IFERROR(AZ727*$W727,)</f>
        <v/>
      </c>
      <c r="CL727" s="129">
        <f>IFERROR(if($Y727=0,BA727*($W727/1.2),BA727*$Y727),"")</f>
        <v/>
      </c>
      <c r="CM727" s="129">
        <f>IFERROR(if($Y727=0,BB727*($W727/1.2),BB727*$Y727),"")</f>
        <v/>
      </c>
      <c r="CN727" s="129">
        <f>IFERROR(if($Y727=0,BC727*($W727/1.2),BC727*$Y727),"")</f>
        <v/>
      </c>
      <c r="CO727" s="130">
        <f>IFERROR(if($AA727=0,($W727/1.35)*BD727,BD727*$AA727),)</f>
        <v/>
      </c>
      <c r="CP727" s="130">
        <f>IFERROR(if($AA727=0,($W727/1.35)*BE727,BE727*$AA727),)</f>
        <v/>
      </c>
      <c r="CQ727" s="130">
        <f>IFERROR(if($AA727=0,($W727/1.35)*BF727,BF727*$AA727),)</f>
        <v/>
      </c>
      <c r="CR727" s="128">
        <f>IFERROR(if($AC727=0,($W727/0.74)*BG727,
BG727*$AC727),)</f>
        <v/>
      </c>
      <c r="CS727" s="128">
        <f>IFERROR(if($AC727=0,($W727/0.74)*BH727,
BH727*$AC727),)</f>
        <v/>
      </c>
      <c r="CT727" s="128">
        <f>IFERROR(if($AC727=0,($W727/0.74)*BI727,
BI727*$AC727),)</f>
        <v/>
      </c>
      <c r="CU727" s="128">
        <f>IFERROR(AI727*$V727,)</f>
        <v/>
      </c>
      <c r="CV727" s="128">
        <f>IFERROR(AJ727*$V727,)</f>
        <v/>
      </c>
      <c r="CW727" s="128">
        <f>IFERROR(AK727*$V727,)</f>
        <v/>
      </c>
      <c r="CX727" s="128">
        <f>IFERROR(AL727*$V727,)</f>
        <v/>
      </c>
      <c r="CY727" s="128">
        <f>IFERROR(AM727*$V727,)</f>
        <v/>
      </c>
      <c r="CZ727" s="128">
        <f>IFERROR(AN727*$V727,)</f>
        <v/>
      </c>
      <c r="DA727" s="128">
        <f>IFERROR(AO727*$V727,)</f>
        <v/>
      </c>
      <c r="DB727" s="128">
        <f>IFERROR(AP727*$V727,)</f>
        <v/>
      </c>
      <c r="DC727" s="128">
        <f>IFERROR(AQ727*$V727,)</f>
        <v/>
      </c>
      <c r="DD727" s="128">
        <f>IFERROR(AR727*$V727,)</f>
        <v/>
      </c>
      <c r="DE727" s="128">
        <f>IFERROR(AS727*$V727,)</f>
        <v/>
      </c>
      <c r="DF727" s="128">
        <f>IFERROR(AT727*$V727,)</f>
        <v/>
      </c>
      <c r="DG727" s="128">
        <f>IFERROR(AU727*$V727,)</f>
        <v/>
      </c>
      <c r="DH727" s="128">
        <f>IFERROR(AV727*$V727,)</f>
        <v/>
      </c>
      <c r="DI727" s="128">
        <f>IFERROR(AW727*$V727,)</f>
        <v/>
      </c>
      <c r="DJ727" s="128">
        <f>IFERROR(AX727*$V727,)</f>
        <v/>
      </c>
      <c r="DK727" s="128">
        <f>IFERROR(AY727*$V727,)</f>
        <v/>
      </c>
      <c r="DL727" s="128">
        <f>IFERROR(AZ727*$V727,)</f>
        <v/>
      </c>
      <c r="DM727" s="129">
        <f>IFERROR(if($X727=0,($V727/1.2)*BA727,
BA727*$X727),)</f>
        <v/>
      </c>
      <c r="DN727" s="129">
        <f>IFERROR(if($X727=0,($V727/1.2)*BB727,
BB727*$X727),)</f>
        <v/>
      </c>
      <c r="DO727" s="129">
        <f>IFERROR(if($X727=0,($V727/1.2)*BC727,
BC727*$X727),)</f>
        <v/>
      </c>
      <c r="DP727" s="130">
        <f>IFERROR(if($Z727=0,($V727/1.35)*BD727,
BD727*$Z727),)</f>
        <v/>
      </c>
      <c r="DQ727" s="130">
        <f>IFERROR(if($Z727=0,($V727/1.35)*BE727,
BE727*$Z727),)</f>
        <v/>
      </c>
      <c r="DR727" s="130">
        <f>IFERROR(if($Z727=0,($V727/1.35)*BF727,
BF727*$Z727),)</f>
        <v/>
      </c>
      <c r="DS727" s="128">
        <f>IFERROR(IF($AB727=0,($V727/0.74)*BG727,
BG727*$AB727),)</f>
        <v/>
      </c>
      <c r="DT727" s="128">
        <f>IFERROR(IF($AB727=0,($V727/0.74)*BH727,
BH727*$AB727),)</f>
        <v/>
      </c>
      <c r="DU727" s="128">
        <f>IFERROR(IF($AB727=0,($V727/0.74)*BI727,
BI727*$AB727),)</f>
        <v/>
      </c>
    </row>
    <row r="728" ht="131.25" customHeight="1" s="162">
      <c r="A728" s="115" t="n"/>
      <c r="B728" s="115" t="n"/>
      <c r="C728" s="115" t="n"/>
      <c r="D728" s="115" t="n"/>
      <c r="E728" s="115" t="n"/>
      <c r="F728" s="115" t="n"/>
      <c r="G728" s="115" t="n"/>
      <c r="H728" s="115" t="n"/>
      <c r="I728" s="115" t="n"/>
      <c r="J728" s="115" t="n"/>
      <c r="K728" s="115" t="n"/>
      <c r="L728" s="115" t="n"/>
      <c r="M728" s="115" t="n"/>
      <c r="N728" s="115" t="n"/>
      <c r="O728" s="115" t="n"/>
      <c r="P728" s="115" t="n"/>
      <c r="Q728" s="115" t="n"/>
      <c r="R728" s="115" t="n"/>
      <c r="S728" s="115" t="n"/>
      <c r="T728" s="115" t="n"/>
      <c r="U728" s="116" t="n"/>
      <c r="V728" s="116" t="n"/>
      <c r="W728" s="117" t="n"/>
      <c r="X728" s="118" t="n"/>
      <c r="Y728" s="119" t="n"/>
      <c r="Z728" s="120" t="n"/>
      <c r="AA728" s="121" t="n"/>
      <c r="AB728" s="122" t="n"/>
      <c r="AC728" s="117" t="n"/>
      <c r="AD728" s="123">
        <f>IF(SUM($AE728:$AH728)=0,"",SUM($AE728:$AH728))</f>
        <v/>
      </c>
      <c r="AE728" s="123">
        <f>iferror(IF(SUM($AI728:$AZ728)=0,"",SUM($AI728:$AZ728)),"")</f>
        <v/>
      </c>
      <c r="AF728" s="123">
        <f>iferror(IF(SUM($BA728:$BC728)=0,"",SUM($BA728:$BC728)),"")</f>
        <v/>
      </c>
      <c r="AG728" s="123">
        <f>iferror(IF(SUM($BD728:$BF728)=0,"",SUM($BD728:$BF728)),"")</f>
        <v/>
      </c>
      <c r="AH728" s="124">
        <f>iferror(IF(SUM($BG728:$BI728)=0,"",SUM($BG728:$BI728)),"")</f>
        <v/>
      </c>
      <c r="AI728" s="131" t="n"/>
      <c r="AJ728" s="132" t="n"/>
      <c r="AK728" s="132" t="n"/>
      <c r="AL728" s="132" t="n"/>
      <c r="AM728" s="132" t="n"/>
      <c r="AN728" s="132" t="n"/>
      <c r="AO728" s="132" t="n"/>
      <c r="AP728" s="132" t="n"/>
      <c r="AQ728" s="132" t="n"/>
      <c r="AR728" s="132" t="n"/>
      <c r="AS728" s="132" t="n"/>
      <c r="AT728" s="132" t="n"/>
      <c r="AU728" s="132" t="n"/>
      <c r="AV728" s="132" t="n"/>
      <c r="AW728" s="132" t="n"/>
      <c r="AX728" s="132" t="n"/>
      <c r="AY728" s="132" t="n"/>
      <c r="AZ728" s="133" t="n"/>
      <c r="BA728" s="131" t="n"/>
      <c r="BB728" s="132" t="n"/>
      <c r="BC728" s="133" t="n"/>
      <c r="BD728" s="131" t="n"/>
      <c r="BE728" s="132" t="n"/>
      <c r="BF728" s="133" t="n"/>
      <c r="BG728" s="131" t="n"/>
      <c r="BH728" s="132" t="n"/>
      <c r="BI728" s="132" t="n"/>
      <c r="BJ728" s="128">
        <f>iferror(SUM($BK728,($BL728*1.2),($BM728*1.35),($BN728*0.74)),)</f>
        <v/>
      </c>
      <c r="BK728" s="128">
        <f>IFERROR(SUM($BT728:$CK728),)</f>
        <v/>
      </c>
      <c r="BL728" s="129">
        <f>IFERROR(SUM($CL728:$CN728),)</f>
        <v/>
      </c>
      <c r="BM728" s="130">
        <f>IFERROR(SUM($CO728:$CQ728),)</f>
        <v/>
      </c>
      <c r="BN728" s="128">
        <f>IFERROR(SUM($CR728:$CT728),)</f>
        <v/>
      </c>
      <c r="BO728" s="128">
        <f>iferror(SUM($BP728,($BQ728*1.2),($BR728*1.35),($BS728*0.74)),)</f>
        <v/>
      </c>
      <c r="BP728" s="128">
        <f>IFERROR(SUM($CU728:$DL728),)</f>
        <v/>
      </c>
      <c r="BQ728" s="128">
        <f>IFERROR(SUM($DM728:$DO728),)</f>
        <v/>
      </c>
      <c r="BR728" s="128">
        <f>IFERROR(SUM($DP728:$DR728),)</f>
        <v/>
      </c>
      <c r="BS728" s="128">
        <f>IFERROR(SUM($DS728:$DU728),)</f>
        <v/>
      </c>
      <c r="BT728" s="128">
        <f>IFERROR(AI728*$W728,)</f>
        <v/>
      </c>
      <c r="BU728" s="128">
        <f>IFERROR(AJ728*$W728,)</f>
        <v/>
      </c>
      <c r="BV728" s="128">
        <f>IFERROR(AK728*$W728,)</f>
        <v/>
      </c>
      <c r="BW728" s="128">
        <f>IFERROR(AL728*$W728,)</f>
        <v/>
      </c>
      <c r="BX728" s="128">
        <f>IFERROR(AM728*$W728,)</f>
        <v/>
      </c>
      <c r="BY728" s="128">
        <f>IFERROR(AN728*$W728,)</f>
        <v/>
      </c>
      <c r="BZ728" s="128">
        <f>IFERROR(AO728*$W728,)</f>
        <v/>
      </c>
      <c r="CA728" s="128">
        <f>IFERROR(AP728*$W728,)</f>
        <v/>
      </c>
      <c r="CB728" s="128">
        <f>IFERROR(AQ728*$W728,)</f>
        <v/>
      </c>
      <c r="CC728" s="128">
        <f>IFERROR(AR728*$W728,)</f>
        <v/>
      </c>
      <c r="CD728" s="128">
        <f>IFERROR(AS728*$W728,)</f>
        <v/>
      </c>
      <c r="CE728" s="128">
        <f>IFERROR(AT728*$W728,)</f>
        <v/>
      </c>
      <c r="CF728" s="128">
        <f>IFERROR(AU728*$W728,)</f>
        <v/>
      </c>
      <c r="CG728" s="128">
        <f>IFERROR(AV728*$W728,)</f>
        <v/>
      </c>
      <c r="CH728" s="128">
        <f>IFERROR(AW728*$W728,)</f>
        <v/>
      </c>
      <c r="CI728" s="128">
        <f>IFERROR(AX728*$W728,)</f>
        <v/>
      </c>
      <c r="CJ728" s="128">
        <f>IFERROR(AY728*$W728,)</f>
        <v/>
      </c>
      <c r="CK728" s="128">
        <f>IFERROR(AZ728*$W728,)</f>
        <v/>
      </c>
      <c r="CL728" s="129">
        <f>IFERROR(if($Y728=0,BA728*($W728/1.2),BA728*$Y728),"")</f>
        <v/>
      </c>
      <c r="CM728" s="129">
        <f>IFERROR(if($Y728=0,BB728*($W728/1.2),BB728*$Y728),"")</f>
        <v/>
      </c>
      <c r="CN728" s="129">
        <f>IFERROR(if($Y728=0,BC728*($W728/1.2),BC728*$Y728),"")</f>
        <v/>
      </c>
      <c r="CO728" s="130">
        <f>IFERROR(if($AA728=0,($W728/1.35)*BD728,BD728*$AA728),)</f>
        <v/>
      </c>
      <c r="CP728" s="130">
        <f>IFERROR(if($AA728=0,($W728/1.35)*BE728,BE728*$AA728),)</f>
        <v/>
      </c>
      <c r="CQ728" s="130">
        <f>IFERROR(if($AA728=0,($W728/1.35)*BF728,BF728*$AA728),)</f>
        <v/>
      </c>
      <c r="CR728" s="128">
        <f>IFERROR(if($AC728=0,($W728/0.74)*BG728,
BG728*$AC728),)</f>
        <v/>
      </c>
      <c r="CS728" s="128">
        <f>IFERROR(if($AC728=0,($W728/0.74)*BH728,
BH728*$AC728),)</f>
        <v/>
      </c>
      <c r="CT728" s="128">
        <f>IFERROR(if($AC728=0,($W728/0.74)*BI728,
BI728*$AC728),)</f>
        <v/>
      </c>
      <c r="CU728" s="128">
        <f>IFERROR(AI728*$V728,)</f>
        <v/>
      </c>
      <c r="CV728" s="128">
        <f>IFERROR(AJ728*$V728,)</f>
        <v/>
      </c>
      <c r="CW728" s="128">
        <f>IFERROR(AK728*$V728,)</f>
        <v/>
      </c>
      <c r="CX728" s="128">
        <f>IFERROR(AL728*$V728,)</f>
        <v/>
      </c>
      <c r="CY728" s="128">
        <f>IFERROR(AM728*$V728,)</f>
        <v/>
      </c>
      <c r="CZ728" s="128">
        <f>IFERROR(AN728*$V728,)</f>
        <v/>
      </c>
      <c r="DA728" s="128">
        <f>IFERROR(AO728*$V728,)</f>
        <v/>
      </c>
      <c r="DB728" s="128">
        <f>IFERROR(AP728*$V728,)</f>
        <v/>
      </c>
      <c r="DC728" s="128">
        <f>IFERROR(AQ728*$V728,)</f>
        <v/>
      </c>
      <c r="DD728" s="128">
        <f>IFERROR(AR728*$V728,)</f>
        <v/>
      </c>
      <c r="DE728" s="128">
        <f>IFERROR(AS728*$V728,)</f>
        <v/>
      </c>
      <c r="DF728" s="128">
        <f>IFERROR(AT728*$V728,)</f>
        <v/>
      </c>
      <c r="DG728" s="128">
        <f>IFERROR(AU728*$V728,)</f>
        <v/>
      </c>
      <c r="DH728" s="128">
        <f>IFERROR(AV728*$V728,)</f>
        <v/>
      </c>
      <c r="DI728" s="128">
        <f>IFERROR(AW728*$V728,)</f>
        <v/>
      </c>
      <c r="DJ728" s="128">
        <f>IFERROR(AX728*$V728,)</f>
        <v/>
      </c>
      <c r="DK728" s="128">
        <f>IFERROR(AY728*$V728,)</f>
        <v/>
      </c>
      <c r="DL728" s="128">
        <f>IFERROR(AZ728*$V728,)</f>
        <v/>
      </c>
      <c r="DM728" s="129">
        <f>IFERROR(if($X728=0,($V728/1.2)*BA728,
BA728*$X728),)</f>
        <v/>
      </c>
      <c r="DN728" s="129">
        <f>IFERROR(if($X728=0,($V728/1.2)*BB728,
BB728*$X728),)</f>
        <v/>
      </c>
      <c r="DO728" s="129">
        <f>IFERROR(if($X728=0,($V728/1.2)*BC728,
BC728*$X728),)</f>
        <v/>
      </c>
      <c r="DP728" s="130">
        <f>IFERROR(if($Z728=0,($V728/1.35)*BD728,
BD728*$Z728),)</f>
        <v/>
      </c>
      <c r="DQ728" s="130">
        <f>IFERROR(if($Z728=0,($V728/1.35)*BE728,
BE728*$Z728),)</f>
        <v/>
      </c>
      <c r="DR728" s="130">
        <f>IFERROR(if($Z728=0,($V728/1.35)*BF728,
BF728*$Z728),)</f>
        <v/>
      </c>
      <c r="DS728" s="128">
        <f>IFERROR(IF($AB728=0,($V728/0.74)*BG728,
BG728*$AB728),)</f>
        <v/>
      </c>
      <c r="DT728" s="128">
        <f>IFERROR(IF($AB728=0,($V728/0.74)*BH728,
BH728*$AB728),)</f>
        <v/>
      </c>
      <c r="DU728" s="128">
        <f>IFERROR(IF($AB728=0,($V728/0.74)*BI728,
BI728*$AB728),)</f>
        <v/>
      </c>
    </row>
    <row r="729" ht="131.25" customHeight="1" s="162">
      <c r="A729" s="115" t="n"/>
      <c r="B729" s="115" t="n"/>
      <c r="C729" s="115" t="n"/>
      <c r="D729" s="115" t="n"/>
      <c r="E729" s="115" t="n"/>
      <c r="F729" s="115" t="n"/>
      <c r="G729" s="115" t="n"/>
      <c r="H729" s="115" t="n"/>
      <c r="I729" s="115" t="n"/>
      <c r="J729" s="115" t="n"/>
      <c r="K729" s="115" t="n"/>
      <c r="L729" s="115" t="n"/>
      <c r="M729" s="115" t="n"/>
      <c r="N729" s="115" t="n"/>
      <c r="O729" s="115" t="n"/>
      <c r="P729" s="115" t="n"/>
      <c r="Q729" s="115" t="n"/>
      <c r="R729" s="115" t="n"/>
      <c r="S729" s="115" t="n"/>
      <c r="T729" s="115" t="n"/>
      <c r="U729" s="116" t="n"/>
      <c r="V729" s="116" t="n"/>
      <c r="W729" s="117" t="n"/>
      <c r="X729" s="118" t="n"/>
      <c r="Y729" s="119" t="n"/>
      <c r="Z729" s="120" t="n"/>
      <c r="AA729" s="121" t="n"/>
      <c r="AB729" s="122" t="n"/>
      <c r="AC729" s="117" t="n"/>
      <c r="AD729" s="123">
        <f>IF(SUM($AE729:$AH729)=0,"",SUM($AE729:$AH729))</f>
        <v/>
      </c>
      <c r="AE729" s="123">
        <f>iferror(IF(SUM($AI729:$AZ729)=0,"",SUM($AI729:$AZ729)),"")</f>
        <v/>
      </c>
      <c r="AF729" s="123">
        <f>iferror(IF(SUM($BA729:$BC729)=0,"",SUM($BA729:$BC729)),"")</f>
        <v/>
      </c>
      <c r="AG729" s="123">
        <f>iferror(IF(SUM($BD729:$BF729)=0,"",SUM($BD729:$BF729)),"")</f>
        <v/>
      </c>
      <c r="AH729" s="124">
        <f>iferror(IF(SUM($BG729:$BI729)=0,"",SUM($BG729:$BI729)),"")</f>
        <v/>
      </c>
      <c r="AI729" s="131" t="n"/>
      <c r="AJ729" s="132" t="n"/>
      <c r="AK729" s="132" t="n"/>
      <c r="AL729" s="132" t="n"/>
      <c r="AM729" s="132" t="n"/>
      <c r="AN729" s="132" t="n"/>
      <c r="AO729" s="132" t="n"/>
      <c r="AP729" s="132" t="n"/>
      <c r="AQ729" s="132" t="n"/>
      <c r="AR729" s="132" t="n"/>
      <c r="AS729" s="132" t="n"/>
      <c r="AT729" s="132" t="n"/>
      <c r="AU729" s="132" t="n"/>
      <c r="AV729" s="132" t="n"/>
      <c r="AW729" s="132" t="n"/>
      <c r="AX729" s="132" t="n"/>
      <c r="AY729" s="132" t="n"/>
      <c r="AZ729" s="133" t="n"/>
      <c r="BA729" s="131" t="n"/>
      <c r="BB729" s="132" t="n"/>
      <c r="BC729" s="133" t="n"/>
      <c r="BD729" s="131" t="n"/>
      <c r="BE729" s="132" t="n"/>
      <c r="BF729" s="133" t="n"/>
      <c r="BG729" s="131" t="n"/>
      <c r="BH729" s="132" t="n"/>
      <c r="BI729" s="132" t="n"/>
      <c r="BJ729" s="128">
        <f>iferror(SUM($BK729,($BL729*1.2),($BM729*1.35),($BN729*0.74)),)</f>
        <v/>
      </c>
      <c r="BK729" s="128">
        <f>IFERROR(SUM($BT729:$CK729),)</f>
        <v/>
      </c>
      <c r="BL729" s="129">
        <f>IFERROR(SUM($CL729:$CN729),)</f>
        <v/>
      </c>
      <c r="BM729" s="130">
        <f>IFERROR(SUM($CO729:$CQ729),)</f>
        <v/>
      </c>
      <c r="BN729" s="128">
        <f>IFERROR(SUM($CR729:$CT729),)</f>
        <v/>
      </c>
      <c r="BO729" s="128">
        <f>iferror(SUM($BP729,($BQ729*1.2),($BR729*1.35),($BS729*0.74)),)</f>
        <v/>
      </c>
      <c r="BP729" s="128">
        <f>IFERROR(SUM($CU729:$DL729),)</f>
        <v/>
      </c>
      <c r="BQ729" s="128">
        <f>IFERROR(SUM($DM729:$DO729),)</f>
        <v/>
      </c>
      <c r="BR729" s="128">
        <f>IFERROR(SUM($DP729:$DR729),)</f>
        <v/>
      </c>
      <c r="BS729" s="128">
        <f>IFERROR(SUM($DS729:$DU729),)</f>
        <v/>
      </c>
      <c r="BT729" s="128">
        <f>IFERROR(AI729*$W729,)</f>
        <v/>
      </c>
      <c r="BU729" s="128">
        <f>IFERROR(AJ729*$W729,)</f>
        <v/>
      </c>
      <c r="BV729" s="128">
        <f>IFERROR(AK729*$W729,)</f>
        <v/>
      </c>
      <c r="BW729" s="128">
        <f>IFERROR(AL729*$W729,)</f>
        <v/>
      </c>
      <c r="BX729" s="128">
        <f>IFERROR(AM729*$W729,)</f>
        <v/>
      </c>
      <c r="BY729" s="128">
        <f>IFERROR(AN729*$W729,)</f>
        <v/>
      </c>
      <c r="BZ729" s="128">
        <f>IFERROR(AO729*$W729,)</f>
        <v/>
      </c>
      <c r="CA729" s="128">
        <f>IFERROR(AP729*$W729,)</f>
        <v/>
      </c>
      <c r="CB729" s="128">
        <f>IFERROR(AQ729*$W729,)</f>
        <v/>
      </c>
      <c r="CC729" s="128">
        <f>IFERROR(AR729*$W729,)</f>
        <v/>
      </c>
      <c r="CD729" s="128">
        <f>IFERROR(AS729*$W729,)</f>
        <v/>
      </c>
      <c r="CE729" s="128">
        <f>IFERROR(AT729*$W729,)</f>
        <v/>
      </c>
      <c r="CF729" s="128">
        <f>IFERROR(AU729*$W729,)</f>
        <v/>
      </c>
      <c r="CG729" s="128">
        <f>IFERROR(AV729*$W729,)</f>
        <v/>
      </c>
      <c r="CH729" s="128">
        <f>IFERROR(AW729*$W729,)</f>
        <v/>
      </c>
      <c r="CI729" s="128">
        <f>IFERROR(AX729*$W729,)</f>
        <v/>
      </c>
      <c r="CJ729" s="128">
        <f>IFERROR(AY729*$W729,)</f>
        <v/>
      </c>
      <c r="CK729" s="128">
        <f>IFERROR(AZ729*$W729,)</f>
        <v/>
      </c>
      <c r="CL729" s="129">
        <f>IFERROR(if($Y729=0,BA729*($W729/1.2),BA729*$Y729),"")</f>
        <v/>
      </c>
      <c r="CM729" s="129">
        <f>IFERROR(if($Y729=0,BB729*($W729/1.2),BB729*$Y729),"")</f>
        <v/>
      </c>
      <c r="CN729" s="129">
        <f>IFERROR(if($Y729=0,BC729*($W729/1.2),BC729*$Y729),"")</f>
        <v/>
      </c>
      <c r="CO729" s="130">
        <f>IFERROR(if($AA729=0,($W729/1.35)*BD729,BD729*$AA729),)</f>
        <v/>
      </c>
      <c r="CP729" s="130">
        <f>IFERROR(if($AA729=0,($W729/1.35)*BE729,BE729*$AA729),)</f>
        <v/>
      </c>
      <c r="CQ729" s="130">
        <f>IFERROR(if($AA729=0,($W729/1.35)*BF729,BF729*$AA729),)</f>
        <v/>
      </c>
      <c r="CR729" s="128">
        <f>IFERROR(if($AC729=0,($W729/0.74)*BG729,
BG729*$AC729),)</f>
        <v/>
      </c>
      <c r="CS729" s="128">
        <f>IFERROR(if($AC729=0,($W729/0.74)*BH729,
BH729*$AC729),)</f>
        <v/>
      </c>
      <c r="CT729" s="128">
        <f>IFERROR(if($AC729=0,($W729/0.74)*BI729,
BI729*$AC729),)</f>
        <v/>
      </c>
      <c r="CU729" s="128">
        <f>IFERROR(AI729*$V729,)</f>
        <v/>
      </c>
      <c r="CV729" s="128">
        <f>IFERROR(AJ729*$V729,)</f>
        <v/>
      </c>
      <c r="CW729" s="128">
        <f>IFERROR(AK729*$V729,)</f>
        <v/>
      </c>
      <c r="CX729" s="128">
        <f>IFERROR(AL729*$V729,)</f>
        <v/>
      </c>
      <c r="CY729" s="128">
        <f>IFERROR(AM729*$V729,)</f>
        <v/>
      </c>
      <c r="CZ729" s="128">
        <f>IFERROR(AN729*$V729,)</f>
        <v/>
      </c>
      <c r="DA729" s="128">
        <f>IFERROR(AO729*$V729,)</f>
        <v/>
      </c>
      <c r="DB729" s="128">
        <f>IFERROR(AP729*$V729,)</f>
        <v/>
      </c>
      <c r="DC729" s="128">
        <f>IFERROR(AQ729*$V729,)</f>
        <v/>
      </c>
      <c r="DD729" s="128">
        <f>IFERROR(AR729*$V729,)</f>
        <v/>
      </c>
      <c r="DE729" s="128">
        <f>IFERROR(AS729*$V729,)</f>
        <v/>
      </c>
      <c r="DF729" s="128">
        <f>IFERROR(AT729*$V729,)</f>
        <v/>
      </c>
      <c r="DG729" s="128">
        <f>IFERROR(AU729*$V729,)</f>
        <v/>
      </c>
      <c r="DH729" s="128">
        <f>IFERROR(AV729*$V729,)</f>
        <v/>
      </c>
      <c r="DI729" s="128">
        <f>IFERROR(AW729*$V729,)</f>
        <v/>
      </c>
      <c r="DJ729" s="128">
        <f>IFERROR(AX729*$V729,)</f>
        <v/>
      </c>
      <c r="DK729" s="128">
        <f>IFERROR(AY729*$V729,)</f>
        <v/>
      </c>
      <c r="DL729" s="128">
        <f>IFERROR(AZ729*$V729,)</f>
        <v/>
      </c>
      <c r="DM729" s="129">
        <f>IFERROR(if($X729=0,($V729/1.2)*BA729,
BA729*$X729),)</f>
        <v/>
      </c>
      <c r="DN729" s="129">
        <f>IFERROR(if($X729=0,($V729/1.2)*BB729,
BB729*$X729),)</f>
        <v/>
      </c>
      <c r="DO729" s="129">
        <f>IFERROR(if($X729=0,($V729/1.2)*BC729,
BC729*$X729),)</f>
        <v/>
      </c>
      <c r="DP729" s="130">
        <f>IFERROR(if($Z729=0,($V729/1.35)*BD729,
BD729*$Z729),)</f>
        <v/>
      </c>
      <c r="DQ729" s="130">
        <f>IFERROR(if($Z729=0,($V729/1.35)*BE729,
BE729*$Z729),)</f>
        <v/>
      </c>
      <c r="DR729" s="130">
        <f>IFERROR(if($Z729=0,($V729/1.35)*BF729,
BF729*$Z729),)</f>
        <v/>
      </c>
      <c r="DS729" s="128">
        <f>IFERROR(IF($AB729=0,($V729/0.74)*BG729,
BG729*$AB729),)</f>
        <v/>
      </c>
      <c r="DT729" s="128">
        <f>IFERROR(IF($AB729=0,($V729/0.74)*BH729,
BH729*$AB729),)</f>
        <v/>
      </c>
      <c r="DU729" s="128">
        <f>IFERROR(IF($AB729=0,($V729/0.74)*BI729,
BI729*$AB729),)</f>
        <v/>
      </c>
    </row>
    <row r="730" ht="131.25" customHeight="1" s="162">
      <c r="A730" s="115" t="n"/>
      <c r="B730" s="115" t="n"/>
      <c r="C730" s="115" t="n"/>
      <c r="D730" s="115" t="n"/>
      <c r="E730" s="115" t="n"/>
      <c r="F730" s="115" t="n"/>
      <c r="G730" s="115" t="n"/>
      <c r="H730" s="115" t="n"/>
      <c r="I730" s="115" t="n"/>
      <c r="J730" s="115" t="n"/>
      <c r="K730" s="115" t="n"/>
      <c r="L730" s="115" t="n"/>
      <c r="M730" s="115" t="n"/>
      <c r="N730" s="115" t="n"/>
      <c r="O730" s="115" t="n"/>
      <c r="P730" s="115" t="n"/>
      <c r="Q730" s="115" t="n"/>
      <c r="R730" s="115" t="n"/>
      <c r="S730" s="115" t="n"/>
      <c r="T730" s="115" t="n"/>
      <c r="U730" s="116" t="n"/>
      <c r="V730" s="116" t="n"/>
      <c r="W730" s="117" t="n"/>
      <c r="X730" s="118" t="n"/>
      <c r="Y730" s="119" t="n"/>
      <c r="Z730" s="120" t="n"/>
      <c r="AA730" s="121" t="n"/>
      <c r="AB730" s="122" t="n"/>
      <c r="AC730" s="117" t="n"/>
      <c r="AD730" s="123">
        <f>IF(SUM($AE730:$AH730)=0,"",SUM($AE730:$AH730))</f>
        <v/>
      </c>
      <c r="AE730" s="123">
        <f>iferror(IF(SUM($AI730:$AZ730)=0,"",SUM($AI730:$AZ730)),"")</f>
        <v/>
      </c>
      <c r="AF730" s="123">
        <f>iferror(IF(SUM($BA730:$BC730)=0,"",SUM($BA730:$BC730)),"")</f>
        <v/>
      </c>
      <c r="AG730" s="123">
        <f>iferror(IF(SUM($BD730:$BF730)=0,"",SUM($BD730:$BF730)),"")</f>
        <v/>
      </c>
      <c r="AH730" s="124">
        <f>iferror(IF(SUM($BG730:$BI730)=0,"",SUM($BG730:$BI730)),"")</f>
        <v/>
      </c>
      <c r="AI730" s="131" t="n"/>
      <c r="AJ730" s="132" t="n"/>
      <c r="AK730" s="132" t="n"/>
      <c r="AL730" s="132" t="n"/>
      <c r="AM730" s="132" t="n"/>
      <c r="AN730" s="132" t="n"/>
      <c r="AO730" s="132" t="n"/>
      <c r="AP730" s="132" t="n"/>
      <c r="AQ730" s="132" t="n"/>
      <c r="AR730" s="132" t="n"/>
      <c r="AS730" s="132" t="n"/>
      <c r="AT730" s="132" t="n"/>
      <c r="AU730" s="132" t="n"/>
      <c r="AV730" s="132" t="n"/>
      <c r="AW730" s="132" t="n"/>
      <c r="AX730" s="132" t="n"/>
      <c r="AY730" s="132" t="n"/>
      <c r="AZ730" s="133" t="n"/>
      <c r="BA730" s="131" t="n"/>
      <c r="BB730" s="132" t="n"/>
      <c r="BC730" s="133" t="n"/>
      <c r="BD730" s="131" t="n"/>
      <c r="BE730" s="132" t="n"/>
      <c r="BF730" s="133" t="n"/>
      <c r="BG730" s="131" t="n"/>
      <c r="BH730" s="132" t="n"/>
      <c r="BI730" s="132" t="n"/>
      <c r="BJ730" s="128">
        <f>iferror(SUM($BK730,($BL730*1.2),($BM730*1.35),($BN730*0.74)),)</f>
        <v/>
      </c>
      <c r="BK730" s="128">
        <f>IFERROR(SUM($BT730:$CK730),)</f>
        <v/>
      </c>
      <c r="BL730" s="129">
        <f>IFERROR(SUM($CL730:$CN730),)</f>
        <v/>
      </c>
      <c r="BM730" s="130">
        <f>IFERROR(SUM($CO730:$CQ730),)</f>
        <v/>
      </c>
      <c r="BN730" s="128">
        <f>IFERROR(SUM($CR730:$CT730),)</f>
        <v/>
      </c>
      <c r="BO730" s="128">
        <f>iferror(SUM($BP730,($BQ730*1.2),($BR730*1.35),($BS730*0.74)),)</f>
        <v/>
      </c>
      <c r="BP730" s="128">
        <f>IFERROR(SUM($CU730:$DL730),)</f>
        <v/>
      </c>
      <c r="BQ730" s="128">
        <f>IFERROR(SUM($DM730:$DO730),)</f>
        <v/>
      </c>
      <c r="BR730" s="128">
        <f>IFERROR(SUM($DP730:$DR730),)</f>
        <v/>
      </c>
      <c r="BS730" s="128">
        <f>IFERROR(SUM($DS730:$DU730),)</f>
        <v/>
      </c>
      <c r="BT730" s="128">
        <f>IFERROR(AI730*$W730,)</f>
        <v/>
      </c>
      <c r="BU730" s="128">
        <f>IFERROR(AJ730*$W730,)</f>
        <v/>
      </c>
      <c r="BV730" s="128">
        <f>IFERROR(AK730*$W730,)</f>
        <v/>
      </c>
      <c r="BW730" s="128">
        <f>IFERROR(AL730*$W730,)</f>
        <v/>
      </c>
      <c r="BX730" s="128">
        <f>IFERROR(AM730*$W730,)</f>
        <v/>
      </c>
      <c r="BY730" s="128">
        <f>IFERROR(AN730*$W730,)</f>
        <v/>
      </c>
      <c r="BZ730" s="128">
        <f>IFERROR(AO730*$W730,)</f>
        <v/>
      </c>
      <c r="CA730" s="128">
        <f>IFERROR(AP730*$W730,)</f>
        <v/>
      </c>
      <c r="CB730" s="128">
        <f>IFERROR(AQ730*$W730,)</f>
        <v/>
      </c>
      <c r="CC730" s="128">
        <f>IFERROR(AR730*$W730,)</f>
        <v/>
      </c>
      <c r="CD730" s="128">
        <f>IFERROR(AS730*$W730,)</f>
        <v/>
      </c>
      <c r="CE730" s="128">
        <f>IFERROR(AT730*$W730,)</f>
        <v/>
      </c>
      <c r="CF730" s="128">
        <f>IFERROR(AU730*$W730,)</f>
        <v/>
      </c>
      <c r="CG730" s="128">
        <f>IFERROR(AV730*$W730,)</f>
        <v/>
      </c>
      <c r="CH730" s="128">
        <f>IFERROR(AW730*$W730,)</f>
        <v/>
      </c>
      <c r="CI730" s="128">
        <f>IFERROR(AX730*$W730,)</f>
        <v/>
      </c>
      <c r="CJ730" s="128">
        <f>IFERROR(AY730*$W730,)</f>
        <v/>
      </c>
      <c r="CK730" s="128">
        <f>IFERROR(AZ730*$W730,)</f>
        <v/>
      </c>
      <c r="CL730" s="129">
        <f>IFERROR(if($Y730=0,BA730*($W730/1.2),BA730*$Y730),"")</f>
        <v/>
      </c>
      <c r="CM730" s="129">
        <f>IFERROR(if($Y730=0,BB730*($W730/1.2),BB730*$Y730),"")</f>
        <v/>
      </c>
      <c r="CN730" s="129">
        <f>IFERROR(if($Y730=0,BC730*($W730/1.2),BC730*$Y730),"")</f>
        <v/>
      </c>
      <c r="CO730" s="130">
        <f>IFERROR(if($AA730=0,($W730/1.35)*BD730,BD730*$AA730),)</f>
        <v/>
      </c>
      <c r="CP730" s="130">
        <f>IFERROR(if($AA730=0,($W730/1.35)*BE730,BE730*$AA730),)</f>
        <v/>
      </c>
      <c r="CQ730" s="130">
        <f>IFERROR(if($AA730=0,($W730/1.35)*BF730,BF730*$AA730),)</f>
        <v/>
      </c>
      <c r="CR730" s="128">
        <f>IFERROR(if($AC730=0,($W730/0.74)*BG730,
BG730*$AC730),)</f>
        <v/>
      </c>
      <c r="CS730" s="128">
        <f>IFERROR(if($AC730=0,($W730/0.74)*BH730,
BH730*$AC730),)</f>
        <v/>
      </c>
      <c r="CT730" s="128">
        <f>IFERROR(if($AC730=0,($W730/0.74)*BI730,
BI730*$AC730),)</f>
        <v/>
      </c>
      <c r="CU730" s="128">
        <f>IFERROR(AI730*$V730,)</f>
        <v/>
      </c>
      <c r="CV730" s="128">
        <f>IFERROR(AJ730*$V730,)</f>
        <v/>
      </c>
      <c r="CW730" s="128">
        <f>IFERROR(AK730*$V730,)</f>
        <v/>
      </c>
      <c r="CX730" s="128">
        <f>IFERROR(AL730*$V730,)</f>
        <v/>
      </c>
      <c r="CY730" s="128">
        <f>IFERROR(AM730*$V730,)</f>
        <v/>
      </c>
      <c r="CZ730" s="128">
        <f>IFERROR(AN730*$V730,)</f>
        <v/>
      </c>
      <c r="DA730" s="128">
        <f>IFERROR(AO730*$V730,)</f>
        <v/>
      </c>
      <c r="DB730" s="128">
        <f>IFERROR(AP730*$V730,)</f>
        <v/>
      </c>
      <c r="DC730" s="128">
        <f>IFERROR(AQ730*$V730,)</f>
        <v/>
      </c>
      <c r="DD730" s="128">
        <f>IFERROR(AR730*$V730,)</f>
        <v/>
      </c>
      <c r="DE730" s="128">
        <f>IFERROR(AS730*$V730,)</f>
        <v/>
      </c>
      <c r="DF730" s="128">
        <f>IFERROR(AT730*$V730,)</f>
        <v/>
      </c>
      <c r="DG730" s="128">
        <f>IFERROR(AU730*$V730,)</f>
        <v/>
      </c>
      <c r="DH730" s="128">
        <f>IFERROR(AV730*$V730,)</f>
        <v/>
      </c>
      <c r="DI730" s="128">
        <f>IFERROR(AW730*$V730,)</f>
        <v/>
      </c>
      <c r="DJ730" s="128">
        <f>IFERROR(AX730*$V730,)</f>
        <v/>
      </c>
      <c r="DK730" s="128">
        <f>IFERROR(AY730*$V730,)</f>
        <v/>
      </c>
      <c r="DL730" s="128">
        <f>IFERROR(AZ730*$V730,)</f>
        <v/>
      </c>
      <c r="DM730" s="129">
        <f>IFERROR(if($X730=0,($V730/1.2)*BA730,
BA730*$X730),)</f>
        <v/>
      </c>
      <c r="DN730" s="129">
        <f>IFERROR(if($X730=0,($V730/1.2)*BB730,
BB730*$X730),)</f>
        <v/>
      </c>
      <c r="DO730" s="129">
        <f>IFERROR(if($X730=0,($V730/1.2)*BC730,
BC730*$X730),)</f>
        <v/>
      </c>
      <c r="DP730" s="130">
        <f>IFERROR(if($Z730=0,($V730/1.35)*BD730,
BD730*$Z730),)</f>
        <v/>
      </c>
      <c r="DQ730" s="130">
        <f>IFERROR(if($Z730=0,($V730/1.35)*BE730,
BE730*$Z730),)</f>
        <v/>
      </c>
      <c r="DR730" s="130">
        <f>IFERROR(if($Z730=0,($V730/1.35)*BF730,
BF730*$Z730),)</f>
        <v/>
      </c>
      <c r="DS730" s="128">
        <f>IFERROR(IF($AB730=0,($V730/0.74)*BG730,
BG730*$AB730),)</f>
        <v/>
      </c>
      <c r="DT730" s="128">
        <f>IFERROR(IF($AB730=0,($V730/0.74)*BH730,
BH730*$AB730),)</f>
        <v/>
      </c>
      <c r="DU730" s="128">
        <f>IFERROR(IF($AB730=0,($V730/0.74)*BI730,
BI730*$AB730),)</f>
        <v/>
      </c>
    </row>
    <row r="731" ht="131.25" customHeight="1" s="162">
      <c r="A731" s="115" t="n"/>
      <c r="B731" s="115" t="n"/>
      <c r="C731" s="115" t="n"/>
      <c r="D731" s="115" t="n"/>
      <c r="E731" s="115" t="n"/>
      <c r="F731" s="115" t="n"/>
      <c r="G731" s="115" t="n"/>
      <c r="H731" s="115" t="n"/>
      <c r="I731" s="115" t="n"/>
      <c r="J731" s="115" t="n"/>
      <c r="K731" s="115" t="n"/>
      <c r="L731" s="115" t="n"/>
      <c r="M731" s="115" t="n"/>
      <c r="N731" s="115" t="n"/>
      <c r="O731" s="115" t="n"/>
      <c r="P731" s="115" t="n"/>
      <c r="Q731" s="115" t="n"/>
      <c r="R731" s="115" t="n"/>
      <c r="S731" s="115" t="n"/>
      <c r="T731" s="115" t="n"/>
      <c r="U731" s="116" t="n"/>
      <c r="V731" s="116" t="n"/>
      <c r="W731" s="117" t="n"/>
      <c r="X731" s="118" t="n"/>
      <c r="Y731" s="119" t="n"/>
      <c r="Z731" s="120" t="n"/>
      <c r="AA731" s="121" t="n"/>
      <c r="AB731" s="122" t="n"/>
      <c r="AC731" s="117" t="n"/>
      <c r="AD731" s="123">
        <f>IF(SUM($AE731:$AH731)=0,"",SUM($AE731:$AH731))</f>
        <v/>
      </c>
      <c r="AE731" s="123">
        <f>iferror(IF(SUM($AI731:$AZ731)=0,"",SUM($AI731:$AZ731)),"")</f>
        <v/>
      </c>
      <c r="AF731" s="123">
        <f>iferror(IF(SUM($BA731:$BC731)=0,"",SUM($BA731:$BC731)),"")</f>
        <v/>
      </c>
      <c r="AG731" s="123">
        <f>iferror(IF(SUM($BD731:$BF731)=0,"",SUM($BD731:$BF731)),"")</f>
        <v/>
      </c>
      <c r="AH731" s="124">
        <f>iferror(IF(SUM($BG731:$BI731)=0,"",SUM($BG731:$BI731)),"")</f>
        <v/>
      </c>
      <c r="AI731" s="131" t="n"/>
      <c r="AJ731" s="132" t="n"/>
      <c r="AK731" s="132" t="n"/>
      <c r="AL731" s="132" t="n"/>
      <c r="AM731" s="132" t="n"/>
      <c r="AN731" s="132" t="n"/>
      <c r="AO731" s="132" t="n"/>
      <c r="AP731" s="132" t="n"/>
      <c r="AQ731" s="132" t="n"/>
      <c r="AR731" s="132" t="n"/>
      <c r="AS731" s="132" t="n"/>
      <c r="AT731" s="132" t="n"/>
      <c r="AU731" s="132" t="n"/>
      <c r="AV731" s="132" t="n"/>
      <c r="AW731" s="132" t="n"/>
      <c r="AX731" s="132" t="n"/>
      <c r="AY731" s="132" t="n"/>
      <c r="AZ731" s="133" t="n"/>
      <c r="BA731" s="131" t="n"/>
      <c r="BB731" s="132" t="n"/>
      <c r="BC731" s="133" t="n"/>
      <c r="BD731" s="131" t="n"/>
      <c r="BE731" s="132" t="n"/>
      <c r="BF731" s="133" t="n"/>
      <c r="BG731" s="131" t="n"/>
      <c r="BH731" s="132" t="n"/>
      <c r="BI731" s="132" t="n"/>
      <c r="BJ731" s="128">
        <f>iferror(SUM($BK731,($BL731*1.2),($BM731*1.35),($BN731*0.74)),)</f>
        <v/>
      </c>
      <c r="BK731" s="128">
        <f>IFERROR(SUM($BT731:$CK731),)</f>
        <v/>
      </c>
      <c r="BL731" s="129">
        <f>IFERROR(SUM($CL731:$CN731),)</f>
        <v/>
      </c>
      <c r="BM731" s="130">
        <f>IFERROR(SUM($CO731:$CQ731),)</f>
        <v/>
      </c>
      <c r="BN731" s="128">
        <f>IFERROR(SUM($CR731:$CT731),)</f>
        <v/>
      </c>
      <c r="BO731" s="128">
        <f>iferror(SUM($BP731,($BQ731*1.2),($BR731*1.35),($BS731*0.74)),)</f>
        <v/>
      </c>
      <c r="BP731" s="128">
        <f>IFERROR(SUM($CU731:$DL731),)</f>
        <v/>
      </c>
      <c r="BQ731" s="128">
        <f>IFERROR(SUM($DM731:$DO731),)</f>
        <v/>
      </c>
      <c r="BR731" s="128">
        <f>IFERROR(SUM($DP731:$DR731),)</f>
        <v/>
      </c>
      <c r="BS731" s="128">
        <f>IFERROR(SUM($DS731:$DU731),)</f>
        <v/>
      </c>
      <c r="BT731" s="128">
        <f>IFERROR(AI731*$W731,)</f>
        <v/>
      </c>
      <c r="BU731" s="128">
        <f>IFERROR(AJ731*$W731,)</f>
        <v/>
      </c>
      <c r="BV731" s="128">
        <f>IFERROR(AK731*$W731,)</f>
        <v/>
      </c>
      <c r="BW731" s="128">
        <f>IFERROR(AL731*$W731,)</f>
        <v/>
      </c>
      <c r="BX731" s="128">
        <f>IFERROR(AM731*$W731,)</f>
        <v/>
      </c>
      <c r="BY731" s="128">
        <f>IFERROR(AN731*$W731,)</f>
        <v/>
      </c>
      <c r="BZ731" s="128">
        <f>IFERROR(AO731*$W731,)</f>
        <v/>
      </c>
      <c r="CA731" s="128">
        <f>IFERROR(AP731*$W731,)</f>
        <v/>
      </c>
      <c r="CB731" s="128">
        <f>IFERROR(AQ731*$W731,)</f>
        <v/>
      </c>
      <c r="CC731" s="128">
        <f>IFERROR(AR731*$W731,)</f>
        <v/>
      </c>
      <c r="CD731" s="128">
        <f>IFERROR(AS731*$W731,)</f>
        <v/>
      </c>
      <c r="CE731" s="128">
        <f>IFERROR(AT731*$W731,)</f>
        <v/>
      </c>
      <c r="CF731" s="128">
        <f>IFERROR(AU731*$W731,)</f>
        <v/>
      </c>
      <c r="CG731" s="128">
        <f>IFERROR(AV731*$W731,)</f>
        <v/>
      </c>
      <c r="CH731" s="128">
        <f>IFERROR(AW731*$W731,)</f>
        <v/>
      </c>
      <c r="CI731" s="128">
        <f>IFERROR(AX731*$W731,)</f>
        <v/>
      </c>
      <c r="CJ731" s="128">
        <f>IFERROR(AY731*$W731,)</f>
        <v/>
      </c>
      <c r="CK731" s="128">
        <f>IFERROR(AZ731*$W731,)</f>
        <v/>
      </c>
      <c r="CL731" s="129">
        <f>IFERROR(if($Y731=0,BA731*($W731/1.2),BA731*$Y731),"")</f>
        <v/>
      </c>
      <c r="CM731" s="129">
        <f>IFERROR(if($Y731=0,BB731*($W731/1.2),BB731*$Y731),"")</f>
        <v/>
      </c>
      <c r="CN731" s="129">
        <f>IFERROR(if($Y731=0,BC731*($W731/1.2),BC731*$Y731),"")</f>
        <v/>
      </c>
      <c r="CO731" s="130">
        <f>IFERROR(if($AA731=0,($W731/1.35)*BD731,BD731*$AA731),)</f>
        <v/>
      </c>
      <c r="CP731" s="130">
        <f>IFERROR(if($AA731=0,($W731/1.35)*BE731,BE731*$AA731),)</f>
        <v/>
      </c>
      <c r="CQ731" s="130">
        <f>IFERROR(if($AA731=0,($W731/1.35)*BF731,BF731*$AA731),)</f>
        <v/>
      </c>
      <c r="CR731" s="128">
        <f>IFERROR(if($AC731=0,($W731/0.74)*BG731,
BG731*$AC731),)</f>
        <v/>
      </c>
      <c r="CS731" s="128">
        <f>IFERROR(if($AC731=0,($W731/0.74)*BH731,
BH731*$AC731),)</f>
        <v/>
      </c>
      <c r="CT731" s="128">
        <f>IFERROR(if($AC731=0,($W731/0.74)*BI731,
BI731*$AC731),)</f>
        <v/>
      </c>
      <c r="CU731" s="128">
        <f>IFERROR(AI731*$V731,)</f>
        <v/>
      </c>
      <c r="CV731" s="128">
        <f>IFERROR(AJ731*$V731,)</f>
        <v/>
      </c>
      <c r="CW731" s="128">
        <f>IFERROR(AK731*$V731,)</f>
        <v/>
      </c>
      <c r="CX731" s="128">
        <f>IFERROR(AL731*$V731,)</f>
        <v/>
      </c>
      <c r="CY731" s="128">
        <f>IFERROR(AM731*$V731,)</f>
        <v/>
      </c>
      <c r="CZ731" s="128">
        <f>IFERROR(AN731*$V731,)</f>
        <v/>
      </c>
      <c r="DA731" s="128">
        <f>IFERROR(AO731*$V731,)</f>
        <v/>
      </c>
      <c r="DB731" s="128">
        <f>IFERROR(AP731*$V731,)</f>
        <v/>
      </c>
      <c r="DC731" s="128">
        <f>IFERROR(AQ731*$V731,)</f>
        <v/>
      </c>
      <c r="DD731" s="128">
        <f>IFERROR(AR731*$V731,)</f>
        <v/>
      </c>
      <c r="DE731" s="128">
        <f>IFERROR(AS731*$V731,)</f>
        <v/>
      </c>
      <c r="DF731" s="128">
        <f>IFERROR(AT731*$V731,)</f>
        <v/>
      </c>
      <c r="DG731" s="128">
        <f>IFERROR(AU731*$V731,)</f>
        <v/>
      </c>
      <c r="DH731" s="128">
        <f>IFERROR(AV731*$V731,)</f>
        <v/>
      </c>
      <c r="DI731" s="128">
        <f>IFERROR(AW731*$V731,)</f>
        <v/>
      </c>
      <c r="DJ731" s="128">
        <f>IFERROR(AX731*$V731,)</f>
        <v/>
      </c>
      <c r="DK731" s="128">
        <f>IFERROR(AY731*$V731,)</f>
        <v/>
      </c>
      <c r="DL731" s="128">
        <f>IFERROR(AZ731*$V731,)</f>
        <v/>
      </c>
      <c r="DM731" s="129">
        <f>IFERROR(if($X731=0,($V731/1.2)*BA731,
BA731*$X731),)</f>
        <v/>
      </c>
      <c r="DN731" s="129">
        <f>IFERROR(if($X731=0,($V731/1.2)*BB731,
BB731*$X731),)</f>
        <v/>
      </c>
      <c r="DO731" s="129">
        <f>IFERROR(if($X731=0,($V731/1.2)*BC731,
BC731*$X731),)</f>
        <v/>
      </c>
      <c r="DP731" s="130">
        <f>IFERROR(if($Z731=0,($V731/1.35)*BD731,
BD731*$Z731),)</f>
        <v/>
      </c>
      <c r="DQ731" s="130">
        <f>IFERROR(if($Z731=0,($V731/1.35)*BE731,
BE731*$Z731),)</f>
        <v/>
      </c>
      <c r="DR731" s="130">
        <f>IFERROR(if($Z731=0,($V731/1.35)*BF731,
BF731*$Z731),)</f>
        <v/>
      </c>
      <c r="DS731" s="128">
        <f>IFERROR(IF($AB731=0,($V731/0.74)*BG731,
BG731*$AB731),)</f>
        <v/>
      </c>
      <c r="DT731" s="128">
        <f>IFERROR(IF($AB731=0,($V731/0.74)*BH731,
BH731*$AB731),)</f>
        <v/>
      </c>
      <c r="DU731" s="128">
        <f>IFERROR(IF($AB731=0,($V731/0.74)*BI731,
BI731*$AB731),)</f>
        <v/>
      </c>
    </row>
    <row r="732" ht="131.25" customHeight="1" s="162">
      <c r="A732" s="115" t="n"/>
      <c r="B732" s="115" t="n"/>
      <c r="C732" s="115" t="n"/>
      <c r="D732" s="115" t="n"/>
      <c r="E732" s="115" t="n"/>
      <c r="F732" s="115" t="n"/>
      <c r="G732" s="115" t="n"/>
      <c r="H732" s="115" t="n"/>
      <c r="I732" s="115" t="n"/>
      <c r="J732" s="115" t="n"/>
      <c r="K732" s="115" t="n"/>
      <c r="L732" s="115" t="n"/>
      <c r="M732" s="115" t="n"/>
      <c r="N732" s="115" t="n"/>
      <c r="O732" s="115" t="n"/>
      <c r="P732" s="115" t="n"/>
      <c r="Q732" s="115" t="n"/>
      <c r="R732" s="115" t="n"/>
      <c r="S732" s="115" t="n"/>
      <c r="T732" s="115" t="n"/>
      <c r="U732" s="116" t="n"/>
      <c r="V732" s="116" t="n"/>
      <c r="W732" s="117" t="n"/>
      <c r="X732" s="118" t="n"/>
      <c r="Y732" s="119" t="n"/>
      <c r="Z732" s="120" t="n"/>
      <c r="AA732" s="121" t="n"/>
      <c r="AB732" s="122" t="n"/>
      <c r="AC732" s="117" t="n"/>
      <c r="AD732" s="123">
        <f>IF(SUM($AE732:$AH732)=0,"",SUM($AE732:$AH732))</f>
        <v/>
      </c>
      <c r="AE732" s="123">
        <f>iferror(IF(SUM($AI732:$AZ732)=0,"",SUM($AI732:$AZ732)),"")</f>
        <v/>
      </c>
      <c r="AF732" s="123">
        <f>iferror(IF(SUM($BA732:$BC732)=0,"",SUM($BA732:$BC732)),"")</f>
        <v/>
      </c>
      <c r="AG732" s="123">
        <f>iferror(IF(SUM($BD732:$BF732)=0,"",SUM($BD732:$BF732)),"")</f>
        <v/>
      </c>
      <c r="AH732" s="124">
        <f>iferror(IF(SUM($BG732:$BI732)=0,"",SUM($BG732:$BI732)),"")</f>
        <v/>
      </c>
      <c r="AI732" s="131" t="n"/>
      <c r="AJ732" s="132" t="n"/>
      <c r="AK732" s="132" t="n"/>
      <c r="AL732" s="132" t="n"/>
      <c r="AM732" s="132" t="n"/>
      <c r="AN732" s="132" t="n"/>
      <c r="AO732" s="132" t="n"/>
      <c r="AP732" s="132" t="n"/>
      <c r="AQ732" s="132" t="n"/>
      <c r="AR732" s="132" t="n"/>
      <c r="AS732" s="132" t="n"/>
      <c r="AT732" s="132" t="n"/>
      <c r="AU732" s="132" t="n"/>
      <c r="AV732" s="132" t="n"/>
      <c r="AW732" s="132" t="n"/>
      <c r="AX732" s="132" t="n"/>
      <c r="AY732" s="132" t="n"/>
      <c r="AZ732" s="133" t="n"/>
      <c r="BA732" s="131" t="n"/>
      <c r="BB732" s="132" t="n"/>
      <c r="BC732" s="133" t="n"/>
      <c r="BD732" s="131" t="n"/>
      <c r="BE732" s="132" t="n"/>
      <c r="BF732" s="133" t="n"/>
      <c r="BG732" s="131" t="n"/>
      <c r="BH732" s="132" t="n"/>
      <c r="BI732" s="132" t="n"/>
      <c r="BJ732" s="128">
        <f>iferror(SUM($BK732,($BL732*1.2),($BM732*1.35),($BN732*0.74)),)</f>
        <v/>
      </c>
      <c r="BK732" s="128">
        <f>IFERROR(SUM($BT732:$CK732),)</f>
        <v/>
      </c>
      <c r="BL732" s="129">
        <f>IFERROR(SUM($CL732:$CN732),)</f>
        <v/>
      </c>
      <c r="BM732" s="130">
        <f>IFERROR(SUM($CO732:$CQ732),)</f>
        <v/>
      </c>
      <c r="BN732" s="128">
        <f>IFERROR(SUM($CR732:$CT732),)</f>
        <v/>
      </c>
      <c r="BO732" s="128">
        <f>iferror(SUM($BP732,($BQ732*1.2),($BR732*1.35),($BS732*0.74)),)</f>
        <v/>
      </c>
      <c r="BP732" s="128">
        <f>IFERROR(SUM($CU732:$DL732),)</f>
        <v/>
      </c>
      <c r="BQ732" s="128">
        <f>IFERROR(SUM($DM732:$DO732),)</f>
        <v/>
      </c>
      <c r="BR732" s="128">
        <f>IFERROR(SUM($DP732:$DR732),)</f>
        <v/>
      </c>
      <c r="BS732" s="128">
        <f>IFERROR(SUM($DS732:$DU732),)</f>
        <v/>
      </c>
      <c r="BT732" s="128">
        <f>IFERROR(AI732*$W732,)</f>
        <v/>
      </c>
      <c r="BU732" s="128">
        <f>IFERROR(AJ732*$W732,)</f>
        <v/>
      </c>
      <c r="BV732" s="128">
        <f>IFERROR(AK732*$W732,)</f>
        <v/>
      </c>
      <c r="BW732" s="128">
        <f>IFERROR(AL732*$W732,)</f>
        <v/>
      </c>
      <c r="BX732" s="128">
        <f>IFERROR(AM732*$W732,)</f>
        <v/>
      </c>
      <c r="BY732" s="128">
        <f>IFERROR(AN732*$W732,)</f>
        <v/>
      </c>
      <c r="BZ732" s="128">
        <f>IFERROR(AO732*$W732,)</f>
        <v/>
      </c>
      <c r="CA732" s="128">
        <f>IFERROR(AP732*$W732,)</f>
        <v/>
      </c>
      <c r="CB732" s="128">
        <f>IFERROR(AQ732*$W732,)</f>
        <v/>
      </c>
      <c r="CC732" s="128">
        <f>IFERROR(AR732*$W732,)</f>
        <v/>
      </c>
      <c r="CD732" s="128">
        <f>IFERROR(AS732*$W732,)</f>
        <v/>
      </c>
      <c r="CE732" s="128">
        <f>IFERROR(AT732*$W732,)</f>
        <v/>
      </c>
      <c r="CF732" s="128">
        <f>IFERROR(AU732*$W732,)</f>
        <v/>
      </c>
      <c r="CG732" s="128">
        <f>IFERROR(AV732*$W732,)</f>
        <v/>
      </c>
      <c r="CH732" s="128">
        <f>IFERROR(AW732*$W732,)</f>
        <v/>
      </c>
      <c r="CI732" s="128">
        <f>IFERROR(AX732*$W732,)</f>
        <v/>
      </c>
      <c r="CJ732" s="128">
        <f>IFERROR(AY732*$W732,)</f>
        <v/>
      </c>
      <c r="CK732" s="128">
        <f>IFERROR(AZ732*$W732,)</f>
        <v/>
      </c>
      <c r="CL732" s="129">
        <f>IFERROR(if($Y732=0,BA732*($W732/1.2),BA732*$Y732),"")</f>
        <v/>
      </c>
      <c r="CM732" s="129">
        <f>IFERROR(if($Y732=0,BB732*($W732/1.2),BB732*$Y732),"")</f>
        <v/>
      </c>
      <c r="CN732" s="129">
        <f>IFERROR(if($Y732=0,BC732*($W732/1.2),BC732*$Y732),"")</f>
        <v/>
      </c>
      <c r="CO732" s="130">
        <f>IFERROR(if($AA732=0,($W732/1.35)*BD732,BD732*$AA732),)</f>
        <v/>
      </c>
      <c r="CP732" s="130">
        <f>IFERROR(if($AA732=0,($W732/1.35)*BE732,BE732*$AA732),)</f>
        <v/>
      </c>
      <c r="CQ732" s="130">
        <f>IFERROR(if($AA732=0,($W732/1.35)*BF732,BF732*$AA732),)</f>
        <v/>
      </c>
      <c r="CR732" s="128">
        <f>IFERROR(if($AC732=0,($W732/0.74)*BG732,
BG732*$AC732),)</f>
        <v/>
      </c>
      <c r="CS732" s="128">
        <f>IFERROR(if($AC732=0,($W732/0.74)*BH732,
BH732*$AC732),)</f>
        <v/>
      </c>
      <c r="CT732" s="128">
        <f>IFERROR(if($AC732=0,($W732/0.74)*BI732,
BI732*$AC732),)</f>
        <v/>
      </c>
      <c r="CU732" s="128">
        <f>IFERROR(AI732*$V732,)</f>
        <v/>
      </c>
      <c r="CV732" s="128">
        <f>IFERROR(AJ732*$V732,)</f>
        <v/>
      </c>
      <c r="CW732" s="128">
        <f>IFERROR(AK732*$V732,)</f>
        <v/>
      </c>
      <c r="CX732" s="128">
        <f>IFERROR(AL732*$V732,)</f>
        <v/>
      </c>
      <c r="CY732" s="128">
        <f>IFERROR(AM732*$V732,)</f>
        <v/>
      </c>
      <c r="CZ732" s="128">
        <f>IFERROR(AN732*$V732,)</f>
        <v/>
      </c>
      <c r="DA732" s="128">
        <f>IFERROR(AO732*$V732,)</f>
        <v/>
      </c>
      <c r="DB732" s="128">
        <f>IFERROR(AP732*$V732,)</f>
        <v/>
      </c>
      <c r="DC732" s="128">
        <f>IFERROR(AQ732*$V732,)</f>
        <v/>
      </c>
      <c r="DD732" s="128">
        <f>IFERROR(AR732*$V732,)</f>
        <v/>
      </c>
      <c r="DE732" s="128">
        <f>IFERROR(AS732*$V732,)</f>
        <v/>
      </c>
      <c r="DF732" s="128">
        <f>IFERROR(AT732*$V732,)</f>
        <v/>
      </c>
      <c r="DG732" s="128">
        <f>IFERROR(AU732*$V732,)</f>
        <v/>
      </c>
      <c r="DH732" s="128">
        <f>IFERROR(AV732*$V732,)</f>
        <v/>
      </c>
      <c r="DI732" s="128">
        <f>IFERROR(AW732*$V732,)</f>
        <v/>
      </c>
      <c r="DJ732" s="128">
        <f>IFERROR(AX732*$V732,)</f>
        <v/>
      </c>
      <c r="DK732" s="128">
        <f>IFERROR(AY732*$V732,)</f>
        <v/>
      </c>
      <c r="DL732" s="128">
        <f>IFERROR(AZ732*$V732,)</f>
        <v/>
      </c>
      <c r="DM732" s="129">
        <f>IFERROR(if($X732=0,($V732/1.2)*BA732,
BA732*$X732),)</f>
        <v/>
      </c>
      <c r="DN732" s="129">
        <f>IFERROR(if($X732=0,($V732/1.2)*BB732,
BB732*$X732),)</f>
        <v/>
      </c>
      <c r="DO732" s="129">
        <f>IFERROR(if($X732=0,($V732/1.2)*BC732,
BC732*$X732),)</f>
        <v/>
      </c>
      <c r="DP732" s="130">
        <f>IFERROR(if($Z732=0,($V732/1.35)*BD732,
BD732*$Z732),)</f>
        <v/>
      </c>
      <c r="DQ732" s="130">
        <f>IFERROR(if($Z732=0,($V732/1.35)*BE732,
BE732*$Z732),)</f>
        <v/>
      </c>
      <c r="DR732" s="130">
        <f>IFERROR(if($Z732=0,($V732/1.35)*BF732,
BF732*$Z732),)</f>
        <v/>
      </c>
      <c r="DS732" s="128">
        <f>IFERROR(IF($AB732=0,($V732/0.74)*BG732,
BG732*$AB732),)</f>
        <v/>
      </c>
      <c r="DT732" s="128">
        <f>IFERROR(IF($AB732=0,($V732/0.74)*BH732,
BH732*$AB732),)</f>
        <v/>
      </c>
      <c r="DU732" s="128">
        <f>IFERROR(IF($AB732=0,($V732/0.74)*BI732,
BI732*$AB732),)</f>
        <v/>
      </c>
    </row>
    <row r="733" ht="131.25" customHeight="1" s="162">
      <c r="A733" s="115" t="n"/>
      <c r="B733" s="115" t="n"/>
      <c r="C733" s="115" t="n"/>
      <c r="D733" s="115" t="n"/>
      <c r="E733" s="115" t="n"/>
      <c r="F733" s="115" t="n"/>
      <c r="G733" s="115" t="n"/>
      <c r="H733" s="115" t="n"/>
      <c r="I733" s="115" t="n"/>
      <c r="J733" s="115" t="n"/>
      <c r="K733" s="115" t="n"/>
      <c r="L733" s="115" t="n"/>
      <c r="M733" s="115" t="n"/>
      <c r="N733" s="115" t="n"/>
      <c r="O733" s="115" t="n"/>
      <c r="P733" s="115" t="n"/>
      <c r="Q733" s="115" t="n"/>
      <c r="R733" s="115" t="n"/>
      <c r="S733" s="115" t="n"/>
      <c r="T733" s="115" t="n"/>
      <c r="U733" s="116" t="n"/>
      <c r="V733" s="116" t="n"/>
      <c r="W733" s="117" t="n"/>
      <c r="X733" s="118" t="n"/>
      <c r="Y733" s="119" t="n"/>
      <c r="Z733" s="120" t="n"/>
      <c r="AA733" s="121" t="n"/>
      <c r="AB733" s="122" t="n"/>
      <c r="AC733" s="117" t="n"/>
      <c r="AD733" s="123">
        <f>IF(SUM($AE733:$AH733)=0,"",SUM($AE733:$AH733))</f>
        <v/>
      </c>
      <c r="AE733" s="123">
        <f>iferror(IF(SUM($AI733:$AZ733)=0,"",SUM($AI733:$AZ733)),"")</f>
        <v/>
      </c>
      <c r="AF733" s="123">
        <f>iferror(IF(SUM($BA733:$BC733)=0,"",SUM($BA733:$BC733)),"")</f>
        <v/>
      </c>
      <c r="AG733" s="123">
        <f>iferror(IF(SUM($BD733:$BF733)=0,"",SUM($BD733:$BF733)),"")</f>
        <v/>
      </c>
      <c r="AH733" s="124">
        <f>iferror(IF(SUM($BG733:$BI733)=0,"",SUM($BG733:$BI733)),"")</f>
        <v/>
      </c>
      <c r="AI733" s="131" t="n"/>
      <c r="AJ733" s="132" t="n"/>
      <c r="AK733" s="132" t="n"/>
      <c r="AL733" s="132" t="n"/>
      <c r="AM733" s="132" t="n"/>
      <c r="AN733" s="132" t="n"/>
      <c r="AO733" s="132" t="n"/>
      <c r="AP733" s="132" t="n"/>
      <c r="AQ733" s="132" t="n"/>
      <c r="AR733" s="132" t="n"/>
      <c r="AS733" s="132" t="n"/>
      <c r="AT733" s="132" t="n"/>
      <c r="AU733" s="132" t="n"/>
      <c r="AV733" s="132" t="n"/>
      <c r="AW733" s="132" t="n"/>
      <c r="AX733" s="132" t="n"/>
      <c r="AY733" s="132" t="n"/>
      <c r="AZ733" s="133" t="n"/>
      <c r="BA733" s="131" t="n"/>
      <c r="BB733" s="132" t="n"/>
      <c r="BC733" s="133" t="n"/>
      <c r="BD733" s="131" t="n"/>
      <c r="BE733" s="132" t="n"/>
      <c r="BF733" s="133" t="n"/>
      <c r="BG733" s="131" t="n"/>
      <c r="BH733" s="132" t="n"/>
      <c r="BI733" s="132" t="n"/>
      <c r="BJ733" s="128">
        <f>iferror(SUM($BK733,($BL733*1.2),($BM733*1.35),($BN733*0.74)),)</f>
        <v/>
      </c>
      <c r="BK733" s="128">
        <f>IFERROR(SUM($BT733:$CK733),)</f>
        <v/>
      </c>
      <c r="BL733" s="129">
        <f>IFERROR(SUM($CL733:$CN733),)</f>
        <v/>
      </c>
      <c r="BM733" s="130">
        <f>IFERROR(SUM($CO733:$CQ733),)</f>
        <v/>
      </c>
      <c r="BN733" s="128">
        <f>IFERROR(SUM($CR733:$CT733),)</f>
        <v/>
      </c>
      <c r="BO733" s="128">
        <f>iferror(SUM($BP733,($BQ733*1.2),($BR733*1.35),($BS733*0.74)),)</f>
        <v/>
      </c>
      <c r="BP733" s="128">
        <f>IFERROR(SUM($CU733:$DL733),)</f>
        <v/>
      </c>
      <c r="BQ733" s="128">
        <f>IFERROR(SUM($DM733:$DO733),)</f>
        <v/>
      </c>
      <c r="BR733" s="128">
        <f>IFERROR(SUM($DP733:$DR733),)</f>
        <v/>
      </c>
      <c r="BS733" s="128">
        <f>IFERROR(SUM($DS733:$DU733),)</f>
        <v/>
      </c>
      <c r="BT733" s="128">
        <f>IFERROR(AI733*$W733,)</f>
        <v/>
      </c>
      <c r="BU733" s="128">
        <f>IFERROR(AJ733*$W733,)</f>
        <v/>
      </c>
      <c r="BV733" s="128">
        <f>IFERROR(AK733*$W733,)</f>
        <v/>
      </c>
      <c r="BW733" s="128">
        <f>IFERROR(AL733*$W733,)</f>
        <v/>
      </c>
      <c r="BX733" s="128">
        <f>IFERROR(AM733*$W733,)</f>
        <v/>
      </c>
      <c r="BY733" s="128">
        <f>IFERROR(AN733*$W733,)</f>
        <v/>
      </c>
      <c r="BZ733" s="128">
        <f>IFERROR(AO733*$W733,)</f>
        <v/>
      </c>
      <c r="CA733" s="128">
        <f>IFERROR(AP733*$W733,)</f>
        <v/>
      </c>
      <c r="CB733" s="128">
        <f>IFERROR(AQ733*$W733,)</f>
        <v/>
      </c>
      <c r="CC733" s="128">
        <f>IFERROR(AR733*$W733,)</f>
        <v/>
      </c>
      <c r="CD733" s="128">
        <f>IFERROR(AS733*$W733,)</f>
        <v/>
      </c>
      <c r="CE733" s="128">
        <f>IFERROR(AT733*$W733,)</f>
        <v/>
      </c>
      <c r="CF733" s="128">
        <f>IFERROR(AU733*$W733,)</f>
        <v/>
      </c>
      <c r="CG733" s="128">
        <f>IFERROR(AV733*$W733,)</f>
        <v/>
      </c>
      <c r="CH733" s="128">
        <f>IFERROR(AW733*$W733,)</f>
        <v/>
      </c>
      <c r="CI733" s="128">
        <f>IFERROR(AX733*$W733,)</f>
        <v/>
      </c>
      <c r="CJ733" s="128">
        <f>IFERROR(AY733*$W733,)</f>
        <v/>
      </c>
      <c r="CK733" s="128">
        <f>IFERROR(AZ733*$W733,)</f>
        <v/>
      </c>
      <c r="CL733" s="129">
        <f>IFERROR(if($Y733=0,BA733*($W733/1.2),BA733*$Y733),"")</f>
        <v/>
      </c>
      <c r="CM733" s="129">
        <f>IFERROR(if($Y733=0,BB733*($W733/1.2),BB733*$Y733),"")</f>
        <v/>
      </c>
      <c r="CN733" s="129">
        <f>IFERROR(if($Y733=0,BC733*($W733/1.2),BC733*$Y733),"")</f>
        <v/>
      </c>
      <c r="CO733" s="130">
        <f>IFERROR(if($AA733=0,($W733/1.35)*BD733,BD733*$AA733),)</f>
        <v/>
      </c>
      <c r="CP733" s="130">
        <f>IFERROR(if($AA733=0,($W733/1.35)*BE733,BE733*$AA733),)</f>
        <v/>
      </c>
      <c r="CQ733" s="130">
        <f>IFERROR(if($AA733=0,($W733/1.35)*BF733,BF733*$AA733),)</f>
        <v/>
      </c>
      <c r="CR733" s="128">
        <f>IFERROR(if($AC733=0,($W733/0.74)*BG733,
BG733*$AC733),)</f>
        <v/>
      </c>
      <c r="CS733" s="128">
        <f>IFERROR(if($AC733=0,($W733/0.74)*BH733,
BH733*$AC733),)</f>
        <v/>
      </c>
      <c r="CT733" s="128">
        <f>IFERROR(if($AC733=0,($W733/0.74)*BI733,
BI733*$AC733),)</f>
        <v/>
      </c>
      <c r="CU733" s="128">
        <f>IFERROR(AI733*$V733,)</f>
        <v/>
      </c>
      <c r="CV733" s="128">
        <f>IFERROR(AJ733*$V733,)</f>
        <v/>
      </c>
      <c r="CW733" s="128">
        <f>IFERROR(AK733*$V733,)</f>
        <v/>
      </c>
      <c r="CX733" s="128">
        <f>IFERROR(AL733*$V733,)</f>
        <v/>
      </c>
      <c r="CY733" s="128">
        <f>IFERROR(AM733*$V733,)</f>
        <v/>
      </c>
      <c r="CZ733" s="128">
        <f>IFERROR(AN733*$V733,)</f>
        <v/>
      </c>
      <c r="DA733" s="128">
        <f>IFERROR(AO733*$V733,)</f>
        <v/>
      </c>
      <c r="DB733" s="128">
        <f>IFERROR(AP733*$V733,)</f>
        <v/>
      </c>
      <c r="DC733" s="128">
        <f>IFERROR(AQ733*$V733,)</f>
        <v/>
      </c>
      <c r="DD733" s="128">
        <f>IFERROR(AR733*$V733,)</f>
        <v/>
      </c>
      <c r="DE733" s="128">
        <f>IFERROR(AS733*$V733,)</f>
        <v/>
      </c>
      <c r="DF733" s="128">
        <f>IFERROR(AT733*$V733,)</f>
        <v/>
      </c>
      <c r="DG733" s="128">
        <f>IFERROR(AU733*$V733,)</f>
        <v/>
      </c>
      <c r="DH733" s="128">
        <f>IFERROR(AV733*$V733,)</f>
        <v/>
      </c>
      <c r="DI733" s="128">
        <f>IFERROR(AW733*$V733,)</f>
        <v/>
      </c>
      <c r="DJ733" s="128">
        <f>IFERROR(AX733*$V733,)</f>
        <v/>
      </c>
      <c r="DK733" s="128">
        <f>IFERROR(AY733*$V733,)</f>
        <v/>
      </c>
      <c r="DL733" s="128">
        <f>IFERROR(AZ733*$V733,)</f>
        <v/>
      </c>
      <c r="DM733" s="129">
        <f>IFERROR(if($X733=0,($V733/1.2)*BA733,
BA733*$X733),)</f>
        <v/>
      </c>
      <c r="DN733" s="129">
        <f>IFERROR(if($X733=0,($V733/1.2)*BB733,
BB733*$X733),)</f>
        <v/>
      </c>
      <c r="DO733" s="129">
        <f>IFERROR(if($X733=0,($V733/1.2)*BC733,
BC733*$X733),)</f>
        <v/>
      </c>
      <c r="DP733" s="130">
        <f>IFERROR(if($Z733=0,($V733/1.35)*BD733,
BD733*$Z733),)</f>
        <v/>
      </c>
      <c r="DQ733" s="130">
        <f>IFERROR(if($Z733=0,($V733/1.35)*BE733,
BE733*$Z733),)</f>
        <v/>
      </c>
      <c r="DR733" s="130">
        <f>IFERROR(if($Z733=0,($V733/1.35)*BF733,
BF733*$Z733),)</f>
        <v/>
      </c>
      <c r="DS733" s="128">
        <f>IFERROR(IF($AB733=0,($V733/0.74)*BG733,
BG733*$AB733),)</f>
        <v/>
      </c>
      <c r="DT733" s="128">
        <f>IFERROR(IF($AB733=0,($V733/0.74)*BH733,
BH733*$AB733),)</f>
        <v/>
      </c>
      <c r="DU733" s="128">
        <f>IFERROR(IF($AB733=0,($V733/0.74)*BI733,
BI733*$AB733),)</f>
        <v/>
      </c>
    </row>
    <row r="734" ht="131.25" customHeight="1" s="162">
      <c r="A734" s="115" t="n"/>
      <c r="B734" s="115" t="n"/>
      <c r="C734" s="115" t="n"/>
      <c r="D734" s="115" t="n"/>
      <c r="E734" s="115" t="n"/>
      <c r="F734" s="115" t="n"/>
      <c r="G734" s="115" t="n"/>
      <c r="H734" s="115" t="n"/>
      <c r="I734" s="115" t="n"/>
      <c r="J734" s="115" t="n"/>
      <c r="K734" s="115" t="n"/>
      <c r="L734" s="115" t="n"/>
      <c r="M734" s="115" t="n"/>
      <c r="N734" s="115" t="n"/>
      <c r="O734" s="115" t="n"/>
      <c r="P734" s="115" t="n"/>
      <c r="Q734" s="115" t="n"/>
      <c r="R734" s="115" t="n"/>
      <c r="S734" s="115" t="n"/>
      <c r="T734" s="115" t="n"/>
      <c r="U734" s="116" t="n"/>
      <c r="V734" s="116" t="n"/>
      <c r="W734" s="117" t="n"/>
      <c r="X734" s="118" t="n"/>
      <c r="Y734" s="119" t="n"/>
      <c r="Z734" s="120" t="n"/>
      <c r="AA734" s="121" t="n"/>
      <c r="AB734" s="122" t="n"/>
      <c r="AC734" s="117" t="n"/>
      <c r="AD734" s="123">
        <f>IF(SUM($AE734:$AH734)=0,"",SUM($AE734:$AH734))</f>
        <v/>
      </c>
      <c r="AE734" s="123">
        <f>iferror(IF(SUM($AI734:$AZ734)=0,"",SUM($AI734:$AZ734)),"")</f>
        <v/>
      </c>
      <c r="AF734" s="123">
        <f>iferror(IF(SUM($BA734:$BC734)=0,"",SUM($BA734:$BC734)),"")</f>
        <v/>
      </c>
      <c r="AG734" s="123">
        <f>iferror(IF(SUM($BD734:$BF734)=0,"",SUM($BD734:$BF734)),"")</f>
        <v/>
      </c>
      <c r="AH734" s="124">
        <f>iferror(IF(SUM($BG734:$BI734)=0,"",SUM($BG734:$BI734)),"")</f>
        <v/>
      </c>
      <c r="AI734" s="131" t="n"/>
      <c r="AJ734" s="132" t="n"/>
      <c r="AK734" s="132" t="n"/>
      <c r="AL734" s="132" t="n"/>
      <c r="AM734" s="132" t="n"/>
      <c r="AN734" s="132" t="n"/>
      <c r="AO734" s="132" t="n"/>
      <c r="AP734" s="132" t="n"/>
      <c r="AQ734" s="132" t="n"/>
      <c r="AR734" s="132" t="n"/>
      <c r="AS734" s="132" t="n"/>
      <c r="AT734" s="132" t="n"/>
      <c r="AU734" s="132" t="n"/>
      <c r="AV734" s="132" t="n"/>
      <c r="AW734" s="132" t="n"/>
      <c r="AX734" s="132" t="n"/>
      <c r="AY734" s="132" t="n"/>
      <c r="AZ734" s="133" t="n"/>
      <c r="BA734" s="131" t="n"/>
      <c r="BB734" s="132" t="n"/>
      <c r="BC734" s="133" t="n"/>
      <c r="BD734" s="131" t="n"/>
      <c r="BE734" s="132" t="n"/>
      <c r="BF734" s="133" t="n"/>
      <c r="BG734" s="131" t="n"/>
      <c r="BH734" s="132" t="n"/>
      <c r="BI734" s="132" t="n"/>
      <c r="BJ734" s="128">
        <f>iferror(SUM($BK734,($BL734*1.2),($BM734*1.35),($BN734*0.74)),)</f>
        <v/>
      </c>
      <c r="BK734" s="128">
        <f>IFERROR(SUM($BT734:$CK734),)</f>
        <v/>
      </c>
      <c r="BL734" s="129">
        <f>IFERROR(SUM($CL734:$CN734),)</f>
        <v/>
      </c>
      <c r="BM734" s="130">
        <f>IFERROR(SUM($CO734:$CQ734),)</f>
        <v/>
      </c>
      <c r="BN734" s="128">
        <f>IFERROR(SUM($CR734:$CT734),)</f>
        <v/>
      </c>
      <c r="BO734" s="128">
        <f>iferror(SUM($BP734,($BQ734*1.2),($BR734*1.35),($BS734*0.74)),)</f>
        <v/>
      </c>
      <c r="BP734" s="128">
        <f>IFERROR(SUM($CU734:$DL734),)</f>
        <v/>
      </c>
      <c r="BQ734" s="128">
        <f>IFERROR(SUM($DM734:$DO734),)</f>
        <v/>
      </c>
      <c r="BR734" s="128">
        <f>IFERROR(SUM($DP734:$DR734),)</f>
        <v/>
      </c>
      <c r="BS734" s="128">
        <f>IFERROR(SUM($DS734:$DU734),)</f>
        <v/>
      </c>
      <c r="BT734" s="128">
        <f>IFERROR(AI734*$W734,)</f>
        <v/>
      </c>
      <c r="BU734" s="128">
        <f>IFERROR(AJ734*$W734,)</f>
        <v/>
      </c>
      <c r="BV734" s="128">
        <f>IFERROR(AK734*$W734,)</f>
        <v/>
      </c>
      <c r="BW734" s="128">
        <f>IFERROR(AL734*$W734,)</f>
        <v/>
      </c>
      <c r="BX734" s="128">
        <f>IFERROR(AM734*$W734,)</f>
        <v/>
      </c>
      <c r="BY734" s="128">
        <f>IFERROR(AN734*$W734,)</f>
        <v/>
      </c>
      <c r="BZ734" s="128">
        <f>IFERROR(AO734*$W734,)</f>
        <v/>
      </c>
      <c r="CA734" s="128">
        <f>IFERROR(AP734*$W734,)</f>
        <v/>
      </c>
      <c r="CB734" s="128">
        <f>IFERROR(AQ734*$W734,)</f>
        <v/>
      </c>
      <c r="CC734" s="128">
        <f>IFERROR(AR734*$W734,)</f>
        <v/>
      </c>
      <c r="CD734" s="128">
        <f>IFERROR(AS734*$W734,)</f>
        <v/>
      </c>
      <c r="CE734" s="128">
        <f>IFERROR(AT734*$W734,)</f>
        <v/>
      </c>
      <c r="CF734" s="128">
        <f>IFERROR(AU734*$W734,)</f>
        <v/>
      </c>
      <c r="CG734" s="128">
        <f>IFERROR(AV734*$W734,)</f>
        <v/>
      </c>
      <c r="CH734" s="128">
        <f>IFERROR(AW734*$W734,)</f>
        <v/>
      </c>
      <c r="CI734" s="128">
        <f>IFERROR(AX734*$W734,)</f>
        <v/>
      </c>
      <c r="CJ734" s="128">
        <f>IFERROR(AY734*$W734,)</f>
        <v/>
      </c>
      <c r="CK734" s="128">
        <f>IFERROR(AZ734*$W734,)</f>
        <v/>
      </c>
      <c r="CL734" s="129">
        <f>IFERROR(if($Y734=0,BA734*($W734/1.2),BA734*$Y734),"")</f>
        <v/>
      </c>
      <c r="CM734" s="129">
        <f>IFERROR(if($Y734=0,BB734*($W734/1.2),BB734*$Y734),"")</f>
        <v/>
      </c>
      <c r="CN734" s="129">
        <f>IFERROR(if($Y734=0,BC734*($W734/1.2),BC734*$Y734),"")</f>
        <v/>
      </c>
      <c r="CO734" s="130">
        <f>IFERROR(if($AA734=0,($W734/1.35)*BD734,BD734*$AA734),)</f>
        <v/>
      </c>
      <c r="CP734" s="130">
        <f>IFERROR(if($AA734=0,($W734/1.35)*BE734,BE734*$AA734),)</f>
        <v/>
      </c>
      <c r="CQ734" s="130">
        <f>IFERROR(if($AA734=0,($W734/1.35)*BF734,BF734*$AA734),)</f>
        <v/>
      </c>
      <c r="CR734" s="128">
        <f>IFERROR(if($AC734=0,($W734/0.74)*BG734,
BG734*$AC734),)</f>
        <v/>
      </c>
      <c r="CS734" s="128">
        <f>IFERROR(if($AC734=0,($W734/0.74)*BH734,
BH734*$AC734),)</f>
        <v/>
      </c>
      <c r="CT734" s="128">
        <f>IFERROR(if($AC734=0,($W734/0.74)*BI734,
BI734*$AC734),)</f>
        <v/>
      </c>
      <c r="CU734" s="128">
        <f>IFERROR(AI734*$V734,)</f>
        <v/>
      </c>
      <c r="CV734" s="128">
        <f>IFERROR(AJ734*$V734,)</f>
        <v/>
      </c>
      <c r="CW734" s="128">
        <f>IFERROR(AK734*$V734,)</f>
        <v/>
      </c>
      <c r="CX734" s="128">
        <f>IFERROR(AL734*$V734,)</f>
        <v/>
      </c>
      <c r="CY734" s="128">
        <f>IFERROR(AM734*$V734,)</f>
        <v/>
      </c>
      <c r="CZ734" s="128">
        <f>IFERROR(AN734*$V734,)</f>
        <v/>
      </c>
      <c r="DA734" s="128">
        <f>IFERROR(AO734*$V734,)</f>
        <v/>
      </c>
      <c r="DB734" s="128">
        <f>IFERROR(AP734*$V734,)</f>
        <v/>
      </c>
      <c r="DC734" s="128">
        <f>IFERROR(AQ734*$V734,)</f>
        <v/>
      </c>
      <c r="DD734" s="128">
        <f>IFERROR(AR734*$V734,)</f>
        <v/>
      </c>
      <c r="DE734" s="128">
        <f>IFERROR(AS734*$V734,)</f>
        <v/>
      </c>
      <c r="DF734" s="128">
        <f>IFERROR(AT734*$V734,)</f>
        <v/>
      </c>
      <c r="DG734" s="128">
        <f>IFERROR(AU734*$V734,)</f>
        <v/>
      </c>
      <c r="DH734" s="128">
        <f>IFERROR(AV734*$V734,)</f>
        <v/>
      </c>
      <c r="DI734" s="128">
        <f>IFERROR(AW734*$V734,)</f>
        <v/>
      </c>
      <c r="DJ734" s="128">
        <f>IFERROR(AX734*$V734,)</f>
        <v/>
      </c>
      <c r="DK734" s="128">
        <f>IFERROR(AY734*$V734,)</f>
        <v/>
      </c>
      <c r="DL734" s="128">
        <f>IFERROR(AZ734*$V734,)</f>
        <v/>
      </c>
      <c r="DM734" s="129">
        <f>IFERROR(if($X734=0,($V734/1.2)*BA734,
BA734*$X734),)</f>
        <v/>
      </c>
      <c r="DN734" s="129">
        <f>IFERROR(if($X734=0,($V734/1.2)*BB734,
BB734*$X734),)</f>
        <v/>
      </c>
      <c r="DO734" s="129">
        <f>IFERROR(if($X734=0,($V734/1.2)*BC734,
BC734*$X734),)</f>
        <v/>
      </c>
      <c r="DP734" s="130">
        <f>IFERROR(if($Z734=0,($V734/1.35)*BD734,
BD734*$Z734),)</f>
        <v/>
      </c>
      <c r="DQ734" s="130">
        <f>IFERROR(if($Z734=0,($V734/1.35)*BE734,
BE734*$Z734),)</f>
        <v/>
      </c>
      <c r="DR734" s="130">
        <f>IFERROR(if($Z734=0,($V734/1.35)*BF734,
BF734*$Z734),)</f>
        <v/>
      </c>
      <c r="DS734" s="128">
        <f>IFERROR(IF($AB734=0,($V734/0.74)*BG734,
BG734*$AB734),)</f>
        <v/>
      </c>
      <c r="DT734" s="128">
        <f>IFERROR(IF($AB734=0,($V734/0.74)*BH734,
BH734*$AB734),)</f>
        <v/>
      </c>
      <c r="DU734" s="128">
        <f>IFERROR(IF($AB734=0,($V734/0.74)*BI734,
BI734*$AB734),)</f>
        <v/>
      </c>
    </row>
    <row r="735" ht="131.25" customHeight="1" s="162">
      <c r="A735" s="115" t="n"/>
      <c r="B735" s="115" t="n"/>
      <c r="C735" s="115" t="n"/>
      <c r="D735" s="115" t="n"/>
      <c r="E735" s="115" t="n"/>
      <c r="F735" s="115" t="n"/>
      <c r="G735" s="115" t="n"/>
      <c r="H735" s="115" t="n"/>
      <c r="I735" s="115" t="n"/>
      <c r="J735" s="115" t="n"/>
      <c r="K735" s="115" t="n"/>
      <c r="L735" s="115" t="n"/>
      <c r="M735" s="115" t="n"/>
      <c r="N735" s="115" t="n"/>
      <c r="O735" s="115" t="n"/>
      <c r="P735" s="115" t="n"/>
      <c r="Q735" s="115" t="n"/>
      <c r="R735" s="115" t="n"/>
      <c r="S735" s="115" t="n"/>
      <c r="T735" s="115" t="n"/>
      <c r="U735" s="116" t="n"/>
      <c r="V735" s="116" t="n"/>
      <c r="W735" s="117" t="n"/>
      <c r="X735" s="118" t="n"/>
      <c r="Y735" s="119" t="n"/>
      <c r="Z735" s="120" t="n"/>
      <c r="AA735" s="121" t="n"/>
      <c r="AB735" s="122" t="n"/>
      <c r="AC735" s="117" t="n"/>
      <c r="AD735" s="123">
        <f>IF(SUM($AE735:$AH735)=0,"",SUM($AE735:$AH735))</f>
        <v/>
      </c>
      <c r="AE735" s="123">
        <f>iferror(IF(SUM($AI735:$AZ735)=0,"",SUM($AI735:$AZ735)),"")</f>
        <v/>
      </c>
      <c r="AF735" s="123">
        <f>iferror(IF(SUM($BA735:$BC735)=0,"",SUM($BA735:$BC735)),"")</f>
        <v/>
      </c>
      <c r="AG735" s="123">
        <f>iferror(IF(SUM($BD735:$BF735)=0,"",SUM($BD735:$BF735)),"")</f>
        <v/>
      </c>
      <c r="AH735" s="124">
        <f>iferror(IF(SUM($BG735:$BI735)=0,"",SUM($BG735:$BI735)),"")</f>
        <v/>
      </c>
      <c r="AI735" s="131" t="n"/>
      <c r="AJ735" s="132" t="n"/>
      <c r="AK735" s="132" t="n"/>
      <c r="AL735" s="132" t="n"/>
      <c r="AM735" s="132" t="n"/>
      <c r="AN735" s="132" t="n"/>
      <c r="AO735" s="132" t="n"/>
      <c r="AP735" s="132" t="n"/>
      <c r="AQ735" s="132" t="n"/>
      <c r="AR735" s="132" t="n"/>
      <c r="AS735" s="132" t="n"/>
      <c r="AT735" s="132" t="n"/>
      <c r="AU735" s="132" t="n"/>
      <c r="AV735" s="132" t="n"/>
      <c r="AW735" s="132" t="n"/>
      <c r="AX735" s="132" t="n"/>
      <c r="AY735" s="132" t="n"/>
      <c r="AZ735" s="133" t="n"/>
      <c r="BA735" s="131" t="n"/>
      <c r="BB735" s="132" t="n"/>
      <c r="BC735" s="133" t="n"/>
      <c r="BD735" s="131" t="n"/>
      <c r="BE735" s="132" t="n"/>
      <c r="BF735" s="133" t="n"/>
      <c r="BG735" s="131" t="n"/>
      <c r="BH735" s="132" t="n"/>
      <c r="BI735" s="132" t="n"/>
      <c r="BJ735" s="128">
        <f>iferror(SUM($BK735,($BL735*1.2),($BM735*1.35),($BN735*0.74)),)</f>
        <v/>
      </c>
      <c r="BK735" s="128">
        <f>IFERROR(SUM($BT735:$CK735),)</f>
        <v/>
      </c>
      <c r="BL735" s="129">
        <f>IFERROR(SUM($CL735:$CN735),)</f>
        <v/>
      </c>
      <c r="BM735" s="130">
        <f>IFERROR(SUM($CO735:$CQ735),)</f>
        <v/>
      </c>
      <c r="BN735" s="128">
        <f>IFERROR(SUM($CR735:$CT735),)</f>
        <v/>
      </c>
      <c r="BO735" s="128">
        <f>iferror(SUM($BP735,($BQ735*1.2),($BR735*1.35),($BS735*0.74)),)</f>
        <v/>
      </c>
      <c r="BP735" s="128">
        <f>IFERROR(SUM($CU735:$DL735),)</f>
        <v/>
      </c>
      <c r="BQ735" s="128">
        <f>IFERROR(SUM($DM735:$DO735),)</f>
        <v/>
      </c>
      <c r="BR735" s="128">
        <f>IFERROR(SUM($DP735:$DR735),)</f>
        <v/>
      </c>
      <c r="BS735" s="128">
        <f>IFERROR(SUM($DS735:$DU735),)</f>
        <v/>
      </c>
      <c r="BT735" s="128">
        <f>IFERROR(AI735*$W735,)</f>
        <v/>
      </c>
      <c r="BU735" s="128">
        <f>IFERROR(AJ735*$W735,)</f>
        <v/>
      </c>
      <c r="BV735" s="128">
        <f>IFERROR(AK735*$W735,)</f>
        <v/>
      </c>
      <c r="BW735" s="128">
        <f>IFERROR(AL735*$W735,)</f>
        <v/>
      </c>
      <c r="BX735" s="128">
        <f>IFERROR(AM735*$W735,)</f>
        <v/>
      </c>
      <c r="BY735" s="128">
        <f>IFERROR(AN735*$W735,)</f>
        <v/>
      </c>
      <c r="BZ735" s="128">
        <f>IFERROR(AO735*$W735,)</f>
        <v/>
      </c>
      <c r="CA735" s="128">
        <f>IFERROR(AP735*$W735,)</f>
        <v/>
      </c>
      <c r="CB735" s="128">
        <f>IFERROR(AQ735*$W735,)</f>
        <v/>
      </c>
      <c r="CC735" s="128">
        <f>IFERROR(AR735*$W735,)</f>
        <v/>
      </c>
      <c r="CD735" s="128">
        <f>IFERROR(AS735*$W735,)</f>
        <v/>
      </c>
      <c r="CE735" s="128">
        <f>IFERROR(AT735*$W735,)</f>
        <v/>
      </c>
      <c r="CF735" s="128">
        <f>IFERROR(AU735*$W735,)</f>
        <v/>
      </c>
      <c r="CG735" s="128">
        <f>IFERROR(AV735*$W735,)</f>
        <v/>
      </c>
      <c r="CH735" s="128">
        <f>IFERROR(AW735*$W735,)</f>
        <v/>
      </c>
      <c r="CI735" s="128">
        <f>IFERROR(AX735*$W735,)</f>
        <v/>
      </c>
      <c r="CJ735" s="128">
        <f>IFERROR(AY735*$W735,)</f>
        <v/>
      </c>
      <c r="CK735" s="128">
        <f>IFERROR(AZ735*$W735,)</f>
        <v/>
      </c>
      <c r="CL735" s="129">
        <f>IFERROR(if($Y735=0,BA735*($W735/1.2),BA735*$Y735),"")</f>
        <v/>
      </c>
      <c r="CM735" s="129">
        <f>IFERROR(if($Y735=0,BB735*($W735/1.2),BB735*$Y735),"")</f>
        <v/>
      </c>
      <c r="CN735" s="129">
        <f>IFERROR(if($Y735=0,BC735*($W735/1.2),BC735*$Y735),"")</f>
        <v/>
      </c>
      <c r="CO735" s="130">
        <f>IFERROR(if($AA735=0,($W735/1.35)*BD735,BD735*$AA735),)</f>
        <v/>
      </c>
      <c r="CP735" s="130">
        <f>IFERROR(if($AA735=0,($W735/1.35)*BE735,BE735*$AA735),)</f>
        <v/>
      </c>
      <c r="CQ735" s="130">
        <f>IFERROR(if($AA735=0,($W735/1.35)*BF735,BF735*$AA735),)</f>
        <v/>
      </c>
      <c r="CR735" s="128">
        <f>IFERROR(if($AC735=0,($W735/0.74)*BG735,
BG735*$AC735),)</f>
        <v/>
      </c>
      <c r="CS735" s="128">
        <f>IFERROR(if($AC735=0,($W735/0.74)*BH735,
BH735*$AC735),)</f>
        <v/>
      </c>
      <c r="CT735" s="128">
        <f>IFERROR(if($AC735=0,($W735/0.74)*BI735,
BI735*$AC735),)</f>
        <v/>
      </c>
      <c r="CU735" s="128">
        <f>IFERROR(AI735*$V735,)</f>
        <v/>
      </c>
      <c r="CV735" s="128">
        <f>IFERROR(AJ735*$V735,)</f>
        <v/>
      </c>
      <c r="CW735" s="128">
        <f>IFERROR(AK735*$V735,)</f>
        <v/>
      </c>
      <c r="CX735" s="128">
        <f>IFERROR(AL735*$V735,)</f>
        <v/>
      </c>
      <c r="CY735" s="128">
        <f>IFERROR(AM735*$V735,)</f>
        <v/>
      </c>
      <c r="CZ735" s="128">
        <f>IFERROR(AN735*$V735,)</f>
        <v/>
      </c>
      <c r="DA735" s="128">
        <f>IFERROR(AO735*$V735,)</f>
        <v/>
      </c>
      <c r="DB735" s="128">
        <f>IFERROR(AP735*$V735,)</f>
        <v/>
      </c>
      <c r="DC735" s="128">
        <f>IFERROR(AQ735*$V735,)</f>
        <v/>
      </c>
      <c r="DD735" s="128">
        <f>IFERROR(AR735*$V735,)</f>
        <v/>
      </c>
      <c r="DE735" s="128">
        <f>IFERROR(AS735*$V735,)</f>
        <v/>
      </c>
      <c r="DF735" s="128">
        <f>IFERROR(AT735*$V735,)</f>
        <v/>
      </c>
      <c r="DG735" s="128">
        <f>IFERROR(AU735*$V735,)</f>
        <v/>
      </c>
      <c r="DH735" s="128">
        <f>IFERROR(AV735*$V735,)</f>
        <v/>
      </c>
      <c r="DI735" s="128">
        <f>IFERROR(AW735*$V735,)</f>
        <v/>
      </c>
      <c r="DJ735" s="128">
        <f>IFERROR(AX735*$V735,)</f>
        <v/>
      </c>
      <c r="DK735" s="128">
        <f>IFERROR(AY735*$V735,)</f>
        <v/>
      </c>
      <c r="DL735" s="128">
        <f>IFERROR(AZ735*$V735,)</f>
        <v/>
      </c>
      <c r="DM735" s="129">
        <f>IFERROR(if($X735=0,($V735/1.2)*BA735,
BA735*$X735),)</f>
        <v/>
      </c>
      <c r="DN735" s="129">
        <f>IFERROR(if($X735=0,($V735/1.2)*BB735,
BB735*$X735),)</f>
        <v/>
      </c>
      <c r="DO735" s="129">
        <f>IFERROR(if($X735=0,($V735/1.2)*BC735,
BC735*$X735),)</f>
        <v/>
      </c>
      <c r="DP735" s="130">
        <f>IFERROR(if($Z735=0,($V735/1.35)*BD735,
BD735*$Z735),)</f>
        <v/>
      </c>
      <c r="DQ735" s="130">
        <f>IFERROR(if($Z735=0,($V735/1.35)*BE735,
BE735*$Z735),)</f>
        <v/>
      </c>
      <c r="DR735" s="130">
        <f>IFERROR(if($Z735=0,($V735/1.35)*BF735,
BF735*$Z735),)</f>
        <v/>
      </c>
      <c r="DS735" s="128">
        <f>IFERROR(IF($AB735=0,($V735/0.74)*BG735,
BG735*$AB735),)</f>
        <v/>
      </c>
      <c r="DT735" s="128">
        <f>IFERROR(IF($AB735=0,($V735/0.74)*BH735,
BH735*$AB735),)</f>
        <v/>
      </c>
      <c r="DU735" s="128">
        <f>IFERROR(IF($AB735=0,($V735/0.74)*BI735,
BI735*$AB735),)</f>
        <v/>
      </c>
    </row>
    <row r="736" ht="131.25" customHeight="1" s="162">
      <c r="A736" s="115" t="n"/>
      <c r="B736" s="115" t="n"/>
      <c r="C736" s="115" t="n"/>
      <c r="D736" s="115" t="n"/>
      <c r="E736" s="115" t="n"/>
      <c r="F736" s="115" t="n"/>
      <c r="G736" s="115" t="n"/>
      <c r="H736" s="115" t="n"/>
      <c r="I736" s="115" t="n"/>
      <c r="J736" s="115" t="n"/>
      <c r="K736" s="115" t="n"/>
      <c r="L736" s="115" t="n"/>
      <c r="M736" s="115" t="n"/>
      <c r="N736" s="115" t="n"/>
      <c r="O736" s="115" t="n"/>
      <c r="P736" s="115" t="n"/>
      <c r="Q736" s="115" t="n"/>
      <c r="R736" s="115" t="n"/>
      <c r="S736" s="115" t="n"/>
      <c r="T736" s="115" t="n"/>
      <c r="U736" s="116" t="n"/>
      <c r="V736" s="116" t="n"/>
      <c r="W736" s="117" t="n"/>
      <c r="X736" s="118" t="n"/>
      <c r="Y736" s="119" t="n"/>
      <c r="Z736" s="120" t="n"/>
      <c r="AA736" s="121" t="n"/>
      <c r="AB736" s="122" t="n"/>
      <c r="AC736" s="117" t="n"/>
      <c r="AD736" s="123">
        <f>IF(SUM($AE736:$AH736)=0,"",SUM($AE736:$AH736))</f>
        <v/>
      </c>
      <c r="AE736" s="123">
        <f>iferror(IF(SUM($AI736:$AZ736)=0,"",SUM($AI736:$AZ736)),"")</f>
        <v/>
      </c>
      <c r="AF736" s="123">
        <f>iferror(IF(SUM($BA736:$BC736)=0,"",SUM($BA736:$BC736)),"")</f>
        <v/>
      </c>
      <c r="AG736" s="123">
        <f>iferror(IF(SUM($BD736:$BF736)=0,"",SUM($BD736:$BF736)),"")</f>
        <v/>
      </c>
      <c r="AH736" s="124">
        <f>iferror(IF(SUM($BG736:$BI736)=0,"",SUM($BG736:$BI736)),"")</f>
        <v/>
      </c>
      <c r="AI736" s="131" t="n"/>
      <c r="AJ736" s="132" t="n"/>
      <c r="AK736" s="132" t="n"/>
      <c r="AL736" s="132" t="n"/>
      <c r="AM736" s="132" t="n"/>
      <c r="AN736" s="132" t="n"/>
      <c r="AO736" s="132" t="n"/>
      <c r="AP736" s="132" t="n"/>
      <c r="AQ736" s="132" t="n"/>
      <c r="AR736" s="132" t="n"/>
      <c r="AS736" s="132" t="n"/>
      <c r="AT736" s="132" t="n"/>
      <c r="AU736" s="132" t="n"/>
      <c r="AV736" s="132" t="n"/>
      <c r="AW736" s="132" t="n"/>
      <c r="AX736" s="132" t="n"/>
      <c r="AY736" s="132" t="n"/>
      <c r="AZ736" s="133" t="n"/>
      <c r="BA736" s="131" t="n"/>
      <c r="BB736" s="132" t="n"/>
      <c r="BC736" s="133" t="n"/>
      <c r="BD736" s="131" t="n"/>
      <c r="BE736" s="132" t="n"/>
      <c r="BF736" s="133" t="n"/>
      <c r="BG736" s="131" t="n"/>
      <c r="BH736" s="132" t="n"/>
      <c r="BI736" s="132" t="n"/>
      <c r="BJ736" s="128">
        <f>iferror(SUM($BK736,($BL736*1.2),($BM736*1.35),($BN736*0.74)),)</f>
        <v/>
      </c>
      <c r="BK736" s="128">
        <f>IFERROR(SUM($BT736:$CK736),)</f>
        <v/>
      </c>
      <c r="BL736" s="129">
        <f>IFERROR(SUM($CL736:$CN736),)</f>
        <v/>
      </c>
      <c r="BM736" s="130">
        <f>IFERROR(SUM($CO736:$CQ736),)</f>
        <v/>
      </c>
      <c r="BN736" s="128">
        <f>IFERROR(SUM($CR736:$CT736),)</f>
        <v/>
      </c>
      <c r="BO736" s="128">
        <f>iferror(SUM($BP736,($BQ736*1.2),($BR736*1.35),($BS736*0.74)),)</f>
        <v/>
      </c>
      <c r="BP736" s="128">
        <f>IFERROR(SUM($CU736:$DL736),)</f>
        <v/>
      </c>
      <c r="BQ736" s="128">
        <f>IFERROR(SUM($DM736:$DO736),)</f>
        <v/>
      </c>
      <c r="BR736" s="128">
        <f>IFERROR(SUM($DP736:$DR736),)</f>
        <v/>
      </c>
      <c r="BS736" s="128">
        <f>IFERROR(SUM($DS736:$DU736),)</f>
        <v/>
      </c>
      <c r="BT736" s="128">
        <f>IFERROR(AI736*$W736,)</f>
        <v/>
      </c>
      <c r="BU736" s="128">
        <f>IFERROR(AJ736*$W736,)</f>
        <v/>
      </c>
      <c r="BV736" s="128">
        <f>IFERROR(AK736*$W736,)</f>
        <v/>
      </c>
      <c r="BW736" s="128">
        <f>IFERROR(AL736*$W736,)</f>
        <v/>
      </c>
      <c r="BX736" s="128">
        <f>IFERROR(AM736*$W736,)</f>
        <v/>
      </c>
      <c r="BY736" s="128">
        <f>IFERROR(AN736*$W736,)</f>
        <v/>
      </c>
      <c r="BZ736" s="128">
        <f>IFERROR(AO736*$W736,)</f>
        <v/>
      </c>
      <c r="CA736" s="128">
        <f>IFERROR(AP736*$W736,)</f>
        <v/>
      </c>
      <c r="CB736" s="128">
        <f>IFERROR(AQ736*$W736,)</f>
        <v/>
      </c>
      <c r="CC736" s="128">
        <f>IFERROR(AR736*$W736,)</f>
        <v/>
      </c>
      <c r="CD736" s="128">
        <f>IFERROR(AS736*$W736,)</f>
        <v/>
      </c>
      <c r="CE736" s="128">
        <f>IFERROR(AT736*$W736,)</f>
        <v/>
      </c>
      <c r="CF736" s="128">
        <f>IFERROR(AU736*$W736,)</f>
        <v/>
      </c>
      <c r="CG736" s="128">
        <f>IFERROR(AV736*$W736,)</f>
        <v/>
      </c>
      <c r="CH736" s="128">
        <f>IFERROR(AW736*$W736,)</f>
        <v/>
      </c>
      <c r="CI736" s="128">
        <f>IFERROR(AX736*$W736,)</f>
        <v/>
      </c>
      <c r="CJ736" s="128">
        <f>IFERROR(AY736*$W736,)</f>
        <v/>
      </c>
      <c r="CK736" s="128">
        <f>IFERROR(AZ736*$W736,)</f>
        <v/>
      </c>
      <c r="CL736" s="129">
        <f>IFERROR(if($Y736=0,BA736*($W736/1.2),BA736*$Y736),"")</f>
        <v/>
      </c>
      <c r="CM736" s="129">
        <f>IFERROR(if($Y736=0,BB736*($W736/1.2),BB736*$Y736),"")</f>
        <v/>
      </c>
      <c r="CN736" s="129">
        <f>IFERROR(if($Y736=0,BC736*($W736/1.2),BC736*$Y736),"")</f>
        <v/>
      </c>
      <c r="CO736" s="130">
        <f>IFERROR(if($AA736=0,($W736/1.35)*BD736,BD736*$AA736),)</f>
        <v/>
      </c>
      <c r="CP736" s="130">
        <f>IFERROR(if($AA736=0,($W736/1.35)*BE736,BE736*$AA736),)</f>
        <v/>
      </c>
      <c r="CQ736" s="130">
        <f>IFERROR(if($AA736=0,($W736/1.35)*BF736,BF736*$AA736),)</f>
        <v/>
      </c>
      <c r="CR736" s="128">
        <f>IFERROR(if($AC736=0,($W736/0.74)*BG736,
BG736*$AC736),)</f>
        <v/>
      </c>
      <c r="CS736" s="128">
        <f>IFERROR(if($AC736=0,($W736/0.74)*BH736,
BH736*$AC736),)</f>
        <v/>
      </c>
      <c r="CT736" s="128">
        <f>IFERROR(if($AC736=0,($W736/0.74)*BI736,
BI736*$AC736),)</f>
        <v/>
      </c>
      <c r="CU736" s="128">
        <f>IFERROR(AI736*$V736,)</f>
        <v/>
      </c>
      <c r="CV736" s="128">
        <f>IFERROR(AJ736*$V736,)</f>
        <v/>
      </c>
      <c r="CW736" s="128">
        <f>IFERROR(AK736*$V736,)</f>
        <v/>
      </c>
      <c r="CX736" s="128">
        <f>IFERROR(AL736*$V736,)</f>
        <v/>
      </c>
      <c r="CY736" s="128">
        <f>IFERROR(AM736*$V736,)</f>
        <v/>
      </c>
      <c r="CZ736" s="128">
        <f>IFERROR(AN736*$V736,)</f>
        <v/>
      </c>
      <c r="DA736" s="128">
        <f>IFERROR(AO736*$V736,)</f>
        <v/>
      </c>
      <c r="DB736" s="128">
        <f>IFERROR(AP736*$V736,)</f>
        <v/>
      </c>
      <c r="DC736" s="128">
        <f>IFERROR(AQ736*$V736,)</f>
        <v/>
      </c>
      <c r="DD736" s="128">
        <f>IFERROR(AR736*$V736,)</f>
        <v/>
      </c>
      <c r="DE736" s="128">
        <f>IFERROR(AS736*$V736,)</f>
        <v/>
      </c>
      <c r="DF736" s="128">
        <f>IFERROR(AT736*$V736,)</f>
        <v/>
      </c>
      <c r="DG736" s="128">
        <f>IFERROR(AU736*$V736,)</f>
        <v/>
      </c>
      <c r="DH736" s="128">
        <f>IFERROR(AV736*$V736,)</f>
        <v/>
      </c>
      <c r="DI736" s="128">
        <f>IFERROR(AW736*$V736,)</f>
        <v/>
      </c>
      <c r="DJ736" s="128">
        <f>IFERROR(AX736*$V736,)</f>
        <v/>
      </c>
      <c r="DK736" s="128">
        <f>IFERROR(AY736*$V736,)</f>
        <v/>
      </c>
      <c r="DL736" s="128">
        <f>IFERROR(AZ736*$V736,)</f>
        <v/>
      </c>
      <c r="DM736" s="129">
        <f>IFERROR(if($X736=0,($V736/1.2)*BA736,
BA736*$X736),)</f>
        <v/>
      </c>
      <c r="DN736" s="129">
        <f>IFERROR(if($X736=0,($V736/1.2)*BB736,
BB736*$X736),)</f>
        <v/>
      </c>
      <c r="DO736" s="129">
        <f>IFERROR(if($X736=0,($V736/1.2)*BC736,
BC736*$X736),)</f>
        <v/>
      </c>
      <c r="DP736" s="130">
        <f>IFERROR(if($Z736=0,($V736/1.35)*BD736,
BD736*$Z736),)</f>
        <v/>
      </c>
      <c r="DQ736" s="130">
        <f>IFERROR(if($Z736=0,($V736/1.35)*BE736,
BE736*$Z736),)</f>
        <v/>
      </c>
      <c r="DR736" s="130">
        <f>IFERROR(if($Z736=0,($V736/1.35)*BF736,
BF736*$Z736),)</f>
        <v/>
      </c>
      <c r="DS736" s="128">
        <f>IFERROR(IF($AB736=0,($V736/0.74)*BG736,
BG736*$AB736),)</f>
        <v/>
      </c>
      <c r="DT736" s="128">
        <f>IFERROR(IF($AB736=0,($V736/0.74)*BH736,
BH736*$AB736),)</f>
        <v/>
      </c>
      <c r="DU736" s="128">
        <f>IFERROR(IF($AB736=0,($V736/0.74)*BI736,
BI736*$AB736),)</f>
        <v/>
      </c>
    </row>
    <row r="737" ht="131.25" customHeight="1" s="162">
      <c r="A737" s="115" t="n"/>
      <c r="B737" s="115" t="n"/>
      <c r="C737" s="115" t="n"/>
      <c r="D737" s="115" t="n"/>
      <c r="E737" s="115" t="n"/>
      <c r="F737" s="115" t="n"/>
      <c r="G737" s="115" t="n"/>
      <c r="H737" s="115" t="n"/>
      <c r="I737" s="115" t="n"/>
      <c r="J737" s="115" t="n"/>
      <c r="K737" s="115" t="n"/>
      <c r="L737" s="115" t="n"/>
      <c r="M737" s="115" t="n"/>
      <c r="N737" s="115" t="n"/>
      <c r="O737" s="115" t="n"/>
      <c r="P737" s="115" t="n"/>
      <c r="Q737" s="115" t="n"/>
      <c r="R737" s="115" t="n"/>
      <c r="S737" s="115" t="n"/>
      <c r="T737" s="115" t="n"/>
      <c r="U737" s="116" t="n"/>
      <c r="V737" s="116" t="n"/>
      <c r="W737" s="117" t="n"/>
      <c r="X737" s="118" t="n"/>
      <c r="Y737" s="119" t="n"/>
      <c r="Z737" s="120" t="n"/>
      <c r="AA737" s="121" t="n"/>
      <c r="AB737" s="122" t="n"/>
      <c r="AC737" s="117" t="n"/>
      <c r="AD737" s="123">
        <f>IF(SUM($AE737:$AH737)=0,"",SUM($AE737:$AH737))</f>
        <v/>
      </c>
      <c r="AE737" s="123">
        <f>iferror(IF(SUM($AI737:$AZ737)=0,"",SUM($AI737:$AZ737)),"")</f>
        <v/>
      </c>
      <c r="AF737" s="123">
        <f>iferror(IF(SUM($BA737:$BC737)=0,"",SUM($BA737:$BC737)),"")</f>
        <v/>
      </c>
      <c r="AG737" s="123">
        <f>iferror(IF(SUM($BD737:$BF737)=0,"",SUM($BD737:$BF737)),"")</f>
        <v/>
      </c>
      <c r="AH737" s="124">
        <f>iferror(IF(SUM($BG737:$BI737)=0,"",SUM($BG737:$BI737)),"")</f>
        <v/>
      </c>
      <c r="AI737" s="131" t="n"/>
      <c r="AJ737" s="132" t="n"/>
      <c r="AK737" s="132" t="n"/>
      <c r="AL737" s="132" t="n"/>
      <c r="AM737" s="132" t="n"/>
      <c r="AN737" s="132" t="n"/>
      <c r="AO737" s="132" t="n"/>
      <c r="AP737" s="132" t="n"/>
      <c r="AQ737" s="132" t="n"/>
      <c r="AR737" s="132" t="n"/>
      <c r="AS737" s="132" t="n"/>
      <c r="AT737" s="132" t="n"/>
      <c r="AU737" s="132" t="n"/>
      <c r="AV737" s="132" t="n"/>
      <c r="AW737" s="132" t="n"/>
      <c r="AX737" s="132" t="n"/>
      <c r="AY737" s="132" t="n"/>
      <c r="AZ737" s="133" t="n"/>
      <c r="BA737" s="131" t="n"/>
      <c r="BB737" s="132" t="n"/>
      <c r="BC737" s="133" t="n"/>
      <c r="BD737" s="131" t="n"/>
      <c r="BE737" s="132" t="n"/>
      <c r="BF737" s="133" t="n"/>
      <c r="BG737" s="131" t="n"/>
      <c r="BH737" s="132" t="n"/>
      <c r="BI737" s="132" t="n"/>
      <c r="BJ737" s="128">
        <f>iferror(SUM($BK737,($BL737*1.2),($BM737*1.35),($BN737*0.74)),)</f>
        <v/>
      </c>
      <c r="BK737" s="128">
        <f>IFERROR(SUM($BT737:$CK737),)</f>
        <v/>
      </c>
      <c r="BL737" s="129">
        <f>IFERROR(SUM($CL737:$CN737),)</f>
        <v/>
      </c>
      <c r="BM737" s="130">
        <f>IFERROR(SUM($CO737:$CQ737),)</f>
        <v/>
      </c>
      <c r="BN737" s="128">
        <f>IFERROR(SUM($CR737:$CT737),)</f>
        <v/>
      </c>
      <c r="BO737" s="128">
        <f>iferror(SUM($BP737,($BQ737*1.2),($BR737*1.35),($BS737*0.74)),)</f>
        <v/>
      </c>
      <c r="BP737" s="128">
        <f>IFERROR(SUM($CU737:$DL737),)</f>
        <v/>
      </c>
      <c r="BQ737" s="128">
        <f>IFERROR(SUM($DM737:$DO737),)</f>
        <v/>
      </c>
      <c r="BR737" s="128">
        <f>IFERROR(SUM($DP737:$DR737),)</f>
        <v/>
      </c>
      <c r="BS737" s="128">
        <f>IFERROR(SUM($DS737:$DU737),)</f>
        <v/>
      </c>
      <c r="BT737" s="128">
        <f>IFERROR(AI737*$W737,)</f>
        <v/>
      </c>
      <c r="BU737" s="128">
        <f>IFERROR(AJ737*$W737,)</f>
        <v/>
      </c>
      <c r="BV737" s="128">
        <f>IFERROR(AK737*$W737,)</f>
        <v/>
      </c>
      <c r="BW737" s="128">
        <f>IFERROR(AL737*$W737,)</f>
        <v/>
      </c>
      <c r="BX737" s="128">
        <f>IFERROR(AM737*$W737,)</f>
        <v/>
      </c>
      <c r="BY737" s="128">
        <f>IFERROR(AN737*$W737,)</f>
        <v/>
      </c>
      <c r="BZ737" s="128">
        <f>IFERROR(AO737*$W737,)</f>
        <v/>
      </c>
      <c r="CA737" s="128">
        <f>IFERROR(AP737*$W737,)</f>
        <v/>
      </c>
      <c r="CB737" s="128">
        <f>IFERROR(AQ737*$W737,)</f>
        <v/>
      </c>
      <c r="CC737" s="128">
        <f>IFERROR(AR737*$W737,)</f>
        <v/>
      </c>
      <c r="CD737" s="128">
        <f>IFERROR(AS737*$W737,)</f>
        <v/>
      </c>
      <c r="CE737" s="128">
        <f>IFERROR(AT737*$W737,)</f>
        <v/>
      </c>
      <c r="CF737" s="128">
        <f>IFERROR(AU737*$W737,)</f>
        <v/>
      </c>
      <c r="CG737" s="128">
        <f>IFERROR(AV737*$W737,)</f>
        <v/>
      </c>
      <c r="CH737" s="128">
        <f>IFERROR(AW737*$W737,)</f>
        <v/>
      </c>
      <c r="CI737" s="128">
        <f>IFERROR(AX737*$W737,)</f>
        <v/>
      </c>
      <c r="CJ737" s="128">
        <f>IFERROR(AY737*$W737,)</f>
        <v/>
      </c>
      <c r="CK737" s="128">
        <f>IFERROR(AZ737*$W737,)</f>
        <v/>
      </c>
      <c r="CL737" s="129">
        <f>IFERROR(if($Y737=0,BA737*($W737/1.2),BA737*$Y737),"")</f>
        <v/>
      </c>
      <c r="CM737" s="129">
        <f>IFERROR(if($Y737=0,BB737*($W737/1.2),BB737*$Y737),"")</f>
        <v/>
      </c>
      <c r="CN737" s="129">
        <f>IFERROR(if($Y737=0,BC737*($W737/1.2),BC737*$Y737),"")</f>
        <v/>
      </c>
      <c r="CO737" s="130">
        <f>IFERROR(if($AA737=0,($W737/1.35)*BD737,BD737*$AA737),)</f>
        <v/>
      </c>
      <c r="CP737" s="130">
        <f>IFERROR(if($AA737=0,($W737/1.35)*BE737,BE737*$AA737),)</f>
        <v/>
      </c>
      <c r="CQ737" s="130">
        <f>IFERROR(if($AA737=0,($W737/1.35)*BF737,BF737*$AA737),)</f>
        <v/>
      </c>
      <c r="CR737" s="128">
        <f>IFERROR(if($AC737=0,($W737/0.74)*BG737,
BG737*$AC737),)</f>
        <v/>
      </c>
      <c r="CS737" s="128">
        <f>IFERROR(if($AC737=0,($W737/0.74)*BH737,
BH737*$AC737),)</f>
        <v/>
      </c>
      <c r="CT737" s="128">
        <f>IFERROR(if($AC737=0,($W737/0.74)*BI737,
BI737*$AC737),)</f>
        <v/>
      </c>
      <c r="CU737" s="128">
        <f>IFERROR(AI737*$V737,)</f>
        <v/>
      </c>
      <c r="CV737" s="128">
        <f>IFERROR(AJ737*$V737,)</f>
        <v/>
      </c>
      <c r="CW737" s="128">
        <f>IFERROR(AK737*$V737,)</f>
        <v/>
      </c>
      <c r="CX737" s="128">
        <f>IFERROR(AL737*$V737,)</f>
        <v/>
      </c>
      <c r="CY737" s="128">
        <f>IFERROR(AM737*$V737,)</f>
        <v/>
      </c>
      <c r="CZ737" s="128">
        <f>IFERROR(AN737*$V737,)</f>
        <v/>
      </c>
      <c r="DA737" s="128">
        <f>IFERROR(AO737*$V737,)</f>
        <v/>
      </c>
      <c r="DB737" s="128">
        <f>IFERROR(AP737*$V737,)</f>
        <v/>
      </c>
      <c r="DC737" s="128">
        <f>IFERROR(AQ737*$V737,)</f>
        <v/>
      </c>
      <c r="DD737" s="128">
        <f>IFERROR(AR737*$V737,)</f>
        <v/>
      </c>
      <c r="DE737" s="128">
        <f>IFERROR(AS737*$V737,)</f>
        <v/>
      </c>
      <c r="DF737" s="128">
        <f>IFERROR(AT737*$V737,)</f>
        <v/>
      </c>
      <c r="DG737" s="128">
        <f>IFERROR(AU737*$V737,)</f>
        <v/>
      </c>
      <c r="DH737" s="128">
        <f>IFERROR(AV737*$V737,)</f>
        <v/>
      </c>
      <c r="DI737" s="128">
        <f>IFERROR(AW737*$V737,)</f>
        <v/>
      </c>
      <c r="DJ737" s="128">
        <f>IFERROR(AX737*$V737,)</f>
        <v/>
      </c>
      <c r="DK737" s="128">
        <f>IFERROR(AY737*$V737,)</f>
        <v/>
      </c>
      <c r="DL737" s="128">
        <f>IFERROR(AZ737*$V737,)</f>
        <v/>
      </c>
      <c r="DM737" s="129">
        <f>IFERROR(if($X737=0,($V737/1.2)*BA737,
BA737*$X737),)</f>
        <v/>
      </c>
      <c r="DN737" s="129">
        <f>IFERROR(if($X737=0,($V737/1.2)*BB737,
BB737*$X737),)</f>
        <v/>
      </c>
      <c r="DO737" s="129">
        <f>IFERROR(if($X737=0,($V737/1.2)*BC737,
BC737*$X737),)</f>
        <v/>
      </c>
      <c r="DP737" s="130">
        <f>IFERROR(if($Z737=0,($V737/1.35)*BD737,
BD737*$Z737),)</f>
        <v/>
      </c>
      <c r="DQ737" s="130">
        <f>IFERROR(if($Z737=0,($V737/1.35)*BE737,
BE737*$Z737),)</f>
        <v/>
      </c>
      <c r="DR737" s="130">
        <f>IFERROR(if($Z737=0,($V737/1.35)*BF737,
BF737*$Z737),)</f>
        <v/>
      </c>
      <c r="DS737" s="128">
        <f>IFERROR(IF($AB737=0,($V737/0.74)*BG737,
BG737*$AB737),)</f>
        <v/>
      </c>
      <c r="DT737" s="128">
        <f>IFERROR(IF($AB737=0,($V737/0.74)*BH737,
BH737*$AB737),)</f>
        <v/>
      </c>
      <c r="DU737" s="128">
        <f>IFERROR(IF($AB737=0,($V737/0.74)*BI737,
BI737*$AB737),)</f>
        <v/>
      </c>
    </row>
    <row r="738" ht="131.25" customHeight="1" s="162">
      <c r="A738" s="115" t="n"/>
      <c r="B738" s="115" t="n"/>
      <c r="C738" s="115" t="n"/>
      <c r="D738" s="115" t="n"/>
      <c r="E738" s="115" t="n"/>
      <c r="F738" s="115" t="n"/>
      <c r="G738" s="115" t="n"/>
      <c r="H738" s="115" t="n"/>
      <c r="I738" s="115" t="n"/>
      <c r="J738" s="115" t="n"/>
      <c r="K738" s="115" t="n"/>
      <c r="L738" s="115" t="n"/>
      <c r="M738" s="115" t="n"/>
      <c r="N738" s="115" t="n"/>
      <c r="O738" s="115" t="n"/>
      <c r="P738" s="115" t="n"/>
      <c r="Q738" s="115" t="n"/>
      <c r="R738" s="115" t="n"/>
      <c r="S738" s="115" t="n"/>
      <c r="T738" s="115" t="n"/>
      <c r="U738" s="116" t="n"/>
      <c r="V738" s="116" t="n"/>
      <c r="W738" s="117" t="n"/>
      <c r="X738" s="118" t="n"/>
      <c r="Y738" s="119" t="n"/>
      <c r="Z738" s="120" t="n"/>
      <c r="AA738" s="121" t="n"/>
      <c r="AB738" s="122" t="n"/>
      <c r="AC738" s="117" t="n"/>
      <c r="AD738" s="123">
        <f>IF(SUM($AE738:$AH738)=0,"",SUM($AE738:$AH738))</f>
        <v/>
      </c>
      <c r="AE738" s="123">
        <f>iferror(IF(SUM($AI738:$AZ738)=0,"",SUM($AI738:$AZ738)),"")</f>
        <v/>
      </c>
      <c r="AF738" s="123">
        <f>iferror(IF(SUM($BA738:$BC738)=0,"",SUM($BA738:$BC738)),"")</f>
        <v/>
      </c>
      <c r="AG738" s="123">
        <f>iferror(IF(SUM($BD738:$BF738)=0,"",SUM($BD738:$BF738)),"")</f>
        <v/>
      </c>
      <c r="AH738" s="124">
        <f>iferror(IF(SUM($BG738:$BI738)=0,"",SUM($BG738:$BI738)),"")</f>
        <v/>
      </c>
      <c r="AI738" s="131" t="n"/>
      <c r="AJ738" s="132" t="n"/>
      <c r="AK738" s="132" t="n"/>
      <c r="AL738" s="132" t="n"/>
      <c r="AM738" s="132" t="n"/>
      <c r="AN738" s="132" t="n"/>
      <c r="AO738" s="132" t="n"/>
      <c r="AP738" s="132" t="n"/>
      <c r="AQ738" s="132" t="n"/>
      <c r="AR738" s="132" t="n"/>
      <c r="AS738" s="132" t="n"/>
      <c r="AT738" s="132" t="n"/>
      <c r="AU738" s="132" t="n"/>
      <c r="AV738" s="132" t="n"/>
      <c r="AW738" s="132" t="n"/>
      <c r="AX738" s="132" t="n"/>
      <c r="AY738" s="132" t="n"/>
      <c r="AZ738" s="133" t="n"/>
      <c r="BA738" s="131" t="n"/>
      <c r="BB738" s="132" t="n"/>
      <c r="BC738" s="133" t="n"/>
      <c r="BD738" s="131" t="n"/>
      <c r="BE738" s="132" t="n"/>
      <c r="BF738" s="133" t="n"/>
      <c r="BG738" s="131" t="n"/>
      <c r="BH738" s="132" t="n"/>
      <c r="BI738" s="132" t="n"/>
      <c r="BJ738" s="128">
        <f>iferror(SUM($BK738,($BL738*1.2),($BM738*1.35),($BN738*0.74)),)</f>
        <v/>
      </c>
      <c r="BK738" s="128">
        <f>IFERROR(SUM($BT738:$CK738),)</f>
        <v/>
      </c>
      <c r="BL738" s="129">
        <f>IFERROR(SUM($CL738:$CN738),)</f>
        <v/>
      </c>
      <c r="BM738" s="130">
        <f>IFERROR(SUM($CO738:$CQ738),)</f>
        <v/>
      </c>
      <c r="BN738" s="128">
        <f>IFERROR(SUM($CR738:$CT738),)</f>
        <v/>
      </c>
      <c r="BO738" s="128">
        <f>iferror(SUM($BP738,($BQ738*1.2),($BR738*1.35),($BS738*0.74)),)</f>
        <v/>
      </c>
      <c r="BP738" s="128">
        <f>IFERROR(SUM($CU738:$DL738),)</f>
        <v/>
      </c>
      <c r="BQ738" s="128">
        <f>IFERROR(SUM($DM738:$DO738),)</f>
        <v/>
      </c>
      <c r="BR738" s="128">
        <f>IFERROR(SUM($DP738:$DR738),)</f>
        <v/>
      </c>
      <c r="BS738" s="128">
        <f>IFERROR(SUM($DS738:$DU738),)</f>
        <v/>
      </c>
      <c r="BT738" s="128">
        <f>IFERROR(AI738*$W738,)</f>
        <v/>
      </c>
      <c r="BU738" s="128">
        <f>IFERROR(AJ738*$W738,)</f>
        <v/>
      </c>
      <c r="BV738" s="128">
        <f>IFERROR(AK738*$W738,)</f>
        <v/>
      </c>
      <c r="BW738" s="128">
        <f>IFERROR(AL738*$W738,)</f>
        <v/>
      </c>
      <c r="BX738" s="128">
        <f>IFERROR(AM738*$W738,)</f>
        <v/>
      </c>
      <c r="BY738" s="128">
        <f>IFERROR(AN738*$W738,)</f>
        <v/>
      </c>
      <c r="BZ738" s="128">
        <f>IFERROR(AO738*$W738,)</f>
        <v/>
      </c>
      <c r="CA738" s="128">
        <f>IFERROR(AP738*$W738,)</f>
        <v/>
      </c>
      <c r="CB738" s="128">
        <f>IFERROR(AQ738*$W738,)</f>
        <v/>
      </c>
      <c r="CC738" s="128">
        <f>IFERROR(AR738*$W738,)</f>
        <v/>
      </c>
      <c r="CD738" s="128">
        <f>IFERROR(AS738*$W738,)</f>
        <v/>
      </c>
      <c r="CE738" s="128">
        <f>IFERROR(AT738*$W738,)</f>
        <v/>
      </c>
      <c r="CF738" s="128">
        <f>IFERROR(AU738*$W738,)</f>
        <v/>
      </c>
      <c r="CG738" s="128">
        <f>IFERROR(AV738*$W738,)</f>
        <v/>
      </c>
      <c r="CH738" s="128">
        <f>IFERROR(AW738*$W738,)</f>
        <v/>
      </c>
      <c r="CI738" s="128">
        <f>IFERROR(AX738*$W738,)</f>
        <v/>
      </c>
      <c r="CJ738" s="128">
        <f>IFERROR(AY738*$W738,)</f>
        <v/>
      </c>
      <c r="CK738" s="128">
        <f>IFERROR(AZ738*$W738,)</f>
        <v/>
      </c>
      <c r="CL738" s="129">
        <f>IFERROR(if($Y738=0,BA738*($W738/1.2),BA738*$Y738),"")</f>
        <v/>
      </c>
      <c r="CM738" s="129">
        <f>IFERROR(if($Y738=0,BB738*($W738/1.2),BB738*$Y738),"")</f>
        <v/>
      </c>
      <c r="CN738" s="129">
        <f>IFERROR(if($Y738=0,BC738*($W738/1.2),BC738*$Y738),"")</f>
        <v/>
      </c>
      <c r="CO738" s="130">
        <f>IFERROR(if($AA738=0,($W738/1.35)*BD738,BD738*$AA738),)</f>
        <v/>
      </c>
      <c r="CP738" s="130">
        <f>IFERROR(if($AA738=0,($W738/1.35)*BE738,BE738*$AA738),)</f>
        <v/>
      </c>
      <c r="CQ738" s="130">
        <f>IFERROR(if($AA738=0,($W738/1.35)*BF738,BF738*$AA738),)</f>
        <v/>
      </c>
      <c r="CR738" s="128">
        <f>IFERROR(if($AC738=0,($W738/0.74)*BG738,
BG738*$AC738),)</f>
        <v/>
      </c>
      <c r="CS738" s="128">
        <f>IFERROR(if($AC738=0,($W738/0.74)*BH738,
BH738*$AC738),)</f>
        <v/>
      </c>
      <c r="CT738" s="128">
        <f>IFERROR(if($AC738=0,($W738/0.74)*BI738,
BI738*$AC738),)</f>
        <v/>
      </c>
      <c r="CU738" s="128">
        <f>IFERROR(AI738*$V738,)</f>
        <v/>
      </c>
      <c r="CV738" s="128">
        <f>IFERROR(AJ738*$V738,)</f>
        <v/>
      </c>
      <c r="CW738" s="128">
        <f>IFERROR(AK738*$V738,)</f>
        <v/>
      </c>
      <c r="CX738" s="128">
        <f>IFERROR(AL738*$V738,)</f>
        <v/>
      </c>
      <c r="CY738" s="128">
        <f>IFERROR(AM738*$V738,)</f>
        <v/>
      </c>
      <c r="CZ738" s="128">
        <f>IFERROR(AN738*$V738,)</f>
        <v/>
      </c>
      <c r="DA738" s="128">
        <f>IFERROR(AO738*$V738,)</f>
        <v/>
      </c>
      <c r="DB738" s="128">
        <f>IFERROR(AP738*$V738,)</f>
        <v/>
      </c>
      <c r="DC738" s="128">
        <f>IFERROR(AQ738*$V738,)</f>
        <v/>
      </c>
      <c r="DD738" s="128">
        <f>IFERROR(AR738*$V738,)</f>
        <v/>
      </c>
      <c r="DE738" s="128">
        <f>IFERROR(AS738*$V738,)</f>
        <v/>
      </c>
      <c r="DF738" s="128">
        <f>IFERROR(AT738*$V738,)</f>
        <v/>
      </c>
      <c r="DG738" s="128">
        <f>IFERROR(AU738*$V738,)</f>
        <v/>
      </c>
      <c r="DH738" s="128">
        <f>IFERROR(AV738*$V738,)</f>
        <v/>
      </c>
      <c r="DI738" s="128">
        <f>IFERROR(AW738*$V738,)</f>
        <v/>
      </c>
      <c r="DJ738" s="128">
        <f>IFERROR(AX738*$V738,)</f>
        <v/>
      </c>
      <c r="DK738" s="128">
        <f>IFERROR(AY738*$V738,)</f>
        <v/>
      </c>
      <c r="DL738" s="128">
        <f>IFERROR(AZ738*$V738,)</f>
        <v/>
      </c>
      <c r="DM738" s="129">
        <f>IFERROR(if($X738=0,($V738/1.2)*BA738,
BA738*$X738),)</f>
        <v/>
      </c>
      <c r="DN738" s="129">
        <f>IFERROR(if($X738=0,($V738/1.2)*BB738,
BB738*$X738),)</f>
        <v/>
      </c>
      <c r="DO738" s="129">
        <f>IFERROR(if($X738=0,($V738/1.2)*BC738,
BC738*$X738),)</f>
        <v/>
      </c>
      <c r="DP738" s="130">
        <f>IFERROR(if($Z738=0,($V738/1.35)*BD738,
BD738*$Z738),)</f>
        <v/>
      </c>
      <c r="DQ738" s="130">
        <f>IFERROR(if($Z738=0,($V738/1.35)*BE738,
BE738*$Z738),)</f>
        <v/>
      </c>
      <c r="DR738" s="130">
        <f>IFERROR(if($Z738=0,($V738/1.35)*BF738,
BF738*$Z738),)</f>
        <v/>
      </c>
      <c r="DS738" s="128">
        <f>IFERROR(IF($AB738=0,($V738/0.74)*BG738,
BG738*$AB738),)</f>
        <v/>
      </c>
      <c r="DT738" s="128">
        <f>IFERROR(IF($AB738=0,($V738/0.74)*BH738,
BH738*$AB738),)</f>
        <v/>
      </c>
      <c r="DU738" s="128">
        <f>IFERROR(IF($AB738=0,($V738/0.74)*BI738,
BI738*$AB738),)</f>
        <v/>
      </c>
    </row>
    <row r="739" ht="131.25" customHeight="1" s="162">
      <c r="A739" s="115" t="n"/>
      <c r="B739" s="115" t="n"/>
      <c r="C739" s="115" t="n"/>
      <c r="D739" s="115" t="n"/>
      <c r="E739" s="115" t="n"/>
      <c r="F739" s="115" t="n"/>
      <c r="G739" s="115" t="n"/>
      <c r="H739" s="115" t="n"/>
      <c r="I739" s="115" t="n"/>
      <c r="J739" s="115" t="n"/>
      <c r="K739" s="115" t="n"/>
      <c r="L739" s="115" t="n"/>
      <c r="M739" s="115" t="n"/>
      <c r="N739" s="115" t="n"/>
      <c r="O739" s="115" t="n"/>
      <c r="P739" s="115" t="n"/>
      <c r="Q739" s="115" t="n"/>
      <c r="R739" s="115" t="n"/>
      <c r="S739" s="115" t="n"/>
      <c r="T739" s="115" t="n"/>
      <c r="U739" s="116" t="n"/>
      <c r="V739" s="116" t="n"/>
      <c r="W739" s="117" t="n"/>
      <c r="X739" s="118" t="n"/>
      <c r="Y739" s="119" t="n"/>
      <c r="Z739" s="120" t="n"/>
      <c r="AA739" s="121" t="n"/>
      <c r="AB739" s="122" t="n"/>
      <c r="AC739" s="117" t="n"/>
      <c r="AD739" s="123">
        <f>IF(SUM($AE739:$AH739)=0,"",SUM($AE739:$AH739))</f>
        <v/>
      </c>
      <c r="AE739" s="123">
        <f>iferror(IF(SUM($AI739:$AZ739)=0,"",SUM($AI739:$AZ739)),"")</f>
        <v/>
      </c>
      <c r="AF739" s="123">
        <f>iferror(IF(SUM($BA739:$BC739)=0,"",SUM($BA739:$BC739)),"")</f>
        <v/>
      </c>
      <c r="AG739" s="123">
        <f>iferror(IF(SUM($BD739:$BF739)=0,"",SUM($BD739:$BF739)),"")</f>
        <v/>
      </c>
      <c r="AH739" s="124">
        <f>iferror(IF(SUM($BG739:$BI739)=0,"",SUM($BG739:$BI739)),"")</f>
        <v/>
      </c>
      <c r="AI739" s="131" t="n"/>
      <c r="AJ739" s="132" t="n"/>
      <c r="AK739" s="132" t="n"/>
      <c r="AL739" s="132" t="n"/>
      <c r="AM739" s="132" t="n"/>
      <c r="AN739" s="132" t="n"/>
      <c r="AO739" s="132" t="n"/>
      <c r="AP739" s="132" t="n"/>
      <c r="AQ739" s="132" t="n"/>
      <c r="AR739" s="132" t="n"/>
      <c r="AS739" s="132" t="n"/>
      <c r="AT739" s="132" t="n"/>
      <c r="AU739" s="132" t="n"/>
      <c r="AV739" s="132" t="n"/>
      <c r="AW739" s="132" t="n"/>
      <c r="AX739" s="132" t="n"/>
      <c r="AY739" s="132" t="n"/>
      <c r="AZ739" s="133" t="n"/>
      <c r="BA739" s="131" t="n"/>
      <c r="BB739" s="132" t="n"/>
      <c r="BC739" s="133" t="n"/>
      <c r="BD739" s="131" t="n"/>
      <c r="BE739" s="132" t="n"/>
      <c r="BF739" s="133" t="n"/>
      <c r="BG739" s="131" t="n"/>
      <c r="BH739" s="132" t="n"/>
      <c r="BI739" s="132" t="n"/>
      <c r="BJ739" s="128">
        <f>iferror(SUM($BK739,($BL739*1.2),($BM739*1.35),($BN739*0.74)),)</f>
        <v/>
      </c>
      <c r="BK739" s="128">
        <f>IFERROR(SUM($BT739:$CK739),)</f>
        <v/>
      </c>
      <c r="BL739" s="129">
        <f>IFERROR(SUM($CL739:$CN739),)</f>
        <v/>
      </c>
      <c r="BM739" s="130">
        <f>IFERROR(SUM($CO739:$CQ739),)</f>
        <v/>
      </c>
      <c r="BN739" s="128">
        <f>IFERROR(SUM($CR739:$CT739),)</f>
        <v/>
      </c>
      <c r="BO739" s="128">
        <f>iferror(SUM($BP739,($BQ739*1.2),($BR739*1.35),($BS739*0.74)),)</f>
        <v/>
      </c>
      <c r="BP739" s="128">
        <f>IFERROR(SUM($CU739:$DL739),)</f>
        <v/>
      </c>
      <c r="BQ739" s="128">
        <f>IFERROR(SUM($DM739:$DO739),)</f>
        <v/>
      </c>
      <c r="BR739" s="128">
        <f>IFERROR(SUM($DP739:$DR739),)</f>
        <v/>
      </c>
      <c r="BS739" s="128">
        <f>IFERROR(SUM($DS739:$DU739),)</f>
        <v/>
      </c>
      <c r="BT739" s="128">
        <f>IFERROR(AI739*$W739,)</f>
        <v/>
      </c>
      <c r="BU739" s="128">
        <f>IFERROR(AJ739*$W739,)</f>
        <v/>
      </c>
      <c r="BV739" s="128">
        <f>IFERROR(AK739*$W739,)</f>
        <v/>
      </c>
      <c r="BW739" s="128">
        <f>IFERROR(AL739*$W739,)</f>
        <v/>
      </c>
      <c r="BX739" s="128">
        <f>IFERROR(AM739*$W739,)</f>
        <v/>
      </c>
      <c r="BY739" s="128">
        <f>IFERROR(AN739*$W739,)</f>
        <v/>
      </c>
      <c r="BZ739" s="128">
        <f>IFERROR(AO739*$W739,)</f>
        <v/>
      </c>
      <c r="CA739" s="128">
        <f>IFERROR(AP739*$W739,)</f>
        <v/>
      </c>
      <c r="CB739" s="128">
        <f>IFERROR(AQ739*$W739,)</f>
        <v/>
      </c>
      <c r="CC739" s="128">
        <f>IFERROR(AR739*$W739,)</f>
        <v/>
      </c>
      <c r="CD739" s="128">
        <f>IFERROR(AS739*$W739,)</f>
        <v/>
      </c>
      <c r="CE739" s="128">
        <f>IFERROR(AT739*$W739,)</f>
        <v/>
      </c>
      <c r="CF739" s="128">
        <f>IFERROR(AU739*$W739,)</f>
        <v/>
      </c>
      <c r="CG739" s="128">
        <f>IFERROR(AV739*$W739,)</f>
        <v/>
      </c>
      <c r="CH739" s="128">
        <f>IFERROR(AW739*$W739,)</f>
        <v/>
      </c>
      <c r="CI739" s="128">
        <f>IFERROR(AX739*$W739,)</f>
        <v/>
      </c>
      <c r="CJ739" s="128">
        <f>IFERROR(AY739*$W739,)</f>
        <v/>
      </c>
      <c r="CK739" s="128">
        <f>IFERROR(AZ739*$W739,)</f>
        <v/>
      </c>
      <c r="CL739" s="129">
        <f>IFERROR(if($Y739=0,BA739*($W739/1.2),BA739*$Y739),"")</f>
        <v/>
      </c>
      <c r="CM739" s="129">
        <f>IFERROR(if($Y739=0,BB739*($W739/1.2),BB739*$Y739),"")</f>
        <v/>
      </c>
      <c r="CN739" s="129">
        <f>IFERROR(if($Y739=0,BC739*($W739/1.2),BC739*$Y739),"")</f>
        <v/>
      </c>
      <c r="CO739" s="130">
        <f>IFERROR(if($AA739=0,($W739/1.35)*BD739,BD739*$AA739),)</f>
        <v/>
      </c>
      <c r="CP739" s="130">
        <f>IFERROR(if($AA739=0,($W739/1.35)*BE739,BE739*$AA739),)</f>
        <v/>
      </c>
      <c r="CQ739" s="130">
        <f>IFERROR(if($AA739=0,($W739/1.35)*BF739,BF739*$AA739),)</f>
        <v/>
      </c>
      <c r="CR739" s="128">
        <f>IFERROR(if($AC739=0,($W739/0.74)*BG739,
BG739*$AC739),)</f>
        <v/>
      </c>
      <c r="CS739" s="128">
        <f>IFERROR(if($AC739=0,($W739/0.74)*BH739,
BH739*$AC739),)</f>
        <v/>
      </c>
      <c r="CT739" s="128">
        <f>IFERROR(if($AC739=0,($W739/0.74)*BI739,
BI739*$AC739),)</f>
        <v/>
      </c>
      <c r="CU739" s="128">
        <f>IFERROR(AI739*$V739,)</f>
        <v/>
      </c>
      <c r="CV739" s="128">
        <f>IFERROR(AJ739*$V739,)</f>
        <v/>
      </c>
      <c r="CW739" s="128">
        <f>IFERROR(AK739*$V739,)</f>
        <v/>
      </c>
      <c r="CX739" s="128">
        <f>IFERROR(AL739*$V739,)</f>
        <v/>
      </c>
      <c r="CY739" s="128">
        <f>IFERROR(AM739*$V739,)</f>
        <v/>
      </c>
      <c r="CZ739" s="128">
        <f>IFERROR(AN739*$V739,)</f>
        <v/>
      </c>
      <c r="DA739" s="128">
        <f>IFERROR(AO739*$V739,)</f>
        <v/>
      </c>
      <c r="DB739" s="128">
        <f>IFERROR(AP739*$V739,)</f>
        <v/>
      </c>
      <c r="DC739" s="128">
        <f>IFERROR(AQ739*$V739,)</f>
        <v/>
      </c>
      <c r="DD739" s="128">
        <f>IFERROR(AR739*$V739,)</f>
        <v/>
      </c>
      <c r="DE739" s="128">
        <f>IFERROR(AS739*$V739,)</f>
        <v/>
      </c>
      <c r="DF739" s="128">
        <f>IFERROR(AT739*$V739,)</f>
        <v/>
      </c>
      <c r="DG739" s="128">
        <f>IFERROR(AU739*$V739,)</f>
        <v/>
      </c>
      <c r="DH739" s="128">
        <f>IFERROR(AV739*$V739,)</f>
        <v/>
      </c>
      <c r="DI739" s="128">
        <f>IFERROR(AW739*$V739,)</f>
        <v/>
      </c>
      <c r="DJ739" s="128">
        <f>IFERROR(AX739*$V739,)</f>
        <v/>
      </c>
      <c r="DK739" s="128">
        <f>IFERROR(AY739*$V739,)</f>
        <v/>
      </c>
      <c r="DL739" s="128">
        <f>IFERROR(AZ739*$V739,)</f>
        <v/>
      </c>
      <c r="DM739" s="129">
        <f>IFERROR(if($X739=0,($V739/1.2)*BA739,
BA739*$X739),)</f>
        <v/>
      </c>
      <c r="DN739" s="129">
        <f>IFERROR(if($X739=0,($V739/1.2)*BB739,
BB739*$X739),)</f>
        <v/>
      </c>
      <c r="DO739" s="129">
        <f>IFERROR(if($X739=0,($V739/1.2)*BC739,
BC739*$X739),)</f>
        <v/>
      </c>
      <c r="DP739" s="130">
        <f>IFERROR(if($Z739=0,($V739/1.35)*BD739,
BD739*$Z739),)</f>
        <v/>
      </c>
      <c r="DQ739" s="130">
        <f>IFERROR(if($Z739=0,($V739/1.35)*BE739,
BE739*$Z739),)</f>
        <v/>
      </c>
      <c r="DR739" s="130">
        <f>IFERROR(if($Z739=0,($V739/1.35)*BF739,
BF739*$Z739),)</f>
        <v/>
      </c>
      <c r="DS739" s="128">
        <f>IFERROR(IF($AB739=0,($V739/0.74)*BG739,
BG739*$AB739),)</f>
        <v/>
      </c>
      <c r="DT739" s="128">
        <f>IFERROR(IF($AB739=0,($V739/0.74)*BH739,
BH739*$AB739),)</f>
        <v/>
      </c>
      <c r="DU739" s="128">
        <f>IFERROR(IF($AB739=0,($V739/0.74)*BI739,
BI739*$AB739),)</f>
        <v/>
      </c>
    </row>
    <row r="740" ht="131.25" customHeight="1" s="162">
      <c r="A740" s="115" t="n"/>
      <c r="B740" s="115" t="n"/>
      <c r="C740" s="115" t="n"/>
      <c r="D740" s="115" t="n"/>
      <c r="E740" s="115" t="n"/>
      <c r="F740" s="115" t="n"/>
      <c r="G740" s="115" t="n"/>
      <c r="H740" s="115" t="n"/>
      <c r="I740" s="115" t="n"/>
      <c r="J740" s="115" t="n"/>
      <c r="K740" s="115" t="n"/>
      <c r="L740" s="115" t="n"/>
      <c r="M740" s="115" t="n"/>
      <c r="N740" s="115" t="n"/>
      <c r="O740" s="115" t="n"/>
      <c r="P740" s="115" t="n"/>
      <c r="Q740" s="115" t="n"/>
      <c r="R740" s="115" t="n"/>
      <c r="S740" s="115" t="n"/>
      <c r="T740" s="115" t="n"/>
      <c r="U740" s="116" t="n"/>
      <c r="V740" s="116" t="n"/>
      <c r="W740" s="117" t="n"/>
      <c r="X740" s="118" t="n"/>
      <c r="Y740" s="119" t="n"/>
      <c r="Z740" s="120" t="n"/>
      <c r="AA740" s="121" t="n"/>
      <c r="AB740" s="122" t="n"/>
      <c r="AC740" s="117" t="n"/>
      <c r="AD740" s="123">
        <f>IF(SUM($AE740:$AH740)=0,"",SUM($AE740:$AH740))</f>
        <v/>
      </c>
      <c r="AE740" s="123">
        <f>iferror(IF(SUM($AI740:$AZ740)=0,"",SUM($AI740:$AZ740)),"")</f>
        <v/>
      </c>
      <c r="AF740" s="123">
        <f>iferror(IF(SUM($BA740:$BC740)=0,"",SUM($BA740:$BC740)),"")</f>
        <v/>
      </c>
      <c r="AG740" s="123">
        <f>iferror(IF(SUM($BD740:$BF740)=0,"",SUM($BD740:$BF740)),"")</f>
        <v/>
      </c>
      <c r="AH740" s="124">
        <f>iferror(IF(SUM($BG740:$BI740)=0,"",SUM($BG740:$BI740)),"")</f>
        <v/>
      </c>
      <c r="AI740" s="131" t="n"/>
      <c r="AJ740" s="132" t="n"/>
      <c r="AK740" s="132" t="n"/>
      <c r="AL740" s="132" t="n"/>
      <c r="AM740" s="132" t="n"/>
      <c r="AN740" s="132" t="n"/>
      <c r="AO740" s="132" t="n"/>
      <c r="AP740" s="132" t="n"/>
      <c r="AQ740" s="132" t="n"/>
      <c r="AR740" s="132" t="n"/>
      <c r="AS740" s="132" t="n"/>
      <c r="AT740" s="132" t="n"/>
      <c r="AU740" s="132" t="n"/>
      <c r="AV740" s="132" t="n"/>
      <c r="AW740" s="132" t="n"/>
      <c r="AX740" s="132" t="n"/>
      <c r="AY740" s="132" t="n"/>
      <c r="AZ740" s="133" t="n"/>
      <c r="BA740" s="131" t="n"/>
      <c r="BB740" s="132" t="n"/>
      <c r="BC740" s="133" t="n"/>
      <c r="BD740" s="131" t="n"/>
      <c r="BE740" s="132" t="n"/>
      <c r="BF740" s="133" t="n"/>
      <c r="BG740" s="131" t="n"/>
      <c r="BH740" s="132" t="n"/>
      <c r="BI740" s="132" t="n"/>
      <c r="BJ740" s="128">
        <f>iferror(SUM($BK740,($BL740*1.2),($BM740*1.35),($BN740*0.74)),)</f>
        <v/>
      </c>
      <c r="BK740" s="128">
        <f>IFERROR(SUM($BT740:$CK740),)</f>
        <v/>
      </c>
      <c r="BL740" s="129">
        <f>IFERROR(SUM($CL740:$CN740),)</f>
        <v/>
      </c>
      <c r="BM740" s="130">
        <f>IFERROR(SUM($CO740:$CQ740),)</f>
        <v/>
      </c>
      <c r="BN740" s="128">
        <f>IFERROR(SUM($CR740:$CT740),)</f>
        <v/>
      </c>
      <c r="BO740" s="128">
        <f>iferror(SUM($BP740,($BQ740*1.2),($BR740*1.35),($BS740*0.74)),)</f>
        <v/>
      </c>
      <c r="BP740" s="128">
        <f>IFERROR(SUM($CU740:$DL740),)</f>
        <v/>
      </c>
      <c r="BQ740" s="128">
        <f>IFERROR(SUM($DM740:$DO740),)</f>
        <v/>
      </c>
      <c r="BR740" s="128">
        <f>IFERROR(SUM($DP740:$DR740),)</f>
        <v/>
      </c>
      <c r="BS740" s="128">
        <f>IFERROR(SUM($DS740:$DU740),)</f>
        <v/>
      </c>
      <c r="BT740" s="128">
        <f>IFERROR(AI740*$W740,)</f>
        <v/>
      </c>
      <c r="BU740" s="128">
        <f>IFERROR(AJ740*$W740,)</f>
        <v/>
      </c>
      <c r="BV740" s="128">
        <f>IFERROR(AK740*$W740,)</f>
        <v/>
      </c>
      <c r="BW740" s="128">
        <f>IFERROR(AL740*$W740,)</f>
        <v/>
      </c>
      <c r="BX740" s="128">
        <f>IFERROR(AM740*$W740,)</f>
        <v/>
      </c>
      <c r="BY740" s="128">
        <f>IFERROR(AN740*$W740,)</f>
        <v/>
      </c>
      <c r="BZ740" s="128">
        <f>IFERROR(AO740*$W740,)</f>
        <v/>
      </c>
      <c r="CA740" s="128">
        <f>IFERROR(AP740*$W740,)</f>
        <v/>
      </c>
      <c r="CB740" s="128">
        <f>IFERROR(AQ740*$W740,)</f>
        <v/>
      </c>
      <c r="CC740" s="128">
        <f>IFERROR(AR740*$W740,)</f>
        <v/>
      </c>
      <c r="CD740" s="128">
        <f>IFERROR(AS740*$W740,)</f>
        <v/>
      </c>
      <c r="CE740" s="128">
        <f>IFERROR(AT740*$W740,)</f>
        <v/>
      </c>
      <c r="CF740" s="128">
        <f>IFERROR(AU740*$W740,)</f>
        <v/>
      </c>
      <c r="CG740" s="128">
        <f>IFERROR(AV740*$W740,)</f>
        <v/>
      </c>
      <c r="CH740" s="128">
        <f>IFERROR(AW740*$W740,)</f>
        <v/>
      </c>
      <c r="CI740" s="128">
        <f>IFERROR(AX740*$W740,)</f>
        <v/>
      </c>
      <c r="CJ740" s="128">
        <f>IFERROR(AY740*$W740,)</f>
        <v/>
      </c>
      <c r="CK740" s="128">
        <f>IFERROR(AZ740*$W740,)</f>
        <v/>
      </c>
      <c r="CL740" s="129">
        <f>IFERROR(if($Y740=0,BA740*($W740/1.2),BA740*$Y740),"")</f>
        <v/>
      </c>
      <c r="CM740" s="129">
        <f>IFERROR(if($Y740=0,BB740*($W740/1.2),BB740*$Y740),"")</f>
        <v/>
      </c>
      <c r="CN740" s="129">
        <f>IFERROR(if($Y740=0,BC740*($W740/1.2),BC740*$Y740),"")</f>
        <v/>
      </c>
      <c r="CO740" s="130">
        <f>IFERROR(if($AA740=0,($W740/1.35)*BD740,BD740*$AA740),)</f>
        <v/>
      </c>
      <c r="CP740" s="130">
        <f>IFERROR(if($AA740=0,($W740/1.35)*BE740,BE740*$AA740),)</f>
        <v/>
      </c>
      <c r="CQ740" s="130">
        <f>IFERROR(if($AA740=0,($W740/1.35)*BF740,BF740*$AA740),)</f>
        <v/>
      </c>
      <c r="CR740" s="128">
        <f>IFERROR(if($AC740=0,($W740/0.74)*BG740,
BG740*$AC740),)</f>
        <v/>
      </c>
      <c r="CS740" s="128">
        <f>IFERROR(if($AC740=0,($W740/0.74)*BH740,
BH740*$AC740),)</f>
        <v/>
      </c>
      <c r="CT740" s="128">
        <f>IFERROR(if($AC740=0,($W740/0.74)*BI740,
BI740*$AC740),)</f>
        <v/>
      </c>
      <c r="CU740" s="128">
        <f>IFERROR(AI740*$V740,)</f>
        <v/>
      </c>
      <c r="CV740" s="128">
        <f>IFERROR(AJ740*$V740,)</f>
        <v/>
      </c>
      <c r="CW740" s="128">
        <f>IFERROR(AK740*$V740,)</f>
        <v/>
      </c>
      <c r="CX740" s="128">
        <f>IFERROR(AL740*$V740,)</f>
        <v/>
      </c>
      <c r="CY740" s="128">
        <f>IFERROR(AM740*$V740,)</f>
        <v/>
      </c>
      <c r="CZ740" s="128">
        <f>IFERROR(AN740*$V740,)</f>
        <v/>
      </c>
      <c r="DA740" s="128">
        <f>IFERROR(AO740*$V740,)</f>
        <v/>
      </c>
      <c r="DB740" s="128">
        <f>IFERROR(AP740*$V740,)</f>
        <v/>
      </c>
      <c r="DC740" s="128">
        <f>IFERROR(AQ740*$V740,)</f>
        <v/>
      </c>
      <c r="DD740" s="128">
        <f>IFERROR(AR740*$V740,)</f>
        <v/>
      </c>
      <c r="DE740" s="128">
        <f>IFERROR(AS740*$V740,)</f>
        <v/>
      </c>
      <c r="DF740" s="128">
        <f>IFERROR(AT740*$V740,)</f>
        <v/>
      </c>
      <c r="DG740" s="128">
        <f>IFERROR(AU740*$V740,)</f>
        <v/>
      </c>
      <c r="DH740" s="128">
        <f>IFERROR(AV740*$V740,)</f>
        <v/>
      </c>
      <c r="DI740" s="128">
        <f>IFERROR(AW740*$V740,)</f>
        <v/>
      </c>
      <c r="DJ740" s="128">
        <f>IFERROR(AX740*$V740,)</f>
        <v/>
      </c>
      <c r="DK740" s="128">
        <f>IFERROR(AY740*$V740,)</f>
        <v/>
      </c>
      <c r="DL740" s="128">
        <f>IFERROR(AZ740*$V740,)</f>
        <v/>
      </c>
      <c r="DM740" s="129">
        <f>IFERROR(if($X740=0,($V740/1.2)*BA740,
BA740*$X740),)</f>
        <v/>
      </c>
      <c r="DN740" s="129">
        <f>IFERROR(if($X740=0,($V740/1.2)*BB740,
BB740*$X740),)</f>
        <v/>
      </c>
      <c r="DO740" s="129">
        <f>IFERROR(if($X740=0,($V740/1.2)*BC740,
BC740*$X740),)</f>
        <v/>
      </c>
      <c r="DP740" s="130">
        <f>IFERROR(if($Z740=0,($V740/1.35)*BD740,
BD740*$Z740),)</f>
        <v/>
      </c>
      <c r="DQ740" s="130">
        <f>IFERROR(if($Z740=0,($V740/1.35)*BE740,
BE740*$Z740),)</f>
        <v/>
      </c>
      <c r="DR740" s="130">
        <f>IFERROR(if($Z740=0,($V740/1.35)*BF740,
BF740*$Z740),)</f>
        <v/>
      </c>
      <c r="DS740" s="128">
        <f>IFERROR(IF($AB740=0,($V740/0.74)*BG740,
BG740*$AB740),)</f>
        <v/>
      </c>
      <c r="DT740" s="128">
        <f>IFERROR(IF($AB740=0,($V740/0.74)*BH740,
BH740*$AB740),)</f>
        <v/>
      </c>
      <c r="DU740" s="128">
        <f>IFERROR(IF($AB740=0,($V740/0.74)*BI740,
BI740*$AB740),)</f>
        <v/>
      </c>
    </row>
    <row r="741" ht="131.25" customHeight="1" s="162">
      <c r="A741" s="115" t="n"/>
      <c r="B741" s="115" t="n"/>
      <c r="C741" s="115" t="n"/>
      <c r="D741" s="115" t="n"/>
      <c r="E741" s="115" t="n"/>
      <c r="F741" s="115" t="n"/>
      <c r="G741" s="115" t="n"/>
      <c r="H741" s="115" t="n"/>
      <c r="I741" s="115" t="n"/>
      <c r="J741" s="115" t="n"/>
      <c r="K741" s="115" t="n"/>
      <c r="L741" s="115" t="n"/>
      <c r="M741" s="115" t="n"/>
      <c r="N741" s="115" t="n"/>
      <c r="O741" s="115" t="n"/>
      <c r="P741" s="115" t="n"/>
      <c r="Q741" s="115" t="n"/>
      <c r="R741" s="115" t="n"/>
      <c r="S741" s="115" t="n"/>
      <c r="T741" s="115" t="n"/>
      <c r="U741" s="116" t="n"/>
      <c r="V741" s="116" t="n"/>
      <c r="W741" s="117" t="n"/>
      <c r="X741" s="118" t="n"/>
      <c r="Y741" s="119" t="n"/>
      <c r="Z741" s="120" t="n"/>
      <c r="AA741" s="121" t="n"/>
      <c r="AB741" s="122" t="n"/>
      <c r="AC741" s="117" t="n"/>
      <c r="AD741" s="123">
        <f>IF(SUM($AE741:$AH741)=0,"",SUM($AE741:$AH741))</f>
        <v/>
      </c>
      <c r="AE741" s="123">
        <f>iferror(IF(SUM($AI741:$AZ741)=0,"",SUM($AI741:$AZ741)),"")</f>
        <v/>
      </c>
      <c r="AF741" s="123">
        <f>iferror(IF(SUM($BA741:$BC741)=0,"",SUM($BA741:$BC741)),"")</f>
        <v/>
      </c>
      <c r="AG741" s="123">
        <f>iferror(IF(SUM($BD741:$BF741)=0,"",SUM($BD741:$BF741)),"")</f>
        <v/>
      </c>
      <c r="AH741" s="124">
        <f>iferror(IF(SUM($BG741:$BI741)=0,"",SUM($BG741:$BI741)),"")</f>
        <v/>
      </c>
      <c r="AI741" s="131" t="n"/>
      <c r="AJ741" s="132" t="n"/>
      <c r="AK741" s="132" t="n"/>
      <c r="AL741" s="132" t="n"/>
      <c r="AM741" s="132" t="n"/>
      <c r="AN741" s="132" t="n"/>
      <c r="AO741" s="132" t="n"/>
      <c r="AP741" s="132" t="n"/>
      <c r="AQ741" s="132" t="n"/>
      <c r="AR741" s="132" t="n"/>
      <c r="AS741" s="132" t="n"/>
      <c r="AT741" s="132" t="n"/>
      <c r="AU741" s="132" t="n"/>
      <c r="AV741" s="132" t="n"/>
      <c r="AW741" s="132" t="n"/>
      <c r="AX741" s="132" t="n"/>
      <c r="AY741" s="132" t="n"/>
      <c r="AZ741" s="133" t="n"/>
      <c r="BA741" s="131" t="n"/>
      <c r="BB741" s="132" t="n"/>
      <c r="BC741" s="133" t="n"/>
      <c r="BD741" s="131" t="n"/>
      <c r="BE741" s="132" t="n"/>
      <c r="BF741" s="133" t="n"/>
      <c r="BG741" s="131" t="n"/>
      <c r="BH741" s="132" t="n"/>
      <c r="BI741" s="132" t="n"/>
      <c r="BJ741" s="128">
        <f>iferror(SUM($BK741,($BL741*1.2),($BM741*1.35),($BN741*0.74)),)</f>
        <v/>
      </c>
      <c r="BK741" s="128">
        <f>IFERROR(SUM($BT741:$CK741),)</f>
        <v/>
      </c>
      <c r="BL741" s="129">
        <f>IFERROR(SUM($CL741:$CN741),)</f>
        <v/>
      </c>
      <c r="BM741" s="130">
        <f>IFERROR(SUM($CO741:$CQ741),)</f>
        <v/>
      </c>
      <c r="BN741" s="128">
        <f>IFERROR(SUM($CR741:$CT741),)</f>
        <v/>
      </c>
      <c r="BO741" s="128">
        <f>iferror(SUM($BP741,($BQ741*1.2),($BR741*1.35),($BS741*0.74)),)</f>
        <v/>
      </c>
      <c r="BP741" s="128">
        <f>IFERROR(SUM($CU741:$DL741),)</f>
        <v/>
      </c>
      <c r="BQ741" s="128">
        <f>IFERROR(SUM($DM741:$DO741),)</f>
        <v/>
      </c>
      <c r="BR741" s="128">
        <f>IFERROR(SUM($DP741:$DR741),)</f>
        <v/>
      </c>
      <c r="BS741" s="128">
        <f>IFERROR(SUM($DS741:$DU741),)</f>
        <v/>
      </c>
      <c r="BT741" s="128">
        <f>IFERROR(AI741*$W741,)</f>
        <v/>
      </c>
      <c r="BU741" s="128">
        <f>IFERROR(AJ741*$W741,)</f>
        <v/>
      </c>
      <c r="BV741" s="128">
        <f>IFERROR(AK741*$W741,)</f>
        <v/>
      </c>
      <c r="BW741" s="128">
        <f>IFERROR(AL741*$W741,)</f>
        <v/>
      </c>
      <c r="BX741" s="128">
        <f>IFERROR(AM741*$W741,)</f>
        <v/>
      </c>
      <c r="BY741" s="128">
        <f>IFERROR(AN741*$W741,)</f>
        <v/>
      </c>
      <c r="BZ741" s="128">
        <f>IFERROR(AO741*$W741,)</f>
        <v/>
      </c>
      <c r="CA741" s="128">
        <f>IFERROR(AP741*$W741,)</f>
        <v/>
      </c>
      <c r="CB741" s="128">
        <f>IFERROR(AQ741*$W741,)</f>
        <v/>
      </c>
      <c r="CC741" s="128">
        <f>IFERROR(AR741*$W741,)</f>
        <v/>
      </c>
      <c r="CD741" s="128">
        <f>IFERROR(AS741*$W741,)</f>
        <v/>
      </c>
      <c r="CE741" s="128">
        <f>IFERROR(AT741*$W741,)</f>
        <v/>
      </c>
      <c r="CF741" s="128">
        <f>IFERROR(AU741*$W741,)</f>
        <v/>
      </c>
      <c r="CG741" s="128">
        <f>IFERROR(AV741*$W741,)</f>
        <v/>
      </c>
      <c r="CH741" s="128">
        <f>IFERROR(AW741*$W741,)</f>
        <v/>
      </c>
      <c r="CI741" s="128">
        <f>IFERROR(AX741*$W741,)</f>
        <v/>
      </c>
      <c r="CJ741" s="128">
        <f>IFERROR(AY741*$W741,)</f>
        <v/>
      </c>
      <c r="CK741" s="128">
        <f>IFERROR(AZ741*$W741,)</f>
        <v/>
      </c>
      <c r="CL741" s="129">
        <f>IFERROR(if($Y741=0,BA741*($W741/1.2),BA741*$Y741),"")</f>
        <v/>
      </c>
      <c r="CM741" s="129">
        <f>IFERROR(if($Y741=0,BB741*($W741/1.2),BB741*$Y741),"")</f>
        <v/>
      </c>
      <c r="CN741" s="129">
        <f>IFERROR(if($Y741=0,BC741*($W741/1.2),BC741*$Y741),"")</f>
        <v/>
      </c>
      <c r="CO741" s="130">
        <f>IFERROR(if($AA741=0,($W741/1.35)*BD741,BD741*$AA741),)</f>
        <v/>
      </c>
      <c r="CP741" s="130">
        <f>IFERROR(if($AA741=0,($W741/1.35)*BE741,BE741*$AA741),)</f>
        <v/>
      </c>
      <c r="CQ741" s="130">
        <f>IFERROR(if($AA741=0,($W741/1.35)*BF741,BF741*$AA741),)</f>
        <v/>
      </c>
      <c r="CR741" s="128">
        <f>IFERROR(if($AC741=0,($W741/0.74)*BG741,
BG741*$AC741),)</f>
        <v/>
      </c>
      <c r="CS741" s="128">
        <f>IFERROR(if($AC741=0,($W741/0.74)*BH741,
BH741*$AC741),)</f>
        <v/>
      </c>
      <c r="CT741" s="128">
        <f>IFERROR(if($AC741=0,($W741/0.74)*BI741,
BI741*$AC741),)</f>
        <v/>
      </c>
      <c r="CU741" s="128">
        <f>IFERROR(AI741*$V741,)</f>
        <v/>
      </c>
      <c r="CV741" s="128">
        <f>IFERROR(AJ741*$V741,)</f>
        <v/>
      </c>
      <c r="CW741" s="128">
        <f>IFERROR(AK741*$V741,)</f>
        <v/>
      </c>
      <c r="CX741" s="128">
        <f>IFERROR(AL741*$V741,)</f>
        <v/>
      </c>
      <c r="CY741" s="128">
        <f>IFERROR(AM741*$V741,)</f>
        <v/>
      </c>
      <c r="CZ741" s="128">
        <f>IFERROR(AN741*$V741,)</f>
        <v/>
      </c>
      <c r="DA741" s="128">
        <f>IFERROR(AO741*$V741,)</f>
        <v/>
      </c>
      <c r="DB741" s="128">
        <f>IFERROR(AP741*$V741,)</f>
        <v/>
      </c>
      <c r="DC741" s="128">
        <f>IFERROR(AQ741*$V741,)</f>
        <v/>
      </c>
      <c r="DD741" s="128">
        <f>IFERROR(AR741*$V741,)</f>
        <v/>
      </c>
      <c r="DE741" s="128">
        <f>IFERROR(AS741*$V741,)</f>
        <v/>
      </c>
      <c r="DF741" s="128">
        <f>IFERROR(AT741*$V741,)</f>
        <v/>
      </c>
      <c r="DG741" s="128">
        <f>IFERROR(AU741*$V741,)</f>
        <v/>
      </c>
      <c r="DH741" s="128">
        <f>IFERROR(AV741*$V741,)</f>
        <v/>
      </c>
      <c r="DI741" s="128">
        <f>IFERROR(AW741*$V741,)</f>
        <v/>
      </c>
      <c r="DJ741" s="128">
        <f>IFERROR(AX741*$V741,)</f>
        <v/>
      </c>
      <c r="DK741" s="128">
        <f>IFERROR(AY741*$V741,)</f>
        <v/>
      </c>
      <c r="DL741" s="128">
        <f>IFERROR(AZ741*$V741,)</f>
        <v/>
      </c>
      <c r="DM741" s="129">
        <f>IFERROR(if($X741=0,($V741/1.2)*BA741,
BA741*$X741),)</f>
        <v/>
      </c>
      <c r="DN741" s="129">
        <f>IFERROR(if($X741=0,($V741/1.2)*BB741,
BB741*$X741),)</f>
        <v/>
      </c>
      <c r="DO741" s="129">
        <f>IFERROR(if($X741=0,($V741/1.2)*BC741,
BC741*$X741),)</f>
        <v/>
      </c>
      <c r="DP741" s="130">
        <f>IFERROR(if($Z741=0,($V741/1.35)*BD741,
BD741*$Z741),)</f>
        <v/>
      </c>
      <c r="DQ741" s="130">
        <f>IFERROR(if($Z741=0,($V741/1.35)*BE741,
BE741*$Z741),)</f>
        <v/>
      </c>
      <c r="DR741" s="130">
        <f>IFERROR(if($Z741=0,($V741/1.35)*BF741,
BF741*$Z741),)</f>
        <v/>
      </c>
      <c r="DS741" s="128">
        <f>IFERROR(IF($AB741=0,($V741/0.74)*BG741,
BG741*$AB741),)</f>
        <v/>
      </c>
      <c r="DT741" s="128">
        <f>IFERROR(IF($AB741=0,($V741/0.74)*BH741,
BH741*$AB741),)</f>
        <v/>
      </c>
      <c r="DU741" s="128">
        <f>IFERROR(IF($AB741=0,($V741/0.74)*BI741,
BI741*$AB741),)</f>
        <v/>
      </c>
    </row>
    <row r="742" ht="131.25" customHeight="1" s="162">
      <c r="A742" s="115" t="n"/>
      <c r="B742" s="115" t="n"/>
      <c r="C742" s="115" t="n"/>
      <c r="D742" s="115" t="n"/>
      <c r="E742" s="115" t="n"/>
      <c r="F742" s="115" t="n"/>
      <c r="G742" s="115" t="n"/>
      <c r="H742" s="115" t="n"/>
      <c r="I742" s="115" t="n"/>
      <c r="J742" s="115" t="n"/>
      <c r="K742" s="115" t="n"/>
      <c r="L742" s="115" t="n"/>
      <c r="M742" s="115" t="n"/>
      <c r="N742" s="115" t="n"/>
      <c r="O742" s="115" t="n"/>
      <c r="P742" s="115" t="n"/>
      <c r="Q742" s="115" t="n"/>
      <c r="R742" s="115" t="n"/>
      <c r="S742" s="115" t="n"/>
      <c r="T742" s="115" t="n"/>
      <c r="U742" s="116" t="n"/>
      <c r="V742" s="116" t="n"/>
      <c r="W742" s="117" t="n"/>
      <c r="X742" s="118" t="n"/>
      <c r="Y742" s="119" t="n"/>
      <c r="Z742" s="120" t="n"/>
      <c r="AA742" s="121" t="n"/>
      <c r="AB742" s="122" t="n"/>
      <c r="AC742" s="117" t="n"/>
      <c r="AD742" s="123">
        <f>IF(SUM($AE742:$AH742)=0,"",SUM($AE742:$AH742))</f>
        <v/>
      </c>
      <c r="AE742" s="123">
        <f>iferror(IF(SUM($AI742:$AZ742)=0,"",SUM($AI742:$AZ742)),"")</f>
        <v/>
      </c>
      <c r="AF742" s="123">
        <f>iferror(IF(SUM($BA742:$BC742)=0,"",SUM($BA742:$BC742)),"")</f>
        <v/>
      </c>
      <c r="AG742" s="123">
        <f>iferror(IF(SUM($BD742:$BF742)=0,"",SUM($BD742:$BF742)),"")</f>
        <v/>
      </c>
      <c r="AH742" s="124">
        <f>iferror(IF(SUM($BG742:$BI742)=0,"",SUM($BG742:$BI742)),"")</f>
        <v/>
      </c>
      <c r="AI742" s="131" t="n"/>
      <c r="AJ742" s="132" t="n"/>
      <c r="AK742" s="132" t="n"/>
      <c r="AL742" s="132" t="n"/>
      <c r="AM742" s="132" t="n"/>
      <c r="AN742" s="132" t="n"/>
      <c r="AO742" s="132" t="n"/>
      <c r="AP742" s="132" t="n"/>
      <c r="AQ742" s="132" t="n"/>
      <c r="AR742" s="132" t="n"/>
      <c r="AS742" s="132" t="n"/>
      <c r="AT742" s="132" t="n"/>
      <c r="AU742" s="132" t="n"/>
      <c r="AV742" s="132" t="n"/>
      <c r="AW742" s="132" t="n"/>
      <c r="AX742" s="132" t="n"/>
      <c r="AY742" s="132" t="n"/>
      <c r="AZ742" s="133" t="n"/>
      <c r="BA742" s="131" t="n"/>
      <c r="BB742" s="132" t="n"/>
      <c r="BC742" s="133" t="n"/>
      <c r="BD742" s="131" t="n"/>
      <c r="BE742" s="132" t="n"/>
      <c r="BF742" s="133" t="n"/>
      <c r="BG742" s="131" t="n"/>
      <c r="BH742" s="132" t="n"/>
      <c r="BI742" s="132" t="n"/>
      <c r="BJ742" s="128">
        <f>iferror(SUM($BK742,($BL742*1.2),($BM742*1.35),($BN742*0.74)),)</f>
        <v/>
      </c>
      <c r="BK742" s="128">
        <f>IFERROR(SUM($BT742:$CK742),)</f>
        <v/>
      </c>
      <c r="BL742" s="129">
        <f>IFERROR(SUM($CL742:$CN742),)</f>
        <v/>
      </c>
      <c r="BM742" s="130">
        <f>IFERROR(SUM($CO742:$CQ742),)</f>
        <v/>
      </c>
      <c r="BN742" s="128">
        <f>IFERROR(SUM($CR742:$CT742),)</f>
        <v/>
      </c>
      <c r="BO742" s="128">
        <f>iferror(SUM($BP742,($BQ742*1.2),($BR742*1.35),($BS742*0.74)),)</f>
        <v/>
      </c>
      <c r="BP742" s="128">
        <f>IFERROR(SUM($CU742:$DL742),)</f>
        <v/>
      </c>
      <c r="BQ742" s="128">
        <f>IFERROR(SUM($DM742:$DO742),)</f>
        <v/>
      </c>
      <c r="BR742" s="128">
        <f>IFERROR(SUM($DP742:$DR742),)</f>
        <v/>
      </c>
      <c r="BS742" s="128">
        <f>IFERROR(SUM($DS742:$DU742),)</f>
        <v/>
      </c>
      <c r="BT742" s="128">
        <f>IFERROR(AI742*$W742,)</f>
        <v/>
      </c>
      <c r="BU742" s="128">
        <f>IFERROR(AJ742*$W742,)</f>
        <v/>
      </c>
      <c r="BV742" s="128">
        <f>IFERROR(AK742*$W742,)</f>
        <v/>
      </c>
      <c r="BW742" s="128">
        <f>IFERROR(AL742*$W742,)</f>
        <v/>
      </c>
      <c r="BX742" s="128">
        <f>IFERROR(AM742*$W742,)</f>
        <v/>
      </c>
      <c r="BY742" s="128">
        <f>IFERROR(AN742*$W742,)</f>
        <v/>
      </c>
      <c r="BZ742" s="128">
        <f>IFERROR(AO742*$W742,)</f>
        <v/>
      </c>
      <c r="CA742" s="128">
        <f>IFERROR(AP742*$W742,)</f>
        <v/>
      </c>
      <c r="CB742" s="128">
        <f>IFERROR(AQ742*$W742,)</f>
        <v/>
      </c>
      <c r="CC742" s="128">
        <f>IFERROR(AR742*$W742,)</f>
        <v/>
      </c>
      <c r="CD742" s="128">
        <f>IFERROR(AS742*$W742,)</f>
        <v/>
      </c>
      <c r="CE742" s="128">
        <f>IFERROR(AT742*$W742,)</f>
        <v/>
      </c>
      <c r="CF742" s="128">
        <f>IFERROR(AU742*$W742,)</f>
        <v/>
      </c>
      <c r="CG742" s="128">
        <f>IFERROR(AV742*$W742,)</f>
        <v/>
      </c>
      <c r="CH742" s="128">
        <f>IFERROR(AW742*$W742,)</f>
        <v/>
      </c>
      <c r="CI742" s="128">
        <f>IFERROR(AX742*$W742,)</f>
        <v/>
      </c>
      <c r="CJ742" s="128">
        <f>IFERROR(AY742*$W742,)</f>
        <v/>
      </c>
      <c r="CK742" s="128">
        <f>IFERROR(AZ742*$W742,)</f>
        <v/>
      </c>
      <c r="CL742" s="129">
        <f>IFERROR(if($Y742=0,BA742*($W742/1.2),BA742*$Y742),"")</f>
        <v/>
      </c>
      <c r="CM742" s="129">
        <f>IFERROR(if($Y742=0,BB742*($W742/1.2),BB742*$Y742),"")</f>
        <v/>
      </c>
      <c r="CN742" s="129">
        <f>IFERROR(if($Y742=0,BC742*($W742/1.2),BC742*$Y742),"")</f>
        <v/>
      </c>
      <c r="CO742" s="130">
        <f>IFERROR(if($AA742=0,($W742/1.35)*BD742,BD742*$AA742),)</f>
        <v/>
      </c>
      <c r="CP742" s="130">
        <f>IFERROR(if($AA742=0,($W742/1.35)*BE742,BE742*$AA742),)</f>
        <v/>
      </c>
      <c r="CQ742" s="130">
        <f>IFERROR(if($AA742=0,($W742/1.35)*BF742,BF742*$AA742),)</f>
        <v/>
      </c>
      <c r="CR742" s="128">
        <f>IFERROR(if($AC742=0,($W742/0.74)*BG742,
BG742*$AC742),)</f>
        <v/>
      </c>
      <c r="CS742" s="128">
        <f>IFERROR(if($AC742=0,($W742/0.74)*BH742,
BH742*$AC742),)</f>
        <v/>
      </c>
      <c r="CT742" s="128">
        <f>IFERROR(if($AC742=0,($W742/0.74)*BI742,
BI742*$AC742),)</f>
        <v/>
      </c>
      <c r="CU742" s="128">
        <f>IFERROR(AI742*$V742,)</f>
        <v/>
      </c>
      <c r="CV742" s="128">
        <f>IFERROR(AJ742*$V742,)</f>
        <v/>
      </c>
      <c r="CW742" s="128">
        <f>IFERROR(AK742*$V742,)</f>
        <v/>
      </c>
      <c r="CX742" s="128">
        <f>IFERROR(AL742*$V742,)</f>
        <v/>
      </c>
      <c r="CY742" s="128">
        <f>IFERROR(AM742*$V742,)</f>
        <v/>
      </c>
      <c r="CZ742" s="128">
        <f>IFERROR(AN742*$V742,)</f>
        <v/>
      </c>
      <c r="DA742" s="128">
        <f>IFERROR(AO742*$V742,)</f>
        <v/>
      </c>
      <c r="DB742" s="128">
        <f>IFERROR(AP742*$V742,)</f>
        <v/>
      </c>
      <c r="DC742" s="128">
        <f>IFERROR(AQ742*$V742,)</f>
        <v/>
      </c>
      <c r="DD742" s="128">
        <f>IFERROR(AR742*$V742,)</f>
        <v/>
      </c>
      <c r="DE742" s="128">
        <f>IFERROR(AS742*$V742,)</f>
        <v/>
      </c>
      <c r="DF742" s="128">
        <f>IFERROR(AT742*$V742,)</f>
        <v/>
      </c>
      <c r="DG742" s="128">
        <f>IFERROR(AU742*$V742,)</f>
        <v/>
      </c>
      <c r="DH742" s="128">
        <f>IFERROR(AV742*$V742,)</f>
        <v/>
      </c>
      <c r="DI742" s="128">
        <f>IFERROR(AW742*$V742,)</f>
        <v/>
      </c>
      <c r="DJ742" s="128">
        <f>IFERROR(AX742*$V742,)</f>
        <v/>
      </c>
      <c r="DK742" s="128">
        <f>IFERROR(AY742*$V742,)</f>
        <v/>
      </c>
      <c r="DL742" s="128">
        <f>IFERROR(AZ742*$V742,)</f>
        <v/>
      </c>
      <c r="DM742" s="129">
        <f>IFERROR(if($X742=0,($V742/1.2)*BA742,
BA742*$X742),)</f>
        <v/>
      </c>
      <c r="DN742" s="129">
        <f>IFERROR(if($X742=0,($V742/1.2)*BB742,
BB742*$X742),)</f>
        <v/>
      </c>
      <c r="DO742" s="129">
        <f>IFERROR(if($X742=0,($V742/1.2)*BC742,
BC742*$X742),)</f>
        <v/>
      </c>
      <c r="DP742" s="130">
        <f>IFERROR(if($Z742=0,($V742/1.35)*BD742,
BD742*$Z742),)</f>
        <v/>
      </c>
      <c r="DQ742" s="130">
        <f>IFERROR(if($Z742=0,($V742/1.35)*BE742,
BE742*$Z742),)</f>
        <v/>
      </c>
      <c r="DR742" s="130">
        <f>IFERROR(if($Z742=0,($V742/1.35)*BF742,
BF742*$Z742),)</f>
        <v/>
      </c>
      <c r="DS742" s="128">
        <f>IFERROR(IF($AB742=0,($V742/0.74)*BG742,
BG742*$AB742),)</f>
        <v/>
      </c>
      <c r="DT742" s="128">
        <f>IFERROR(IF($AB742=0,($V742/0.74)*BH742,
BH742*$AB742),)</f>
        <v/>
      </c>
      <c r="DU742" s="128">
        <f>IFERROR(IF($AB742=0,($V742/0.74)*BI742,
BI742*$AB742),)</f>
        <v/>
      </c>
    </row>
    <row r="743" ht="131.25" customHeight="1" s="162">
      <c r="A743" s="115" t="n"/>
      <c r="B743" s="115" t="n"/>
      <c r="C743" s="115" t="n"/>
      <c r="D743" s="115" t="n"/>
      <c r="E743" s="115" t="n"/>
      <c r="F743" s="115" t="n"/>
      <c r="G743" s="115" t="n"/>
      <c r="H743" s="115" t="n"/>
      <c r="I743" s="115" t="n"/>
      <c r="J743" s="115" t="n"/>
      <c r="K743" s="115" t="n"/>
      <c r="L743" s="115" t="n"/>
      <c r="M743" s="115" t="n"/>
      <c r="N743" s="115" t="n"/>
      <c r="O743" s="115" t="n"/>
      <c r="P743" s="115" t="n"/>
      <c r="Q743" s="115" t="n"/>
      <c r="R743" s="115" t="n"/>
      <c r="S743" s="115" t="n"/>
      <c r="T743" s="115" t="n"/>
      <c r="U743" s="116" t="n"/>
      <c r="V743" s="116" t="n"/>
      <c r="W743" s="117" t="n"/>
      <c r="X743" s="118" t="n"/>
      <c r="Y743" s="119" t="n"/>
      <c r="Z743" s="120" t="n"/>
      <c r="AA743" s="121" t="n"/>
      <c r="AB743" s="122" t="n"/>
      <c r="AC743" s="117" t="n"/>
      <c r="AD743" s="123">
        <f>IF(SUM($AE743:$AH743)=0,"",SUM($AE743:$AH743))</f>
        <v/>
      </c>
      <c r="AE743" s="123">
        <f>iferror(IF(SUM($AI743:$AZ743)=0,"",SUM($AI743:$AZ743)),"")</f>
        <v/>
      </c>
      <c r="AF743" s="123">
        <f>iferror(IF(SUM($BA743:$BC743)=0,"",SUM($BA743:$BC743)),"")</f>
        <v/>
      </c>
      <c r="AG743" s="123">
        <f>iferror(IF(SUM($BD743:$BF743)=0,"",SUM($BD743:$BF743)),"")</f>
        <v/>
      </c>
      <c r="AH743" s="124">
        <f>iferror(IF(SUM($BG743:$BI743)=0,"",SUM($BG743:$BI743)),"")</f>
        <v/>
      </c>
      <c r="AI743" s="131" t="n"/>
      <c r="AJ743" s="132" t="n"/>
      <c r="AK743" s="132" t="n"/>
      <c r="AL743" s="132" t="n"/>
      <c r="AM743" s="132" t="n"/>
      <c r="AN743" s="132" t="n"/>
      <c r="AO743" s="132" t="n"/>
      <c r="AP743" s="132" t="n"/>
      <c r="AQ743" s="132" t="n"/>
      <c r="AR743" s="132" t="n"/>
      <c r="AS743" s="132" t="n"/>
      <c r="AT743" s="132" t="n"/>
      <c r="AU743" s="132" t="n"/>
      <c r="AV743" s="132" t="n"/>
      <c r="AW743" s="132" t="n"/>
      <c r="AX743" s="132" t="n"/>
      <c r="AY743" s="132" t="n"/>
      <c r="AZ743" s="133" t="n"/>
      <c r="BA743" s="131" t="n"/>
      <c r="BB743" s="132" t="n"/>
      <c r="BC743" s="133" t="n"/>
      <c r="BD743" s="131" t="n"/>
      <c r="BE743" s="132" t="n"/>
      <c r="BF743" s="133" t="n"/>
      <c r="BG743" s="131" t="n"/>
      <c r="BH743" s="132" t="n"/>
      <c r="BI743" s="132" t="n"/>
      <c r="BJ743" s="128">
        <f>iferror(SUM($BK743,($BL743*1.2),($BM743*1.35),($BN743*0.74)),)</f>
        <v/>
      </c>
      <c r="BK743" s="128">
        <f>IFERROR(SUM($BT743:$CK743),)</f>
        <v/>
      </c>
      <c r="BL743" s="129">
        <f>IFERROR(SUM($CL743:$CN743),)</f>
        <v/>
      </c>
      <c r="BM743" s="130">
        <f>IFERROR(SUM($CO743:$CQ743),)</f>
        <v/>
      </c>
      <c r="BN743" s="128">
        <f>IFERROR(SUM($CR743:$CT743),)</f>
        <v/>
      </c>
      <c r="BO743" s="128">
        <f>iferror(SUM($BP743,($BQ743*1.2),($BR743*1.35),($BS743*0.74)),)</f>
        <v/>
      </c>
      <c r="BP743" s="128">
        <f>IFERROR(SUM($CU743:$DL743),)</f>
        <v/>
      </c>
      <c r="BQ743" s="128">
        <f>IFERROR(SUM($DM743:$DO743),)</f>
        <v/>
      </c>
      <c r="BR743" s="128">
        <f>IFERROR(SUM($DP743:$DR743),)</f>
        <v/>
      </c>
      <c r="BS743" s="128">
        <f>IFERROR(SUM($DS743:$DU743),)</f>
        <v/>
      </c>
      <c r="BT743" s="128">
        <f>IFERROR(AI743*$W743,)</f>
        <v/>
      </c>
      <c r="BU743" s="128">
        <f>IFERROR(AJ743*$W743,)</f>
        <v/>
      </c>
      <c r="BV743" s="128">
        <f>IFERROR(AK743*$W743,)</f>
        <v/>
      </c>
      <c r="BW743" s="128">
        <f>IFERROR(AL743*$W743,)</f>
        <v/>
      </c>
      <c r="BX743" s="128">
        <f>IFERROR(AM743*$W743,)</f>
        <v/>
      </c>
      <c r="BY743" s="128">
        <f>IFERROR(AN743*$W743,)</f>
        <v/>
      </c>
      <c r="BZ743" s="128">
        <f>IFERROR(AO743*$W743,)</f>
        <v/>
      </c>
      <c r="CA743" s="128">
        <f>IFERROR(AP743*$W743,)</f>
        <v/>
      </c>
      <c r="CB743" s="128">
        <f>IFERROR(AQ743*$W743,)</f>
        <v/>
      </c>
      <c r="CC743" s="128">
        <f>IFERROR(AR743*$W743,)</f>
        <v/>
      </c>
      <c r="CD743" s="128">
        <f>IFERROR(AS743*$W743,)</f>
        <v/>
      </c>
      <c r="CE743" s="128">
        <f>IFERROR(AT743*$W743,)</f>
        <v/>
      </c>
      <c r="CF743" s="128">
        <f>IFERROR(AU743*$W743,)</f>
        <v/>
      </c>
      <c r="CG743" s="128">
        <f>IFERROR(AV743*$W743,)</f>
        <v/>
      </c>
      <c r="CH743" s="128">
        <f>IFERROR(AW743*$W743,)</f>
        <v/>
      </c>
      <c r="CI743" s="128">
        <f>IFERROR(AX743*$W743,)</f>
        <v/>
      </c>
      <c r="CJ743" s="128">
        <f>IFERROR(AY743*$W743,)</f>
        <v/>
      </c>
      <c r="CK743" s="128">
        <f>IFERROR(AZ743*$W743,)</f>
        <v/>
      </c>
      <c r="CL743" s="129">
        <f>IFERROR(if($Y743=0,BA743*($W743/1.2),BA743*$Y743),"")</f>
        <v/>
      </c>
      <c r="CM743" s="129">
        <f>IFERROR(if($Y743=0,BB743*($W743/1.2),BB743*$Y743),"")</f>
        <v/>
      </c>
      <c r="CN743" s="129">
        <f>IFERROR(if($Y743=0,BC743*($W743/1.2),BC743*$Y743),"")</f>
        <v/>
      </c>
      <c r="CO743" s="130">
        <f>IFERROR(if($AA743=0,($W743/1.35)*BD743,BD743*$AA743),)</f>
        <v/>
      </c>
      <c r="CP743" s="130">
        <f>IFERROR(if($AA743=0,($W743/1.35)*BE743,BE743*$AA743),)</f>
        <v/>
      </c>
      <c r="CQ743" s="130">
        <f>IFERROR(if($AA743=0,($W743/1.35)*BF743,BF743*$AA743),)</f>
        <v/>
      </c>
      <c r="CR743" s="128">
        <f>IFERROR(if($AC743=0,($W743/0.74)*BG743,
BG743*$AC743),)</f>
        <v/>
      </c>
      <c r="CS743" s="128">
        <f>IFERROR(if($AC743=0,($W743/0.74)*BH743,
BH743*$AC743),)</f>
        <v/>
      </c>
      <c r="CT743" s="128">
        <f>IFERROR(if($AC743=0,($W743/0.74)*BI743,
BI743*$AC743),)</f>
        <v/>
      </c>
      <c r="CU743" s="128">
        <f>IFERROR(AI743*$V743,)</f>
        <v/>
      </c>
      <c r="CV743" s="128">
        <f>IFERROR(AJ743*$V743,)</f>
        <v/>
      </c>
      <c r="CW743" s="128">
        <f>IFERROR(AK743*$V743,)</f>
        <v/>
      </c>
      <c r="CX743" s="128">
        <f>IFERROR(AL743*$V743,)</f>
        <v/>
      </c>
      <c r="CY743" s="128">
        <f>IFERROR(AM743*$V743,)</f>
        <v/>
      </c>
      <c r="CZ743" s="128">
        <f>IFERROR(AN743*$V743,)</f>
        <v/>
      </c>
      <c r="DA743" s="128">
        <f>IFERROR(AO743*$V743,)</f>
        <v/>
      </c>
      <c r="DB743" s="128">
        <f>IFERROR(AP743*$V743,)</f>
        <v/>
      </c>
      <c r="DC743" s="128">
        <f>IFERROR(AQ743*$V743,)</f>
        <v/>
      </c>
      <c r="DD743" s="128">
        <f>IFERROR(AR743*$V743,)</f>
        <v/>
      </c>
      <c r="DE743" s="128">
        <f>IFERROR(AS743*$V743,)</f>
        <v/>
      </c>
      <c r="DF743" s="128">
        <f>IFERROR(AT743*$V743,)</f>
        <v/>
      </c>
      <c r="DG743" s="128">
        <f>IFERROR(AU743*$V743,)</f>
        <v/>
      </c>
      <c r="DH743" s="128">
        <f>IFERROR(AV743*$V743,)</f>
        <v/>
      </c>
      <c r="DI743" s="128">
        <f>IFERROR(AW743*$V743,)</f>
        <v/>
      </c>
      <c r="DJ743" s="128">
        <f>IFERROR(AX743*$V743,)</f>
        <v/>
      </c>
      <c r="DK743" s="128">
        <f>IFERROR(AY743*$V743,)</f>
        <v/>
      </c>
      <c r="DL743" s="128">
        <f>IFERROR(AZ743*$V743,)</f>
        <v/>
      </c>
      <c r="DM743" s="129">
        <f>IFERROR(if($X743=0,($V743/1.2)*BA743,
BA743*$X743),)</f>
        <v/>
      </c>
      <c r="DN743" s="129">
        <f>IFERROR(if($X743=0,($V743/1.2)*BB743,
BB743*$X743),)</f>
        <v/>
      </c>
      <c r="DO743" s="129">
        <f>IFERROR(if($X743=0,($V743/1.2)*BC743,
BC743*$X743),)</f>
        <v/>
      </c>
      <c r="DP743" s="130">
        <f>IFERROR(if($Z743=0,($V743/1.35)*BD743,
BD743*$Z743),)</f>
        <v/>
      </c>
      <c r="DQ743" s="130">
        <f>IFERROR(if($Z743=0,($V743/1.35)*BE743,
BE743*$Z743),)</f>
        <v/>
      </c>
      <c r="DR743" s="130">
        <f>IFERROR(if($Z743=0,($V743/1.35)*BF743,
BF743*$Z743),)</f>
        <v/>
      </c>
      <c r="DS743" s="128">
        <f>IFERROR(IF($AB743=0,($V743/0.74)*BG743,
BG743*$AB743),)</f>
        <v/>
      </c>
      <c r="DT743" s="128">
        <f>IFERROR(IF($AB743=0,($V743/0.74)*BH743,
BH743*$AB743),)</f>
        <v/>
      </c>
      <c r="DU743" s="128">
        <f>IFERROR(IF($AB743=0,($V743/0.74)*BI743,
BI743*$AB743),)</f>
        <v/>
      </c>
    </row>
    <row r="744" ht="131.25" customHeight="1" s="162">
      <c r="A744" s="115" t="n"/>
      <c r="B744" s="115" t="n"/>
      <c r="C744" s="115" t="n"/>
      <c r="D744" s="115" t="n"/>
      <c r="E744" s="115" t="n"/>
      <c r="F744" s="115" t="n"/>
      <c r="G744" s="115" t="n"/>
      <c r="H744" s="115" t="n"/>
      <c r="I744" s="115" t="n"/>
      <c r="J744" s="115" t="n"/>
      <c r="K744" s="115" t="n"/>
      <c r="L744" s="115" t="n"/>
      <c r="M744" s="115" t="n"/>
      <c r="N744" s="115" t="n"/>
      <c r="O744" s="115" t="n"/>
      <c r="P744" s="115" t="n"/>
      <c r="Q744" s="115" t="n"/>
      <c r="R744" s="115" t="n"/>
      <c r="S744" s="115" t="n"/>
      <c r="T744" s="115" t="n"/>
      <c r="U744" s="116" t="n"/>
      <c r="V744" s="116" t="n"/>
      <c r="W744" s="117" t="n"/>
      <c r="X744" s="118" t="n"/>
      <c r="Y744" s="119" t="n"/>
      <c r="Z744" s="120" t="n"/>
      <c r="AA744" s="121" t="n"/>
      <c r="AB744" s="122" t="n"/>
      <c r="AC744" s="117" t="n"/>
      <c r="AD744" s="123">
        <f>IF(SUM($AE744:$AH744)=0,"",SUM($AE744:$AH744))</f>
        <v/>
      </c>
      <c r="AE744" s="123">
        <f>iferror(IF(SUM($AI744:$AZ744)=0,"",SUM($AI744:$AZ744)),"")</f>
        <v/>
      </c>
      <c r="AF744" s="123">
        <f>iferror(IF(SUM($BA744:$BC744)=0,"",SUM($BA744:$BC744)),"")</f>
        <v/>
      </c>
      <c r="AG744" s="123">
        <f>iferror(IF(SUM($BD744:$BF744)=0,"",SUM($BD744:$BF744)),"")</f>
        <v/>
      </c>
      <c r="AH744" s="124">
        <f>iferror(IF(SUM($BG744:$BI744)=0,"",SUM($BG744:$BI744)),"")</f>
        <v/>
      </c>
      <c r="AI744" s="131" t="n"/>
      <c r="AJ744" s="132" t="n"/>
      <c r="AK744" s="132" t="n"/>
      <c r="AL744" s="132" t="n"/>
      <c r="AM744" s="132" t="n"/>
      <c r="AN744" s="132" t="n"/>
      <c r="AO744" s="132" t="n"/>
      <c r="AP744" s="132" t="n"/>
      <c r="AQ744" s="132" t="n"/>
      <c r="AR744" s="132" t="n"/>
      <c r="AS744" s="132" t="n"/>
      <c r="AT744" s="132" t="n"/>
      <c r="AU744" s="132" t="n"/>
      <c r="AV744" s="132" t="n"/>
      <c r="AW744" s="132" t="n"/>
      <c r="AX744" s="132" t="n"/>
      <c r="AY744" s="132" t="n"/>
      <c r="AZ744" s="133" t="n"/>
      <c r="BA744" s="131" t="n"/>
      <c r="BB744" s="132" t="n"/>
      <c r="BC744" s="133" t="n"/>
      <c r="BD744" s="131" t="n"/>
      <c r="BE744" s="132" t="n"/>
      <c r="BF744" s="133" t="n"/>
      <c r="BG744" s="131" t="n"/>
      <c r="BH744" s="132" t="n"/>
      <c r="BI744" s="132" t="n"/>
      <c r="BJ744" s="128">
        <f>iferror(SUM($BK744,($BL744*1.2),($BM744*1.35),($BN744*0.74)),)</f>
        <v/>
      </c>
      <c r="BK744" s="128">
        <f>IFERROR(SUM($BT744:$CK744),)</f>
        <v/>
      </c>
      <c r="BL744" s="129">
        <f>IFERROR(SUM($CL744:$CN744),)</f>
        <v/>
      </c>
      <c r="BM744" s="130">
        <f>IFERROR(SUM($CO744:$CQ744),)</f>
        <v/>
      </c>
      <c r="BN744" s="128">
        <f>IFERROR(SUM($CR744:$CT744),)</f>
        <v/>
      </c>
      <c r="BO744" s="128">
        <f>iferror(SUM($BP744,($BQ744*1.2),($BR744*1.35),($BS744*0.74)),)</f>
        <v/>
      </c>
      <c r="BP744" s="128">
        <f>IFERROR(SUM($CU744:$DL744),)</f>
        <v/>
      </c>
      <c r="BQ744" s="128">
        <f>IFERROR(SUM($DM744:$DO744),)</f>
        <v/>
      </c>
      <c r="BR744" s="128">
        <f>IFERROR(SUM($DP744:$DR744),)</f>
        <v/>
      </c>
      <c r="BS744" s="128">
        <f>IFERROR(SUM($DS744:$DU744),)</f>
        <v/>
      </c>
      <c r="BT744" s="128">
        <f>IFERROR(AI744*$W744,)</f>
        <v/>
      </c>
      <c r="BU744" s="128">
        <f>IFERROR(AJ744*$W744,)</f>
        <v/>
      </c>
      <c r="BV744" s="128">
        <f>IFERROR(AK744*$W744,)</f>
        <v/>
      </c>
      <c r="BW744" s="128">
        <f>IFERROR(AL744*$W744,)</f>
        <v/>
      </c>
      <c r="BX744" s="128">
        <f>IFERROR(AM744*$W744,)</f>
        <v/>
      </c>
      <c r="BY744" s="128">
        <f>IFERROR(AN744*$W744,)</f>
        <v/>
      </c>
      <c r="BZ744" s="128">
        <f>IFERROR(AO744*$W744,)</f>
        <v/>
      </c>
      <c r="CA744" s="128">
        <f>IFERROR(AP744*$W744,)</f>
        <v/>
      </c>
      <c r="CB744" s="128">
        <f>IFERROR(AQ744*$W744,)</f>
        <v/>
      </c>
      <c r="CC744" s="128">
        <f>IFERROR(AR744*$W744,)</f>
        <v/>
      </c>
      <c r="CD744" s="128">
        <f>IFERROR(AS744*$W744,)</f>
        <v/>
      </c>
      <c r="CE744" s="128">
        <f>IFERROR(AT744*$W744,)</f>
        <v/>
      </c>
      <c r="CF744" s="128">
        <f>IFERROR(AU744*$W744,)</f>
        <v/>
      </c>
      <c r="CG744" s="128">
        <f>IFERROR(AV744*$W744,)</f>
        <v/>
      </c>
      <c r="CH744" s="128">
        <f>IFERROR(AW744*$W744,)</f>
        <v/>
      </c>
      <c r="CI744" s="128">
        <f>IFERROR(AX744*$W744,)</f>
        <v/>
      </c>
      <c r="CJ744" s="128">
        <f>IFERROR(AY744*$W744,)</f>
        <v/>
      </c>
      <c r="CK744" s="128">
        <f>IFERROR(AZ744*$W744,)</f>
        <v/>
      </c>
      <c r="CL744" s="129">
        <f>IFERROR(if($Y744=0,BA744*($W744/1.2),BA744*$Y744),"")</f>
        <v/>
      </c>
      <c r="CM744" s="129">
        <f>IFERROR(if($Y744=0,BB744*($W744/1.2),BB744*$Y744),"")</f>
        <v/>
      </c>
      <c r="CN744" s="129">
        <f>IFERROR(if($Y744=0,BC744*($W744/1.2),BC744*$Y744),"")</f>
        <v/>
      </c>
      <c r="CO744" s="130">
        <f>IFERROR(if($AA744=0,($W744/1.35)*BD744,BD744*$AA744),)</f>
        <v/>
      </c>
      <c r="CP744" s="130">
        <f>IFERROR(if($AA744=0,($W744/1.35)*BE744,BE744*$AA744),)</f>
        <v/>
      </c>
      <c r="CQ744" s="130">
        <f>IFERROR(if($AA744=0,($W744/1.35)*BF744,BF744*$AA744),)</f>
        <v/>
      </c>
      <c r="CR744" s="128">
        <f>IFERROR(if($AC744=0,($W744/0.74)*BG744,
BG744*$AC744),)</f>
        <v/>
      </c>
      <c r="CS744" s="128">
        <f>IFERROR(if($AC744=0,($W744/0.74)*BH744,
BH744*$AC744),)</f>
        <v/>
      </c>
      <c r="CT744" s="128">
        <f>IFERROR(if($AC744=0,($W744/0.74)*BI744,
BI744*$AC744),)</f>
        <v/>
      </c>
      <c r="CU744" s="128">
        <f>IFERROR(AI744*$V744,)</f>
        <v/>
      </c>
      <c r="CV744" s="128">
        <f>IFERROR(AJ744*$V744,)</f>
        <v/>
      </c>
      <c r="CW744" s="128">
        <f>IFERROR(AK744*$V744,)</f>
        <v/>
      </c>
      <c r="CX744" s="128">
        <f>IFERROR(AL744*$V744,)</f>
        <v/>
      </c>
      <c r="CY744" s="128">
        <f>IFERROR(AM744*$V744,)</f>
        <v/>
      </c>
      <c r="CZ744" s="128">
        <f>IFERROR(AN744*$V744,)</f>
        <v/>
      </c>
      <c r="DA744" s="128">
        <f>IFERROR(AO744*$V744,)</f>
        <v/>
      </c>
      <c r="DB744" s="128">
        <f>IFERROR(AP744*$V744,)</f>
        <v/>
      </c>
      <c r="DC744" s="128">
        <f>IFERROR(AQ744*$V744,)</f>
        <v/>
      </c>
      <c r="DD744" s="128">
        <f>IFERROR(AR744*$V744,)</f>
        <v/>
      </c>
      <c r="DE744" s="128">
        <f>IFERROR(AS744*$V744,)</f>
        <v/>
      </c>
      <c r="DF744" s="128">
        <f>IFERROR(AT744*$V744,)</f>
        <v/>
      </c>
      <c r="DG744" s="128">
        <f>IFERROR(AU744*$V744,)</f>
        <v/>
      </c>
      <c r="DH744" s="128">
        <f>IFERROR(AV744*$V744,)</f>
        <v/>
      </c>
      <c r="DI744" s="128">
        <f>IFERROR(AW744*$V744,)</f>
        <v/>
      </c>
      <c r="DJ744" s="128">
        <f>IFERROR(AX744*$V744,)</f>
        <v/>
      </c>
      <c r="DK744" s="128">
        <f>IFERROR(AY744*$V744,)</f>
        <v/>
      </c>
      <c r="DL744" s="128">
        <f>IFERROR(AZ744*$V744,)</f>
        <v/>
      </c>
      <c r="DM744" s="129">
        <f>IFERROR(if($X744=0,($V744/1.2)*BA744,
BA744*$X744),)</f>
        <v/>
      </c>
      <c r="DN744" s="129">
        <f>IFERROR(if($X744=0,($V744/1.2)*BB744,
BB744*$X744),)</f>
        <v/>
      </c>
      <c r="DO744" s="129">
        <f>IFERROR(if($X744=0,($V744/1.2)*BC744,
BC744*$X744),)</f>
        <v/>
      </c>
      <c r="DP744" s="130">
        <f>IFERROR(if($Z744=0,($V744/1.35)*BD744,
BD744*$Z744),)</f>
        <v/>
      </c>
      <c r="DQ744" s="130">
        <f>IFERROR(if($Z744=0,($V744/1.35)*BE744,
BE744*$Z744),)</f>
        <v/>
      </c>
      <c r="DR744" s="130">
        <f>IFERROR(if($Z744=0,($V744/1.35)*BF744,
BF744*$Z744),)</f>
        <v/>
      </c>
      <c r="DS744" s="128">
        <f>IFERROR(IF($AB744=0,($V744/0.74)*BG744,
BG744*$AB744),)</f>
        <v/>
      </c>
      <c r="DT744" s="128">
        <f>IFERROR(IF($AB744=0,($V744/0.74)*BH744,
BH744*$AB744),)</f>
        <v/>
      </c>
      <c r="DU744" s="128">
        <f>IFERROR(IF($AB744=0,($V744/0.74)*BI744,
BI744*$AB744),)</f>
        <v/>
      </c>
    </row>
    <row r="745" ht="131.25" customHeight="1" s="162">
      <c r="A745" s="115" t="n"/>
      <c r="B745" s="115" t="n"/>
      <c r="C745" s="115" t="n"/>
      <c r="D745" s="115" t="n"/>
      <c r="E745" s="115" t="n"/>
      <c r="F745" s="115" t="n"/>
      <c r="G745" s="115" t="n"/>
      <c r="H745" s="115" t="n"/>
      <c r="I745" s="115" t="n"/>
      <c r="J745" s="115" t="n"/>
      <c r="K745" s="115" t="n"/>
      <c r="L745" s="115" t="n"/>
      <c r="M745" s="115" t="n"/>
      <c r="N745" s="115" t="n"/>
      <c r="O745" s="115" t="n"/>
      <c r="P745" s="115" t="n"/>
      <c r="Q745" s="115" t="n"/>
      <c r="R745" s="115" t="n"/>
      <c r="S745" s="115" t="n"/>
      <c r="T745" s="115" t="n"/>
      <c r="U745" s="116" t="n"/>
      <c r="V745" s="116" t="n"/>
      <c r="W745" s="117" t="n"/>
      <c r="X745" s="118" t="n"/>
      <c r="Y745" s="119" t="n"/>
      <c r="Z745" s="120" t="n"/>
      <c r="AA745" s="121" t="n"/>
      <c r="AB745" s="122" t="n"/>
      <c r="AC745" s="117" t="n"/>
      <c r="AD745" s="123">
        <f>IF(SUM($AE745:$AH745)=0,"",SUM($AE745:$AH745))</f>
        <v/>
      </c>
      <c r="AE745" s="123">
        <f>iferror(IF(SUM($AI745:$AZ745)=0,"",SUM($AI745:$AZ745)),"")</f>
        <v/>
      </c>
      <c r="AF745" s="123">
        <f>iferror(IF(SUM($BA745:$BC745)=0,"",SUM($BA745:$BC745)),"")</f>
        <v/>
      </c>
      <c r="AG745" s="123">
        <f>iferror(IF(SUM($BD745:$BF745)=0,"",SUM($BD745:$BF745)),"")</f>
        <v/>
      </c>
      <c r="AH745" s="124">
        <f>iferror(IF(SUM($BG745:$BI745)=0,"",SUM($BG745:$BI745)),"")</f>
        <v/>
      </c>
      <c r="AI745" s="131" t="n"/>
      <c r="AJ745" s="132" t="n"/>
      <c r="AK745" s="132" t="n"/>
      <c r="AL745" s="132" t="n"/>
      <c r="AM745" s="132" t="n"/>
      <c r="AN745" s="132" t="n"/>
      <c r="AO745" s="132" t="n"/>
      <c r="AP745" s="132" t="n"/>
      <c r="AQ745" s="132" t="n"/>
      <c r="AR745" s="132" t="n"/>
      <c r="AS745" s="132" t="n"/>
      <c r="AT745" s="132" t="n"/>
      <c r="AU745" s="132" t="n"/>
      <c r="AV745" s="132" t="n"/>
      <c r="AW745" s="132" t="n"/>
      <c r="AX745" s="132" t="n"/>
      <c r="AY745" s="132" t="n"/>
      <c r="AZ745" s="133" t="n"/>
      <c r="BA745" s="131" t="n"/>
      <c r="BB745" s="132" t="n"/>
      <c r="BC745" s="133" t="n"/>
      <c r="BD745" s="131" t="n"/>
      <c r="BE745" s="132" t="n"/>
      <c r="BF745" s="133" t="n"/>
      <c r="BG745" s="131" t="n"/>
      <c r="BH745" s="132" t="n"/>
      <c r="BI745" s="132" t="n"/>
      <c r="BJ745" s="128">
        <f>iferror(SUM($BK745,($BL745*1.2),($BM745*1.35),($BN745*0.74)),)</f>
        <v/>
      </c>
      <c r="BK745" s="128">
        <f>IFERROR(SUM($BT745:$CK745),)</f>
        <v/>
      </c>
      <c r="BL745" s="129">
        <f>IFERROR(SUM($CL745:$CN745),)</f>
        <v/>
      </c>
      <c r="BM745" s="130">
        <f>IFERROR(SUM($CO745:$CQ745),)</f>
        <v/>
      </c>
      <c r="BN745" s="128">
        <f>IFERROR(SUM($CR745:$CT745),)</f>
        <v/>
      </c>
      <c r="BO745" s="128">
        <f>iferror(SUM($BP745,($BQ745*1.2),($BR745*1.35),($BS745*0.74)),)</f>
        <v/>
      </c>
      <c r="BP745" s="128">
        <f>IFERROR(SUM($CU745:$DL745),)</f>
        <v/>
      </c>
      <c r="BQ745" s="128">
        <f>IFERROR(SUM($DM745:$DO745),)</f>
        <v/>
      </c>
      <c r="BR745" s="128">
        <f>IFERROR(SUM($DP745:$DR745),)</f>
        <v/>
      </c>
      <c r="BS745" s="128">
        <f>IFERROR(SUM($DS745:$DU745),)</f>
        <v/>
      </c>
      <c r="BT745" s="128">
        <f>IFERROR(AI745*$W745,)</f>
        <v/>
      </c>
      <c r="BU745" s="128">
        <f>IFERROR(AJ745*$W745,)</f>
        <v/>
      </c>
      <c r="BV745" s="128">
        <f>IFERROR(AK745*$W745,)</f>
        <v/>
      </c>
      <c r="BW745" s="128">
        <f>IFERROR(AL745*$W745,)</f>
        <v/>
      </c>
      <c r="BX745" s="128">
        <f>IFERROR(AM745*$W745,)</f>
        <v/>
      </c>
      <c r="BY745" s="128">
        <f>IFERROR(AN745*$W745,)</f>
        <v/>
      </c>
      <c r="BZ745" s="128">
        <f>IFERROR(AO745*$W745,)</f>
        <v/>
      </c>
      <c r="CA745" s="128">
        <f>IFERROR(AP745*$W745,)</f>
        <v/>
      </c>
      <c r="CB745" s="128">
        <f>IFERROR(AQ745*$W745,)</f>
        <v/>
      </c>
      <c r="CC745" s="128">
        <f>IFERROR(AR745*$W745,)</f>
        <v/>
      </c>
      <c r="CD745" s="128">
        <f>IFERROR(AS745*$W745,)</f>
        <v/>
      </c>
      <c r="CE745" s="128">
        <f>IFERROR(AT745*$W745,)</f>
        <v/>
      </c>
      <c r="CF745" s="128">
        <f>IFERROR(AU745*$W745,)</f>
        <v/>
      </c>
      <c r="CG745" s="128">
        <f>IFERROR(AV745*$W745,)</f>
        <v/>
      </c>
      <c r="CH745" s="128">
        <f>IFERROR(AW745*$W745,)</f>
        <v/>
      </c>
      <c r="CI745" s="128">
        <f>IFERROR(AX745*$W745,)</f>
        <v/>
      </c>
      <c r="CJ745" s="128">
        <f>IFERROR(AY745*$W745,)</f>
        <v/>
      </c>
      <c r="CK745" s="128">
        <f>IFERROR(AZ745*$W745,)</f>
        <v/>
      </c>
      <c r="CL745" s="129">
        <f>IFERROR(if($Y745=0,BA745*($W745/1.2),BA745*$Y745),"")</f>
        <v/>
      </c>
      <c r="CM745" s="129">
        <f>IFERROR(if($Y745=0,BB745*($W745/1.2),BB745*$Y745),"")</f>
        <v/>
      </c>
      <c r="CN745" s="129">
        <f>IFERROR(if($Y745=0,BC745*($W745/1.2),BC745*$Y745),"")</f>
        <v/>
      </c>
      <c r="CO745" s="130">
        <f>IFERROR(if($AA745=0,($W745/1.35)*BD745,BD745*$AA745),)</f>
        <v/>
      </c>
      <c r="CP745" s="130">
        <f>IFERROR(if($AA745=0,($W745/1.35)*BE745,BE745*$AA745),)</f>
        <v/>
      </c>
      <c r="CQ745" s="130">
        <f>IFERROR(if($AA745=0,($W745/1.35)*BF745,BF745*$AA745),)</f>
        <v/>
      </c>
      <c r="CR745" s="128">
        <f>IFERROR(if($AC745=0,($W745/0.74)*BG745,
BG745*$AC745),)</f>
        <v/>
      </c>
      <c r="CS745" s="128">
        <f>IFERROR(if($AC745=0,($W745/0.74)*BH745,
BH745*$AC745),)</f>
        <v/>
      </c>
      <c r="CT745" s="128">
        <f>IFERROR(if($AC745=0,($W745/0.74)*BI745,
BI745*$AC745),)</f>
        <v/>
      </c>
      <c r="CU745" s="128">
        <f>IFERROR(AI745*$V745,)</f>
        <v/>
      </c>
      <c r="CV745" s="128">
        <f>IFERROR(AJ745*$V745,)</f>
        <v/>
      </c>
      <c r="CW745" s="128">
        <f>IFERROR(AK745*$V745,)</f>
        <v/>
      </c>
      <c r="CX745" s="128">
        <f>IFERROR(AL745*$V745,)</f>
        <v/>
      </c>
      <c r="CY745" s="128">
        <f>IFERROR(AM745*$V745,)</f>
        <v/>
      </c>
      <c r="CZ745" s="128">
        <f>IFERROR(AN745*$V745,)</f>
        <v/>
      </c>
      <c r="DA745" s="128">
        <f>IFERROR(AO745*$V745,)</f>
        <v/>
      </c>
      <c r="DB745" s="128">
        <f>IFERROR(AP745*$V745,)</f>
        <v/>
      </c>
      <c r="DC745" s="128">
        <f>IFERROR(AQ745*$V745,)</f>
        <v/>
      </c>
      <c r="DD745" s="128">
        <f>IFERROR(AR745*$V745,)</f>
        <v/>
      </c>
      <c r="DE745" s="128">
        <f>IFERROR(AS745*$V745,)</f>
        <v/>
      </c>
      <c r="DF745" s="128">
        <f>IFERROR(AT745*$V745,)</f>
        <v/>
      </c>
      <c r="DG745" s="128">
        <f>IFERROR(AU745*$V745,)</f>
        <v/>
      </c>
      <c r="DH745" s="128">
        <f>IFERROR(AV745*$V745,)</f>
        <v/>
      </c>
      <c r="DI745" s="128">
        <f>IFERROR(AW745*$V745,)</f>
        <v/>
      </c>
      <c r="DJ745" s="128">
        <f>IFERROR(AX745*$V745,)</f>
        <v/>
      </c>
      <c r="DK745" s="128">
        <f>IFERROR(AY745*$V745,)</f>
        <v/>
      </c>
      <c r="DL745" s="128">
        <f>IFERROR(AZ745*$V745,)</f>
        <v/>
      </c>
      <c r="DM745" s="129">
        <f>IFERROR(if($X745=0,($V745/1.2)*BA745,
BA745*$X745),)</f>
        <v/>
      </c>
      <c r="DN745" s="129">
        <f>IFERROR(if($X745=0,($V745/1.2)*BB745,
BB745*$X745),)</f>
        <v/>
      </c>
      <c r="DO745" s="129">
        <f>IFERROR(if($X745=0,($V745/1.2)*BC745,
BC745*$X745),)</f>
        <v/>
      </c>
      <c r="DP745" s="130">
        <f>IFERROR(if($Z745=0,($V745/1.35)*BD745,
BD745*$Z745),)</f>
        <v/>
      </c>
      <c r="DQ745" s="130">
        <f>IFERROR(if($Z745=0,($V745/1.35)*BE745,
BE745*$Z745),)</f>
        <v/>
      </c>
      <c r="DR745" s="130">
        <f>IFERROR(if($Z745=0,($V745/1.35)*BF745,
BF745*$Z745),)</f>
        <v/>
      </c>
      <c r="DS745" s="128">
        <f>IFERROR(IF($AB745=0,($V745/0.74)*BG745,
BG745*$AB745),)</f>
        <v/>
      </c>
      <c r="DT745" s="128">
        <f>IFERROR(IF($AB745=0,($V745/0.74)*BH745,
BH745*$AB745),)</f>
        <v/>
      </c>
      <c r="DU745" s="128">
        <f>IFERROR(IF($AB745=0,($V745/0.74)*BI745,
BI745*$AB745),)</f>
        <v/>
      </c>
    </row>
    <row r="746" ht="131.25" customHeight="1" s="162">
      <c r="A746" s="115" t="n"/>
      <c r="B746" s="115" t="n"/>
      <c r="C746" s="115" t="n"/>
      <c r="D746" s="115" t="n"/>
      <c r="E746" s="115" t="n"/>
      <c r="F746" s="115" t="n"/>
      <c r="G746" s="115" t="n"/>
      <c r="H746" s="115" t="n"/>
      <c r="I746" s="115" t="n"/>
      <c r="J746" s="115" t="n"/>
      <c r="K746" s="115" t="n"/>
      <c r="L746" s="115" t="n"/>
      <c r="M746" s="115" t="n"/>
      <c r="N746" s="115" t="n"/>
      <c r="O746" s="115" t="n"/>
      <c r="P746" s="115" t="n"/>
      <c r="Q746" s="115" t="n"/>
      <c r="R746" s="115" t="n"/>
      <c r="S746" s="115" t="n"/>
      <c r="T746" s="115" t="n"/>
      <c r="U746" s="116" t="n"/>
      <c r="V746" s="116" t="n"/>
      <c r="W746" s="117" t="n"/>
      <c r="X746" s="118" t="n"/>
      <c r="Y746" s="119" t="n"/>
      <c r="Z746" s="120" t="n"/>
      <c r="AA746" s="121" t="n"/>
      <c r="AB746" s="122" t="n"/>
      <c r="AC746" s="117" t="n"/>
      <c r="AD746" s="123">
        <f>IF(SUM($AE746:$AH746)=0,"",SUM($AE746:$AH746))</f>
        <v/>
      </c>
      <c r="AE746" s="123">
        <f>iferror(IF(SUM($AI746:$AZ746)=0,"",SUM($AI746:$AZ746)),"")</f>
        <v/>
      </c>
      <c r="AF746" s="123">
        <f>iferror(IF(SUM($BA746:$BC746)=0,"",SUM($BA746:$BC746)),"")</f>
        <v/>
      </c>
      <c r="AG746" s="123">
        <f>iferror(IF(SUM($BD746:$BF746)=0,"",SUM($BD746:$BF746)),"")</f>
        <v/>
      </c>
      <c r="AH746" s="124">
        <f>iferror(IF(SUM($BG746:$BI746)=0,"",SUM($BG746:$BI746)),"")</f>
        <v/>
      </c>
      <c r="AI746" s="131" t="n"/>
      <c r="AJ746" s="132" t="n"/>
      <c r="AK746" s="132" t="n"/>
      <c r="AL746" s="132" t="n"/>
      <c r="AM746" s="132" t="n"/>
      <c r="AN746" s="132" t="n"/>
      <c r="AO746" s="132" t="n"/>
      <c r="AP746" s="132" t="n"/>
      <c r="AQ746" s="132" t="n"/>
      <c r="AR746" s="132" t="n"/>
      <c r="AS746" s="132" t="n"/>
      <c r="AT746" s="132" t="n"/>
      <c r="AU746" s="132" t="n"/>
      <c r="AV746" s="132" t="n"/>
      <c r="AW746" s="132" t="n"/>
      <c r="AX746" s="132" t="n"/>
      <c r="AY746" s="132" t="n"/>
      <c r="AZ746" s="133" t="n"/>
      <c r="BA746" s="131" t="n"/>
      <c r="BB746" s="132" t="n"/>
      <c r="BC746" s="133" t="n"/>
      <c r="BD746" s="131" t="n"/>
      <c r="BE746" s="132" t="n"/>
      <c r="BF746" s="133" t="n"/>
      <c r="BG746" s="131" t="n"/>
      <c r="BH746" s="132" t="n"/>
      <c r="BI746" s="132" t="n"/>
      <c r="BJ746" s="128">
        <f>iferror(SUM($BK746,($BL746*1.2),($BM746*1.35),($BN746*0.74)),)</f>
        <v/>
      </c>
      <c r="BK746" s="128">
        <f>IFERROR(SUM($BT746:$CK746),)</f>
        <v/>
      </c>
      <c r="BL746" s="129">
        <f>IFERROR(SUM($CL746:$CN746),)</f>
        <v/>
      </c>
      <c r="BM746" s="130">
        <f>IFERROR(SUM($CO746:$CQ746),)</f>
        <v/>
      </c>
      <c r="BN746" s="128">
        <f>IFERROR(SUM($CR746:$CT746),)</f>
        <v/>
      </c>
      <c r="BO746" s="128">
        <f>iferror(SUM($BP746,($BQ746*1.2),($BR746*1.35),($BS746*0.74)),)</f>
        <v/>
      </c>
      <c r="BP746" s="128">
        <f>IFERROR(SUM($CU746:$DL746),)</f>
        <v/>
      </c>
      <c r="BQ746" s="128">
        <f>IFERROR(SUM($DM746:$DO746),)</f>
        <v/>
      </c>
      <c r="BR746" s="128">
        <f>IFERROR(SUM($DP746:$DR746),)</f>
        <v/>
      </c>
      <c r="BS746" s="128">
        <f>IFERROR(SUM($DS746:$DU746),)</f>
        <v/>
      </c>
      <c r="BT746" s="128">
        <f>IFERROR(AI746*$W746,)</f>
        <v/>
      </c>
      <c r="BU746" s="128">
        <f>IFERROR(AJ746*$W746,)</f>
        <v/>
      </c>
      <c r="BV746" s="128">
        <f>IFERROR(AK746*$W746,)</f>
        <v/>
      </c>
      <c r="BW746" s="128">
        <f>IFERROR(AL746*$W746,)</f>
        <v/>
      </c>
      <c r="BX746" s="128">
        <f>IFERROR(AM746*$W746,)</f>
        <v/>
      </c>
      <c r="BY746" s="128">
        <f>IFERROR(AN746*$W746,)</f>
        <v/>
      </c>
      <c r="BZ746" s="128">
        <f>IFERROR(AO746*$W746,)</f>
        <v/>
      </c>
      <c r="CA746" s="128">
        <f>IFERROR(AP746*$W746,)</f>
        <v/>
      </c>
      <c r="CB746" s="128">
        <f>IFERROR(AQ746*$W746,)</f>
        <v/>
      </c>
      <c r="CC746" s="128">
        <f>IFERROR(AR746*$W746,)</f>
        <v/>
      </c>
      <c r="CD746" s="128">
        <f>IFERROR(AS746*$W746,)</f>
        <v/>
      </c>
      <c r="CE746" s="128">
        <f>IFERROR(AT746*$W746,)</f>
        <v/>
      </c>
      <c r="CF746" s="128">
        <f>IFERROR(AU746*$W746,)</f>
        <v/>
      </c>
      <c r="CG746" s="128">
        <f>IFERROR(AV746*$W746,)</f>
        <v/>
      </c>
      <c r="CH746" s="128">
        <f>IFERROR(AW746*$W746,)</f>
        <v/>
      </c>
      <c r="CI746" s="128">
        <f>IFERROR(AX746*$W746,)</f>
        <v/>
      </c>
      <c r="CJ746" s="128">
        <f>IFERROR(AY746*$W746,)</f>
        <v/>
      </c>
      <c r="CK746" s="128">
        <f>IFERROR(AZ746*$W746,)</f>
        <v/>
      </c>
      <c r="CL746" s="129">
        <f>IFERROR(if($Y746=0,BA746*($W746/1.2),BA746*$Y746),"")</f>
        <v/>
      </c>
      <c r="CM746" s="129">
        <f>IFERROR(if($Y746=0,BB746*($W746/1.2),BB746*$Y746),"")</f>
        <v/>
      </c>
      <c r="CN746" s="129">
        <f>IFERROR(if($Y746=0,BC746*($W746/1.2),BC746*$Y746),"")</f>
        <v/>
      </c>
      <c r="CO746" s="130">
        <f>IFERROR(if($AA746=0,($W746/1.35)*BD746,BD746*$AA746),)</f>
        <v/>
      </c>
      <c r="CP746" s="130">
        <f>IFERROR(if($AA746=0,($W746/1.35)*BE746,BE746*$AA746),)</f>
        <v/>
      </c>
      <c r="CQ746" s="130">
        <f>IFERROR(if($AA746=0,($W746/1.35)*BF746,BF746*$AA746),)</f>
        <v/>
      </c>
      <c r="CR746" s="128">
        <f>IFERROR(if($AC746=0,($W746/0.74)*BG746,
BG746*$AC746),)</f>
        <v/>
      </c>
      <c r="CS746" s="128">
        <f>IFERROR(if($AC746=0,($W746/0.74)*BH746,
BH746*$AC746),)</f>
        <v/>
      </c>
      <c r="CT746" s="128">
        <f>IFERROR(if($AC746=0,($W746/0.74)*BI746,
BI746*$AC746),)</f>
        <v/>
      </c>
      <c r="CU746" s="128">
        <f>IFERROR(AI746*$V746,)</f>
        <v/>
      </c>
      <c r="CV746" s="128">
        <f>IFERROR(AJ746*$V746,)</f>
        <v/>
      </c>
      <c r="CW746" s="128">
        <f>IFERROR(AK746*$V746,)</f>
        <v/>
      </c>
      <c r="CX746" s="128">
        <f>IFERROR(AL746*$V746,)</f>
        <v/>
      </c>
      <c r="CY746" s="128">
        <f>IFERROR(AM746*$V746,)</f>
        <v/>
      </c>
      <c r="CZ746" s="128">
        <f>IFERROR(AN746*$V746,)</f>
        <v/>
      </c>
      <c r="DA746" s="128">
        <f>IFERROR(AO746*$V746,)</f>
        <v/>
      </c>
      <c r="DB746" s="128">
        <f>IFERROR(AP746*$V746,)</f>
        <v/>
      </c>
      <c r="DC746" s="128">
        <f>IFERROR(AQ746*$V746,)</f>
        <v/>
      </c>
      <c r="DD746" s="128">
        <f>IFERROR(AR746*$V746,)</f>
        <v/>
      </c>
      <c r="DE746" s="128">
        <f>IFERROR(AS746*$V746,)</f>
        <v/>
      </c>
      <c r="DF746" s="128">
        <f>IFERROR(AT746*$V746,)</f>
        <v/>
      </c>
      <c r="DG746" s="128">
        <f>IFERROR(AU746*$V746,)</f>
        <v/>
      </c>
      <c r="DH746" s="128">
        <f>IFERROR(AV746*$V746,)</f>
        <v/>
      </c>
      <c r="DI746" s="128">
        <f>IFERROR(AW746*$V746,)</f>
        <v/>
      </c>
      <c r="DJ746" s="128">
        <f>IFERROR(AX746*$V746,)</f>
        <v/>
      </c>
      <c r="DK746" s="128">
        <f>IFERROR(AY746*$V746,)</f>
        <v/>
      </c>
      <c r="DL746" s="128">
        <f>IFERROR(AZ746*$V746,)</f>
        <v/>
      </c>
      <c r="DM746" s="129">
        <f>IFERROR(if($X746=0,($V746/1.2)*BA746,
BA746*$X746),)</f>
        <v/>
      </c>
      <c r="DN746" s="129">
        <f>IFERROR(if($X746=0,($V746/1.2)*BB746,
BB746*$X746),)</f>
        <v/>
      </c>
      <c r="DO746" s="129">
        <f>IFERROR(if($X746=0,($V746/1.2)*BC746,
BC746*$X746),)</f>
        <v/>
      </c>
      <c r="DP746" s="130">
        <f>IFERROR(if($Z746=0,($V746/1.35)*BD746,
BD746*$Z746),)</f>
        <v/>
      </c>
      <c r="DQ746" s="130">
        <f>IFERROR(if($Z746=0,($V746/1.35)*BE746,
BE746*$Z746),)</f>
        <v/>
      </c>
      <c r="DR746" s="130">
        <f>IFERROR(if($Z746=0,($V746/1.35)*BF746,
BF746*$Z746),)</f>
        <v/>
      </c>
      <c r="DS746" s="128">
        <f>IFERROR(IF($AB746=0,($V746/0.74)*BG746,
BG746*$AB746),)</f>
        <v/>
      </c>
      <c r="DT746" s="128">
        <f>IFERROR(IF($AB746=0,($V746/0.74)*BH746,
BH746*$AB746),)</f>
        <v/>
      </c>
      <c r="DU746" s="128">
        <f>IFERROR(IF($AB746=0,($V746/0.74)*BI746,
BI746*$AB746),)</f>
        <v/>
      </c>
    </row>
    <row r="747" ht="131.25" customHeight="1" s="162">
      <c r="A747" s="115" t="n"/>
      <c r="B747" s="115" t="n"/>
      <c r="C747" s="115" t="n"/>
      <c r="D747" s="115" t="n"/>
      <c r="E747" s="115" t="n"/>
      <c r="F747" s="115" t="n"/>
      <c r="G747" s="115" t="n"/>
      <c r="H747" s="115" t="n"/>
      <c r="I747" s="115" t="n"/>
      <c r="J747" s="115" t="n"/>
      <c r="K747" s="115" t="n"/>
      <c r="L747" s="115" t="n"/>
      <c r="M747" s="115" t="n"/>
      <c r="N747" s="115" t="n"/>
      <c r="O747" s="115" t="n"/>
      <c r="P747" s="115" t="n"/>
      <c r="Q747" s="115" t="n"/>
      <c r="R747" s="115" t="n"/>
      <c r="S747" s="115" t="n"/>
      <c r="T747" s="115" t="n"/>
      <c r="U747" s="116" t="n"/>
      <c r="V747" s="116" t="n"/>
      <c r="W747" s="117" t="n"/>
      <c r="X747" s="118" t="n"/>
      <c r="Y747" s="119" t="n"/>
      <c r="Z747" s="120" t="n"/>
      <c r="AA747" s="121" t="n"/>
      <c r="AB747" s="122" t="n"/>
      <c r="AC747" s="117" t="n"/>
      <c r="AD747" s="123">
        <f>IF(SUM($AE747:$AH747)=0,"",SUM($AE747:$AH747))</f>
        <v/>
      </c>
      <c r="AE747" s="123">
        <f>iferror(IF(SUM($AI747:$AZ747)=0,"",SUM($AI747:$AZ747)),"")</f>
        <v/>
      </c>
      <c r="AF747" s="123">
        <f>iferror(IF(SUM($BA747:$BC747)=0,"",SUM($BA747:$BC747)),"")</f>
        <v/>
      </c>
      <c r="AG747" s="123">
        <f>iferror(IF(SUM($BD747:$BF747)=0,"",SUM($BD747:$BF747)),"")</f>
        <v/>
      </c>
      <c r="AH747" s="124">
        <f>iferror(IF(SUM($BG747:$BI747)=0,"",SUM($BG747:$BI747)),"")</f>
        <v/>
      </c>
      <c r="AI747" s="131" t="n"/>
      <c r="AJ747" s="132" t="n"/>
      <c r="AK747" s="132" t="n"/>
      <c r="AL747" s="132" t="n"/>
      <c r="AM747" s="132" t="n"/>
      <c r="AN747" s="132" t="n"/>
      <c r="AO747" s="132" t="n"/>
      <c r="AP747" s="132" t="n"/>
      <c r="AQ747" s="132" t="n"/>
      <c r="AR747" s="132" t="n"/>
      <c r="AS747" s="132" t="n"/>
      <c r="AT747" s="132" t="n"/>
      <c r="AU747" s="132" t="n"/>
      <c r="AV747" s="132" t="n"/>
      <c r="AW747" s="132" t="n"/>
      <c r="AX747" s="132" t="n"/>
      <c r="AY747" s="132" t="n"/>
      <c r="AZ747" s="133" t="n"/>
      <c r="BA747" s="131" t="n"/>
      <c r="BB747" s="132" t="n"/>
      <c r="BC747" s="133" t="n"/>
      <c r="BD747" s="131" t="n"/>
      <c r="BE747" s="132" t="n"/>
      <c r="BF747" s="133" t="n"/>
      <c r="BG747" s="131" t="n"/>
      <c r="BH747" s="132" t="n"/>
      <c r="BI747" s="132" t="n"/>
      <c r="BJ747" s="128">
        <f>iferror(SUM($BK747,($BL747*1.2),($BM747*1.35),($BN747*0.74)),)</f>
        <v/>
      </c>
      <c r="BK747" s="128">
        <f>IFERROR(SUM($BT747:$CK747),)</f>
        <v/>
      </c>
      <c r="BL747" s="129">
        <f>IFERROR(SUM($CL747:$CN747),)</f>
        <v/>
      </c>
      <c r="BM747" s="130">
        <f>IFERROR(SUM($CO747:$CQ747),)</f>
        <v/>
      </c>
      <c r="BN747" s="128">
        <f>IFERROR(SUM($CR747:$CT747),)</f>
        <v/>
      </c>
      <c r="BO747" s="128">
        <f>iferror(SUM($BP747,($BQ747*1.2),($BR747*1.35),($BS747*0.74)),)</f>
        <v/>
      </c>
      <c r="BP747" s="128">
        <f>IFERROR(SUM($CU747:$DL747),)</f>
        <v/>
      </c>
      <c r="BQ747" s="128">
        <f>IFERROR(SUM($DM747:$DO747),)</f>
        <v/>
      </c>
      <c r="BR747" s="128">
        <f>IFERROR(SUM($DP747:$DR747),)</f>
        <v/>
      </c>
      <c r="BS747" s="128">
        <f>IFERROR(SUM($DS747:$DU747),)</f>
        <v/>
      </c>
      <c r="BT747" s="128">
        <f>IFERROR(AI747*$W747,)</f>
        <v/>
      </c>
      <c r="BU747" s="128">
        <f>IFERROR(AJ747*$W747,)</f>
        <v/>
      </c>
      <c r="BV747" s="128">
        <f>IFERROR(AK747*$W747,)</f>
        <v/>
      </c>
      <c r="BW747" s="128">
        <f>IFERROR(AL747*$W747,)</f>
        <v/>
      </c>
      <c r="BX747" s="128">
        <f>IFERROR(AM747*$W747,)</f>
        <v/>
      </c>
      <c r="BY747" s="128">
        <f>IFERROR(AN747*$W747,)</f>
        <v/>
      </c>
      <c r="BZ747" s="128">
        <f>IFERROR(AO747*$W747,)</f>
        <v/>
      </c>
      <c r="CA747" s="128">
        <f>IFERROR(AP747*$W747,)</f>
        <v/>
      </c>
      <c r="CB747" s="128">
        <f>IFERROR(AQ747*$W747,)</f>
        <v/>
      </c>
      <c r="CC747" s="128">
        <f>IFERROR(AR747*$W747,)</f>
        <v/>
      </c>
      <c r="CD747" s="128">
        <f>IFERROR(AS747*$W747,)</f>
        <v/>
      </c>
      <c r="CE747" s="128">
        <f>IFERROR(AT747*$W747,)</f>
        <v/>
      </c>
      <c r="CF747" s="128">
        <f>IFERROR(AU747*$W747,)</f>
        <v/>
      </c>
      <c r="CG747" s="128">
        <f>IFERROR(AV747*$W747,)</f>
        <v/>
      </c>
      <c r="CH747" s="128">
        <f>IFERROR(AW747*$W747,)</f>
        <v/>
      </c>
      <c r="CI747" s="128">
        <f>IFERROR(AX747*$W747,)</f>
        <v/>
      </c>
      <c r="CJ747" s="128">
        <f>IFERROR(AY747*$W747,)</f>
        <v/>
      </c>
      <c r="CK747" s="128">
        <f>IFERROR(AZ747*$W747,)</f>
        <v/>
      </c>
      <c r="CL747" s="129">
        <f>IFERROR(if($Y747=0,BA747*($W747/1.2),BA747*$Y747),"")</f>
        <v/>
      </c>
      <c r="CM747" s="129">
        <f>IFERROR(if($Y747=0,BB747*($W747/1.2),BB747*$Y747),"")</f>
        <v/>
      </c>
      <c r="CN747" s="129">
        <f>IFERROR(if($Y747=0,BC747*($W747/1.2),BC747*$Y747),"")</f>
        <v/>
      </c>
      <c r="CO747" s="130">
        <f>IFERROR(if($AA747=0,($W747/1.35)*BD747,BD747*$AA747),)</f>
        <v/>
      </c>
      <c r="CP747" s="130">
        <f>IFERROR(if($AA747=0,($W747/1.35)*BE747,BE747*$AA747),)</f>
        <v/>
      </c>
      <c r="CQ747" s="130">
        <f>IFERROR(if($AA747=0,($W747/1.35)*BF747,BF747*$AA747),)</f>
        <v/>
      </c>
      <c r="CR747" s="128">
        <f>IFERROR(if($AC747=0,($W747/0.74)*BG747,
BG747*$AC747),)</f>
        <v/>
      </c>
      <c r="CS747" s="128">
        <f>IFERROR(if($AC747=0,($W747/0.74)*BH747,
BH747*$AC747),)</f>
        <v/>
      </c>
      <c r="CT747" s="128">
        <f>IFERROR(if($AC747=0,($W747/0.74)*BI747,
BI747*$AC747),)</f>
        <v/>
      </c>
      <c r="CU747" s="128">
        <f>IFERROR(AI747*$V747,)</f>
        <v/>
      </c>
      <c r="CV747" s="128">
        <f>IFERROR(AJ747*$V747,)</f>
        <v/>
      </c>
      <c r="CW747" s="128">
        <f>IFERROR(AK747*$V747,)</f>
        <v/>
      </c>
      <c r="CX747" s="128">
        <f>IFERROR(AL747*$V747,)</f>
        <v/>
      </c>
      <c r="CY747" s="128">
        <f>IFERROR(AM747*$V747,)</f>
        <v/>
      </c>
      <c r="CZ747" s="128">
        <f>IFERROR(AN747*$V747,)</f>
        <v/>
      </c>
      <c r="DA747" s="128">
        <f>IFERROR(AO747*$V747,)</f>
        <v/>
      </c>
      <c r="DB747" s="128">
        <f>IFERROR(AP747*$V747,)</f>
        <v/>
      </c>
      <c r="DC747" s="128">
        <f>IFERROR(AQ747*$V747,)</f>
        <v/>
      </c>
      <c r="DD747" s="128">
        <f>IFERROR(AR747*$V747,)</f>
        <v/>
      </c>
      <c r="DE747" s="128">
        <f>IFERROR(AS747*$V747,)</f>
        <v/>
      </c>
      <c r="DF747" s="128">
        <f>IFERROR(AT747*$V747,)</f>
        <v/>
      </c>
      <c r="DG747" s="128">
        <f>IFERROR(AU747*$V747,)</f>
        <v/>
      </c>
      <c r="DH747" s="128">
        <f>IFERROR(AV747*$V747,)</f>
        <v/>
      </c>
      <c r="DI747" s="128">
        <f>IFERROR(AW747*$V747,)</f>
        <v/>
      </c>
      <c r="DJ747" s="128">
        <f>IFERROR(AX747*$V747,)</f>
        <v/>
      </c>
      <c r="DK747" s="128">
        <f>IFERROR(AY747*$V747,)</f>
        <v/>
      </c>
      <c r="DL747" s="128">
        <f>IFERROR(AZ747*$V747,)</f>
        <v/>
      </c>
      <c r="DM747" s="129">
        <f>IFERROR(if($X747=0,($V747/1.2)*BA747,
BA747*$X747),)</f>
        <v/>
      </c>
      <c r="DN747" s="129">
        <f>IFERROR(if($X747=0,($V747/1.2)*BB747,
BB747*$X747),)</f>
        <v/>
      </c>
      <c r="DO747" s="129">
        <f>IFERROR(if($X747=0,($V747/1.2)*BC747,
BC747*$X747),)</f>
        <v/>
      </c>
      <c r="DP747" s="130">
        <f>IFERROR(if($Z747=0,($V747/1.35)*BD747,
BD747*$Z747),)</f>
        <v/>
      </c>
      <c r="DQ747" s="130">
        <f>IFERROR(if($Z747=0,($V747/1.35)*BE747,
BE747*$Z747),)</f>
        <v/>
      </c>
      <c r="DR747" s="130">
        <f>IFERROR(if($Z747=0,($V747/1.35)*BF747,
BF747*$Z747),)</f>
        <v/>
      </c>
      <c r="DS747" s="128">
        <f>IFERROR(IF($AB747=0,($V747/0.74)*BG747,
BG747*$AB747),)</f>
        <v/>
      </c>
      <c r="DT747" s="128">
        <f>IFERROR(IF($AB747=0,($V747/0.74)*BH747,
BH747*$AB747),)</f>
        <v/>
      </c>
      <c r="DU747" s="128">
        <f>IFERROR(IF($AB747=0,($V747/0.74)*BI747,
BI747*$AB747),)</f>
        <v/>
      </c>
    </row>
    <row r="748" ht="131.25" customHeight="1" s="162">
      <c r="A748" s="115" t="n"/>
      <c r="B748" s="115" t="n"/>
      <c r="C748" s="115" t="n"/>
      <c r="D748" s="115" t="n"/>
      <c r="E748" s="115" t="n"/>
      <c r="F748" s="115" t="n"/>
      <c r="G748" s="115" t="n"/>
      <c r="H748" s="115" t="n"/>
      <c r="I748" s="115" t="n"/>
      <c r="J748" s="115" t="n"/>
      <c r="K748" s="115" t="n"/>
      <c r="L748" s="115" t="n"/>
      <c r="M748" s="115" t="n"/>
      <c r="N748" s="115" t="n"/>
      <c r="O748" s="115" t="n"/>
      <c r="P748" s="115" t="n"/>
      <c r="Q748" s="115" t="n"/>
      <c r="R748" s="115" t="n"/>
      <c r="S748" s="115" t="n"/>
      <c r="T748" s="115" t="n"/>
      <c r="U748" s="116" t="n"/>
      <c r="V748" s="116" t="n"/>
      <c r="W748" s="117" t="n"/>
      <c r="X748" s="118" t="n"/>
      <c r="Y748" s="119" t="n"/>
      <c r="Z748" s="120" t="n"/>
      <c r="AA748" s="121" t="n"/>
      <c r="AB748" s="122" t="n"/>
      <c r="AC748" s="117" t="n"/>
      <c r="AD748" s="123">
        <f>IF(SUM($AE748:$AH748)=0,"",SUM($AE748:$AH748))</f>
        <v/>
      </c>
      <c r="AE748" s="123">
        <f>iferror(IF(SUM($AI748:$AZ748)=0,"",SUM($AI748:$AZ748)),"")</f>
        <v/>
      </c>
      <c r="AF748" s="123">
        <f>iferror(IF(SUM($BA748:$BC748)=0,"",SUM($BA748:$BC748)),"")</f>
        <v/>
      </c>
      <c r="AG748" s="123">
        <f>iferror(IF(SUM($BD748:$BF748)=0,"",SUM($BD748:$BF748)),"")</f>
        <v/>
      </c>
      <c r="AH748" s="124">
        <f>iferror(IF(SUM($BG748:$BI748)=0,"",SUM($BG748:$BI748)),"")</f>
        <v/>
      </c>
      <c r="AI748" s="131" t="n"/>
      <c r="AJ748" s="132" t="n"/>
      <c r="AK748" s="132" t="n"/>
      <c r="AL748" s="132" t="n"/>
      <c r="AM748" s="132" t="n"/>
      <c r="AN748" s="132" t="n"/>
      <c r="AO748" s="132" t="n"/>
      <c r="AP748" s="132" t="n"/>
      <c r="AQ748" s="132" t="n"/>
      <c r="AR748" s="132" t="n"/>
      <c r="AS748" s="132" t="n"/>
      <c r="AT748" s="132" t="n"/>
      <c r="AU748" s="132" t="n"/>
      <c r="AV748" s="132" t="n"/>
      <c r="AW748" s="132" t="n"/>
      <c r="AX748" s="132" t="n"/>
      <c r="AY748" s="132" t="n"/>
      <c r="AZ748" s="133" t="n"/>
      <c r="BA748" s="131" t="n"/>
      <c r="BB748" s="132" t="n"/>
      <c r="BC748" s="133" t="n"/>
      <c r="BD748" s="131" t="n"/>
      <c r="BE748" s="132" t="n"/>
      <c r="BF748" s="133" t="n"/>
      <c r="BG748" s="131" t="n"/>
      <c r="BH748" s="132" t="n"/>
      <c r="BI748" s="132" t="n"/>
      <c r="BJ748" s="128">
        <f>iferror(SUM($BK748,($BL748*1.2),($BM748*1.35),($BN748*0.74)),)</f>
        <v/>
      </c>
      <c r="BK748" s="128">
        <f>IFERROR(SUM($BT748:$CK748),)</f>
        <v/>
      </c>
      <c r="BL748" s="129">
        <f>IFERROR(SUM($CL748:$CN748),)</f>
        <v/>
      </c>
      <c r="BM748" s="130">
        <f>IFERROR(SUM($CO748:$CQ748),)</f>
        <v/>
      </c>
      <c r="BN748" s="128">
        <f>IFERROR(SUM($CR748:$CT748),)</f>
        <v/>
      </c>
      <c r="BO748" s="128">
        <f>iferror(SUM($BP748,($BQ748*1.2),($BR748*1.35),($BS748*0.74)),)</f>
        <v/>
      </c>
      <c r="BP748" s="128">
        <f>IFERROR(SUM($CU748:$DL748),)</f>
        <v/>
      </c>
      <c r="BQ748" s="128">
        <f>IFERROR(SUM($DM748:$DO748),)</f>
        <v/>
      </c>
      <c r="BR748" s="128">
        <f>IFERROR(SUM($DP748:$DR748),)</f>
        <v/>
      </c>
      <c r="BS748" s="128">
        <f>IFERROR(SUM($DS748:$DU748),)</f>
        <v/>
      </c>
      <c r="BT748" s="128">
        <f>IFERROR(AI748*$W748,)</f>
        <v/>
      </c>
      <c r="BU748" s="128">
        <f>IFERROR(AJ748*$W748,)</f>
        <v/>
      </c>
      <c r="BV748" s="128">
        <f>IFERROR(AK748*$W748,)</f>
        <v/>
      </c>
      <c r="BW748" s="128">
        <f>IFERROR(AL748*$W748,)</f>
        <v/>
      </c>
      <c r="BX748" s="128">
        <f>IFERROR(AM748*$W748,)</f>
        <v/>
      </c>
      <c r="BY748" s="128">
        <f>IFERROR(AN748*$W748,)</f>
        <v/>
      </c>
      <c r="BZ748" s="128">
        <f>IFERROR(AO748*$W748,)</f>
        <v/>
      </c>
      <c r="CA748" s="128">
        <f>IFERROR(AP748*$W748,)</f>
        <v/>
      </c>
      <c r="CB748" s="128">
        <f>IFERROR(AQ748*$W748,)</f>
        <v/>
      </c>
      <c r="CC748" s="128">
        <f>IFERROR(AR748*$W748,)</f>
        <v/>
      </c>
      <c r="CD748" s="128">
        <f>IFERROR(AS748*$W748,)</f>
        <v/>
      </c>
      <c r="CE748" s="128">
        <f>IFERROR(AT748*$W748,)</f>
        <v/>
      </c>
      <c r="CF748" s="128">
        <f>IFERROR(AU748*$W748,)</f>
        <v/>
      </c>
      <c r="CG748" s="128">
        <f>IFERROR(AV748*$W748,)</f>
        <v/>
      </c>
      <c r="CH748" s="128">
        <f>IFERROR(AW748*$W748,)</f>
        <v/>
      </c>
      <c r="CI748" s="128">
        <f>IFERROR(AX748*$W748,)</f>
        <v/>
      </c>
      <c r="CJ748" s="128">
        <f>IFERROR(AY748*$W748,)</f>
        <v/>
      </c>
      <c r="CK748" s="128">
        <f>IFERROR(AZ748*$W748,)</f>
        <v/>
      </c>
      <c r="CL748" s="129">
        <f>IFERROR(if($Y748=0,BA748*($W748/1.2),BA748*$Y748),"")</f>
        <v/>
      </c>
      <c r="CM748" s="129">
        <f>IFERROR(if($Y748=0,BB748*($W748/1.2),BB748*$Y748),"")</f>
        <v/>
      </c>
      <c r="CN748" s="129">
        <f>IFERROR(if($Y748=0,BC748*($W748/1.2),BC748*$Y748),"")</f>
        <v/>
      </c>
      <c r="CO748" s="130">
        <f>IFERROR(if($AA748=0,($W748/1.35)*BD748,BD748*$AA748),)</f>
        <v/>
      </c>
      <c r="CP748" s="130">
        <f>IFERROR(if($AA748=0,($W748/1.35)*BE748,BE748*$AA748),)</f>
        <v/>
      </c>
      <c r="CQ748" s="130">
        <f>IFERROR(if($AA748=0,($W748/1.35)*BF748,BF748*$AA748),)</f>
        <v/>
      </c>
      <c r="CR748" s="128">
        <f>IFERROR(if($AC748=0,($W748/0.74)*BG748,
BG748*$AC748),)</f>
        <v/>
      </c>
      <c r="CS748" s="128">
        <f>IFERROR(if($AC748=0,($W748/0.74)*BH748,
BH748*$AC748),)</f>
        <v/>
      </c>
      <c r="CT748" s="128">
        <f>IFERROR(if($AC748=0,($W748/0.74)*BI748,
BI748*$AC748),)</f>
        <v/>
      </c>
      <c r="CU748" s="128">
        <f>IFERROR(AI748*$V748,)</f>
        <v/>
      </c>
      <c r="CV748" s="128">
        <f>IFERROR(AJ748*$V748,)</f>
        <v/>
      </c>
      <c r="CW748" s="128">
        <f>IFERROR(AK748*$V748,)</f>
        <v/>
      </c>
      <c r="CX748" s="128">
        <f>IFERROR(AL748*$V748,)</f>
        <v/>
      </c>
      <c r="CY748" s="128">
        <f>IFERROR(AM748*$V748,)</f>
        <v/>
      </c>
      <c r="CZ748" s="128">
        <f>IFERROR(AN748*$V748,)</f>
        <v/>
      </c>
      <c r="DA748" s="128">
        <f>IFERROR(AO748*$V748,)</f>
        <v/>
      </c>
      <c r="DB748" s="128">
        <f>IFERROR(AP748*$V748,)</f>
        <v/>
      </c>
      <c r="DC748" s="128">
        <f>IFERROR(AQ748*$V748,)</f>
        <v/>
      </c>
      <c r="DD748" s="128">
        <f>IFERROR(AR748*$V748,)</f>
        <v/>
      </c>
      <c r="DE748" s="128">
        <f>IFERROR(AS748*$V748,)</f>
        <v/>
      </c>
      <c r="DF748" s="128">
        <f>IFERROR(AT748*$V748,)</f>
        <v/>
      </c>
      <c r="DG748" s="128">
        <f>IFERROR(AU748*$V748,)</f>
        <v/>
      </c>
      <c r="DH748" s="128">
        <f>IFERROR(AV748*$V748,)</f>
        <v/>
      </c>
      <c r="DI748" s="128">
        <f>IFERROR(AW748*$V748,)</f>
        <v/>
      </c>
      <c r="DJ748" s="128">
        <f>IFERROR(AX748*$V748,)</f>
        <v/>
      </c>
      <c r="DK748" s="128">
        <f>IFERROR(AY748*$V748,)</f>
        <v/>
      </c>
      <c r="DL748" s="128">
        <f>IFERROR(AZ748*$V748,)</f>
        <v/>
      </c>
      <c r="DM748" s="129">
        <f>IFERROR(if($X748=0,($V748/1.2)*BA748,
BA748*$X748),)</f>
        <v/>
      </c>
      <c r="DN748" s="129">
        <f>IFERROR(if($X748=0,($V748/1.2)*BB748,
BB748*$X748),)</f>
        <v/>
      </c>
      <c r="DO748" s="129">
        <f>IFERROR(if($X748=0,($V748/1.2)*BC748,
BC748*$X748),)</f>
        <v/>
      </c>
      <c r="DP748" s="130">
        <f>IFERROR(if($Z748=0,($V748/1.35)*BD748,
BD748*$Z748),)</f>
        <v/>
      </c>
      <c r="DQ748" s="130">
        <f>IFERROR(if($Z748=0,($V748/1.35)*BE748,
BE748*$Z748),)</f>
        <v/>
      </c>
      <c r="DR748" s="130">
        <f>IFERROR(if($Z748=0,($V748/1.35)*BF748,
BF748*$Z748),)</f>
        <v/>
      </c>
      <c r="DS748" s="128">
        <f>IFERROR(IF($AB748=0,($V748/0.74)*BG748,
BG748*$AB748),)</f>
        <v/>
      </c>
      <c r="DT748" s="128">
        <f>IFERROR(IF($AB748=0,($V748/0.74)*BH748,
BH748*$AB748),)</f>
        <v/>
      </c>
      <c r="DU748" s="128">
        <f>IFERROR(IF($AB748=0,($V748/0.74)*BI748,
BI748*$AB748),)</f>
        <v/>
      </c>
    </row>
    <row r="749" ht="131.25" customHeight="1" s="162">
      <c r="A749" s="115" t="n"/>
      <c r="B749" s="115" t="n"/>
      <c r="C749" s="115" t="n"/>
      <c r="D749" s="115" t="n"/>
      <c r="E749" s="115" t="n"/>
      <c r="F749" s="115" t="n"/>
      <c r="G749" s="115" t="n"/>
      <c r="H749" s="115" t="n"/>
      <c r="I749" s="115" t="n"/>
      <c r="J749" s="115" t="n"/>
      <c r="K749" s="115" t="n"/>
      <c r="L749" s="115" t="n"/>
      <c r="M749" s="115" t="n"/>
      <c r="N749" s="115" t="n"/>
      <c r="O749" s="115" t="n"/>
      <c r="P749" s="115" t="n"/>
      <c r="Q749" s="115" t="n"/>
      <c r="R749" s="115" t="n"/>
      <c r="S749" s="115" t="n"/>
      <c r="T749" s="115" t="n"/>
      <c r="U749" s="116" t="n"/>
      <c r="V749" s="116" t="n"/>
      <c r="W749" s="117" t="n"/>
      <c r="X749" s="118" t="n"/>
      <c r="Y749" s="119" t="n"/>
      <c r="Z749" s="120" t="n"/>
      <c r="AA749" s="121" t="n"/>
      <c r="AB749" s="122" t="n"/>
      <c r="AC749" s="117" t="n"/>
      <c r="AD749" s="123">
        <f>IF(SUM($AE749:$AH749)=0,"",SUM($AE749:$AH749))</f>
        <v/>
      </c>
      <c r="AE749" s="123">
        <f>iferror(IF(SUM($AI749:$AZ749)=0,"",SUM($AI749:$AZ749)),"")</f>
        <v/>
      </c>
      <c r="AF749" s="123">
        <f>iferror(IF(SUM($BA749:$BC749)=0,"",SUM($BA749:$BC749)),"")</f>
        <v/>
      </c>
      <c r="AG749" s="123">
        <f>iferror(IF(SUM($BD749:$BF749)=0,"",SUM($BD749:$BF749)),"")</f>
        <v/>
      </c>
      <c r="AH749" s="124">
        <f>iferror(IF(SUM($BG749:$BI749)=0,"",SUM($BG749:$BI749)),"")</f>
        <v/>
      </c>
      <c r="AI749" s="131" t="n"/>
      <c r="AJ749" s="132" t="n"/>
      <c r="AK749" s="132" t="n"/>
      <c r="AL749" s="132" t="n"/>
      <c r="AM749" s="132" t="n"/>
      <c r="AN749" s="132" t="n"/>
      <c r="AO749" s="132" t="n"/>
      <c r="AP749" s="132" t="n"/>
      <c r="AQ749" s="132" t="n"/>
      <c r="AR749" s="132" t="n"/>
      <c r="AS749" s="132" t="n"/>
      <c r="AT749" s="132" t="n"/>
      <c r="AU749" s="132" t="n"/>
      <c r="AV749" s="132" t="n"/>
      <c r="AW749" s="132" t="n"/>
      <c r="AX749" s="132" t="n"/>
      <c r="AY749" s="132" t="n"/>
      <c r="AZ749" s="133" t="n"/>
      <c r="BA749" s="131" t="n"/>
      <c r="BB749" s="132" t="n"/>
      <c r="BC749" s="133" t="n"/>
      <c r="BD749" s="131" t="n"/>
      <c r="BE749" s="132" t="n"/>
      <c r="BF749" s="133" t="n"/>
      <c r="BG749" s="131" t="n"/>
      <c r="BH749" s="132" t="n"/>
      <c r="BI749" s="132" t="n"/>
      <c r="BJ749" s="128">
        <f>iferror(SUM($BK749,($BL749*1.2),($BM749*1.35),($BN749*0.74)),)</f>
        <v/>
      </c>
      <c r="BK749" s="128">
        <f>IFERROR(SUM($BT749:$CK749),)</f>
        <v/>
      </c>
      <c r="BL749" s="129">
        <f>IFERROR(SUM($CL749:$CN749),)</f>
        <v/>
      </c>
      <c r="BM749" s="130">
        <f>IFERROR(SUM($CO749:$CQ749),)</f>
        <v/>
      </c>
      <c r="BN749" s="128">
        <f>IFERROR(SUM($CR749:$CT749),)</f>
        <v/>
      </c>
      <c r="BO749" s="128">
        <f>iferror(SUM($BP749,($BQ749*1.2),($BR749*1.35),($BS749*0.74)),)</f>
        <v/>
      </c>
      <c r="BP749" s="128">
        <f>IFERROR(SUM($CU749:$DL749),)</f>
        <v/>
      </c>
      <c r="BQ749" s="128">
        <f>IFERROR(SUM($DM749:$DO749),)</f>
        <v/>
      </c>
      <c r="BR749" s="128">
        <f>IFERROR(SUM($DP749:$DR749),)</f>
        <v/>
      </c>
      <c r="BS749" s="128">
        <f>IFERROR(SUM($DS749:$DU749),)</f>
        <v/>
      </c>
      <c r="BT749" s="128">
        <f>IFERROR(AI749*$W749,)</f>
        <v/>
      </c>
      <c r="BU749" s="128">
        <f>IFERROR(AJ749*$W749,)</f>
        <v/>
      </c>
      <c r="BV749" s="128">
        <f>IFERROR(AK749*$W749,)</f>
        <v/>
      </c>
      <c r="BW749" s="128">
        <f>IFERROR(AL749*$W749,)</f>
        <v/>
      </c>
      <c r="BX749" s="128">
        <f>IFERROR(AM749*$W749,)</f>
        <v/>
      </c>
      <c r="BY749" s="128">
        <f>IFERROR(AN749*$W749,)</f>
        <v/>
      </c>
      <c r="BZ749" s="128">
        <f>IFERROR(AO749*$W749,)</f>
        <v/>
      </c>
      <c r="CA749" s="128">
        <f>IFERROR(AP749*$W749,)</f>
        <v/>
      </c>
      <c r="CB749" s="128">
        <f>IFERROR(AQ749*$W749,)</f>
        <v/>
      </c>
      <c r="CC749" s="128">
        <f>IFERROR(AR749*$W749,)</f>
        <v/>
      </c>
      <c r="CD749" s="128">
        <f>IFERROR(AS749*$W749,)</f>
        <v/>
      </c>
      <c r="CE749" s="128">
        <f>IFERROR(AT749*$W749,)</f>
        <v/>
      </c>
      <c r="CF749" s="128">
        <f>IFERROR(AU749*$W749,)</f>
        <v/>
      </c>
      <c r="CG749" s="128">
        <f>IFERROR(AV749*$W749,)</f>
        <v/>
      </c>
      <c r="CH749" s="128">
        <f>IFERROR(AW749*$W749,)</f>
        <v/>
      </c>
      <c r="CI749" s="128">
        <f>IFERROR(AX749*$W749,)</f>
        <v/>
      </c>
      <c r="CJ749" s="128">
        <f>IFERROR(AY749*$W749,)</f>
        <v/>
      </c>
      <c r="CK749" s="128">
        <f>IFERROR(AZ749*$W749,)</f>
        <v/>
      </c>
      <c r="CL749" s="129">
        <f>IFERROR(if($Y749=0,BA749*($W749/1.2),BA749*$Y749),"")</f>
        <v/>
      </c>
      <c r="CM749" s="129">
        <f>IFERROR(if($Y749=0,BB749*($W749/1.2),BB749*$Y749),"")</f>
        <v/>
      </c>
      <c r="CN749" s="129">
        <f>IFERROR(if($Y749=0,BC749*($W749/1.2),BC749*$Y749),"")</f>
        <v/>
      </c>
      <c r="CO749" s="130">
        <f>IFERROR(if($AA749=0,($W749/1.35)*BD749,BD749*$AA749),)</f>
        <v/>
      </c>
      <c r="CP749" s="130">
        <f>IFERROR(if($AA749=0,($W749/1.35)*BE749,BE749*$AA749),)</f>
        <v/>
      </c>
      <c r="CQ749" s="130">
        <f>IFERROR(if($AA749=0,($W749/1.35)*BF749,BF749*$AA749),)</f>
        <v/>
      </c>
      <c r="CR749" s="128">
        <f>IFERROR(if($AC749=0,($W749/0.74)*BG749,
BG749*$AC749),)</f>
        <v/>
      </c>
      <c r="CS749" s="128">
        <f>IFERROR(if($AC749=0,($W749/0.74)*BH749,
BH749*$AC749),)</f>
        <v/>
      </c>
      <c r="CT749" s="128">
        <f>IFERROR(if($AC749=0,($W749/0.74)*BI749,
BI749*$AC749),)</f>
        <v/>
      </c>
      <c r="CU749" s="128">
        <f>IFERROR(AI749*$V749,)</f>
        <v/>
      </c>
      <c r="CV749" s="128">
        <f>IFERROR(AJ749*$V749,)</f>
        <v/>
      </c>
      <c r="CW749" s="128">
        <f>IFERROR(AK749*$V749,)</f>
        <v/>
      </c>
      <c r="CX749" s="128">
        <f>IFERROR(AL749*$V749,)</f>
        <v/>
      </c>
      <c r="CY749" s="128">
        <f>IFERROR(AM749*$V749,)</f>
        <v/>
      </c>
      <c r="CZ749" s="128">
        <f>IFERROR(AN749*$V749,)</f>
        <v/>
      </c>
      <c r="DA749" s="128">
        <f>IFERROR(AO749*$V749,)</f>
        <v/>
      </c>
      <c r="DB749" s="128">
        <f>IFERROR(AP749*$V749,)</f>
        <v/>
      </c>
      <c r="DC749" s="128">
        <f>IFERROR(AQ749*$V749,)</f>
        <v/>
      </c>
      <c r="DD749" s="128">
        <f>IFERROR(AR749*$V749,)</f>
        <v/>
      </c>
      <c r="DE749" s="128">
        <f>IFERROR(AS749*$V749,)</f>
        <v/>
      </c>
      <c r="DF749" s="128">
        <f>IFERROR(AT749*$V749,)</f>
        <v/>
      </c>
      <c r="DG749" s="128">
        <f>IFERROR(AU749*$V749,)</f>
        <v/>
      </c>
      <c r="DH749" s="128">
        <f>IFERROR(AV749*$V749,)</f>
        <v/>
      </c>
      <c r="DI749" s="128">
        <f>IFERROR(AW749*$V749,)</f>
        <v/>
      </c>
      <c r="DJ749" s="128">
        <f>IFERROR(AX749*$V749,)</f>
        <v/>
      </c>
      <c r="DK749" s="128">
        <f>IFERROR(AY749*$V749,)</f>
        <v/>
      </c>
      <c r="DL749" s="128">
        <f>IFERROR(AZ749*$V749,)</f>
        <v/>
      </c>
      <c r="DM749" s="129">
        <f>IFERROR(if($X749=0,($V749/1.2)*BA749,
BA749*$X749),)</f>
        <v/>
      </c>
      <c r="DN749" s="129">
        <f>IFERROR(if($X749=0,($V749/1.2)*BB749,
BB749*$X749),)</f>
        <v/>
      </c>
      <c r="DO749" s="129">
        <f>IFERROR(if($X749=0,($V749/1.2)*BC749,
BC749*$X749),)</f>
        <v/>
      </c>
      <c r="DP749" s="130">
        <f>IFERROR(if($Z749=0,($V749/1.35)*BD749,
BD749*$Z749),)</f>
        <v/>
      </c>
      <c r="DQ749" s="130">
        <f>IFERROR(if($Z749=0,($V749/1.35)*BE749,
BE749*$Z749),)</f>
        <v/>
      </c>
      <c r="DR749" s="130">
        <f>IFERROR(if($Z749=0,($V749/1.35)*BF749,
BF749*$Z749),)</f>
        <v/>
      </c>
      <c r="DS749" s="128">
        <f>IFERROR(IF($AB749=0,($V749/0.74)*BG749,
BG749*$AB749),)</f>
        <v/>
      </c>
      <c r="DT749" s="128">
        <f>IFERROR(IF($AB749=0,($V749/0.74)*BH749,
BH749*$AB749),)</f>
        <v/>
      </c>
      <c r="DU749" s="128">
        <f>IFERROR(IF($AB749=0,($V749/0.74)*BI749,
BI749*$AB749),)</f>
        <v/>
      </c>
    </row>
    <row r="750" ht="131.25" customHeight="1" s="162">
      <c r="A750" s="115" t="n"/>
      <c r="B750" s="115" t="n"/>
      <c r="C750" s="115" t="n"/>
      <c r="D750" s="115" t="n"/>
      <c r="E750" s="115" t="n"/>
      <c r="F750" s="115" t="n"/>
      <c r="G750" s="115" t="n"/>
      <c r="H750" s="115" t="n"/>
      <c r="I750" s="115" t="n"/>
      <c r="J750" s="115" t="n"/>
      <c r="K750" s="115" t="n"/>
      <c r="L750" s="115" t="n"/>
      <c r="M750" s="115" t="n"/>
      <c r="N750" s="115" t="n"/>
      <c r="O750" s="115" t="n"/>
      <c r="P750" s="115" t="n"/>
      <c r="Q750" s="115" t="n"/>
      <c r="R750" s="115" t="n"/>
      <c r="S750" s="115" t="n"/>
      <c r="T750" s="115" t="n"/>
      <c r="U750" s="116" t="n"/>
      <c r="V750" s="116" t="n"/>
      <c r="W750" s="117" t="n"/>
      <c r="X750" s="118" t="n"/>
      <c r="Y750" s="119" t="n"/>
      <c r="Z750" s="120" t="n"/>
      <c r="AA750" s="121" t="n"/>
      <c r="AB750" s="122" t="n"/>
      <c r="AC750" s="117" t="n"/>
      <c r="AD750" s="123">
        <f>IF(SUM($AE750:$AH750)=0,"",SUM($AE750:$AH750))</f>
        <v/>
      </c>
      <c r="AE750" s="123">
        <f>iferror(IF(SUM($AI750:$AZ750)=0,"",SUM($AI750:$AZ750)),"")</f>
        <v/>
      </c>
      <c r="AF750" s="123">
        <f>iferror(IF(SUM($BA750:$BC750)=0,"",SUM($BA750:$BC750)),"")</f>
        <v/>
      </c>
      <c r="AG750" s="123">
        <f>iferror(IF(SUM($BD750:$BF750)=0,"",SUM($BD750:$BF750)),"")</f>
        <v/>
      </c>
      <c r="AH750" s="124">
        <f>iferror(IF(SUM($BG750:$BI750)=0,"",SUM($BG750:$BI750)),"")</f>
        <v/>
      </c>
      <c r="AI750" s="131" t="n"/>
      <c r="AJ750" s="132" t="n"/>
      <c r="AK750" s="132" t="n"/>
      <c r="AL750" s="132" t="n"/>
      <c r="AM750" s="132" t="n"/>
      <c r="AN750" s="132" t="n"/>
      <c r="AO750" s="132" t="n"/>
      <c r="AP750" s="132" t="n"/>
      <c r="AQ750" s="132" t="n"/>
      <c r="AR750" s="132" t="n"/>
      <c r="AS750" s="132" t="n"/>
      <c r="AT750" s="132" t="n"/>
      <c r="AU750" s="132" t="n"/>
      <c r="AV750" s="132" t="n"/>
      <c r="AW750" s="132" t="n"/>
      <c r="AX750" s="132" t="n"/>
      <c r="AY750" s="132" t="n"/>
      <c r="AZ750" s="133" t="n"/>
      <c r="BA750" s="131" t="n"/>
      <c r="BB750" s="132" t="n"/>
      <c r="BC750" s="133" t="n"/>
      <c r="BD750" s="131" t="n"/>
      <c r="BE750" s="132" t="n"/>
      <c r="BF750" s="133" t="n"/>
      <c r="BG750" s="131" t="n"/>
      <c r="BH750" s="132" t="n"/>
      <c r="BI750" s="132" t="n"/>
      <c r="BJ750" s="128">
        <f>iferror(SUM($BK750,($BL750*1.2),($BM750*1.35),($BN750*0.74)),)</f>
        <v/>
      </c>
      <c r="BK750" s="128">
        <f>IFERROR(SUM($BT750:$CK750),)</f>
        <v/>
      </c>
      <c r="BL750" s="129">
        <f>IFERROR(SUM($CL750:$CN750),)</f>
        <v/>
      </c>
      <c r="BM750" s="130">
        <f>IFERROR(SUM($CO750:$CQ750),)</f>
        <v/>
      </c>
      <c r="BN750" s="128">
        <f>IFERROR(SUM($CR750:$CT750),)</f>
        <v/>
      </c>
      <c r="BO750" s="128">
        <f>iferror(SUM($BP750,($BQ750*1.2),($BR750*1.35),($BS750*0.74)),)</f>
        <v/>
      </c>
      <c r="BP750" s="128">
        <f>IFERROR(SUM($CU750:$DL750),)</f>
        <v/>
      </c>
      <c r="BQ750" s="128">
        <f>IFERROR(SUM($DM750:$DO750),)</f>
        <v/>
      </c>
      <c r="BR750" s="128">
        <f>IFERROR(SUM($DP750:$DR750),)</f>
        <v/>
      </c>
      <c r="BS750" s="128">
        <f>IFERROR(SUM($DS750:$DU750),)</f>
        <v/>
      </c>
      <c r="BT750" s="128">
        <f>IFERROR(AI750*$W750,)</f>
        <v/>
      </c>
      <c r="BU750" s="128">
        <f>IFERROR(AJ750*$W750,)</f>
        <v/>
      </c>
      <c r="BV750" s="128">
        <f>IFERROR(AK750*$W750,)</f>
        <v/>
      </c>
      <c r="BW750" s="128">
        <f>IFERROR(AL750*$W750,)</f>
        <v/>
      </c>
      <c r="BX750" s="128">
        <f>IFERROR(AM750*$W750,)</f>
        <v/>
      </c>
      <c r="BY750" s="128">
        <f>IFERROR(AN750*$W750,)</f>
        <v/>
      </c>
      <c r="BZ750" s="128">
        <f>IFERROR(AO750*$W750,)</f>
        <v/>
      </c>
      <c r="CA750" s="128">
        <f>IFERROR(AP750*$W750,)</f>
        <v/>
      </c>
      <c r="CB750" s="128">
        <f>IFERROR(AQ750*$W750,)</f>
        <v/>
      </c>
      <c r="CC750" s="128">
        <f>IFERROR(AR750*$W750,)</f>
        <v/>
      </c>
      <c r="CD750" s="128">
        <f>IFERROR(AS750*$W750,)</f>
        <v/>
      </c>
      <c r="CE750" s="128">
        <f>IFERROR(AT750*$W750,)</f>
        <v/>
      </c>
      <c r="CF750" s="128">
        <f>IFERROR(AU750*$W750,)</f>
        <v/>
      </c>
      <c r="CG750" s="128">
        <f>IFERROR(AV750*$W750,)</f>
        <v/>
      </c>
      <c r="CH750" s="128">
        <f>IFERROR(AW750*$W750,)</f>
        <v/>
      </c>
      <c r="CI750" s="128">
        <f>IFERROR(AX750*$W750,)</f>
        <v/>
      </c>
      <c r="CJ750" s="128">
        <f>IFERROR(AY750*$W750,)</f>
        <v/>
      </c>
      <c r="CK750" s="128">
        <f>IFERROR(AZ750*$W750,)</f>
        <v/>
      </c>
      <c r="CL750" s="129">
        <f>IFERROR(if($Y750=0,BA750*($W750/1.2),BA750*$Y750),"")</f>
        <v/>
      </c>
      <c r="CM750" s="129">
        <f>IFERROR(if($Y750=0,BB750*($W750/1.2),BB750*$Y750),"")</f>
        <v/>
      </c>
      <c r="CN750" s="129">
        <f>IFERROR(if($Y750=0,BC750*($W750/1.2),BC750*$Y750),"")</f>
        <v/>
      </c>
      <c r="CO750" s="130">
        <f>IFERROR(if($AA750=0,($W750/1.35)*BD750,BD750*$AA750),)</f>
        <v/>
      </c>
      <c r="CP750" s="130">
        <f>IFERROR(if($AA750=0,($W750/1.35)*BE750,BE750*$AA750),)</f>
        <v/>
      </c>
      <c r="CQ750" s="130">
        <f>IFERROR(if($AA750=0,($W750/1.35)*BF750,BF750*$AA750),)</f>
        <v/>
      </c>
      <c r="CR750" s="128">
        <f>IFERROR(if($AC750=0,($W750/0.74)*BG750,
BG750*$AC750),)</f>
        <v/>
      </c>
      <c r="CS750" s="128">
        <f>IFERROR(if($AC750=0,($W750/0.74)*BH750,
BH750*$AC750),)</f>
        <v/>
      </c>
      <c r="CT750" s="128">
        <f>IFERROR(if($AC750=0,($W750/0.74)*BI750,
BI750*$AC750),)</f>
        <v/>
      </c>
      <c r="CU750" s="128">
        <f>IFERROR(AI750*$V750,)</f>
        <v/>
      </c>
      <c r="CV750" s="128">
        <f>IFERROR(AJ750*$V750,)</f>
        <v/>
      </c>
      <c r="CW750" s="128">
        <f>IFERROR(AK750*$V750,)</f>
        <v/>
      </c>
      <c r="CX750" s="128">
        <f>IFERROR(AL750*$V750,)</f>
        <v/>
      </c>
      <c r="CY750" s="128">
        <f>IFERROR(AM750*$V750,)</f>
        <v/>
      </c>
      <c r="CZ750" s="128">
        <f>IFERROR(AN750*$V750,)</f>
        <v/>
      </c>
      <c r="DA750" s="128">
        <f>IFERROR(AO750*$V750,)</f>
        <v/>
      </c>
      <c r="DB750" s="128">
        <f>IFERROR(AP750*$V750,)</f>
        <v/>
      </c>
      <c r="DC750" s="128">
        <f>IFERROR(AQ750*$V750,)</f>
        <v/>
      </c>
      <c r="DD750" s="128">
        <f>IFERROR(AR750*$V750,)</f>
        <v/>
      </c>
      <c r="DE750" s="128">
        <f>IFERROR(AS750*$V750,)</f>
        <v/>
      </c>
      <c r="DF750" s="128">
        <f>IFERROR(AT750*$V750,)</f>
        <v/>
      </c>
      <c r="DG750" s="128">
        <f>IFERROR(AU750*$V750,)</f>
        <v/>
      </c>
      <c r="DH750" s="128">
        <f>IFERROR(AV750*$V750,)</f>
        <v/>
      </c>
      <c r="DI750" s="128">
        <f>IFERROR(AW750*$V750,)</f>
        <v/>
      </c>
      <c r="DJ750" s="128">
        <f>IFERROR(AX750*$V750,)</f>
        <v/>
      </c>
      <c r="DK750" s="128">
        <f>IFERROR(AY750*$V750,)</f>
        <v/>
      </c>
      <c r="DL750" s="128">
        <f>IFERROR(AZ750*$V750,)</f>
        <v/>
      </c>
      <c r="DM750" s="129">
        <f>IFERROR(if($X750=0,($V750/1.2)*BA750,
BA750*$X750),)</f>
        <v/>
      </c>
      <c r="DN750" s="129">
        <f>IFERROR(if($X750=0,($V750/1.2)*BB750,
BB750*$X750),)</f>
        <v/>
      </c>
      <c r="DO750" s="129">
        <f>IFERROR(if($X750=0,($V750/1.2)*BC750,
BC750*$X750),)</f>
        <v/>
      </c>
      <c r="DP750" s="130">
        <f>IFERROR(if($Z750=0,($V750/1.35)*BD750,
BD750*$Z750),)</f>
        <v/>
      </c>
      <c r="DQ750" s="130">
        <f>IFERROR(if($Z750=0,($V750/1.35)*BE750,
BE750*$Z750),)</f>
        <v/>
      </c>
      <c r="DR750" s="130">
        <f>IFERROR(if($Z750=0,($V750/1.35)*BF750,
BF750*$Z750),)</f>
        <v/>
      </c>
      <c r="DS750" s="128">
        <f>IFERROR(IF($AB750=0,($V750/0.74)*BG750,
BG750*$AB750),)</f>
        <v/>
      </c>
      <c r="DT750" s="128">
        <f>IFERROR(IF($AB750=0,($V750/0.74)*BH750,
BH750*$AB750),)</f>
        <v/>
      </c>
      <c r="DU750" s="128">
        <f>IFERROR(IF($AB750=0,($V750/0.74)*BI750,
BI750*$AB750),)</f>
        <v/>
      </c>
    </row>
    <row r="751" ht="131.25" customHeight="1" s="162">
      <c r="A751" s="115" t="n"/>
      <c r="B751" s="115" t="n"/>
      <c r="C751" s="115" t="n"/>
      <c r="D751" s="115" t="n"/>
      <c r="E751" s="115" t="n"/>
      <c r="F751" s="115" t="n"/>
      <c r="G751" s="115" t="n"/>
      <c r="H751" s="115" t="n"/>
      <c r="I751" s="115" t="n"/>
      <c r="J751" s="115" t="n"/>
      <c r="K751" s="115" t="n"/>
      <c r="L751" s="115" t="n"/>
      <c r="M751" s="115" t="n"/>
      <c r="N751" s="115" t="n"/>
      <c r="O751" s="115" t="n"/>
      <c r="P751" s="115" t="n"/>
      <c r="Q751" s="115" t="n"/>
      <c r="R751" s="115" t="n"/>
      <c r="S751" s="115" t="n"/>
      <c r="T751" s="115" t="n"/>
      <c r="U751" s="116" t="n"/>
      <c r="V751" s="116" t="n"/>
      <c r="W751" s="117" t="n"/>
      <c r="X751" s="118" t="n"/>
      <c r="Y751" s="119" t="n"/>
      <c r="Z751" s="120" t="n"/>
      <c r="AA751" s="121" t="n"/>
      <c r="AB751" s="122" t="n"/>
      <c r="AC751" s="117" t="n"/>
      <c r="AD751" s="123">
        <f>IF(SUM($AE751:$AH751)=0,"",SUM($AE751:$AH751))</f>
        <v/>
      </c>
      <c r="AE751" s="123">
        <f>iferror(IF(SUM($AI751:$AZ751)=0,"",SUM($AI751:$AZ751)),"")</f>
        <v/>
      </c>
      <c r="AF751" s="123">
        <f>iferror(IF(SUM($BA751:$BC751)=0,"",SUM($BA751:$BC751)),"")</f>
        <v/>
      </c>
      <c r="AG751" s="123">
        <f>iferror(IF(SUM($BD751:$BF751)=0,"",SUM($BD751:$BF751)),"")</f>
        <v/>
      </c>
      <c r="AH751" s="124">
        <f>iferror(IF(SUM($BG751:$BI751)=0,"",SUM($BG751:$BI751)),"")</f>
        <v/>
      </c>
      <c r="AI751" s="131" t="n"/>
      <c r="AJ751" s="132" t="n"/>
      <c r="AK751" s="132" t="n"/>
      <c r="AL751" s="132" t="n"/>
      <c r="AM751" s="132" t="n"/>
      <c r="AN751" s="132" t="n"/>
      <c r="AO751" s="132" t="n"/>
      <c r="AP751" s="132" t="n"/>
      <c r="AQ751" s="132" t="n"/>
      <c r="AR751" s="132" t="n"/>
      <c r="AS751" s="132" t="n"/>
      <c r="AT751" s="132" t="n"/>
      <c r="AU751" s="132" t="n"/>
      <c r="AV751" s="132" t="n"/>
      <c r="AW751" s="132" t="n"/>
      <c r="AX751" s="132" t="n"/>
      <c r="AY751" s="132" t="n"/>
      <c r="AZ751" s="133" t="n"/>
      <c r="BA751" s="131" t="n"/>
      <c r="BB751" s="132" t="n"/>
      <c r="BC751" s="133" t="n"/>
      <c r="BD751" s="131" t="n"/>
      <c r="BE751" s="132" t="n"/>
      <c r="BF751" s="133" t="n"/>
      <c r="BG751" s="131" t="n"/>
      <c r="BH751" s="132" t="n"/>
      <c r="BI751" s="132" t="n"/>
      <c r="BJ751" s="128">
        <f>iferror(SUM($BK751,($BL751*1.2),($BM751*1.35),($BN751*0.74)),)</f>
        <v/>
      </c>
      <c r="BK751" s="128">
        <f>IFERROR(SUM($BT751:$CK751),)</f>
        <v/>
      </c>
      <c r="BL751" s="129">
        <f>IFERROR(SUM($CL751:$CN751),)</f>
        <v/>
      </c>
      <c r="BM751" s="130">
        <f>IFERROR(SUM($CO751:$CQ751),)</f>
        <v/>
      </c>
      <c r="BN751" s="128">
        <f>IFERROR(SUM($CR751:$CT751),)</f>
        <v/>
      </c>
      <c r="BO751" s="128">
        <f>iferror(SUM($BP751,($BQ751*1.2),($BR751*1.35),($BS751*0.74)),)</f>
        <v/>
      </c>
      <c r="BP751" s="128">
        <f>IFERROR(SUM($CU751:$DL751),)</f>
        <v/>
      </c>
      <c r="BQ751" s="128">
        <f>IFERROR(SUM($DM751:$DO751),)</f>
        <v/>
      </c>
      <c r="BR751" s="128">
        <f>IFERROR(SUM($DP751:$DR751),)</f>
        <v/>
      </c>
      <c r="BS751" s="128">
        <f>IFERROR(SUM($DS751:$DU751),)</f>
        <v/>
      </c>
      <c r="BT751" s="128">
        <f>IFERROR(AI751*$W751,)</f>
        <v/>
      </c>
      <c r="BU751" s="128">
        <f>IFERROR(AJ751*$W751,)</f>
        <v/>
      </c>
      <c r="BV751" s="128">
        <f>IFERROR(AK751*$W751,)</f>
        <v/>
      </c>
      <c r="BW751" s="128">
        <f>IFERROR(AL751*$W751,)</f>
        <v/>
      </c>
      <c r="BX751" s="128">
        <f>IFERROR(AM751*$W751,)</f>
        <v/>
      </c>
      <c r="BY751" s="128">
        <f>IFERROR(AN751*$W751,)</f>
        <v/>
      </c>
      <c r="BZ751" s="128">
        <f>IFERROR(AO751*$W751,)</f>
        <v/>
      </c>
      <c r="CA751" s="128">
        <f>IFERROR(AP751*$W751,)</f>
        <v/>
      </c>
      <c r="CB751" s="128">
        <f>IFERROR(AQ751*$W751,)</f>
        <v/>
      </c>
      <c r="CC751" s="128">
        <f>IFERROR(AR751*$W751,)</f>
        <v/>
      </c>
      <c r="CD751" s="128">
        <f>IFERROR(AS751*$W751,)</f>
        <v/>
      </c>
      <c r="CE751" s="128">
        <f>IFERROR(AT751*$W751,)</f>
        <v/>
      </c>
      <c r="CF751" s="128">
        <f>IFERROR(AU751*$W751,)</f>
        <v/>
      </c>
      <c r="CG751" s="128">
        <f>IFERROR(AV751*$W751,)</f>
        <v/>
      </c>
      <c r="CH751" s="128">
        <f>IFERROR(AW751*$W751,)</f>
        <v/>
      </c>
      <c r="CI751" s="128">
        <f>IFERROR(AX751*$W751,)</f>
        <v/>
      </c>
      <c r="CJ751" s="128">
        <f>IFERROR(AY751*$W751,)</f>
        <v/>
      </c>
      <c r="CK751" s="128">
        <f>IFERROR(AZ751*$W751,)</f>
        <v/>
      </c>
      <c r="CL751" s="129">
        <f>IFERROR(if($Y751=0,BA751*($W751/1.2),BA751*$Y751),"")</f>
        <v/>
      </c>
      <c r="CM751" s="129">
        <f>IFERROR(if($Y751=0,BB751*($W751/1.2),BB751*$Y751),"")</f>
        <v/>
      </c>
      <c r="CN751" s="129">
        <f>IFERROR(if($Y751=0,BC751*($W751/1.2),BC751*$Y751),"")</f>
        <v/>
      </c>
      <c r="CO751" s="130">
        <f>IFERROR(if($AA751=0,($W751/1.35)*BD751,BD751*$AA751),)</f>
        <v/>
      </c>
      <c r="CP751" s="130">
        <f>IFERROR(if($AA751=0,($W751/1.35)*BE751,BE751*$AA751),)</f>
        <v/>
      </c>
      <c r="CQ751" s="130">
        <f>IFERROR(if($AA751=0,($W751/1.35)*BF751,BF751*$AA751),)</f>
        <v/>
      </c>
      <c r="CR751" s="128">
        <f>IFERROR(if($AC751=0,($W751/0.74)*BG751,
BG751*$AC751),)</f>
        <v/>
      </c>
      <c r="CS751" s="128">
        <f>IFERROR(if($AC751=0,($W751/0.74)*BH751,
BH751*$AC751),)</f>
        <v/>
      </c>
      <c r="CT751" s="128">
        <f>IFERROR(if($AC751=0,($W751/0.74)*BI751,
BI751*$AC751),)</f>
        <v/>
      </c>
      <c r="CU751" s="128">
        <f>IFERROR(AI751*$V751,)</f>
        <v/>
      </c>
      <c r="CV751" s="128">
        <f>IFERROR(AJ751*$V751,)</f>
        <v/>
      </c>
      <c r="CW751" s="128">
        <f>IFERROR(AK751*$V751,)</f>
        <v/>
      </c>
      <c r="CX751" s="128">
        <f>IFERROR(AL751*$V751,)</f>
        <v/>
      </c>
      <c r="CY751" s="128">
        <f>IFERROR(AM751*$V751,)</f>
        <v/>
      </c>
      <c r="CZ751" s="128">
        <f>IFERROR(AN751*$V751,)</f>
        <v/>
      </c>
      <c r="DA751" s="128">
        <f>IFERROR(AO751*$V751,)</f>
        <v/>
      </c>
      <c r="DB751" s="128">
        <f>IFERROR(AP751*$V751,)</f>
        <v/>
      </c>
      <c r="DC751" s="128">
        <f>IFERROR(AQ751*$V751,)</f>
        <v/>
      </c>
      <c r="DD751" s="128">
        <f>IFERROR(AR751*$V751,)</f>
        <v/>
      </c>
      <c r="DE751" s="128">
        <f>IFERROR(AS751*$V751,)</f>
        <v/>
      </c>
      <c r="DF751" s="128">
        <f>IFERROR(AT751*$V751,)</f>
        <v/>
      </c>
      <c r="DG751" s="128">
        <f>IFERROR(AU751*$V751,)</f>
        <v/>
      </c>
      <c r="DH751" s="128">
        <f>IFERROR(AV751*$V751,)</f>
        <v/>
      </c>
      <c r="DI751" s="128">
        <f>IFERROR(AW751*$V751,)</f>
        <v/>
      </c>
      <c r="DJ751" s="128">
        <f>IFERROR(AX751*$V751,)</f>
        <v/>
      </c>
      <c r="DK751" s="128">
        <f>IFERROR(AY751*$V751,)</f>
        <v/>
      </c>
      <c r="DL751" s="128">
        <f>IFERROR(AZ751*$V751,)</f>
        <v/>
      </c>
      <c r="DM751" s="129">
        <f>IFERROR(if($X751=0,($V751/1.2)*BA751,
BA751*$X751),)</f>
        <v/>
      </c>
      <c r="DN751" s="129">
        <f>IFERROR(if($X751=0,($V751/1.2)*BB751,
BB751*$X751),)</f>
        <v/>
      </c>
      <c r="DO751" s="129">
        <f>IFERROR(if($X751=0,($V751/1.2)*BC751,
BC751*$X751),)</f>
        <v/>
      </c>
      <c r="DP751" s="130">
        <f>IFERROR(if($Z751=0,($V751/1.35)*BD751,
BD751*$Z751),)</f>
        <v/>
      </c>
      <c r="DQ751" s="130">
        <f>IFERROR(if($Z751=0,($V751/1.35)*BE751,
BE751*$Z751),)</f>
        <v/>
      </c>
      <c r="DR751" s="130">
        <f>IFERROR(if($Z751=0,($V751/1.35)*BF751,
BF751*$Z751),)</f>
        <v/>
      </c>
      <c r="DS751" s="128">
        <f>IFERROR(IF($AB751=0,($V751/0.74)*BG751,
BG751*$AB751),)</f>
        <v/>
      </c>
      <c r="DT751" s="128">
        <f>IFERROR(IF($AB751=0,($V751/0.74)*BH751,
BH751*$AB751),)</f>
        <v/>
      </c>
      <c r="DU751" s="128">
        <f>IFERROR(IF($AB751=0,($V751/0.74)*BI751,
BI751*$AB751),)</f>
        <v/>
      </c>
    </row>
    <row r="752" ht="131.25" customHeight="1" s="162">
      <c r="A752" s="115" t="n"/>
      <c r="B752" s="115" t="n"/>
      <c r="C752" s="115" t="n"/>
      <c r="D752" s="115" t="n"/>
      <c r="E752" s="115" t="n"/>
      <c r="F752" s="115" t="n"/>
      <c r="G752" s="115" t="n"/>
      <c r="H752" s="115" t="n"/>
      <c r="I752" s="115" t="n"/>
      <c r="J752" s="115" t="n"/>
      <c r="K752" s="115" t="n"/>
      <c r="L752" s="115" t="n"/>
      <c r="M752" s="115" t="n"/>
      <c r="N752" s="115" t="n"/>
      <c r="O752" s="115" t="n"/>
      <c r="P752" s="115" t="n"/>
      <c r="Q752" s="115" t="n"/>
      <c r="R752" s="115" t="n"/>
      <c r="S752" s="115" t="n"/>
      <c r="T752" s="115" t="n"/>
      <c r="U752" s="116" t="n"/>
      <c r="V752" s="116" t="n"/>
      <c r="W752" s="117" t="n"/>
      <c r="X752" s="118" t="n"/>
      <c r="Y752" s="119" t="n"/>
      <c r="Z752" s="120" t="n"/>
      <c r="AA752" s="121" t="n"/>
      <c r="AB752" s="122" t="n"/>
      <c r="AC752" s="117" t="n"/>
      <c r="AD752" s="123">
        <f>IF(SUM($AE752:$AH752)=0,"",SUM($AE752:$AH752))</f>
        <v/>
      </c>
      <c r="AE752" s="123">
        <f>iferror(IF(SUM($AI752:$AZ752)=0,"",SUM($AI752:$AZ752)),"")</f>
        <v/>
      </c>
      <c r="AF752" s="123">
        <f>iferror(IF(SUM($BA752:$BC752)=0,"",SUM($BA752:$BC752)),"")</f>
        <v/>
      </c>
      <c r="AG752" s="123">
        <f>iferror(IF(SUM($BD752:$BF752)=0,"",SUM($BD752:$BF752)),"")</f>
        <v/>
      </c>
      <c r="AH752" s="124">
        <f>iferror(IF(SUM($BG752:$BI752)=0,"",SUM($BG752:$BI752)),"")</f>
        <v/>
      </c>
      <c r="AI752" s="131" t="n"/>
      <c r="AJ752" s="132" t="n"/>
      <c r="AK752" s="132" t="n"/>
      <c r="AL752" s="132" t="n"/>
      <c r="AM752" s="132" t="n"/>
      <c r="AN752" s="132" t="n"/>
      <c r="AO752" s="132" t="n"/>
      <c r="AP752" s="132" t="n"/>
      <c r="AQ752" s="132" t="n"/>
      <c r="AR752" s="132" t="n"/>
      <c r="AS752" s="132" t="n"/>
      <c r="AT752" s="132" t="n"/>
      <c r="AU752" s="132" t="n"/>
      <c r="AV752" s="132" t="n"/>
      <c r="AW752" s="132" t="n"/>
      <c r="AX752" s="132" t="n"/>
      <c r="AY752" s="132" t="n"/>
      <c r="AZ752" s="133" t="n"/>
      <c r="BA752" s="131" t="n"/>
      <c r="BB752" s="132" t="n"/>
      <c r="BC752" s="133" t="n"/>
      <c r="BD752" s="131" t="n"/>
      <c r="BE752" s="132" t="n"/>
      <c r="BF752" s="133" t="n"/>
      <c r="BG752" s="131" t="n"/>
      <c r="BH752" s="132" t="n"/>
      <c r="BI752" s="132" t="n"/>
      <c r="BJ752" s="128">
        <f>iferror(SUM($BK752,($BL752*1.2),($BM752*1.35),($BN752*0.74)),)</f>
        <v/>
      </c>
      <c r="BK752" s="128">
        <f>IFERROR(SUM($BT752:$CK752),)</f>
        <v/>
      </c>
      <c r="BL752" s="129">
        <f>IFERROR(SUM($CL752:$CN752),)</f>
        <v/>
      </c>
      <c r="BM752" s="130">
        <f>IFERROR(SUM($CO752:$CQ752),)</f>
        <v/>
      </c>
      <c r="BN752" s="128">
        <f>IFERROR(SUM($CR752:$CT752),)</f>
        <v/>
      </c>
      <c r="BO752" s="128">
        <f>iferror(SUM($BP752,($BQ752*1.2),($BR752*1.35),($BS752*0.74)),)</f>
        <v/>
      </c>
      <c r="BP752" s="128">
        <f>IFERROR(SUM($CU752:$DL752),)</f>
        <v/>
      </c>
      <c r="BQ752" s="128">
        <f>IFERROR(SUM($DM752:$DO752),)</f>
        <v/>
      </c>
      <c r="BR752" s="128">
        <f>IFERROR(SUM($DP752:$DR752),)</f>
        <v/>
      </c>
      <c r="BS752" s="128">
        <f>IFERROR(SUM($DS752:$DU752),)</f>
        <v/>
      </c>
      <c r="BT752" s="128">
        <f>IFERROR(AI752*$W752,)</f>
        <v/>
      </c>
      <c r="BU752" s="128">
        <f>IFERROR(AJ752*$W752,)</f>
        <v/>
      </c>
      <c r="BV752" s="128">
        <f>IFERROR(AK752*$W752,)</f>
        <v/>
      </c>
      <c r="BW752" s="128">
        <f>IFERROR(AL752*$W752,)</f>
        <v/>
      </c>
      <c r="BX752" s="128">
        <f>IFERROR(AM752*$W752,)</f>
        <v/>
      </c>
      <c r="BY752" s="128">
        <f>IFERROR(AN752*$W752,)</f>
        <v/>
      </c>
      <c r="BZ752" s="128">
        <f>IFERROR(AO752*$W752,)</f>
        <v/>
      </c>
      <c r="CA752" s="128">
        <f>IFERROR(AP752*$W752,)</f>
        <v/>
      </c>
      <c r="CB752" s="128">
        <f>IFERROR(AQ752*$W752,)</f>
        <v/>
      </c>
      <c r="CC752" s="128">
        <f>IFERROR(AR752*$W752,)</f>
        <v/>
      </c>
      <c r="CD752" s="128">
        <f>IFERROR(AS752*$W752,)</f>
        <v/>
      </c>
      <c r="CE752" s="128">
        <f>IFERROR(AT752*$W752,)</f>
        <v/>
      </c>
      <c r="CF752" s="128">
        <f>IFERROR(AU752*$W752,)</f>
        <v/>
      </c>
      <c r="CG752" s="128">
        <f>IFERROR(AV752*$W752,)</f>
        <v/>
      </c>
      <c r="CH752" s="128">
        <f>IFERROR(AW752*$W752,)</f>
        <v/>
      </c>
      <c r="CI752" s="128">
        <f>IFERROR(AX752*$W752,)</f>
        <v/>
      </c>
      <c r="CJ752" s="128">
        <f>IFERROR(AY752*$W752,)</f>
        <v/>
      </c>
      <c r="CK752" s="128">
        <f>IFERROR(AZ752*$W752,)</f>
        <v/>
      </c>
      <c r="CL752" s="129">
        <f>IFERROR(if($Y752=0,BA752*($W752/1.2),BA752*$Y752),"")</f>
        <v/>
      </c>
      <c r="CM752" s="129">
        <f>IFERROR(if($Y752=0,BB752*($W752/1.2),BB752*$Y752),"")</f>
        <v/>
      </c>
      <c r="CN752" s="129">
        <f>IFERROR(if($Y752=0,BC752*($W752/1.2),BC752*$Y752),"")</f>
        <v/>
      </c>
      <c r="CO752" s="130">
        <f>IFERROR(if($AA752=0,($W752/1.35)*BD752,BD752*$AA752),)</f>
        <v/>
      </c>
      <c r="CP752" s="130">
        <f>IFERROR(if($AA752=0,($W752/1.35)*BE752,BE752*$AA752),)</f>
        <v/>
      </c>
      <c r="CQ752" s="130">
        <f>IFERROR(if($AA752=0,($W752/1.35)*BF752,BF752*$AA752),)</f>
        <v/>
      </c>
      <c r="CR752" s="128">
        <f>IFERROR(if($AC752=0,($W752/0.74)*BG752,
BG752*$AC752),)</f>
        <v/>
      </c>
      <c r="CS752" s="128">
        <f>IFERROR(if($AC752=0,($W752/0.74)*BH752,
BH752*$AC752),)</f>
        <v/>
      </c>
      <c r="CT752" s="128">
        <f>IFERROR(if($AC752=0,($W752/0.74)*BI752,
BI752*$AC752),)</f>
        <v/>
      </c>
      <c r="CU752" s="128">
        <f>IFERROR(AI752*$V752,)</f>
        <v/>
      </c>
      <c r="CV752" s="128">
        <f>IFERROR(AJ752*$V752,)</f>
        <v/>
      </c>
      <c r="CW752" s="128">
        <f>IFERROR(AK752*$V752,)</f>
        <v/>
      </c>
      <c r="CX752" s="128">
        <f>IFERROR(AL752*$V752,)</f>
        <v/>
      </c>
      <c r="CY752" s="128">
        <f>IFERROR(AM752*$V752,)</f>
        <v/>
      </c>
      <c r="CZ752" s="128">
        <f>IFERROR(AN752*$V752,)</f>
        <v/>
      </c>
      <c r="DA752" s="128">
        <f>IFERROR(AO752*$V752,)</f>
        <v/>
      </c>
      <c r="DB752" s="128">
        <f>IFERROR(AP752*$V752,)</f>
        <v/>
      </c>
      <c r="DC752" s="128">
        <f>IFERROR(AQ752*$V752,)</f>
        <v/>
      </c>
      <c r="DD752" s="128">
        <f>IFERROR(AR752*$V752,)</f>
        <v/>
      </c>
      <c r="DE752" s="128">
        <f>IFERROR(AS752*$V752,)</f>
        <v/>
      </c>
      <c r="DF752" s="128">
        <f>IFERROR(AT752*$V752,)</f>
        <v/>
      </c>
      <c r="DG752" s="128">
        <f>IFERROR(AU752*$V752,)</f>
        <v/>
      </c>
      <c r="DH752" s="128">
        <f>IFERROR(AV752*$V752,)</f>
        <v/>
      </c>
      <c r="DI752" s="128">
        <f>IFERROR(AW752*$V752,)</f>
        <v/>
      </c>
      <c r="DJ752" s="128">
        <f>IFERROR(AX752*$V752,)</f>
        <v/>
      </c>
      <c r="DK752" s="128">
        <f>IFERROR(AY752*$V752,)</f>
        <v/>
      </c>
      <c r="DL752" s="128">
        <f>IFERROR(AZ752*$V752,)</f>
        <v/>
      </c>
      <c r="DM752" s="129">
        <f>IFERROR(if($X752=0,($V752/1.2)*BA752,
BA752*$X752),)</f>
        <v/>
      </c>
      <c r="DN752" s="129">
        <f>IFERROR(if($X752=0,($V752/1.2)*BB752,
BB752*$X752),)</f>
        <v/>
      </c>
      <c r="DO752" s="129">
        <f>IFERROR(if($X752=0,($V752/1.2)*BC752,
BC752*$X752),)</f>
        <v/>
      </c>
      <c r="DP752" s="130">
        <f>IFERROR(if($Z752=0,($V752/1.35)*BD752,
BD752*$Z752),)</f>
        <v/>
      </c>
      <c r="DQ752" s="130">
        <f>IFERROR(if($Z752=0,($V752/1.35)*BE752,
BE752*$Z752),)</f>
        <v/>
      </c>
      <c r="DR752" s="130">
        <f>IFERROR(if($Z752=0,($V752/1.35)*BF752,
BF752*$Z752),)</f>
        <v/>
      </c>
      <c r="DS752" s="128">
        <f>IFERROR(IF($AB752=0,($V752/0.74)*BG752,
BG752*$AB752),)</f>
        <v/>
      </c>
      <c r="DT752" s="128">
        <f>IFERROR(IF($AB752=0,($V752/0.74)*BH752,
BH752*$AB752),)</f>
        <v/>
      </c>
      <c r="DU752" s="128">
        <f>IFERROR(IF($AB752=0,($V752/0.74)*BI752,
BI752*$AB752),)</f>
        <v/>
      </c>
    </row>
    <row r="753" ht="131.25" customHeight="1" s="162">
      <c r="A753" s="115" t="n"/>
      <c r="B753" s="115" t="n"/>
      <c r="C753" s="115" t="n"/>
      <c r="D753" s="115" t="n"/>
      <c r="E753" s="115" t="n"/>
      <c r="F753" s="115" t="n"/>
      <c r="G753" s="115" t="n"/>
      <c r="H753" s="115" t="n"/>
      <c r="I753" s="115" t="n"/>
      <c r="J753" s="115" t="n"/>
      <c r="K753" s="115" t="n"/>
      <c r="L753" s="115" t="n"/>
      <c r="M753" s="115" t="n"/>
      <c r="N753" s="115" t="n"/>
      <c r="O753" s="115" t="n"/>
      <c r="P753" s="115" t="n"/>
      <c r="Q753" s="115" t="n"/>
      <c r="R753" s="115" t="n"/>
      <c r="S753" s="115" t="n"/>
      <c r="T753" s="115" t="n"/>
      <c r="U753" s="116" t="n"/>
      <c r="V753" s="116" t="n"/>
      <c r="W753" s="117" t="n"/>
      <c r="X753" s="118" t="n"/>
      <c r="Y753" s="119" t="n"/>
      <c r="Z753" s="120" t="n"/>
      <c r="AA753" s="121" t="n"/>
      <c r="AB753" s="122" t="n"/>
      <c r="AC753" s="117" t="n"/>
      <c r="AD753" s="123">
        <f>IF(SUM($AE753:$AH753)=0,"",SUM($AE753:$AH753))</f>
        <v/>
      </c>
      <c r="AE753" s="123">
        <f>iferror(IF(SUM($AI753:$AZ753)=0,"",SUM($AI753:$AZ753)),"")</f>
        <v/>
      </c>
      <c r="AF753" s="123">
        <f>iferror(IF(SUM($BA753:$BC753)=0,"",SUM($BA753:$BC753)),"")</f>
        <v/>
      </c>
      <c r="AG753" s="123">
        <f>iferror(IF(SUM($BD753:$BF753)=0,"",SUM($BD753:$BF753)),"")</f>
        <v/>
      </c>
      <c r="AH753" s="124">
        <f>iferror(IF(SUM($BG753:$BI753)=0,"",SUM($BG753:$BI753)),"")</f>
        <v/>
      </c>
      <c r="AI753" s="131" t="n"/>
      <c r="AJ753" s="132" t="n"/>
      <c r="AK753" s="132" t="n"/>
      <c r="AL753" s="132" t="n"/>
      <c r="AM753" s="132" t="n"/>
      <c r="AN753" s="132" t="n"/>
      <c r="AO753" s="132" t="n"/>
      <c r="AP753" s="132" t="n"/>
      <c r="AQ753" s="132" t="n"/>
      <c r="AR753" s="132" t="n"/>
      <c r="AS753" s="132" t="n"/>
      <c r="AT753" s="132" t="n"/>
      <c r="AU753" s="132" t="n"/>
      <c r="AV753" s="132" t="n"/>
      <c r="AW753" s="132" t="n"/>
      <c r="AX753" s="132" t="n"/>
      <c r="AY753" s="132" t="n"/>
      <c r="AZ753" s="133" t="n"/>
      <c r="BA753" s="131" t="n"/>
      <c r="BB753" s="132" t="n"/>
      <c r="BC753" s="133" t="n"/>
      <c r="BD753" s="131" t="n"/>
      <c r="BE753" s="132" t="n"/>
      <c r="BF753" s="133" t="n"/>
      <c r="BG753" s="131" t="n"/>
      <c r="BH753" s="132" t="n"/>
      <c r="BI753" s="132" t="n"/>
      <c r="BJ753" s="128">
        <f>iferror(SUM($BK753,($BL753*1.2),($BM753*1.35),($BN753*0.74)),)</f>
        <v/>
      </c>
      <c r="BK753" s="128">
        <f>IFERROR(SUM($BT753:$CK753),)</f>
        <v/>
      </c>
      <c r="BL753" s="129">
        <f>IFERROR(SUM($CL753:$CN753),)</f>
        <v/>
      </c>
      <c r="BM753" s="130">
        <f>IFERROR(SUM($CO753:$CQ753),)</f>
        <v/>
      </c>
      <c r="BN753" s="128">
        <f>IFERROR(SUM($CR753:$CT753),)</f>
        <v/>
      </c>
      <c r="BO753" s="128">
        <f>iferror(SUM($BP753,($BQ753*1.2),($BR753*1.35),($BS753*0.74)),)</f>
        <v/>
      </c>
      <c r="BP753" s="128">
        <f>IFERROR(SUM($CU753:$DL753),)</f>
        <v/>
      </c>
      <c r="BQ753" s="128">
        <f>IFERROR(SUM($DM753:$DO753),)</f>
        <v/>
      </c>
      <c r="BR753" s="128">
        <f>IFERROR(SUM($DP753:$DR753),)</f>
        <v/>
      </c>
      <c r="BS753" s="128">
        <f>IFERROR(SUM($DS753:$DU753),)</f>
        <v/>
      </c>
      <c r="BT753" s="128">
        <f>IFERROR(AI753*$W753,)</f>
        <v/>
      </c>
      <c r="BU753" s="128">
        <f>IFERROR(AJ753*$W753,)</f>
        <v/>
      </c>
      <c r="BV753" s="128">
        <f>IFERROR(AK753*$W753,)</f>
        <v/>
      </c>
      <c r="BW753" s="128">
        <f>IFERROR(AL753*$W753,)</f>
        <v/>
      </c>
      <c r="BX753" s="128">
        <f>IFERROR(AM753*$W753,)</f>
        <v/>
      </c>
      <c r="BY753" s="128">
        <f>IFERROR(AN753*$W753,)</f>
        <v/>
      </c>
      <c r="BZ753" s="128">
        <f>IFERROR(AO753*$W753,)</f>
        <v/>
      </c>
      <c r="CA753" s="128">
        <f>IFERROR(AP753*$W753,)</f>
        <v/>
      </c>
      <c r="CB753" s="128">
        <f>IFERROR(AQ753*$W753,)</f>
        <v/>
      </c>
      <c r="CC753" s="128">
        <f>IFERROR(AR753*$W753,)</f>
        <v/>
      </c>
      <c r="CD753" s="128">
        <f>IFERROR(AS753*$W753,)</f>
        <v/>
      </c>
      <c r="CE753" s="128">
        <f>IFERROR(AT753*$W753,)</f>
        <v/>
      </c>
      <c r="CF753" s="128">
        <f>IFERROR(AU753*$W753,)</f>
        <v/>
      </c>
      <c r="CG753" s="128">
        <f>IFERROR(AV753*$W753,)</f>
        <v/>
      </c>
      <c r="CH753" s="128">
        <f>IFERROR(AW753*$W753,)</f>
        <v/>
      </c>
      <c r="CI753" s="128">
        <f>IFERROR(AX753*$W753,)</f>
        <v/>
      </c>
      <c r="CJ753" s="128">
        <f>IFERROR(AY753*$W753,)</f>
        <v/>
      </c>
      <c r="CK753" s="128">
        <f>IFERROR(AZ753*$W753,)</f>
        <v/>
      </c>
      <c r="CL753" s="129">
        <f>IFERROR(if($Y753=0,BA753*($W753/1.2),BA753*$Y753),"")</f>
        <v/>
      </c>
      <c r="CM753" s="129">
        <f>IFERROR(if($Y753=0,BB753*($W753/1.2),BB753*$Y753),"")</f>
        <v/>
      </c>
      <c r="CN753" s="129">
        <f>IFERROR(if($Y753=0,BC753*($W753/1.2),BC753*$Y753),"")</f>
        <v/>
      </c>
      <c r="CO753" s="130">
        <f>IFERROR(if($AA753=0,($W753/1.35)*BD753,BD753*$AA753),)</f>
        <v/>
      </c>
      <c r="CP753" s="130">
        <f>IFERROR(if($AA753=0,($W753/1.35)*BE753,BE753*$AA753),)</f>
        <v/>
      </c>
      <c r="CQ753" s="130">
        <f>IFERROR(if($AA753=0,($W753/1.35)*BF753,BF753*$AA753),)</f>
        <v/>
      </c>
      <c r="CR753" s="128">
        <f>IFERROR(if($AC753=0,($W753/0.74)*BG753,
BG753*$AC753),)</f>
        <v/>
      </c>
      <c r="CS753" s="128">
        <f>IFERROR(if($AC753=0,($W753/0.74)*BH753,
BH753*$AC753),)</f>
        <v/>
      </c>
      <c r="CT753" s="128">
        <f>IFERROR(if($AC753=0,($W753/0.74)*BI753,
BI753*$AC753),)</f>
        <v/>
      </c>
      <c r="CU753" s="128">
        <f>IFERROR(AI753*$V753,)</f>
        <v/>
      </c>
      <c r="CV753" s="128">
        <f>IFERROR(AJ753*$V753,)</f>
        <v/>
      </c>
      <c r="CW753" s="128">
        <f>IFERROR(AK753*$V753,)</f>
        <v/>
      </c>
      <c r="CX753" s="128">
        <f>IFERROR(AL753*$V753,)</f>
        <v/>
      </c>
      <c r="CY753" s="128">
        <f>IFERROR(AM753*$V753,)</f>
        <v/>
      </c>
      <c r="CZ753" s="128">
        <f>IFERROR(AN753*$V753,)</f>
        <v/>
      </c>
      <c r="DA753" s="128">
        <f>IFERROR(AO753*$V753,)</f>
        <v/>
      </c>
      <c r="DB753" s="128">
        <f>IFERROR(AP753*$V753,)</f>
        <v/>
      </c>
      <c r="DC753" s="128">
        <f>IFERROR(AQ753*$V753,)</f>
        <v/>
      </c>
      <c r="DD753" s="128">
        <f>IFERROR(AR753*$V753,)</f>
        <v/>
      </c>
      <c r="DE753" s="128">
        <f>IFERROR(AS753*$V753,)</f>
        <v/>
      </c>
      <c r="DF753" s="128">
        <f>IFERROR(AT753*$V753,)</f>
        <v/>
      </c>
      <c r="DG753" s="128">
        <f>IFERROR(AU753*$V753,)</f>
        <v/>
      </c>
      <c r="DH753" s="128">
        <f>IFERROR(AV753*$V753,)</f>
        <v/>
      </c>
      <c r="DI753" s="128">
        <f>IFERROR(AW753*$V753,)</f>
        <v/>
      </c>
      <c r="DJ753" s="128">
        <f>IFERROR(AX753*$V753,)</f>
        <v/>
      </c>
      <c r="DK753" s="128">
        <f>IFERROR(AY753*$V753,)</f>
        <v/>
      </c>
      <c r="DL753" s="128">
        <f>IFERROR(AZ753*$V753,)</f>
        <v/>
      </c>
      <c r="DM753" s="129">
        <f>IFERROR(if($X753=0,($V753/1.2)*BA753,
BA753*$X753),)</f>
        <v/>
      </c>
      <c r="DN753" s="129">
        <f>IFERROR(if($X753=0,($V753/1.2)*BB753,
BB753*$X753),)</f>
        <v/>
      </c>
      <c r="DO753" s="129">
        <f>IFERROR(if($X753=0,($V753/1.2)*BC753,
BC753*$X753),)</f>
        <v/>
      </c>
      <c r="DP753" s="130">
        <f>IFERROR(if($Z753=0,($V753/1.35)*BD753,
BD753*$Z753),)</f>
        <v/>
      </c>
      <c r="DQ753" s="130">
        <f>IFERROR(if($Z753=0,($V753/1.35)*BE753,
BE753*$Z753),)</f>
        <v/>
      </c>
      <c r="DR753" s="130">
        <f>IFERROR(if($Z753=0,($V753/1.35)*BF753,
BF753*$Z753),)</f>
        <v/>
      </c>
      <c r="DS753" s="128">
        <f>IFERROR(IF($AB753=0,($V753/0.74)*BG753,
BG753*$AB753),)</f>
        <v/>
      </c>
      <c r="DT753" s="128">
        <f>IFERROR(IF($AB753=0,($V753/0.74)*BH753,
BH753*$AB753),)</f>
        <v/>
      </c>
      <c r="DU753" s="128">
        <f>IFERROR(IF($AB753=0,($V753/0.74)*BI753,
BI753*$AB753),)</f>
        <v/>
      </c>
    </row>
    <row r="754" ht="131.25" customHeight="1" s="162">
      <c r="A754" s="115" t="n"/>
      <c r="B754" s="115" t="n"/>
      <c r="C754" s="115" t="n"/>
      <c r="D754" s="115" t="n"/>
      <c r="E754" s="115" t="n"/>
      <c r="F754" s="115" t="n"/>
      <c r="G754" s="115" t="n"/>
      <c r="H754" s="115" t="n"/>
      <c r="I754" s="115" t="n"/>
      <c r="J754" s="115" t="n"/>
      <c r="K754" s="115" t="n"/>
      <c r="L754" s="115" t="n"/>
      <c r="M754" s="115" t="n"/>
      <c r="N754" s="115" t="n"/>
      <c r="O754" s="115" t="n"/>
      <c r="P754" s="115" t="n"/>
      <c r="Q754" s="115" t="n"/>
      <c r="R754" s="115" t="n"/>
      <c r="S754" s="115" t="n"/>
      <c r="T754" s="115" t="n"/>
      <c r="U754" s="116" t="n"/>
      <c r="V754" s="116" t="n"/>
      <c r="W754" s="117" t="n"/>
      <c r="X754" s="118" t="n"/>
      <c r="Y754" s="119" t="n"/>
      <c r="Z754" s="120" t="n"/>
      <c r="AA754" s="121" t="n"/>
      <c r="AB754" s="122" t="n"/>
      <c r="AC754" s="117" t="n"/>
      <c r="AD754" s="123">
        <f>IF(SUM($AE754:$AH754)=0,"",SUM($AE754:$AH754))</f>
        <v/>
      </c>
      <c r="AE754" s="123">
        <f>iferror(IF(SUM($AI754:$AZ754)=0,"",SUM($AI754:$AZ754)),"")</f>
        <v/>
      </c>
      <c r="AF754" s="123">
        <f>iferror(IF(SUM($BA754:$BC754)=0,"",SUM($BA754:$BC754)),"")</f>
        <v/>
      </c>
      <c r="AG754" s="123">
        <f>iferror(IF(SUM($BD754:$BF754)=0,"",SUM($BD754:$BF754)),"")</f>
        <v/>
      </c>
      <c r="AH754" s="124">
        <f>iferror(IF(SUM($BG754:$BI754)=0,"",SUM($BG754:$BI754)),"")</f>
        <v/>
      </c>
      <c r="AI754" s="131" t="n"/>
      <c r="AJ754" s="132" t="n"/>
      <c r="AK754" s="132" t="n"/>
      <c r="AL754" s="132" t="n"/>
      <c r="AM754" s="132" t="n"/>
      <c r="AN754" s="132" t="n"/>
      <c r="AO754" s="132" t="n"/>
      <c r="AP754" s="132" t="n"/>
      <c r="AQ754" s="132" t="n"/>
      <c r="AR754" s="132" t="n"/>
      <c r="AS754" s="132" t="n"/>
      <c r="AT754" s="132" t="n"/>
      <c r="AU754" s="132" t="n"/>
      <c r="AV754" s="132" t="n"/>
      <c r="AW754" s="132" t="n"/>
      <c r="AX754" s="132" t="n"/>
      <c r="AY754" s="132" t="n"/>
      <c r="AZ754" s="133" t="n"/>
      <c r="BA754" s="131" t="n"/>
      <c r="BB754" s="132" t="n"/>
      <c r="BC754" s="133" t="n"/>
      <c r="BD754" s="131" t="n"/>
      <c r="BE754" s="132" t="n"/>
      <c r="BF754" s="133" t="n"/>
      <c r="BG754" s="131" t="n"/>
      <c r="BH754" s="132" t="n"/>
      <c r="BI754" s="132" t="n"/>
      <c r="BJ754" s="128">
        <f>iferror(SUM($BK754,($BL754*1.2),($BM754*1.35),($BN754*0.74)),)</f>
        <v/>
      </c>
      <c r="BK754" s="128">
        <f>IFERROR(SUM($BT754:$CK754),)</f>
        <v/>
      </c>
      <c r="BL754" s="129">
        <f>IFERROR(SUM($CL754:$CN754),)</f>
        <v/>
      </c>
      <c r="BM754" s="130">
        <f>IFERROR(SUM($CO754:$CQ754),)</f>
        <v/>
      </c>
      <c r="BN754" s="128">
        <f>IFERROR(SUM($CR754:$CT754),)</f>
        <v/>
      </c>
      <c r="BO754" s="128">
        <f>iferror(SUM($BP754,($BQ754*1.2),($BR754*1.35),($BS754*0.74)),)</f>
        <v/>
      </c>
      <c r="BP754" s="128">
        <f>IFERROR(SUM($CU754:$DL754),)</f>
        <v/>
      </c>
      <c r="BQ754" s="128">
        <f>IFERROR(SUM($DM754:$DO754),)</f>
        <v/>
      </c>
      <c r="BR754" s="128">
        <f>IFERROR(SUM($DP754:$DR754),)</f>
        <v/>
      </c>
      <c r="BS754" s="128">
        <f>IFERROR(SUM($DS754:$DU754),)</f>
        <v/>
      </c>
      <c r="BT754" s="128">
        <f>IFERROR(AI754*$W754,)</f>
        <v/>
      </c>
      <c r="BU754" s="128">
        <f>IFERROR(AJ754*$W754,)</f>
        <v/>
      </c>
      <c r="BV754" s="128">
        <f>IFERROR(AK754*$W754,)</f>
        <v/>
      </c>
      <c r="BW754" s="128">
        <f>IFERROR(AL754*$W754,)</f>
        <v/>
      </c>
      <c r="BX754" s="128">
        <f>IFERROR(AM754*$W754,)</f>
        <v/>
      </c>
      <c r="BY754" s="128">
        <f>IFERROR(AN754*$W754,)</f>
        <v/>
      </c>
      <c r="BZ754" s="128">
        <f>IFERROR(AO754*$W754,)</f>
        <v/>
      </c>
      <c r="CA754" s="128">
        <f>IFERROR(AP754*$W754,)</f>
        <v/>
      </c>
      <c r="CB754" s="128">
        <f>IFERROR(AQ754*$W754,)</f>
        <v/>
      </c>
      <c r="CC754" s="128">
        <f>IFERROR(AR754*$W754,)</f>
        <v/>
      </c>
      <c r="CD754" s="128">
        <f>IFERROR(AS754*$W754,)</f>
        <v/>
      </c>
      <c r="CE754" s="128">
        <f>IFERROR(AT754*$W754,)</f>
        <v/>
      </c>
      <c r="CF754" s="128">
        <f>IFERROR(AU754*$W754,)</f>
        <v/>
      </c>
      <c r="CG754" s="128">
        <f>IFERROR(AV754*$W754,)</f>
        <v/>
      </c>
      <c r="CH754" s="128">
        <f>IFERROR(AW754*$W754,)</f>
        <v/>
      </c>
      <c r="CI754" s="128">
        <f>IFERROR(AX754*$W754,)</f>
        <v/>
      </c>
      <c r="CJ754" s="128">
        <f>IFERROR(AY754*$W754,)</f>
        <v/>
      </c>
      <c r="CK754" s="128">
        <f>IFERROR(AZ754*$W754,)</f>
        <v/>
      </c>
      <c r="CL754" s="129">
        <f>IFERROR(if($Y754=0,BA754*($W754/1.2),BA754*$Y754),"")</f>
        <v/>
      </c>
      <c r="CM754" s="129">
        <f>IFERROR(if($Y754=0,BB754*($W754/1.2),BB754*$Y754),"")</f>
        <v/>
      </c>
      <c r="CN754" s="129">
        <f>IFERROR(if($Y754=0,BC754*($W754/1.2),BC754*$Y754),"")</f>
        <v/>
      </c>
      <c r="CO754" s="130">
        <f>IFERROR(if($AA754=0,($W754/1.35)*BD754,BD754*$AA754),)</f>
        <v/>
      </c>
      <c r="CP754" s="130">
        <f>IFERROR(if($AA754=0,($W754/1.35)*BE754,BE754*$AA754),)</f>
        <v/>
      </c>
      <c r="CQ754" s="130">
        <f>IFERROR(if($AA754=0,($W754/1.35)*BF754,BF754*$AA754),)</f>
        <v/>
      </c>
      <c r="CR754" s="128">
        <f>IFERROR(if($AC754=0,($W754/0.74)*BG754,
BG754*$AC754),)</f>
        <v/>
      </c>
      <c r="CS754" s="128">
        <f>IFERROR(if($AC754=0,($W754/0.74)*BH754,
BH754*$AC754),)</f>
        <v/>
      </c>
      <c r="CT754" s="128">
        <f>IFERROR(if($AC754=0,($W754/0.74)*BI754,
BI754*$AC754),)</f>
        <v/>
      </c>
      <c r="CU754" s="128">
        <f>IFERROR(AI754*$V754,)</f>
        <v/>
      </c>
      <c r="CV754" s="128">
        <f>IFERROR(AJ754*$V754,)</f>
        <v/>
      </c>
      <c r="CW754" s="128">
        <f>IFERROR(AK754*$V754,)</f>
        <v/>
      </c>
      <c r="CX754" s="128">
        <f>IFERROR(AL754*$V754,)</f>
        <v/>
      </c>
      <c r="CY754" s="128">
        <f>IFERROR(AM754*$V754,)</f>
        <v/>
      </c>
      <c r="CZ754" s="128">
        <f>IFERROR(AN754*$V754,)</f>
        <v/>
      </c>
      <c r="DA754" s="128">
        <f>IFERROR(AO754*$V754,)</f>
        <v/>
      </c>
      <c r="DB754" s="128">
        <f>IFERROR(AP754*$V754,)</f>
        <v/>
      </c>
      <c r="DC754" s="128">
        <f>IFERROR(AQ754*$V754,)</f>
        <v/>
      </c>
      <c r="DD754" s="128">
        <f>IFERROR(AR754*$V754,)</f>
        <v/>
      </c>
      <c r="DE754" s="128">
        <f>IFERROR(AS754*$V754,)</f>
        <v/>
      </c>
      <c r="DF754" s="128">
        <f>IFERROR(AT754*$V754,)</f>
        <v/>
      </c>
      <c r="DG754" s="128">
        <f>IFERROR(AU754*$V754,)</f>
        <v/>
      </c>
      <c r="DH754" s="128">
        <f>IFERROR(AV754*$V754,)</f>
        <v/>
      </c>
      <c r="DI754" s="128">
        <f>IFERROR(AW754*$V754,)</f>
        <v/>
      </c>
      <c r="DJ754" s="128">
        <f>IFERROR(AX754*$V754,)</f>
        <v/>
      </c>
      <c r="DK754" s="128">
        <f>IFERROR(AY754*$V754,)</f>
        <v/>
      </c>
      <c r="DL754" s="128">
        <f>IFERROR(AZ754*$V754,)</f>
        <v/>
      </c>
      <c r="DM754" s="129">
        <f>IFERROR(if($X754=0,($V754/1.2)*BA754,
BA754*$X754),)</f>
        <v/>
      </c>
      <c r="DN754" s="129">
        <f>IFERROR(if($X754=0,($V754/1.2)*BB754,
BB754*$X754),)</f>
        <v/>
      </c>
      <c r="DO754" s="129">
        <f>IFERROR(if($X754=0,($V754/1.2)*BC754,
BC754*$X754),)</f>
        <v/>
      </c>
      <c r="DP754" s="130">
        <f>IFERROR(if($Z754=0,($V754/1.35)*BD754,
BD754*$Z754),)</f>
        <v/>
      </c>
      <c r="DQ754" s="130">
        <f>IFERROR(if($Z754=0,($V754/1.35)*BE754,
BE754*$Z754),)</f>
        <v/>
      </c>
      <c r="DR754" s="130">
        <f>IFERROR(if($Z754=0,($V754/1.35)*BF754,
BF754*$Z754),)</f>
        <v/>
      </c>
      <c r="DS754" s="128">
        <f>IFERROR(IF($AB754=0,($V754/0.74)*BG754,
BG754*$AB754),)</f>
        <v/>
      </c>
      <c r="DT754" s="128">
        <f>IFERROR(IF($AB754=0,($V754/0.74)*BH754,
BH754*$AB754),)</f>
        <v/>
      </c>
      <c r="DU754" s="128">
        <f>IFERROR(IF($AB754=0,($V754/0.74)*BI754,
BI754*$AB754),)</f>
        <v/>
      </c>
    </row>
    <row r="755" ht="131.25" customHeight="1" s="162">
      <c r="A755" s="115" t="n"/>
      <c r="B755" s="115" t="n"/>
      <c r="C755" s="115" t="n"/>
      <c r="D755" s="115" t="n"/>
      <c r="E755" s="115" t="n"/>
      <c r="F755" s="115" t="n"/>
      <c r="G755" s="115" t="n"/>
      <c r="H755" s="115" t="n"/>
      <c r="I755" s="115" t="n"/>
      <c r="J755" s="115" t="n"/>
      <c r="K755" s="115" t="n"/>
      <c r="L755" s="115" t="n"/>
      <c r="M755" s="115" t="n"/>
      <c r="N755" s="115" t="n"/>
      <c r="O755" s="115" t="n"/>
      <c r="P755" s="115" t="n"/>
      <c r="Q755" s="115" t="n"/>
      <c r="R755" s="115" t="n"/>
      <c r="S755" s="115" t="n"/>
      <c r="T755" s="115" t="n"/>
      <c r="U755" s="116" t="n"/>
      <c r="V755" s="116" t="n"/>
      <c r="W755" s="117" t="n"/>
      <c r="X755" s="118" t="n"/>
      <c r="Y755" s="119" t="n"/>
      <c r="Z755" s="120" t="n"/>
      <c r="AA755" s="121" t="n"/>
      <c r="AB755" s="122" t="n"/>
      <c r="AC755" s="117" t="n"/>
      <c r="AD755" s="123">
        <f>IF(SUM($AE755:$AH755)=0,"",SUM($AE755:$AH755))</f>
        <v/>
      </c>
      <c r="AE755" s="123">
        <f>iferror(IF(SUM($AI755:$AZ755)=0,"",SUM($AI755:$AZ755)),"")</f>
        <v/>
      </c>
      <c r="AF755" s="123">
        <f>iferror(IF(SUM($BA755:$BC755)=0,"",SUM($BA755:$BC755)),"")</f>
        <v/>
      </c>
      <c r="AG755" s="123">
        <f>iferror(IF(SUM($BD755:$BF755)=0,"",SUM($BD755:$BF755)),"")</f>
        <v/>
      </c>
      <c r="AH755" s="124">
        <f>iferror(IF(SUM($BG755:$BI755)=0,"",SUM($BG755:$BI755)),"")</f>
        <v/>
      </c>
      <c r="AI755" s="131" t="n"/>
      <c r="AJ755" s="132" t="n"/>
      <c r="AK755" s="132" t="n"/>
      <c r="AL755" s="132" t="n"/>
      <c r="AM755" s="132" t="n"/>
      <c r="AN755" s="132" t="n"/>
      <c r="AO755" s="132" t="n"/>
      <c r="AP755" s="132" t="n"/>
      <c r="AQ755" s="132" t="n"/>
      <c r="AR755" s="132" t="n"/>
      <c r="AS755" s="132" t="n"/>
      <c r="AT755" s="132" t="n"/>
      <c r="AU755" s="132" t="n"/>
      <c r="AV755" s="132" t="n"/>
      <c r="AW755" s="132" t="n"/>
      <c r="AX755" s="132" t="n"/>
      <c r="AY755" s="132" t="n"/>
      <c r="AZ755" s="133" t="n"/>
      <c r="BA755" s="131" t="n"/>
      <c r="BB755" s="132" t="n"/>
      <c r="BC755" s="133" t="n"/>
      <c r="BD755" s="131" t="n"/>
      <c r="BE755" s="132" t="n"/>
      <c r="BF755" s="133" t="n"/>
      <c r="BG755" s="131" t="n"/>
      <c r="BH755" s="132" t="n"/>
      <c r="BI755" s="132" t="n"/>
      <c r="BJ755" s="128">
        <f>iferror(SUM($BK755,($BL755*1.2),($BM755*1.35),($BN755*0.74)),)</f>
        <v/>
      </c>
      <c r="BK755" s="128">
        <f>IFERROR(SUM($BT755:$CK755),)</f>
        <v/>
      </c>
      <c r="BL755" s="129">
        <f>IFERROR(SUM($CL755:$CN755),)</f>
        <v/>
      </c>
      <c r="BM755" s="130">
        <f>IFERROR(SUM($CO755:$CQ755),)</f>
        <v/>
      </c>
      <c r="BN755" s="128">
        <f>IFERROR(SUM($CR755:$CT755),)</f>
        <v/>
      </c>
      <c r="BO755" s="128">
        <f>iferror(SUM($BP755,($BQ755*1.2),($BR755*1.35),($BS755*0.74)),)</f>
        <v/>
      </c>
      <c r="BP755" s="128">
        <f>IFERROR(SUM($CU755:$DL755),)</f>
        <v/>
      </c>
      <c r="BQ755" s="128">
        <f>IFERROR(SUM($DM755:$DO755),)</f>
        <v/>
      </c>
      <c r="BR755" s="128">
        <f>IFERROR(SUM($DP755:$DR755),)</f>
        <v/>
      </c>
      <c r="BS755" s="128">
        <f>IFERROR(SUM($DS755:$DU755),)</f>
        <v/>
      </c>
      <c r="BT755" s="128">
        <f>IFERROR(AI755*$W755,)</f>
        <v/>
      </c>
      <c r="BU755" s="128">
        <f>IFERROR(AJ755*$W755,)</f>
        <v/>
      </c>
      <c r="BV755" s="128">
        <f>IFERROR(AK755*$W755,)</f>
        <v/>
      </c>
      <c r="BW755" s="128">
        <f>IFERROR(AL755*$W755,)</f>
        <v/>
      </c>
      <c r="BX755" s="128">
        <f>IFERROR(AM755*$W755,)</f>
        <v/>
      </c>
      <c r="BY755" s="128">
        <f>IFERROR(AN755*$W755,)</f>
        <v/>
      </c>
      <c r="BZ755" s="128">
        <f>IFERROR(AO755*$W755,)</f>
        <v/>
      </c>
      <c r="CA755" s="128">
        <f>IFERROR(AP755*$W755,)</f>
        <v/>
      </c>
      <c r="CB755" s="128">
        <f>IFERROR(AQ755*$W755,)</f>
        <v/>
      </c>
      <c r="CC755" s="128">
        <f>IFERROR(AR755*$W755,)</f>
        <v/>
      </c>
      <c r="CD755" s="128">
        <f>IFERROR(AS755*$W755,)</f>
        <v/>
      </c>
      <c r="CE755" s="128">
        <f>IFERROR(AT755*$W755,)</f>
        <v/>
      </c>
      <c r="CF755" s="128">
        <f>IFERROR(AU755*$W755,)</f>
        <v/>
      </c>
      <c r="CG755" s="128">
        <f>IFERROR(AV755*$W755,)</f>
        <v/>
      </c>
      <c r="CH755" s="128">
        <f>IFERROR(AW755*$W755,)</f>
        <v/>
      </c>
      <c r="CI755" s="128">
        <f>IFERROR(AX755*$W755,)</f>
        <v/>
      </c>
      <c r="CJ755" s="128">
        <f>IFERROR(AY755*$W755,)</f>
        <v/>
      </c>
      <c r="CK755" s="128">
        <f>IFERROR(AZ755*$W755,)</f>
        <v/>
      </c>
      <c r="CL755" s="129">
        <f>IFERROR(if($Y755=0,BA755*($W755/1.2),BA755*$Y755),"")</f>
        <v/>
      </c>
      <c r="CM755" s="129">
        <f>IFERROR(if($Y755=0,BB755*($W755/1.2),BB755*$Y755),"")</f>
        <v/>
      </c>
      <c r="CN755" s="129">
        <f>IFERROR(if($Y755=0,BC755*($W755/1.2),BC755*$Y755),"")</f>
        <v/>
      </c>
      <c r="CO755" s="130">
        <f>IFERROR(if($AA755=0,($W755/1.35)*BD755,BD755*$AA755),)</f>
        <v/>
      </c>
      <c r="CP755" s="130">
        <f>IFERROR(if($AA755=0,($W755/1.35)*BE755,BE755*$AA755),)</f>
        <v/>
      </c>
      <c r="CQ755" s="130">
        <f>IFERROR(if($AA755=0,($W755/1.35)*BF755,BF755*$AA755),)</f>
        <v/>
      </c>
      <c r="CR755" s="128">
        <f>IFERROR(if($AC755=0,($W755/0.74)*BG755,
BG755*$AC755),)</f>
        <v/>
      </c>
      <c r="CS755" s="128">
        <f>IFERROR(if($AC755=0,($W755/0.74)*BH755,
BH755*$AC755),)</f>
        <v/>
      </c>
      <c r="CT755" s="128">
        <f>IFERROR(if($AC755=0,($W755/0.74)*BI755,
BI755*$AC755),)</f>
        <v/>
      </c>
      <c r="CU755" s="128">
        <f>IFERROR(AI755*$V755,)</f>
        <v/>
      </c>
      <c r="CV755" s="128">
        <f>IFERROR(AJ755*$V755,)</f>
        <v/>
      </c>
      <c r="CW755" s="128">
        <f>IFERROR(AK755*$V755,)</f>
        <v/>
      </c>
      <c r="CX755" s="128">
        <f>IFERROR(AL755*$V755,)</f>
        <v/>
      </c>
      <c r="CY755" s="128">
        <f>IFERROR(AM755*$V755,)</f>
        <v/>
      </c>
      <c r="CZ755" s="128">
        <f>IFERROR(AN755*$V755,)</f>
        <v/>
      </c>
      <c r="DA755" s="128">
        <f>IFERROR(AO755*$V755,)</f>
        <v/>
      </c>
      <c r="DB755" s="128">
        <f>IFERROR(AP755*$V755,)</f>
        <v/>
      </c>
      <c r="DC755" s="128">
        <f>IFERROR(AQ755*$V755,)</f>
        <v/>
      </c>
      <c r="DD755" s="128">
        <f>IFERROR(AR755*$V755,)</f>
        <v/>
      </c>
      <c r="DE755" s="128">
        <f>IFERROR(AS755*$V755,)</f>
        <v/>
      </c>
      <c r="DF755" s="128">
        <f>IFERROR(AT755*$V755,)</f>
        <v/>
      </c>
      <c r="DG755" s="128">
        <f>IFERROR(AU755*$V755,)</f>
        <v/>
      </c>
      <c r="DH755" s="128">
        <f>IFERROR(AV755*$V755,)</f>
        <v/>
      </c>
      <c r="DI755" s="128">
        <f>IFERROR(AW755*$V755,)</f>
        <v/>
      </c>
      <c r="DJ755" s="128">
        <f>IFERROR(AX755*$V755,)</f>
        <v/>
      </c>
      <c r="DK755" s="128">
        <f>IFERROR(AY755*$V755,)</f>
        <v/>
      </c>
      <c r="DL755" s="128">
        <f>IFERROR(AZ755*$V755,)</f>
        <v/>
      </c>
      <c r="DM755" s="129">
        <f>IFERROR(if($X755=0,($V755/1.2)*BA755,
BA755*$X755),)</f>
        <v/>
      </c>
      <c r="DN755" s="129">
        <f>IFERROR(if($X755=0,($V755/1.2)*BB755,
BB755*$X755),)</f>
        <v/>
      </c>
      <c r="DO755" s="129">
        <f>IFERROR(if($X755=0,($V755/1.2)*BC755,
BC755*$X755),)</f>
        <v/>
      </c>
      <c r="DP755" s="130">
        <f>IFERROR(if($Z755=0,($V755/1.35)*BD755,
BD755*$Z755),)</f>
        <v/>
      </c>
      <c r="DQ755" s="130">
        <f>IFERROR(if($Z755=0,($V755/1.35)*BE755,
BE755*$Z755),)</f>
        <v/>
      </c>
      <c r="DR755" s="130">
        <f>IFERROR(if($Z755=0,($V755/1.35)*BF755,
BF755*$Z755),)</f>
        <v/>
      </c>
      <c r="DS755" s="128">
        <f>IFERROR(IF($AB755=0,($V755/0.74)*BG755,
BG755*$AB755),)</f>
        <v/>
      </c>
      <c r="DT755" s="128">
        <f>IFERROR(IF($AB755=0,($V755/0.74)*BH755,
BH755*$AB755),)</f>
        <v/>
      </c>
      <c r="DU755" s="128">
        <f>IFERROR(IF($AB755=0,($V755/0.74)*BI755,
BI755*$AB755),)</f>
        <v/>
      </c>
    </row>
    <row r="756" ht="131.25" customHeight="1" s="162">
      <c r="A756" s="115" t="n"/>
      <c r="B756" s="115" t="n"/>
      <c r="C756" s="115" t="n"/>
      <c r="D756" s="115" t="n"/>
      <c r="E756" s="115" t="n"/>
      <c r="F756" s="115" t="n"/>
      <c r="G756" s="115" t="n"/>
      <c r="H756" s="115" t="n"/>
      <c r="I756" s="115" t="n"/>
      <c r="J756" s="115" t="n"/>
      <c r="K756" s="115" t="n"/>
      <c r="L756" s="115" t="n"/>
      <c r="M756" s="115" t="n"/>
      <c r="N756" s="115" t="n"/>
      <c r="O756" s="115" t="n"/>
      <c r="P756" s="115" t="n"/>
      <c r="Q756" s="115" t="n"/>
      <c r="R756" s="115" t="n"/>
      <c r="S756" s="115" t="n"/>
      <c r="T756" s="115" t="n"/>
      <c r="U756" s="116" t="n"/>
      <c r="V756" s="116" t="n"/>
      <c r="W756" s="117" t="n"/>
      <c r="X756" s="118" t="n"/>
      <c r="Y756" s="119" t="n"/>
      <c r="Z756" s="120" t="n"/>
      <c r="AA756" s="121" t="n"/>
      <c r="AB756" s="122" t="n"/>
      <c r="AC756" s="117" t="n"/>
      <c r="AD756" s="123">
        <f>IF(SUM($AE756:$AH756)=0,"",SUM($AE756:$AH756))</f>
        <v/>
      </c>
      <c r="AE756" s="123">
        <f>iferror(IF(SUM($AI756:$AZ756)=0,"",SUM($AI756:$AZ756)),"")</f>
        <v/>
      </c>
      <c r="AF756" s="123">
        <f>iferror(IF(SUM($BA756:$BC756)=0,"",SUM($BA756:$BC756)),"")</f>
        <v/>
      </c>
      <c r="AG756" s="123">
        <f>iferror(IF(SUM($BD756:$BF756)=0,"",SUM($BD756:$BF756)),"")</f>
        <v/>
      </c>
      <c r="AH756" s="124">
        <f>iferror(IF(SUM($BG756:$BI756)=0,"",SUM($BG756:$BI756)),"")</f>
        <v/>
      </c>
      <c r="AI756" s="131" t="n"/>
      <c r="AJ756" s="132" t="n"/>
      <c r="AK756" s="132" t="n"/>
      <c r="AL756" s="132" t="n"/>
      <c r="AM756" s="132" t="n"/>
      <c r="AN756" s="132" t="n"/>
      <c r="AO756" s="132" t="n"/>
      <c r="AP756" s="132" t="n"/>
      <c r="AQ756" s="132" t="n"/>
      <c r="AR756" s="132" t="n"/>
      <c r="AS756" s="132" t="n"/>
      <c r="AT756" s="132" t="n"/>
      <c r="AU756" s="132" t="n"/>
      <c r="AV756" s="132" t="n"/>
      <c r="AW756" s="132" t="n"/>
      <c r="AX756" s="132" t="n"/>
      <c r="AY756" s="132" t="n"/>
      <c r="AZ756" s="133" t="n"/>
      <c r="BA756" s="131" t="n"/>
      <c r="BB756" s="132" t="n"/>
      <c r="BC756" s="133" t="n"/>
      <c r="BD756" s="131" t="n"/>
      <c r="BE756" s="132" t="n"/>
      <c r="BF756" s="133" t="n"/>
      <c r="BG756" s="131" t="n"/>
      <c r="BH756" s="132" t="n"/>
      <c r="BI756" s="132" t="n"/>
      <c r="BJ756" s="128">
        <f>iferror(SUM($BK756,($BL756*1.2),($BM756*1.35),($BN756*0.74)),)</f>
        <v/>
      </c>
      <c r="BK756" s="128">
        <f>IFERROR(SUM($BT756:$CK756),)</f>
        <v/>
      </c>
      <c r="BL756" s="129">
        <f>IFERROR(SUM($CL756:$CN756),)</f>
        <v/>
      </c>
      <c r="BM756" s="130">
        <f>IFERROR(SUM($CO756:$CQ756),)</f>
        <v/>
      </c>
      <c r="BN756" s="128">
        <f>IFERROR(SUM($CR756:$CT756),)</f>
        <v/>
      </c>
      <c r="BO756" s="128">
        <f>iferror(SUM($BP756,($BQ756*1.2),($BR756*1.35),($BS756*0.74)),)</f>
        <v/>
      </c>
      <c r="BP756" s="128">
        <f>IFERROR(SUM($CU756:$DL756),)</f>
        <v/>
      </c>
      <c r="BQ756" s="128">
        <f>IFERROR(SUM($DM756:$DO756),)</f>
        <v/>
      </c>
      <c r="BR756" s="128">
        <f>IFERROR(SUM($DP756:$DR756),)</f>
        <v/>
      </c>
      <c r="BS756" s="128">
        <f>IFERROR(SUM($DS756:$DU756),)</f>
        <v/>
      </c>
      <c r="BT756" s="128">
        <f>IFERROR(AI756*$W756,)</f>
        <v/>
      </c>
      <c r="BU756" s="128">
        <f>IFERROR(AJ756*$W756,)</f>
        <v/>
      </c>
      <c r="BV756" s="128">
        <f>IFERROR(AK756*$W756,)</f>
        <v/>
      </c>
      <c r="BW756" s="128">
        <f>IFERROR(AL756*$W756,)</f>
        <v/>
      </c>
      <c r="BX756" s="128">
        <f>IFERROR(AM756*$W756,)</f>
        <v/>
      </c>
      <c r="BY756" s="128">
        <f>IFERROR(AN756*$W756,)</f>
        <v/>
      </c>
      <c r="BZ756" s="128">
        <f>IFERROR(AO756*$W756,)</f>
        <v/>
      </c>
      <c r="CA756" s="128">
        <f>IFERROR(AP756*$W756,)</f>
        <v/>
      </c>
      <c r="CB756" s="128">
        <f>IFERROR(AQ756*$W756,)</f>
        <v/>
      </c>
      <c r="CC756" s="128">
        <f>IFERROR(AR756*$W756,)</f>
        <v/>
      </c>
      <c r="CD756" s="128">
        <f>IFERROR(AS756*$W756,)</f>
        <v/>
      </c>
      <c r="CE756" s="128">
        <f>IFERROR(AT756*$W756,)</f>
        <v/>
      </c>
      <c r="CF756" s="128">
        <f>IFERROR(AU756*$W756,)</f>
        <v/>
      </c>
      <c r="CG756" s="128">
        <f>IFERROR(AV756*$W756,)</f>
        <v/>
      </c>
      <c r="CH756" s="128">
        <f>IFERROR(AW756*$W756,)</f>
        <v/>
      </c>
      <c r="CI756" s="128">
        <f>IFERROR(AX756*$W756,)</f>
        <v/>
      </c>
      <c r="CJ756" s="128">
        <f>IFERROR(AY756*$W756,)</f>
        <v/>
      </c>
      <c r="CK756" s="128">
        <f>IFERROR(AZ756*$W756,)</f>
        <v/>
      </c>
      <c r="CL756" s="129">
        <f>IFERROR(if($Y756=0,BA756*($W756/1.2),BA756*$Y756),"")</f>
        <v/>
      </c>
      <c r="CM756" s="129">
        <f>IFERROR(if($Y756=0,BB756*($W756/1.2),BB756*$Y756),"")</f>
        <v/>
      </c>
      <c r="CN756" s="129">
        <f>IFERROR(if($Y756=0,BC756*($W756/1.2),BC756*$Y756),"")</f>
        <v/>
      </c>
      <c r="CO756" s="130">
        <f>IFERROR(if($AA756=0,($W756/1.35)*BD756,BD756*$AA756),)</f>
        <v/>
      </c>
      <c r="CP756" s="130">
        <f>IFERROR(if($AA756=0,($W756/1.35)*BE756,BE756*$AA756),)</f>
        <v/>
      </c>
      <c r="CQ756" s="130">
        <f>IFERROR(if($AA756=0,($W756/1.35)*BF756,BF756*$AA756),)</f>
        <v/>
      </c>
      <c r="CR756" s="128">
        <f>IFERROR(if($AC756=0,($W756/0.74)*BG756,
BG756*$AC756),)</f>
        <v/>
      </c>
      <c r="CS756" s="128">
        <f>IFERROR(if($AC756=0,($W756/0.74)*BH756,
BH756*$AC756),)</f>
        <v/>
      </c>
      <c r="CT756" s="128">
        <f>IFERROR(if($AC756=0,($W756/0.74)*BI756,
BI756*$AC756),)</f>
        <v/>
      </c>
      <c r="CU756" s="128">
        <f>IFERROR(AI756*$V756,)</f>
        <v/>
      </c>
      <c r="CV756" s="128">
        <f>IFERROR(AJ756*$V756,)</f>
        <v/>
      </c>
      <c r="CW756" s="128">
        <f>IFERROR(AK756*$V756,)</f>
        <v/>
      </c>
      <c r="CX756" s="128">
        <f>IFERROR(AL756*$V756,)</f>
        <v/>
      </c>
      <c r="CY756" s="128">
        <f>IFERROR(AM756*$V756,)</f>
        <v/>
      </c>
      <c r="CZ756" s="128">
        <f>IFERROR(AN756*$V756,)</f>
        <v/>
      </c>
      <c r="DA756" s="128">
        <f>IFERROR(AO756*$V756,)</f>
        <v/>
      </c>
      <c r="DB756" s="128">
        <f>IFERROR(AP756*$V756,)</f>
        <v/>
      </c>
      <c r="DC756" s="128">
        <f>IFERROR(AQ756*$V756,)</f>
        <v/>
      </c>
      <c r="DD756" s="128">
        <f>IFERROR(AR756*$V756,)</f>
        <v/>
      </c>
      <c r="DE756" s="128">
        <f>IFERROR(AS756*$V756,)</f>
        <v/>
      </c>
      <c r="DF756" s="128">
        <f>IFERROR(AT756*$V756,)</f>
        <v/>
      </c>
      <c r="DG756" s="128">
        <f>IFERROR(AU756*$V756,)</f>
        <v/>
      </c>
      <c r="DH756" s="128">
        <f>IFERROR(AV756*$V756,)</f>
        <v/>
      </c>
      <c r="DI756" s="128">
        <f>IFERROR(AW756*$V756,)</f>
        <v/>
      </c>
      <c r="DJ756" s="128">
        <f>IFERROR(AX756*$V756,)</f>
        <v/>
      </c>
      <c r="DK756" s="128">
        <f>IFERROR(AY756*$V756,)</f>
        <v/>
      </c>
      <c r="DL756" s="128">
        <f>IFERROR(AZ756*$V756,)</f>
        <v/>
      </c>
      <c r="DM756" s="129">
        <f>IFERROR(if($X756=0,($V756/1.2)*BA756,
BA756*$X756),)</f>
        <v/>
      </c>
      <c r="DN756" s="129">
        <f>IFERROR(if($X756=0,($V756/1.2)*BB756,
BB756*$X756),)</f>
        <v/>
      </c>
      <c r="DO756" s="129">
        <f>IFERROR(if($X756=0,($V756/1.2)*BC756,
BC756*$X756),)</f>
        <v/>
      </c>
      <c r="DP756" s="130">
        <f>IFERROR(if($Z756=0,($V756/1.35)*BD756,
BD756*$Z756),)</f>
        <v/>
      </c>
      <c r="DQ756" s="130">
        <f>IFERROR(if($Z756=0,($V756/1.35)*BE756,
BE756*$Z756),)</f>
        <v/>
      </c>
      <c r="DR756" s="130">
        <f>IFERROR(if($Z756=0,($V756/1.35)*BF756,
BF756*$Z756),)</f>
        <v/>
      </c>
      <c r="DS756" s="128">
        <f>IFERROR(IF($AB756=0,($V756/0.74)*BG756,
BG756*$AB756),)</f>
        <v/>
      </c>
      <c r="DT756" s="128">
        <f>IFERROR(IF($AB756=0,($V756/0.74)*BH756,
BH756*$AB756),)</f>
        <v/>
      </c>
      <c r="DU756" s="128">
        <f>IFERROR(IF($AB756=0,($V756/0.74)*BI756,
BI756*$AB756),)</f>
        <v/>
      </c>
    </row>
    <row r="757" ht="131.25" customHeight="1" s="162">
      <c r="A757" s="115" t="n"/>
      <c r="B757" s="115" t="n"/>
      <c r="C757" s="115" t="n"/>
      <c r="D757" s="115" t="n"/>
      <c r="E757" s="115" t="n"/>
      <c r="F757" s="115" t="n"/>
      <c r="G757" s="115" t="n"/>
      <c r="H757" s="115" t="n"/>
      <c r="I757" s="115" t="n"/>
      <c r="J757" s="115" t="n"/>
      <c r="K757" s="115" t="n"/>
      <c r="L757" s="115" t="n"/>
      <c r="M757" s="115" t="n"/>
      <c r="N757" s="115" t="n"/>
      <c r="O757" s="115" t="n"/>
      <c r="P757" s="115" t="n"/>
      <c r="Q757" s="115" t="n"/>
      <c r="R757" s="115" t="n"/>
      <c r="S757" s="115" t="n"/>
      <c r="T757" s="115" t="n"/>
      <c r="U757" s="116" t="n"/>
      <c r="V757" s="116" t="n"/>
      <c r="W757" s="117" t="n"/>
      <c r="X757" s="118" t="n"/>
      <c r="Y757" s="119" t="n"/>
      <c r="Z757" s="120" t="n"/>
      <c r="AA757" s="121" t="n"/>
      <c r="AB757" s="122" t="n"/>
      <c r="AC757" s="117" t="n"/>
      <c r="AD757" s="123">
        <f>IF(SUM($AE757:$AH757)=0,"",SUM($AE757:$AH757))</f>
        <v/>
      </c>
      <c r="AE757" s="123">
        <f>iferror(IF(SUM($AI757:$AZ757)=0,"",SUM($AI757:$AZ757)),"")</f>
        <v/>
      </c>
      <c r="AF757" s="123">
        <f>iferror(IF(SUM($BA757:$BC757)=0,"",SUM($BA757:$BC757)),"")</f>
        <v/>
      </c>
      <c r="AG757" s="123">
        <f>iferror(IF(SUM($BD757:$BF757)=0,"",SUM($BD757:$BF757)),"")</f>
        <v/>
      </c>
      <c r="AH757" s="124">
        <f>iferror(IF(SUM($BG757:$BI757)=0,"",SUM($BG757:$BI757)),"")</f>
        <v/>
      </c>
      <c r="AI757" s="131" t="n"/>
      <c r="AJ757" s="132" t="n"/>
      <c r="AK757" s="132" t="n"/>
      <c r="AL757" s="132" t="n"/>
      <c r="AM757" s="132" t="n"/>
      <c r="AN757" s="132" t="n"/>
      <c r="AO757" s="132" t="n"/>
      <c r="AP757" s="132" t="n"/>
      <c r="AQ757" s="132" t="n"/>
      <c r="AR757" s="132" t="n"/>
      <c r="AS757" s="132" t="n"/>
      <c r="AT757" s="132" t="n"/>
      <c r="AU757" s="132" t="n"/>
      <c r="AV757" s="132" t="n"/>
      <c r="AW757" s="132" t="n"/>
      <c r="AX757" s="132" t="n"/>
      <c r="AY757" s="132" t="n"/>
      <c r="AZ757" s="133" t="n"/>
      <c r="BA757" s="131" t="n"/>
      <c r="BB757" s="132" t="n"/>
      <c r="BC757" s="133" t="n"/>
      <c r="BD757" s="131" t="n"/>
      <c r="BE757" s="132" t="n"/>
      <c r="BF757" s="133" t="n"/>
      <c r="BG757" s="131" t="n"/>
      <c r="BH757" s="132" t="n"/>
      <c r="BI757" s="132" t="n"/>
      <c r="BJ757" s="128">
        <f>iferror(SUM($BK757,($BL757*1.2),($BM757*1.35),($BN757*0.74)),)</f>
        <v/>
      </c>
      <c r="BK757" s="128">
        <f>IFERROR(SUM($BT757:$CK757),)</f>
        <v/>
      </c>
      <c r="BL757" s="129">
        <f>IFERROR(SUM($CL757:$CN757),)</f>
        <v/>
      </c>
      <c r="BM757" s="130">
        <f>IFERROR(SUM($CO757:$CQ757),)</f>
        <v/>
      </c>
      <c r="BN757" s="128">
        <f>IFERROR(SUM($CR757:$CT757),)</f>
        <v/>
      </c>
      <c r="BO757" s="128">
        <f>iferror(SUM($BP757,($BQ757*1.2),($BR757*1.35),($BS757*0.74)),)</f>
        <v/>
      </c>
      <c r="BP757" s="128">
        <f>IFERROR(SUM($CU757:$DL757),)</f>
        <v/>
      </c>
      <c r="BQ757" s="128">
        <f>IFERROR(SUM($DM757:$DO757),)</f>
        <v/>
      </c>
      <c r="BR757" s="128">
        <f>IFERROR(SUM($DP757:$DR757),)</f>
        <v/>
      </c>
      <c r="BS757" s="128">
        <f>IFERROR(SUM($DS757:$DU757),)</f>
        <v/>
      </c>
      <c r="BT757" s="128">
        <f>IFERROR(AI757*$W757,)</f>
        <v/>
      </c>
      <c r="BU757" s="128">
        <f>IFERROR(AJ757*$W757,)</f>
        <v/>
      </c>
      <c r="BV757" s="128">
        <f>IFERROR(AK757*$W757,)</f>
        <v/>
      </c>
      <c r="BW757" s="128">
        <f>IFERROR(AL757*$W757,)</f>
        <v/>
      </c>
      <c r="BX757" s="128">
        <f>IFERROR(AM757*$W757,)</f>
        <v/>
      </c>
      <c r="BY757" s="128">
        <f>IFERROR(AN757*$W757,)</f>
        <v/>
      </c>
      <c r="BZ757" s="128">
        <f>IFERROR(AO757*$W757,)</f>
        <v/>
      </c>
      <c r="CA757" s="128">
        <f>IFERROR(AP757*$W757,)</f>
        <v/>
      </c>
      <c r="CB757" s="128">
        <f>IFERROR(AQ757*$W757,)</f>
        <v/>
      </c>
      <c r="CC757" s="128">
        <f>IFERROR(AR757*$W757,)</f>
        <v/>
      </c>
      <c r="CD757" s="128">
        <f>IFERROR(AS757*$W757,)</f>
        <v/>
      </c>
      <c r="CE757" s="128">
        <f>IFERROR(AT757*$W757,)</f>
        <v/>
      </c>
      <c r="CF757" s="128">
        <f>IFERROR(AU757*$W757,)</f>
        <v/>
      </c>
      <c r="CG757" s="128">
        <f>IFERROR(AV757*$W757,)</f>
        <v/>
      </c>
      <c r="CH757" s="128">
        <f>IFERROR(AW757*$W757,)</f>
        <v/>
      </c>
      <c r="CI757" s="128">
        <f>IFERROR(AX757*$W757,)</f>
        <v/>
      </c>
      <c r="CJ757" s="128">
        <f>IFERROR(AY757*$W757,)</f>
        <v/>
      </c>
      <c r="CK757" s="128">
        <f>IFERROR(AZ757*$W757,)</f>
        <v/>
      </c>
      <c r="CL757" s="129">
        <f>IFERROR(if($Y757=0,BA757*($W757/1.2),BA757*$Y757),"")</f>
        <v/>
      </c>
      <c r="CM757" s="129">
        <f>IFERROR(if($Y757=0,BB757*($W757/1.2),BB757*$Y757),"")</f>
        <v/>
      </c>
      <c r="CN757" s="129">
        <f>IFERROR(if($Y757=0,BC757*($W757/1.2),BC757*$Y757),"")</f>
        <v/>
      </c>
      <c r="CO757" s="130">
        <f>IFERROR(if($AA757=0,($W757/1.35)*BD757,BD757*$AA757),)</f>
        <v/>
      </c>
      <c r="CP757" s="130">
        <f>IFERROR(if($AA757=0,($W757/1.35)*BE757,BE757*$AA757),)</f>
        <v/>
      </c>
      <c r="CQ757" s="130">
        <f>IFERROR(if($AA757=0,($W757/1.35)*BF757,BF757*$AA757),)</f>
        <v/>
      </c>
      <c r="CR757" s="128">
        <f>IFERROR(if($AC757=0,($W757/0.74)*BG757,
BG757*$AC757),)</f>
        <v/>
      </c>
      <c r="CS757" s="128">
        <f>IFERROR(if($AC757=0,($W757/0.74)*BH757,
BH757*$AC757),)</f>
        <v/>
      </c>
      <c r="CT757" s="128">
        <f>IFERROR(if($AC757=0,($W757/0.74)*BI757,
BI757*$AC757),)</f>
        <v/>
      </c>
      <c r="CU757" s="128">
        <f>IFERROR(AI757*$V757,)</f>
        <v/>
      </c>
      <c r="CV757" s="128">
        <f>IFERROR(AJ757*$V757,)</f>
        <v/>
      </c>
      <c r="CW757" s="128">
        <f>IFERROR(AK757*$V757,)</f>
        <v/>
      </c>
      <c r="CX757" s="128">
        <f>IFERROR(AL757*$V757,)</f>
        <v/>
      </c>
      <c r="CY757" s="128">
        <f>IFERROR(AM757*$V757,)</f>
        <v/>
      </c>
      <c r="CZ757" s="128">
        <f>IFERROR(AN757*$V757,)</f>
        <v/>
      </c>
      <c r="DA757" s="128">
        <f>IFERROR(AO757*$V757,)</f>
        <v/>
      </c>
      <c r="DB757" s="128">
        <f>IFERROR(AP757*$V757,)</f>
        <v/>
      </c>
      <c r="DC757" s="128">
        <f>IFERROR(AQ757*$V757,)</f>
        <v/>
      </c>
      <c r="DD757" s="128">
        <f>IFERROR(AR757*$V757,)</f>
        <v/>
      </c>
      <c r="DE757" s="128">
        <f>IFERROR(AS757*$V757,)</f>
        <v/>
      </c>
      <c r="DF757" s="128">
        <f>IFERROR(AT757*$V757,)</f>
        <v/>
      </c>
      <c r="DG757" s="128">
        <f>IFERROR(AU757*$V757,)</f>
        <v/>
      </c>
      <c r="DH757" s="128">
        <f>IFERROR(AV757*$V757,)</f>
        <v/>
      </c>
      <c r="DI757" s="128">
        <f>IFERROR(AW757*$V757,)</f>
        <v/>
      </c>
      <c r="DJ757" s="128">
        <f>IFERROR(AX757*$V757,)</f>
        <v/>
      </c>
      <c r="DK757" s="128">
        <f>IFERROR(AY757*$V757,)</f>
        <v/>
      </c>
      <c r="DL757" s="128">
        <f>IFERROR(AZ757*$V757,)</f>
        <v/>
      </c>
      <c r="DM757" s="129">
        <f>IFERROR(if($X757=0,($V757/1.2)*BA757,
BA757*$X757),)</f>
        <v/>
      </c>
      <c r="DN757" s="129">
        <f>IFERROR(if($X757=0,($V757/1.2)*BB757,
BB757*$X757),)</f>
        <v/>
      </c>
      <c r="DO757" s="129">
        <f>IFERROR(if($X757=0,($V757/1.2)*BC757,
BC757*$X757),)</f>
        <v/>
      </c>
      <c r="DP757" s="130">
        <f>IFERROR(if($Z757=0,($V757/1.35)*BD757,
BD757*$Z757),)</f>
        <v/>
      </c>
      <c r="DQ757" s="130">
        <f>IFERROR(if($Z757=0,($V757/1.35)*BE757,
BE757*$Z757),)</f>
        <v/>
      </c>
      <c r="DR757" s="130">
        <f>IFERROR(if($Z757=0,($V757/1.35)*BF757,
BF757*$Z757),)</f>
        <v/>
      </c>
      <c r="DS757" s="128">
        <f>IFERROR(IF($AB757=0,($V757/0.74)*BG757,
BG757*$AB757),)</f>
        <v/>
      </c>
      <c r="DT757" s="128">
        <f>IFERROR(IF($AB757=0,($V757/0.74)*BH757,
BH757*$AB757),)</f>
        <v/>
      </c>
      <c r="DU757" s="128">
        <f>IFERROR(IF($AB757=0,($V757/0.74)*BI757,
BI757*$AB757),)</f>
        <v/>
      </c>
    </row>
    <row r="758" ht="131.25" customHeight="1" s="162">
      <c r="A758" s="115" t="n"/>
      <c r="B758" s="115" t="n"/>
      <c r="C758" s="115" t="n"/>
      <c r="D758" s="115" t="n"/>
      <c r="E758" s="115" t="n"/>
      <c r="F758" s="115" t="n"/>
      <c r="G758" s="115" t="n"/>
      <c r="H758" s="115" t="n"/>
      <c r="I758" s="115" t="n"/>
      <c r="J758" s="115" t="n"/>
      <c r="K758" s="115" t="n"/>
      <c r="L758" s="115" t="n"/>
      <c r="M758" s="115" t="n"/>
      <c r="N758" s="115" t="n"/>
      <c r="O758" s="115" t="n"/>
      <c r="P758" s="115" t="n"/>
      <c r="Q758" s="115" t="n"/>
      <c r="R758" s="115" t="n"/>
      <c r="S758" s="115" t="n"/>
      <c r="T758" s="115" t="n"/>
      <c r="U758" s="116" t="n"/>
      <c r="V758" s="116" t="n"/>
      <c r="W758" s="117" t="n"/>
      <c r="X758" s="118" t="n"/>
      <c r="Y758" s="119" t="n"/>
      <c r="Z758" s="120" t="n"/>
      <c r="AA758" s="121" t="n"/>
      <c r="AB758" s="122" t="n"/>
      <c r="AC758" s="117" t="n"/>
      <c r="AD758" s="123">
        <f>IF(SUM($AE758:$AH758)=0,"",SUM($AE758:$AH758))</f>
        <v/>
      </c>
      <c r="AE758" s="123">
        <f>iferror(IF(SUM($AI758:$AZ758)=0,"",SUM($AI758:$AZ758)),"")</f>
        <v/>
      </c>
      <c r="AF758" s="123">
        <f>iferror(IF(SUM($BA758:$BC758)=0,"",SUM($BA758:$BC758)),"")</f>
        <v/>
      </c>
      <c r="AG758" s="123">
        <f>iferror(IF(SUM($BD758:$BF758)=0,"",SUM($BD758:$BF758)),"")</f>
        <v/>
      </c>
      <c r="AH758" s="124">
        <f>iferror(IF(SUM($BG758:$BI758)=0,"",SUM($BG758:$BI758)),"")</f>
        <v/>
      </c>
      <c r="AI758" s="131" t="n"/>
      <c r="AJ758" s="132" t="n"/>
      <c r="AK758" s="132" t="n"/>
      <c r="AL758" s="132" t="n"/>
      <c r="AM758" s="132" t="n"/>
      <c r="AN758" s="132" t="n"/>
      <c r="AO758" s="132" t="n"/>
      <c r="AP758" s="132" t="n"/>
      <c r="AQ758" s="132" t="n"/>
      <c r="AR758" s="132" t="n"/>
      <c r="AS758" s="132" t="n"/>
      <c r="AT758" s="132" t="n"/>
      <c r="AU758" s="132" t="n"/>
      <c r="AV758" s="132" t="n"/>
      <c r="AW758" s="132" t="n"/>
      <c r="AX758" s="132" t="n"/>
      <c r="AY758" s="132" t="n"/>
      <c r="AZ758" s="133" t="n"/>
      <c r="BA758" s="131" t="n"/>
      <c r="BB758" s="132" t="n"/>
      <c r="BC758" s="133" t="n"/>
      <c r="BD758" s="131" t="n"/>
      <c r="BE758" s="132" t="n"/>
      <c r="BF758" s="133" t="n"/>
      <c r="BG758" s="131" t="n"/>
      <c r="BH758" s="132" t="n"/>
      <c r="BI758" s="132" t="n"/>
      <c r="BJ758" s="128">
        <f>iferror(SUM($BK758,($BL758*1.2),($BM758*1.35),($BN758*0.74)),)</f>
        <v/>
      </c>
      <c r="BK758" s="128">
        <f>IFERROR(SUM($BT758:$CK758),)</f>
        <v/>
      </c>
      <c r="BL758" s="129">
        <f>IFERROR(SUM($CL758:$CN758),)</f>
        <v/>
      </c>
      <c r="BM758" s="130">
        <f>IFERROR(SUM($CO758:$CQ758),)</f>
        <v/>
      </c>
      <c r="BN758" s="128">
        <f>IFERROR(SUM($CR758:$CT758),)</f>
        <v/>
      </c>
      <c r="BO758" s="128">
        <f>iferror(SUM($BP758,($BQ758*1.2),($BR758*1.35),($BS758*0.74)),)</f>
        <v/>
      </c>
      <c r="BP758" s="128">
        <f>IFERROR(SUM($CU758:$DL758),)</f>
        <v/>
      </c>
      <c r="BQ758" s="128">
        <f>IFERROR(SUM($DM758:$DO758),)</f>
        <v/>
      </c>
      <c r="BR758" s="128">
        <f>IFERROR(SUM($DP758:$DR758),)</f>
        <v/>
      </c>
      <c r="BS758" s="128">
        <f>IFERROR(SUM($DS758:$DU758),)</f>
        <v/>
      </c>
      <c r="BT758" s="128">
        <f>IFERROR(AI758*$W758,)</f>
        <v/>
      </c>
      <c r="BU758" s="128">
        <f>IFERROR(AJ758*$W758,)</f>
        <v/>
      </c>
      <c r="BV758" s="128">
        <f>IFERROR(AK758*$W758,)</f>
        <v/>
      </c>
      <c r="BW758" s="128">
        <f>IFERROR(AL758*$W758,)</f>
        <v/>
      </c>
      <c r="BX758" s="128">
        <f>IFERROR(AM758*$W758,)</f>
        <v/>
      </c>
      <c r="BY758" s="128">
        <f>IFERROR(AN758*$W758,)</f>
        <v/>
      </c>
      <c r="BZ758" s="128">
        <f>IFERROR(AO758*$W758,)</f>
        <v/>
      </c>
      <c r="CA758" s="128">
        <f>IFERROR(AP758*$W758,)</f>
        <v/>
      </c>
      <c r="CB758" s="128">
        <f>IFERROR(AQ758*$W758,)</f>
        <v/>
      </c>
      <c r="CC758" s="128">
        <f>IFERROR(AR758*$W758,)</f>
        <v/>
      </c>
      <c r="CD758" s="128">
        <f>IFERROR(AS758*$W758,)</f>
        <v/>
      </c>
      <c r="CE758" s="128">
        <f>IFERROR(AT758*$W758,)</f>
        <v/>
      </c>
      <c r="CF758" s="128">
        <f>IFERROR(AU758*$W758,)</f>
        <v/>
      </c>
      <c r="CG758" s="128">
        <f>IFERROR(AV758*$W758,)</f>
        <v/>
      </c>
      <c r="CH758" s="128">
        <f>IFERROR(AW758*$W758,)</f>
        <v/>
      </c>
      <c r="CI758" s="128">
        <f>IFERROR(AX758*$W758,)</f>
        <v/>
      </c>
      <c r="CJ758" s="128">
        <f>IFERROR(AY758*$W758,)</f>
        <v/>
      </c>
      <c r="CK758" s="128">
        <f>IFERROR(AZ758*$W758,)</f>
        <v/>
      </c>
      <c r="CL758" s="129">
        <f>IFERROR(if($Y758=0,BA758*($W758/1.2),BA758*$Y758),"")</f>
        <v/>
      </c>
      <c r="CM758" s="129">
        <f>IFERROR(if($Y758=0,BB758*($W758/1.2),BB758*$Y758),"")</f>
        <v/>
      </c>
      <c r="CN758" s="129">
        <f>IFERROR(if($Y758=0,BC758*($W758/1.2),BC758*$Y758),"")</f>
        <v/>
      </c>
      <c r="CO758" s="130">
        <f>IFERROR(if($AA758=0,($W758/1.35)*BD758,BD758*$AA758),)</f>
        <v/>
      </c>
      <c r="CP758" s="130">
        <f>IFERROR(if($AA758=0,($W758/1.35)*BE758,BE758*$AA758),)</f>
        <v/>
      </c>
      <c r="CQ758" s="130">
        <f>IFERROR(if($AA758=0,($W758/1.35)*BF758,BF758*$AA758),)</f>
        <v/>
      </c>
      <c r="CR758" s="128">
        <f>IFERROR(if($AC758=0,($W758/0.74)*BG758,
BG758*$AC758),)</f>
        <v/>
      </c>
      <c r="CS758" s="128">
        <f>IFERROR(if($AC758=0,($W758/0.74)*BH758,
BH758*$AC758),)</f>
        <v/>
      </c>
      <c r="CT758" s="128">
        <f>IFERROR(if($AC758=0,($W758/0.74)*BI758,
BI758*$AC758),)</f>
        <v/>
      </c>
      <c r="CU758" s="128">
        <f>IFERROR(AI758*$V758,)</f>
        <v/>
      </c>
      <c r="CV758" s="128">
        <f>IFERROR(AJ758*$V758,)</f>
        <v/>
      </c>
      <c r="CW758" s="128">
        <f>IFERROR(AK758*$V758,)</f>
        <v/>
      </c>
      <c r="CX758" s="128">
        <f>IFERROR(AL758*$V758,)</f>
        <v/>
      </c>
      <c r="CY758" s="128">
        <f>IFERROR(AM758*$V758,)</f>
        <v/>
      </c>
      <c r="CZ758" s="128">
        <f>IFERROR(AN758*$V758,)</f>
        <v/>
      </c>
      <c r="DA758" s="128">
        <f>IFERROR(AO758*$V758,)</f>
        <v/>
      </c>
      <c r="DB758" s="128">
        <f>IFERROR(AP758*$V758,)</f>
        <v/>
      </c>
      <c r="DC758" s="128">
        <f>IFERROR(AQ758*$V758,)</f>
        <v/>
      </c>
      <c r="DD758" s="128">
        <f>IFERROR(AR758*$V758,)</f>
        <v/>
      </c>
      <c r="DE758" s="128">
        <f>IFERROR(AS758*$V758,)</f>
        <v/>
      </c>
      <c r="DF758" s="128">
        <f>IFERROR(AT758*$V758,)</f>
        <v/>
      </c>
      <c r="DG758" s="128">
        <f>IFERROR(AU758*$V758,)</f>
        <v/>
      </c>
      <c r="DH758" s="128">
        <f>IFERROR(AV758*$V758,)</f>
        <v/>
      </c>
      <c r="DI758" s="128">
        <f>IFERROR(AW758*$V758,)</f>
        <v/>
      </c>
      <c r="DJ758" s="128">
        <f>IFERROR(AX758*$V758,)</f>
        <v/>
      </c>
      <c r="DK758" s="128">
        <f>IFERROR(AY758*$V758,)</f>
        <v/>
      </c>
      <c r="DL758" s="128">
        <f>IFERROR(AZ758*$V758,)</f>
        <v/>
      </c>
      <c r="DM758" s="129">
        <f>IFERROR(if($X758=0,($V758/1.2)*BA758,
BA758*$X758),)</f>
        <v/>
      </c>
      <c r="DN758" s="129">
        <f>IFERROR(if($X758=0,($V758/1.2)*BB758,
BB758*$X758),)</f>
        <v/>
      </c>
      <c r="DO758" s="129">
        <f>IFERROR(if($X758=0,($V758/1.2)*BC758,
BC758*$X758),)</f>
        <v/>
      </c>
      <c r="DP758" s="130">
        <f>IFERROR(if($Z758=0,($V758/1.35)*BD758,
BD758*$Z758),)</f>
        <v/>
      </c>
      <c r="DQ758" s="130">
        <f>IFERROR(if($Z758=0,($V758/1.35)*BE758,
BE758*$Z758),)</f>
        <v/>
      </c>
      <c r="DR758" s="130">
        <f>IFERROR(if($Z758=0,($V758/1.35)*BF758,
BF758*$Z758),)</f>
        <v/>
      </c>
      <c r="DS758" s="128">
        <f>IFERROR(IF($AB758=0,($V758/0.74)*BG758,
BG758*$AB758),)</f>
        <v/>
      </c>
      <c r="DT758" s="128">
        <f>IFERROR(IF($AB758=0,($V758/0.74)*BH758,
BH758*$AB758),)</f>
        <v/>
      </c>
      <c r="DU758" s="128">
        <f>IFERROR(IF($AB758=0,($V758/0.74)*BI758,
BI758*$AB758),)</f>
        <v/>
      </c>
    </row>
    <row r="759" ht="131.25" customHeight="1" s="162">
      <c r="A759" s="115" t="n"/>
      <c r="B759" s="115" t="n"/>
      <c r="C759" s="115" t="n"/>
      <c r="D759" s="115" t="n"/>
      <c r="E759" s="115" t="n"/>
      <c r="F759" s="115" t="n"/>
      <c r="G759" s="115" t="n"/>
      <c r="H759" s="115" t="n"/>
      <c r="I759" s="115" t="n"/>
      <c r="J759" s="115" t="n"/>
      <c r="K759" s="115" t="n"/>
      <c r="L759" s="115" t="n"/>
      <c r="M759" s="115" t="n"/>
      <c r="N759" s="115" t="n"/>
      <c r="O759" s="115" t="n"/>
      <c r="P759" s="115" t="n"/>
      <c r="Q759" s="115" t="n"/>
      <c r="R759" s="115" t="n"/>
      <c r="S759" s="115" t="n"/>
      <c r="T759" s="115" t="n"/>
      <c r="U759" s="116" t="n"/>
      <c r="V759" s="116" t="n"/>
      <c r="W759" s="117" t="n"/>
      <c r="X759" s="118" t="n"/>
      <c r="Y759" s="119" t="n"/>
      <c r="Z759" s="120" t="n"/>
      <c r="AA759" s="121" t="n"/>
      <c r="AB759" s="122" t="n"/>
      <c r="AC759" s="117" t="n"/>
      <c r="AD759" s="123">
        <f>IF(SUM($AE759:$AH759)=0,"",SUM($AE759:$AH759))</f>
        <v/>
      </c>
      <c r="AE759" s="123">
        <f>iferror(IF(SUM($AI759:$AZ759)=0,"",SUM($AI759:$AZ759)),"")</f>
        <v/>
      </c>
      <c r="AF759" s="123">
        <f>iferror(IF(SUM($BA759:$BC759)=0,"",SUM($BA759:$BC759)),"")</f>
        <v/>
      </c>
      <c r="AG759" s="123">
        <f>iferror(IF(SUM($BD759:$BF759)=0,"",SUM($BD759:$BF759)),"")</f>
        <v/>
      </c>
      <c r="AH759" s="124">
        <f>iferror(IF(SUM($BG759:$BI759)=0,"",SUM($BG759:$BI759)),"")</f>
        <v/>
      </c>
      <c r="AI759" s="131" t="n"/>
      <c r="AJ759" s="132" t="n"/>
      <c r="AK759" s="132" t="n"/>
      <c r="AL759" s="132" t="n"/>
      <c r="AM759" s="132" t="n"/>
      <c r="AN759" s="132" t="n"/>
      <c r="AO759" s="132" t="n"/>
      <c r="AP759" s="132" t="n"/>
      <c r="AQ759" s="132" t="n"/>
      <c r="AR759" s="132" t="n"/>
      <c r="AS759" s="132" t="n"/>
      <c r="AT759" s="132" t="n"/>
      <c r="AU759" s="132" t="n"/>
      <c r="AV759" s="132" t="n"/>
      <c r="AW759" s="132" t="n"/>
      <c r="AX759" s="132" t="n"/>
      <c r="AY759" s="132" t="n"/>
      <c r="AZ759" s="133" t="n"/>
      <c r="BA759" s="131" t="n"/>
      <c r="BB759" s="132" t="n"/>
      <c r="BC759" s="133" t="n"/>
      <c r="BD759" s="131" t="n"/>
      <c r="BE759" s="132" t="n"/>
      <c r="BF759" s="133" t="n"/>
      <c r="BG759" s="131" t="n"/>
      <c r="BH759" s="132" t="n"/>
      <c r="BI759" s="132" t="n"/>
      <c r="BJ759" s="128">
        <f>iferror(SUM($BK759,($BL759*1.2),($BM759*1.35),($BN759*0.74)),)</f>
        <v/>
      </c>
      <c r="BK759" s="128">
        <f>IFERROR(SUM($BT759:$CK759),)</f>
        <v/>
      </c>
      <c r="BL759" s="129">
        <f>IFERROR(SUM($CL759:$CN759),)</f>
        <v/>
      </c>
      <c r="BM759" s="130">
        <f>IFERROR(SUM($CO759:$CQ759),)</f>
        <v/>
      </c>
      <c r="BN759" s="128">
        <f>IFERROR(SUM($CR759:$CT759),)</f>
        <v/>
      </c>
      <c r="BO759" s="128">
        <f>iferror(SUM($BP759,($BQ759*1.2),($BR759*1.35),($BS759*0.74)),)</f>
        <v/>
      </c>
      <c r="BP759" s="128">
        <f>IFERROR(SUM($CU759:$DL759),)</f>
        <v/>
      </c>
      <c r="BQ759" s="128">
        <f>IFERROR(SUM($DM759:$DO759),)</f>
        <v/>
      </c>
      <c r="BR759" s="128">
        <f>IFERROR(SUM($DP759:$DR759),)</f>
        <v/>
      </c>
      <c r="BS759" s="128">
        <f>IFERROR(SUM($DS759:$DU759),)</f>
        <v/>
      </c>
      <c r="BT759" s="128">
        <f>IFERROR(AI759*$W759,)</f>
        <v/>
      </c>
      <c r="BU759" s="128">
        <f>IFERROR(AJ759*$W759,)</f>
        <v/>
      </c>
      <c r="BV759" s="128">
        <f>IFERROR(AK759*$W759,)</f>
        <v/>
      </c>
      <c r="BW759" s="128">
        <f>IFERROR(AL759*$W759,)</f>
        <v/>
      </c>
      <c r="BX759" s="128">
        <f>IFERROR(AM759*$W759,)</f>
        <v/>
      </c>
      <c r="BY759" s="128">
        <f>IFERROR(AN759*$W759,)</f>
        <v/>
      </c>
      <c r="BZ759" s="128">
        <f>IFERROR(AO759*$W759,)</f>
        <v/>
      </c>
      <c r="CA759" s="128">
        <f>IFERROR(AP759*$W759,)</f>
        <v/>
      </c>
      <c r="CB759" s="128">
        <f>IFERROR(AQ759*$W759,)</f>
        <v/>
      </c>
      <c r="CC759" s="128">
        <f>IFERROR(AR759*$W759,)</f>
        <v/>
      </c>
      <c r="CD759" s="128">
        <f>IFERROR(AS759*$W759,)</f>
        <v/>
      </c>
      <c r="CE759" s="128">
        <f>IFERROR(AT759*$W759,)</f>
        <v/>
      </c>
      <c r="CF759" s="128">
        <f>IFERROR(AU759*$W759,)</f>
        <v/>
      </c>
      <c r="CG759" s="128">
        <f>IFERROR(AV759*$W759,)</f>
        <v/>
      </c>
      <c r="CH759" s="128">
        <f>IFERROR(AW759*$W759,)</f>
        <v/>
      </c>
      <c r="CI759" s="128">
        <f>IFERROR(AX759*$W759,)</f>
        <v/>
      </c>
      <c r="CJ759" s="128">
        <f>IFERROR(AY759*$W759,)</f>
        <v/>
      </c>
      <c r="CK759" s="128">
        <f>IFERROR(AZ759*$W759,)</f>
        <v/>
      </c>
      <c r="CL759" s="129">
        <f>IFERROR(if($Y759=0,BA759*($W759/1.2),BA759*$Y759),"")</f>
        <v/>
      </c>
      <c r="CM759" s="129">
        <f>IFERROR(if($Y759=0,BB759*($W759/1.2),BB759*$Y759),"")</f>
        <v/>
      </c>
      <c r="CN759" s="129">
        <f>IFERROR(if($Y759=0,BC759*($W759/1.2),BC759*$Y759),"")</f>
        <v/>
      </c>
      <c r="CO759" s="130">
        <f>IFERROR(if($AA759=0,($W759/1.35)*BD759,BD759*$AA759),)</f>
        <v/>
      </c>
      <c r="CP759" s="130">
        <f>IFERROR(if($AA759=0,($W759/1.35)*BE759,BE759*$AA759),)</f>
        <v/>
      </c>
      <c r="CQ759" s="130">
        <f>IFERROR(if($AA759=0,($W759/1.35)*BF759,BF759*$AA759),)</f>
        <v/>
      </c>
      <c r="CR759" s="128">
        <f>IFERROR(if($AC759=0,($W759/0.74)*BG759,
BG759*$AC759),)</f>
        <v/>
      </c>
      <c r="CS759" s="128">
        <f>IFERROR(if($AC759=0,($W759/0.74)*BH759,
BH759*$AC759),)</f>
        <v/>
      </c>
      <c r="CT759" s="128">
        <f>IFERROR(if($AC759=0,($W759/0.74)*BI759,
BI759*$AC759),)</f>
        <v/>
      </c>
      <c r="CU759" s="128">
        <f>IFERROR(AI759*$V759,)</f>
        <v/>
      </c>
      <c r="CV759" s="128">
        <f>IFERROR(AJ759*$V759,)</f>
        <v/>
      </c>
      <c r="CW759" s="128">
        <f>IFERROR(AK759*$V759,)</f>
        <v/>
      </c>
      <c r="CX759" s="128">
        <f>IFERROR(AL759*$V759,)</f>
        <v/>
      </c>
      <c r="CY759" s="128">
        <f>IFERROR(AM759*$V759,)</f>
        <v/>
      </c>
      <c r="CZ759" s="128">
        <f>IFERROR(AN759*$V759,)</f>
        <v/>
      </c>
      <c r="DA759" s="128">
        <f>IFERROR(AO759*$V759,)</f>
        <v/>
      </c>
      <c r="DB759" s="128">
        <f>IFERROR(AP759*$V759,)</f>
        <v/>
      </c>
      <c r="DC759" s="128">
        <f>IFERROR(AQ759*$V759,)</f>
        <v/>
      </c>
      <c r="DD759" s="128">
        <f>IFERROR(AR759*$V759,)</f>
        <v/>
      </c>
      <c r="DE759" s="128">
        <f>IFERROR(AS759*$V759,)</f>
        <v/>
      </c>
      <c r="DF759" s="128">
        <f>IFERROR(AT759*$V759,)</f>
        <v/>
      </c>
      <c r="DG759" s="128">
        <f>IFERROR(AU759*$V759,)</f>
        <v/>
      </c>
      <c r="DH759" s="128">
        <f>IFERROR(AV759*$V759,)</f>
        <v/>
      </c>
      <c r="DI759" s="128">
        <f>IFERROR(AW759*$V759,)</f>
        <v/>
      </c>
      <c r="DJ759" s="128">
        <f>IFERROR(AX759*$V759,)</f>
        <v/>
      </c>
      <c r="DK759" s="128">
        <f>IFERROR(AY759*$V759,)</f>
        <v/>
      </c>
      <c r="DL759" s="128">
        <f>IFERROR(AZ759*$V759,)</f>
        <v/>
      </c>
      <c r="DM759" s="129">
        <f>IFERROR(if($X759=0,($V759/1.2)*BA759,
BA759*$X759),)</f>
        <v/>
      </c>
      <c r="DN759" s="129">
        <f>IFERROR(if($X759=0,($V759/1.2)*BB759,
BB759*$X759),)</f>
        <v/>
      </c>
      <c r="DO759" s="129">
        <f>IFERROR(if($X759=0,($V759/1.2)*BC759,
BC759*$X759),)</f>
        <v/>
      </c>
      <c r="DP759" s="130">
        <f>IFERROR(if($Z759=0,($V759/1.35)*BD759,
BD759*$Z759),)</f>
        <v/>
      </c>
      <c r="DQ759" s="130">
        <f>IFERROR(if($Z759=0,($V759/1.35)*BE759,
BE759*$Z759),)</f>
        <v/>
      </c>
      <c r="DR759" s="130">
        <f>IFERROR(if($Z759=0,($V759/1.35)*BF759,
BF759*$Z759),)</f>
        <v/>
      </c>
      <c r="DS759" s="128">
        <f>IFERROR(IF($AB759=0,($V759/0.74)*BG759,
BG759*$AB759),)</f>
        <v/>
      </c>
      <c r="DT759" s="128">
        <f>IFERROR(IF($AB759=0,($V759/0.74)*BH759,
BH759*$AB759),)</f>
        <v/>
      </c>
      <c r="DU759" s="128">
        <f>IFERROR(IF($AB759=0,($V759/0.74)*BI759,
BI759*$AB759),)</f>
        <v/>
      </c>
    </row>
    <row r="760" ht="131.25" customHeight="1" s="162">
      <c r="A760" s="115" t="n"/>
      <c r="B760" s="115" t="n"/>
      <c r="C760" s="115" t="n"/>
      <c r="D760" s="115" t="n"/>
      <c r="E760" s="115" t="n"/>
      <c r="F760" s="115" t="n"/>
      <c r="G760" s="115" t="n"/>
      <c r="H760" s="115" t="n"/>
      <c r="I760" s="115" t="n"/>
      <c r="J760" s="115" t="n"/>
      <c r="K760" s="115" t="n"/>
      <c r="L760" s="115" t="n"/>
      <c r="M760" s="115" t="n"/>
      <c r="N760" s="115" t="n"/>
      <c r="O760" s="115" t="n"/>
      <c r="P760" s="115" t="n"/>
      <c r="Q760" s="115" t="n"/>
      <c r="R760" s="115" t="n"/>
      <c r="S760" s="115" t="n"/>
      <c r="T760" s="115" t="n"/>
      <c r="U760" s="116" t="n"/>
      <c r="V760" s="116" t="n"/>
      <c r="W760" s="117" t="n"/>
      <c r="X760" s="118" t="n"/>
      <c r="Y760" s="119" t="n"/>
      <c r="Z760" s="120" t="n"/>
      <c r="AA760" s="121" t="n"/>
      <c r="AB760" s="122" t="n"/>
      <c r="AC760" s="117" t="n"/>
      <c r="AD760" s="123">
        <f>IF(SUM($AE760:$AH760)=0,"",SUM($AE760:$AH760))</f>
        <v/>
      </c>
      <c r="AE760" s="123">
        <f>iferror(IF(SUM($AI760:$AZ760)=0,"",SUM($AI760:$AZ760)),"")</f>
        <v/>
      </c>
      <c r="AF760" s="123">
        <f>iferror(IF(SUM($BA760:$BC760)=0,"",SUM($BA760:$BC760)),"")</f>
        <v/>
      </c>
      <c r="AG760" s="123">
        <f>iferror(IF(SUM($BD760:$BF760)=0,"",SUM($BD760:$BF760)),"")</f>
        <v/>
      </c>
      <c r="AH760" s="124">
        <f>iferror(IF(SUM($BG760:$BI760)=0,"",SUM($BG760:$BI760)),"")</f>
        <v/>
      </c>
      <c r="AI760" s="131" t="n"/>
      <c r="AJ760" s="132" t="n"/>
      <c r="AK760" s="132" t="n"/>
      <c r="AL760" s="132" t="n"/>
      <c r="AM760" s="132" t="n"/>
      <c r="AN760" s="132" t="n"/>
      <c r="AO760" s="132" t="n"/>
      <c r="AP760" s="132" t="n"/>
      <c r="AQ760" s="132" t="n"/>
      <c r="AR760" s="132" t="n"/>
      <c r="AS760" s="132" t="n"/>
      <c r="AT760" s="132" t="n"/>
      <c r="AU760" s="132" t="n"/>
      <c r="AV760" s="132" t="n"/>
      <c r="AW760" s="132" t="n"/>
      <c r="AX760" s="132" t="n"/>
      <c r="AY760" s="132" t="n"/>
      <c r="AZ760" s="133" t="n"/>
      <c r="BA760" s="131" t="n"/>
      <c r="BB760" s="132" t="n"/>
      <c r="BC760" s="133" t="n"/>
      <c r="BD760" s="131" t="n"/>
      <c r="BE760" s="132" t="n"/>
      <c r="BF760" s="133" t="n"/>
      <c r="BG760" s="131" t="n"/>
      <c r="BH760" s="132" t="n"/>
      <c r="BI760" s="132" t="n"/>
      <c r="BJ760" s="128">
        <f>iferror(SUM($BK760,($BL760*1.2),($BM760*1.35),($BN760*0.74)),)</f>
        <v/>
      </c>
      <c r="BK760" s="128">
        <f>IFERROR(SUM($BT760:$CK760),)</f>
        <v/>
      </c>
      <c r="BL760" s="129">
        <f>IFERROR(SUM($CL760:$CN760),)</f>
        <v/>
      </c>
      <c r="BM760" s="130">
        <f>IFERROR(SUM($CO760:$CQ760),)</f>
        <v/>
      </c>
      <c r="BN760" s="128">
        <f>IFERROR(SUM($CR760:$CT760),)</f>
        <v/>
      </c>
      <c r="BO760" s="128">
        <f>iferror(SUM($BP760,($BQ760*1.2),($BR760*1.35),($BS760*0.74)),)</f>
        <v/>
      </c>
      <c r="BP760" s="128">
        <f>IFERROR(SUM($CU760:$DL760),)</f>
        <v/>
      </c>
      <c r="BQ760" s="128">
        <f>IFERROR(SUM($DM760:$DO760),)</f>
        <v/>
      </c>
      <c r="BR760" s="128">
        <f>IFERROR(SUM($DP760:$DR760),)</f>
        <v/>
      </c>
      <c r="BS760" s="128">
        <f>IFERROR(SUM($DS760:$DU760),)</f>
        <v/>
      </c>
      <c r="BT760" s="128">
        <f>IFERROR(AI760*$W760,)</f>
        <v/>
      </c>
      <c r="BU760" s="128">
        <f>IFERROR(AJ760*$W760,)</f>
        <v/>
      </c>
      <c r="BV760" s="128">
        <f>IFERROR(AK760*$W760,)</f>
        <v/>
      </c>
      <c r="BW760" s="128">
        <f>IFERROR(AL760*$W760,)</f>
        <v/>
      </c>
      <c r="BX760" s="128">
        <f>IFERROR(AM760*$W760,)</f>
        <v/>
      </c>
      <c r="BY760" s="128">
        <f>IFERROR(AN760*$W760,)</f>
        <v/>
      </c>
      <c r="BZ760" s="128">
        <f>IFERROR(AO760*$W760,)</f>
        <v/>
      </c>
      <c r="CA760" s="128">
        <f>IFERROR(AP760*$W760,)</f>
        <v/>
      </c>
      <c r="CB760" s="128">
        <f>IFERROR(AQ760*$W760,)</f>
        <v/>
      </c>
      <c r="CC760" s="128">
        <f>IFERROR(AR760*$W760,)</f>
        <v/>
      </c>
      <c r="CD760" s="128">
        <f>IFERROR(AS760*$W760,)</f>
        <v/>
      </c>
      <c r="CE760" s="128">
        <f>IFERROR(AT760*$W760,)</f>
        <v/>
      </c>
      <c r="CF760" s="128">
        <f>IFERROR(AU760*$W760,)</f>
        <v/>
      </c>
      <c r="CG760" s="128">
        <f>IFERROR(AV760*$W760,)</f>
        <v/>
      </c>
      <c r="CH760" s="128">
        <f>IFERROR(AW760*$W760,)</f>
        <v/>
      </c>
      <c r="CI760" s="128">
        <f>IFERROR(AX760*$W760,)</f>
        <v/>
      </c>
      <c r="CJ760" s="128">
        <f>IFERROR(AY760*$W760,)</f>
        <v/>
      </c>
      <c r="CK760" s="128">
        <f>IFERROR(AZ760*$W760,)</f>
        <v/>
      </c>
      <c r="CL760" s="129">
        <f>IFERROR(if($Y760=0,BA760*($W760/1.2),BA760*$Y760),"")</f>
        <v/>
      </c>
      <c r="CM760" s="129">
        <f>IFERROR(if($Y760=0,BB760*($W760/1.2),BB760*$Y760),"")</f>
        <v/>
      </c>
      <c r="CN760" s="129">
        <f>IFERROR(if($Y760=0,BC760*($W760/1.2),BC760*$Y760),"")</f>
        <v/>
      </c>
      <c r="CO760" s="130">
        <f>IFERROR(if($AA760=0,($W760/1.35)*BD760,BD760*$AA760),)</f>
        <v/>
      </c>
      <c r="CP760" s="130">
        <f>IFERROR(if($AA760=0,($W760/1.35)*BE760,BE760*$AA760),)</f>
        <v/>
      </c>
      <c r="CQ760" s="130">
        <f>IFERROR(if($AA760=0,($W760/1.35)*BF760,BF760*$AA760),)</f>
        <v/>
      </c>
      <c r="CR760" s="128">
        <f>IFERROR(if($AC760=0,($W760/0.74)*BG760,
BG760*$AC760),)</f>
        <v/>
      </c>
      <c r="CS760" s="128">
        <f>IFERROR(if($AC760=0,($W760/0.74)*BH760,
BH760*$AC760),)</f>
        <v/>
      </c>
      <c r="CT760" s="128">
        <f>IFERROR(if($AC760=0,($W760/0.74)*BI760,
BI760*$AC760),)</f>
        <v/>
      </c>
      <c r="CU760" s="128">
        <f>IFERROR(AI760*$V760,)</f>
        <v/>
      </c>
      <c r="CV760" s="128">
        <f>IFERROR(AJ760*$V760,)</f>
        <v/>
      </c>
      <c r="CW760" s="128">
        <f>IFERROR(AK760*$V760,)</f>
        <v/>
      </c>
      <c r="CX760" s="128">
        <f>IFERROR(AL760*$V760,)</f>
        <v/>
      </c>
      <c r="CY760" s="128">
        <f>IFERROR(AM760*$V760,)</f>
        <v/>
      </c>
      <c r="CZ760" s="128">
        <f>IFERROR(AN760*$V760,)</f>
        <v/>
      </c>
      <c r="DA760" s="128">
        <f>IFERROR(AO760*$V760,)</f>
        <v/>
      </c>
      <c r="DB760" s="128">
        <f>IFERROR(AP760*$V760,)</f>
        <v/>
      </c>
      <c r="DC760" s="128">
        <f>IFERROR(AQ760*$V760,)</f>
        <v/>
      </c>
      <c r="DD760" s="128">
        <f>IFERROR(AR760*$V760,)</f>
        <v/>
      </c>
      <c r="DE760" s="128">
        <f>IFERROR(AS760*$V760,)</f>
        <v/>
      </c>
      <c r="DF760" s="128">
        <f>IFERROR(AT760*$V760,)</f>
        <v/>
      </c>
      <c r="DG760" s="128">
        <f>IFERROR(AU760*$V760,)</f>
        <v/>
      </c>
      <c r="DH760" s="128">
        <f>IFERROR(AV760*$V760,)</f>
        <v/>
      </c>
      <c r="DI760" s="128">
        <f>IFERROR(AW760*$V760,)</f>
        <v/>
      </c>
      <c r="DJ760" s="128">
        <f>IFERROR(AX760*$V760,)</f>
        <v/>
      </c>
      <c r="DK760" s="128">
        <f>IFERROR(AY760*$V760,)</f>
        <v/>
      </c>
      <c r="DL760" s="128">
        <f>IFERROR(AZ760*$V760,)</f>
        <v/>
      </c>
      <c r="DM760" s="129">
        <f>IFERROR(if($X760=0,($V760/1.2)*BA760,
BA760*$X760),)</f>
        <v/>
      </c>
      <c r="DN760" s="129">
        <f>IFERROR(if($X760=0,($V760/1.2)*BB760,
BB760*$X760),)</f>
        <v/>
      </c>
      <c r="DO760" s="129">
        <f>IFERROR(if($X760=0,($V760/1.2)*BC760,
BC760*$X760),)</f>
        <v/>
      </c>
      <c r="DP760" s="130">
        <f>IFERROR(if($Z760=0,($V760/1.35)*BD760,
BD760*$Z760),)</f>
        <v/>
      </c>
      <c r="DQ760" s="130">
        <f>IFERROR(if($Z760=0,($V760/1.35)*BE760,
BE760*$Z760),)</f>
        <v/>
      </c>
      <c r="DR760" s="130">
        <f>IFERROR(if($Z760=0,($V760/1.35)*BF760,
BF760*$Z760),)</f>
        <v/>
      </c>
      <c r="DS760" s="128">
        <f>IFERROR(IF($AB760=0,($V760/0.74)*BG760,
BG760*$AB760),)</f>
        <v/>
      </c>
      <c r="DT760" s="128">
        <f>IFERROR(IF($AB760=0,($V760/0.74)*BH760,
BH760*$AB760),)</f>
        <v/>
      </c>
      <c r="DU760" s="128">
        <f>IFERROR(IF($AB760=0,($V760/0.74)*BI760,
BI760*$AB760),)</f>
        <v/>
      </c>
    </row>
    <row r="761" ht="131.25" customHeight="1" s="162">
      <c r="A761" s="115" t="n"/>
      <c r="B761" s="115" t="n"/>
      <c r="C761" s="115" t="n"/>
      <c r="D761" s="115" t="n"/>
      <c r="E761" s="115" t="n"/>
      <c r="F761" s="115" t="n"/>
      <c r="G761" s="115" t="n"/>
      <c r="H761" s="115" t="n"/>
      <c r="I761" s="115" t="n"/>
      <c r="J761" s="115" t="n"/>
      <c r="K761" s="115" t="n"/>
      <c r="L761" s="115" t="n"/>
      <c r="M761" s="115" t="n"/>
      <c r="N761" s="115" t="n"/>
      <c r="O761" s="115" t="n"/>
      <c r="P761" s="115" t="n"/>
      <c r="Q761" s="115" t="n"/>
      <c r="R761" s="115" t="n"/>
      <c r="S761" s="115" t="n"/>
      <c r="T761" s="115" t="n"/>
      <c r="U761" s="116" t="n"/>
      <c r="V761" s="116" t="n"/>
      <c r="W761" s="117" t="n"/>
      <c r="X761" s="118" t="n"/>
      <c r="Y761" s="119" t="n"/>
      <c r="Z761" s="120" t="n"/>
      <c r="AA761" s="121" t="n"/>
      <c r="AB761" s="122" t="n"/>
      <c r="AC761" s="117" t="n"/>
      <c r="AD761" s="123">
        <f>IF(SUM($AE761:$AH761)=0,"",SUM($AE761:$AH761))</f>
        <v/>
      </c>
      <c r="AE761" s="123">
        <f>iferror(IF(SUM($AI761:$AZ761)=0,"",SUM($AI761:$AZ761)),"")</f>
        <v/>
      </c>
      <c r="AF761" s="123">
        <f>iferror(IF(SUM($BA761:$BC761)=0,"",SUM($BA761:$BC761)),"")</f>
        <v/>
      </c>
      <c r="AG761" s="123">
        <f>iferror(IF(SUM($BD761:$BF761)=0,"",SUM($BD761:$BF761)),"")</f>
        <v/>
      </c>
      <c r="AH761" s="124">
        <f>iferror(IF(SUM($BG761:$BI761)=0,"",SUM($BG761:$BI761)),"")</f>
        <v/>
      </c>
      <c r="AI761" s="131" t="n"/>
      <c r="AJ761" s="132" t="n"/>
      <c r="AK761" s="132" t="n"/>
      <c r="AL761" s="132" t="n"/>
      <c r="AM761" s="132" t="n"/>
      <c r="AN761" s="132" t="n"/>
      <c r="AO761" s="132" t="n"/>
      <c r="AP761" s="132" t="n"/>
      <c r="AQ761" s="132" t="n"/>
      <c r="AR761" s="132" t="n"/>
      <c r="AS761" s="132" t="n"/>
      <c r="AT761" s="132" t="n"/>
      <c r="AU761" s="132" t="n"/>
      <c r="AV761" s="132" t="n"/>
      <c r="AW761" s="132" t="n"/>
      <c r="AX761" s="132" t="n"/>
      <c r="AY761" s="132" t="n"/>
      <c r="AZ761" s="133" t="n"/>
      <c r="BA761" s="131" t="n"/>
      <c r="BB761" s="132" t="n"/>
      <c r="BC761" s="133" t="n"/>
      <c r="BD761" s="131" t="n"/>
      <c r="BE761" s="132" t="n"/>
      <c r="BF761" s="133" t="n"/>
      <c r="BG761" s="131" t="n"/>
      <c r="BH761" s="132" t="n"/>
      <c r="BI761" s="132" t="n"/>
      <c r="BJ761" s="128">
        <f>iferror(SUM($BK761,($BL761*1.2),($BM761*1.35),($BN761*0.74)),)</f>
        <v/>
      </c>
      <c r="BK761" s="128">
        <f>IFERROR(SUM($BT761:$CK761),)</f>
        <v/>
      </c>
      <c r="BL761" s="129">
        <f>IFERROR(SUM($CL761:$CN761),)</f>
        <v/>
      </c>
      <c r="BM761" s="130">
        <f>IFERROR(SUM($CO761:$CQ761),)</f>
        <v/>
      </c>
      <c r="BN761" s="128">
        <f>IFERROR(SUM($CR761:$CT761),)</f>
        <v/>
      </c>
      <c r="BO761" s="128">
        <f>iferror(SUM($BP761,($BQ761*1.2),($BR761*1.35),($BS761*0.74)),)</f>
        <v/>
      </c>
      <c r="BP761" s="128">
        <f>IFERROR(SUM($CU761:$DL761),)</f>
        <v/>
      </c>
      <c r="BQ761" s="128">
        <f>IFERROR(SUM($DM761:$DO761),)</f>
        <v/>
      </c>
      <c r="BR761" s="128">
        <f>IFERROR(SUM($DP761:$DR761),)</f>
        <v/>
      </c>
      <c r="BS761" s="128">
        <f>IFERROR(SUM($DS761:$DU761),)</f>
        <v/>
      </c>
      <c r="BT761" s="128">
        <f>IFERROR(AI761*$W761,)</f>
        <v/>
      </c>
      <c r="BU761" s="128">
        <f>IFERROR(AJ761*$W761,)</f>
        <v/>
      </c>
      <c r="BV761" s="128">
        <f>IFERROR(AK761*$W761,)</f>
        <v/>
      </c>
      <c r="BW761" s="128">
        <f>IFERROR(AL761*$W761,)</f>
        <v/>
      </c>
      <c r="BX761" s="128">
        <f>IFERROR(AM761*$W761,)</f>
        <v/>
      </c>
      <c r="BY761" s="128">
        <f>IFERROR(AN761*$W761,)</f>
        <v/>
      </c>
      <c r="BZ761" s="128">
        <f>IFERROR(AO761*$W761,)</f>
        <v/>
      </c>
      <c r="CA761" s="128">
        <f>IFERROR(AP761*$W761,)</f>
        <v/>
      </c>
      <c r="CB761" s="128">
        <f>IFERROR(AQ761*$W761,)</f>
        <v/>
      </c>
      <c r="CC761" s="128">
        <f>IFERROR(AR761*$W761,)</f>
        <v/>
      </c>
      <c r="CD761" s="128">
        <f>IFERROR(AS761*$W761,)</f>
        <v/>
      </c>
      <c r="CE761" s="128">
        <f>IFERROR(AT761*$W761,)</f>
        <v/>
      </c>
      <c r="CF761" s="128">
        <f>IFERROR(AU761*$W761,)</f>
        <v/>
      </c>
      <c r="CG761" s="128">
        <f>IFERROR(AV761*$W761,)</f>
        <v/>
      </c>
      <c r="CH761" s="128">
        <f>IFERROR(AW761*$W761,)</f>
        <v/>
      </c>
      <c r="CI761" s="128">
        <f>IFERROR(AX761*$W761,)</f>
        <v/>
      </c>
      <c r="CJ761" s="128">
        <f>IFERROR(AY761*$W761,)</f>
        <v/>
      </c>
      <c r="CK761" s="128">
        <f>IFERROR(AZ761*$W761,)</f>
        <v/>
      </c>
      <c r="CL761" s="129">
        <f>IFERROR(if($Y761=0,BA761*($W761/1.2),BA761*$Y761),"")</f>
        <v/>
      </c>
      <c r="CM761" s="129">
        <f>IFERROR(if($Y761=0,BB761*($W761/1.2),BB761*$Y761),"")</f>
        <v/>
      </c>
      <c r="CN761" s="129">
        <f>IFERROR(if($Y761=0,BC761*($W761/1.2),BC761*$Y761),"")</f>
        <v/>
      </c>
      <c r="CO761" s="130">
        <f>IFERROR(if($AA761=0,($W761/1.35)*BD761,BD761*$AA761),)</f>
        <v/>
      </c>
      <c r="CP761" s="130">
        <f>IFERROR(if($AA761=0,($W761/1.35)*BE761,BE761*$AA761),)</f>
        <v/>
      </c>
      <c r="CQ761" s="130">
        <f>IFERROR(if($AA761=0,($W761/1.35)*BF761,BF761*$AA761),)</f>
        <v/>
      </c>
      <c r="CR761" s="128">
        <f>IFERROR(if($AC761=0,($W761/0.74)*BG761,
BG761*$AC761),)</f>
        <v/>
      </c>
      <c r="CS761" s="128">
        <f>IFERROR(if($AC761=0,($W761/0.74)*BH761,
BH761*$AC761),)</f>
        <v/>
      </c>
      <c r="CT761" s="128">
        <f>IFERROR(if($AC761=0,($W761/0.74)*BI761,
BI761*$AC761),)</f>
        <v/>
      </c>
      <c r="CU761" s="128">
        <f>IFERROR(AI761*$V761,)</f>
        <v/>
      </c>
      <c r="CV761" s="128">
        <f>IFERROR(AJ761*$V761,)</f>
        <v/>
      </c>
      <c r="CW761" s="128">
        <f>IFERROR(AK761*$V761,)</f>
        <v/>
      </c>
      <c r="CX761" s="128">
        <f>IFERROR(AL761*$V761,)</f>
        <v/>
      </c>
      <c r="CY761" s="128">
        <f>IFERROR(AM761*$V761,)</f>
        <v/>
      </c>
      <c r="CZ761" s="128">
        <f>IFERROR(AN761*$V761,)</f>
        <v/>
      </c>
      <c r="DA761" s="128">
        <f>IFERROR(AO761*$V761,)</f>
        <v/>
      </c>
      <c r="DB761" s="128">
        <f>IFERROR(AP761*$V761,)</f>
        <v/>
      </c>
      <c r="DC761" s="128">
        <f>IFERROR(AQ761*$V761,)</f>
        <v/>
      </c>
      <c r="DD761" s="128">
        <f>IFERROR(AR761*$V761,)</f>
        <v/>
      </c>
      <c r="DE761" s="128">
        <f>IFERROR(AS761*$V761,)</f>
        <v/>
      </c>
      <c r="DF761" s="128">
        <f>IFERROR(AT761*$V761,)</f>
        <v/>
      </c>
      <c r="DG761" s="128">
        <f>IFERROR(AU761*$V761,)</f>
        <v/>
      </c>
      <c r="DH761" s="128">
        <f>IFERROR(AV761*$V761,)</f>
        <v/>
      </c>
      <c r="DI761" s="128">
        <f>IFERROR(AW761*$V761,)</f>
        <v/>
      </c>
      <c r="DJ761" s="128">
        <f>IFERROR(AX761*$V761,)</f>
        <v/>
      </c>
      <c r="DK761" s="128">
        <f>IFERROR(AY761*$V761,)</f>
        <v/>
      </c>
      <c r="DL761" s="128">
        <f>IFERROR(AZ761*$V761,)</f>
        <v/>
      </c>
      <c r="DM761" s="129">
        <f>IFERROR(if($X761=0,($V761/1.2)*BA761,
BA761*$X761),)</f>
        <v/>
      </c>
      <c r="DN761" s="129">
        <f>IFERROR(if($X761=0,($V761/1.2)*BB761,
BB761*$X761),)</f>
        <v/>
      </c>
      <c r="DO761" s="129">
        <f>IFERROR(if($X761=0,($V761/1.2)*BC761,
BC761*$X761),)</f>
        <v/>
      </c>
      <c r="DP761" s="130">
        <f>IFERROR(if($Z761=0,($V761/1.35)*BD761,
BD761*$Z761),)</f>
        <v/>
      </c>
      <c r="DQ761" s="130">
        <f>IFERROR(if($Z761=0,($V761/1.35)*BE761,
BE761*$Z761),)</f>
        <v/>
      </c>
      <c r="DR761" s="130">
        <f>IFERROR(if($Z761=0,($V761/1.35)*BF761,
BF761*$Z761),)</f>
        <v/>
      </c>
      <c r="DS761" s="128">
        <f>IFERROR(IF($AB761=0,($V761/0.74)*BG761,
BG761*$AB761),)</f>
        <v/>
      </c>
      <c r="DT761" s="128">
        <f>IFERROR(IF($AB761=0,($V761/0.74)*BH761,
BH761*$AB761),)</f>
        <v/>
      </c>
      <c r="DU761" s="128">
        <f>IFERROR(IF($AB761=0,($V761/0.74)*BI761,
BI761*$AB761),)</f>
        <v/>
      </c>
    </row>
    <row r="762" ht="131.25" customHeight="1" s="162">
      <c r="A762" s="115" t="n"/>
      <c r="B762" s="115" t="n"/>
      <c r="C762" s="115" t="n"/>
      <c r="D762" s="115" t="n"/>
      <c r="E762" s="115" t="n"/>
      <c r="F762" s="115" t="n"/>
      <c r="G762" s="115" t="n"/>
      <c r="H762" s="115" t="n"/>
      <c r="I762" s="115" t="n"/>
      <c r="J762" s="115" t="n"/>
      <c r="K762" s="115" t="n"/>
      <c r="L762" s="115" t="n"/>
      <c r="M762" s="115" t="n"/>
      <c r="N762" s="115" t="n"/>
      <c r="O762" s="115" t="n"/>
      <c r="P762" s="115" t="n"/>
      <c r="Q762" s="115" t="n"/>
      <c r="R762" s="115" t="n"/>
      <c r="S762" s="115" t="n"/>
      <c r="T762" s="115" t="n"/>
      <c r="U762" s="116" t="n"/>
      <c r="V762" s="116" t="n"/>
      <c r="W762" s="117" t="n"/>
      <c r="X762" s="118" t="n"/>
      <c r="Y762" s="119" t="n"/>
      <c r="Z762" s="120" t="n"/>
      <c r="AA762" s="121" t="n"/>
      <c r="AB762" s="122" t="n"/>
      <c r="AC762" s="117" t="n"/>
      <c r="AD762" s="123">
        <f>IF(SUM($AE762:$AH762)=0,"",SUM($AE762:$AH762))</f>
        <v/>
      </c>
      <c r="AE762" s="123">
        <f>iferror(IF(SUM($AI762:$AZ762)=0,"",SUM($AI762:$AZ762)),"")</f>
        <v/>
      </c>
      <c r="AF762" s="123">
        <f>iferror(IF(SUM($BA762:$BC762)=0,"",SUM($BA762:$BC762)),"")</f>
        <v/>
      </c>
      <c r="AG762" s="123">
        <f>iferror(IF(SUM($BD762:$BF762)=0,"",SUM($BD762:$BF762)),"")</f>
        <v/>
      </c>
      <c r="AH762" s="124">
        <f>iferror(IF(SUM($BG762:$BI762)=0,"",SUM($BG762:$BI762)),"")</f>
        <v/>
      </c>
      <c r="AI762" s="131" t="n"/>
      <c r="AJ762" s="132" t="n"/>
      <c r="AK762" s="132" t="n"/>
      <c r="AL762" s="132" t="n"/>
      <c r="AM762" s="132" t="n"/>
      <c r="AN762" s="132" t="n"/>
      <c r="AO762" s="132" t="n"/>
      <c r="AP762" s="132" t="n"/>
      <c r="AQ762" s="132" t="n"/>
      <c r="AR762" s="132" t="n"/>
      <c r="AS762" s="132" t="n"/>
      <c r="AT762" s="132" t="n"/>
      <c r="AU762" s="132" t="n"/>
      <c r="AV762" s="132" t="n"/>
      <c r="AW762" s="132" t="n"/>
      <c r="AX762" s="132" t="n"/>
      <c r="AY762" s="132" t="n"/>
      <c r="AZ762" s="133" t="n"/>
      <c r="BA762" s="131" t="n"/>
      <c r="BB762" s="132" t="n"/>
      <c r="BC762" s="133" t="n"/>
      <c r="BD762" s="131" t="n"/>
      <c r="BE762" s="132" t="n"/>
      <c r="BF762" s="133" t="n"/>
      <c r="BG762" s="131" t="n"/>
      <c r="BH762" s="132" t="n"/>
      <c r="BI762" s="132" t="n"/>
      <c r="BJ762" s="128">
        <f>iferror(SUM($BK762,($BL762*1.2),($BM762*1.35),($BN762*0.74)),)</f>
        <v/>
      </c>
      <c r="BK762" s="128">
        <f>IFERROR(SUM($BT762:$CK762),)</f>
        <v/>
      </c>
      <c r="BL762" s="129">
        <f>IFERROR(SUM($CL762:$CN762),)</f>
        <v/>
      </c>
      <c r="BM762" s="130">
        <f>IFERROR(SUM($CO762:$CQ762),)</f>
        <v/>
      </c>
      <c r="BN762" s="128">
        <f>IFERROR(SUM($CR762:$CT762),)</f>
        <v/>
      </c>
      <c r="BO762" s="128">
        <f>iferror(SUM($BP762,($BQ762*1.2),($BR762*1.35),($BS762*0.74)),)</f>
        <v/>
      </c>
      <c r="BP762" s="128">
        <f>IFERROR(SUM($CU762:$DL762),)</f>
        <v/>
      </c>
      <c r="BQ762" s="128">
        <f>IFERROR(SUM($DM762:$DO762),)</f>
        <v/>
      </c>
      <c r="BR762" s="128">
        <f>IFERROR(SUM($DP762:$DR762),)</f>
        <v/>
      </c>
      <c r="BS762" s="128">
        <f>IFERROR(SUM($DS762:$DU762),)</f>
        <v/>
      </c>
      <c r="BT762" s="128">
        <f>IFERROR(AI762*$W762,)</f>
        <v/>
      </c>
      <c r="BU762" s="128">
        <f>IFERROR(AJ762*$W762,)</f>
        <v/>
      </c>
      <c r="BV762" s="128">
        <f>IFERROR(AK762*$W762,)</f>
        <v/>
      </c>
      <c r="BW762" s="128">
        <f>IFERROR(AL762*$W762,)</f>
        <v/>
      </c>
      <c r="BX762" s="128">
        <f>IFERROR(AM762*$W762,)</f>
        <v/>
      </c>
      <c r="BY762" s="128">
        <f>IFERROR(AN762*$W762,)</f>
        <v/>
      </c>
      <c r="BZ762" s="128">
        <f>IFERROR(AO762*$W762,)</f>
        <v/>
      </c>
      <c r="CA762" s="128">
        <f>IFERROR(AP762*$W762,)</f>
        <v/>
      </c>
      <c r="CB762" s="128">
        <f>IFERROR(AQ762*$W762,)</f>
        <v/>
      </c>
      <c r="CC762" s="128">
        <f>IFERROR(AR762*$W762,)</f>
        <v/>
      </c>
      <c r="CD762" s="128">
        <f>IFERROR(AS762*$W762,)</f>
        <v/>
      </c>
      <c r="CE762" s="128">
        <f>IFERROR(AT762*$W762,)</f>
        <v/>
      </c>
      <c r="CF762" s="128">
        <f>IFERROR(AU762*$W762,)</f>
        <v/>
      </c>
      <c r="CG762" s="128">
        <f>IFERROR(AV762*$W762,)</f>
        <v/>
      </c>
      <c r="CH762" s="128">
        <f>IFERROR(AW762*$W762,)</f>
        <v/>
      </c>
      <c r="CI762" s="128">
        <f>IFERROR(AX762*$W762,)</f>
        <v/>
      </c>
      <c r="CJ762" s="128">
        <f>IFERROR(AY762*$W762,)</f>
        <v/>
      </c>
      <c r="CK762" s="128">
        <f>IFERROR(AZ762*$W762,)</f>
        <v/>
      </c>
      <c r="CL762" s="129">
        <f>IFERROR(if($Y762=0,BA762*($W762/1.2),BA762*$Y762),"")</f>
        <v/>
      </c>
      <c r="CM762" s="129">
        <f>IFERROR(if($Y762=0,BB762*($W762/1.2),BB762*$Y762),"")</f>
        <v/>
      </c>
      <c r="CN762" s="129">
        <f>IFERROR(if($Y762=0,BC762*($W762/1.2),BC762*$Y762),"")</f>
        <v/>
      </c>
      <c r="CO762" s="130">
        <f>IFERROR(if($AA762=0,($W762/1.35)*BD762,BD762*$AA762),)</f>
        <v/>
      </c>
      <c r="CP762" s="130">
        <f>IFERROR(if($AA762=0,($W762/1.35)*BE762,BE762*$AA762),)</f>
        <v/>
      </c>
      <c r="CQ762" s="130">
        <f>IFERROR(if($AA762=0,($W762/1.35)*BF762,BF762*$AA762),)</f>
        <v/>
      </c>
      <c r="CR762" s="128">
        <f>IFERROR(if($AC762=0,($W762/0.74)*BG762,
BG762*$AC762),)</f>
        <v/>
      </c>
      <c r="CS762" s="128">
        <f>IFERROR(if($AC762=0,($W762/0.74)*BH762,
BH762*$AC762),)</f>
        <v/>
      </c>
      <c r="CT762" s="128">
        <f>IFERROR(if($AC762=0,($W762/0.74)*BI762,
BI762*$AC762),)</f>
        <v/>
      </c>
      <c r="CU762" s="128">
        <f>IFERROR(AI762*$V762,)</f>
        <v/>
      </c>
      <c r="CV762" s="128">
        <f>IFERROR(AJ762*$V762,)</f>
        <v/>
      </c>
      <c r="CW762" s="128">
        <f>IFERROR(AK762*$V762,)</f>
        <v/>
      </c>
      <c r="CX762" s="128">
        <f>IFERROR(AL762*$V762,)</f>
        <v/>
      </c>
      <c r="CY762" s="128">
        <f>IFERROR(AM762*$V762,)</f>
        <v/>
      </c>
      <c r="CZ762" s="128">
        <f>IFERROR(AN762*$V762,)</f>
        <v/>
      </c>
      <c r="DA762" s="128">
        <f>IFERROR(AO762*$V762,)</f>
        <v/>
      </c>
      <c r="DB762" s="128">
        <f>IFERROR(AP762*$V762,)</f>
        <v/>
      </c>
      <c r="DC762" s="128">
        <f>IFERROR(AQ762*$V762,)</f>
        <v/>
      </c>
      <c r="DD762" s="128">
        <f>IFERROR(AR762*$V762,)</f>
        <v/>
      </c>
      <c r="DE762" s="128">
        <f>IFERROR(AS762*$V762,)</f>
        <v/>
      </c>
      <c r="DF762" s="128">
        <f>IFERROR(AT762*$V762,)</f>
        <v/>
      </c>
      <c r="DG762" s="128">
        <f>IFERROR(AU762*$V762,)</f>
        <v/>
      </c>
      <c r="DH762" s="128">
        <f>IFERROR(AV762*$V762,)</f>
        <v/>
      </c>
      <c r="DI762" s="128">
        <f>IFERROR(AW762*$V762,)</f>
        <v/>
      </c>
      <c r="DJ762" s="128">
        <f>IFERROR(AX762*$V762,)</f>
        <v/>
      </c>
      <c r="DK762" s="128">
        <f>IFERROR(AY762*$V762,)</f>
        <v/>
      </c>
      <c r="DL762" s="128">
        <f>IFERROR(AZ762*$V762,)</f>
        <v/>
      </c>
      <c r="DM762" s="129">
        <f>IFERROR(if($X762=0,($V762/1.2)*BA762,
BA762*$X762),)</f>
        <v/>
      </c>
      <c r="DN762" s="129">
        <f>IFERROR(if($X762=0,($V762/1.2)*BB762,
BB762*$X762),)</f>
        <v/>
      </c>
      <c r="DO762" s="129">
        <f>IFERROR(if($X762=0,($V762/1.2)*BC762,
BC762*$X762),)</f>
        <v/>
      </c>
      <c r="DP762" s="130">
        <f>IFERROR(if($Z762=0,($V762/1.35)*BD762,
BD762*$Z762),)</f>
        <v/>
      </c>
      <c r="DQ762" s="130">
        <f>IFERROR(if($Z762=0,($V762/1.35)*BE762,
BE762*$Z762),)</f>
        <v/>
      </c>
      <c r="DR762" s="130">
        <f>IFERROR(if($Z762=0,($V762/1.35)*BF762,
BF762*$Z762),)</f>
        <v/>
      </c>
      <c r="DS762" s="128">
        <f>IFERROR(IF($AB762=0,($V762/0.74)*BG762,
BG762*$AB762),)</f>
        <v/>
      </c>
      <c r="DT762" s="128">
        <f>IFERROR(IF($AB762=0,($V762/0.74)*BH762,
BH762*$AB762),)</f>
        <v/>
      </c>
      <c r="DU762" s="128">
        <f>IFERROR(IF($AB762=0,($V762/0.74)*BI762,
BI762*$AB762),)</f>
        <v/>
      </c>
    </row>
    <row r="763" ht="131.25" customHeight="1" s="162">
      <c r="A763" s="115" t="n"/>
      <c r="B763" s="115" t="n"/>
      <c r="C763" s="115" t="n"/>
      <c r="D763" s="115" t="n"/>
      <c r="E763" s="115" t="n"/>
      <c r="F763" s="115" t="n"/>
      <c r="G763" s="115" t="n"/>
      <c r="H763" s="115" t="n"/>
      <c r="I763" s="115" t="n"/>
      <c r="J763" s="115" t="n"/>
      <c r="K763" s="115" t="n"/>
      <c r="L763" s="115" t="n"/>
      <c r="M763" s="115" t="n"/>
      <c r="N763" s="115" t="n"/>
      <c r="O763" s="115" t="n"/>
      <c r="P763" s="115" t="n"/>
      <c r="Q763" s="115" t="n"/>
      <c r="R763" s="115" t="n"/>
      <c r="S763" s="115" t="n"/>
      <c r="T763" s="115" t="n"/>
      <c r="U763" s="116" t="n"/>
      <c r="V763" s="116" t="n"/>
      <c r="W763" s="117" t="n"/>
      <c r="X763" s="118" t="n"/>
      <c r="Y763" s="119" t="n"/>
      <c r="Z763" s="120" t="n"/>
      <c r="AA763" s="121" t="n"/>
      <c r="AB763" s="122" t="n"/>
      <c r="AC763" s="117" t="n"/>
      <c r="AD763" s="123">
        <f>IF(SUM($AE763:$AH763)=0,"",SUM($AE763:$AH763))</f>
        <v/>
      </c>
      <c r="AE763" s="123">
        <f>iferror(IF(SUM($AI763:$AZ763)=0,"",SUM($AI763:$AZ763)),"")</f>
        <v/>
      </c>
      <c r="AF763" s="123">
        <f>iferror(IF(SUM($BA763:$BC763)=0,"",SUM($BA763:$BC763)),"")</f>
        <v/>
      </c>
      <c r="AG763" s="123">
        <f>iferror(IF(SUM($BD763:$BF763)=0,"",SUM($BD763:$BF763)),"")</f>
        <v/>
      </c>
      <c r="AH763" s="124">
        <f>iferror(IF(SUM($BG763:$BI763)=0,"",SUM($BG763:$BI763)),"")</f>
        <v/>
      </c>
      <c r="AI763" s="131" t="n"/>
      <c r="AJ763" s="132" t="n"/>
      <c r="AK763" s="132" t="n"/>
      <c r="AL763" s="132" t="n"/>
      <c r="AM763" s="132" t="n"/>
      <c r="AN763" s="132" t="n"/>
      <c r="AO763" s="132" t="n"/>
      <c r="AP763" s="132" t="n"/>
      <c r="AQ763" s="132" t="n"/>
      <c r="AR763" s="132" t="n"/>
      <c r="AS763" s="132" t="n"/>
      <c r="AT763" s="132" t="n"/>
      <c r="AU763" s="132" t="n"/>
      <c r="AV763" s="132" t="n"/>
      <c r="AW763" s="132" t="n"/>
      <c r="AX763" s="132" t="n"/>
      <c r="AY763" s="132" t="n"/>
      <c r="AZ763" s="133" t="n"/>
      <c r="BA763" s="131" t="n"/>
      <c r="BB763" s="132" t="n"/>
      <c r="BC763" s="133" t="n"/>
      <c r="BD763" s="131" t="n"/>
      <c r="BE763" s="132" t="n"/>
      <c r="BF763" s="133" t="n"/>
      <c r="BG763" s="131" t="n"/>
      <c r="BH763" s="132" t="n"/>
      <c r="BI763" s="132" t="n"/>
      <c r="BJ763" s="128">
        <f>iferror(SUM($BK763,($BL763*1.2),($BM763*1.35),($BN763*0.74)),)</f>
        <v/>
      </c>
      <c r="BK763" s="128">
        <f>IFERROR(SUM($BT763:$CK763),)</f>
        <v/>
      </c>
      <c r="BL763" s="129">
        <f>IFERROR(SUM($CL763:$CN763),)</f>
        <v/>
      </c>
      <c r="BM763" s="130">
        <f>IFERROR(SUM($CO763:$CQ763),)</f>
        <v/>
      </c>
      <c r="BN763" s="128">
        <f>IFERROR(SUM($CR763:$CT763),)</f>
        <v/>
      </c>
      <c r="BO763" s="128">
        <f>iferror(SUM($BP763,($BQ763*1.2),($BR763*1.35),($BS763*0.74)),)</f>
        <v/>
      </c>
      <c r="BP763" s="128">
        <f>IFERROR(SUM($CU763:$DL763),)</f>
        <v/>
      </c>
      <c r="BQ763" s="128">
        <f>IFERROR(SUM($DM763:$DO763),)</f>
        <v/>
      </c>
      <c r="BR763" s="128">
        <f>IFERROR(SUM($DP763:$DR763),)</f>
        <v/>
      </c>
      <c r="BS763" s="128">
        <f>IFERROR(SUM($DS763:$DU763),)</f>
        <v/>
      </c>
      <c r="BT763" s="128">
        <f>IFERROR(AI763*$W763,)</f>
        <v/>
      </c>
      <c r="BU763" s="128">
        <f>IFERROR(AJ763*$W763,)</f>
        <v/>
      </c>
      <c r="BV763" s="128">
        <f>IFERROR(AK763*$W763,)</f>
        <v/>
      </c>
      <c r="BW763" s="128">
        <f>IFERROR(AL763*$W763,)</f>
        <v/>
      </c>
      <c r="BX763" s="128">
        <f>IFERROR(AM763*$W763,)</f>
        <v/>
      </c>
      <c r="BY763" s="128">
        <f>IFERROR(AN763*$W763,)</f>
        <v/>
      </c>
      <c r="BZ763" s="128">
        <f>IFERROR(AO763*$W763,)</f>
        <v/>
      </c>
      <c r="CA763" s="128">
        <f>IFERROR(AP763*$W763,)</f>
        <v/>
      </c>
      <c r="CB763" s="128">
        <f>IFERROR(AQ763*$W763,)</f>
        <v/>
      </c>
      <c r="CC763" s="128">
        <f>IFERROR(AR763*$W763,)</f>
        <v/>
      </c>
      <c r="CD763" s="128">
        <f>IFERROR(AS763*$W763,)</f>
        <v/>
      </c>
      <c r="CE763" s="128">
        <f>IFERROR(AT763*$W763,)</f>
        <v/>
      </c>
      <c r="CF763" s="128">
        <f>IFERROR(AU763*$W763,)</f>
        <v/>
      </c>
      <c r="CG763" s="128">
        <f>IFERROR(AV763*$W763,)</f>
        <v/>
      </c>
      <c r="CH763" s="128">
        <f>IFERROR(AW763*$W763,)</f>
        <v/>
      </c>
      <c r="CI763" s="128">
        <f>IFERROR(AX763*$W763,)</f>
        <v/>
      </c>
      <c r="CJ763" s="128">
        <f>IFERROR(AY763*$W763,)</f>
        <v/>
      </c>
      <c r="CK763" s="128">
        <f>IFERROR(AZ763*$W763,)</f>
        <v/>
      </c>
      <c r="CL763" s="129">
        <f>IFERROR(if($Y763=0,BA763*($W763/1.2),BA763*$Y763),"")</f>
        <v/>
      </c>
      <c r="CM763" s="129">
        <f>IFERROR(if($Y763=0,BB763*($W763/1.2),BB763*$Y763),"")</f>
        <v/>
      </c>
      <c r="CN763" s="129">
        <f>IFERROR(if($Y763=0,BC763*($W763/1.2),BC763*$Y763),"")</f>
        <v/>
      </c>
      <c r="CO763" s="130">
        <f>IFERROR(if($AA763=0,($W763/1.35)*BD763,BD763*$AA763),)</f>
        <v/>
      </c>
      <c r="CP763" s="130">
        <f>IFERROR(if($AA763=0,($W763/1.35)*BE763,BE763*$AA763),)</f>
        <v/>
      </c>
      <c r="CQ763" s="130">
        <f>IFERROR(if($AA763=0,($W763/1.35)*BF763,BF763*$AA763),)</f>
        <v/>
      </c>
      <c r="CR763" s="128">
        <f>IFERROR(if($AC763=0,($W763/0.74)*BG763,
BG763*$AC763),)</f>
        <v/>
      </c>
      <c r="CS763" s="128">
        <f>IFERROR(if($AC763=0,($W763/0.74)*BH763,
BH763*$AC763),)</f>
        <v/>
      </c>
      <c r="CT763" s="128">
        <f>IFERROR(if($AC763=0,($W763/0.74)*BI763,
BI763*$AC763),)</f>
        <v/>
      </c>
      <c r="CU763" s="128">
        <f>IFERROR(AI763*$V763,)</f>
        <v/>
      </c>
      <c r="CV763" s="128">
        <f>IFERROR(AJ763*$V763,)</f>
        <v/>
      </c>
      <c r="CW763" s="128">
        <f>IFERROR(AK763*$V763,)</f>
        <v/>
      </c>
      <c r="CX763" s="128">
        <f>IFERROR(AL763*$V763,)</f>
        <v/>
      </c>
      <c r="CY763" s="128">
        <f>IFERROR(AM763*$V763,)</f>
        <v/>
      </c>
      <c r="CZ763" s="128">
        <f>IFERROR(AN763*$V763,)</f>
        <v/>
      </c>
      <c r="DA763" s="128">
        <f>IFERROR(AO763*$V763,)</f>
        <v/>
      </c>
      <c r="DB763" s="128">
        <f>IFERROR(AP763*$V763,)</f>
        <v/>
      </c>
      <c r="DC763" s="128">
        <f>IFERROR(AQ763*$V763,)</f>
        <v/>
      </c>
      <c r="DD763" s="128">
        <f>IFERROR(AR763*$V763,)</f>
        <v/>
      </c>
      <c r="DE763" s="128">
        <f>IFERROR(AS763*$V763,)</f>
        <v/>
      </c>
      <c r="DF763" s="128">
        <f>IFERROR(AT763*$V763,)</f>
        <v/>
      </c>
      <c r="DG763" s="128">
        <f>IFERROR(AU763*$V763,)</f>
        <v/>
      </c>
      <c r="DH763" s="128">
        <f>IFERROR(AV763*$V763,)</f>
        <v/>
      </c>
      <c r="DI763" s="128">
        <f>IFERROR(AW763*$V763,)</f>
        <v/>
      </c>
      <c r="DJ763" s="128">
        <f>IFERROR(AX763*$V763,)</f>
        <v/>
      </c>
      <c r="DK763" s="128">
        <f>IFERROR(AY763*$V763,)</f>
        <v/>
      </c>
      <c r="DL763" s="128">
        <f>IFERROR(AZ763*$V763,)</f>
        <v/>
      </c>
      <c r="DM763" s="129">
        <f>IFERROR(if($X763=0,($V763/1.2)*BA763,
BA763*$X763),)</f>
        <v/>
      </c>
      <c r="DN763" s="129">
        <f>IFERROR(if($X763=0,($V763/1.2)*BB763,
BB763*$X763),)</f>
        <v/>
      </c>
      <c r="DO763" s="129">
        <f>IFERROR(if($X763=0,($V763/1.2)*BC763,
BC763*$X763),)</f>
        <v/>
      </c>
      <c r="DP763" s="130">
        <f>IFERROR(if($Z763=0,($V763/1.35)*BD763,
BD763*$Z763),)</f>
        <v/>
      </c>
      <c r="DQ763" s="130">
        <f>IFERROR(if($Z763=0,($V763/1.35)*BE763,
BE763*$Z763),)</f>
        <v/>
      </c>
      <c r="DR763" s="130">
        <f>IFERROR(if($Z763=0,($V763/1.35)*BF763,
BF763*$Z763),)</f>
        <v/>
      </c>
      <c r="DS763" s="128">
        <f>IFERROR(IF($AB763=0,($V763/0.74)*BG763,
BG763*$AB763),)</f>
        <v/>
      </c>
      <c r="DT763" s="128">
        <f>IFERROR(IF($AB763=0,($V763/0.74)*BH763,
BH763*$AB763),)</f>
        <v/>
      </c>
      <c r="DU763" s="128">
        <f>IFERROR(IF($AB763=0,($V763/0.74)*BI763,
BI763*$AB763),)</f>
        <v/>
      </c>
    </row>
    <row r="764" ht="131.25" customHeight="1" s="162">
      <c r="A764" s="115" t="n"/>
      <c r="B764" s="115" t="n"/>
      <c r="C764" s="115" t="n"/>
      <c r="D764" s="115" t="n"/>
      <c r="E764" s="115" t="n"/>
      <c r="F764" s="115" t="n"/>
      <c r="G764" s="115" t="n"/>
      <c r="H764" s="115" t="n"/>
      <c r="I764" s="115" t="n"/>
      <c r="J764" s="115" t="n"/>
      <c r="K764" s="115" t="n"/>
      <c r="L764" s="115" t="n"/>
      <c r="M764" s="115" t="n"/>
      <c r="N764" s="115" t="n"/>
      <c r="O764" s="115" t="n"/>
      <c r="P764" s="115" t="n"/>
      <c r="Q764" s="115" t="n"/>
      <c r="R764" s="115" t="n"/>
      <c r="S764" s="115" t="n"/>
      <c r="T764" s="115" t="n"/>
      <c r="U764" s="116" t="n"/>
      <c r="V764" s="116" t="n"/>
      <c r="W764" s="117" t="n"/>
      <c r="X764" s="118" t="n"/>
      <c r="Y764" s="119" t="n"/>
      <c r="Z764" s="120" t="n"/>
      <c r="AA764" s="121" t="n"/>
      <c r="AB764" s="122" t="n"/>
      <c r="AC764" s="117" t="n"/>
      <c r="AD764" s="123">
        <f>IF(SUM($AE764:$AH764)=0,"",SUM($AE764:$AH764))</f>
        <v/>
      </c>
      <c r="AE764" s="123">
        <f>iferror(IF(SUM($AI764:$AZ764)=0,"",SUM($AI764:$AZ764)),"")</f>
        <v/>
      </c>
      <c r="AF764" s="123">
        <f>iferror(IF(SUM($BA764:$BC764)=0,"",SUM($BA764:$BC764)),"")</f>
        <v/>
      </c>
      <c r="AG764" s="123">
        <f>iferror(IF(SUM($BD764:$BF764)=0,"",SUM($BD764:$BF764)),"")</f>
        <v/>
      </c>
      <c r="AH764" s="124">
        <f>iferror(IF(SUM($BG764:$BI764)=0,"",SUM($BG764:$BI764)),"")</f>
        <v/>
      </c>
      <c r="AI764" s="131" t="n"/>
      <c r="AJ764" s="132" t="n"/>
      <c r="AK764" s="132" t="n"/>
      <c r="AL764" s="132" t="n"/>
      <c r="AM764" s="132" t="n"/>
      <c r="AN764" s="132" t="n"/>
      <c r="AO764" s="132" t="n"/>
      <c r="AP764" s="132" t="n"/>
      <c r="AQ764" s="132" t="n"/>
      <c r="AR764" s="132" t="n"/>
      <c r="AS764" s="132" t="n"/>
      <c r="AT764" s="132" t="n"/>
      <c r="AU764" s="132" t="n"/>
      <c r="AV764" s="132" t="n"/>
      <c r="AW764" s="132" t="n"/>
      <c r="AX764" s="132" t="n"/>
      <c r="AY764" s="132" t="n"/>
      <c r="AZ764" s="133" t="n"/>
      <c r="BA764" s="131" t="n"/>
      <c r="BB764" s="132" t="n"/>
      <c r="BC764" s="133" t="n"/>
      <c r="BD764" s="131" t="n"/>
      <c r="BE764" s="132" t="n"/>
      <c r="BF764" s="133" t="n"/>
      <c r="BG764" s="131" t="n"/>
      <c r="BH764" s="132" t="n"/>
      <c r="BI764" s="132" t="n"/>
      <c r="BJ764" s="128">
        <f>iferror(SUM($BK764,($BL764*1.2),($BM764*1.35),($BN764*0.74)),)</f>
        <v/>
      </c>
      <c r="BK764" s="128">
        <f>IFERROR(SUM($BT764:$CK764),)</f>
        <v/>
      </c>
      <c r="BL764" s="129">
        <f>IFERROR(SUM($CL764:$CN764),)</f>
        <v/>
      </c>
      <c r="BM764" s="130">
        <f>IFERROR(SUM($CO764:$CQ764),)</f>
        <v/>
      </c>
      <c r="BN764" s="128">
        <f>IFERROR(SUM($CR764:$CT764),)</f>
        <v/>
      </c>
      <c r="BO764" s="128">
        <f>iferror(SUM($BP764,($BQ764*1.2),($BR764*1.35),($BS764*0.74)),)</f>
        <v/>
      </c>
      <c r="BP764" s="128">
        <f>IFERROR(SUM($CU764:$DL764),)</f>
        <v/>
      </c>
      <c r="BQ764" s="128">
        <f>IFERROR(SUM($DM764:$DO764),)</f>
        <v/>
      </c>
      <c r="BR764" s="128">
        <f>IFERROR(SUM($DP764:$DR764),)</f>
        <v/>
      </c>
      <c r="BS764" s="128">
        <f>IFERROR(SUM($DS764:$DU764),)</f>
        <v/>
      </c>
      <c r="BT764" s="128">
        <f>IFERROR(AI764*$W764,)</f>
        <v/>
      </c>
      <c r="BU764" s="128">
        <f>IFERROR(AJ764*$W764,)</f>
        <v/>
      </c>
      <c r="BV764" s="128">
        <f>IFERROR(AK764*$W764,)</f>
        <v/>
      </c>
      <c r="BW764" s="128">
        <f>IFERROR(AL764*$W764,)</f>
        <v/>
      </c>
      <c r="BX764" s="128">
        <f>IFERROR(AM764*$W764,)</f>
        <v/>
      </c>
      <c r="BY764" s="128">
        <f>IFERROR(AN764*$W764,)</f>
        <v/>
      </c>
      <c r="BZ764" s="128">
        <f>IFERROR(AO764*$W764,)</f>
        <v/>
      </c>
      <c r="CA764" s="128">
        <f>IFERROR(AP764*$W764,)</f>
        <v/>
      </c>
      <c r="CB764" s="128">
        <f>IFERROR(AQ764*$W764,)</f>
        <v/>
      </c>
      <c r="CC764" s="128">
        <f>IFERROR(AR764*$W764,)</f>
        <v/>
      </c>
      <c r="CD764" s="128">
        <f>IFERROR(AS764*$W764,)</f>
        <v/>
      </c>
      <c r="CE764" s="128">
        <f>IFERROR(AT764*$W764,)</f>
        <v/>
      </c>
      <c r="CF764" s="128">
        <f>IFERROR(AU764*$W764,)</f>
        <v/>
      </c>
      <c r="CG764" s="128">
        <f>IFERROR(AV764*$W764,)</f>
        <v/>
      </c>
      <c r="CH764" s="128">
        <f>IFERROR(AW764*$W764,)</f>
        <v/>
      </c>
      <c r="CI764" s="128">
        <f>IFERROR(AX764*$W764,)</f>
        <v/>
      </c>
      <c r="CJ764" s="128">
        <f>IFERROR(AY764*$W764,)</f>
        <v/>
      </c>
      <c r="CK764" s="128">
        <f>IFERROR(AZ764*$W764,)</f>
        <v/>
      </c>
      <c r="CL764" s="129">
        <f>IFERROR(if($Y764=0,BA764*($W764/1.2),BA764*$Y764),"")</f>
        <v/>
      </c>
      <c r="CM764" s="129">
        <f>IFERROR(if($Y764=0,BB764*($W764/1.2),BB764*$Y764),"")</f>
        <v/>
      </c>
      <c r="CN764" s="129">
        <f>IFERROR(if($Y764=0,BC764*($W764/1.2),BC764*$Y764),"")</f>
        <v/>
      </c>
      <c r="CO764" s="130">
        <f>IFERROR(if($AA764=0,($W764/1.35)*BD764,BD764*$AA764),)</f>
        <v/>
      </c>
      <c r="CP764" s="130">
        <f>IFERROR(if($AA764=0,($W764/1.35)*BE764,BE764*$AA764),)</f>
        <v/>
      </c>
      <c r="CQ764" s="130">
        <f>IFERROR(if($AA764=0,($W764/1.35)*BF764,BF764*$AA764),)</f>
        <v/>
      </c>
      <c r="CR764" s="128">
        <f>IFERROR(if($AC764=0,($W764/0.74)*BG764,
BG764*$AC764),)</f>
        <v/>
      </c>
      <c r="CS764" s="128">
        <f>IFERROR(if($AC764=0,($W764/0.74)*BH764,
BH764*$AC764),)</f>
        <v/>
      </c>
      <c r="CT764" s="128">
        <f>IFERROR(if($AC764=0,($W764/0.74)*BI764,
BI764*$AC764),)</f>
        <v/>
      </c>
      <c r="CU764" s="128">
        <f>IFERROR(AI764*$V764,)</f>
        <v/>
      </c>
      <c r="CV764" s="128">
        <f>IFERROR(AJ764*$V764,)</f>
        <v/>
      </c>
      <c r="CW764" s="128">
        <f>IFERROR(AK764*$V764,)</f>
        <v/>
      </c>
      <c r="CX764" s="128">
        <f>IFERROR(AL764*$V764,)</f>
        <v/>
      </c>
      <c r="CY764" s="128">
        <f>IFERROR(AM764*$V764,)</f>
        <v/>
      </c>
      <c r="CZ764" s="128">
        <f>IFERROR(AN764*$V764,)</f>
        <v/>
      </c>
      <c r="DA764" s="128">
        <f>IFERROR(AO764*$V764,)</f>
        <v/>
      </c>
      <c r="DB764" s="128">
        <f>IFERROR(AP764*$V764,)</f>
        <v/>
      </c>
      <c r="DC764" s="128">
        <f>IFERROR(AQ764*$V764,)</f>
        <v/>
      </c>
      <c r="DD764" s="128">
        <f>IFERROR(AR764*$V764,)</f>
        <v/>
      </c>
      <c r="DE764" s="128">
        <f>IFERROR(AS764*$V764,)</f>
        <v/>
      </c>
      <c r="DF764" s="128">
        <f>IFERROR(AT764*$V764,)</f>
        <v/>
      </c>
      <c r="DG764" s="128">
        <f>IFERROR(AU764*$V764,)</f>
        <v/>
      </c>
      <c r="DH764" s="128">
        <f>IFERROR(AV764*$V764,)</f>
        <v/>
      </c>
      <c r="DI764" s="128">
        <f>IFERROR(AW764*$V764,)</f>
        <v/>
      </c>
      <c r="DJ764" s="128">
        <f>IFERROR(AX764*$V764,)</f>
        <v/>
      </c>
      <c r="DK764" s="128">
        <f>IFERROR(AY764*$V764,)</f>
        <v/>
      </c>
      <c r="DL764" s="128">
        <f>IFERROR(AZ764*$V764,)</f>
        <v/>
      </c>
      <c r="DM764" s="129">
        <f>IFERROR(if($X764=0,($V764/1.2)*BA764,
BA764*$X764),)</f>
        <v/>
      </c>
      <c r="DN764" s="129">
        <f>IFERROR(if($X764=0,($V764/1.2)*BB764,
BB764*$X764),)</f>
        <v/>
      </c>
      <c r="DO764" s="129">
        <f>IFERROR(if($X764=0,($V764/1.2)*BC764,
BC764*$X764),)</f>
        <v/>
      </c>
      <c r="DP764" s="130">
        <f>IFERROR(if($Z764=0,($V764/1.35)*BD764,
BD764*$Z764),)</f>
        <v/>
      </c>
      <c r="DQ764" s="130">
        <f>IFERROR(if($Z764=0,($V764/1.35)*BE764,
BE764*$Z764),)</f>
        <v/>
      </c>
      <c r="DR764" s="130">
        <f>IFERROR(if($Z764=0,($V764/1.35)*BF764,
BF764*$Z764),)</f>
        <v/>
      </c>
      <c r="DS764" s="128">
        <f>IFERROR(IF($AB764=0,($V764/0.74)*BG764,
BG764*$AB764),)</f>
        <v/>
      </c>
      <c r="DT764" s="128">
        <f>IFERROR(IF($AB764=0,($V764/0.74)*BH764,
BH764*$AB764),)</f>
        <v/>
      </c>
      <c r="DU764" s="128">
        <f>IFERROR(IF($AB764=0,($V764/0.74)*BI764,
BI764*$AB764),)</f>
        <v/>
      </c>
    </row>
    <row r="765" ht="131.25" customHeight="1" s="162">
      <c r="A765" s="115" t="n"/>
      <c r="B765" s="115" t="n"/>
      <c r="C765" s="115" t="n"/>
      <c r="D765" s="115" t="n"/>
      <c r="E765" s="115" t="n"/>
      <c r="F765" s="115" t="n"/>
      <c r="G765" s="115" t="n"/>
      <c r="H765" s="115" t="n"/>
      <c r="I765" s="115" t="n"/>
      <c r="J765" s="115" t="n"/>
      <c r="K765" s="115" t="n"/>
      <c r="L765" s="115" t="n"/>
      <c r="M765" s="115" t="n"/>
      <c r="N765" s="115" t="n"/>
      <c r="O765" s="115" t="n"/>
      <c r="P765" s="115" t="n"/>
      <c r="Q765" s="115" t="n"/>
      <c r="R765" s="115" t="n"/>
      <c r="S765" s="115" t="n"/>
      <c r="T765" s="115" t="n"/>
      <c r="U765" s="116" t="n"/>
      <c r="V765" s="116" t="n"/>
      <c r="W765" s="117" t="n"/>
      <c r="X765" s="118" t="n"/>
      <c r="Y765" s="119" t="n"/>
      <c r="Z765" s="120" t="n"/>
      <c r="AA765" s="121" t="n"/>
      <c r="AB765" s="122" t="n"/>
      <c r="AC765" s="117" t="n"/>
      <c r="AD765" s="123">
        <f>IF(SUM($AE765:$AH765)=0,"",SUM($AE765:$AH765))</f>
        <v/>
      </c>
      <c r="AE765" s="123">
        <f>iferror(IF(SUM($AI765:$AZ765)=0,"",SUM($AI765:$AZ765)),"")</f>
        <v/>
      </c>
      <c r="AF765" s="123">
        <f>iferror(IF(SUM($BA765:$BC765)=0,"",SUM($BA765:$BC765)),"")</f>
        <v/>
      </c>
      <c r="AG765" s="123">
        <f>iferror(IF(SUM($BD765:$BF765)=0,"",SUM($BD765:$BF765)),"")</f>
        <v/>
      </c>
      <c r="AH765" s="124">
        <f>iferror(IF(SUM($BG765:$BI765)=0,"",SUM($BG765:$BI765)),"")</f>
        <v/>
      </c>
      <c r="AI765" s="131" t="n"/>
      <c r="AJ765" s="132" t="n"/>
      <c r="AK765" s="132" t="n"/>
      <c r="AL765" s="132" t="n"/>
      <c r="AM765" s="132" t="n"/>
      <c r="AN765" s="132" t="n"/>
      <c r="AO765" s="132" t="n"/>
      <c r="AP765" s="132" t="n"/>
      <c r="AQ765" s="132" t="n"/>
      <c r="AR765" s="132" t="n"/>
      <c r="AS765" s="132" t="n"/>
      <c r="AT765" s="132" t="n"/>
      <c r="AU765" s="132" t="n"/>
      <c r="AV765" s="132" t="n"/>
      <c r="AW765" s="132" t="n"/>
      <c r="AX765" s="132" t="n"/>
      <c r="AY765" s="132" t="n"/>
      <c r="AZ765" s="133" t="n"/>
      <c r="BA765" s="131" t="n"/>
      <c r="BB765" s="132" t="n"/>
      <c r="BC765" s="133" t="n"/>
      <c r="BD765" s="131" t="n"/>
      <c r="BE765" s="132" t="n"/>
      <c r="BF765" s="133" t="n"/>
      <c r="BG765" s="131" t="n"/>
      <c r="BH765" s="132" t="n"/>
      <c r="BI765" s="132" t="n"/>
      <c r="BJ765" s="128">
        <f>iferror(SUM($BK765,($BL765*1.2),($BM765*1.35),($BN765*0.74)),)</f>
        <v/>
      </c>
      <c r="BK765" s="128">
        <f>IFERROR(SUM($BT765:$CK765),)</f>
        <v/>
      </c>
      <c r="BL765" s="129">
        <f>IFERROR(SUM($CL765:$CN765),)</f>
        <v/>
      </c>
      <c r="BM765" s="130">
        <f>IFERROR(SUM($CO765:$CQ765),)</f>
        <v/>
      </c>
      <c r="BN765" s="128">
        <f>IFERROR(SUM($CR765:$CT765),)</f>
        <v/>
      </c>
      <c r="BO765" s="128">
        <f>iferror(SUM($BP765,($BQ765*1.2),($BR765*1.35),($BS765*0.74)),)</f>
        <v/>
      </c>
      <c r="BP765" s="128">
        <f>IFERROR(SUM($CU765:$DL765),)</f>
        <v/>
      </c>
      <c r="BQ765" s="128">
        <f>IFERROR(SUM($DM765:$DO765),)</f>
        <v/>
      </c>
      <c r="BR765" s="128">
        <f>IFERROR(SUM($DP765:$DR765),)</f>
        <v/>
      </c>
      <c r="BS765" s="128">
        <f>IFERROR(SUM($DS765:$DU765),)</f>
        <v/>
      </c>
      <c r="BT765" s="128">
        <f>IFERROR(AI765*$W765,)</f>
        <v/>
      </c>
      <c r="BU765" s="128">
        <f>IFERROR(AJ765*$W765,)</f>
        <v/>
      </c>
      <c r="BV765" s="128">
        <f>IFERROR(AK765*$W765,)</f>
        <v/>
      </c>
      <c r="BW765" s="128">
        <f>IFERROR(AL765*$W765,)</f>
        <v/>
      </c>
      <c r="BX765" s="128">
        <f>IFERROR(AM765*$W765,)</f>
        <v/>
      </c>
      <c r="BY765" s="128">
        <f>IFERROR(AN765*$W765,)</f>
        <v/>
      </c>
      <c r="BZ765" s="128">
        <f>IFERROR(AO765*$W765,)</f>
        <v/>
      </c>
      <c r="CA765" s="128">
        <f>IFERROR(AP765*$W765,)</f>
        <v/>
      </c>
      <c r="CB765" s="128">
        <f>IFERROR(AQ765*$W765,)</f>
        <v/>
      </c>
      <c r="CC765" s="128">
        <f>IFERROR(AR765*$W765,)</f>
        <v/>
      </c>
      <c r="CD765" s="128">
        <f>IFERROR(AS765*$W765,)</f>
        <v/>
      </c>
      <c r="CE765" s="128">
        <f>IFERROR(AT765*$W765,)</f>
        <v/>
      </c>
      <c r="CF765" s="128">
        <f>IFERROR(AU765*$W765,)</f>
        <v/>
      </c>
      <c r="CG765" s="128">
        <f>IFERROR(AV765*$W765,)</f>
        <v/>
      </c>
      <c r="CH765" s="128">
        <f>IFERROR(AW765*$W765,)</f>
        <v/>
      </c>
      <c r="CI765" s="128">
        <f>IFERROR(AX765*$W765,)</f>
        <v/>
      </c>
      <c r="CJ765" s="128">
        <f>IFERROR(AY765*$W765,)</f>
        <v/>
      </c>
      <c r="CK765" s="128">
        <f>IFERROR(AZ765*$W765,)</f>
        <v/>
      </c>
      <c r="CL765" s="129">
        <f>IFERROR(if($Y765=0,BA765*($W765/1.2),BA765*$Y765),"")</f>
        <v/>
      </c>
      <c r="CM765" s="129">
        <f>IFERROR(if($Y765=0,BB765*($W765/1.2),BB765*$Y765),"")</f>
        <v/>
      </c>
      <c r="CN765" s="129">
        <f>IFERROR(if($Y765=0,BC765*($W765/1.2),BC765*$Y765),"")</f>
        <v/>
      </c>
      <c r="CO765" s="130">
        <f>IFERROR(if($AA765=0,($W765/1.35)*BD765,BD765*$AA765),)</f>
        <v/>
      </c>
      <c r="CP765" s="130">
        <f>IFERROR(if($AA765=0,($W765/1.35)*BE765,BE765*$AA765),)</f>
        <v/>
      </c>
      <c r="CQ765" s="130">
        <f>IFERROR(if($AA765=0,($W765/1.35)*BF765,BF765*$AA765),)</f>
        <v/>
      </c>
      <c r="CR765" s="128">
        <f>IFERROR(if($AC765=0,($W765/0.74)*BG765,
BG765*$AC765),)</f>
        <v/>
      </c>
      <c r="CS765" s="128">
        <f>IFERROR(if($AC765=0,($W765/0.74)*BH765,
BH765*$AC765),)</f>
        <v/>
      </c>
      <c r="CT765" s="128">
        <f>IFERROR(if($AC765=0,($W765/0.74)*BI765,
BI765*$AC765),)</f>
        <v/>
      </c>
      <c r="CU765" s="128">
        <f>IFERROR(AI765*$V765,)</f>
        <v/>
      </c>
      <c r="CV765" s="128">
        <f>IFERROR(AJ765*$V765,)</f>
        <v/>
      </c>
      <c r="CW765" s="128">
        <f>IFERROR(AK765*$V765,)</f>
        <v/>
      </c>
      <c r="CX765" s="128">
        <f>IFERROR(AL765*$V765,)</f>
        <v/>
      </c>
      <c r="CY765" s="128">
        <f>IFERROR(AM765*$V765,)</f>
        <v/>
      </c>
      <c r="CZ765" s="128">
        <f>IFERROR(AN765*$V765,)</f>
        <v/>
      </c>
      <c r="DA765" s="128">
        <f>IFERROR(AO765*$V765,)</f>
        <v/>
      </c>
      <c r="DB765" s="128">
        <f>IFERROR(AP765*$V765,)</f>
        <v/>
      </c>
      <c r="DC765" s="128">
        <f>IFERROR(AQ765*$V765,)</f>
        <v/>
      </c>
      <c r="DD765" s="128">
        <f>IFERROR(AR765*$V765,)</f>
        <v/>
      </c>
      <c r="DE765" s="128">
        <f>IFERROR(AS765*$V765,)</f>
        <v/>
      </c>
      <c r="DF765" s="128">
        <f>IFERROR(AT765*$V765,)</f>
        <v/>
      </c>
      <c r="DG765" s="128">
        <f>IFERROR(AU765*$V765,)</f>
        <v/>
      </c>
      <c r="DH765" s="128">
        <f>IFERROR(AV765*$V765,)</f>
        <v/>
      </c>
      <c r="DI765" s="128">
        <f>IFERROR(AW765*$V765,)</f>
        <v/>
      </c>
      <c r="DJ765" s="128">
        <f>IFERROR(AX765*$V765,)</f>
        <v/>
      </c>
      <c r="DK765" s="128">
        <f>IFERROR(AY765*$V765,)</f>
        <v/>
      </c>
      <c r="DL765" s="128">
        <f>IFERROR(AZ765*$V765,)</f>
        <v/>
      </c>
      <c r="DM765" s="129">
        <f>IFERROR(if($X765=0,($V765/1.2)*BA765,
BA765*$X765),)</f>
        <v/>
      </c>
      <c r="DN765" s="129">
        <f>IFERROR(if($X765=0,($V765/1.2)*BB765,
BB765*$X765),)</f>
        <v/>
      </c>
      <c r="DO765" s="129">
        <f>IFERROR(if($X765=0,($V765/1.2)*BC765,
BC765*$X765),)</f>
        <v/>
      </c>
      <c r="DP765" s="130">
        <f>IFERROR(if($Z765=0,($V765/1.35)*BD765,
BD765*$Z765),)</f>
        <v/>
      </c>
      <c r="DQ765" s="130">
        <f>IFERROR(if($Z765=0,($V765/1.35)*BE765,
BE765*$Z765),)</f>
        <v/>
      </c>
      <c r="DR765" s="130">
        <f>IFERROR(if($Z765=0,($V765/1.35)*BF765,
BF765*$Z765),)</f>
        <v/>
      </c>
      <c r="DS765" s="128">
        <f>IFERROR(IF($AB765=0,($V765/0.74)*BG765,
BG765*$AB765),)</f>
        <v/>
      </c>
      <c r="DT765" s="128">
        <f>IFERROR(IF($AB765=0,($V765/0.74)*BH765,
BH765*$AB765),)</f>
        <v/>
      </c>
      <c r="DU765" s="128">
        <f>IFERROR(IF($AB765=0,($V765/0.74)*BI765,
BI765*$AB765),)</f>
        <v/>
      </c>
    </row>
    <row r="766" ht="131.25" customHeight="1" s="162">
      <c r="A766" s="115" t="n"/>
      <c r="B766" s="115" t="n"/>
      <c r="C766" s="115" t="n"/>
      <c r="D766" s="115" t="n"/>
      <c r="E766" s="115" t="n"/>
      <c r="F766" s="115" t="n"/>
      <c r="G766" s="115" t="n"/>
      <c r="H766" s="115" t="n"/>
      <c r="I766" s="115" t="n"/>
      <c r="J766" s="115" t="n"/>
      <c r="K766" s="115" t="n"/>
      <c r="L766" s="115" t="n"/>
      <c r="M766" s="115" t="n"/>
      <c r="N766" s="115" t="n"/>
      <c r="O766" s="115" t="n"/>
      <c r="P766" s="115" t="n"/>
      <c r="Q766" s="115" t="n"/>
      <c r="R766" s="115" t="n"/>
      <c r="S766" s="115" t="n"/>
      <c r="T766" s="115" t="n"/>
      <c r="U766" s="116" t="n"/>
      <c r="V766" s="116" t="n"/>
      <c r="W766" s="117" t="n"/>
      <c r="X766" s="118" t="n"/>
      <c r="Y766" s="119" t="n"/>
      <c r="Z766" s="120" t="n"/>
      <c r="AA766" s="121" t="n"/>
      <c r="AB766" s="122" t="n"/>
      <c r="AC766" s="117" t="n"/>
      <c r="AD766" s="123">
        <f>IF(SUM($AE766:$AH766)=0,"",SUM($AE766:$AH766))</f>
        <v/>
      </c>
      <c r="AE766" s="123">
        <f>iferror(IF(SUM($AI766:$AZ766)=0,"",SUM($AI766:$AZ766)),"")</f>
        <v/>
      </c>
      <c r="AF766" s="123">
        <f>iferror(IF(SUM($BA766:$BC766)=0,"",SUM($BA766:$BC766)),"")</f>
        <v/>
      </c>
      <c r="AG766" s="123">
        <f>iferror(IF(SUM($BD766:$BF766)=0,"",SUM($BD766:$BF766)),"")</f>
        <v/>
      </c>
      <c r="AH766" s="124">
        <f>iferror(IF(SUM($BG766:$BI766)=0,"",SUM($BG766:$BI766)),"")</f>
        <v/>
      </c>
      <c r="AI766" s="131" t="n"/>
      <c r="AJ766" s="132" t="n"/>
      <c r="AK766" s="132" t="n"/>
      <c r="AL766" s="132" t="n"/>
      <c r="AM766" s="132" t="n"/>
      <c r="AN766" s="132" t="n"/>
      <c r="AO766" s="132" t="n"/>
      <c r="AP766" s="132" t="n"/>
      <c r="AQ766" s="132" t="n"/>
      <c r="AR766" s="132" t="n"/>
      <c r="AS766" s="132" t="n"/>
      <c r="AT766" s="132" t="n"/>
      <c r="AU766" s="132" t="n"/>
      <c r="AV766" s="132" t="n"/>
      <c r="AW766" s="132" t="n"/>
      <c r="AX766" s="132" t="n"/>
      <c r="AY766" s="132" t="n"/>
      <c r="AZ766" s="133" t="n"/>
      <c r="BA766" s="131" t="n"/>
      <c r="BB766" s="132" t="n"/>
      <c r="BC766" s="133" t="n"/>
      <c r="BD766" s="131" t="n"/>
      <c r="BE766" s="132" t="n"/>
      <c r="BF766" s="133" t="n"/>
      <c r="BG766" s="131" t="n"/>
      <c r="BH766" s="132" t="n"/>
      <c r="BI766" s="132" t="n"/>
      <c r="BJ766" s="128">
        <f>iferror(SUM($BK766,($BL766*1.2),($BM766*1.35),($BN766*0.74)),)</f>
        <v/>
      </c>
      <c r="BK766" s="128">
        <f>IFERROR(SUM($BT766:$CK766),)</f>
        <v/>
      </c>
      <c r="BL766" s="129">
        <f>IFERROR(SUM($CL766:$CN766),)</f>
        <v/>
      </c>
      <c r="BM766" s="130">
        <f>IFERROR(SUM($CO766:$CQ766),)</f>
        <v/>
      </c>
      <c r="BN766" s="128">
        <f>IFERROR(SUM($CR766:$CT766),)</f>
        <v/>
      </c>
      <c r="BO766" s="128">
        <f>iferror(SUM($BP766,($BQ766*1.2),($BR766*1.35),($BS766*0.74)),)</f>
        <v/>
      </c>
      <c r="BP766" s="128">
        <f>IFERROR(SUM($CU766:$DL766),)</f>
        <v/>
      </c>
      <c r="BQ766" s="128">
        <f>IFERROR(SUM($DM766:$DO766),)</f>
        <v/>
      </c>
      <c r="BR766" s="128">
        <f>IFERROR(SUM($DP766:$DR766),)</f>
        <v/>
      </c>
      <c r="BS766" s="128">
        <f>IFERROR(SUM($DS766:$DU766),)</f>
        <v/>
      </c>
      <c r="BT766" s="128">
        <f>IFERROR(AI766*$W766,)</f>
        <v/>
      </c>
      <c r="BU766" s="128">
        <f>IFERROR(AJ766*$W766,)</f>
        <v/>
      </c>
      <c r="BV766" s="128">
        <f>IFERROR(AK766*$W766,)</f>
        <v/>
      </c>
      <c r="BW766" s="128">
        <f>IFERROR(AL766*$W766,)</f>
        <v/>
      </c>
      <c r="BX766" s="128">
        <f>IFERROR(AM766*$W766,)</f>
        <v/>
      </c>
      <c r="BY766" s="128">
        <f>IFERROR(AN766*$W766,)</f>
        <v/>
      </c>
      <c r="BZ766" s="128">
        <f>IFERROR(AO766*$W766,)</f>
        <v/>
      </c>
      <c r="CA766" s="128">
        <f>IFERROR(AP766*$W766,)</f>
        <v/>
      </c>
      <c r="CB766" s="128">
        <f>IFERROR(AQ766*$W766,)</f>
        <v/>
      </c>
      <c r="CC766" s="128">
        <f>IFERROR(AR766*$W766,)</f>
        <v/>
      </c>
      <c r="CD766" s="128">
        <f>IFERROR(AS766*$W766,)</f>
        <v/>
      </c>
      <c r="CE766" s="128">
        <f>IFERROR(AT766*$W766,)</f>
        <v/>
      </c>
      <c r="CF766" s="128">
        <f>IFERROR(AU766*$W766,)</f>
        <v/>
      </c>
      <c r="CG766" s="128">
        <f>IFERROR(AV766*$W766,)</f>
        <v/>
      </c>
      <c r="CH766" s="128">
        <f>IFERROR(AW766*$W766,)</f>
        <v/>
      </c>
      <c r="CI766" s="128">
        <f>IFERROR(AX766*$W766,)</f>
        <v/>
      </c>
      <c r="CJ766" s="128">
        <f>IFERROR(AY766*$W766,)</f>
        <v/>
      </c>
      <c r="CK766" s="128">
        <f>IFERROR(AZ766*$W766,)</f>
        <v/>
      </c>
      <c r="CL766" s="129">
        <f>IFERROR(if($Y766=0,BA766*($W766/1.2),BA766*$Y766),"")</f>
        <v/>
      </c>
      <c r="CM766" s="129">
        <f>IFERROR(if($Y766=0,BB766*($W766/1.2),BB766*$Y766),"")</f>
        <v/>
      </c>
      <c r="CN766" s="129">
        <f>IFERROR(if($Y766=0,BC766*($W766/1.2),BC766*$Y766),"")</f>
        <v/>
      </c>
      <c r="CO766" s="130">
        <f>IFERROR(if($AA766=0,($W766/1.35)*BD766,BD766*$AA766),)</f>
        <v/>
      </c>
      <c r="CP766" s="130">
        <f>IFERROR(if($AA766=0,($W766/1.35)*BE766,BE766*$AA766),)</f>
        <v/>
      </c>
      <c r="CQ766" s="130">
        <f>IFERROR(if($AA766=0,($W766/1.35)*BF766,BF766*$AA766),)</f>
        <v/>
      </c>
      <c r="CR766" s="128">
        <f>IFERROR(if($AC766=0,($W766/0.74)*BG766,
BG766*$AC766),)</f>
        <v/>
      </c>
      <c r="CS766" s="128">
        <f>IFERROR(if($AC766=0,($W766/0.74)*BH766,
BH766*$AC766),)</f>
        <v/>
      </c>
      <c r="CT766" s="128">
        <f>IFERROR(if($AC766=0,($W766/0.74)*BI766,
BI766*$AC766),)</f>
        <v/>
      </c>
      <c r="CU766" s="128">
        <f>IFERROR(AI766*$V766,)</f>
        <v/>
      </c>
      <c r="CV766" s="128">
        <f>IFERROR(AJ766*$V766,)</f>
        <v/>
      </c>
      <c r="CW766" s="128">
        <f>IFERROR(AK766*$V766,)</f>
        <v/>
      </c>
      <c r="CX766" s="128">
        <f>IFERROR(AL766*$V766,)</f>
        <v/>
      </c>
      <c r="CY766" s="128">
        <f>IFERROR(AM766*$V766,)</f>
        <v/>
      </c>
      <c r="CZ766" s="128">
        <f>IFERROR(AN766*$V766,)</f>
        <v/>
      </c>
      <c r="DA766" s="128">
        <f>IFERROR(AO766*$V766,)</f>
        <v/>
      </c>
      <c r="DB766" s="128">
        <f>IFERROR(AP766*$V766,)</f>
        <v/>
      </c>
      <c r="DC766" s="128">
        <f>IFERROR(AQ766*$V766,)</f>
        <v/>
      </c>
      <c r="DD766" s="128">
        <f>IFERROR(AR766*$V766,)</f>
        <v/>
      </c>
      <c r="DE766" s="128">
        <f>IFERROR(AS766*$V766,)</f>
        <v/>
      </c>
      <c r="DF766" s="128">
        <f>IFERROR(AT766*$V766,)</f>
        <v/>
      </c>
      <c r="DG766" s="128">
        <f>IFERROR(AU766*$V766,)</f>
        <v/>
      </c>
      <c r="DH766" s="128">
        <f>IFERROR(AV766*$V766,)</f>
        <v/>
      </c>
      <c r="DI766" s="128">
        <f>IFERROR(AW766*$V766,)</f>
        <v/>
      </c>
      <c r="DJ766" s="128">
        <f>IFERROR(AX766*$V766,)</f>
        <v/>
      </c>
      <c r="DK766" s="128">
        <f>IFERROR(AY766*$V766,)</f>
        <v/>
      </c>
      <c r="DL766" s="128">
        <f>IFERROR(AZ766*$V766,)</f>
        <v/>
      </c>
      <c r="DM766" s="129">
        <f>IFERROR(if($X766=0,($V766/1.2)*BA766,
BA766*$X766),)</f>
        <v/>
      </c>
      <c r="DN766" s="129">
        <f>IFERROR(if($X766=0,($V766/1.2)*BB766,
BB766*$X766),)</f>
        <v/>
      </c>
      <c r="DO766" s="129">
        <f>IFERROR(if($X766=0,($V766/1.2)*BC766,
BC766*$X766),)</f>
        <v/>
      </c>
      <c r="DP766" s="130">
        <f>IFERROR(if($Z766=0,($V766/1.35)*BD766,
BD766*$Z766),)</f>
        <v/>
      </c>
      <c r="DQ766" s="130">
        <f>IFERROR(if($Z766=0,($V766/1.35)*BE766,
BE766*$Z766),)</f>
        <v/>
      </c>
      <c r="DR766" s="130">
        <f>IFERROR(if($Z766=0,($V766/1.35)*BF766,
BF766*$Z766),)</f>
        <v/>
      </c>
      <c r="DS766" s="128">
        <f>IFERROR(IF($AB766=0,($V766/0.74)*BG766,
BG766*$AB766),)</f>
        <v/>
      </c>
      <c r="DT766" s="128">
        <f>IFERROR(IF($AB766=0,($V766/0.74)*BH766,
BH766*$AB766),)</f>
        <v/>
      </c>
      <c r="DU766" s="128">
        <f>IFERROR(IF($AB766=0,($V766/0.74)*BI766,
BI766*$AB766),)</f>
        <v/>
      </c>
    </row>
    <row r="767" ht="131.25" customHeight="1" s="162">
      <c r="A767" s="115" t="n"/>
      <c r="B767" s="115" t="n"/>
      <c r="C767" s="115" t="n"/>
      <c r="D767" s="115" t="n"/>
      <c r="E767" s="115" t="n"/>
      <c r="F767" s="115" t="n"/>
      <c r="G767" s="115" t="n"/>
      <c r="H767" s="115" t="n"/>
      <c r="I767" s="115" t="n"/>
      <c r="J767" s="115" t="n"/>
      <c r="K767" s="115" t="n"/>
      <c r="L767" s="115" t="n"/>
      <c r="M767" s="115" t="n"/>
      <c r="N767" s="115" t="n"/>
      <c r="O767" s="115" t="n"/>
      <c r="P767" s="115" t="n"/>
      <c r="Q767" s="115" t="n"/>
      <c r="R767" s="115" t="n"/>
      <c r="S767" s="115" t="n"/>
      <c r="T767" s="115" t="n"/>
      <c r="U767" s="116" t="n"/>
      <c r="V767" s="116" t="n"/>
      <c r="W767" s="117" t="n"/>
      <c r="X767" s="118" t="n"/>
      <c r="Y767" s="119" t="n"/>
      <c r="Z767" s="120" t="n"/>
      <c r="AA767" s="121" t="n"/>
      <c r="AB767" s="122" t="n"/>
      <c r="AC767" s="117" t="n"/>
      <c r="AD767" s="123">
        <f>IF(SUM($AE767:$AH767)=0,"",SUM($AE767:$AH767))</f>
        <v/>
      </c>
      <c r="AE767" s="123">
        <f>iferror(IF(SUM($AI767:$AZ767)=0,"",SUM($AI767:$AZ767)),"")</f>
        <v/>
      </c>
      <c r="AF767" s="123">
        <f>iferror(IF(SUM($BA767:$BC767)=0,"",SUM($BA767:$BC767)),"")</f>
        <v/>
      </c>
      <c r="AG767" s="123">
        <f>iferror(IF(SUM($BD767:$BF767)=0,"",SUM($BD767:$BF767)),"")</f>
        <v/>
      </c>
      <c r="AH767" s="124">
        <f>iferror(IF(SUM($BG767:$BI767)=0,"",SUM($BG767:$BI767)),"")</f>
        <v/>
      </c>
      <c r="AI767" s="131" t="n"/>
      <c r="AJ767" s="132" t="n"/>
      <c r="AK767" s="132" t="n"/>
      <c r="AL767" s="132" t="n"/>
      <c r="AM767" s="132" t="n"/>
      <c r="AN767" s="132" t="n"/>
      <c r="AO767" s="132" t="n"/>
      <c r="AP767" s="132" t="n"/>
      <c r="AQ767" s="132" t="n"/>
      <c r="AR767" s="132" t="n"/>
      <c r="AS767" s="132" t="n"/>
      <c r="AT767" s="132" t="n"/>
      <c r="AU767" s="132" t="n"/>
      <c r="AV767" s="132" t="n"/>
      <c r="AW767" s="132" t="n"/>
      <c r="AX767" s="132" t="n"/>
      <c r="AY767" s="132" t="n"/>
      <c r="AZ767" s="133" t="n"/>
      <c r="BA767" s="131" t="n"/>
      <c r="BB767" s="132" t="n"/>
      <c r="BC767" s="133" t="n"/>
      <c r="BD767" s="131" t="n"/>
      <c r="BE767" s="132" t="n"/>
      <c r="BF767" s="133" t="n"/>
      <c r="BG767" s="131" t="n"/>
      <c r="BH767" s="132" t="n"/>
      <c r="BI767" s="132" t="n"/>
      <c r="BJ767" s="128">
        <f>iferror(SUM($BK767,($BL767*1.2),($BM767*1.35),($BN767*0.74)),)</f>
        <v/>
      </c>
      <c r="BK767" s="128">
        <f>IFERROR(SUM($BT767:$CK767),)</f>
        <v/>
      </c>
      <c r="BL767" s="129">
        <f>IFERROR(SUM($CL767:$CN767),)</f>
        <v/>
      </c>
      <c r="BM767" s="130">
        <f>IFERROR(SUM($CO767:$CQ767),)</f>
        <v/>
      </c>
      <c r="BN767" s="128">
        <f>IFERROR(SUM($CR767:$CT767),)</f>
        <v/>
      </c>
      <c r="BO767" s="128">
        <f>iferror(SUM($BP767,($BQ767*1.2),($BR767*1.35),($BS767*0.74)),)</f>
        <v/>
      </c>
      <c r="BP767" s="128">
        <f>IFERROR(SUM($CU767:$DL767),)</f>
        <v/>
      </c>
      <c r="BQ767" s="128">
        <f>IFERROR(SUM($DM767:$DO767),)</f>
        <v/>
      </c>
      <c r="BR767" s="128">
        <f>IFERROR(SUM($DP767:$DR767),)</f>
        <v/>
      </c>
      <c r="BS767" s="128">
        <f>IFERROR(SUM($DS767:$DU767),)</f>
        <v/>
      </c>
      <c r="BT767" s="128">
        <f>IFERROR(AI767*$W767,)</f>
        <v/>
      </c>
      <c r="BU767" s="128">
        <f>IFERROR(AJ767*$W767,)</f>
        <v/>
      </c>
      <c r="BV767" s="128">
        <f>IFERROR(AK767*$W767,)</f>
        <v/>
      </c>
      <c r="BW767" s="128">
        <f>IFERROR(AL767*$W767,)</f>
        <v/>
      </c>
      <c r="BX767" s="128">
        <f>IFERROR(AM767*$W767,)</f>
        <v/>
      </c>
      <c r="BY767" s="128">
        <f>IFERROR(AN767*$W767,)</f>
        <v/>
      </c>
      <c r="BZ767" s="128">
        <f>IFERROR(AO767*$W767,)</f>
        <v/>
      </c>
      <c r="CA767" s="128">
        <f>IFERROR(AP767*$W767,)</f>
        <v/>
      </c>
      <c r="CB767" s="128">
        <f>IFERROR(AQ767*$W767,)</f>
        <v/>
      </c>
      <c r="CC767" s="128">
        <f>IFERROR(AR767*$W767,)</f>
        <v/>
      </c>
      <c r="CD767" s="128">
        <f>IFERROR(AS767*$W767,)</f>
        <v/>
      </c>
      <c r="CE767" s="128">
        <f>IFERROR(AT767*$W767,)</f>
        <v/>
      </c>
      <c r="CF767" s="128">
        <f>IFERROR(AU767*$W767,)</f>
        <v/>
      </c>
      <c r="CG767" s="128">
        <f>IFERROR(AV767*$W767,)</f>
        <v/>
      </c>
      <c r="CH767" s="128">
        <f>IFERROR(AW767*$W767,)</f>
        <v/>
      </c>
      <c r="CI767" s="128">
        <f>IFERROR(AX767*$W767,)</f>
        <v/>
      </c>
      <c r="CJ767" s="128">
        <f>IFERROR(AY767*$W767,)</f>
        <v/>
      </c>
      <c r="CK767" s="128">
        <f>IFERROR(AZ767*$W767,)</f>
        <v/>
      </c>
      <c r="CL767" s="129">
        <f>IFERROR(if($Y767=0,BA767*($W767/1.2),BA767*$Y767),"")</f>
        <v/>
      </c>
      <c r="CM767" s="129">
        <f>IFERROR(if($Y767=0,BB767*($W767/1.2),BB767*$Y767),"")</f>
        <v/>
      </c>
      <c r="CN767" s="129">
        <f>IFERROR(if($Y767=0,BC767*($W767/1.2),BC767*$Y767),"")</f>
        <v/>
      </c>
      <c r="CO767" s="130">
        <f>IFERROR(if($AA767=0,($W767/1.35)*BD767,BD767*$AA767),)</f>
        <v/>
      </c>
      <c r="CP767" s="130">
        <f>IFERROR(if($AA767=0,($W767/1.35)*BE767,BE767*$AA767),)</f>
        <v/>
      </c>
      <c r="CQ767" s="130">
        <f>IFERROR(if($AA767=0,($W767/1.35)*BF767,BF767*$AA767),)</f>
        <v/>
      </c>
      <c r="CR767" s="128">
        <f>IFERROR(if($AC767=0,($W767/0.74)*BG767,
BG767*$AC767),)</f>
        <v/>
      </c>
      <c r="CS767" s="128">
        <f>IFERROR(if($AC767=0,($W767/0.74)*BH767,
BH767*$AC767),)</f>
        <v/>
      </c>
      <c r="CT767" s="128">
        <f>IFERROR(if($AC767=0,($W767/0.74)*BI767,
BI767*$AC767),)</f>
        <v/>
      </c>
      <c r="CU767" s="128">
        <f>IFERROR(AI767*$V767,)</f>
        <v/>
      </c>
      <c r="CV767" s="128">
        <f>IFERROR(AJ767*$V767,)</f>
        <v/>
      </c>
      <c r="CW767" s="128">
        <f>IFERROR(AK767*$V767,)</f>
        <v/>
      </c>
      <c r="CX767" s="128">
        <f>IFERROR(AL767*$V767,)</f>
        <v/>
      </c>
      <c r="CY767" s="128">
        <f>IFERROR(AM767*$V767,)</f>
        <v/>
      </c>
      <c r="CZ767" s="128">
        <f>IFERROR(AN767*$V767,)</f>
        <v/>
      </c>
      <c r="DA767" s="128">
        <f>IFERROR(AO767*$V767,)</f>
        <v/>
      </c>
      <c r="DB767" s="128">
        <f>IFERROR(AP767*$V767,)</f>
        <v/>
      </c>
      <c r="DC767" s="128">
        <f>IFERROR(AQ767*$V767,)</f>
        <v/>
      </c>
      <c r="DD767" s="128">
        <f>IFERROR(AR767*$V767,)</f>
        <v/>
      </c>
      <c r="DE767" s="128">
        <f>IFERROR(AS767*$V767,)</f>
        <v/>
      </c>
      <c r="DF767" s="128">
        <f>IFERROR(AT767*$V767,)</f>
        <v/>
      </c>
      <c r="DG767" s="128">
        <f>IFERROR(AU767*$V767,)</f>
        <v/>
      </c>
      <c r="DH767" s="128">
        <f>IFERROR(AV767*$V767,)</f>
        <v/>
      </c>
      <c r="DI767" s="128">
        <f>IFERROR(AW767*$V767,)</f>
        <v/>
      </c>
      <c r="DJ767" s="128">
        <f>IFERROR(AX767*$V767,)</f>
        <v/>
      </c>
      <c r="DK767" s="128">
        <f>IFERROR(AY767*$V767,)</f>
        <v/>
      </c>
      <c r="DL767" s="128">
        <f>IFERROR(AZ767*$V767,)</f>
        <v/>
      </c>
      <c r="DM767" s="129">
        <f>IFERROR(if($X767=0,($V767/1.2)*BA767,
BA767*$X767),)</f>
        <v/>
      </c>
      <c r="DN767" s="129">
        <f>IFERROR(if($X767=0,($V767/1.2)*BB767,
BB767*$X767),)</f>
        <v/>
      </c>
      <c r="DO767" s="129">
        <f>IFERROR(if($X767=0,($V767/1.2)*BC767,
BC767*$X767),)</f>
        <v/>
      </c>
      <c r="DP767" s="130">
        <f>IFERROR(if($Z767=0,($V767/1.35)*BD767,
BD767*$Z767),)</f>
        <v/>
      </c>
      <c r="DQ767" s="130">
        <f>IFERROR(if($Z767=0,($V767/1.35)*BE767,
BE767*$Z767),)</f>
        <v/>
      </c>
      <c r="DR767" s="130">
        <f>IFERROR(if($Z767=0,($V767/1.35)*BF767,
BF767*$Z767),)</f>
        <v/>
      </c>
      <c r="DS767" s="128">
        <f>IFERROR(IF($AB767=0,($V767/0.74)*BG767,
BG767*$AB767),)</f>
        <v/>
      </c>
      <c r="DT767" s="128">
        <f>IFERROR(IF($AB767=0,($V767/0.74)*BH767,
BH767*$AB767),)</f>
        <v/>
      </c>
      <c r="DU767" s="128">
        <f>IFERROR(IF($AB767=0,($V767/0.74)*BI767,
BI767*$AB767),)</f>
        <v/>
      </c>
    </row>
    <row r="768" ht="131.25" customHeight="1" s="162">
      <c r="A768" s="115" t="n"/>
      <c r="B768" s="115" t="n"/>
      <c r="C768" s="115" t="n"/>
      <c r="D768" s="115" t="n"/>
      <c r="E768" s="115" t="n"/>
      <c r="F768" s="115" t="n"/>
      <c r="G768" s="115" t="n"/>
      <c r="H768" s="115" t="n"/>
      <c r="I768" s="115" t="n"/>
      <c r="J768" s="115" t="n"/>
      <c r="K768" s="115" t="n"/>
      <c r="L768" s="115" t="n"/>
      <c r="M768" s="115" t="n"/>
      <c r="N768" s="115" t="n"/>
      <c r="O768" s="115" t="n"/>
      <c r="P768" s="115" t="n"/>
      <c r="Q768" s="115" t="n"/>
      <c r="R768" s="115" t="n"/>
      <c r="S768" s="115" t="n"/>
      <c r="T768" s="115" t="n"/>
      <c r="U768" s="116" t="n"/>
      <c r="V768" s="116" t="n"/>
      <c r="W768" s="117" t="n"/>
      <c r="X768" s="118" t="n"/>
      <c r="Y768" s="119" t="n"/>
      <c r="Z768" s="120" t="n"/>
      <c r="AA768" s="121" t="n"/>
      <c r="AB768" s="122" t="n"/>
      <c r="AC768" s="117" t="n"/>
      <c r="AD768" s="123">
        <f>IF(SUM($AE768:$AH768)=0,"",SUM($AE768:$AH768))</f>
        <v/>
      </c>
      <c r="AE768" s="123">
        <f>iferror(IF(SUM($AI768:$AZ768)=0,"",SUM($AI768:$AZ768)),"")</f>
        <v/>
      </c>
      <c r="AF768" s="123">
        <f>iferror(IF(SUM($BA768:$BC768)=0,"",SUM($BA768:$BC768)),"")</f>
        <v/>
      </c>
      <c r="AG768" s="123">
        <f>iferror(IF(SUM($BD768:$BF768)=0,"",SUM($BD768:$BF768)),"")</f>
        <v/>
      </c>
      <c r="AH768" s="124">
        <f>iferror(IF(SUM($BG768:$BI768)=0,"",SUM($BG768:$BI768)),"")</f>
        <v/>
      </c>
      <c r="AI768" s="131" t="n"/>
      <c r="AJ768" s="132" t="n"/>
      <c r="AK768" s="132" t="n"/>
      <c r="AL768" s="132" t="n"/>
      <c r="AM768" s="132" t="n"/>
      <c r="AN768" s="132" t="n"/>
      <c r="AO768" s="132" t="n"/>
      <c r="AP768" s="132" t="n"/>
      <c r="AQ768" s="132" t="n"/>
      <c r="AR768" s="132" t="n"/>
      <c r="AS768" s="132" t="n"/>
      <c r="AT768" s="132" t="n"/>
      <c r="AU768" s="132" t="n"/>
      <c r="AV768" s="132" t="n"/>
      <c r="AW768" s="132" t="n"/>
      <c r="AX768" s="132" t="n"/>
      <c r="AY768" s="132" t="n"/>
      <c r="AZ768" s="133" t="n"/>
      <c r="BA768" s="131" t="n"/>
      <c r="BB768" s="132" t="n"/>
      <c r="BC768" s="133" t="n"/>
      <c r="BD768" s="131" t="n"/>
      <c r="BE768" s="132" t="n"/>
      <c r="BF768" s="133" t="n"/>
      <c r="BG768" s="131" t="n"/>
      <c r="BH768" s="132" t="n"/>
      <c r="BI768" s="132" t="n"/>
      <c r="BJ768" s="128">
        <f>iferror(SUM($BK768,($BL768*1.2),($BM768*1.35),($BN768*0.74)),)</f>
        <v/>
      </c>
      <c r="BK768" s="128">
        <f>IFERROR(SUM($BT768:$CK768),)</f>
        <v/>
      </c>
      <c r="BL768" s="129">
        <f>IFERROR(SUM($CL768:$CN768),)</f>
        <v/>
      </c>
      <c r="BM768" s="130">
        <f>IFERROR(SUM($CO768:$CQ768),)</f>
        <v/>
      </c>
      <c r="BN768" s="128">
        <f>IFERROR(SUM($CR768:$CT768),)</f>
        <v/>
      </c>
      <c r="BO768" s="128">
        <f>iferror(SUM($BP768,($BQ768*1.2),($BR768*1.35),($BS768*0.74)),)</f>
        <v/>
      </c>
      <c r="BP768" s="128">
        <f>IFERROR(SUM($CU768:$DL768),)</f>
        <v/>
      </c>
      <c r="BQ768" s="128">
        <f>IFERROR(SUM($DM768:$DO768),)</f>
        <v/>
      </c>
      <c r="BR768" s="128">
        <f>IFERROR(SUM($DP768:$DR768),)</f>
        <v/>
      </c>
      <c r="BS768" s="128">
        <f>IFERROR(SUM($DS768:$DU768),)</f>
        <v/>
      </c>
      <c r="BT768" s="128">
        <f>IFERROR(AI768*$W768,)</f>
        <v/>
      </c>
      <c r="BU768" s="128">
        <f>IFERROR(AJ768*$W768,)</f>
        <v/>
      </c>
      <c r="BV768" s="128">
        <f>IFERROR(AK768*$W768,)</f>
        <v/>
      </c>
      <c r="BW768" s="128">
        <f>IFERROR(AL768*$W768,)</f>
        <v/>
      </c>
      <c r="BX768" s="128">
        <f>IFERROR(AM768*$W768,)</f>
        <v/>
      </c>
      <c r="BY768" s="128">
        <f>IFERROR(AN768*$W768,)</f>
        <v/>
      </c>
      <c r="BZ768" s="128">
        <f>IFERROR(AO768*$W768,)</f>
        <v/>
      </c>
      <c r="CA768" s="128">
        <f>IFERROR(AP768*$W768,)</f>
        <v/>
      </c>
      <c r="CB768" s="128">
        <f>IFERROR(AQ768*$W768,)</f>
        <v/>
      </c>
      <c r="CC768" s="128">
        <f>IFERROR(AR768*$W768,)</f>
        <v/>
      </c>
      <c r="CD768" s="128">
        <f>IFERROR(AS768*$W768,)</f>
        <v/>
      </c>
      <c r="CE768" s="128">
        <f>IFERROR(AT768*$W768,)</f>
        <v/>
      </c>
      <c r="CF768" s="128">
        <f>IFERROR(AU768*$W768,)</f>
        <v/>
      </c>
      <c r="CG768" s="128">
        <f>IFERROR(AV768*$W768,)</f>
        <v/>
      </c>
      <c r="CH768" s="128">
        <f>IFERROR(AW768*$W768,)</f>
        <v/>
      </c>
      <c r="CI768" s="128">
        <f>IFERROR(AX768*$W768,)</f>
        <v/>
      </c>
      <c r="CJ768" s="128">
        <f>IFERROR(AY768*$W768,)</f>
        <v/>
      </c>
      <c r="CK768" s="128">
        <f>IFERROR(AZ768*$W768,)</f>
        <v/>
      </c>
      <c r="CL768" s="129">
        <f>IFERROR(if($Y768=0,BA768*($W768/1.2),BA768*$Y768),"")</f>
        <v/>
      </c>
      <c r="CM768" s="129">
        <f>IFERROR(if($Y768=0,BB768*($W768/1.2),BB768*$Y768),"")</f>
        <v/>
      </c>
      <c r="CN768" s="129">
        <f>IFERROR(if($Y768=0,BC768*($W768/1.2),BC768*$Y768),"")</f>
        <v/>
      </c>
      <c r="CO768" s="130">
        <f>IFERROR(if($AA768=0,($W768/1.35)*BD768,BD768*$AA768),)</f>
        <v/>
      </c>
      <c r="CP768" s="130">
        <f>IFERROR(if($AA768=0,($W768/1.35)*BE768,BE768*$AA768),)</f>
        <v/>
      </c>
      <c r="CQ768" s="130">
        <f>IFERROR(if($AA768=0,($W768/1.35)*BF768,BF768*$AA768),)</f>
        <v/>
      </c>
      <c r="CR768" s="128">
        <f>IFERROR(if($AC768=0,($W768/0.74)*BG768,
BG768*$AC768),)</f>
        <v/>
      </c>
      <c r="CS768" s="128">
        <f>IFERROR(if($AC768=0,($W768/0.74)*BH768,
BH768*$AC768),)</f>
        <v/>
      </c>
      <c r="CT768" s="128">
        <f>IFERROR(if($AC768=0,($W768/0.74)*BI768,
BI768*$AC768),)</f>
        <v/>
      </c>
      <c r="CU768" s="128">
        <f>IFERROR(AI768*$V768,)</f>
        <v/>
      </c>
      <c r="CV768" s="128">
        <f>IFERROR(AJ768*$V768,)</f>
        <v/>
      </c>
      <c r="CW768" s="128">
        <f>IFERROR(AK768*$V768,)</f>
        <v/>
      </c>
      <c r="CX768" s="128">
        <f>IFERROR(AL768*$V768,)</f>
        <v/>
      </c>
      <c r="CY768" s="128">
        <f>IFERROR(AM768*$V768,)</f>
        <v/>
      </c>
      <c r="CZ768" s="128">
        <f>IFERROR(AN768*$V768,)</f>
        <v/>
      </c>
      <c r="DA768" s="128">
        <f>IFERROR(AO768*$V768,)</f>
        <v/>
      </c>
      <c r="DB768" s="128">
        <f>IFERROR(AP768*$V768,)</f>
        <v/>
      </c>
      <c r="DC768" s="128">
        <f>IFERROR(AQ768*$V768,)</f>
        <v/>
      </c>
      <c r="DD768" s="128">
        <f>IFERROR(AR768*$V768,)</f>
        <v/>
      </c>
      <c r="DE768" s="128">
        <f>IFERROR(AS768*$V768,)</f>
        <v/>
      </c>
      <c r="DF768" s="128">
        <f>IFERROR(AT768*$V768,)</f>
        <v/>
      </c>
      <c r="DG768" s="128">
        <f>IFERROR(AU768*$V768,)</f>
        <v/>
      </c>
      <c r="DH768" s="128">
        <f>IFERROR(AV768*$V768,)</f>
        <v/>
      </c>
      <c r="DI768" s="128">
        <f>IFERROR(AW768*$V768,)</f>
        <v/>
      </c>
      <c r="DJ768" s="128">
        <f>IFERROR(AX768*$V768,)</f>
        <v/>
      </c>
      <c r="DK768" s="128">
        <f>IFERROR(AY768*$V768,)</f>
        <v/>
      </c>
      <c r="DL768" s="128">
        <f>IFERROR(AZ768*$V768,)</f>
        <v/>
      </c>
      <c r="DM768" s="129">
        <f>IFERROR(if($X768=0,($V768/1.2)*BA768,
BA768*$X768),)</f>
        <v/>
      </c>
      <c r="DN768" s="129">
        <f>IFERROR(if($X768=0,($V768/1.2)*BB768,
BB768*$X768),)</f>
        <v/>
      </c>
      <c r="DO768" s="129">
        <f>IFERROR(if($X768=0,($V768/1.2)*BC768,
BC768*$X768),)</f>
        <v/>
      </c>
      <c r="DP768" s="130">
        <f>IFERROR(if($Z768=0,($V768/1.35)*BD768,
BD768*$Z768),)</f>
        <v/>
      </c>
      <c r="DQ768" s="130">
        <f>IFERROR(if($Z768=0,($V768/1.35)*BE768,
BE768*$Z768),)</f>
        <v/>
      </c>
      <c r="DR768" s="130">
        <f>IFERROR(if($Z768=0,($V768/1.35)*BF768,
BF768*$Z768),)</f>
        <v/>
      </c>
      <c r="DS768" s="128">
        <f>IFERROR(IF($AB768=0,($V768/0.74)*BG768,
BG768*$AB768),)</f>
        <v/>
      </c>
      <c r="DT768" s="128">
        <f>IFERROR(IF($AB768=0,($V768/0.74)*BH768,
BH768*$AB768),)</f>
        <v/>
      </c>
      <c r="DU768" s="128">
        <f>IFERROR(IF($AB768=0,($V768/0.74)*BI768,
BI768*$AB768),)</f>
        <v/>
      </c>
    </row>
    <row r="769" ht="131.25" customHeight="1" s="162">
      <c r="A769" s="115" t="n"/>
      <c r="B769" s="115" t="n"/>
      <c r="C769" s="115" t="n"/>
      <c r="D769" s="115" t="n"/>
      <c r="E769" s="115" t="n"/>
      <c r="F769" s="115" t="n"/>
      <c r="G769" s="115" t="n"/>
      <c r="H769" s="115" t="n"/>
      <c r="I769" s="115" t="n"/>
      <c r="J769" s="115" t="n"/>
      <c r="K769" s="115" t="n"/>
      <c r="L769" s="115" t="n"/>
      <c r="M769" s="115" t="n"/>
      <c r="N769" s="115" t="n"/>
      <c r="O769" s="115" t="n"/>
      <c r="P769" s="115" t="n"/>
      <c r="Q769" s="115" t="n"/>
      <c r="R769" s="115" t="n"/>
      <c r="S769" s="115" t="n"/>
      <c r="T769" s="115" t="n"/>
      <c r="U769" s="116" t="n"/>
      <c r="V769" s="116" t="n"/>
      <c r="W769" s="117" t="n"/>
      <c r="X769" s="118" t="n"/>
      <c r="Y769" s="119" t="n"/>
      <c r="Z769" s="120" t="n"/>
      <c r="AA769" s="121" t="n"/>
      <c r="AB769" s="122" t="n"/>
      <c r="AC769" s="117" t="n"/>
      <c r="AD769" s="123">
        <f>IF(SUM($AE769:$AH769)=0,"",SUM($AE769:$AH769))</f>
        <v/>
      </c>
      <c r="AE769" s="123">
        <f>iferror(IF(SUM($AI769:$AZ769)=0,"",SUM($AI769:$AZ769)),"")</f>
        <v/>
      </c>
      <c r="AF769" s="123">
        <f>iferror(IF(SUM($BA769:$BC769)=0,"",SUM($BA769:$BC769)),"")</f>
        <v/>
      </c>
      <c r="AG769" s="123">
        <f>iferror(IF(SUM($BD769:$BF769)=0,"",SUM($BD769:$BF769)),"")</f>
        <v/>
      </c>
      <c r="AH769" s="124">
        <f>iferror(IF(SUM($BG769:$BI769)=0,"",SUM($BG769:$BI769)),"")</f>
        <v/>
      </c>
      <c r="AI769" s="131" t="n"/>
      <c r="AJ769" s="132" t="n"/>
      <c r="AK769" s="132" t="n"/>
      <c r="AL769" s="132" t="n"/>
      <c r="AM769" s="132" t="n"/>
      <c r="AN769" s="132" t="n"/>
      <c r="AO769" s="132" t="n"/>
      <c r="AP769" s="132" t="n"/>
      <c r="AQ769" s="132" t="n"/>
      <c r="AR769" s="132" t="n"/>
      <c r="AS769" s="132" t="n"/>
      <c r="AT769" s="132" t="n"/>
      <c r="AU769" s="132" t="n"/>
      <c r="AV769" s="132" t="n"/>
      <c r="AW769" s="132" t="n"/>
      <c r="AX769" s="132" t="n"/>
      <c r="AY769" s="132" t="n"/>
      <c r="AZ769" s="133" t="n"/>
      <c r="BA769" s="131" t="n"/>
      <c r="BB769" s="132" t="n"/>
      <c r="BC769" s="133" t="n"/>
      <c r="BD769" s="131" t="n"/>
      <c r="BE769" s="132" t="n"/>
      <c r="BF769" s="133" t="n"/>
      <c r="BG769" s="131" t="n"/>
      <c r="BH769" s="132" t="n"/>
      <c r="BI769" s="132" t="n"/>
      <c r="BJ769" s="128">
        <f>iferror(SUM($BK769,($BL769*1.2),($BM769*1.35),($BN769*0.74)),)</f>
        <v/>
      </c>
      <c r="BK769" s="128">
        <f>IFERROR(SUM($BT769:$CK769),)</f>
        <v/>
      </c>
      <c r="BL769" s="129">
        <f>IFERROR(SUM($CL769:$CN769),)</f>
        <v/>
      </c>
      <c r="BM769" s="130">
        <f>IFERROR(SUM($CO769:$CQ769),)</f>
        <v/>
      </c>
      <c r="BN769" s="128">
        <f>IFERROR(SUM($CR769:$CT769),)</f>
        <v/>
      </c>
      <c r="BO769" s="128">
        <f>iferror(SUM($BP769,($BQ769*1.2),($BR769*1.35),($BS769*0.74)),)</f>
        <v/>
      </c>
      <c r="BP769" s="128">
        <f>IFERROR(SUM($CU769:$DL769),)</f>
        <v/>
      </c>
      <c r="BQ769" s="128">
        <f>IFERROR(SUM($DM769:$DO769),)</f>
        <v/>
      </c>
      <c r="BR769" s="128">
        <f>IFERROR(SUM($DP769:$DR769),)</f>
        <v/>
      </c>
      <c r="BS769" s="128">
        <f>IFERROR(SUM($DS769:$DU769),)</f>
        <v/>
      </c>
      <c r="BT769" s="128">
        <f>IFERROR(AI769*$W769,)</f>
        <v/>
      </c>
      <c r="BU769" s="128">
        <f>IFERROR(AJ769*$W769,)</f>
        <v/>
      </c>
      <c r="BV769" s="128">
        <f>IFERROR(AK769*$W769,)</f>
        <v/>
      </c>
      <c r="BW769" s="128">
        <f>IFERROR(AL769*$W769,)</f>
        <v/>
      </c>
      <c r="BX769" s="128">
        <f>IFERROR(AM769*$W769,)</f>
        <v/>
      </c>
      <c r="BY769" s="128">
        <f>IFERROR(AN769*$W769,)</f>
        <v/>
      </c>
      <c r="BZ769" s="128">
        <f>IFERROR(AO769*$W769,)</f>
        <v/>
      </c>
      <c r="CA769" s="128">
        <f>IFERROR(AP769*$W769,)</f>
        <v/>
      </c>
      <c r="CB769" s="128">
        <f>IFERROR(AQ769*$W769,)</f>
        <v/>
      </c>
      <c r="CC769" s="128">
        <f>IFERROR(AR769*$W769,)</f>
        <v/>
      </c>
      <c r="CD769" s="128">
        <f>IFERROR(AS769*$W769,)</f>
        <v/>
      </c>
      <c r="CE769" s="128">
        <f>IFERROR(AT769*$W769,)</f>
        <v/>
      </c>
      <c r="CF769" s="128">
        <f>IFERROR(AU769*$W769,)</f>
        <v/>
      </c>
      <c r="CG769" s="128">
        <f>IFERROR(AV769*$W769,)</f>
        <v/>
      </c>
      <c r="CH769" s="128">
        <f>IFERROR(AW769*$W769,)</f>
        <v/>
      </c>
      <c r="CI769" s="128">
        <f>IFERROR(AX769*$W769,)</f>
        <v/>
      </c>
      <c r="CJ769" s="128">
        <f>IFERROR(AY769*$W769,)</f>
        <v/>
      </c>
      <c r="CK769" s="128">
        <f>IFERROR(AZ769*$W769,)</f>
        <v/>
      </c>
      <c r="CL769" s="129">
        <f>IFERROR(if($Y769=0,BA769*($W769/1.2),BA769*$Y769),"")</f>
        <v/>
      </c>
      <c r="CM769" s="129">
        <f>IFERROR(if($Y769=0,BB769*($W769/1.2),BB769*$Y769),"")</f>
        <v/>
      </c>
      <c r="CN769" s="129">
        <f>IFERROR(if($Y769=0,BC769*($W769/1.2),BC769*$Y769),"")</f>
        <v/>
      </c>
      <c r="CO769" s="130">
        <f>IFERROR(if($AA769=0,($W769/1.35)*BD769,BD769*$AA769),)</f>
        <v/>
      </c>
      <c r="CP769" s="130">
        <f>IFERROR(if($AA769=0,($W769/1.35)*BE769,BE769*$AA769),)</f>
        <v/>
      </c>
      <c r="CQ769" s="130">
        <f>IFERROR(if($AA769=0,($W769/1.35)*BF769,BF769*$AA769),)</f>
        <v/>
      </c>
      <c r="CR769" s="128">
        <f>IFERROR(if($AC769=0,($W769/0.74)*BG769,
BG769*$AC769),)</f>
        <v/>
      </c>
      <c r="CS769" s="128">
        <f>IFERROR(if($AC769=0,($W769/0.74)*BH769,
BH769*$AC769),)</f>
        <v/>
      </c>
      <c r="CT769" s="128">
        <f>IFERROR(if($AC769=0,($W769/0.74)*BI769,
BI769*$AC769),)</f>
        <v/>
      </c>
      <c r="CU769" s="128">
        <f>IFERROR(AI769*$V769,)</f>
        <v/>
      </c>
      <c r="CV769" s="128">
        <f>IFERROR(AJ769*$V769,)</f>
        <v/>
      </c>
      <c r="CW769" s="128">
        <f>IFERROR(AK769*$V769,)</f>
        <v/>
      </c>
      <c r="CX769" s="128">
        <f>IFERROR(AL769*$V769,)</f>
        <v/>
      </c>
      <c r="CY769" s="128">
        <f>IFERROR(AM769*$V769,)</f>
        <v/>
      </c>
      <c r="CZ769" s="128">
        <f>IFERROR(AN769*$V769,)</f>
        <v/>
      </c>
      <c r="DA769" s="128">
        <f>IFERROR(AO769*$V769,)</f>
        <v/>
      </c>
      <c r="DB769" s="128">
        <f>IFERROR(AP769*$V769,)</f>
        <v/>
      </c>
      <c r="DC769" s="128">
        <f>IFERROR(AQ769*$V769,)</f>
        <v/>
      </c>
      <c r="DD769" s="128">
        <f>IFERROR(AR769*$V769,)</f>
        <v/>
      </c>
      <c r="DE769" s="128">
        <f>IFERROR(AS769*$V769,)</f>
        <v/>
      </c>
      <c r="DF769" s="128">
        <f>IFERROR(AT769*$V769,)</f>
        <v/>
      </c>
      <c r="DG769" s="128">
        <f>IFERROR(AU769*$V769,)</f>
        <v/>
      </c>
      <c r="DH769" s="128">
        <f>IFERROR(AV769*$V769,)</f>
        <v/>
      </c>
      <c r="DI769" s="128">
        <f>IFERROR(AW769*$V769,)</f>
        <v/>
      </c>
      <c r="DJ769" s="128">
        <f>IFERROR(AX769*$V769,)</f>
        <v/>
      </c>
      <c r="DK769" s="128">
        <f>IFERROR(AY769*$V769,)</f>
        <v/>
      </c>
      <c r="DL769" s="128">
        <f>IFERROR(AZ769*$V769,)</f>
        <v/>
      </c>
      <c r="DM769" s="129">
        <f>IFERROR(if($X769=0,($V769/1.2)*BA769,
BA769*$X769),)</f>
        <v/>
      </c>
      <c r="DN769" s="129">
        <f>IFERROR(if($X769=0,($V769/1.2)*BB769,
BB769*$X769),)</f>
        <v/>
      </c>
      <c r="DO769" s="129">
        <f>IFERROR(if($X769=0,($V769/1.2)*BC769,
BC769*$X769),)</f>
        <v/>
      </c>
      <c r="DP769" s="130">
        <f>IFERROR(if($Z769=0,($V769/1.35)*BD769,
BD769*$Z769),)</f>
        <v/>
      </c>
      <c r="DQ769" s="130">
        <f>IFERROR(if($Z769=0,($V769/1.35)*BE769,
BE769*$Z769),)</f>
        <v/>
      </c>
      <c r="DR769" s="130">
        <f>IFERROR(if($Z769=0,($V769/1.35)*BF769,
BF769*$Z769),)</f>
        <v/>
      </c>
      <c r="DS769" s="128">
        <f>IFERROR(IF($AB769=0,($V769/0.74)*BG769,
BG769*$AB769),)</f>
        <v/>
      </c>
      <c r="DT769" s="128">
        <f>IFERROR(IF($AB769=0,($V769/0.74)*BH769,
BH769*$AB769),)</f>
        <v/>
      </c>
      <c r="DU769" s="128">
        <f>IFERROR(IF($AB769=0,($V769/0.74)*BI769,
BI769*$AB769),)</f>
        <v/>
      </c>
    </row>
    <row r="770" ht="131.25" customHeight="1" s="162">
      <c r="A770" s="115" t="n"/>
      <c r="B770" s="115" t="n"/>
      <c r="C770" s="115" t="n"/>
      <c r="D770" s="115" t="n"/>
      <c r="E770" s="115" t="n"/>
      <c r="F770" s="115" t="n"/>
      <c r="G770" s="115" t="n"/>
      <c r="H770" s="115" t="n"/>
      <c r="I770" s="115" t="n"/>
      <c r="J770" s="115" t="n"/>
      <c r="K770" s="115" t="n"/>
      <c r="L770" s="115" t="n"/>
      <c r="M770" s="115" t="n"/>
      <c r="N770" s="115" t="n"/>
      <c r="O770" s="115" t="n"/>
      <c r="P770" s="115" t="n"/>
      <c r="Q770" s="115" t="n"/>
      <c r="R770" s="115" t="n"/>
      <c r="S770" s="115" t="n"/>
      <c r="T770" s="115" t="n"/>
      <c r="U770" s="116" t="n"/>
      <c r="V770" s="116" t="n"/>
      <c r="W770" s="117" t="n"/>
      <c r="X770" s="118" t="n"/>
      <c r="Y770" s="119" t="n"/>
      <c r="Z770" s="120" t="n"/>
      <c r="AA770" s="121" t="n"/>
      <c r="AB770" s="122" t="n"/>
      <c r="AC770" s="117" t="n"/>
      <c r="AD770" s="123">
        <f>IF(SUM($AE770:$AH770)=0,"",SUM($AE770:$AH770))</f>
        <v/>
      </c>
      <c r="AE770" s="123">
        <f>iferror(IF(SUM($AI770:$AZ770)=0,"",SUM($AI770:$AZ770)),"")</f>
        <v/>
      </c>
      <c r="AF770" s="123">
        <f>iferror(IF(SUM($BA770:$BC770)=0,"",SUM($BA770:$BC770)),"")</f>
        <v/>
      </c>
      <c r="AG770" s="123">
        <f>iferror(IF(SUM($BD770:$BF770)=0,"",SUM($BD770:$BF770)),"")</f>
        <v/>
      </c>
      <c r="AH770" s="124">
        <f>iferror(IF(SUM($BG770:$BI770)=0,"",SUM($BG770:$BI770)),"")</f>
        <v/>
      </c>
      <c r="AI770" s="131" t="n"/>
      <c r="AJ770" s="132" t="n"/>
      <c r="AK770" s="132" t="n"/>
      <c r="AL770" s="132" t="n"/>
      <c r="AM770" s="132" t="n"/>
      <c r="AN770" s="132" t="n"/>
      <c r="AO770" s="132" t="n"/>
      <c r="AP770" s="132" t="n"/>
      <c r="AQ770" s="132" t="n"/>
      <c r="AR770" s="132" t="n"/>
      <c r="AS770" s="132" t="n"/>
      <c r="AT770" s="132" t="n"/>
      <c r="AU770" s="132" t="n"/>
      <c r="AV770" s="132" t="n"/>
      <c r="AW770" s="132" t="n"/>
      <c r="AX770" s="132" t="n"/>
      <c r="AY770" s="132" t="n"/>
      <c r="AZ770" s="133" t="n"/>
      <c r="BA770" s="131" t="n"/>
      <c r="BB770" s="132" t="n"/>
      <c r="BC770" s="133" t="n"/>
      <c r="BD770" s="131" t="n"/>
      <c r="BE770" s="132" t="n"/>
      <c r="BF770" s="133" t="n"/>
      <c r="BG770" s="131" t="n"/>
      <c r="BH770" s="132" t="n"/>
      <c r="BI770" s="132" t="n"/>
      <c r="BJ770" s="128">
        <f>iferror(SUM($BK770,($BL770*1.2),($BM770*1.35),($BN770*0.74)),)</f>
        <v/>
      </c>
      <c r="BK770" s="128">
        <f>IFERROR(SUM($BT770:$CK770),)</f>
        <v/>
      </c>
      <c r="BL770" s="129">
        <f>IFERROR(SUM($CL770:$CN770),)</f>
        <v/>
      </c>
      <c r="BM770" s="130">
        <f>IFERROR(SUM($CO770:$CQ770),)</f>
        <v/>
      </c>
      <c r="BN770" s="128">
        <f>IFERROR(SUM($CR770:$CT770),)</f>
        <v/>
      </c>
      <c r="BO770" s="128">
        <f>iferror(SUM($BP770,($BQ770*1.2),($BR770*1.35),($BS770*0.74)),)</f>
        <v/>
      </c>
      <c r="BP770" s="128">
        <f>IFERROR(SUM($CU770:$DL770),)</f>
        <v/>
      </c>
      <c r="BQ770" s="128">
        <f>IFERROR(SUM($DM770:$DO770),)</f>
        <v/>
      </c>
      <c r="BR770" s="128">
        <f>IFERROR(SUM($DP770:$DR770),)</f>
        <v/>
      </c>
      <c r="BS770" s="128">
        <f>IFERROR(SUM($DS770:$DU770),)</f>
        <v/>
      </c>
      <c r="BT770" s="128">
        <f>IFERROR(AI770*$W770,)</f>
        <v/>
      </c>
      <c r="BU770" s="128">
        <f>IFERROR(AJ770*$W770,)</f>
        <v/>
      </c>
      <c r="BV770" s="128">
        <f>IFERROR(AK770*$W770,)</f>
        <v/>
      </c>
      <c r="BW770" s="128">
        <f>IFERROR(AL770*$W770,)</f>
        <v/>
      </c>
      <c r="BX770" s="128">
        <f>IFERROR(AM770*$W770,)</f>
        <v/>
      </c>
      <c r="BY770" s="128">
        <f>IFERROR(AN770*$W770,)</f>
        <v/>
      </c>
      <c r="BZ770" s="128">
        <f>IFERROR(AO770*$W770,)</f>
        <v/>
      </c>
      <c r="CA770" s="128">
        <f>IFERROR(AP770*$W770,)</f>
        <v/>
      </c>
      <c r="CB770" s="128">
        <f>IFERROR(AQ770*$W770,)</f>
        <v/>
      </c>
      <c r="CC770" s="128">
        <f>IFERROR(AR770*$W770,)</f>
        <v/>
      </c>
      <c r="CD770" s="128">
        <f>IFERROR(AS770*$W770,)</f>
        <v/>
      </c>
      <c r="CE770" s="128">
        <f>IFERROR(AT770*$W770,)</f>
        <v/>
      </c>
      <c r="CF770" s="128">
        <f>IFERROR(AU770*$W770,)</f>
        <v/>
      </c>
      <c r="CG770" s="128">
        <f>IFERROR(AV770*$W770,)</f>
        <v/>
      </c>
      <c r="CH770" s="128">
        <f>IFERROR(AW770*$W770,)</f>
        <v/>
      </c>
      <c r="CI770" s="128">
        <f>IFERROR(AX770*$W770,)</f>
        <v/>
      </c>
      <c r="CJ770" s="128">
        <f>IFERROR(AY770*$W770,)</f>
        <v/>
      </c>
      <c r="CK770" s="128">
        <f>IFERROR(AZ770*$W770,)</f>
        <v/>
      </c>
      <c r="CL770" s="129">
        <f>IFERROR(if($Y770=0,BA770*($W770/1.2),BA770*$Y770),"")</f>
        <v/>
      </c>
      <c r="CM770" s="129">
        <f>IFERROR(if($Y770=0,BB770*($W770/1.2),BB770*$Y770),"")</f>
        <v/>
      </c>
      <c r="CN770" s="129">
        <f>IFERROR(if($Y770=0,BC770*($W770/1.2),BC770*$Y770),"")</f>
        <v/>
      </c>
      <c r="CO770" s="130">
        <f>IFERROR(if($AA770=0,($W770/1.35)*BD770,BD770*$AA770),)</f>
        <v/>
      </c>
      <c r="CP770" s="130">
        <f>IFERROR(if($AA770=0,($W770/1.35)*BE770,BE770*$AA770),)</f>
        <v/>
      </c>
      <c r="CQ770" s="130">
        <f>IFERROR(if($AA770=0,($W770/1.35)*BF770,BF770*$AA770),)</f>
        <v/>
      </c>
      <c r="CR770" s="128">
        <f>IFERROR(if($AC770=0,($W770/0.74)*BG770,
BG770*$AC770),)</f>
        <v/>
      </c>
      <c r="CS770" s="128">
        <f>IFERROR(if($AC770=0,($W770/0.74)*BH770,
BH770*$AC770),)</f>
        <v/>
      </c>
      <c r="CT770" s="128">
        <f>IFERROR(if($AC770=0,($W770/0.74)*BI770,
BI770*$AC770),)</f>
        <v/>
      </c>
      <c r="CU770" s="128">
        <f>IFERROR(AI770*$V770,)</f>
        <v/>
      </c>
      <c r="CV770" s="128">
        <f>IFERROR(AJ770*$V770,)</f>
        <v/>
      </c>
      <c r="CW770" s="128">
        <f>IFERROR(AK770*$V770,)</f>
        <v/>
      </c>
      <c r="CX770" s="128">
        <f>IFERROR(AL770*$V770,)</f>
        <v/>
      </c>
      <c r="CY770" s="128">
        <f>IFERROR(AM770*$V770,)</f>
        <v/>
      </c>
      <c r="CZ770" s="128">
        <f>IFERROR(AN770*$V770,)</f>
        <v/>
      </c>
      <c r="DA770" s="128">
        <f>IFERROR(AO770*$V770,)</f>
        <v/>
      </c>
      <c r="DB770" s="128">
        <f>IFERROR(AP770*$V770,)</f>
        <v/>
      </c>
      <c r="DC770" s="128">
        <f>IFERROR(AQ770*$V770,)</f>
        <v/>
      </c>
      <c r="DD770" s="128">
        <f>IFERROR(AR770*$V770,)</f>
        <v/>
      </c>
      <c r="DE770" s="128">
        <f>IFERROR(AS770*$V770,)</f>
        <v/>
      </c>
      <c r="DF770" s="128">
        <f>IFERROR(AT770*$V770,)</f>
        <v/>
      </c>
      <c r="DG770" s="128">
        <f>IFERROR(AU770*$V770,)</f>
        <v/>
      </c>
      <c r="DH770" s="128">
        <f>IFERROR(AV770*$V770,)</f>
        <v/>
      </c>
      <c r="DI770" s="128">
        <f>IFERROR(AW770*$V770,)</f>
        <v/>
      </c>
      <c r="DJ770" s="128">
        <f>IFERROR(AX770*$V770,)</f>
        <v/>
      </c>
      <c r="DK770" s="128">
        <f>IFERROR(AY770*$V770,)</f>
        <v/>
      </c>
      <c r="DL770" s="128">
        <f>IFERROR(AZ770*$V770,)</f>
        <v/>
      </c>
      <c r="DM770" s="129">
        <f>IFERROR(if($X770=0,($V770/1.2)*BA770,
BA770*$X770),)</f>
        <v/>
      </c>
      <c r="DN770" s="129">
        <f>IFERROR(if($X770=0,($V770/1.2)*BB770,
BB770*$X770),)</f>
        <v/>
      </c>
      <c r="DO770" s="129">
        <f>IFERROR(if($X770=0,($V770/1.2)*BC770,
BC770*$X770),)</f>
        <v/>
      </c>
      <c r="DP770" s="130">
        <f>IFERROR(if($Z770=0,($V770/1.35)*BD770,
BD770*$Z770),)</f>
        <v/>
      </c>
      <c r="DQ770" s="130">
        <f>IFERROR(if($Z770=0,($V770/1.35)*BE770,
BE770*$Z770),)</f>
        <v/>
      </c>
      <c r="DR770" s="130">
        <f>IFERROR(if($Z770=0,($V770/1.35)*BF770,
BF770*$Z770),)</f>
        <v/>
      </c>
      <c r="DS770" s="128">
        <f>IFERROR(IF($AB770=0,($V770/0.74)*BG770,
BG770*$AB770),)</f>
        <v/>
      </c>
      <c r="DT770" s="128">
        <f>IFERROR(IF($AB770=0,($V770/0.74)*BH770,
BH770*$AB770),)</f>
        <v/>
      </c>
      <c r="DU770" s="128">
        <f>IFERROR(IF($AB770=0,($V770/0.74)*BI770,
BI770*$AB770),)</f>
        <v/>
      </c>
    </row>
    <row r="771" ht="131.25" customHeight="1" s="162">
      <c r="A771" s="115" t="n"/>
      <c r="B771" s="115" t="n"/>
      <c r="C771" s="115" t="n"/>
      <c r="D771" s="115" t="n"/>
      <c r="E771" s="115" t="n"/>
      <c r="F771" s="115" t="n"/>
      <c r="G771" s="115" t="n"/>
      <c r="H771" s="115" t="n"/>
      <c r="I771" s="115" t="n"/>
      <c r="J771" s="115" t="n"/>
      <c r="K771" s="115" t="n"/>
      <c r="L771" s="115" t="n"/>
      <c r="M771" s="115" t="n"/>
      <c r="N771" s="115" t="n"/>
      <c r="O771" s="115" t="n"/>
      <c r="P771" s="115" t="n"/>
      <c r="Q771" s="115" t="n"/>
      <c r="R771" s="115" t="n"/>
      <c r="S771" s="115" t="n"/>
      <c r="T771" s="115" t="n"/>
      <c r="U771" s="116" t="n"/>
      <c r="V771" s="116" t="n"/>
      <c r="W771" s="117" t="n"/>
      <c r="X771" s="118" t="n"/>
      <c r="Y771" s="119" t="n"/>
      <c r="Z771" s="120" t="n"/>
      <c r="AA771" s="121" t="n"/>
      <c r="AB771" s="122" t="n"/>
      <c r="AC771" s="117" t="n"/>
      <c r="AD771" s="123">
        <f>IF(SUM($AE771:$AH771)=0,"",SUM($AE771:$AH771))</f>
        <v/>
      </c>
      <c r="AE771" s="123">
        <f>iferror(IF(SUM($AI771:$AZ771)=0,"",SUM($AI771:$AZ771)),"")</f>
        <v/>
      </c>
      <c r="AF771" s="123">
        <f>iferror(IF(SUM($BA771:$BC771)=0,"",SUM($BA771:$BC771)),"")</f>
        <v/>
      </c>
      <c r="AG771" s="123">
        <f>iferror(IF(SUM($BD771:$BF771)=0,"",SUM($BD771:$BF771)),"")</f>
        <v/>
      </c>
      <c r="AH771" s="124">
        <f>iferror(IF(SUM($BG771:$BI771)=0,"",SUM($BG771:$BI771)),"")</f>
        <v/>
      </c>
      <c r="AI771" s="131" t="n"/>
      <c r="AJ771" s="132" t="n"/>
      <c r="AK771" s="132" t="n"/>
      <c r="AL771" s="132" t="n"/>
      <c r="AM771" s="132" t="n"/>
      <c r="AN771" s="132" t="n"/>
      <c r="AO771" s="132" t="n"/>
      <c r="AP771" s="132" t="n"/>
      <c r="AQ771" s="132" t="n"/>
      <c r="AR771" s="132" t="n"/>
      <c r="AS771" s="132" t="n"/>
      <c r="AT771" s="132" t="n"/>
      <c r="AU771" s="132" t="n"/>
      <c r="AV771" s="132" t="n"/>
      <c r="AW771" s="132" t="n"/>
      <c r="AX771" s="132" t="n"/>
      <c r="AY771" s="132" t="n"/>
      <c r="AZ771" s="133" t="n"/>
      <c r="BA771" s="131" t="n"/>
      <c r="BB771" s="132" t="n"/>
      <c r="BC771" s="133" t="n"/>
      <c r="BD771" s="131" t="n"/>
      <c r="BE771" s="132" t="n"/>
      <c r="BF771" s="133" t="n"/>
      <c r="BG771" s="131" t="n"/>
      <c r="BH771" s="132" t="n"/>
      <c r="BI771" s="132" t="n"/>
      <c r="BJ771" s="128">
        <f>iferror(SUM($BK771,($BL771*1.2),($BM771*1.35),($BN771*0.74)),)</f>
        <v/>
      </c>
      <c r="BK771" s="128">
        <f>IFERROR(SUM($BT771:$CK771),)</f>
        <v/>
      </c>
      <c r="BL771" s="129">
        <f>IFERROR(SUM($CL771:$CN771),)</f>
        <v/>
      </c>
      <c r="BM771" s="130">
        <f>IFERROR(SUM($CO771:$CQ771),)</f>
        <v/>
      </c>
      <c r="BN771" s="128">
        <f>IFERROR(SUM($CR771:$CT771),)</f>
        <v/>
      </c>
      <c r="BO771" s="128">
        <f>iferror(SUM($BP771,($BQ771*1.2),($BR771*1.35),($BS771*0.74)),)</f>
        <v/>
      </c>
      <c r="BP771" s="128">
        <f>IFERROR(SUM($CU771:$DL771),)</f>
        <v/>
      </c>
      <c r="BQ771" s="128">
        <f>IFERROR(SUM($DM771:$DO771),)</f>
        <v/>
      </c>
      <c r="BR771" s="128">
        <f>IFERROR(SUM($DP771:$DR771),)</f>
        <v/>
      </c>
      <c r="BS771" s="128">
        <f>IFERROR(SUM($DS771:$DU771),)</f>
        <v/>
      </c>
      <c r="BT771" s="128">
        <f>IFERROR(AI771*$W771,)</f>
        <v/>
      </c>
      <c r="BU771" s="128">
        <f>IFERROR(AJ771*$W771,)</f>
        <v/>
      </c>
      <c r="BV771" s="128">
        <f>IFERROR(AK771*$W771,)</f>
        <v/>
      </c>
      <c r="BW771" s="128">
        <f>IFERROR(AL771*$W771,)</f>
        <v/>
      </c>
      <c r="BX771" s="128">
        <f>IFERROR(AM771*$W771,)</f>
        <v/>
      </c>
      <c r="BY771" s="128">
        <f>IFERROR(AN771*$W771,)</f>
        <v/>
      </c>
      <c r="BZ771" s="128">
        <f>IFERROR(AO771*$W771,)</f>
        <v/>
      </c>
      <c r="CA771" s="128">
        <f>IFERROR(AP771*$W771,)</f>
        <v/>
      </c>
      <c r="CB771" s="128">
        <f>IFERROR(AQ771*$W771,)</f>
        <v/>
      </c>
      <c r="CC771" s="128">
        <f>IFERROR(AR771*$W771,)</f>
        <v/>
      </c>
      <c r="CD771" s="128">
        <f>IFERROR(AS771*$W771,)</f>
        <v/>
      </c>
      <c r="CE771" s="128">
        <f>IFERROR(AT771*$W771,)</f>
        <v/>
      </c>
      <c r="CF771" s="128">
        <f>IFERROR(AU771*$W771,)</f>
        <v/>
      </c>
      <c r="CG771" s="128">
        <f>IFERROR(AV771*$W771,)</f>
        <v/>
      </c>
      <c r="CH771" s="128">
        <f>IFERROR(AW771*$W771,)</f>
        <v/>
      </c>
      <c r="CI771" s="128">
        <f>IFERROR(AX771*$W771,)</f>
        <v/>
      </c>
      <c r="CJ771" s="128">
        <f>IFERROR(AY771*$W771,)</f>
        <v/>
      </c>
      <c r="CK771" s="128">
        <f>IFERROR(AZ771*$W771,)</f>
        <v/>
      </c>
      <c r="CL771" s="129">
        <f>IFERROR(if($Y771=0,BA771*($W771/1.2),BA771*$Y771),"")</f>
        <v/>
      </c>
      <c r="CM771" s="129">
        <f>IFERROR(if($Y771=0,BB771*($W771/1.2),BB771*$Y771),"")</f>
        <v/>
      </c>
      <c r="CN771" s="129">
        <f>IFERROR(if($Y771=0,BC771*($W771/1.2),BC771*$Y771),"")</f>
        <v/>
      </c>
      <c r="CO771" s="130">
        <f>IFERROR(if($AA771=0,($W771/1.35)*BD771,BD771*$AA771),)</f>
        <v/>
      </c>
      <c r="CP771" s="130">
        <f>IFERROR(if($AA771=0,($W771/1.35)*BE771,BE771*$AA771),)</f>
        <v/>
      </c>
      <c r="CQ771" s="130">
        <f>IFERROR(if($AA771=0,($W771/1.35)*BF771,BF771*$AA771),)</f>
        <v/>
      </c>
      <c r="CR771" s="128">
        <f>IFERROR(if($AC771=0,($W771/0.74)*BG771,
BG771*$AC771),)</f>
        <v/>
      </c>
      <c r="CS771" s="128">
        <f>IFERROR(if($AC771=0,($W771/0.74)*BH771,
BH771*$AC771),)</f>
        <v/>
      </c>
      <c r="CT771" s="128">
        <f>IFERROR(if($AC771=0,($W771/0.74)*BI771,
BI771*$AC771),)</f>
        <v/>
      </c>
      <c r="CU771" s="128">
        <f>IFERROR(AI771*$V771,)</f>
        <v/>
      </c>
      <c r="CV771" s="128">
        <f>IFERROR(AJ771*$V771,)</f>
        <v/>
      </c>
      <c r="CW771" s="128">
        <f>IFERROR(AK771*$V771,)</f>
        <v/>
      </c>
      <c r="CX771" s="128">
        <f>IFERROR(AL771*$V771,)</f>
        <v/>
      </c>
      <c r="CY771" s="128">
        <f>IFERROR(AM771*$V771,)</f>
        <v/>
      </c>
      <c r="CZ771" s="128">
        <f>IFERROR(AN771*$V771,)</f>
        <v/>
      </c>
      <c r="DA771" s="128">
        <f>IFERROR(AO771*$V771,)</f>
        <v/>
      </c>
      <c r="DB771" s="128">
        <f>IFERROR(AP771*$V771,)</f>
        <v/>
      </c>
      <c r="DC771" s="128">
        <f>IFERROR(AQ771*$V771,)</f>
        <v/>
      </c>
      <c r="DD771" s="128">
        <f>IFERROR(AR771*$V771,)</f>
        <v/>
      </c>
      <c r="DE771" s="128">
        <f>IFERROR(AS771*$V771,)</f>
        <v/>
      </c>
      <c r="DF771" s="128">
        <f>IFERROR(AT771*$V771,)</f>
        <v/>
      </c>
      <c r="DG771" s="128">
        <f>IFERROR(AU771*$V771,)</f>
        <v/>
      </c>
      <c r="DH771" s="128">
        <f>IFERROR(AV771*$V771,)</f>
        <v/>
      </c>
      <c r="DI771" s="128">
        <f>IFERROR(AW771*$V771,)</f>
        <v/>
      </c>
      <c r="DJ771" s="128">
        <f>IFERROR(AX771*$V771,)</f>
        <v/>
      </c>
      <c r="DK771" s="128">
        <f>IFERROR(AY771*$V771,)</f>
        <v/>
      </c>
      <c r="DL771" s="128">
        <f>IFERROR(AZ771*$V771,)</f>
        <v/>
      </c>
      <c r="DM771" s="129">
        <f>IFERROR(if($X771=0,($V771/1.2)*BA771,
BA771*$X771),)</f>
        <v/>
      </c>
      <c r="DN771" s="129">
        <f>IFERROR(if($X771=0,($V771/1.2)*BB771,
BB771*$X771),)</f>
        <v/>
      </c>
      <c r="DO771" s="129">
        <f>IFERROR(if($X771=0,($V771/1.2)*BC771,
BC771*$X771),)</f>
        <v/>
      </c>
      <c r="DP771" s="130">
        <f>IFERROR(if($Z771=0,($V771/1.35)*BD771,
BD771*$Z771),)</f>
        <v/>
      </c>
      <c r="DQ771" s="130">
        <f>IFERROR(if($Z771=0,($V771/1.35)*BE771,
BE771*$Z771),)</f>
        <v/>
      </c>
      <c r="DR771" s="130">
        <f>IFERROR(if($Z771=0,($V771/1.35)*BF771,
BF771*$Z771),)</f>
        <v/>
      </c>
      <c r="DS771" s="128">
        <f>IFERROR(IF($AB771=0,($V771/0.74)*BG771,
BG771*$AB771),)</f>
        <v/>
      </c>
      <c r="DT771" s="128">
        <f>IFERROR(IF($AB771=0,($V771/0.74)*BH771,
BH771*$AB771),)</f>
        <v/>
      </c>
      <c r="DU771" s="128">
        <f>IFERROR(IF($AB771=0,($V771/0.74)*BI771,
BI771*$AB771),)</f>
        <v/>
      </c>
    </row>
    <row r="772" ht="131.25" customHeight="1" s="162">
      <c r="A772" s="115" t="n"/>
      <c r="B772" s="115" t="n"/>
      <c r="C772" s="115" t="n"/>
      <c r="D772" s="115" t="n"/>
      <c r="E772" s="115" t="n"/>
      <c r="F772" s="115" t="n"/>
      <c r="G772" s="115" t="n"/>
      <c r="H772" s="115" t="n"/>
      <c r="I772" s="115" t="n"/>
      <c r="J772" s="115" t="n"/>
      <c r="K772" s="115" t="n"/>
      <c r="L772" s="115" t="n"/>
      <c r="M772" s="115" t="n"/>
      <c r="N772" s="115" t="n"/>
      <c r="O772" s="115" t="n"/>
      <c r="P772" s="115" t="n"/>
      <c r="Q772" s="115" t="n"/>
      <c r="R772" s="115" t="n"/>
      <c r="S772" s="115" t="n"/>
      <c r="T772" s="115" t="n"/>
      <c r="U772" s="116" t="n"/>
      <c r="V772" s="116" t="n"/>
      <c r="W772" s="117" t="n"/>
      <c r="X772" s="118" t="n"/>
      <c r="Y772" s="119" t="n"/>
      <c r="Z772" s="120" t="n"/>
      <c r="AA772" s="121" t="n"/>
      <c r="AB772" s="122" t="n"/>
      <c r="AC772" s="117" t="n"/>
      <c r="AD772" s="123">
        <f>IF(SUM($AE772:$AH772)=0,"",SUM($AE772:$AH772))</f>
        <v/>
      </c>
      <c r="AE772" s="123">
        <f>iferror(IF(SUM($AI772:$AZ772)=0,"",SUM($AI772:$AZ772)),"")</f>
        <v/>
      </c>
      <c r="AF772" s="123">
        <f>iferror(IF(SUM($BA772:$BC772)=0,"",SUM($BA772:$BC772)),"")</f>
        <v/>
      </c>
      <c r="AG772" s="123">
        <f>iferror(IF(SUM($BD772:$BF772)=0,"",SUM($BD772:$BF772)),"")</f>
        <v/>
      </c>
      <c r="AH772" s="124">
        <f>iferror(IF(SUM($BG772:$BI772)=0,"",SUM($BG772:$BI772)),"")</f>
        <v/>
      </c>
      <c r="AI772" s="131" t="n"/>
      <c r="AJ772" s="132" t="n"/>
      <c r="AK772" s="132" t="n"/>
      <c r="AL772" s="132" t="n"/>
      <c r="AM772" s="132" t="n"/>
      <c r="AN772" s="132" t="n"/>
      <c r="AO772" s="132" t="n"/>
      <c r="AP772" s="132" t="n"/>
      <c r="AQ772" s="132" t="n"/>
      <c r="AR772" s="132" t="n"/>
      <c r="AS772" s="132" t="n"/>
      <c r="AT772" s="132" t="n"/>
      <c r="AU772" s="132" t="n"/>
      <c r="AV772" s="132" t="n"/>
      <c r="AW772" s="132" t="n"/>
      <c r="AX772" s="132" t="n"/>
      <c r="AY772" s="132" t="n"/>
      <c r="AZ772" s="133" t="n"/>
      <c r="BA772" s="131" t="n"/>
      <c r="BB772" s="132" t="n"/>
      <c r="BC772" s="133" t="n"/>
      <c r="BD772" s="131" t="n"/>
      <c r="BE772" s="132" t="n"/>
      <c r="BF772" s="133" t="n"/>
      <c r="BG772" s="131" t="n"/>
      <c r="BH772" s="132" t="n"/>
      <c r="BI772" s="132" t="n"/>
      <c r="BJ772" s="128">
        <f>iferror(SUM($BK772,($BL772*1.2),($BM772*1.35),($BN772*0.74)),)</f>
        <v/>
      </c>
      <c r="BK772" s="128">
        <f>IFERROR(SUM($BT772:$CK772),)</f>
        <v/>
      </c>
      <c r="BL772" s="129">
        <f>IFERROR(SUM($CL772:$CN772),)</f>
        <v/>
      </c>
      <c r="BM772" s="130">
        <f>IFERROR(SUM($CO772:$CQ772),)</f>
        <v/>
      </c>
      <c r="BN772" s="128">
        <f>IFERROR(SUM($CR772:$CT772),)</f>
        <v/>
      </c>
      <c r="BO772" s="128">
        <f>iferror(SUM($BP772,($BQ772*1.2),($BR772*1.35),($BS772*0.74)),)</f>
        <v/>
      </c>
      <c r="BP772" s="128">
        <f>IFERROR(SUM($CU772:$DL772),)</f>
        <v/>
      </c>
      <c r="BQ772" s="128">
        <f>IFERROR(SUM($DM772:$DO772),)</f>
        <v/>
      </c>
      <c r="BR772" s="128">
        <f>IFERROR(SUM($DP772:$DR772),)</f>
        <v/>
      </c>
      <c r="BS772" s="128">
        <f>IFERROR(SUM($DS772:$DU772),)</f>
        <v/>
      </c>
      <c r="BT772" s="128">
        <f>IFERROR(AI772*$W772,)</f>
        <v/>
      </c>
      <c r="BU772" s="128">
        <f>IFERROR(AJ772*$W772,)</f>
        <v/>
      </c>
      <c r="BV772" s="128">
        <f>IFERROR(AK772*$W772,)</f>
        <v/>
      </c>
      <c r="BW772" s="128">
        <f>IFERROR(AL772*$W772,)</f>
        <v/>
      </c>
      <c r="BX772" s="128">
        <f>IFERROR(AM772*$W772,)</f>
        <v/>
      </c>
      <c r="BY772" s="128">
        <f>IFERROR(AN772*$W772,)</f>
        <v/>
      </c>
      <c r="BZ772" s="128">
        <f>IFERROR(AO772*$W772,)</f>
        <v/>
      </c>
      <c r="CA772" s="128">
        <f>IFERROR(AP772*$W772,)</f>
        <v/>
      </c>
      <c r="CB772" s="128">
        <f>IFERROR(AQ772*$W772,)</f>
        <v/>
      </c>
      <c r="CC772" s="128">
        <f>IFERROR(AR772*$W772,)</f>
        <v/>
      </c>
      <c r="CD772" s="128">
        <f>IFERROR(AS772*$W772,)</f>
        <v/>
      </c>
      <c r="CE772" s="128">
        <f>IFERROR(AT772*$W772,)</f>
        <v/>
      </c>
      <c r="CF772" s="128">
        <f>IFERROR(AU772*$W772,)</f>
        <v/>
      </c>
      <c r="CG772" s="128">
        <f>IFERROR(AV772*$W772,)</f>
        <v/>
      </c>
      <c r="CH772" s="128">
        <f>IFERROR(AW772*$W772,)</f>
        <v/>
      </c>
      <c r="CI772" s="128">
        <f>IFERROR(AX772*$W772,)</f>
        <v/>
      </c>
      <c r="CJ772" s="128">
        <f>IFERROR(AY772*$W772,)</f>
        <v/>
      </c>
      <c r="CK772" s="128">
        <f>IFERROR(AZ772*$W772,)</f>
        <v/>
      </c>
      <c r="CL772" s="129">
        <f>IFERROR(if($Y772=0,BA772*($W772/1.2),BA772*$Y772),"")</f>
        <v/>
      </c>
      <c r="CM772" s="129">
        <f>IFERROR(if($Y772=0,BB772*($W772/1.2),BB772*$Y772),"")</f>
        <v/>
      </c>
      <c r="CN772" s="129">
        <f>IFERROR(if($Y772=0,BC772*($W772/1.2),BC772*$Y772),"")</f>
        <v/>
      </c>
      <c r="CO772" s="130">
        <f>IFERROR(if($AA772=0,($W772/1.35)*BD772,BD772*$AA772),)</f>
        <v/>
      </c>
      <c r="CP772" s="130">
        <f>IFERROR(if($AA772=0,($W772/1.35)*BE772,BE772*$AA772),)</f>
        <v/>
      </c>
      <c r="CQ772" s="130">
        <f>IFERROR(if($AA772=0,($W772/1.35)*BF772,BF772*$AA772),)</f>
        <v/>
      </c>
      <c r="CR772" s="128">
        <f>IFERROR(if($AC772=0,($W772/0.74)*BG772,
BG772*$AC772),)</f>
        <v/>
      </c>
      <c r="CS772" s="128">
        <f>IFERROR(if($AC772=0,($W772/0.74)*BH772,
BH772*$AC772),)</f>
        <v/>
      </c>
      <c r="CT772" s="128">
        <f>IFERROR(if($AC772=0,($W772/0.74)*BI772,
BI772*$AC772),)</f>
        <v/>
      </c>
      <c r="CU772" s="128">
        <f>IFERROR(AI772*$V772,)</f>
        <v/>
      </c>
      <c r="CV772" s="128">
        <f>IFERROR(AJ772*$V772,)</f>
        <v/>
      </c>
      <c r="CW772" s="128">
        <f>IFERROR(AK772*$V772,)</f>
        <v/>
      </c>
      <c r="CX772" s="128">
        <f>IFERROR(AL772*$V772,)</f>
        <v/>
      </c>
      <c r="CY772" s="128">
        <f>IFERROR(AM772*$V772,)</f>
        <v/>
      </c>
      <c r="CZ772" s="128">
        <f>IFERROR(AN772*$V772,)</f>
        <v/>
      </c>
      <c r="DA772" s="128">
        <f>IFERROR(AO772*$V772,)</f>
        <v/>
      </c>
      <c r="DB772" s="128">
        <f>IFERROR(AP772*$V772,)</f>
        <v/>
      </c>
      <c r="DC772" s="128">
        <f>IFERROR(AQ772*$V772,)</f>
        <v/>
      </c>
      <c r="DD772" s="128">
        <f>IFERROR(AR772*$V772,)</f>
        <v/>
      </c>
      <c r="DE772" s="128">
        <f>IFERROR(AS772*$V772,)</f>
        <v/>
      </c>
      <c r="DF772" s="128">
        <f>IFERROR(AT772*$V772,)</f>
        <v/>
      </c>
      <c r="DG772" s="128">
        <f>IFERROR(AU772*$V772,)</f>
        <v/>
      </c>
      <c r="DH772" s="128">
        <f>IFERROR(AV772*$V772,)</f>
        <v/>
      </c>
      <c r="DI772" s="128">
        <f>IFERROR(AW772*$V772,)</f>
        <v/>
      </c>
      <c r="DJ772" s="128">
        <f>IFERROR(AX772*$V772,)</f>
        <v/>
      </c>
      <c r="DK772" s="128">
        <f>IFERROR(AY772*$V772,)</f>
        <v/>
      </c>
      <c r="DL772" s="128">
        <f>IFERROR(AZ772*$V772,)</f>
        <v/>
      </c>
      <c r="DM772" s="129">
        <f>IFERROR(if($X772=0,($V772/1.2)*BA772,
BA772*$X772),)</f>
        <v/>
      </c>
      <c r="DN772" s="129">
        <f>IFERROR(if($X772=0,($V772/1.2)*BB772,
BB772*$X772),)</f>
        <v/>
      </c>
      <c r="DO772" s="129">
        <f>IFERROR(if($X772=0,($V772/1.2)*BC772,
BC772*$X772),)</f>
        <v/>
      </c>
      <c r="DP772" s="130">
        <f>IFERROR(if($Z772=0,($V772/1.35)*BD772,
BD772*$Z772),)</f>
        <v/>
      </c>
      <c r="DQ772" s="130">
        <f>IFERROR(if($Z772=0,($V772/1.35)*BE772,
BE772*$Z772),)</f>
        <v/>
      </c>
      <c r="DR772" s="130">
        <f>IFERROR(if($Z772=0,($V772/1.35)*BF772,
BF772*$Z772),)</f>
        <v/>
      </c>
      <c r="DS772" s="128">
        <f>IFERROR(IF($AB772=0,($V772/0.74)*BG772,
BG772*$AB772),)</f>
        <v/>
      </c>
      <c r="DT772" s="128">
        <f>IFERROR(IF($AB772=0,($V772/0.74)*BH772,
BH772*$AB772),)</f>
        <v/>
      </c>
      <c r="DU772" s="128">
        <f>IFERROR(IF($AB772=0,($V772/0.74)*BI772,
BI772*$AB772),)</f>
        <v/>
      </c>
    </row>
    <row r="773" ht="131.25" customHeight="1" s="162">
      <c r="A773" s="115" t="n"/>
      <c r="B773" s="115" t="n"/>
      <c r="C773" s="115" t="n"/>
      <c r="D773" s="115" t="n"/>
      <c r="E773" s="115" t="n"/>
      <c r="F773" s="115" t="n"/>
      <c r="G773" s="115" t="n"/>
      <c r="H773" s="115" t="n"/>
      <c r="I773" s="115" t="n"/>
      <c r="J773" s="115" t="n"/>
      <c r="K773" s="115" t="n"/>
      <c r="L773" s="115" t="n"/>
      <c r="M773" s="115" t="n"/>
      <c r="N773" s="115" t="n"/>
      <c r="O773" s="115" t="n"/>
      <c r="P773" s="115" t="n"/>
      <c r="Q773" s="115" t="n"/>
      <c r="R773" s="115" t="n"/>
      <c r="S773" s="115" t="n"/>
      <c r="T773" s="115" t="n"/>
      <c r="U773" s="116" t="n"/>
      <c r="V773" s="116" t="n"/>
      <c r="W773" s="117" t="n"/>
      <c r="X773" s="118" t="n"/>
      <c r="Y773" s="119" t="n"/>
      <c r="Z773" s="120" t="n"/>
      <c r="AA773" s="121" t="n"/>
      <c r="AB773" s="122" t="n"/>
      <c r="AC773" s="117" t="n"/>
      <c r="AD773" s="123">
        <f>IF(SUM($AE773:$AH773)=0,"",SUM($AE773:$AH773))</f>
        <v/>
      </c>
      <c r="AE773" s="123">
        <f>iferror(IF(SUM($AI773:$AZ773)=0,"",SUM($AI773:$AZ773)),"")</f>
        <v/>
      </c>
      <c r="AF773" s="123">
        <f>iferror(IF(SUM($BA773:$BC773)=0,"",SUM($BA773:$BC773)),"")</f>
        <v/>
      </c>
      <c r="AG773" s="123">
        <f>iferror(IF(SUM($BD773:$BF773)=0,"",SUM($BD773:$BF773)),"")</f>
        <v/>
      </c>
      <c r="AH773" s="124">
        <f>iferror(IF(SUM($BG773:$BI773)=0,"",SUM($BG773:$BI773)),"")</f>
        <v/>
      </c>
      <c r="AI773" s="131" t="n"/>
      <c r="AJ773" s="132" t="n"/>
      <c r="AK773" s="132" t="n"/>
      <c r="AL773" s="132" t="n"/>
      <c r="AM773" s="132" t="n"/>
      <c r="AN773" s="132" t="n"/>
      <c r="AO773" s="132" t="n"/>
      <c r="AP773" s="132" t="n"/>
      <c r="AQ773" s="132" t="n"/>
      <c r="AR773" s="132" t="n"/>
      <c r="AS773" s="132" t="n"/>
      <c r="AT773" s="132" t="n"/>
      <c r="AU773" s="132" t="n"/>
      <c r="AV773" s="132" t="n"/>
      <c r="AW773" s="132" t="n"/>
      <c r="AX773" s="132" t="n"/>
      <c r="AY773" s="132" t="n"/>
      <c r="AZ773" s="133" t="n"/>
      <c r="BA773" s="131" t="n"/>
      <c r="BB773" s="132" t="n"/>
      <c r="BC773" s="133" t="n"/>
      <c r="BD773" s="131" t="n"/>
      <c r="BE773" s="132" t="n"/>
      <c r="BF773" s="133" t="n"/>
      <c r="BG773" s="131" t="n"/>
      <c r="BH773" s="132" t="n"/>
      <c r="BI773" s="132" t="n"/>
      <c r="BJ773" s="128">
        <f>iferror(SUM($BK773,($BL773*1.2),($BM773*1.35),($BN773*0.74)),)</f>
        <v/>
      </c>
      <c r="BK773" s="128">
        <f>IFERROR(SUM($BT773:$CK773),)</f>
        <v/>
      </c>
      <c r="BL773" s="129">
        <f>IFERROR(SUM($CL773:$CN773),)</f>
        <v/>
      </c>
      <c r="BM773" s="130">
        <f>IFERROR(SUM($CO773:$CQ773),)</f>
        <v/>
      </c>
      <c r="BN773" s="128">
        <f>IFERROR(SUM($CR773:$CT773),)</f>
        <v/>
      </c>
      <c r="BO773" s="128">
        <f>iferror(SUM($BP773,($BQ773*1.2),($BR773*1.35),($BS773*0.74)),)</f>
        <v/>
      </c>
      <c r="BP773" s="128">
        <f>IFERROR(SUM($CU773:$DL773),)</f>
        <v/>
      </c>
      <c r="BQ773" s="128">
        <f>IFERROR(SUM($DM773:$DO773),)</f>
        <v/>
      </c>
      <c r="BR773" s="128">
        <f>IFERROR(SUM($DP773:$DR773),)</f>
        <v/>
      </c>
      <c r="BS773" s="128">
        <f>IFERROR(SUM($DS773:$DU773),)</f>
        <v/>
      </c>
      <c r="BT773" s="128">
        <f>IFERROR(AI773*$W773,)</f>
        <v/>
      </c>
      <c r="BU773" s="128">
        <f>IFERROR(AJ773*$W773,)</f>
        <v/>
      </c>
      <c r="BV773" s="128">
        <f>IFERROR(AK773*$W773,)</f>
        <v/>
      </c>
      <c r="BW773" s="128">
        <f>IFERROR(AL773*$W773,)</f>
        <v/>
      </c>
      <c r="BX773" s="128">
        <f>IFERROR(AM773*$W773,)</f>
        <v/>
      </c>
      <c r="BY773" s="128">
        <f>IFERROR(AN773*$W773,)</f>
        <v/>
      </c>
      <c r="BZ773" s="128">
        <f>IFERROR(AO773*$W773,)</f>
        <v/>
      </c>
      <c r="CA773" s="128">
        <f>IFERROR(AP773*$W773,)</f>
        <v/>
      </c>
      <c r="CB773" s="128">
        <f>IFERROR(AQ773*$W773,)</f>
        <v/>
      </c>
      <c r="CC773" s="128">
        <f>IFERROR(AR773*$W773,)</f>
        <v/>
      </c>
      <c r="CD773" s="128">
        <f>IFERROR(AS773*$W773,)</f>
        <v/>
      </c>
      <c r="CE773" s="128">
        <f>IFERROR(AT773*$W773,)</f>
        <v/>
      </c>
      <c r="CF773" s="128">
        <f>IFERROR(AU773*$W773,)</f>
        <v/>
      </c>
      <c r="CG773" s="128">
        <f>IFERROR(AV773*$W773,)</f>
        <v/>
      </c>
      <c r="CH773" s="128">
        <f>IFERROR(AW773*$W773,)</f>
        <v/>
      </c>
      <c r="CI773" s="128">
        <f>IFERROR(AX773*$W773,)</f>
        <v/>
      </c>
      <c r="CJ773" s="128">
        <f>IFERROR(AY773*$W773,)</f>
        <v/>
      </c>
      <c r="CK773" s="128">
        <f>IFERROR(AZ773*$W773,)</f>
        <v/>
      </c>
      <c r="CL773" s="129">
        <f>IFERROR(if($Y773=0,BA773*($W773/1.2),BA773*$Y773),"")</f>
        <v/>
      </c>
      <c r="CM773" s="129">
        <f>IFERROR(if($Y773=0,BB773*($W773/1.2),BB773*$Y773),"")</f>
        <v/>
      </c>
      <c r="CN773" s="129">
        <f>IFERROR(if($Y773=0,BC773*($W773/1.2),BC773*$Y773),"")</f>
        <v/>
      </c>
      <c r="CO773" s="130">
        <f>IFERROR(if($AA773=0,($W773/1.35)*BD773,BD773*$AA773),)</f>
        <v/>
      </c>
      <c r="CP773" s="130">
        <f>IFERROR(if($AA773=0,($W773/1.35)*BE773,BE773*$AA773),)</f>
        <v/>
      </c>
      <c r="CQ773" s="130">
        <f>IFERROR(if($AA773=0,($W773/1.35)*BF773,BF773*$AA773),)</f>
        <v/>
      </c>
      <c r="CR773" s="128">
        <f>IFERROR(if($AC773=0,($W773/0.74)*BG773,
BG773*$AC773),)</f>
        <v/>
      </c>
      <c r="CS773" s="128">
        <f>IFERROR(if($AC773=0,($W773/0.74)*BH773,
BH773*$AC773),)</f>
        <v/>
      </c>
      <c r="CT773" s="128">
        <f>IFERROR(if($AC773=0,($W773/0.74)*BI773,
BI773*$AC773),)</f>
        <v/>
      </c>
      <c r="CU773" s="128">
        <f>IFERROR(AI773*$V773,)</f>
        <v/>
      </c>
      <c r="CV773" s="128">
        <f>IFERROR(AJ773*$V773,)</f>
        <v/>
      </c>
      <c r="CW773" s="128">
        <f>IFERROR(AK773*$V773,)</f>
        <v/>
      </c>
      <c r="CX773" s="128">
        <f>IFERROR(AL773*$V773,)</f>
        <v/>
      </c>
      <c r="CY773" s="128">
        <f>IFERROR(AM773*$V773,)</f>
        <v/>
      </c>
      <c r="CZ773" s="128">
        <f>IFERROR(AN773*$V773,)</f>
        <v/>
      </c>
      <c r="DA773" s="128">
        <f>IFERROR(AO773*$V773,)</f>
        <v/>
      </c>
      <c r="DB773" s="128">
        <f>IFERROR(AP773*$V773,)</f>
        <v/>
      </c>
      <c r="DC773" s="128">
        <f>IFERROR(AQ773*$V773,)</f>
        <v/>
      </c>
      <c r="DD773" s="128">
        <f>IFERROR(AR773*$V773,)</f>
        <v/>
      </c>
      <c r="DE773" s="128">
        <f>IFERROR(AS773*$V773,)</f>
        <v/>
      </c>
      <c r="DF773" s="128">
        <f>IFERROR(AT773*$V773,)</f>
        <v/>
      </c>
      <c r="DG773" s="128">
        <f>IFERROR(AU773*$V773,)</f>
        <v/>
      </c>
      <c r="DH773" s="128">
        <f>IFERROR(AV773*$V773,)</f>
        <v/>
      </c>
      <c r="DI773" s="128">
        <f>IFERROR(AW773*$V773,)</f>
        <v/>
      </c>
      <c r="DJ773" s="128">
        <f>IFERROR(AX773*$V773,)</f>
        <v/>
      </c>
      <c r="DK773" s="128">
        <f>IFERROR(AY773*$V773,)</f>
        <v/>
      </c>
      <c r="DL773" s="128">
        <f>IFERROR(AZ773*$V773,)</f>
        <v/>
      </c>
      <c r="DM773" s="129">
        <f>IFERROR(if($X773=0,($V773/1.2)*BA773,
BA773*$X773),)</f>
        <v/>
      </c>
      <c r="DN773" s="129">
        <f>IFERROR(if($X773=0,($V773/1.2)*BB773,
BB773*$X773),)</f>
        <v/>
      </c>
      <c r="DO773" s="129">
        <f>IFERROR(if($X773=0,($V773/1.2)*BC773,
BC773*$X773),)</f>
        <v/>
      </c>
      <c r="DP773" s="130">
        <f>IFERROR(if($Z773=0,($V773/1.35)*BD773,
BD773*$Z773),)</f>
        <v/>
      </c>
      <c r="DQ773" s="130">
        <f>IFERROR(if($Z773=0,($V773/1.35)*BE773,
BE773*$Z773),)</f>
        <v/>
      </c>
      <c r="DR773" s="130">
        <f>IFERROR(if($Z773=0,($V773/1.35)*BF773,
BF773*$Z773),)</f>
        <v/>
      </c>
      <c r="DS773" s="128">
        <f>IFERROR(IF($AB773=0,($V773/0.74)*BG773,
BG773*$AB773),)</f>
        <v/>
      </c>
      <c r="DT773" s="128">
        <f>IFERROR(IF($AB773=0,($V773/0.74)*BH773,
BH773*$AB773),)</f>
        <v/>
      </c>
      <c r="DU773" s="128">
        <f>IFERROR(IF($AB773=0,($V773/0.74)*BI773,
BI773*$AB773),)</f>
        <v/>
      </c>
    </row>
    <row r="774" ht="131.25" customHeight="1" s="162">
      <c r="A774" s="115" t="n"/>
      <c r="B774" s="115" t="n"/>
      <c r="C774" s="115" t="n"/>
      <c r="D774" s="115" t="n"/>
      <c r="E774" s="115" t="n"/>
      <c r="F774" s="115" t="n"/>
      <c r="G774" s="115" t="n"/>
      <c r="H774" s="115" t="n"/>
      <c r="I774" s="115" t="n"/>
      <c r="J774" s="115" t="n"/>
      <c r="K774" s="115" t="n"/>
      <c r="L774" s="115" t="n"/>
      <c r="M774" s="115" t="n"/>
      <c r="N774" s="115" t="n"/>
      <c r="O774" s="115" t="n"/>
      <c r="P774" s="115" t="n"/>
      <c r="Q774" s="115" t="n"/>
      <c r="R774" s="115" t="n"/>
      <c r="S774" s="115" t="n"/>
      <c r="T774" s="115" t="n"/>
      <c r="U774" s="116" t="n"/>
      <c r="V774" s="116" t="n"/>
      <c r="W774" s="117" t="n"/>
      <c r="X774" s="118" t="n"/>
      <c r="Y774" s="119" t="n"/>
      <c r="Z774" s="120" t="n"/>
      <c r="AA774" s="121" t="n"/>
      <c r="AB774" s="122" t="n"/>
      <c r="AC774" s="117" t="n"/>
      <c r="AD774" s="123">
        <f>IF(SUM($AE774:$AH774)=0,"",SUM($AE774:$AH774))</f>
        <v/>
      </c>
      <c r="AE774" s="123">
        <f>iferror(IF(SUM($AI774:$AZ774)=0,"",SUM($AI774:$AZ774)),"")</f>
        <v/>
      </c>
      <c r="AF774" s="123">
        <f>iferror(IF(SUM($BA774:$BC774)=0,"",SUM($BA774:$BC774)),"")</f>
        <v/>
      </c>
      <c r="AG774" s="123">
        <f>iferror(IF(SUM($BD774:$BF774)=0,"",SUM($BD774:$BF774)),"")</f>
        <v/>
      </c>
      <c r="AH774" s="124">
        <f>iferror(IF(SUM($BG774:$BI774)=0,"",SUM($BG774:$BI774)),"")</f>
        <v/>
      </c>
      <c r="AI774" s="131" t="n"/>
      <c r="AJ774" s="132" t="n"/>
      <c r="AK774" s="132" t="n"/>
      <c r="AL774" s="132" t="n"/>
      <c r="AM774" s="132" t="n"/>
      <c r="AN774" s="132" t="n"/>
      <c r="AO774" s="132" t="n"/>
      <c r="AP774" s="132" t="n"/>
      <c r="AQ774" s="132" t="n"/>
      <c r="AR774" s="132" t="n"/>
      <c r="AS774" s="132" t="n"/>
      <c r="AT774" s="132" t="n"/>
      <c r="AU774" s="132" t="n"/>
      <c r="AV774" s="132" t="n"/>
      <c r="AW774" s="132" t="n"/>
      <c r="AX774" s="132" t="n"/>
      <c r="AY774" s="132" t="n"/>
      <c r="AZ774" s="133" t="n"/>
      <c r="BA774" s="131" t="n"/>
      <c r="BB774" s="132" t="n"/>
      <c r="BC774" s="133" t="n"/>
      <c r="BD774" s="131" t="n"/>
      <c r="BE774" s="132" t="n"/>
      <c r="BF774" s="133" t="n"/>
      <c r="BG774" s="131" t="n"/>
      <c r="BH774" s="132" t="n"/>
      <c r="BI774" s="132" t="n"/>
      <c r="BJ774" s="128">
        <f>iferror(SUM($BK774,($BL774*1.2),($BM774*1.35),($BN774*0.74)),)</f>
        <v/>
      </c>
      <c r="BK774" s="128">
        <f>IFERROR(SUM($BT774:$CK774),)</f>
        <v/>
      </c>
      <c r="BL774" s="129">
        <f>IFERROR(SUM($CL774:$CN774),)</f>
        <v/>
      </c>
      <c r="BM774" s="130">
        <f>IFERROR(SUM($CO774:$CQ774),)</f>
        <v/>
      </c>
      <c r="BN774" s="128">
        <f>IFERROR(SUM($CR774:$CT774),)</f>
        <v/>
      </c>
      <c r="BO774" s="128">
        <f>iferror(SUM($BP774,($BQ774*1.2),($BR774*1.35),($BS774*0.74)),)</f>
        <v/>
      </c>
      <c r="BP774" s="128">
        <f>IFERROR(SUM($CU774:$DL774),)</f>
        <v/>
      </c>
      <c r="BQ774" s="128">
        <f>IFERROR(SUM($DM774:$DO774),)</f>
        <v/>
      </c>
      <c r="BR774" s="128">
        <f>IFERROR(SUM($DP774:$DR774),)</f>
        <v/>
      </c>
      <c r="BS774" s="128">
        <f>IFERROR(SUM($DS774:$DU774),)</f>
        <v/>
      </c>
      <c r="BT774" s="128">
        <f>IFERROR(AI774*$W774,)</f>
        <v/>
      </c>
      <c r="BU774" s="128">
        <f>IFERROR(AJ774*$W774,)</f>
        <v/>
      </c>
      <c r="BV774" s="128">
        <f>IFERROR(AK774*$W774,)</f>
        <v/>
      </c>
      <c r="BW774" s="128">
        <f>IFERROR(AL774*$W774,)</f>
        <v/>
      </c>
      <c r="BX774" s="128">
        <f>IFERROR(AM774*$W774,)</f>
        <v/>
      </c>
      <c r="BY774" s="128">
        <f>IFERROR(AN774*$W774,)</f>
        <v/>
      </c>
      <c r="BZ774" s="128">
        <f>IFERROR(AO774*$W774,)</f>
        <v/>
      </c>
      <c r="CA774" s="128">
        <f>IFERROR(AP774*$W774,)</f>
        <v/>
      </c>
      <c r="CB774" s="128">
        <f>IFERROR(AQ774*$W774,)</f>
        <v/>
      </c>
      <c r="CC774" s="128">
        <f>IFERROR(AR774*$W774,)</f>
        <v/>
      </c>
      <c r="CD774" s="128">
        <f>IFERROR(AS774*$W774,)</f>
        <v/>
      </c>
      <c r="CE774" s="128">
        <f>IFERROR(AT774*$W774,)</f>
        <v/>
      </c>
      <c r="CF774" s="128">
        <f>IFERROR(AU774*$W774,)</f>
        <v/>
      </c>
      <c r="CG774" s="128">
        <f>IFERROR(AV774*$W774,)</f>
        <v/>
      </c>
      <c r="CH774" s="128">
        <f>IFERROR(AW774*$W774,)</f>
        <v/>
      </c>
      <c r="CI774" s="128">
        <f>IFERROR(AX774*$W774,)</f>
        <v/>
      </c>
      <c r="CJ774" s="128">
        <f>IFERROR(AY774*$W774,)</f>
        <v/>
      </c>
      <c r="CK774" s="128">
        <f>IFERROR(AZ774*$W774,)</f>
        <v/>
      </c>
      <c r="CL774" s="129">
        <f>IFERROR(if($Y774=0,BA774*($W774/1.2),BA774*$Y774),"")</f>
        <v/>
      </c>
      <c r="CM774" s="129">
        <f>IFERROR(if($Y774=0,BB774*($W774/1.2),BB774*$Y774),"")</f>
        <v/>
      </c>
      <c r="CN774" s="129">
        <f>IFERROR(if($Y774=0,BC774*($W774/1.2),BC774*$Y774),"")</f>
        <v/>
      </c>
      <c r="CO774" s="130">
        <f>IFERROR(if($AA774=0,($W774/1.35)*BD774,BD774*$AA774),)</f>
        <v/>
      </c>
      <c r="CP774" s="130">
        <f>IFERROR(if($AA774=0,($W774/1.35)*BE774,BE774*$AA774),)</f>
        <v/>
      </c>
      <c r="CQ774" s="130">
        <f>IFERROR(if($AA774=0,($W774/1.35)*BF774,BF774*$AA774),)</f>
        <v/>
      </c>
      <c r="CR774" s="128">
        <f>IFERROR(if($AC774=0,($W774/0.74)*BG774,
BG774*$AC774),)</f>
        <v/>
      </c>
      <c r="CS774" s="128">
        <f>IFERROR(if($AC774=0,($W774/0.74)*BH774,
BH774*$AC774),)</f>
        <v/>
      </c>
      <c r="CT774" s="128">
        <f>IFERROR(if($AC774=0,($W774/0.74)*BI774,
BI774*$AC774),)</f>
        <v/>
      </c>
      <c r="CU774" s="128">
        <f>IFERROR(AI774*$V774,)</f>
        <v/>
      </c>
      <c r="CV774" s="128">
        <f>IFERROR(AJ774*$V774,)</f>
        <v/>
      </c>
      <c r="CW774" s="128">
        <f>IFERROR(AK774*$V774,)</f>
        <v/>
      </c>
      <c r="CX774" s="128">
        <f>IFERROR(AL774*$V774,)</f>
        <v/>
      </c>
      <c r="CY774" s="128">
        <f>IFERROR(AM774*$V774,)</f>
        <v/>
      </c>
      <c r="CZ774" s="128">
        <f>IFERROR(AN774*$V774,)</f>
        <v/>
      </c>
      <c r="DA774" s="128">
        <f>IFERROR(AO774*$V774,)</f>
        <v/>
      </c>
      <c r="DB774" s="128">
        <f>IFERROR(AP774*$V774,)</f>
        <v/>
      </c>
      <c r="DC774" s="128">
        <f>IFERROR(AQ774*$V774,)</f>
        <v/>
      </c>
      <c r="DD774" s="128">
        <f>IFERROR(AR774*$V774,)</f>
        <v/>
      </c>
      <c r="DE774" s="128">
        <f>IFERROR(AS774*$V774,)</f>
        <v/>
      </c>
      <c r="DF774" s="128">
        <f>IFERROR(AT774*$V774,)</f>
        <v/>
      </c>
      <c r="DG774" s="128">
        <f>IFERROR(AU774*$V774,)</f>
        <v/>
      </c>
      <c r="DH774" s="128">
        <f>IFERROR(AV774*$V774,)</f>
        <v/>
      </c>
      <c r="DI774" s="128">
        <f>IFERROR(AW774*$V774,)</f>
        <v/>
      </c>
      <c r="DJ774" s="128">
        <f>IFERROR(AX774*$V774,)</f>
        <v/>
      </c>
      <c r="DK774" s="128">
        <f>IFERROR(AY774*$V774,)</f>
        <v/>
      </c>
      <c r="DL774" s="128">
        <f>IFERROR(AZ774*$V774,)</f>
        <v/>
      </c>
      <c r="DM774" s="129">
        <f>IFERROR(if($X774=0,($V774/1.2)*BA774,
BA774*$X774),)</f>
        <v/>
      </c>
      <c r="DN774" s="129">
        <f>IFERROR(if($X774=0,($V774/1.2)*BB774,
BB774*$X774),)</f>
        <v/>
      </c>
      <c r="DO774" s="129">
        <f>IFERROR(if($X774=0,($V774/1.2)*BC774,
BC774*$X774),)</f>
        <v/>
      </c>
      <c r="DP774" s="130">
        <f>IFERROR(if($Z774=0,($V774/1.35)*BD774,
BD774*$Z774),)</f>
        <v/>
      </c>
      <c r="DQ774" s="130">
        <f>IFERROR(if($Z774=0,($V774/1.35)*BE774,
BE774*$Z774),)</f>
        <v/>
      </c>
      <c r="DR774" s="130">
        <f>IFERROR(if($Z774=0,($V774/1.35)*BF774,
BF774*$Z774),)</f>
        <v/>
      </c>
      <c r="DS774" s="128">
        <f>IFERROR(IF($AB774=0,($V774/0.74)*BG774,
BG774*$AB774),)</f>
        <v/>
      </c>
      <c r="DT774" s="128">
        <f>IFERROR(IF($AB774=0,($V774/0.74)*BH774,
BH774*$AB774),)</f>
        <v/>
      </c>
      <c r="DU774" s="128">
        <f>IFERROR(IF($AB774=0,($V774/0.74)*BI774,
BI774*$AB774),)</f>
        <v/>
      </c>
    </row>
    <row r="775" ht="131.25" customHeight="1" s="162">
      <c r="A775" s="115" t="n"/>
      <c r="B775" s="115" t="n"/>
      <c r="C775" s="115" t="n"/>
      <c r="D775" s="115" t="n"/>
      <c r="E775" s="115" t="n"/>
      <c r="F775" s="115" t="n"/>
      <c r="G775" s="115" t="n"/>
      <c r="H775" s="115" t="n"/>
      <c r="I775" s="115" t="n"/>
      <c r="J775" s="115" t="n"/>
      <c r="K775" s="115" t="n"/>
      <c r="L775" s="115" t="n"/>
      <c r="M775" s="115" t="n"/>
      <c r="N775" s="115" t="n"/>
      <c r="O775" s="115" t="n"/>
      <c r="P775" s="115" t="n"/>
      <c r="Q775" s="115" t="n"/>
      <c r="R775" s="115" t="n"/>
      <c r="S775" s="115" t="n"/>
      <c r="T775" s="115" t="n"/>
      <c r="U775" s="116" t="n"/>
      <c r="V775" s="116" t="n"/>
      <c r="W775" s="117" t="n"/>
      <c r="X775" s="118" t="n"/>
      <c r="Y775" s="119" t="n"/>
      <c r="Z775" s="120" t="n"/>
      <c r="AA775" s="121" t="n"/>
      <c r="AB775" s="122" t="n"/>
      <c r="AC775" s="117" t="n"/>
      <c r="AD775" s="123">
        <f>IF(SUM($AE775:$AH775)=0,"",SUM($AE775:$AH775))</f>
        <v/>
      </c>
      <c r="AE775" s="123">
        <f>iferror(IF(SUM($AI775:$AZ775)=0,"",SUM($AI775:$AZ775)),"")</f>
        <v/>
      </c>
      <c r="AF775" s="123">
        <f>iferror(IF(SUM($BA775:$BC775)=0,"",SUM($BA775:$BC775)),"")</f>
        <v/>
      </c>
      <c r="AG775" s="123">
        <f>iferror(IF(SUM($BD775:$BF775)=0,"",SUM($BD775:$BF775)),"")</f>
        <v/>
      </c>
      <c r="AH775" s="124">
        <f>iferror(IF(SUM($BG775:$BI775)=0,"",SUM($BG775:$BI775)),"")</f>
        <v/>
      </c>
      <c r="AI775" s="131" t="n"/>
      <c r="AJ775" s="132" t="n"/>
      <c r="AK775" s="132" t="n"/>
      <c r="AL775" s="132" t="n"/>
      <c r="AM775" s="132" t="n"/>
      <c r="AN775" s="132" t="n"/>
      <c r="AO775" s="132" t="n"/>
      <c r="AP775" s="132" t="n"/>
      <c r="AQ775" s="132" t="n"/>
      <c r="AR775" s="132" t="n"/>
      <c r="AS775" s="132" t="n"/>
      <c r="AT775" s="132" t="n"/>
      <c r="AU775" s="132" t="n"/>
      <c r="AV775" s="132" t="n"/>
      <c r="AW775" s="132" t="n"/>
      <c r="AX775" s="132" t="n"/>
      <c r="AY775" s="132" t="n"/>
      <c r="AZ775" s="133" t="n"/>
      <c r="BA775" s="131" t="n"/>
      <c r="BB775" s="132" t="n"/>
      <c r="BC775" s="133" t="n"/>
      <c r="BD775" s="131" t="n"/>
      <c r="BE775" s="132" t="n"/>
      <c r="BF775" s="133" t="n"/>
      <c r="BG775" s="131" t="n"/>
      <c r="BH775" s="132" t="n"/>
      <c r="BI775" s="132" t="n"/>
      <c r="BJ775" s="128">
        <f>iferror(SUM($BK775,($BL775*1.2),($BM775*1.35),($BN775*0.74)),)</f>
        <v/>
      </c>
      <c r="BK775" s="128">
        <f>IFERROR(SUM($BT775:$CK775),)</f>
        <v/>
      </c>
      <c r="BL775" s="129">
        <f>IFERROR(SUM($CL775:$CN775),)</f>
        <v/>
      </c>
      <c r="BM775" s="130">
        <f>IFERROR(SUM($CO775:$CQ775),)</f>
        <v/>
      </c>
      <c r="BN775" s="128">
        <f>IFERROR(SUM($CR775:$CT775),)</f>
        <v/>
      </c>
      <c r="BO775" s="128">
        <f>iferror(SUM($BP775,($BQ775*1.2),($BR775*1.35),($BS775*0.74)),)</f>
        <v/>
      </c>
      <c r="BP775" s="128">
        <f>IFERROR(SUM($CU775:$DL775),)</f>
        <v/>
      </c>
      <c r="BQ775" s="128">
        <f>IFERROR(SUM($DM775:$DO775),)</f>
        <v/>
      </c>
      <c r="BR775" s="128">
        <f>IFERROR(SUM($DP775:$DR775),)</f>
        <v/>
      </c>
      <c r="BS775" s="128">
        <f>IFERROR(SUM($DS775:$DU775),)</f>
        <v/>
      </c>
      <c r="BT775" s="128">
        <f>IFERROR(AI775*$W775,)</f>
        <v/>
      </c>
      <c r="BU775" s="128">
        <f>IFERROR(AJ775*$W775,)</f>
        <v/>
      </c>
      <c r="BV775" s="128">
        <f>IFERROR(AK775*$W775,)</f>
        <v/>
      </c>
      <c r="BW775" s="128">
        <f>IFERROR(AL775*$W775,)</f>
        <v/>
      </c>
      <c r="BX775" s="128">
        <f>IFERROR(AM775*$W775,)</f>
        <v/>
      </c>
      <c r="BY775" s="128">
        <f>IFERROR(AN775*$W775,)</f>
        <v/>
      </c>
      <c r="BZ775" s="128">
        <f>IFERROR(AO775*$W775,)</f>
        <v/>
      </c>
      <c r="CA775" s="128">
        <f>IFERROR(AP775*$W775,)</f>
        <v/>
      </c>
      <c r="CB775" s="128">
        <f>IFERROR(AQ775*$W775,)</f>
        <v/>
      </c>
      <c r="CC775" s="128">
        <f>IFERROR(AR775*$W775,)</f>
        <v/>
      </c>
      <c r="CD775" s="128">
        <f>IFERROR(AS775*$W775,)</f>
        <v/>
      </c>
      <c r="CE775" s="128">
        <f>IFERROR(AT775*$W775,)</f>
        <v/>
      </c>
      <c r="CF775" s="128">
        <f>IFERROR(AU775*$W775,)</f>
        <v/>
      </c>
      <c r="CG775" s="128">
        <f>IFERROR(AV775*$W775,)</f>
        <v/>
      </c>
      <c r="CH775" s="128">
        <f>IFERROR(AW775*$W775,)</f>
        <v/>
      </c>
      <c r="CI775" s="128">
        <f>IFERROR(AX775*$W775,)</f>
        <v/>
      </c>
      <c r="CJ775" s="128">
        <f>IFERROR(AY775*$W775,)</f>
        <v/>
      </c>
      <c r="CK775" s="128">
        <f>IFERROR(AZ775*$W775,)</f>
        <v/>
      </c>
      <c r="CL775" s="129">
        <f>IFERROR(if($Y775=0,BA775*($W775/1.2),BA775*$Y775),"")</f>
        <v/>
      </c>
      <c r="CM775" s="129">
        <f>IFERROR(if($Y775=0,BB775*($W775/1.2),BB775*$Y775),"")</f>
        <v/>
      </c>
      <c r="CN775" s="129">
        <f>IFERROR(if($Y775=0,BC775*($W775/1.2),BC775*$Y775),"")</f>
        <v/>
      </c>
      <c r="CO775" s="130">
        <f>IFERROR(if($AA775=0,($W775/1.35)*BD775,BD775*$AA775),)</f>
        <v/>
      </c>
      <c r="CP775" s="130">
        <f>IFERROR(if($AA775=0,($W775/1.35)*BE775,BE775*$AA775),)</f>
        <v/>
      </c>
      <c r="CQ775" s="130">
        <f>IFERROR(if($AA775=0,($W775/1.35)*BF775,BF775*$AA775),)</f>
        <v/>
      </c>
      <c r="CR775" s="128">
        <f>IFERROR(if($AC775=0,($W775/0.74)*BG775,
BG775*$AC775),)</f>
        <v/>
      </c>
      <c r="CS775" s="128">
        <f>IFERROR(if($AC775=0,($W775/0.74)*BH775,
BH775*$AC775),)</f>
        <v/>
      </c>
      <c r="CT775" s="128">
        <f>IFERROR(if($AC775=0,($W775/0.74)*BI775,
BI775*$AC775),)</f>
        <v/>
      </c>
      <c r="CU775" s="128">
        <f>IFERROR(AI775*$V775,)</f>
        <v/>
      </c>
      <c r="CV775" s="128">
        <f>IFERROR(AJ775*$V775,)</f>
        <v/>
      </c>
      <c r="CW775" s="128">
        <f>IFERROR(AK775*$V775,)</f>
        <v/>
      </c>
      <c r="CX775" s="128">
        <f>IFERROR(AL775*$V775,)</f>
        <v/>
      </c>
      <c r="CY775" s="128">
        <f>IFERROR(AM775*$V775,)</f>
        <v/>
      </c>
      <c r="CZ775" s="128">
        <f>IFERROR(AN775*$V775,)</f>
        <v/>
      </c>
      <c r="DA775" s="128">
        <f>IFERROR(AO775*$V775,)</f>
        <v/>
      </c>
      <c r="DB775" s="128">
        <f>IFERROR(AP775*$V775,)</f>
        <v/>
      </c>
      <c r="DC775" s="128">
        <f>IFERROR(AQ775*$V775,)</f>
        <v/>
      </c>
      <c r="DD775" s="128">
        <f>IFERROR(AR775*$V775,)</f>
        <v/>
      </c>
      <c r="DE775" s="128">
        <f>IFERROR(AS775*$V775,)</f>
        <v/>
      </c>
      <c r="DF775" s="128">
        <f>IFERROR(AT775*$V775,)</f>
        <v/>
      </c>
      <c r="DG775" s="128">
        <f>IFERROR(AU775*$V775,)</f>
        <v/>
      </c>
      <c r="DH775" s="128">
        <f>IFERROR(AV775*$V775,)</f>
        <v/>
      </c>
      <c r="DI775" s="128">
        <f>IFERROR(AW775*$V775,)</f>
        <v/>
      </c>
      <c r="DJ775" s="128">
        <f>IFERROR(AX775*$V775,)</f>
        <v/>
      </c>
      <c r="DK775" s="128">
        <f>IFERROR(AY775*$V775,)</f>
        <v/>
      </c>
      <c r="DL775" s="128">
        <f>IFERROR(AZ775*$V775,)</f>
        <v/>
      </c>
      <c r="DM775" s="129">
        <f>IFERROR(if($X775=0,($V775/1.2)*BA775,
BA775*$X775),)</f>
        <v/>
      </c>
      <c r="DN775" s="129">
        <f>IFERROR(if($X775=0,($V775/1.2)*BB775,
BB775*$X775),)</f>
        <v/>
      </c>
      <c r="DO775" s="129">
        <f>IFERROR(if($X775=0,($V775/1.2)*BC775,
BC775*$X775),)</f>
        <v/>
      </c>
      <c r="DP775" s="130">
        <f>IFERROR(if($Z775=0,($V775/1.35)*BD775,
BD775*$Z775),)</f>
        <v/>
      </c>
      <c r="DQ775" s="130">
        <f>IFERROR(if($Z775=0,($V775/1.35)*BE775,
BE775*$Z775),)</f>
        <v/>
      </c>
      <c r="DR775" s="130">
        <f>IFERROR(if($Z775=0,($V775/1.35)*BF775,
BF775*$Z775),)</f>
        <v/>
      </c>
      <c r="DS775" s="128">
        <f>IFERROR(IF($AB775=0,($V775/0.74)*BG775,
BG775*$AB775),)</f>
        <v/>
      </c>
      <c r="DT775" s="128">
        <f>IFERROR(IF($AB775=0,($V775/0.74)*BH775,
BH775*$AB775),)</f>
        <v/>
      </c>
      <c r="DU775" s="128">
        <f>IFERROR(IF($AB775=0,($V775/0.74)*BI775,
BI775*$AB775),)</f>
        <v/>
      </c>
    </row>
    <row r="776" ht="131.25" customHeight="1" s="162">
      <c r="A776" s="115" t="n"/>
      <c r="B776" s="115" t="n"/>
      <c r="C776" s="115" t="n"/>
      <c r="D776" s="115" t="n"/>
      <c r="E776" s="115" t="n"/>
      <c r="F776" s="115" t="n"/>
      <c r="G776" s="115" t="n"/>
      <c r="H776" s="115" t="n"/>
      <c r="I776" s="115" t="n"/>
      <c r="J776" s="115" t="n"/>
      <c r="K776" s="115" t="n"/>
      <c r="L776" s="115" t="n"/>
      <c r="M776" s="115" t="n"/>
      <c r="N776" s="115" t="n"/>
      <c r="O776" s="115" t="n"/>
      <c r="P776" s="115" t="n"/>
      <c r="Q776" s="115" t="n"/>
      <c r="R776" s="115" t="n"/>
      <c r="S776" s="115" t="n"/>
      <c r="T776" s="115" t="n"/>
      <c r="U776" s="116" t="n"/>
      <c r="V776" s="116" t="n"/>
      <c r="W776" s="117" t="n"/>
      <c r="X776" s="118" t="n"/>
      <c r="Y776" s="119" t="n"/>
      <c r="Z776" s="120" t="n"/>
      <c r="AA776" s="121" t="n"/>
      <c r="AB776" s="122" t="n"/>
      <c r="AC776" s="117" t="n"/>
      <c r="AD776" s="123">
        <f>IF(SUM($AE776:$AH776)=0,"",SUM($AE776:$AH776))</f>
        <v/>
      </c>
      <c r="AE776" s="123">
        <f>iferror(IF(SUM($AI776:$AZ776)=0,"",SUM($AI776:$AZ776)),"")</f>
        <v/>
      </c>
      <c r="AF776" s="123">
        <f>iferror(IF(SUM($BA776:$BC776)=0,"",SUM($BA776:$BC776)),"")</f>
        <v/>
      </c>
      <c r="AG776" s="123">
        <f>iferror(IF(SUM($BD776:$BF776)=0,"",SUM($BD776:$BF776)),"")</f>
        <v/>
      </c>
      <c r="AH776" s="124">
        <f>iferror(IF(SUM($BG776:$BI776)=0,"",SUM($BG776:$BI776)),"")</f>
        <v/>
      </c>
      <c r="AI776" s="131" t="n"/>
      <c r="AJ776" s="132" t="n"/>
      <c r="AK776" s="132" t="n"/>
      <c r="AL776" s="132" t="n"/>
      <c r="AM776" s="132" t="n"/>
      <c r="AN776" s="132" t="n"/>
      <c r="AO776" s="132" t="n"/>
      <c r="AP776" s="132" t="n"/>
      <c r="AQ776" s="132" t="n"/>
      <c r="AR776" s="132" t="n"/>
      <c r="AS776" s="132" t="n"/>
      <c r="AT776" s="132" t="n"/>
      <c r="AU776" s="132" t="n"/>
      <c r="AV776" s="132" t="n"/>
      <c r="AW776" s="132" t="n"/>
      <c r="AX776" s="132" t="n"/>
      <c r="AY776" s="132" t="n"/>
      <c r="AZ776" s="133" t="n"/>
      <c r="BA776" s="131" t="n"/>
      <c r="BB776" s="132" t="n"/>
      <c r="BC776" s="133" t="n"/>
      <c r="BD776" s="131" t="n"/>
      <c r="BE776" s="132" t="n"/>
      <c r="BF776" s="133" t="n"/>
      <c r="BG776" s="131" t="n"/>
      <c r="BH776" s="132" t="n"/>
      <c r="BI776" s="132" t="n"/>
      <c r="BJ776" s="128">
        <f>iferror(SUM($BK776,($BL776*1.2),($BM776*1.35),($BN776*0.74)),)</f>
        <v/>
      </c>
      <c r="BK776" s="128">
        <f>IFERROR(SUM($BT776:$CK776),)</f>
        <v/>
      </c>
      <c r="BL776" s="129">
        <f>IFERROR(SUM($CL776:$CN776),)</f>
        <v/>
      </c>
      <c r="BM776" s="130">
        <f>IFERROR(SUM($CO776:$CQ776),)</f>
        <v/>
      </c>
      <c r="BN776" s="128">
        <f>IFERROR(SUM($CR776:$CT776),)</f>
        <v/>
      </c>
      <c r="BO776" s="128">
        <f>iferror(SUM($BP776,($BQ776*1.2),($BR776*1.35),($BS776*0.74)),)</f>
        <v/>
      </c>
      <c r="BP776" s="128">
        <f>IFERROR(SUM($CU776:$DL776),)</f>
        <v/>
      </c>
      <c r="BQ776" s="128">
        <f>IFERROR(SUM($DM776:$DO776),)</f>
        <v/>
      </c>
      <c r="BR776" s="128">
        <f>IFERROR(SUM($DP776:$DR776),)</f>
        <v/>
      </c>
      <c r="BS776" s="128">
        <f>IFERROR(SUM($DS776:$DU776),)</f>
        <v/>
      </c>
      <c r="BT776" s="128">
        <f>IFERROR(AI776*$W776,)</f>
        <v/>
      </c>
      <c r="BU776" s="128">
        <f>IFERROR(AJ776*$W776,)</f>
        <v/>
      </c>
      <c r="BV776" s="128">
        <f>IFERROR(AK776*$W776,)</f>
        <v/>
      </c>
      <c r="BW776" s="128">
        <f>IFERROR(AL776*$W776,)</f>
        <v/>
      </c>
      <c r="BX776" s="128">
        <f>IFERROR(AM776*$W776,)</f>
        <v/>
      </c>
      <c r="BY776" s="128">
        <f>IFERROR(AN776*$W776,)</f>
        <v/>
      </c>
      <c r="BZ776" s="128">
        <f>IFERROR(AO776*$W776,)</f>
        <v/>
      </c>
      <c r="CA776" s="128">
        <f>IFERROR(AP776*$W776,)</f>
        <v/>
      </c>
      <c r="CB776" s="128">
        <f>IFERROR(AQ776*$W776,)</f>
        <v/>
      </c>
      <c r="CC776" s="128">
        <f>IFERROR(AR776*$W776,)</f>
        <v/>
      </c>
      <c r="CD776" s="128">
        <f>IFERROR(AS776*$W776,)</f>
        <v/>
      </c>
      <c r="CE776" s="128">
        <f>IFERROR(AT776*$W776,)</f>
        <v/>
      </c>
      <c r="CF776" s="128">
        <f>IFERROR(AU776*$W776,)</f>
        <v/>
      </c>
      <c r="CG776" s="128">
        <f>IFERROR(AV776*$W776,)</f>
        <v/>
      </c>
      <c r="CH776" s="128">
        <f>IFERROR(AW776*$W776,)</f>
        <v/>
      </c>
      <c r="CI776" s="128">
        <f>IFERROR(AX776*$W776,)</f>
        <v/>
      </c>
      <c r="CJ776" s="128">
        <f>IFERROR(AY776*$W776,)</f>
        <v/>
      </c>
      <c r="CK776" s="128">
        <f>IFERROR(AZ776*$W776,)</f>
        <v/>
      </c>
      <c r="CL776" s="129">
        <f>IFERROR(if($Y776=0,BA776*($W776/1.2),BA776*$Y776),"")</f>
        <v/>
      </c>
      <c r="CM776" s="129">
        <f>IFERROR(if($Y776=0,BB776*($W776/1.2),BB776*$Y776),"")</f>
        <v/>
      </c>
      <c r="CN776" s="129">
        <f>IFERROR(if($Y776=0,BC776*($W776/1.2),BC776*$Y776),"")</f>
        <v/>
      </c>
      <c r="CO776" s="130">
        <f>IFERROR(if($AA776=0,($W776/1.35)*BD776,BD776*$AA776),)</f>
        <v/>
      </c>
      <c r="CP776" s="130">
        <f>IFERROR(if($AA776=0,($W776/1.35)*BE776,BE776*$AA776),)</f>
        <v/>
      </c>
      <c r="CQ776" s="130">
        <f>IFERROR(if($AA776=0,($W776/1.35)*BF776,BF776*$AA776),)</f>
        <v/>
      </c>
      <c r="CR776" s="128">
        <f>IFERROR(if($AC776=0,($W776/0.74)*BG776,
BG776*$AC776),)</f>
        <v/>
      </c>
      <c r="CS776" s="128">
        <f>IFERROR(if($AC776=0,($W776/0.74)*BH776,
BH776*$AC776),)</f>
        <v/>
      </c>
      <c r="CT776" s="128">
        <f>IFERROR(if($AC776=0,($W776/0.74)*BI776,
BI776*$AC776),)</f>
        <v/>
      </c>
      <c r="CU776" s="128">
        <f>IFERROR(AI776*$V776,)</f>
        <v/>
      </c>
      <c r="CV776" s="128">
        <f>IFERROR(AJ776*$V776,)</f>
        <v/>
      </c>
      <c r="CW776" s="128">
        <f>IFERROR(AK776*$V776,)</f>
        <v/>
      </c>
      <c r="CX776" s="128">
        <f>IFERROR(AL776*$V776,)</f>
        <v/>
      </c>
      <c r="CY776" s="128">
        <f>IFERROR(AM776*$V776,)</f>
        <v/>
      </c>
      <c r="CZ776" s="128">
        <f>IFERROR(AN776*$V776,)</f>
        <v/>
      </c>
      <c r="DA776" s="128">
        <f>IFERROR(AO776*$V776,)</f>
        <v/>
      </c>
      <c r="DB776" s="128">
        <f>IFERROR(AP776*$V776,)</f>
        <v/>
      </c>
      <c r="DC776" s="128">
        <f>IFERROR(AQ776*$V776,)</f>
        <v/>
      </c>
      <c r="DD776" s="128">
        <f>IFERROR(AR776*$V776,)</f>
        <v/>
      </c>
      <c r="DE776" s="128">
        <f>IFERROR(AS776*$V776,)</f>
        <v/>
      </c>
      <c r="DF776" s="128">
        <f>IFERROR(AT776*$V776,)</f>
        <v/>
      </c>
      <c r="DG776" s="128">
        <f>IFERROR(AU776*$V776,)</f>
        <v/>
      </c>
      <c r="DH776" s="128">
        <f>IFERROR(AV776*$V776,)</f>
        <v/>
      </c>
      <c r="DI776" s="128">
        <f>IFERROR(AW776*$V776,)</f>
        <v/>
      </c>
      <c r="DJ776" s="128">
        <f>IFERROR(AX776*$V776,)</f>
        <v/>
      </c>
      <c r="DK776" s="128">
        <f>IFERROR(AY776*$V776,)</f>
        <v/>
      </c>
      <c r="DL776" s="128">
        <f>IFERROR(AZ776*$V776,)</f>
        <v/>
      </c>
      <c r="DM776" s="129">
        <f>IFERROR(if($X776=0,($V776/1.2)*BA776,
BA776*$X776),)</f>
        <v/>
      </c>
      <c r="DN776" s="129">
        <f>IFERROR(if($X776=0,($V776/1.2)*BB776,
BB776*$X776),)</f>
        <v/>
      </c>
      <c r="DO776" s="129">
        <f>IFERROR(if($X776=0,($V776/1.2)*BC776,
BC776*$X776),)</f>
        <v/>
      </c>
      <c r="DP776" s="130">
        <f>IFERROR(if($Z776=0,($V776/1.35)*BD776,
BD776*$Z776),)</f>
        <v/>
      </c>
      <c r="DQ776" s="130">
        <f>IFERROR(if($Z776=0,($V776/1.35)*BE776,
BE776*$Z776),)</f>
        <v/>
      </c>
      <c r="DR776" s="130">
        <f>IFERROR(if($Z776=0,($V776/1.35)*BF776,
BF776*$Z776),)</f>
        <v/>
      </c>
      <c r="DS776" s="128">
        <f>IFERROR(IF($AB776=0,($V776/0.74)*BG776,
BG776*$AB776),)</f>
        <v/>
      </c>
      <c r="DT776" s="128">
        <f>IFERROR(IF($AB776=0,($V776/0.74)*BH776,
BH776*$AB776),)</f>
        <v/>
      </c>
      <c r="DU776" s="128">
        <f>IFERROR(IF($AB776=0,($V776/0.74)*BI776,
BI776*$AB776),)</f>
        <v/>
      </c>
    </row>
    <row r="777" ht="131.25" customHeight="1" s="162">
      <c r="A777" s="115" t="n"/>
      <c r="B777" s="115" t="n"/>
      <c r="C777" s="115" t="n"/>
      <c r="D777" s="115" t="n"/>
      <c r="E777" s="115" t="n"/>
      <c r="F777" s="115" t="n"/>
      <c r="G777" s="115" t="n"/>
      <c r="H777" s="115" t="n"/>
      <c r="I777" s="115" t="n"/>
      <c r="J777" s="115" t="n"/>
      <c r="K777" s="115" t="n"/>
      <c r="L777" s="115" t="n"/>
      <c r="M777" s="115" t="n"/>
      <c r="N777" s="115" t="n"/>
      <c r="O777" s="115" t="n"/>
      <c r="P777" s="115" t="n"/>
      <c r="Q777" s="115" t="n"/>
      <c r="R777" s="115" t="n"/>
      <c r="S777" s="115" t="n"/>
      <c r="T777" s="115" t="n"/>
      <c r="U777" s="116" t="n"/>
      <c r="V777" s="116" t="n"/>
      <c r="W777" s="117" t="n"/>
      <c r="X777" s="118" t="n"/>
      <c r="Y777" s="119" t="n"/>
      <c r="Z777" s="120" t="n"/>
      <c r="AA777" s="121" t="n"/>
      <c r="AB777" s="122" t="n"/>
      <c r="AC777" s="117" t="n"/>
      <c r="AD777" s="123">
        <f>IF(SUM($AE777:$AH777)=0,"",SUM($AE777:$AH777))</f>
        <v/>
      </c>
      <c r="AE777" s="123">
        <f>iferror(IF(SUM($AI777:$AZ777)=0,"",SUM($AI777:$AZ777)),"")</f>
        <v/>
      </c>
      <c r="AF777" s="123">
        <f>iferror(IF(SUM($BA777:$BC777)=0,"",SUM($BA777:$BC777)),"")</f>
        <v/>
      </c>
      <c r="AG777" s="123">
        <f>iferror(IF(SUM($BD777:$BF777)=0,"",SUM($BD777:$BF777)),"")</f>
        <v/>
      </c>
      <c r="AH777" s="124">
        <f>iferror(IF(SUM($BG777:$BI777)=0,"",SUM($BG777:$BI777)),"")</f>
        <v/>
      </c>
      <c r="AI777" s="131" t="n"/>
      <c r="AJ777" s="132" t="n"/>
      <c r="AK777" s="132" t="n"/>
      <c r="AL777" s="132" t="n"/>
      <c r="AM777" s="132" t="n"/>
      <c r="AN777" s="132" t="n"/>
      <c r="AO777" s="132" t="n"/>
      <c r="AP777" s="132" t="n"/>
      <c r="AQ777" s="132" t="n"/>
      <c r="AR777" s="132" t="n"/>
      <c r="AS777" s="132" t="n"/>
      <c r="AT777" s="132" t="n"/>
      <c r="AU777" s="132" t="n"/>
      <c r="AV777" s="132" t="n"/>
      <c r="AW777" s="132" t="n"/>
      <c r="AX777" s="132" t="n"/>
      <c r="AY777" s="132" t="n"/>
      <c r="AZ777" s="133" t="n"/>
      <c r="BA777" s="131" t="n"/>
      <c r="BB777" s="132" t="n"/>
      <c r="BC777" s="133" t="n"/>
      <c r="BD777" s="131" t="n"/>
      <c r="BE777" s="132" t="n"/>
      <c r="BF777" s="133" t="n"/>
      <c r="BG777" s="131" t="n"/>
      <c r="BH777" s="132" t="n"/>
      <c r="BI777" s="132" t="n"/>
      <c r="BJ777" s="128">
        <f>iferror(SUM($BK777,($BL777*1.2),($BM777*1.35),($BN777*0.74)),)</f>
        <v/>
      </c>
      <c r="BK777" s="128">
        <f>IFERROR(SUM($BT777:$CK777),)</f>
        <v/>
      </c>
      <c r="BL777" s="129">
        <f>IFERROR(SUM($CL777:$CN777),)</f>
        <v/>
      </c>
      <c r="BM777" s="130">
        <f>IFERROR(SUM($CO777:$CQ777),)</f>
        <v/>
      </c>
      <c r="BN777" s="128">
        <f>IFERROR(SUM($CR777:$CT777),)</f>
        <v/>
      </c>
      <c r="BO777" s="128">
        <f>iferror(SUM($BP777,($BQ777*1.2),($BR777*1.35),($BS777*0.74)),)</f>
        <v/>
      </c>
      <c r="BP777" s="128">
        <f>IFERROR(SUM($CU777:$DL777),)</f>
        <v/>
      </c>
      <c r="BQ777" s="128">
        <f>IFERROR(SUM($DM777:$DO777),)</f>
        <v/>
      </c>
      <c r="BR777" s="128">
        <f>IFERROR(SUM($DP777:$DR777),)</f>
        <v/>
      </c>
      <c r="BS777" s="128">
        <f>IFERROR(SUM($DS777:$DU777),)</f>
        <v/>
      </c>
      <c r="BT777" s="128">
        <f>IFERROR(AI777*$W777,)</f>
        <v/>
      </c>
      <c r="BU777" s="128">
        <f>IFERROR(AJ777*$W777,)</f>
        <v/>
      </c>
      <c r="BV777" s="128">
        <f>IFERROR(AK777*$W777,)</f>
        <v/>
      </c>
      <c r="BW777" s="128">
        <f>IFERROR(AL777*$W777,)</f>
        <v/>
      </c>
      <c r="BX777" s="128">
        <f>IFERROR(AM777*$W777,)</f>
        <v/>
      </c>
      <c r="BY777" s="128">
        <f>IFERROR(AN777*$W777,)</f>
        <v/>
      </c>
      <c r="BZ777" s="128">
        <f>IFERROR(AO777*$W777,)</f>
        <v/>
      </c>
      <c r="CA777" s="128">
        <f>IFERROR(AP777*$W777,)</f>
        <v/>
      </c>
      <c r="CB777" s="128">
        <f>IFERROR(AQ777*$W777,)</f>
        <v/>
      </c>
      <c r="CC777" s="128">
        <f>IFERROR(AR777*$W777,)</f>
        <v/>
      </c>
      <c r="CD777" s="128">
        <f>IFERROR(AS777*$W777,)</f>
        <v/>
      </c>
      <c r="CE777" s="128">
        <f>IFERROR(AT777*$W777,)</f>
        <v/>
      </c>
      <c r="CF777" s="128">
        <f>IFERROR(AU777*$W777,)</f>
        <v/>
      </c>
      <c r="CG777" s="128">
        <f>IFERROR(AV777*$W777,)</f>
        <v/>
      </c>
      <c r="CH777" s="128">
        <f>IFERROR(AW777*$W777,)</f>
        <v/>
      </c>
      <c r="CI777" s="128">
        <f>IFERROR(AX777*$W777,)</f>
        <v/>
      </c>
      <c r="CJ777" s="128">
        <f>IFERROR(AY777*$W777,)</f>
        <v/>
      </c>
      <c r="CK777" s="128">
        <f>IFERROR(AZ777*$W777,)</f>
        <v/>
      </c>
      <c r="CL777" s="129">
        <f>IFERROR(if($Y777=0,BA777*($W777/1.2),BA777*$Y777),"")</f>
        <v/>
      </c>
      <c r="CM777" s="129">
        <f>IFERROR(if($Y777=0,BB777*($W777/1.2),BB777*$Y777),"")</f>
        <v/>
      </c>
      <c r="CN777" s="129">
        <f>IFERROR(if($Y777=0,BC777*($W777/1.2),BC777*$Y777),"")</f>
        <v/>
      </c>
      <c r="CO777" s="130">
        <f>IFERROR(if($AA777=0,($W777/1.35)*BD777,BD777*$AA777),)</f>
        <v/>
      </c>
      <c r="CP777" s="130">
        <f>IFERROR(if($AA777=0,($W777/1.35)*BE777,BE777*$AA777),)</f>
        <v/>
      </c>
      <c r="CQ777" s="130">
        <f>IFERROR(if($AA777=0,($W777/1.35)*BF777,BF777*$AA777),)</f>
        <v/>
      </c>
      <c r="CR777" s="128">
        <f>IFERROR(if($AC777=0,($W777/0.74)*BG777,
BG777*$AC777),)</f>
        <v/>
      </c>
      <c r="CS777" s="128">
        <f>IFERROR(if($AC777=0,($W777/0.74)*BH777,
BH777*$AC777),)</f>
        <v/>
      </c>
      <c r="CT777" s="128">
        <f>IFERROR(if($AC777=0,($W777/0.74)*BI777,
BI777*$AC777),)</f>
        <v/>
      </c>
      <c r="CU777" s="128">
        <f>IFERROR(AI777*$V777,)</f>
        <v/>
      </c>
      <c r="CV777" s="128">
        <f>IFERROR(AJ777*$V777,)</f>
        <v/>
      </c>
      <c r="CW777" s="128">
        <f>IFERROR(AK777*$V777,)</f>
        <v/>
      </c>
      <c r="CX777" s="128">
        <f>IFERROR(AL777*$V777,)</f>
        <v/>
      </c>
      <c r="CY777" s="128">
        <f>IFERROR(AM777*$V777,)</f>
        <v/>
      </c>
      <c r="CZ777" s="128">
        <f>IFERROR(AN777*$V777,)</f>
        <v/>
      </c>
      <c r="DA777" s="128">
        <f>IFERROR(AO777*$V777,)</f>
        <v/>
      </c>
      <c r="DB777" s="128">
        <f>IFERROR(AP777*$V777,)</f>
        <v/>
      </c>
      <c r="DC777" s="128">
        <f>IFERROR(AQ777*$V777,)</f>
        <v/>
      </c>
      <c r="DD777" s="128">
        <f>IFERROR(AR777*$V777,)</f>
        <v/>
      </c>
      <c r="DE777" s="128">
        <f>IFERROR(AS777*$V777,)</f>
        <v/>
      </c>
      <c r="DF777" s="128">
        <f>IFERROR(AT777*$V777,)</f>
        <v/>
      </c>
      <c r="DG777" s="128">
        <f>IFERROR(AU777*$V777,)</f>
        <v/>
      </c>
      <c r="DH777" s="128">
        <f>IFERROR(AV777*$V777,)</f>
        <v/>
      </c>
      <c r="DI777" s="128">
        <f>IFERROR(AW777*$V777,)</f>
        <v/>
      </c>
      <c r="DJ777" s="128">
        <f>IFERROR(AX777*$V777,)</f>
        <v/>
      </c>
      <c r="DK777" s="128">
        <f>IFERROR(AY777*$V777,)</f>
        <v/>
      </c>
      <c r="DL777" s="128">
        <f>IFERROR(AZ777*$V777,)</f>
        <v/>
      </c>
      <c r="DM777" s="129">
        <f>IFERROR(if($X777=0,($V777/1.2)*BA777,
BA777*$X777),)</f>
        <v/>
      </c>
      <c r="DN777" s="129">
        <f>IFERROR(if($X777=0,($V777/1.2)*BB777,
BB777*$X777),)</f>
        <v/>
      </c>
      <c r="DO777" s="129">
        <f>IFERROR(if($X777=0,($V777/1.2)*BC777,
BC777*$X777),)</f>
        <v/>
      </c>
      <c r="DP777" s="130">
        <f>IFERROR(if($Z777=0,($V777/1.35)*BD777,
BD777*$Z777),)</f>
        <v/>
      </c>
      <c r="DQ777" s="130">
        <f>IFERROR(if($Z777=0,($V777/1.35)*BE777,
BE777*$Z777),)</f>
        <v/>
      </c>
      <c r="DR777" s="130">
        <f>IFERROR(if($Z777=0,($V777/1.35)*BF777,
BF777*$Z777),)</f>
        <v/>
      </c>
      <c r="DS777" s="128">
        <f>IFERROR(IF($AB777=0,($V777/0.74)*BG777,
BG777*$AB777),)</f>
        <v/>
      </c>
      <c r="DT777" s="128">
        <f>IFERROR(IF($AB777=0,($V777/0.74)*BH777,
BH777*$AB777),)</f>
        <v/>
      </c>
      <c r="DU777" s="128">
        <f>IFERROR(IF($AB777=0,($V777/0.74)*BI777,
BI777*$AB777),)</f>
        <v/>
      </c>
    </row>
    <row r="778" ht="131.25" customHeight="1" s="162">
      <c r="A778" s="115" t="n"/>
      <c r="B778" s="115" t="n"/>
      <c r="C778" s="115" t="n"/>
      <c r="D778" s="115" t="n"/>
      <c r="E778" s="115" t="n"/>
      <c r="F778" s="115" t="n"/>
      <c r="G778" s="115" t="n"/>
      <c r="H778" s="115" t="n"/>
      <c r="I778" s="115" t="n"/>
      <c r="J778" s="115" t="n"/>
      <c r="K778" s="115" t="n"/>
      <c r="L778" s="115" t="n"/>
      <c r="M778" s="115" t="n"/>
      <c r="N778" s="115" t="n"/>
      <c r="O778" s="115" t="n"/>
      <c r="P778" s="115" t="n"/>
      <c r="Q778" s="115" t="n"/>
      <c r="R778" s="115" t="n"/>
      <c r="S778" s="115" t="n"/>
      <c r="T778" s="115" t="n"/>
      <c r="U778" s="116" t="n"/>
      <c r="V778" s="116" t="n"/>
      <c r="W778" s="117" t="n"/>
      <c r="X778" s="118" t="n"/>
      <c r="Y778" s="119" t="n"/>
      <c r="Z778" s="120" t="n"/>
      <c r="AA778" s="121" t="n"/>
      <c r="AB778" s="122" t="n"/>
      <c r="AC778" s="117" t="n"/>
      <c r="AD778" s="123">
        <f>IF(SUM($AE778:$AH778)=0,"",SUM($AE778:$AH778))</f>
        <v/>
      </c>
      <c r="AE778" s="123">
        <f>iferror(IF(SUM($AI778:$AZ778)=0,"",SUM($AI778:$AZ778)),"")</f>
        <v/>
      </c>
      <c r="AF778" s="123">
        <f>iferror(IF(SUM($BA778:$BC778)=0,"",SUM($BA778:$BC778)),"")</f>
        <v/>
      </c>
      <c r="AG778" s="123">
        <f>iferror(IF(SUM($BD778:$BF778)=0,"",SUM($BD778:$BF778)),"")</f>
        <v/>
      </c>
      <c r="AH778" s="124">
        <f>iferror(IF(SUM($BG778:$BI778)=0,"",SUM($BG778:$BI778)),"")</f>
        <v/>
      </c>
      <c r="AI778" s="131" t="n"/>
      <c r="AJ778" s="132" t="n"/>
      <c r="AK778" s="132" t="n"/>
      <c r="AL778" s="132" t="n"/>
      <c r="AM778" s="132" t="n"/>
      <c r="AN778" s="132" t="n"/>
      <c r="AO778" s="132" t="n"/>
      <c r="AP778" s="132" t="n"/>
      <c r="AQ778" s="132" t="n"/>
      <c r="AR778" s="132" t="n"/>
      <c r="AS778" s="132" t="n"/>
      <c r="AT778" s="132" t="n"/>
      <c r="AU778" s="132" t="n"/>
      <c r="AV778" s="132" t="n"/>
      <c r="AW778" s="132" t="n"/>
      <c r="AX778" s="132" t="n"/>
      <c r="AY778" s="132" t="n"/>
      <c r="AZ778" s="133" t="n"/>
      <c r="BA778" s="131" t="n"/>
      <c r="BB778" s="132" t="n"/>
      <c r="BC778" s="133" t="n"/>
      <c r="BD778" s="131" t="n"/>
      <c r="BE778" s="132" t="n"/>
      <c r="BF778" s="133" t="n"/>
      <c r="BG778" s="131" t="n"/>
      <c r="BH778" s="132" t="n"/>
      <c r="BI778" s="132" t="n"/>
      <c r="BJ778" s="128">
        <f>iferror(SUM($BK778,($BL778*1.2),($BM778*1.35),($BN778*0.74)),)</f>
        <v/>
      </c>
      <c r="BK778" s="128">
        <f>IFERROR(SUM($BT778:$CK778),)</f>
        <v/>
      </c>
      <c r="BL778" s="129">
        <f>IFERROR(SUM($CL778:$CN778),)</f>
        <v/>
      </c>
      <c r="BM778" s="130">
        <f>IFERROR(SUM($CO778:$CQ778),)</f>
        <v/>
      </c>
      <c r="BN778" s="128">
        <f>IFERROR(SUM($CR778:$CT778),)</f>
        <v/>
      </c>
      <c r="BO778" s="128">
        <f>iferror(SUM($BP778,($BQ778*1.2),($BR778*1.35),($BS778*0.74)),)</f>
        <v/>
      </c>
      <c r="BP778" s="128">
        <f>IFERROR(SUM($CU778:$DL778),)</f>
        <v/>
      </c>
      <c r="BQ778" s="128">
        <f>IFERROR(SUM($DM778:$DO778),)</f>
        <v/>
      </c>
      <c r="BR778" s="128">
        <f>IFERROR(SUM($DP778:$DR778),)</f>
        <v/>
      </c>
      <c r="BS778" s="128">
        <f>IFERROR(SUM($DS778:$DU778),)</f>
        <v/>
      </c>
      <c r="BT778" s="128">
        <f>IFERROR(AI778*$W778,)</f>
        <v/>
      </c>
      <c r="BU778" s="128">
        <f>IFERROR(AJ778*$W778,)</f>
        <v/>
      </c>
      <c r="BV778" s="128">
        <f>IFERROR(AK778*$W778,)</f>
        <v/>
      </c>
      <c r="BW778" s="128">
        <f>IFERROR(AL778*$W778,)</f>
        <v/>
      </c>
      <c r="BX778" s="128">
        <f>IFERROR(AM778*$W778,)</f>
        <v/>
      </c>
      <c r="BY778" s="128">
        <f>IFERROR(AN778*$W778,)</f>
        <v/>
      </c>
      <c r="BZ778" s="128">
        <f>IFERROR(AO778*$W778,)</f>
        <v/>
      </c>
      <c r="CA778" s="128">
        <f>IFERROR(AP778*$W778,)</f>
        <v/>
      </c>
      <c r="CB778" s="128">
        <f>IFERROR(AQ778*$W778,)</f>
        <v/>
      </c>
      <c r="CC778" s="128">
        <f>IFERROR(AR778*$W778,)</f>
        <v/>
      </c>
      <c r="CD778" s="128">
        <f>IFERROR(AS778*$W778,)</f>
        <v/>
      </c>
      <c r="CE778" s="128">
        <f>IFERROR(AT778*$W778,)</f>
        <v/>
      </c>
      <c r="CF778" s="128">
        <f>IFERROR(AU778*$W778,)</f>
        <v/>
      </c>
      <c r="CG778" s="128">
        <f>IFERROR(AV778*$W778,)</f>
        <v/>
      </c>
      <c r="CH778" s="128">
        <f>IFERROR(AW778*$W778,)</f>
        <v/>
      </c>
      <c r="CI778" s="128">
        <f>IFERROR(AX778*$W778,)</f>
        <v/>
      </c>
      <c r="CJ778" s="128">
        <f>IFERROR(AY778*$W778,)</f>
        <v/>
      </c>
      <c r="CK778" s="128">
        <f>IFERROR(AZ778*$W778,)</f>
        <v/>
      </c>
      <c r="CL778" s="129">
        <f>IFERROR(if($Y778=0,BA778*($W778/1.2),BA778*$Y778),"")</f>
        <v/>
      </c>
      <c r="CM778" s="129">
        <f>IFERROR(if($Y778=0,BB778*($W778/1.2),BB778*$Y778),"")</f>
        <v/>
      </c>
      <c r="CN778" s="129">
        <f>IFERROR(if($Y778=0,BC778*($W778/1.2),BC778*$Y778),"")</f>
        <v/>
      </c>
      <c r="CO778" s="130">
        <f>IFERROR(if($AA778=0,($W778/1.35)*BD778,BD778*$AA778),)</f>
        <v/>
      </c>
      <c r="CP778" s="130">
        <f>IFERROR(if($AA778=0,($W778/1.35)*BE778,BE778*$AA778),)</f>
        <v/>
      </c>
      <c r="CQ778" s="130">
        <f>IFERROR(if($AA778=0,($W778/1.35)*BF778,BF778*$AA778),)</f>
        <v/>
      </c>
      <c r="CR778" s="128">
        <f>IFERROR(if($AC778=0,($W778/0.74)*BG778,
BG778*$AC778),)</f>
        <v/>
      </c>
      <c r="CS778" s="128">
        <f>IFERROR(if($AC778=0,($W778/0.74)*BH778,
BH778*$AC778),)</f>
        <v/>
      </c>
      <c r="CT778" s="128">
        <f>IFERROR(if($AC778=0,($W778/0.74)*BI778,
BI778*$AC778),)</f>
        <v/>
      </c>
      <c r="CU778" s="128">
        <f>IFERROR(AI778*$V778,)</f>
        <v/>
      </c>
      <c r="CV778" s="128">
        <f>IFERROR(AJ778*$V778,)</f>
        <v/>
      </c>
      <c r="CW778" s="128">
        <f>IFERROR(AK778*$V778,)</f>
        <v/>
      </c>
      <c r="CX778" s="128">
        <f>IFERROR(AL778*$V778,)</f>
        <v/>
      </c>
      <c r="CY778" s="128">
        <f>IFERROR(AM778*$V778,)</f>
        <v/>
      </c>
      <c r="CZ778" s="128">
        <f>IFERROR(AN778*$V778,)</f>
        <v/>
      </c>
      <c r="DA778" s="128">
        <f>IFERROR(AO778*$V778,)</f>
        <v/>
      </c>
      <c r="DB778" s="128">
        <f>IFERROR(AP778*$V778,)</f>
        <v/>
      </c>
      <c r="DC778" s="128">
        <f>IFERROR(AQ778*$V778,)</f>
        <v/>
      </c>
      <c r="DD778" s="128">
        <f>IFERROR(AR778*$V778,)</f>
        <v/>
      </c>
      <c r="DE778" s="128">
        <f>IFERROR(AS778*$V778,)</f>
        <v/>
      </c>
      <c r="DF778" s="128">
        <f>IFERROR(AT778*$V778,)</f>
        <v/>
      </c>
      <c r="DG778" s="128">
        <f>IFERROR(AU778*$V778,)</f>
        <v/>
      </c>
      <c r="DH778" s="128">
        <f>IFERROR(AV778*$V778,)</f>
        <v/>
      </c>
      <c r="DI778" s="128">
        <f>IFERROR(AW778*$V778,)</f>
        <v/>
      </c>
      <c r="DJ778" s="128">
        <f>IFERROR(AX778*$V778,)</f>
        <v/>
      </c>
      <c r="DK778" s="128">
        <f>IFERROR(AY778*$V778,)</f>
        <v/>
      </c>
      <c r="DL778" s="128">
        <f>IFERROR(AZ778*$V778,)</f>
        <v/>
      </c>
      <c r="DM778" s="129">
        <f>IFERROR(if($X778=0,($V778/1.2)*BA778,
BA778*$X778),)</f>
        <v/>
      </c>
      <c r="DN778" s="129">
        <f>IFERROR(if($X778=0,($V778/1.2)*BB778,
BB778*$X778),)</f>
        <v/>
      </c>
      <c r="DO778" s="129">
        <f>IFERROR(if($X778=0,($V778/1.2)*BC778,
BC778*$X778),)</f>
        <v/>
      </c>
      <c r="DP778" s="130">
        <f>IFERROR(if($Z778=0,($V778/1.35)*BD778,
BD778*$Z778),)</f>
        <v/>
      </c>
      <c r="DQ778" s="130">
        <f>IFERROR(if($Z778=0,($V778/1.35)*BE778,
BE778*$Z778),)</f>
        <v/>
      </c>
      <c r="DR778" s="130">
        <f>IFERROR(if($Z778=0,($V778/1.35)*BF778,
BF778*$Z778),)</f>
        <v/>
      </c>
      <c r="DS778" s="128">
        <f>IFERROR(IF($AB778=0,($V778/0.74)*BG778,
BG778*$AB778),)</f>
        <v/>
      </c>
      <c r="DT778" s="128">
        <f>IFERROR(IF($AB778=0,($V778/0.74)*BH778,
BH778*$AB778),)</f>
        <v/>
      </c>
      <c r="DU778" s="128">
        <f>IFERROR(IF($AB778=0,($V778/0.74)*BI778,
BI778*$AB778),)</f>
        <v/>
      </c>
    </row>
    <row r="779" ht="131.25" customHeight="1" s="162">
      <c r="A779" s="115" t="n"/>
      <c r="B779" s="115" t="n"/>
      <c r="C779" s="115" t="n"/>
      <c r="D779" s="115" t="n"/>
      <c r="E779" s="115" t="n"/>
      <c r="F779" s="115" t="n"/>
      <c r="G779" s="115" t="n"/>
      <c r="H779" s="115" t="n"/>
      <c r="I779" s="115" t="n"/>
      <c r="J779" s="115" t="n"/>
      <c r="K779" s="115" t="n"/>
      <c r="L779" s="115" t="n"/>
      <c r="M779" s="115" t="n"/>
      <c r="N779" s="115" t="n"/>
      <c r="O779" s="115" t="n"/>
      <c r="P779" s="115" t="n"/>
      <c r="Q779" s="115" t="n"/>
      <c r="R779" s="115" t="n"/>
      <c r="S779" s="115" t="n"/>
      <c r="T779" s="115" t="n"/>
      <c r="U779" s="116" t="n"/>
      <c r="V779" s="116" t="n"/>
      <c r="W779" s="117" t="n"/>
      <c r="X779" s="118" t="n"/>
      <c r="Y779" s="119" t="n"/>
      <c r="Z779" s="120" t="n"/>
      <c r="AA779" s="121" t="n"/>
      <c r="AB779" s="122" t="n"/>
      <c r="AC779" s="117" t="n"/>
      <c r="AD779" s="123">
        <f>IF(SUM($AE779:$AH779)=0,"",SUM($AE779:$AH779))</f>
        <v/>
      </c>
      <c r="AE779" s="123">
        <f>iferror(IF(SUM($AI779:$AZ779)=0,"",SUM($AI779:$AZ779)),"")</f>
        <v/>
      </c>
      <c r="AF779" s="123">
        <f>iferror(IF(SUM($BA779:$BC779)=0,"",SUM($BA779:$BC779)),"")</f>
        <v/>
      </c>
      <c r="AG779" s="123">
        <f>iferror(IF(SUM($BD779:$BF779)=0,"",SUM($BD779:$BF779)),"")</f>
        <v/>
      </c>
      <c r="AH779" s="124">
        <f>iferror(IF(SUM($BG779:$BI779)=0,"",SUM($BG779:$BI779)),"")</f>
        <v/>
      </c>
      <c r="AI779" s="131" t="n"/>
      <c r="AJ779" s="132" t="n"/>
      <c r="AK779" s="132" t="n"/>
      <c r="AL779" s="132" t="n"/>
      <c r="AM779" s="132" t="n"/>
      <c r="AN779" s="132" t="n"/>
      <c r="AO779" s="132" t="n"/>
      <c r="AP779" s="132" t="n"/>
      <c r="AQ779" s="132" t="n"/>
      <c r="AR779" s="132" t="n"/>
      <c r="AS779" s="132" t="n"/>
      <c r="AT779" s="132" t="n"/>
      <c r="AU779" s="132" t="n"/>
      <c r="AV779" s="132" t="n"/>
      <c r="AW779" s="132" t="n"/>
      <c r="AX779" s="132" t="n"/>
      <c r="AY779" s="132" t="n"/>
      <c r="AZ779" s="133" t="n"/>
      <c r="BA779" s="131" t="n"/>
      <c r="BB779" s="132" t="n"/>
      <c r="BC779" s="133" t="n"/>
      <c r="BD779" s="131" t="n"/>
      <c r="BE779" s="132" t="n"/>
      <c r="BF779" s="133" t="n"/>
      <c r="BG779" s="131" t="n"/>
      <c r="BH779" s="132" t="n"/>
      <c r="BI779" s="132" t="n"/>
      <c r="BJ779" s="128">
        <f>iferror(SUM($BK779,($BL779*1.2),($BM779*1.35),($BN779*0.74)),)</f>
        <v/>
      </c>
      <c r="BK779" s="128">
        <f>IFERROR(SUM($BT779:$CK779),)</f>
        <v/>
      </c>
      <c r="BL779" s="129">
        <f>IFERROR(SUM($CL779:$CN779),)</f>
        <v/>
      </c>
      <c r="BM779" s="130">
        <f>IFERROR(SUM($CO779:$CQ779),)</f>
        <v/>
      </c>
      <c r="BN779" s="128">
        <f>IFERROR(SUM($CR779:$CT779),)</f>
        <v/>
      </c>
      <c r="BO779" s="128">
        <f>iferror(SUM($BP779,($BQ779*1.2),($BR779*1.35),($BS779*0.74)),)</f>
        <v/>
      </c>
      <c r="BP779" s="128">
        <f>IFERROR(SUM($CU779:$DL779),)</f>
        <v/>
      </c>
      <c r="BQ779" s="128">
        <f>IFERROR(SUM($DM779:$DO779),)</f>
        <v/>
      </c>
      <c r="BR779" s="128">
        <f>IFERROR(SUM($DP779:$DR779),)</f>
        <v/>
      </c>
      <c r="BS779" s="128">
        <f>IFERROR(SUM($DS779:$DU779),)</f>
        <v/>
      </c>
      <c r="BT779" s="128">
        <f>IFERROR(AI779*$W779,)</f>
        <v/>
      </c>
      <c r="BU779" s="128">
        <f>IFERROR(AJ779*$W779,)</f>
        <v/>
      </c>
      <c r="BV779" s="128">
        <f>IFERROR(AK779*$W779,)</f>
        <v/>
      </c>
      <c r="BW779" s="128">
        <f>IFERROR(AL779*$W779,)</f>
        <v/>
      </c>
      <c r="BX779" s="128">
        <f>IFERROR(AM779*$W779,)</f>
        <v/>
      </c>
      <c r="BY779" s="128">
        <f>IFERROR(AN779*$W779,)</f>
        <v/>
      </c>
      <c r="BZ779" s="128">
        <f>IFERROR(AO779*$W779,)</f>
        <v/>
      </c>
      <c r="CA779" s="128">
        <f>IFERROR(AP779*$W779,)</f>
        <v/>
      </c>
      <c r="CB779" s="128">
        <f>IFERROR(AQ779*$W779,)</f>
        <v/>
      </c>
      <c r="CC779" s="128">
        <f>IFERROR(AR779*$W779,)</f>
        <v/>
      </c>
      <c r="CD779" s="128">
        <f>IFERROR(AS779*$W779,)</f>
        <v/>
      </c>
      <c r="CE779" s="128">
        <f>IFERROR(AT779*$W779,)</f>
        <v/>
      </c>
      <c r="CF779" s="128">
        <f>IFERROR(AU779*$W779,)</f>
        <v/>
      </c>
      <c r="CG779" s="128">
        <f>IFERROR(AV779*$W779,)</f>
        <v/>
      </c>
      <c r="CH779" s="128">
        <f>IFERROR(AW779*$W779,)</f>
        <v/>
      </c>
      <c r="CI779" s="128">
        <f>IFERROR(AX779*$W779,)</f>
        <v/>
      </c>
      <c r="CJ779" s="128">
        <f>IFERROR(AY779*$W779,)</f>
        <v/>
      </c>
      <c r="CK779" s="128">
        <f>IFERROR(AZ779*$W779,)</f>
        <v/>
      </c>
      <c r="CL779" s="129">
        <f>IFERROR(if($Y779=0,BA779*($W779/1.2),BA779*$Y779),"")</f>
        <v/>
      </c>
      <c r="CM779" s="129">
        <f>IFERROR(if($Y779=0,BB779*($W779/1.2),BB779*$Y779),"")</f>
        <v/>
      </c>
      <c r="CN779" s="129">
        <f>IFERROR(if($Y779=0,BC779*($W779/1.2),BC779*$Y779),"")</f>
        <v/>
      </c>
      <c r="CO779" s="130">
        <f>IFERROR(if($AA779=0,($W779/1.35)*BD779,BD779*$AA779),)</f>
        <v/>
      </c>
      <c r="CP779" s="130">
        <f>IFERROR(if($AA779=0,($W779/1.35)*BE779,BE779*$AA779),)</f>
        <v/>
      </c>
      <c r="CQ779" s="130">
        <f>IFERROR(if($AA779=0,($W779/1.35)*BF779,BF779*$AA779),)</f>
        <v/>
      </c>
      <c r="CR779" s="128">
        <f>IFERROR(if($AC779=0,($W779/0.74)*BG779,
BG779*$AC779),)</f>
        <v/>
      </c>
      <c r="CS779" s="128">
        <f>IFERROR(if($AC779=0,($W779/0.74)*BH779,
BH779*$AC779),)</f>
        <v/>
      </c>
      <c r="CT779" s="128">
        <f>IFERROR(if($AC779=0,($W779/0.74)*BI779,
BI779*$AC779),)</f>
        <v/>
      </c>
      <c r="CU779" s="128">
        <f>IFERROR(AI779*$V779,)</f>
        <v/>
      </c>
      <c r="CV779" s="128">
        <f>IFERROR(AJ779*$V779,)</f>
        <v/>
      </c>
      <c r="CW779" s="128">
        <f>IFERROR(AK779*$V779,)</f>
        <v/>
      </c>
      <c r="CX779" s="128">
        <f>IFERROR(AL779*$V779,)</f>
        <v/>
      </c>
      <c r="CY779" s="128">
        <f>IFERROR(AM779*$V779,)</f>
        <v/>
      </c>
      <c r="CZ779" s="128">
        <f>IFERROR(AN779*$V779,)</f>
        <v/>
      </c>
      <c r="DA779" s="128">
        <f>IFERROR(AO779*$V779,)</f>
        <v/>
      </c>
      <c r="DB779" s="128">
        <f>IFERROR(AP779*$V779,)</f>
        <v/>
      </c>
      <c r="DC779" s="128">
        <f>IFERROR(AQ779*$V779,)</f>
        <v/>
      </c>
      <c r="DD779" s="128">
        <f>IFERROR(AR779*$V779,)</f>
        <v/>
      </c>
      <c r="DE779" s="128">
        <f>IFERROR(AS779*$V779,)</f>
        <v/>
      </c>
      <c r="DF779" s="128">
        <f>IFERROR(AT779*$V779,)</f>
        <v/>
      </c>
      <c r="DG779" s="128">
        <f>IFERROR(AU779*$V779,)</f>
        <v/>
      </c>
      <c r="DH779" s="128">
        <f>IFERROR(AV779*$V779,)</f>
        <v/>
      </c>
      <c r="DI779" s="128">
        <f>IFERROR(AW779*$V779,)</f>
        <v/>
      </c>
      <c r="DJ779" s="128">
        <f>IFERROR(AX779*$V779,)</f>
        <v/>
      </c>
      <c r="DK779" s="128">
        <f>IFERROR(AY779*$V779,)</f>
        <v/>
      </c>
      <c r="DL779" s="128">
        <f>IFERROR(AZ779*$V779,)</f>
        <v/>
      </c>
      <c r="DM779" s="129">
        <f>IFERROR(if($X779=0,($V779/1.2)*BA779,
BA779*$X779),)</f>
        <v/>
      </c>
      <c r="DN779" s="129">
        <f>IFERROR(if($X779=0,($V779/1.2)*BB779,
BB779*$X779),)</f>
        <v/>
      </c>
      <c r="DO779" s="129">
        <f>IFERROR(if($X779=0,($V779/1.2)*BC779,
BC779*$X779),)</f>
        <v/>
      </c>
      <c r="DP779" s="130">
        <f>IFERROR(if($Z779=0,($V779/1.35)*BD779,
BD779*$Z779),)</f>
        <v/>
      </c>
      <c r="DQ779" s="130">
        <f>IFERROR(if($Z779=0,($V779/1.35)*BE779,
BE779*$Z779),)</f>
        <v/>
      </c>
      <c r="DR779" s="130">
        <f>IFERROR(if($Z779=0,($V779/1.35)*BF779,
BF779*$Z779),)</f>
        <v/>
      </c>
      <c r="DS779" s="128">
        <f>IFERROR(IF($AB779=0,($V779/0.74)*BG779,
BG779*$AB779),)</f>
        <v/>
      </c>
      <c r="DT779" s="128">
        <f>IFERROR(IF($AB779=0,($V779/0.74)*BH779,
BH779*$AB779),)</f>
        <v/>
      </c>
      <c r="DU779" s="128">
        <f>IFERROR(IF($AB779=0,($V779/0.74)*BI779,
BI779*$AB779),)</f>
        <v/>
      </c>
    </row>
    <row r="780" ht="131.25" customHeight="1" s="162">
      <c r="A780" s="115" t="n"/>
      <c r="B780" s="115" t="n"/>
      <c r="C780" s="115" t="n"/>
      <c r="D780" s="115" t="n"/>
      <c r="E780" s="115" t="n"/>
      <c r="F780" s="115" t="n"/>
      <c r="G780" s="115" t="n"/>
      <c r="H780" s="115" t="n"/>
      <c r="I780" s="115" t="n"/>
      <c r="J780" s="115" t="n"/>
      <c r="K780" s="115" t="n"/>
      <c r="L780" s="115" t="n"/>
      <c r="M780" s="115" t="n"/>
      <c r="N780" s="115" t="n"/>
      <c r="O780" s="115" t="n"/>
      <c r="P780" s="115" t="n"/>
      <c r="Q780" s="115" t="n"/>
      <c r="R780" s="115" t="n"/>
      <c r="S780" s="115" t="n"/>
      <c r="T780" s="115" t="n"/>
      <c r="U780" s="116" t="n"/>
      <c r="V780" s="116" t="n"/>
      <c r="W780" s="117" t="n"/>
      <c r="X780" s="118" t="n"/>
      <c r="Y780" s="119" t="n"/>
      <c r="Z780" s="120" t="n"/>
      <c r="AA780" s="121" t="n"/>
      <c r="AB780" s="122" t="n"/>
      <c r="AC780" s="117" t="n"/>
      <c r="AD780" s="123">
        <f>IF(SUM($AE780:$AH780)=0,"",SUM($AE780:$AH780))</f>
        <v/>
      </c>
      <c r="AE780" s="123">
        <f>iferror(IF(SUM($AI780:$AZ780)=0,"",SUM($AI780:$AZ780)),"")</f>
        <v/>
      </c>
      <c r="AF780" s="123">
        <f>iferror(IF(SUM($BA780:$BC780)=0,"",SUM($BA780:$BC780)),"")</f>
        <v/>
      </c>
      <c r="AG780" s="123">
        <f>iferror(IF(SUM($BD780:$BF780)=0,"",SUM($BD780:$BF780)),"")</f>
        <v/>
      </c>
      <c r="AH780" s="124">
        <f>iferror(IF(SUM($BG780:$BI780)=0,"",SUM($BG780:$BI780)),"")</f>
        <v/>
      </c>
      <c r="AI780" s="131" t="n"/>
      <c r="AJ780" s="132" t="n"/>
      <c r="AK780" s="132" t="n"/>
      <c r="AL780" s="132" t="n"/>
      <c r="AM780" s="132" t="n"/>
      <c r="AN780" s="132" t="n"/>
      <c r="AO780" s="132" t="n"/>
      <c r="AP780" s="132" t="n"/>
      <c r="AQ780" s="132" t="n"/>
      <c r="AR780" s="132" t="n"/>
      <c r="AS780" s="132" t="n"/>
      <c r="AT780" s="132" t="n"/>
      <c r="AU780" s="132" t="n"/>
      <c r="AV780" s="132" t="n"/>
      <c r="AW780" s="132" t="n"/>
      <c r="AX780" s="132" t="n"/>
      <c r="AY780" s="132" t="n"/>
      <c r="AZ780" s="133" t="n"/>
      <c r="BA780" s="131" t="n"/>
      <c r="BB780" s="132" t="n"/>
      <c r="BC780" s="133" t="n"/>
      <c r="BD780" s="131" t="n"/>
      <c r="BE780" s="132" t="n"/>
      <c r="BF780" s="133" t="n"/>
      <c r="BG780" s="131" t="n"/>
      <c r="BH780" s="132" t="n"/>
      <c r="BI780" s="132" t="n"/>
      <c r="BJ780" s="128">
        <f>iferror(SUM($BK780,($BL780*1.2),($BM780*1.35),($BN780*0.74)),)</f>
        <v/>
      </c>
      <c r="BK780" s="128">
        <f>IFERROR(SUM($BT780:$CK780),)</f>
        <v/>
      </c>
      <c r="BL780" s="129">
        <f>IFERROR(SUM($CL780:$CN780),)</f>
        <v/>
      </c>
      <c r="BM780" s="130">
        <f>IFERROR(SUM($CO780:$CQ780),)</f>
        <v/>
      </c>
      <c r="BN780" s="128">
        <f>IFERROR(SUM($CR780:$CT780),)</f>
        <v/>
      </c>
      <c r="BO780" s="128">
        <f>iferror(SUM($BP780,($BQ780*1.2),($BR780*1.35),($BS780*0.74)),)</f>
        <v/>
      </c>
      <c r="BP780" s="128">
        <f>IFERROR(SUM($CU780:$DL780),)</f>
        <v/>
      </c>
      <c r="BQ780" s="128">
        <f>IFERROR(SUM($DM780:$DO780),)</f>
        <v/>
      </c>
      <c r="BR780" s="128">
        <f>IFERROR(SUM($DP780:$DR780),)</f>
        <v/>
      </c>
      <c r="BS780" s="128">
        <f>IFERROR(SUM($DS780:$DU780),)</f>
        <v/>
      </c>
      <c r="BT780" s="128">
        <f>IFERROR(AI780*$W780,)</f>
        <v/>
      </c>
      <c r="BU780" s="128">
        <f>IFERROR(AJ780*$W780,)</f>
        <v/>
      </c>
      <c r="BV780" s="128">
        <f>IFERROR(AK780*$W780,)</f>
        <v/>
      </c>
      <c r="BW780" s="128">
        <f>IFERROR(AL780*$W780,)</f>
        <v/>
      </c>
      <c r="BX780" s="128">
        <f>IFERROR(AM780*$W780,)</f>
        <v/>
      </c>
      <c r="BY780" s="128">
        <f>IFERROR(AN780*$W780,)</f>
        <v/>
      </c>
      <c r="BZ780" s="128">
        <f>IFERROR(AO780*$W780,)</f>
        <v/>
      </c>
      <c r="CA780" s="128">
        <f>IFERROR(AP780*$W780,)</f>
        <v/>
      </c>
      <c r="CB780" s="128">
        <f>IFERROR(AQ780*$W780,)</f>
        <v/>
      </c>
      <c r="CC780" s="128">
        <f>IFERROR(AR780*$W780,)</f>
        <v/>
      </c>
      <c r="CD780" s="128">
        <f>IFERROR(AS780*$W780,)</f>
        <v/>
      </c>
      <c r="CE780" s="128">
        <f>IFERROR(AT780*$W780,)</f>
        <v/>
      </c>
      <c r="CF780" s="128">
        <f>IFERROR(AU780*$W780,)</f>
        <v/>
      </c>
      <c r="CG780" s="128">
        <f>IFERROR(AV780*$W780,)</f>
        <v/>
      </c>
      <c r="CH780" s="128">
        <f>IFERROR(AW780*$W780,)</f>
        <v/>
      </c>
      <c r="CI780" s="128">
        <f>IFERROR(AX780*$W780,)</f>
        <v/>
      </c>
      <c r="CJ780" s="128">
        <f>IFERROR(AY780*$W780,)</f>
        <v/>
      </c>
      <c r="CK780" s="128">
        <f>IFERROR(AZ780*$W780,)</f>
        <v/>
      </c>
      <c r="CL780" s="129">
        <f>IFERROR(if($Y780=0,BA780*($W780/1.2),BA780*$Y780),"")</f>
        <v/>
      </c>
      <c r="CM780" s="129">
        <f>IFERROR(if($Y780=0,BB780*($W780/1.2),BB780*$Y780),"")</f>
        <v/>
      </c>
      <c r="CN780" s="129">
        <f>IFERROR(if($Y780=0,BC780*($W780/1.2),BC780*$Y780),"")</f>
        <v/>
      </c>
      <c r="CO780" s="130">
        <f>IFERROR(if($AA780=0,($W780/1.35)*BD780,BD780*$AA780),)</f>
        <v/>
      </c>
      <c r="CP780" s="130">
        <f>IFERROR(if($AA780=0,($W780/1.35)*BE780,BE780*$AA780),)</f>
        <v/>
      </c>
      <c r="CQ780" s="130">
        <f>IFERROR(if($AA780=0,($W780/1.35)*BF780,BF780*$AA780),)</f>
        <v/>
      </c>
      <c r="CR780" s="128">
        <f>IFERROR(if($AC780=0,($W780/0.74)*BG780,
BG780*$AC780),)</f>
        <v/>
      </c>
      <c r="CS780" s="128">
        <f>IFERROR(if($AC780=0,($W780/0.74)*BH780,
BH780*$AC780),)</f>
        <v/>
      </c>
      <c r="CT780" s="128">
        <f>IFERROR(if($AC780=0,($W780/0.74)*BI780,
BI780*$AC780),)</f>
        <v/>
      </c>
      <c r="CU780" s="128">
        <f>IFERROR(AI780*$V780,)</f>
        <v/>
      </c>
      <c r="CV780" s="128">
        <f>IFERROR(AJ780*$V780,)</f>
        <v/>
      </c>
      <c r="CW780" s="128">
        <f>IFERROR(AK780*$V780,)</f>
        <v/>
      </c>
      <c r="CX780" s="128">
        <f>IFERROR(AL780*$V780,)</f>
        <v/>
      </c>
      <c r="CY780" s="128">
        <f>IFERROR(AM780*$V780,)</f>
        <v/>
      </c>
      <c r="CZ780" s="128">
        <f>IFERROR(AN780*$V780,)</f>
        <v/>
      </c>
      <c r="DA780" s="128">
        <f>IFERROR(AO780*$V780,)</f>
        <v/>
      </c>
      <c r="DB780" s="128">
        <f>IFERROR(AP780*$V780,)</f>
        <v/>
      </c>
      <c r="DC780" s="128">
        <f>IFERROR(AQ780*$V780,)</f>
        <v/>
      </c>
      <c r="DD780" s="128">
        <f>IFERROR(AR780*$V780,)</f>
        <v/>
      </c>
      <c r="DE780" s="128">
        <f>IFERROR(AS780*$V780,)</f>
        <v/>
      </c>
      <c r="DF780" s="128">
        <f>IFERROR(AT780*$V780,)</f>
        <v/>
      </c>
      <c r="DG780" s="128">
        <f>IFERROR(AU780*$V780,)</f>
        <v/>
      </c>
      <c r="DH780" s="128">
        <f>IFERROR(AV780*$V780,)</f>
        <v/>
      </c>
      <c r="DI780" s="128">
        <f>IFERROR(AW780*$V780,)</f>
        <v/>
      </c>
      <c r="DJ780" s="128">
        <f>IFERROR(AX780*$V780,)</f>
        <v/>
      </c>
      <c r="DK780" s="128">
        <f>IFERROR(AY780*$V780,)</f>
        <v/>
      </c>
      <c r="DL780" s="128">
        <f>IFERROR(AZ780*$V780,)</f>
        <v/>
      </c>
      <c r="DM780" s="129">
        <f>IFERROR(if($X780=0,($V780/1.2)*BA780,
BA780*$X780),)</f>
        <v/>
      </c>
      <c r="DN780" s="129">
        <f>IFERROR(if($X780=0,($V780/1.2)*BB780,
BB780*$X780),)</f>
        <v/>
      </c>
      <c r="DO780" s="129">
        <f>IFERROR(if($X780=0,($V780/1.2)*BC780,
BC780*$X780),)</f>
        <v/>
      </c>
      <c r="DP780" s="130">
        <f>IFERROR(if($Z780=0,($V780/1.35)*BD780,
BD780*$Z780),)</f>
        <v/>
      </c>
      <c r="DQ780" s="130">
        <f>IFERROR(if($Z780=0,($V780/1.35)*BE780,
BE780*$Z780),)</f>
        <v/>
      </c>
      <c r="DR780" s="130">
        <f>IFERROR(if($Z780=0,($V780/1.35)*BF780,
BF780*$Z780),)</f>
        <v/>
      </c>
      <c r="DS780" s="128">
        <f>IFERROR(IF($AB780=0,($V780/0.74)*BG780,
BG780*$AB780),)</f>
        <v/>
      </c>
      <c r="DT780" s="128">
        <f>IFERROR(IF($AB780=0,($V780/0.74)*BH780,
BH780*$AB780),)</f>
        <v/>
      </c>
      <c r="DU780" s="128">
        <f>IFERROR(IF($AB780=0,($V780/0.74)*BI780,
BI780*$AB780),)</f>
        <v/>
      </c>
    </row>
    <row r="781" ht="131.25" customHeight="1" s="162">
      <c r="A781" s="115" t="n"/>
      <c r="B781" s="115" t="n"/>
      <c r="C781" s="115" t="n"/>
      <c r="D781" s="115" t="n"/>
      <c r="E781" s="115" t="n"/>
      <c r="F781" s="115" t="n"/>
      <c r="G781" s="115" t="n"/>
      <c r="H781" s="115" t="n"/>
      <c r="I781" s="115" t="n"/>
      <c r="J781" s="115" t="n"/>
      <c r="K781" s="115" t="n"/>
      <c r="L781" s="115" t="n"/>
      <c r="M781" s="115" t="n"/>
      <c r="N781" s="115" t="n"/>
      <c r="O781" s="115" t="n"/>
      <c r="P781" s="115" t="n"/>
      <c r="Q781" s="115" t="n"/>
      <c r="R781" s="115" t="n"/>
      <c r="S781" s="115" t="n"/>
      <c r="T781" s="115" t="n"/>
      <c r="U781" s="116" t="n"/>
      <c r="V781" s="116" t="n"/>
      <c r="W781" s="117" t="n"/>
      <c r="X781" s="118" t="n"/>
      <c r="Y781" s="119" t="n"/>
      <c r="Z781" s="120" t="n"/>
      <c r="AA781" s="121" t="n"/>
      <c r="AB781" s="122" t="n"/>
      <c r="AC781" s="117" t="n"/>
      <c r="AD781" s="123">
        <f>IF(SUM($AE781:$AH781)=0,"",SUM($AE781:$AH781))</f>
        <v/>
      </c>
      <c r="AE781" s="123">
        <f>iferror(IF(SUM($AI781:$AZ781)=0,"",SUM($AI781:$AZ781)),"")</f>
        <v/>
      </c>
      <c r="AF781" s="123">
        <f>iferror(IF(SUM($BA781:$BC781)=0,"",SUM($BA781:$BC781)),"")</f>
        <v/>
      </c>
      <c r="AG781" s="123">
        <f>iferror(IF(SUM($BD781:$BF781)=0,"",SUM($BD781:$BF781)),"")</f>
        <v/>
      </c>
      <c r="AH781" s="124">
        <f>iferror(IF(SUM($BG781:$BI781)=0,"",SUM($BG781:$BI781)),"")</f>
        <v/>
      </c>
      <c r="AI781" s="131" t="n"/>
      <c r="AJ781" s="132" t="n"/>
      <c r="AK781" s="132" t="n"/>
      <c r="AL781" s="132" t="n"/>
      <c r="AM781" s="132" t="n"/>
      <c r="AN781" s="132" t="n"/>
      <c r="AO781" s="132" t="n"/>
      <c r="AP781" s="132" t="n"/>
      <c r="AQ781" s="132" t="n"/>
      <c r="AR781" s="132" t="n"/>
      <c r="AS781" s="132" t="n"/>
      <c r="AT781" s="132" t="n"/>
      <c r="AU781" s="132" t="n"/>
      <c r="AV781" s="132" t="n"/>
      <c r="AW781" s="132" t="n"/>
      <c r="AX781" s="132" t="n"/>
      <c r="AY781" s="132" t="n"/>
      <c r="AZ781" s="133" t="n"/>
      <c r="BA781" s="131" t="n"/>
      <c r="BB781" s="132" t="n"/>
      <c r="BC781" s="133" t="n"/>
      <c r="BD781" s="131" t="n"/>
      <c r="BE781" s="132" t="n"/>
      <c r="BF781" s="133" t="n"/>
      <c r="BG781" s="131" t="n"/>
      <c r="BH781" s="132" t="n"/>
      <c r="BI781" s="132" t="n"/>
      <c r="BJ781" s="128">
        <f>iferror(SUM($BK781,($BL781*1.2),($BM781*1.35),($BN781*0.74)),)</f>
        <v/>
      </c>
      <c r="BK781" s="128">
        <f>IFERROR(SUM($BT781:$CK781),)</f>
        <v/>
      </c>
      <c r="BL781" s="129">
        <f>IFERROR(SUM($CL781:$CN781),)</f>
        <v/>
      </c>
      <c r="BM781" s="130">
        <f>IFERROR(SUM($CO781:$CQ781),)</f>
        <v/>
      </c>
      <c r="BN781" s="128">
        <f>IFERROR(SUM($CR781:$CT781),)</f>
        <v/>
      </c>
      <c r="BO781" s="128">
        <f>iferror(SUM($BP781,($BQ781*1.2),($BR781*1.35),($BS781*0.74)),)</f>
        <v/>
      </c>
      <c r="BP781" s="128">
        <f>IFERROR(SUM($CU781:$DL781),)</f>
        <v/>
      </c>
      <c r="BQ781" s="128">
        <f>IFERROR(SUM($DM781:$DO781),)</f>
        <v/>
      </c>
      <c r="BR781" s="128">
        <f>IFERROR(SUM($DP781:$DR781),)</f>
        <v/>
      </c>
      <c r="BS781" s="128">
        <f>IFERROR(SUM($DS781:$DU781),)</f>
        <v/>
      </c>
      <c r="BT781" s="128">
        <f>IFERROR(AI781*$W781,)</f>
        <v/>
      </c>
      <c r="BU781" s="128">
        <f>IFERROR(AJ781*$W781,)</f>
        <v/>
      </c>
      <c r="BV781" s="128">
        <f>IFERROR(AK781*$W781,)</f>
        <v/>
      </c>
      <c r="BW781" s="128">
        <f>IFERROR(AL781*$W781,)</f>
        <v/>
      </c>
      <c r="BX781" s="128">
        <f>IFERROR(AM781*$W781,)</f>
        <v/>
      </c>
      <c r="BY781" s="128">
        <f>IFERROR(AN781*$W781,)</f>
        <v/>
      </c>
      <c r="BZ781" s="128">
        <f>IFERROR(AO781*$W781,)</f>
        <v/>
      </c>
      <c r="CA781" s="128">
        <f>IFERROR(AP781*$W781,)</f>
        <v/>
      </c>
      <c r="CB781" s="128">
        <f>IFERROR(AQ781*$W781,)</f>
        <v/>
      </c>
      <c r="CC781" s="128">
        <f>IFERROR(AR781*$W781,)</f>
        <v/>
      </c>
      <c r="CD781" s="128">
        <f>IFERROR(AS781*$W781,)</f>
        <v/>
      </c>
      <c r="CE781" s="128">
        <f>IFERROR(AT781*$W781,)</f>
        <v/>
      </c>
      <c r="CF781" s="128">
        <f>IFERROR(AU781*$W781,)</f>
        <v/>
      </c>
      <c r="CG781" s="128">
        <f>IFERROR(AV781*$W781,)</f>
        <v/>
      </c>
      <c r="CH781" s="128">
        <f>IFERROR(AW781*$W781,)</f>
        <v/>
      </c>
      <c r="CI781" s="128">
        <f>IFERROR(AX781*$W781,)</f>
        <v/>
      </c>
      <c r="CJ781" s="128">
        <f>IFERROR(AY781*$W781,)</f>
        <v/>
      </c>
      <c r="CK781" s="128">
        <f>IFERROR(AZ781*$W781,)</f>
        <v/>
      </c>
      <c r="CL781" s="129">
        <f>IFERROR(if($Y781=0,BA781*($W781/1.2),BA781*$Y781),"")</f>
        <v/>
      </c>
      <c r="CM781" s="129">
        <f>IFERROR(if($Y781=0,BB781*($W781/1.2),BB781*$Y781),"")</f>
        <v/>
      </c>
      <c r="CN781" s="129">
        <f>IFERROR(if($Y781=0,BC781*($W781/1.2),BC781*$Y781),"")</f>
        <v/>
      </c>
      <c r="CO781" s="130">
        <f>IFERROR(if($AA781=0,($W781/1.35)*BD781,BD781*$AA781),)</f>
        <v/>
      </c>
      <c r="CP781" s="130">
        <f>IFERROR(if($AA781=0,($W781/1.35)*BE781,BE781*$AA781),)</f>
        <v/>
      </c>
      <c r="CQ781" s="130">
        <f>IFERROR(if($AA781=0,($W781/1.35)*BF781,BF781*$AA781),)</f>
        <v/>
      </c>
      <c r="CR781" s="128">
        <f>IFERROR(if($AC781=0,($W781/0.74)*BG781,
BG781*$AC781),)</f>
        <v/>
      </c>
      <c r="CS781" s="128">
        <f>IFERROR(if($AC781=0,($W781/0.74)*BH781,
BH781*$AC781),)</f>
        <v/>
      </c>
      <c r="CT781" s="128">
        <f>IFERROR(if($AC781=0,($W781/0.74)*BI781,
BI781*$AC781),)</f>
        <v/>
      </c>
      <c r="CU781" s="128">
        <f>IFERROR(AI781*$V781,)</f>
        <v/>
      </c>
      <c r="CV781" s="128">
        <f>IFERROR(AJ781*$V781,)</f>
        <v/>
      </c>
      <c r="CW781" s="128">
        <f>IFERROR(AK781*$V781,)</f>
        <v/>
      </c>
      <c r="CX781" s="128">
        <f>IFERROR(AL781*$V781,)</f>
        <v/>
      </c>
      <c r="CY781" s="128">
        <f>IFERROR(AM781*$V781,)</f>
        <v/>
      </c>
      <c r="CZ781" s="128">
        <f>IFERROR(AN781*$V781,)</f>
        <v/>
      </c>
      <c r="DA781" s="128">
        <f>IFERROR(AO781*$V781,)</f>
        <v/>
      </c>
      <c r="DB781" s="128">
        <f>IFERROR(AP781*$V781,)</f>
        <v/>
      </c>
      <c r="DC781" s="128">
        <f>IFERROR(AQ781*$V781,)</f>
        <v/>
      </c>
      <c r="DD781" s="128">
        <f>IFERROR(AR781*$V781,)</f>
        <v/>
      </c>
      <c r="DE781" s="128">
        <f>IFERROR(AS781*$V781,)</f>
        <v/>
      </c>
      <c r="DF781" s="128">
        <f>IFERROR(AT781*$V781,)</f>
        <v/>
      </c>
      <c r="DG781" s="128">
        <f>IFERROR(AU781*$V781,)</f>
        <v/>
      </c>
      <c r="DH781" s="128">
        <f>IFERROR(AV781*$V781,)</f>
        <v/>
      </c>
      <c r="DI781" s="128">
        <f>IFERROR(AW781*$V781,)</f>
        <v/>
      </c>
      <c r="DJ781" s="128">
        <f>IFERROR(AX781*$V781,)</f>
        <v/>
      </c>
      <c r="DK781" s="128">
        <f>IFERROR(AY781*$V781,)</f>
        <v/>
      </c>
      <c r="DL781" s="128">
        <f>IFERROR(AZ781*$V781,)</f>
        <v/>
      </c>
      <c r="DM781" s="129">
        <f>IFERROR(if($X781=0,($V781/1.2)*BA781,
BA781*$X781),)</f>
        <v/>
      </c>
      <c r="DN781" s="129">
        <f>IFERROR(if($X781=0,($V781/1.2)*BB781,
BB781*$X781),)</f>
        <v/>
      </c>
      <c r="DO781" s="129">
        <f>IFERROR(if($X781=0,($V781/1.2)*BC781,
BC781*$X781),)</f>
        <v/>
      </c>
      <c r="DP781" s="130">
        <f>IFERROR(if($Z781=0,($V781/1.35)*BD781,
BD781*$Z781),)</f>
        <v/>
      </c>
      <c r="DQ781" s="130">
        <f>IFERROR(if($Z781=0,($V781/1.35)*BE781,
BE781*$Z781),)</f>
        <v/>
      </c>
      <c r="DR781" s="130">
        <f>IFERROR(if($Z781=0,($V781/1.35)*BF781,
BF781*$Z781),)</f>
        <v/>
      </c>
      <c r="DS781" s="128">
        <f>IFERROR(IF($AB781=0,($V781/0.74)*BG781,
BG781*$AB781),)</f>
        <v/>
      </c>
      <c r="DT781" s="128">
        <f>IFERROR(IF($AB781=0,($V781/0.74)*BH781,
BH781*$AB781),)</f>
        <v/>
      </c>
      <c r="DU781" s="128">
        <f>IFERROR(IF($AB781=0,($V781/0.74)*BI781,
BI781*$AB781),)</f>
        <v/>
      </c>
    </row>
    <row r="782" ht="131.25" customHeight="1" s="162">
      <c r="A782" s="115" t="n"/>
      <c r="B782" s="115" t="n"/>
      <c r="C782" s="115" t="n"/>
      <c r="D782" s="115" t="n"/>
      <c r="E782" s="115" t="n"/>
      <c r="F782" s="115" t="n"/>
      <c r="G782" s="115" t="n"/>
      <c r="H782" s="115" t="n"/>
      <c r="I782" s="115" t="n"/>
      <c r="J782" s="115" t="n"/>
      <c r="K782" s="115" t="n"/>
      <c r="L782" s="115" t="n"/>
      <c r="M782" s="115" t="n"/>
      <c r="N782" s="115" t="n"/>
      <c r="O782" s="115" t="n"/>
      <c r="P782" s="115" t="n"/>
      <c r="Q782" s="115" t="n"/>
      <c r="R782" s="115" t="n"/>
      <c r="S782" s="115" t="n"/>
      <c r="T782" s="115" t="n"/>
      <c r="U782" s="116" t="n"/>
      <c r="V782" s="116" t="n"/>
      <c r="W782" s="117" t="n"/>
      <c r="X782" s="118" t="n"/>
      <c r="Y782" s="119" t="n"/>
      <c r="Z782" s="120" t="n"/>
      <c r="AA782" s="121" t="n"/>
      <c r="AB782" s="122" t="n"/>
      <c r="AC782" s="117" t="n"/>
      <c r="AD782" s="123">
        <f>IF(SUM($AE782:$AH782)=0,"",SUM($AE782:$AH782))</f>
        <v/>
      </c>
      <c r="AE782" s="123">
        <f>iferror(IF(SUM($AI782:$AZ782)=0,"",SUM($AI782:$AZ782)),"")</f>
        <v/>
      </c>
      <c r="AF782" s="123">
        <f>iferror(IF(SUM($BA782:$BC782)=0,"",SUM($BA782:$BC782)),"")</f>
        <v/>
      </c>
      <c r="AG782" s="123">
        <f>iferror(IF(SUM($BD782:$BF782)=0,"",SUM($BD782:$BF782)),"")</f>
        <v/>
      </c>
      <c r="AH782" s="124">
        <f>iferror(IF(SUM($BG782:$BI782)=0,"",SUM($BG782:$BI782)),"")</f>
        <v/>
      </c>
      <c r="AI782" s="131" t="n"/>
      <c r="AJ782" s="132" t="n"/>
      <c r="AK782" s="132" t="n"/>
      <c r="AL782" s="132" t="n"/>
      <c r="AM782" s="132" t="n"/>
      <c r="AN782" s="132" t="n"/>
      <c r="AO782" s="132" t="n"/>
      <c r="AP782" s="132" t="n"/>
      <c r="AQ782" s="132" t="n"/>
      <c r="AR782" s="132" t="n"/>
      <c r="AS782" s="132" t="n"/>
      <c r="AT782" s="132" t="n"/>
      <c r="AU782" s="132" t="n"/>
      <c r="AV782" s="132" t="n"/>
      <c r="AW782" s="132" t="n"/>
      <c r="AX782" s="132" t="n"/>
      <c r="AY782" s="132" t="n"/>
      <c r="AZ782" s="133" t="n"/>
      <c r="BA782" s="131" t="n"/>
      <c r="BB782" s="132" t="n"/>
      <c r="BC782" s="133" t="n"/>
      <c r="BD782" s="131" t="n"/>
      <c r="BE782" s="132" t="n"/>
      <c r="BF782" s="133" t="n"/>
      <c r="BG782" s="131" t="n"/>
      <c r="BH782" s="132" t="n"/>
      <c r="BI782" s="132" t="n"/>
      <c r="BJ782" s="128">
        <f>iferror(SUM($BK782,($BL782*1.2),($BM782*1.35),($BN782*0.74)),)</f>
        <v/>
      </c>
      <c r="BK782" s="128">
        <f>IFERROR(SUM($BT782:$CK782),)</f>
        <v/>
      </c>
      <c r="BL782" s="129">
        <f>IFERROR(SUM($CL782:$CN782),)</f>
        <v/>
      </c>
      <c r="BM782" s="130">
        <f>IFERROR(SUM($CO782:$CQ782),)</f>
        <v/>
      </c>
      <c r="BN782" s="128">
        <f>IFERROR(SUM($CR782:$CT782),)</f>
        <v/>
      </c>
      <c r="BO782" s="128">
        <f>iferror(SUM($BP782,($BQ782*1.2),($BR782*1.35),($BS782*0.74)),)</f>
        <v/>
      </c>
      <c r="BP782" s="128">
        <f>IFERROR(SUM($CU782:$DL782),)</f>
        <v/>
      </c>
      <c r="BQ782" s="128">
        <f>IFERROR(SUM($DM782:$DO782),)</f>
        <v/>
      </c>
      <c r="BR782" s="128">
        <f>IFERROR(SUM($DP782:$DR782),)</f>
        <v/>
      </c>
      <c r="BS782" s="128">
        <f>IFERROR(SUM($DS782:$DU782),)</f>
        <v/>
      </c>
      <c r="BT782" s="128">
        <f>IFERROR(AI782*$W782,)</f>
        <v/>
      </c>
      <c r="BU782" s="128">
        <f>IFERROR(AJ782*$W782,)</f>
        <v/>
      </c>
      <c r="BV782" s="128">
        <f>IFERROR(AK782*$W782,)</f>
        <v/>
      </c>
      <c r="BW782" s="128">
        <f>IFERROR(AL782*$W782,)</f>
        <v/>
      </c>
      <c r="BX782" s="128">
        <f>IFERROR(AM782*$W782,)</f>
        <v/>
      </c>
      <c r="BY782" s="128">
        <f>IFERROR(AN782*$W782,)</f>
        <v/>
      </c>
      <c r="BZ782" s="128">
        <f>IFERROR(AO782*$W782,)</f>
        <v/>
      </c>
      <c r="CA782" s="128">
        <f>IFERROR(AP782*$W782,)</f>
        <v/>
      </c>
      <c r="CB782" s="128">
        <f>IFERROR(AQ782*$W782,)</f>
        <v/>
      </c>
      <c r="CC782" s="128">
        <f>IFERROR(AR782*$W782,)</f>
        <v/>
      </c>
      <c r="CD782" s="128">
        <f>IFERROR(AS782*$W782,)</f>
        <v/>
      </c>
      <c r="CE782" s="128">
        <f>IFERROR(AT782*$W782,)</f>
        <v/>
      </c>
      <c r="CF782" s="128">
        <f>IFERROR(AU782*$W782,)</f>
        <v/>
      </c>
      <c r="CG782" s="128">
        <f>IFERROR(AV782*$W782,)</f>
        <v/>
      </c>
      <c r="CH782" s="128">
        <f>IFERROR(AW782*$W782,)</f>
        <v/>
      </c>
      <c r="CI782" s="128">
        <f>IFERROR(AX782*$W782,)</f>
        <v/>
      </c>
      <c r="CJ782" s="128">
        <f>IFERROR(AY782*$W782,)</f>
        <v/>
      </c>
      <c r="CK782" s="128">
        <f>IFERROR(AZ782*$W782,)</f>
        <v/>
      </c>
      <c r="CL782" s="129">
        <f>IFERROR(if($Y782=0,BA782*($W782/1.2),BA782*$Y782),"")</f>
        <v/>
      </c>
      <c r="CM782" s="129">
        <f>IFERROR(if($Y782=0,BB782*($W782/1.2),BB782*$Y782),"")</f>
        <v/>
      </c>
      <c r="CN782" s="129">
        <f>IFERROR(if($Y782=0,BC782*($W782/1.2),BC782*$Y782),"")</f>
        <v/>
      </c>
      <c r="CO782" s="130">
        <f>IFERROR(if($AA782=0,($W782/1.35)*BD782,BD782*$AA782),)</f>
        <v/>
      </c>
      <c r="CP782" s="130">
        <f>IFERROR(if($AA782=0,($W782/1.35)*BE782,BE782*$AA782),)</f>
        <v/>
      </c>
      <c r="CQ782" s="130">
        <f>IFERROR(if($AA782=0,($W782/1.35)*BF782,BF782*$AA782),)</f>
        <v/>
      </c>
      <c r="CR782" s="128">
        <f>IFERROR(if($AC782=0,($W782/0.74)*BG782,
BG782*$AC782),)</f>
        <v/>
      </c>
      <c r="CS782" s="128">
        <f>IFERROR(if($AC782=0,($W782/0.74)*BH782,
BH782*$AC782),)</f>
        <v/>
      </c>
      <c r="CT782" s="128">
        <f>IFERROR(if($AC782=0,($W782/0.74)*BI782,
BI782*$AC782),)</f>
        <v/>
      </c>
      <c r="CU782" s="128">
        <f>IFERROR(AI782*$V782,)</f>
        <v/>
      </c>
      <c r="CV782" s="128">
        <f>IFERROR(AJ782*$V782,)</f>
        <v/>
      </c>
      <c r="CW782" s="128">
        <f>IFERROR(AK782*$V782,)</f>
        <v/>
      </c>
      <c r="CX782" s="128">
        <f>IFERROR(AL782*$V782,)</f>
        <v/>
      </c>
      <c r="CY782" s="128">
        <f>IFERROR(AM782*$V782,)</f>
        <v/>
      </c>
      <c r="CZ782" s="128">
        <f>IFERROR(AN782*$V782,)</f>
        <v/>
      </c>
      <c r="DA782" s="128">
        <f>IFERROR(AO782*$V782,)</f>
        <v/>
      </c>
      <c r="DB782" s="128">
        <f>IFERROR(AP782*$V782,)</f>
        <v/>
      </c>
      <c r="DC782" s="128">
        <f>IFERROR(AQ782*$V782,)</f>
        <v/>
      </c>
      <c r="DD782" s="128">
        <f>IFERROR(AR782*$V782,)</f>
        <v/>
      </c>
      <c r="DE782" s="128">
        <f>IFERROR(AS782*$V782,)</f>
        <v/>
      </c>
      <c r="DF782" s="128">
        <f>IFERROR(AT782*$V782,)</f>
        <v/>
      </c>
      <c r="DG782" s="128">
        <f>IFERROR(AU782*$V782,)</f>
        <v/>
      </c>
      <c r="DH782" s="128">
        <f>IFERROR(AV782*$V782,)</f>
        <v/>
      </c>
      <c r="DI782" s="128">
        <f>IFERROR(AW782*$V782,)</f>
        <v/>
      </c>
      <c r="DJ782" s="128">
        <f>IFERROR(AX782*$V782,)</f>
        <v/>
      </c>
      <c r="DK782" s="128">
        <f>IFERROR(AY782*$V782,)</f>
        <v/>
      </c>
      <c r="DL782" s="128">
        <f>IFERROR(AZ782*$V782,)</f>
        <v/>
      </c>
      <c r="DM782" s="129">
        <f>IFERROR(if($X782=0,($V782/1.2)*BA782,
BA782*$X782),)</f>
        <v/>
      </c>
      <c r="DN782" s="129">
        <f>IFERROR(if($X782=0,($V782/1.2)*BB782,
BB782*$X782),)</f>
        <v/>
      </c>
      <c r="DO782" s="129">
        <f>IFERROR(if($X782=0,($V782/1.2)*BC782,
BC782*$X782),)</f>
        <v/>
      </c>
      <c r="DP782" s="130">
        <f>IFERROR(if($Z782=0,($V782/1.35)*BD782,
BD782*$Z782),)</f>
        <v/>
      </c>
      <c r="DQ782" s="130">
        <f>IFERROR(if($Z782=0,($V782/1.35)*BE782,
BE782*$Z782),)</f>
        <v/>
      </c>
      <c r="DR782" s="130">
        <f>IFERROR(if($Z782=0,($V782/1.35)*BF782,
BF782*$Z782),)</f>
        <v/>
      </c>
      <c r="DS782" s="128">
        <f>IFERROR(IF($AB782=0,($V782/0.74)*BG782,
BG782*$AB782),)</f>
        <v/>
      </c>
      <c r="DT782" s="128">
        <f>IFERROR(IF($AB782=0,($V782/0.74)*BH782,
BH782*$AB782),)</f>
        <v/>
      </c>
      <c r="DU782" s="128">
        <f>IFERROR(IF($AB782=0,($V782/0.74)*BI782,
BI782*$AB782),)</f>
        <v/>
      </c>
    </row>
    <row r="783" ht="131.25" customHeight="1" s="162">
      <c r="A783" s="115" t="n"/>
      <c r="B783" s="115" t="n"/>
      <c r="C783" s="115" t="n"/>
      <c r="D783" s="115" t="n"/>
      <c r="E783" s="115" t="n"/>
      <c r="F783" s="115" t="n"/>
      <c r="G783" s="115" t="n"/>
      <c r="H783" s="115" t="n"/>
      <c r="I783" s="115" t="n"/>
      <c r="J783" s="115" t="n"/>
      <c r="K783" s="115" t="n"/>
      <c r="L783" s="115" t="n"/>
      <c r="M783" s="115" t="n"/>
      <c r="N783" s="115" t="n"/>
      <c r="O783" s="115" t="n"/>
      <c r="P783" s="115" t="n"/>
      <c r="Q783" s="115" t="n"/>
      <c r="R783" s="115" t="n"/>
      <c r="S783" s="115" t="n"/>
      <c r="T783" s="115" t="n"/>
      <c r="U783" s="116" t="n"/>
      <c r="V783" s="116" t="n"/>
      <c r="W783" s="117" t="n"/>
      <c r="X783" s="118" t="n"/>
      <c r="Y783" s="119" t="n"/>
      <c r="Z783" s="120" t="n"/>
      <c r="AA783" s="121" t="n"/>
      <c r="AB783" s="122" t="n"/>
      <c r="AC783" s="117" t="n"/>
      <c r="AD783" s="123">
        <f>IF(SUM($AE783:$AH783)=0,"",SUM($AE783:$AH783))</f>
        <v/>
      </c>
      <c r="AE783" s="123">
        <f>iferror(IF(SUM($AI783:$AZ783)=0,"",SUM($AI783:$AZ783)),"")</f>
        <v/>
      </c>
      <c r="AF783" s="123">
        <f>iferror(IF(SUM($BA783:$BC783)=0,"",SUM($BA783:$BC783)),"")</f>
        <v/>
      </c>
      <c r="AG783" s="123">
        <f>iferror(IF(SUM($BD783:$BF783)=0,"",SUM($BD783:$BF783)),"")</f>
        <v/>
      </c>
      <c r="AH783" s="124">
        <f>iferror(IF(SUM($BG783:$BI783)=0,"",SUM($BG783:$BI783)),"")</f>
        <v/>
      </c>
      <c r="AI783" s="131" t="n"/>
      <c r="AJ783" s="132" t="n"/>
      <c r="AK783" s="132" t="n"/>
      <c r="AL783" s="132" t="n"/>
      <c r="AM783" s="132" t="n"/>
      <c r="AN783" s="132" t="n"/>
      <c r="AO783" s="132" t="n"/>
      <c r="AP783" s="132" t="n"/>
      <c r="AQ783" s="132" t="n"/>
      <c r="AR783" s="132" t="n"/>
      <c r="AS783" s="132" t="n"/>
      <c r="AT783" s="132" t="n"/>
      <c r="AU783" s="132" t="n"/>
      <c r="AV783" s="132" t="n"/>
      <c r="AW783" s="132" t="n"/>
      <c r="AX783" s="132" t="n"/>
      <c r="AY783" s="132" t="n"/>
      <c r="AZ783" s="133" t="n"/>
      <c r="BA783" s="131" t="n"/>
      <c r="BB783" s="132" t="n"/>
      <c r="BC783" s="133" t="n"/>
      <c r="BD783" s="131" t="n"/>
      <c r="BE783" s="132" t="n"/>
      <c r="BF783" s="133" t="n"/>
      <c r="BG783" s="131" t="n"/>
      <c r="BH783" s="132" t="n"/>
      <c r="BI783" s="132" t="n"/>
      <c r="BJ783" s="128">
        <f>iferror(SUM($BK783,($BL783*1.2),($BM783*1.35),($BN783*0.74)),)</f>
        <v/>
      </c>
      <c r="BK783" s="128">
        <f>IFERROR(SUM($BT783:$CK783),)</f>
        <v/>
      </c>
      <c r="BL783" s="129">
        <f>IFERROR(SUM($CL783:$CN783),)</f>
        <v/>
      </c>
      <c r="BM783" s="130">
        <f>IFERROR(SUM($CO783:$CQ783),)</f>
        <v/>
      </c>
      <c r="BN783" s="128">
        <f>IFERROR(SUM($CR783:$CT783),)</f>
        <v/>
      </c>
      <c r="BO783" s="128">
        <f>iferror(SUM($BP783,($BQ783*1.2),($BR783*1.35),($BS783*0.74)),)</f>
        <v/>
      </c>
      <c r="BP783" s="128">
        <f>IFERROR(SUM($CU783:$DL783),)</f>
        <v/>
      </c>
      <c r="BQ783" s="128">
        <f>IFERROR(SUM($DM783:$DO783),)</f>
        <v/>
      </c>
      <c r="BR783" s="128">
        <f>IFERROR(SUM($DP783:$DR783),)</f>
        <v/>
      </c>
      <c r="BS783" s="128">
        <f>IFERROR(SUM($DS783:$DU783),)</f>
        <v/>
      </c>
      <c r="BT783" s="128">
        <f>IFERROR(AI783*$W783,)</f>
        <v/>
      </c>
      <c r="BU783" s="128">
        <f>IFERROR(AJ783*$W783,)</f>
        <v/>
      </c>
      <c r="BV783" s="128">
        <f>IFERROR(AK783*$W783,)</f>
        <v/>
      </c>
      <c r="BW783" s="128">
        <f>IFERROR(AL783*$W783,)</f>
        <v/>
      </c>
      <c r="BX783" s="128">
        <f>IFERROR(AM783*$W783,)</f>
        <v/>
      </c>
      <c r="BY783" s="128">
        <f>IFERROR(AN783*$W783,)</f>
        <v/>
      </c>
      <c r="BZ783" s="128">
        <f>IFERROR(AO783*$W783,)</f>
        <v/>
      </c>
      <c r="CA783" s="128">
        <f>IFERROR(AP783*$W783,)</f>
        <v/>
      </c>
      <c r="CB783" s="128">
        <f>IFERROR(AQ783*$W783,)</f>
        <v/>
      </c>
      <c r="CC783" s="128">
        <f>IFERROR(AR783*$W783,)</f>
        <v/>
      </c>
      <c r="CD783" s="128">
        <f>IFERROR(AS783*$W783,)</f>
        <v/>
      </c>
      <c r="CE783" s="128">
        <f>IFERROR(AT783*$W783,)</f>
        <v/>
      </c>
      <c r="CF783" s="128">
        <f>IFERROR(AU783*$W783,)</f>
        <v/>
      </c>
      <c r="CG783" s="128">
        <f>IFERROR(AV783*$W783,)</f>
        <v/>
      </c>
      <c r="CH783" s="128">
        <f>IFERROR(AW783*$W783,)</f>
        <v/>
      </c>
      <c r="CI783" s="128">
        <f>IFERROR(AX783*$W783,)</f>
        <v/>
      </c>
      <c r="CJ783" s="128">
        <f>IFERROR(AY783*$W783,)</f>
        <v/>
      </c>
      <c r="CK783" s="128">
        <f>IFERROR(AZ783*$W783,)</f>
        <v/>
      </c>
      <c r="CL783" s="129">
        <f>IFERROR(if($Y783=0,BA783*($W783/1.2),BA783*$Y783),"")</f>
        <v/>
      </c>
      <c r="CM783" s="129">
        <f>IFERROR(if($Y783=0,BB783*($W783/1.2),BB783*$Y783),"")</f>
        <v/>
      </c>
      <c r="CN783" s="129">
        <f>IFERROR(if($Y783=0,BC783*($W783/1.2),BC783*$Y783),"")</f>
        <v/>
      </c>
      <c r="CO783" s="130">
        <f>IFERROR(if($AA783=0,($W783/1.35)*BD783,BD783*$AA783),)</f>
        <v/>
      </c>
      <c r="CP783" s="130">
        <f>IFERROR(if($AA783=0,($W783/1.35)*BE783,BE783*$AA783),)</f>
        <v/>
      </c>
      <c r="CQ783" s="130">
        <f>IFERROR(if($AA783=0,($W783/1.35)*BF783,BF783*$AA783),)</f>
        <v/>
      </c>
      <c r="CR783" s="128">
        <f>IFERROR(if($AC783=0,($W783/0.74)*BG783,
BG783*$AC783),)</f>
        <v/>
      </c>
      <c r="CS783" s="128">
        <f>IFERROR(if($AC783=0,($W783/0.74)*BH783,
BH783*$AC783),)</f>
        <v/>
      </c>
      <c r="CT783" s="128">
        <f>IFERROR(if($AC783=0,($W783/0.74)*BI783,
BI783*$AC783),)</f>
        <v/>
      </c>
      <c r="CU783" s="128">
        <f>IFERROR(AI783*$V783,)</f>
        <v/>
      </c>
      <c r="CV783" s="128">
        <f>IFERROR(AJ783*$V783,)</f>
        <v/>
      </c>
      <c r="CW783" s="128">
        <f>IFERROR(AK783*$V783,)</f>
        <v/>
      </c>
      <c r="CX783" s="128">
        <f>IFERROR(AL783*$V783,)</f>
        <v/>
      </c>
      <c r="CY783" s="128">
        <f>IFERROR(AM783*$V783,)</f>
        <v/>
      </c>
      <c r="CZ783" s="128">
        <f>IFERROR(AN783*$V783,)</f>
        <v/>
      </c>
      <c r="DA783" s="128">
        <f>IFERROR(AO783*$V783,)</f>
        <v/>
      </c>
      <c r="DB783" s="128">
        <f>IFERROR(AP783*$V783,)</f>
        <v/>
      </c>
      <c r="DC783" s="128">
        <f>IFERROR(AQ783*$V783,)</f>
        <v/>
      </c>
      <c r="DD783" s="128">
        <f>IFERROR(AR783*$V783,)</f>
        <v/>
      </c>
      <c r="DE783" s="128">
        <f>IFERROR(AS783*$V783,)</f>
        <v/>
      </c>
      <c r="DF783" s="128">
        <f>IFERROR(AT783*$V783,)</f>
        <v/>
      </c>
      <c r="DG783" s="128">
        <f>IFERROR(AU783*$V783,)</f>
        <v/>
      </c>
      <c r="DH783" s="128">
        <f>IFERROR(AV783*$V783,)</f>
        <v/>
      </c>
      <c r="DI783" s="128">
        <f>IFERROR(AW783*$V783,)</f>
        <v/>
      </c>
      <c r="DJ783" s="128">
        <f>IFERROR(AX783*$V783,)</f>
        <v/>
      </c>
      <c r="DK783" s="128">
        <f>IFERROR(AY783*$V783,)</f>
        <v/>
      </c>
      <c r="DL783" s="128">
        <f>IFERROR(AZ783*$V783,)</f>
        <v/>
      </c>
      <c r="DM783" s="129">
        <f>IFERROR(if($X783=0,($V783/1.2)*BA783,
BA783*$X783),)</f>
        <v/>
      </c>
      <c r="DN783" s="129">
        <f>IFERROR(if($X783=0,($V783/1.2)*BB783,
BB783*$X783),)</f>
        <v/>
      </c>
      <c r="DO783" s="129">
        <f>IFERROR(if($X783=0,($V783/1.2)*BC783,
BC783*$X783),)</f>
        <v/>
      </c>
      <c r="DP783" s="130">
        <f>IFERROR(if($Z783=0,($V783/1.35)*BD783,
BD783*$Z783),)</f>
        <v/>
      </c>
      <c r="DQ783" s="130">
        <f>IFERROR(if($Z783=0,($V783/1.35)*BE783,
BE783*$Z783),)</f>
        <v/>
      </c>
      <c r="DR783" s="130">
        <f>IFERROR(if($Z783=0,($V783/1.35)*BF783,
BF783*$Z783),)</f>
        <v/>
      </c>
      <c r="DS783" s="128">
        <f>IFERROR(IF($AB783=0,($V783/0.74)*BG783,
BG783*$AB783),)</f>
        <v/>
      </c>
      <c r="DT783" s="128">
        <f>IFERROR(IF($AB783=0,($V783/0.74)*BH783,
BH783*$AB783),)</f>
        <v/>
      </c>
      <c r="DU783" s="128">
        <f>IFERROR(IF($AB783=0,($V783/0.74)*BI783,
BI783*$AB783),)</f>
        <v/>
      </c>
    </row>
    <row r="784" ht="131.25" customHeight="1" s="162">
      <c r="A784" s="115" t="n"/>
      <c r="B784" s="115" t="n"/>
      <c r="C784" s="115" t="n"/>
      <c r="D784" s="115" t="n"/>
      <c r="E784" s="115" t="n"/>
      <c r="F784" s="115" t="n"/>
      <c r="G784" s="115" t="n"/>
      <c r="H784" s="115" t="n"/>
      <c r="I784" s="115" t="n"/>
      <c r="J784" s="115" t="n"/>
      <c r="K784" s="115" t="n"/>
      <c r="L784" s="115" t="n"/>
      <c r="M784" s="115" t="n"/>
      <c r="N784" s="115" t="n"/>
      <c r="O784" s="115" t="n"/>
      <c r="P784" s="115" t="n"/>
      <c r="Q784" s="115" t="n"/>
      <c r="R784" s="115" t="n"/>
      <c r="S784" s="115" t="n"/>
      <c r="T784" s="115" t="n"/>
      <c r="U784" s="116" t="n"/>
      <c r="V784" s="116" t="n"/>
      <c r="W784" s="117" t="n"/>
      <c r="X784" s="118" t="n"/>
      <c r="Y784" s="119" t="n"/>
      <c r="Z784" s="120" t="n"/>
      <c r="AA784" s="121" t="n"/>
      <c r="AB784" s="122" t="n"/>
      <c r="AC784" s="117" t="n"/>
      <c r="AD784" s="123">
        <f>IF(SUM($AE784:$AH784)=0,"",SUM($AE784:$AH784))</f>
        <v/>
      </c>
      <c r="AE784" s="123">
        <f>iferror(IF(SUM($AI784:$AZ784)=0,"",SUM($AI784:$AZ784)),"")</f>
        <v/>
      </c>
      <c r="AF784" s="123">
        <f>iferror(IF(SUM($BA784:$BC784)=0,"",SUM($BA784:$BC784)),"")</f>
        <v/>
      </c>
      <c r="AG784" s="123">
        <f>iferror(IF(SUM($BD784:$BF784)=0,"",SUM($BD784:$BF784)),"")</f>
        <v/>
      </c>
      <c r="AH784" s="124">
        <f>iferror(IF(SUM($BG784:$BI784)=0,"",SUM($BG784:$BI784)),"")</f>
        <v/>
      </c>
      <c r="AI784" s="131" t="n"/>
      <c r="AJ784" s="132" t="n"/>
      <c r="AK784" s="132" t="n"/>
      <c r="AL784" s="132" t="n"/>
      <c r="AM784" s="132" t="n"/>
      <c r="AN784" s="132" t="n"/>
      <c r="AO784" s="132" t="n"/>
      <c r="AP784" s="132" t="n"/>
      <c r="AQ784" s="132" t="n"/>
      <c r="AR784" s="132" t="n"/>
      <c r="AS784" s="132" t="n"/>
      <c r="AT784" s="132" t="n"/>
      <c r="AU784" s="132" t="n"/>
      <c r="AV784" s="132" t="n"/>
      <c r="AW784" s="132" t="n"/>
      <c r="AX784" s="132" t="n"/>
      <c r="AY784" s="132" t="n"/>
      <c r="AZ784" s="133" t="n"/>
      <c r="BA784" s="131" t="n"/>
      <c r="BB784" s="132" t="n"/>
      <c r="BC784" s="133" t="n"/>
      <c r="BD784" s="131" t="n"/>
      <c r="BE784" s="132" t="n"/>
      <c r="BF784" s="133" t="n"/>
      <c r="BG784" s="131" t="n"/>
      <c r="BH784" s="132" t="n"/>
      <c r="BI784" s="132" t="n"/>
      <c r="BJ784" s="128">
        <f>iferror(SUM($BK784,($BL784*1.2),($BM784*1.35),($BN784*0.74)),)</f>
        <v/>
      </c>
      <c r="BK784" s="128">
        <f>IFERROR(SUM($BT784:$CK784),)</f>
        <v/>
      </c>
      <c r="BL784" s="129">
        <f>IFERROR(SUM($CL784:$CN784),)</f>
        <v/>
      </c>
      <c r="BM784" s="130">
        <f>IFERROR(SUM($CO784:$CQ784),)</f>
        <v/>
      </c>
      <c r="BN784" s="128">
        <f>IFERROR(SUM($CR784:$CT784),)</f>
        <v/>
      </c>
      <c r="BO784" s="128">
        <f>iferror(SUM($BP784,($BQ784*1.2),($BR784*1.35),($BS784*0.74)),)</f>
        <v/>
      </c>
      <c r="BP784" s="128">
        <f>IFERROR(SUM($CU784:$DL784),)</f>
        <v/>
      </c>
      <c r="BQ784" s="128">
        <f>IFERROR(SUM($DM784:$DO784),)</f>
        <v/>
      </c>
      <c r="BR784" s="128">
        <f>IFERROR(SUM($DP784:$DR784),)</f>
        <v/>
      </c>
      <c r="BS784" s="128">
        <f>IFERROR(SUM($DS784:$DU784),)</f>
        <v/>
      </c>
      <c r="BT784" s="128">
        <f>IFERROR(AI784*$W784,)</f>
        <v/>
      </c>
      <c r="BU784" s="128">
        <f>IFERROR(AJ784*$W784,)</f>
        <v/>
      </c>
      <c r="BV784" s="128">
        <f>IFERROR(AK784*$W784,)</f>
        <v/>
      </c>
      <c r="BW784" s="128">
        <f>IFERROR(AL784*$W784,)</f>
        <v/>
      </c>
      <c r="BX784" s="128">
        <f>IFERROR(AM784*$W784,)</f>
        <v/>
      </c>
      <c r="BY784" s="128">
        <f>IFERROR(AN784*$W784,)</f>
        <v/>
      </c>
      <c r="BZ784" s="128">
        <f>IFERROR(AO784*$W784,)</f>
        <v/>
      </c>
      <c r="CA784" s="128">
        <f>IFERROR(AP784*$W784,)</f>
        <v/>
      </c>
      <c r="CB784" s="128">
        <f>IFERROR(AQ784*$W784,)</f>
        <v/>
      </c>
      <c r="CC784" s="128">
        <f>IFERROR(AR784*$W784,)</f>
        <v/>
      </c>
      <c r="CD784" s="128">
        <f>IFERROR(AS784*$W784,)</f>
        <v/>
      </c>
      <c r="CE784" s="128">
        <f>IFERROR(AT784*$W784,)</f>
        <v/>
      </c>
      <c r="CF784" s="128">
        <f>IFERROR(AU784*$W784,)</f>
        <v/>
      </c>
      <c r="CG784" s="128">
        <f>IFERROR(AV784*$W784,)</f>
        <v/>
      </c>
      <c r="CH784" s="128">
        <f>IFERROR(AW784*$W784,)</f>
        <v/>
      </c>
      <c r="CI784" s="128">
        <f>IFERROR(AX784*$W784,)</f>
        <v/>
      </c>
      <c r="CJ784" s="128">
        <f>IFERROR(AY784*$W784,)</f>
        <v/>
      </c>
      <c r="CK784" s="128">
        <f>IFERROR(AZ784*$W784,)</f>
        <v/>
      </c>
      <c r="CL784" s="129">
        <f>IFERROR(if($Y784=0,BA784*($W784/1.2),BA784*$Y784),"")</f>
        <v/>
      </c>
      <c r="CM784" s="129">
        <f>IFERROR(if($Y784=0,BB784*($W784/1.2),BB784*$Y784),"")</f>
        <v/>
      </c>
      <c r="CN784" s="129">
        <f>IFERROR(if($Y784=0,BC784*($W784/1.2),BC784*$Y784),"")</f>
        <v/>
      </c>
      <c r="CO784" s="130">
        <f>IFERROR(if($AA784=0,($W784/1.35)*BD784,BD784*$AA784),)</f>
        <v/>
      </c>
      <c r="CP784" s="130">
        <f>IFERROR(if($AA784=0,($W784/1.35)*BE784,BE784*$AA784),)</f>
        <v/>
      </c>
      <c r="CQ784" s="130">
        <f>IFERROR(if($AA784=0,($W784/1.35)*BF784,BF784*$AA784),)</f>
        <v/>
      </c>
      <c r="CR784" s="128">
        <f>IFERROR(if($AC784=0,($W784/0.74)*BG784,
BG784*$AC784),)</f>
        <v/>
      </c>
      <c r="CS784" s="128">
        <f>IFERROR(if($AC784=0,($W784/0.74)*BH784,
BH784*$AC784),)</f>
        <v/>
      </c>
      <c r="CT784" s="128">
        <f>IFERROR(if($AC784=0,($W784/0.74)*BI784,
BI784*$AC784),)</f>
        <v/>
      </c>
      <c r="CU784" s="128">
        <f>IFERROR(AI784*$V784,)</f>
        <v/>
      </c>
      <c r="CV784" s="128">
        <f>IFERROR(AJ784*$V784,)</f>
        <v/>
      </c>
      <c r="CW784" s="128">
        <f>IFERROR(AK784*$V784,)</f>
        <v/>
      </c>
      <c r="CX784" s="128">
        <f>IFERROR(AL784*$V784,)</f>
        <v/>
      </c>
      <c r="CY784" s="128">
        <f>IFERROR(AM784*$V784,)</f>
        <v/>
      </c>
      <c r="CZ784" s="128">
        <f>IFERROR(AN784*$V784,)</f>
        <v/>
      </c>
      <c r="DA784" s="128">
        <f>IFERROR(AO784*$V784,)</f>
        <v/>
      </c>
      <c r="DB784" s="128">
        <f>IFERROR(AP784*$V784,)</f>
        <v/>
      </c>
      <c r="DC784" s="128">
        <f>IFERROR(AQ784*$V784,)</f>
        <v/>
      </c>
      <c r="DD784" s="128">
        <f>IFERROR(AR784*$V784,)</f>
        <v/>
      </c>
      <c r="DE784" s="128">
        <f>IFERROR(AS784*$V784,)</f>
        <v/>
      </c>
      <c r="DF784" s="128">
        <f>IFERROR(AT784*$V784,)</f>
        <v/>
      </c>
      <c r="DG784" s="128">
        <f>IFERROR(AU784*$V784,)</f>
        <v/>
      </c>
      <c r="DH784" s="128">
        <f>IFERROR(AV784*$V784,)</f>
        <v/>
      </c>
      <c r="DI784" s="128">
        <f>IFERROR(AW784*$V784,)</f>
        <v/>
      </c>
      <c r="DJ784" s="128">
        <f>IFERROR(AX784*$V784,)</f>
        <v/>
      </c>
      <c r="DK784" s="128">
        <f>IFERROR(AY784*$V784,)</f>
        <v/>
      </c>
      <c r="DL784" s="128">
        <f>IFERROR(AZ784*$V784,)</f>
        <v/>
      </c>
      <c r="DM784" s="129">
        <f>IFERROR(if($X784=0,($V784/1.2)*BA784,
BA784*$X784),)</f>
        <v/>
      </c>
      <c r="DN784" s="129">
        <f>IFERROR(if($X784=0,($V784/1.2)*BB784,
BB784*$X784),)</f>
        <v/>
      </c>
      <c r="DO784" s="129">
        <f>IFERROR(if($X784=0,($V784/1.2)*BC784,
BC784*$X784),)</f>
        <v/>
      </c>
      <c r="DP784" s="130">
        <f>IFERROR(if($Z784=0,($V784/1.35)*BD784,
BD784*$Z784),)</f>
        <v/>
      </c>
      <c r="DQ784" s="130">
        <f>IFERROR(if($Z784=0,($V784/1.35)*BE784,
BE784*$Z784),)</f>
        <v/>
      </c>
      <c r="DR784" s="130">
        <f>IFERROR(if($Z784=0,($V784/1.35)*BF784,
BF784*$Z784),)</f>
        <v/>
      </c>
      <c r="DS784" s="128">
        <f>IFERROR(IF($AB784=0,($V784/0.74)*BG784,
BG784*$AB784),)</f>
        <v/>
      </c>
      <c r="DT784" s="128">
        <f>IFERROR(IF($AB784=0,($V784/0.74)*BH784,
BH784*$AB784),)</f>
        <v/>
      </c>
      <c r="DU784" s="128">
        <f>IFERROR(IF($AB784=0,($V784/0.74)*BI784,
BI784*$AB784),)</f>
        <v/>
      </c>
    </row>
    <row r="785" ht="131.25" customHeight="1" s="162">
      <c r="A785" s="115" t="n"/>
      <c r="B785" s="115" t="n"/>
      <c r="C785" s="115" t="n"/>
      <c r="D785" s="115" t="n"/>
      <c r="E785" s="115" t="n"/>
      <c r="F785" s="115" t="n"/>
      <c r="G785" s="115" t="n"/>
      <c r="H785" s="115" t="n"/>
      <c r="I785" s="115" t="n"/>
      <c r="J785" s="115" t="n"/>
      <c r="K785" s="115" t="n"/>
      <c r="L785" s="115" t="n"/>
      <c r="M785" s="115" t="n"/>
      <c r="N785" s="115" t="n"/>
      <c r="O785" s="115" t="n"/>
      <c r="P785" s="115" t="n"/>
      <c r="Q785" s="115" t="n"/>
      <c r="R785" s="115" t="n"/>
      <c r="S785" s="115" t="n"/>
      <c r="T785" s="115" t="n"/>
      <c r="U785" s="116" t="n"/>
      <c r="V785" s="116" t="n"/>
      <c r="W785" s="117" t="n"/>
      <c r="X785" s="118" t="n"/>
      <c r="Y785" s="119" t="n"/>
      <c r="Z785" s="120" t="n"/>
      <c r="AA785" s="121" t="n"/>
      <c r="AB785" s="122" t="n"/>
      <c r="AC785" s="117" t="n"/>
      <c r="AD785" s="123">
        <f>IF(SUM($AE785:$AH785)=0,"",SUM($AE785:$AH785))</f>
        <v/>
      </c>
      <c r="AE785" s="123">
        <f>iferror(IF(SUM($AI785:$AZ785)=0,"",SUM($AI785:$AZ785)),"")</f>
        <v/>
      </c>
      <c r="AF785" s="123">
        <f>iferror(IF(SUM($BA785:$BC785)=0,"",SUM($BA785:$BC785)),"")</f>
        <v/>
      </c>
      <c r="AG785" s="123">
        <f>iferror(IF(SUM($BD785:$BF785)=0,"",SUM($BD785:$BF785)),"")</f>
        <v/>
      </c>
      <c r="AH785" s="124">
        <f>iferror(IF(SUM($BG785:$BI785)=0,"",SUM($BG785:$BI785)),"")</f>
        <v/>
      </c>
      <c r="AI785" s="131" t="n"/>
      <c r="AJ785" s="132" t="n"/>
      <c r="AK785" s="132" t="n"/>
      <c r="AL785" s="132" t="n"/>
      <c r="AM785" s="132" t="n"/>
      <c r="AN785" s="132" t="n"/>
      <c r="AO785" s="132" t="n"/>
      <c r="AP785" s="132" t="n"/>
      <c r="AQ785" s="132" t="n"/>
      <c r="AR785" s="132" t="n"/>
      <c r="AS785" s="132" t="n"/>
      <c r="AT785" s="132" t="n"/>
      <c r="AU785" s="132" t="n"/>
      <c r="AV785" s="132" t="n"/>
      <c r="AW785" s="132" t="n"/>
      <c r="AX785" s="132" t="n"/>
      <c r="AY785" s="132" t="n"/>
      <c r="AZ785" s="133" t="n"/>
      <c r="BA785" s="131" t="n"/>
      <c r="BB785" s="132" t="n"/>
      <c r="BC785" s="133" t="n"/>
      <c r="BD785" s="131" t="n"/>
      <c r="BE785" s="132" t="n"/>
      <c r="BF785" s="133" t="n"/>
      <c r="BG785" s="131" t="n"/>
      <c r="BH785" s="132" t="n"/>
      <c r="BI785" s="132" t="n"/>
      <c r="BJ785" s="128">
        <f>iferror(SUM($BK785,($BL785*1.2),($BM785*1.35),($BN785*0.74)),)</f>
        <v/>
      </c>
      <c r="BK785" s="128">
        <f>IFERROR(SUM($BT785:$CK785),)</f>
        <v/>
      </c>
      <c r="BL785" s="129">
        <f>IFERROR(SUM($CL785:$CN785),)</f>
        <v/>
      </c>
      <c r="BM785" s="130">
        <f>IFERROR(SUM($CO785:$CQ785),)</f>
        <v/>
      </c>
      <c r="BN785" s="128">
        <f>IFERROR(SUM($CR785:$CT785),)</f>
        <v/>
      </c>
      <c r="BO785" s="128">
        <f>iferror(SUM($BP785,($BQ785*1.2),($BR785*1.35),($BS785*0.74)),)</f>
        <v/>
      </c>
      <c r="BP785" s="128">
        <f>IFERROR(SUM($CU785:$DL785),)</f>
        <v/>
      </c>
      <c r="BQ785" s="128">
        <f>IFERROR(SUM($DM785:$DO785),)</f>
        <v/>
      </c>
      <c r="BR785" s="128">
        <f>IFERROR(SUM($DP785:$DR785),)</f>
        <v/>
      </c>
      <c r="BS785" s="128">
        <f>IFERROR(SUM($DS785:$DU785),)</f>
        <v/>
      </c>
      <c r="BT785" s="128">
        <f>IFERROR(AI785*$W785,)</f>
        <v/>
      </c>
      <c r="BU785" s="128">
        <f>IFERROR(AJ785*$W785,)</f>
        <v/>
      </c>
      <c r="BV785" s="128">
        <f>IFERROR(AK785*$W785,)</f>
        <v/>
      </c>
      <c r="BW785" s="128">
        <f>IFERROR(AL785*$W785,)</f>
        <v/>
      </c>
      <c r="BX785" s="128">
        <f>IFERROR(AM785*$W785,)</f>
        <v/>
      </c>
      <c r="BY785" s="128">
        <f>IFERROR(AN785*$W785,)</f>
        <v/>
      </c>
      <c r="BZ785" s="128">
        <f>IFERROR(AO785*$W785,)</f>
        <v/>
      </c>
      <c r="CA785" s="128">
        <f>IFERROR(AP785*$W785,)</f>
        <v/>
      </c>
      <c r="CB785" s="128">
        <f>IFERROR(AQ785*$W785,)</f>
        <v/>
      </c>
      <c r="CC785" s="128">
        <f>IFERROR(AR785*$W785,)</f>
        <v/>
      </c>
      <c r="CD785" s="128">
        <f>IFERROR(AS785*$W785,)</f>
        <v/>
      </c>
      <c r="CE785" s="128">
        <f>IFERROR(AT785*$W785,)</f>
        <v/>
      </c>
      <c r="CF785" s="128">
        <f>IFERROR(AU785*$W785,)</f>
        <v/>
      </c>
      <c r="CG785" s="128">
        <f>IFERROR(AV785*$W785,)</f>
        <v/>
      </c>
      <c r="CH785" s="128">
        <f>IFERROR(AW785*$W785,)</f>
        <v/>
      </c>
      <c r="CI785" s="128">
        <f>IFERROR(AX785*$W785,)</f>
        <v/>
      </c>
      <c r="CJ785" s="128">
        <f>IFERROR(AY785*$W785,)</f>
        <v/>
      </c>
      <c r="CK785" s="128">
        <f>IFERROR(AZ785*$W785,)</f>
        <v/>
      </c>
      <c r="CL785" s="129">
        <f>IFERROR(if($Y785=0,BA785*($W785/1.2),BA785*$Y785),"")</f>
        <v/>
      </c>
      <c r="CM785" s="129">
        <f>IFERROR(if($Y785=0,BB785*($W785/1.2),BB785*$Y785),"")</f>
        <v/>
      </c>
      <c r="CN785" s="129">
        <f>IFERROR(if($Y785=0,BC785*($W785/1.2),BC785*$Y785),"")</f>
        <v/>
      </c>
      <c r="CO785" s="130">
        <f>IFERROR(if($AA785=0,($W785/1.35)*BD785,BD785*$AA785),)</f>
        <v/>
      </c>
      <c r="CP785" s="130">
        <f>IFERROR(if($AA785=0,($W785/1.35)*BE785,BE785*$AA785),)</f>
        <v/>
      </c>
      <c r="CQ785" s="130">
        <f>IFERROR(if($AA785=0,($W785/1.35)*BF785,BF785*$AA785),)</f>
        <v/>
      </c>
      <c r="CR785" s="128">
        <f>IFERROR(if($AC785=0,($W785/0.74)*BG785,
BG785*$AC785),)</f>
        <v/>
      </c>
      <c r="CS785" s="128">
        <f>IFERROR(if($AC785=0,($W785/0.74)*BH785,
BH785*$AC785),)</f>
        <v/>
      </c>
      <c r="CT785" s="128">
        <f>IFERROR(if($AC785=0,($W785/0.74)*BI785,
BI785*$AC785),)</f>
        <v/>
      </c>
      <c r="CU785" s="128">
        <f>IFERROR(AI785*$V785,)</f>
        <v/>
      </c>
      <c r="CV785" s="128">
        <f>IFERROR(AJ785*$V785,)</f>
        <v/>
      </c>
      <c r="CW785" s="128">
        <f>IFERROR(AK785*$V785,)</f>
        <v/>
      </c>
      <c r="CX785" s="128">
        <f>IFERROR(AL785*$V785,)</f>
        <v/>
      </c>
      <c r="CY785" s="128">
        <f>IFERROR(AM785*$V785,)</f>
        <v/>
      </c>
      <c r="CZ785" s="128">
        <f>IFERROR(AN785*$V785,)</f>
        <v/>
      </c>
      <c r="DA785" s="128">
        <f>IFERROR(AO785*$V785,)</f>
        <v/>
      </c>
      <c r="DB785" s="128">
        <f>IFERROR(AP785*$V785,)</f>
        <v/>
      </c>
      <c r="DC785" s="128">
        <f>IFERROR(AQ785*$V785,)</f>
        <v/>
      </c>
      <c r="DD785" s="128">
        <f>IFERROR(AR785*$V785,)</f>
        <v/>
      </c>
      <c r="DE785" s="128">
        <f>IFERROR(AS785*$V785,)</f>
        <v/>
      </c>
      <c r="DF785" s="128">
        <f>IFERROR(AT785*$V785,)</f>
        <v/>
      </c>
      <c r="DG785" s="128">
        <f>IFERROR(AU785*$V785,)</f>
        <v/>
      </c>
      <c r="DH785" s="128">
        <f>IFERROR(AV785*$V785,)</f>
        <v/>
      </c>
      <c r="DI785" s="128">
        <f>IFERROR(AW785*$V785,)</f>
        <v/>
      </c>
      <c r="DJ785" s="128">
        <f>IFERROR(AX785*$V785,)</f>
        <v/>
      </c>
      <c r="DK785" s="128">
        <f>IFERROR(AY785*$V785,)</f>
        <v/>
      </c>
      <c r="DL785" s="128">
        <f>IFERROR(AZ785*$V785,)</f>
        <v/>
      </c>
      <c r="DM785" s="129">
        <f>IFERROR(if($X785=0,($V785/1.2)*BA785,
BA785*$X785),)</f>
        <v/>
      </c>
      <c r="DN785" s="129">
        <f>IFERROR(if($X785=0,($V785/1.2)*BB785,
BB785*$X785),)</f>
        <v/>
      </c>
      <c r="DO785" s="129">
        <f>IFERROR(if($X785=0,($V785/1.2)*BC785,
BC785*$X785),)</f>
        <v/>
      </c>
      <c r="DP785" s="130">
        <f>IFERROR(if($Z785=0,($V785/1.35)*BD785,
BD785*$Z785),)</f>
        <v/>
      </c>
      <c r="DQ785" s="130">
        <f>IFERROR(if($Z785=0,($V785/1.35)*BE785,
BE785*$Z785),)</f>
        <v/>
      </c>
      <c r="DR785" s="130">
        <f>IFERROR(if($Z785=0,($V785/1.35)*BF785,
BF785*$Z785),)</f>
        <v/>
      </c>
      <c r="DS785" s="128">
        <f>IFERROR(IF($AB785=0,($V785/0.74)*BG785,
BG785*$AB785),)</f>
        <v/>
      </c>
      <c r="DT785" s="128">
        <f>IFERROR(IF($AB785=0,($V785/0.74)*BH785,
BH785*$AB785),)</f>
        <v/>
      </c>
      <c r="DU785" s="128">
        <f>IFERROR(IF($AB785=0,($V785/0.74)*BI785,
BI785*$AB785),)</f>
        <v/>
      </c>
    </row>
    <row r="786" ht="131.25" customHeight="1" s="162">
      <c r="A786" s="115" t="n"/>
      <c r="B786" s="115" t="n"/>
      <c r="C786" s="115" t="n"/>
      <c r="D786" s="115" t="n"/>
      <c r="E786" s="115" t="n"/>
      <c r="F786" s="115" t="n"/>
      <c r="G786" s="115" t="n"/>
      <c r="H786" s="115" t="n"/>
      <c r="I786" s="115" t="n"/>
      <c r="J786" s="115" t="n"/>
      <c r="K786" s="115" t="n"/>
      <c r="L786" s="115" t="n"/>
      <c r="M786" s="115" t="n"/>
      <c r="N786" s="115" t="n"/>
      <c r="O786" s="115" t="n"/>
      <c r="P786" s="115" t="n"/>
      <c r="Q786" s="115" t="n"/>
      <c r="R786" s="115" t="n"/>
      <c r="S786" s="115" t="n"/>
      <c r="T786" s="115" t="n"/>
      <c r="U786" s="116" t="n"/>
      <c r="V786" s="116" t="n"/>
      <c r="W786" s="117" t="n"/>
      <c r="X786" s="118" t="n"/>
      <c r="Y786" s="119" t="n"/>
      <c r="Z786" s="120" t="n"/>
      <c r="AA786" s="121" t="n"/>
      <c r="AB786" s="122" t="n"/>
      <c r="AC786" s="117" t="n"/>
      <c r="AD786" s="123">
        <f>IF(SUM($AE786:$AH786)=0,"",SUM($AE786:$AH786))</f>
        <v/>
      </c>
      <c r="AE786" s="123">
        <f>iferror(IF(SUM($AI786:$AZ786)=0,"",SUM($AI786:$AZ786)),"")</f>
        <v/>
      </c>
      <c r="AF786" s="123">
        <f>iferror(IF(SUM($BA786:$BC786)=0,"",SUM($BA786:$BC786)),"")</f>
        <v/>
      </c>
      <c r="AG786" s="123">
        <f>iferror(IF(SUM($BD786:$BF786)=0,"",SUM($BD786:$BF786)),"")</f>
        <v/>
      </c>
      <c r="AH786" s="124">
        <f>iferror(IF(SUM($BG786:$BI786)=0,"",SUM($BG786:$BI786)),"")</f>
        <v/>
      </c>
      <c r="AI786" s="131" t="n"/>
      <c r="AJ786" s="132" t="n"/>
      <c r="AK786" s="132" t="n"/>
      <c r="AL786" s="132" t="n"/>
      <c r="AM786" s="132" t="n"/>
      <c r="AN786" s="132" t="n"/>
      <c r="AO786" s="132" t="n"/>
      <c r="AP786" s="132" t="n"/>
      <c r="AQ786" s="132" t="n"/>
      <c r="AR786" s="132" t="n"/>
      <c r="AS786" s="132" t="n"/>
      <c r="AT786" s="132" t="n"/>
      <c r="AU786" s="132" t="n"/>
      <c r="AV786" s="132" t="n"/>
      <c r="AW786" s="132" t="n"/>
      <c r="AX786" s="132" t="n"/>
      <c r="AY786" s="132" t="n"/>
      <c r="AZ786" s="133" t="n"/>
      <c r="BA786" s="131" t="n"/>
      <c r="BB786" s="132" t="n"/>
      <c r="BC786" s="133" t="n"/>
      <c r="BD786" s="131" t="n"/>
      <c r="BE786" s="132" t="n"/>
      <c r="BF786" s="133" t="n"/>
      <c r="BG786" s="131" t="n"/>
      <c r="BH786" s="132" t="n"/>
      <c r="BI786" s="132" t="n"/>
      <c r="BJ786" s="128">
        <f>iferror(SUM($BK786,($BL786*1.2),($BM786*1.35),($BN786*0.74)),)</f>
        <v/>
      </c>
      <c r="BK786" s="128">
        <f>IFERROR(SUM($BT786:$CK786),)</f>
        <v/>
      </c>
      <c r="BL786" s="129">
        <f>IFERROR(SUM($CL786:$CN786),)</f>
        <v/>
      </c>
      <c r="BM786" s="130">
        <f>IFERROR(SUM($CO786:$CQ786),)</f>
        <v/>
      </c>
      <c r="BN786" s="128">
        <f>IFERROR(SUM($CR786:$CT786),)</f>
        <v/>
      </c>
      <c r="BO786" s="128">
        <f>iferror(SUM($BP786,($BQ786*1.2),($BR786*1.35),($BS786*0.74)),)</f>
        <v/>
      </c>
      <c r="BP786" s="128">
        <f>IFERROR(SUM($CU786:$DL786),)</f>
        <v/>
      </c>
      <c r="BQ786" s="128">
        <f>IFERROR(SUM($DM786:$DO786),)</f>
        <v/>
      </c>
      <c r="BR786" s="128">
        <f>IFERROR(SUM($DP786:$DR786),)</f>
        <v/>
      </c>
      <c r="BS786" s="128">
        <f>IFERROR(SUM($DS786:$DU786),)</f>
        <v/>
      </c>
      <c r="BT786" s="128">
        <f>IFERROR(AI786*$W786,)</f>
        <v/>
      </c>
      <c r="BU786" s="128">
        <f>IFERROR(AJ786*$W786,)</f>
        <v/>
      </c>
      <c r="BV786" s="128">
        <f>IFERROR(AK786*$W786,)</f>
        <v/>
      </c>
      <c r="BW786" s="128">
        <f>IFERROR(AL786*$W786,)</f>
        <v/>
      </c>
      <c r="BX786" s="128">
        <f>IFERROR(AM786*$W786,)</f>
        <v/>
      </c>
      <c r="BY786" s="128">
        <f>IFERROR(AN786*$W786,)</f>
        <v/>
      </c>
      <c r="BZ786" s="128">
        <f>IFERROR(AO786*$W786,)</f>
        <v/>
      </c>
      <c r="CA786" s="128">
        <f>IFERROR(AP786*$W786,)</f>
        <v/>
      </c>
      <c r="CB786" s="128">
        <f>IFERROR(AQ786*$W786,)</f>
        <v/>
      </c>
      <c r="CC786" s="128">
        <f>IFERROR(AR786*$W786,)</f>
        <v/>
      </c>
      <c r="CD786" s="128">
        <f>IFERROR(AS786*$W786,)</f>
        <v/>
      </c>
      <c r="CE786" s="128">
        <f>IFERROR(AT786*$W786,)</f>
        <v/>
      </c>
      <c r="CF786" s="128">
        <f>IFERROR(AU786*$W786,)</f>
        <v/>
      </c>
      <c r="CG786" s="128">
        <f>IFERROR(AV786*$W786,)</f>
        <v/>
      </c>
      <c r="CH786" s="128">
        <f>IFERROR(AW786*$W786,)</f>
        <v/>
      </c>
      <c r="CI786" s="128">
        <f>IFERROR(AX786*$W786,)</f>
        <v/>
      </c>
      <c r="CJ786" s="128">
        <f>IFERROR(AY786*$W786,)</f>
        <v/>
      </c>
      <c r="CK786" s="128">
        <f>IFERROR(AZ786*$W786,)</f>
        <v/>
      </c>
      <c r="CL786" s="129">
        <f>IFERROR(if($Y786=0,BA786*($W786/1.2),BA786*$Y786),"")</f>
        <v/>
      </c>
      <c r="CM786" s="129">
        <f>IFERROR(if($Y786=0,BB786*($W786/1.2),BB786*$Y786),"")</f>
        <v/>
      </c>
      <c r="CN786" s="129">
        <f>IFERROR(if($Y786=0,BC786*($W786/1.2),BC786*$Y786),"")</f>
        <v/>
      </c>
      <c r="CO786" s="130">
        <f>IFERROR(if($AA786=0,($W786/1.35)*BD786,BD786*$AA786),)</f>
        <v/>
      </c>
      <c r="CP786" s="130">
        <f>IFERROR(if($AA786=0,($W786/1.35)*BE786,BE786*$AA786),)</f>
        <v/>
      </c>
      <c r="CQ786" s="130">
        <f>IFERROR(if($AA786=0,($W786/1.35)*BF786,BF786*$AA786),)</f>
        <v/>
      </c>
      <c r="CR786" s="128">
        <f>IFERROR(if($AC786=0,($W786/0.74)*BG786,
BG786*$AC786),)</f>
        <v/>
      </c>
      <c r="CS786" s="128">
        <f>IFERROR(if($AC786=0,($W786/0.74)*BH786,
BH786*$AC786),)</f>
        <v/>
      </c>
      <c r="CT786" s="128">
        <f>IFERROR(if($AC786=0,($W786/0.74)*BI786,
BI786*$AC786),)</f>
        <v/>
      </c>
      <c r="CU786" s="128">
        <f>IFERROR(AI786*$V786,)</f>
        <v/>
      </c>
      <c r="CV786" s="128">
        <f>IFERROR(AJ786*$V786,)</f>
        <v/>
      </c>
      <c r="CW786" s="128">
        <f>IFERROR(AK786*$V786,)</f>
        <v/>
      </c>
      <c r="CX786" s="128">
        <f>IFERROR(AL786*$V786,)</f>
        <v/>
      </c>
      <c r="CY786" s="128">
        <f>IFERROR(AM786*$V786,)</f>
        <v/>
      </c>
      <c r="CZ786" s="128">
        <f>IFERROR(AN786*$V786,)</f>
        <v/>
      </c>
      <c r="DA786" s="128">
        <f>IFERROR(AO786*$V786,)</f>
        <v/>
      </c>
      <c r="DB786" s="128">
        <f>IFERROR(AP786*$V786,)</f>
        <v/>
      </c>
      <c r="DC786" s="128">
        <f>IFERROR(AQ786*$V786,)</f>
        <v/>
      </c>
      <c r="DD786" s="128">
        <f>IFERROR(AR786*$V786,)</f>
        <v/>
      </c>
      <c r="DE786" s="128">
        <f>IFERROR(AS786*$V786,)</f>
        <v/>
      </c>
      <c r="DF786" s="128">
        <f>IFERROR(AT786*$V786,)</f>
        <v/>
      </c>
      <c r="DG786" s="128">
        <f>IFERROR(AU786*$V786,)</f>
        <v/>
      </c>
      <c r="DH786" s="128">
        <f>IFERROR(AV786*$V786,)</f>
        <v/>
      </c>
      <c r="DI786" s="128">
        <f>IFERROR(AW786*$V786,)</f>
        <v/>
      </c>
      <c r="DJ786" s="128">
        <f>IFERROR(AX786*$V786,)</f>
        <v/>
      </c>
      <c r="DK786" s="128">
        <f>IFERROR(AY786*$V786,)</f>
        <v/>
      </c>
      <c r="DL786" s="128">
        <f>IFERROR(AZ786*$V786,)</f>
        <v/>
      </c>
      <c r="DM786" s="129">
        <f>IFERROR(if($X786=0,($V786/1.2)*BA786,
BA786*$X786),)</f>
        <v/>
      </c>
      <c r="DN786" s="129">
        <f>IFERROR(if($X786=0,($V786/1.2)*BB786,
BB786*$X786),)</f>
        <v/>
      </c>
      <c r="DO786" s="129">
        <f>IFERROR(if($X786=0,($V786/1.2)*BC786,
BC786*$X786),)</f>
        <v/>
      </c>
      <c r="DP786" s="130">
        <f>IFERROR(if($Z786=0,($V786/1.35)*BD786,
BD786*$Z786),)</f>
        <v/>
      </c>
      <c r="DQ786" s="130">
        <f>IFERROR(if($Z786=0,($V786/1.35)*BE786,
BE786*$Z786),)</f>
        <v/>
      </c>
      <c r="DR786" s="130">
        <f>IFERROR(if($Z786=0,($V786/1.35)*BF786,
BF786*$Z786),)</f>
        <v/>
      </c>
      <c r="DS786" s="128">
        <f>IFERROR(IF($AB786=0,($V786/0.74)*BG786,
BG786*$AB786),)</f>
        <v/>
      </c>
      <c r="DT786" s="128">
        <f>IFERROR(IF($AB786=0,($V786/0.74)*BH786,
BH786*$AB786),)</f>
        <v/>
      </c>
      <c r="DU786" s="128">
        <f>IFERROR(IF($AB786=0,($V786/0.74)*BI786,
BI786*$AB786),)</f>
        <v/>
      </c>
    </row>
    <row r="787" ht="131.25" customHeight="1" s="162">
      <c r="A787" s="115" t="n"/>
      <c r="B787" s="115" t="n"/>
      <c r="C787" s="115" t="n"/>
      <c r="D787" s="115" t="n"/>
      <c r="E787" s="115" t="n"/>
      <c r="F787" s="115" t="n"/>
      <c r="G787" s="115" t="n"/>
      <c r="H787" s="115" t="n"/>
      <c r="I787" s="115" t="n"/>
      <c r="J787" s="115" t="n"/>
      <c r="K787" s="115" t="n"/>
      <c r="L787" s="115" t="n"/>
      <c r="M787" s="115" t="n"/>
      <c r="N787" s="115" t="n"/>
      <c r="O787" s="115" t="n"/>
      <c r="P787" s="115" t="n"/>
      <c r="Q787" s="115" t="n"/>
      <c r="R787" s="115" t="n"/>
      <c r="S787" s="115" t="n"/>
      <c r="T787" s="115" t="n"/>
      <c r="U787" s="116" t="n"/>
      <c r="V787" s="116" t="n"/>
      <c r="W787" s="117" t="n"/>
      <c r="X787" s="118" t="n"/>
      <c r="Y787" s="119" t="n"/>
      <c r="Z787" s="120" t="n"/>
      <c r="AA787" s="121" t="n"/>
      <c r="AB787" s="122" t="n"/>
      <c r="AC787" s="117" t="n"/>
      <c r="AD787" s="123">
        <f>IF(SUM($AE787:$AH787)=0,"",SUM($AE787:$AH787))</f>
        <v/>
      </c>
      <c r="AE787" s="123">
        <f>iferror(IF(SUM($AI787:$AZ787)=0,"",SUM($AI787:$AZ787)),"")</f>
        <v/>
      </c>
      <c r="AF787" s="123">
        <f>iferror(IF(SUM($BA787:$BC787)=0,"",SUM($BA787:$BC787)),"")</f>
        <v/>
      </c>
      <c r="AG787" s="123">
        <f>iferror(IF(SUM($BD787:$BF787)=0,"",SUM($BD787:$BF787)),"")</f>
        <v/>
      </c>
      <c r="AH787" s="124">
        <f>iferror(IF(SUM($BG787:$BI787)=0,"",SUM($BG787:$BI787)),"")</f>
        <v/>
      </c>
      <c r="AI787" s="131" t="n"/>
      <c r="AJ787" s="132" t="n"/>
      <c r="AK787" s="132" t="n"/>
      <c r="AL787" s="132" t="n"/>
      <c r="AM787" s="132" t="n"/>
      <c r="AN787" s="132" t="n"/>
      <c r="AO787" s="132" t="n"/>
      <c r="AP787" s="132" t="n"/>
      <c r="AQ787" s="132" t="n"/>
      <c r="AR787" s="132" t="n"/>
      <c r="AS787" s="132" t="n"/>
      <c r="AT787" s="132" t="n"/>
      <c r="AU787" s="132" t="n"/>
      <c r="AV787" s="132" t="n"/>
      <c r="AW787" s="132" t="n"/>
      <c r="AX787" s="132" t="n"/>
      <c r="AY787" s="132" t="n"/>
      <c r="AZ787" s="133" t="n"/>
      <c r="BA787" s="131" t="n"/>
      <c r="BB787" s="132" t="n"/>
      <c r="BC787" s="133" t="n"/>
      <c r="BD787" s="131" t="n"/>
      <c r="BE787" s="132" t="n"/>
      <c r="BF787" s="133" t="n"/>
      <c r="BG787" s="131" t="n"/>
      <c r="BH787" s="132" t="n"/>
      <c r="BI787" s="132" t="n"/>
      <c r="BJ787" s="128">
        <f>iferror(SUM($BK787,($BL787*1.2),($BM787*1.35),($BN787*0.74)),)</f>
        <v/>
      </c>
      <c r="BK787" s="128">
        <f>IFERROR(SUM($BT787:$CK787),)</f>
        <v/>
      </c>
      <c r="BL787" s="129">
        <f>IFERROR(SUM($CL787:$CN787),)</f>
        <v/>
      </c>
      <c r="BM787" s="130">
        <f>IFERROR(SUM($CO787:$CQ787),)</f>
        <v/>
      </c>
      <c r="BN787" s="128">
        <f>IFERROR(SUM($CR787:$CT787),)</f>
        <v/>
      </c>
      <c r="BO787" s="128">
        <f>iferror(SUM($BP787,($BQ787*1.2),($BR787*1.35),($BS787*0.74)),)</f>
        <v/>
      </c>
      <c r="BP787" s="128">
        <f>IFERROR(SUM($CU787:$DL787),)</f>
        <v/>
      </c>
      <c r="BQ787" s="128">
        <f>IFERROR(SUM($DM787:$DO787),)</f>
        <v/>
      </c>
      <c r="BR787" s="128">
        <f>IFERROR(SUM($DP787:$DR787),)</f>
        <v/>
      </c>
      <c r="BS787" s="128">
        <f>IFERROR(SUM($DS787:$DU787),)</f>
        <v/>
      </c>
      <c r="BT787" s="128">
        <f>IFERROR(AI787*$W787,)</f>
        <v/>
      </c>
      <c r="BU787" s="128">
        <f>IFERROR(AJ787*$W787,)</f>
        <v/>
      </c>
      <c r="BV787" s="128">
        <f>IFERROR(AK787*$W787,)</f>
        <v/>
      </c>
      <c r="BW787" s="128">
        <f>IFERROR(AL787*$W787,)</f>
        <v/>
      </c>
      <c r="BX787" s="128">
        <f>IFERROR(AM787*$W787,)</f>
        <v/>
      </c>
      <c r="BY787" s="128">
        <f>IFERROR(AN787*$W787,)</f>
        <v/>
      </c>
      <c r="BZ787" s="128">
        <f>IFERROR(AO787*$W787,)</f>
        <v/>
      </c>
      <c r="CA787" s="128">
        <f>IFERROR(AP787*$W787,)</f>
        <v/>
      </c>
      <c r="CB787" s="128">
        <f>IFERROR(AQ787*$W787,)</f>
        <v/>
      </c>
      <c r="CC787" s="128">
        <f>IFERROR(AR787*$W787,)</f>
        <v/>
      </c>
      <c r="CD787" s="128">
        <f>IFERROR(AS787*$W787,)</f>
        <v/>
      </c>
      <c r="CE787" s="128">
        <f>IFERROR(AT787*$W787,)</f>
        <v/>
      </c>
      <c r="CF787" s="128">
        <f>IFERROR(AU787*$W787,)</f>
        <v/>
      </c>
      <c r="CG787" s="128">
        <f>IFERROR(AV787*$W787,)</f>
        <v/>
      </c>
      <c r="CH787" s="128">
        <f>IFERROR(AW787*$W787,)</f>
        <v/>
      </c>
      <c r="CI787" s="128">
        <f>IFERROR(AX787*$W787,)</f>
        <v/>
      </c>
      <c r="CJ787" s="128">
        <f>IFERROR(AY787*$W787,)</f>
        <v/>
      </c>
      <c r="CK787" s="128">
        <f>IFERROR(AZ787*$W787,)</f>
        <v/>
      </c>
      <c r="CL787" s="129">
        <f>IFERROR(if($Y787=0,BA787*($W787/1.2),BA787*$Y787),"")</f>
        <v/>
      </c>
      <c r="CM787" s="129">
        <f>IFERROR(if($Y787=0,BB787*($W787/1.2),BB787*$Y787),"")</f>
        <v/>
      </c>
      <c r="CN787" s="129">
        <f>IFERROR(if($Y787=0,BC787*($W787/1.2),BC787*$Y787),"")</f>
        <v/>
      </c>
      <c r="CO787" s="130">
        <f>IFERROR(if($AA787=0,($W787/1.35)*BD787,BD787*$AA787),)</f>
        <v/>
      </c>
      <c r="CP787" s="130">
        <f>IFERROR(if($AA787=0,($W787/1.35)*BE787,BE787*$AA787),)</f>
        <v/>
      </c>
      <c r="CQ787" s="130">
        <f>IFERROR(if($AA787=0,($W787/1.35)*BF787,BF787*$AA787),)</f>
        <v/>
      </c>
      <c r="CR787" s="128">
        <f>IFERROR(if($AC787=0,($W787/0.74)*BG787,
BG787*$AC787),)</f>
        <v/>
      </c>
      <c r="CS787" s="128">
        <f>IFERROR(if($AC787=0,($W787/0.74)*BH787,
BH787*$AC787),)</f>
        <v/>
      </c>
      <c r="CT787" s="128">
        <f>IFERROR(if($AC787=0,($W787/0.74)*BI787,
BI787*$AC787),)</f>
        <v/>
      </c>
      <c r="CU787" s="128">
        <f>IFERROR(AI787*$V787,)</f>
        <v/>
      </c>
      <c r="CV787" s="128">
        <f>IFERROR(AJ787*$V787,)</f>
        <v/>
      </c>
      <c r="CW787" s="128">
        <f>IFERROR(AK787*$V787,)</f>
        <v/>
      </c>
      <c r="CX787" s="128">
        <f>IFERROR(AL787*$V787,)</f>
        <v/>
      </c>
      <c r="CY787" s="128">
        <f>IFERROR(AM787*$V787,)</f>
        <v/>
      </c>
      <c r="CZ787" s="128">
        <f>IFERROR(AN787*$V787,)</f>
        <v/>
      </c>
      <c r="DA787" s="128">
        <f>IFERROR(AO787*$V787,)</f>
        <v/>
      </c>
      <c r="DB787" s="128">
        <f>IFERROR(AP787*$V787,)</f>
        <v/>
      </c>
      <c r="DC787" s="128">
        <f>IFERROR(AQ787*$V787,)</f>
        <v/>
      </c>
      <c r="DD787" s="128">
        <f>IFERROR(AR787*$V787,)</f>
        <v/>
      </c>
      <c r="DE787" s="128">
        <f>IFERROR(AS787*$V787,)</f>
        <v/>
      </c>
      <c r="DF787" s="128">
        <f>IFERROR(AT787*$V787,)</f>
        <v/>
      </c>
      <c r="DG787" s="128">
        <f>IFERROR(AU787*$V787,)</f>
        <v/>
      </c>
      <c r="DH787" s="128">
        <f>IFERROR(AV787*$V787,)</f>
        <v/>
      </c>
      <c r="DI787" s="128">
        <f>IFERROR(AW787*$V787,)</f>
        <v/>
      </c>
      <c r="DJ787" s="128">
        <f>IFERROR(AX787*$V787,)</f>
        <v/>
      </c>
      <c r="DK787" s="128">
        <f>IFERROR(AY787*$V787,)</f>
        <v/>
      </c>
      <c r="DL787" s="128">
        <f>IFERROR(AZ787*$V787,)</f>
        <v/>
      </c>
      <c r="DM787" s="129">
        <f>IFERROR(if($X787=0,($V787/1.2)*BA787,
BA787*$X787),)</f>
        <v/>
      </c>
      <c r="DN787" s="129">
        <f>IFERROR(if($X787=0,($V787/1.2)*BB787,
BB787*$X787),)</f>
        <v/>
      </c>
      <c r="DO787" s="129">
        <f>IFERROR(if($X787=0,($V787/1.2)*BC787,
BC787*$X787),)</f>
        <v/>
      </c>
      <c r="DP787" s="130">
        <f>IFERROR(if($Z787=0,($V787/1.35)*BD787,
BD787*$Z787),)</f>
        <v/>
      </c>
      <c r="DQ787" s="130">
        <f>IFERROR(if($Z787=0,($V787/1.35)*BE787,
BE787*$Z787),)</f>
        <v/>
      </c>
      <c r="DR787" s="130">
        <f>IFERROR(if($Z787=0,($V787/1.35)*BF787,
BF787*$Z787),)</f>
        <v/>
      </c>
      <c r="DS787" s="128">
        <f>IFERROR(IF($AB787=0,($V787/0.74)*BG787,
BG787*$AB787),)</f>
        <v/>
      </c>
      <c r="DT787" s="128">
        <f>IFERROR(IF($AB787=0,($V787/0.74)*BH787,
BH787*$AB787),)</f>
        <v/>
      </c>
      <c r="DU787" s="128">
        <f>IFERROR(IF($AB787=0,($V787/0.74)*BI787,
BI787*$AB787),)</f>
        <v/>
      </c>
    </row>
    <row r="788" ht="131.25" customHeight="1" s="162">
      <c r="A788" s="115" t="n"/>
      <c r="B788" s="115" t="n"/>
      <c r="C788" s="115" t="n"/>
      <c r="D788" s="115" t="n"/>
      <c r="E788" s="115" t="n"/>
      <c r="F788" s="115" t="n"/>
      <c r="G788" s="115" t="n"/>
      <c r="H788" s="115" t="n"/>
      <c r="I788" s="115" t="n"/>
      <c r="J788" s="115" t="n"/>
      <c r="K788" s="115" t="n"/>
      <c r="L788" s="115" t="n"/>
      <c r="M788" s="115" t="n"/>
      <c r="N788" s="115" t="n"/>
      <c r="O788" s="115" t="n"/>
      <c r="P788" s="115" t="n"/>
      <c r="Q788" s="115" t="n"/>
      <c r="R788" s="115" t="n"/>
      <c r="S788" s="115" t="n"/>
      <c r="T788" s="115" t="n"/>
      <c r="U788" s="116" t="n"/>
      <c r="V788" s="116" t="n"/>
      <c r="W788" s="117" t="n"/>
      <c r="X788" s="118" t="n"/>
      <c r="Y788" s="119" t="n"/>
      <c r="Z788" s="120" t="n"/>
      <c r="AA788" s="121" t="n"/>
      <c r="AB788" s="122" t="n"/>
      <c r="AC788" s="117" t="n"/>
      <c r="AD788" s="123">
        <f>IF(SUM($AE788:$AH788)=0,"",SUM($AE788:$AH788))</f>
        <v/>
      </c>
      <c r="AE788" s="123">
        <f>iferror(IF(SUM($AI788:$AZ788)=0,"",SUM($AI788:$AZ788)),"")</f>
        <v/>
      </c>
      <c r="AF788" s="123">
        <f>iferror(IF(SUM($BA788:$BC788)=0,"",SUM($BA788:$BC788)),"")</f>
        <v/>
      </c>
      <c r="AG788" s="123">
        <f>iferror(IF(SUM($BD788:$BF788)=0,"",SUM($BD788:$BF788)),"")</f>
        <v/>
      </c>
      <c r="AH788" s="124">
        <f>iferror(IF(SUM($BG788:$BI788)=0,"",SUM($BG788:$BI788)),"")</f>
        <v/>
      </c>
      <c r="AI788" s="131" t="n"/>
      <c r="AJ788" s="132" t="n"/>
      <c r="AK788" s="132" t="n"/>
      <c r="AL788" s="132" t="n"/>
      <c r="AM788" s="132" t="n"/>
      <c r="AN788" s="132" t="n"/>
      <c r="AO788" s="132" t="n"/>
      <c r="AP788" s="132" t="n"/>
      <c r="AQ788" s="132" t="n"/>
      <c r="AR788" s="132" t="n"/>
      <c r="AS788" s="132" t="n"/>
      <c r="AT788" s="132" t="n"/>
      <c r="AU788" s="132" t="n"/>
      <c r="AV788" s="132" t="n"/>
      <c r="AW788" s="132" t="n"/>
      <c r="AX788" s="132" t="n"/>
      <c r="AY788" s="132" t="n"/>
      <c r="AZ788" s="133" t="n"/>
      <c r="BA788" s="131" t="n"/>
      <c r="BB788" s="132" t="n"/>
      <c r="BC788" s="133" t="n"/>
      <c r="BD788" s="131" t="n"/>
      <c r="BE788" s="132" t="n"/>
      <c r="BF788" s="133" t="n"/>
      <c r="BG788" s="131" t="n"/>
      <c r="BH788" s="132" t="n"/>
      <c r="BI788" s="132" t="n"/>
      <c r="BJ788" s="128">
        <f>iferror(SUM($BK788,($BL788*1.2),($BM788*1.35),($BN788*0.74)),)</f>
        <v/>
      </c>
      <c r="BK788" s="128">
        <f>IFERROR(SUM($BT788:$CK788),)</f>
        <v/>
      </c>
      <c r="BL788" s="129">
        <f>IFERROR(SUM($CL788:$CN788),)</f>
        <v/>
      </c>
      <c r="BM788" s="130">
        <f>IFERROR(SUM($CO788:$CQ788),)</f>
        <v/>
      </c>
      <c r="BN788" s="128">
        <f>IFERROR(SUM($CR788:$CT788),)</f>
        <v/>
      </c>
      <c r="BO788" s="128">
        <f>iferror(SUM($BP788,($BQ788*1.2),($BR788*1.35),($BS788*0.74)),)</f>
        <v/>
      </c>
      <c r="BP788" s="128">
        <f>IFERROR(SUM($CU788:$DL788),)</f>
        <v/>
      </c>
      <c r="BQ788" s="128">
        <f>IFERROR(SUM($DM788:$DO788),)</f>
        <v/>
      </c>
      <c r="BR788" s="128">
        <f>IFERROR(SUM($DP788:$DR788),)</f>
        <v/>
      </c>
      <c r="BS788" s="128">
        <f>IFERROR(SUM($DS788:$DU788),)</f>
        <v/>
      </c>
      <c r="BT788" s="128">
        <f>IFERROR(AI788*$W788,)</f>
        <v/>
      </c>
      <c r="BU788" s="128">
        <f>IFERROR(AJ788*$W788,)</f>
        <v/>
      </c>
      <c r="BV788" s="128">
        <f>IFERROR(AK788*$W788,)</f>
        <v/>
      </c>
      <c r="BW788" s="128">
        <f>IFERROR(AL788*$W788,)</f>
        <v/>
      </c>
      <c r="BX788" s="128">
        <f>IFERROR(AM788*$W788,)</f>
        <v/>
      </c>
      <c r="BY788" s="128">
        <f>IFERROR(AN788*$W788,)</f>
        <v/>
      </c>
      <c r="BZ788" s="128">
        <f>IFERROR(AO788*$W788,)</f>
        <v/>
      </c>
      <c r="CA788" s="128">
        <f>IFERROR(AP788*$W788,)</f>
        <v/>
      </c>
      <c r="CB788" s="128">
        <f>IFERROR(AQ788*$W788,)</f>
        <v/>
      </c>
      <c r="CC788" s="128">
        <f>IFERROR(AR788*$W788,)</f>
        <v/>
      </c>
      <c r="CD788" s="128">
        <f>IFERROR(AS788*$W788,)</f>
        <v/>
      </c>
      <c r="CE788" s="128">
        <f>IFERROR(AT788*$W788,)</f>
        <v/>
      </c>
      <c r="CF788" s="128">
        <f>IFERROR(AU788*$W788,)</f>
        <v/>
      </c>
      <c r="CG788" s="128">
        <f>IFERROR(AV788*$W788,)</f>
        <v/>
      </c>
      <c r="CH788" s="128">
        <f>IFERROR(AW788*$W788,)</f>
        <v/>
      </c>
      <c r="CI788" s="128">
        <f>IFERROR(AX788*$W788,)</f>
        <v/>
      </c>
      <c r="CJ788" s="128">
        <f>IFERROR(AY788*$W788,)</f>
        <v/>
      </c>
      <c r="CK788" s="128">
        <f>IFERROR(AZ788*$W788,)</f>
        <v/>
      </c>
      <c r="CL788" s="129">
        <f>IFERROR(if($Y788=0,BA788*($W788/1.2),BA788*$Y788),"")</f>
        <v/>
      </c>
      <c r="CM788" s="129">
        <f>IFERROR(if($Y788=0,BB788*($W788/1.2),BB788*$Y788),"")</f>
        <v/>
      </c>
      <c r="CN788" s="129">
        <f>IFERROR(if($Y788=0,BC788*($W788/1.2),BC788*$Y788),"")</f>
        <v/>
      </c>
      <c r="CO788" s="130">
        <f>IFERROR(if($AA788=0,($W788/1.35)*BD788,BD788*$AA788),)</f>
        <v/>
      </c>
      <c r="CP788" s="130">
        <f>IFERROR(if($AA788=0,($W788/1.35)*BE788,BE788*$AA788),)</f>
        <v/>
      </c>
      <c r="CQ788" s="130">
        <f>IFERROR(if($AA788=0,($W788/1.35)*BF788,BF788*$AA788),)</f>
        <v/>
      </c>
      <c r="CR788" s="128">
        <f>IFERROR(if($AC788=0,($W788/0.74)*BG788,
BG788*$AC788),)</f>
        <v/>
      </c>
      <c r="CS788" s="128">
        <f>IFERROR(if($AC788=0,($W788/0.74)*BH788,
BH788*$AC788),)</f>
        <v/>
      </c>
      <c r="CT788" s="128">
        <f>IFERROR(if($AC788=0,($W788/0.74)*BI788,
BI788*$AC788),)</f>
        <v/>
      </c>
      <c r="CU788" s="128">
        <f>IFERROR(AI788*$V788,)</f>
        <v/>
      </c>
      <c r="CV788" s="128">
        <f>IFERROR(AJ788*$V788,)</f>
        <v/>
      </c>
      <c r="CW788" s="128">
        <f>IFERROR(AK788*$V788,)</f>
        <v/>
      </c>
      <c r="CX788" s="128">
        <f>IFERROR(AL788*$V788,)</f>
        <v/>
      </c>
      <c r="CY788" s="128">
        <f>IFERROR(AM788*$V788,)</f>
        <v/>
      </c>
      <c r="CZ788" s="128">
        <f>IFERROR(AN788*$V788,)</f>
        <v/>
      </c>
      <c r="DA788" s="128">
        <f>IFERROR(AO788*$V788,)</f>
        <v/>
      </c>
      <c r="DB788" s="128">
        <f>IFERROR(AP788*$V788,)</f>
        <v/>
      </c>
      <c r="DC788" s="128">
        <f>IFERROR(AQ788*$V788,)</f>
        <v/>
      </c>
      <c r="DD788" s="128">
        <f>IFERROR(AR788*$V788,)</f>
        <v/>
      </c>
      <c r="DE788" s="128">
        <f>IFERROR(AS788*$V788,)</f>
        <v/>
      </c>
      <c r="DF788" s="128">
        <f>IFERROR(AT788*$V788,)</f>
        <v/>
      </c>
      <c r="DG788" s="128">
        <f>IFERROR(AU788*$V788,)</f>
        <v/>
      </c>
      <c r="DH788" s="128">
        <f>IFERROR(AV788*$V788,)</f>
        <v/>
      </c>
      <c r="DI788" s="128">
        <f>IFERROR(AW788*$V788,)</f>
        <v/>
      </c>
      <c r="DJ788" s="128">
        <f>IFERROR(AX788*$V788,)</f>
        <v/>
      </c>
      <c r="DK788" s="128">
        <f>IFERROR(AY788*$V788,)</f>
        <v/>
      </c>
      <c r="DL788" s="128">
        <f>IFERROR(AZ788*$V788,)</f>
        <v/>
      </c>
      <c r="DM788" s="129">
        <f>IFERROR(if($X788=0,($V788/1.2)*BA788,
BA788*$X788),)</f>
        <v/>
      </c>
      <c r="DN788" s="129">
        <f>IFERROR(if($X788=0,($V788/1.2)*BB788,
BB788*$X788),)</f>
        <v/>
      </c>
      <c r="DO788" s="129">
        <f>IFERROR(if($X788=0,($V788/1.2)*BC788,
BC788*$X788),)</f>
        <v/>
      </c>
      <c r="DP788" s="130">
        <f>IFERROR(if($Z788=0,($V788/1.35)*BD788,
BD788*$Z788),)</f>
        <v/>
      </c>
      <c r="DQ788" s="130">
        <f>IFERROR(if($Z788=0,($V788/1.35)*BE788,
BE788*$Z788),)</f>
        <v/>
      </c>
      <c r="DR788" s="130">
        <f>IFERROR(if($Z788=0,($V788/1.35)*BF788,
BF788*$Z788),)</f>
        <v/>
      </c>
      <c r="DS788" s="128">
        <f>IFERROR(IF($AB788=0,($V788/0.74)*BG788,
BG788*$AB788),)</f>
        <v/>
      </c>
      <c r="DT788" s="128">
        <f>IFERROR(IF($AB788=0,($V788/0.74)*BH788,
BH788*$AB788),)</f>
        <v/>
      </c>
      <c r="DU788" s="128">
        <f>IFERROR(IF($AB788=0,($V788/0.74)*BI788,
BI788*$AB788),)</f>
        <v/>
      </c>
    </row>
    <row r="789" ht="131.25" customHeight="1" s="162">
      <c r="A789" s="115" t="n"/>
      <c r="B789" s="115" t="n"/>
      <c r="C789" s="115" t="n"/>
      <c r="D789" s="115" t="n"/>
      <c r="E789" s="115" t="n"/>
      <c r="F789" s="115" t="n"/>
      <c r="G789" s="115" t="n"/>
      <c r="H789" s="115" t="n"/>
      <c r="I789" s="115" t="n"/>
      <c r="J789" s="115" t="n"/>
      <c r="K789" s="115" t="n"/>
      <c r="L789" s="115" t="n"/>
      <c r="M789" s="115" t="n"/>
      <c r="N789" s="115" t="n"/>
      <c r="O789" s="115" t="n"/>
      <c r="P789" s="115" t="n"/>
      <c r="Q789" s="115" t="n"/>
      <c r="R789" s="115" t="n"/>
      <c r="S789" s="115" t="n"/>
      <c r="T789" s="115" t="n"/>
      <c r="U789" s="116" t="n"/>
      <c r="V789" s="116" t="n"/>
      <c r="W789" s="117" t="n"/>
      <c r="X789" s="118" t="n"/>
      <c r="Y789" s="119" t="n"/>
      <c r="Z789" s="120" t="n"/>
      <c r="AA789" s="121" t="n"/>
      <c r="AB789" s="122" t="n"/>
      <c r="AC789" s="117" t="n"/>
      <c r="AD789" s="123">
        <f>IF(SUM($AE789:$AH789)=0,"",SUM($AE789:$AH789))</f>
        <v/>
      </c>
      <c r="AE789" s="123">
        <f>iferror(IF(SUM($AI789:$AZ789)=0,"",SUM($AI789:$AZ789)),"")</f>
        <v/>
      </c>
      <c r="AF789" s="123">
        <f>iferror(IF(SUM($BA789:$BC789)=0,"",SUM($BA789:$BC789)),"")</f>
        <v/>
      </c>
      <c r="AG789" s="123">
        <f>iferror(IF(SUM($BD789:$BF789)=0,"",SUM($BD789:$BF789)),"")</f>
        <v/>
      </c>
      <c r="AH789" s="124">
        <f>iferror(IF(SUM($BG789:$BI789)=0,"",SUM($BG789:$BI789)),"")</f>
        <v/>
      </c>
      <c r="AI789" s="131" t="n"/>
      <c r="AJ789" s="132" t="n"/>
      <c r="AK789" s="132" t="n"/>
      <c r="AL789" s="132" t="n"/>
      <c r="AM789" s="132" t="n"/>
      <c r="AN789" s="132" t="n"/>
      <c r="AO789" s="132" t="n"/>
      <c r="AP789" s="132" t="n"/>
      <c r="AQ789" s="132" t="n"/>
      <c r="AR789" s="132" t="n"/>
      <c r="AS789" s="132" t="n"/>
      <c r="AT789" s="132" t="n"/>
      <c r="AU789" s="132" t="n"/>
      <c r="AV789" s="132" t="n"/>
      <c r="AW789" s="132" t="n"/>
      <c r="AX789" s="132" t="n"/>
      <c r="AY789" s="132" t="n"/>
      <c r="AZ789" s="133" t="n"/>
      <c r="BA789" s="131" t="n"/>
      <c r="BB789" s="132" t="n"/>
      <c r="BC789" s="133" t="n"/>
      <c r="BD789" s="131" t="n"/>
      <c r="BE789" s="132" t="n"/>
      <c r="BF789" s="133" t="n"/>
      <c r="BG789" s="131" t="n"/>
      <c r="BH789" s="132" t="n"/>
      <c r="BI789" s="132" t="n"/>
      <c r="BJ789" s="128">
        <f>iferror(SUM($BK789,($BL789*1.2),($BM789*1.35),($BN789*0.74)),)</f>
        <v/>
      </c>
      <c r="BK789" s="128">
        <f>IFERROR(SUM($BT789:$CK789),)</f>
        <v/>
      </c>
      <c r="BL789" s="129">
        <f>IFERROR(SUM($CL789:$CN789),)</f>
        <v/>
      </c>
      <c r="BM789" s="130">
        <f>IFERROR(SUM($CO789:$CQ789),)</f>
        <v/>
      </c>
      <c r="BN789" s="128">
        <f>IFERROR(SUM($CR789:$CT789),)</f>
        <v/>
      </c>
      <c r="BO789" s="128">
        <f>iferror(SUM($BP789,($BQ789*1.2),($BR789*1.35),($BS789*0.74)),)</f>
        <v/>
      </c>
      <c r="BP789" s="128">
        <f>IFERROR(SUM($CU789:$DL789),)</f>
        <v/>
      </c>
      <c r="BQ789" s="128">
        <f>IFERROR(SUM($DM789:$DO789),)</f>
        <v/>
      </c>
      <c r="BR789" s="128">
        <f>IFERROR(SUM($DP789:$DR789),)</f>
        <v/>
      </c>
      <c r="BS789" s="128">
        <f>IFERROR(SUM($DS789:$DU789),)</f>
        <v/>
      </c>
      <c r="BT789" s="128">
        <f>IFERROR(AI789*$W789,)</f>
        <v/>
      </c>
      <c r="BU789" s="128">
        <f>IFERROR(AJ789*$W789,)</f>
        <v/>
      </c>
      <c r="BV789" s="128">
        <f>IFERROR(AK789*$W789,)</f>
        <v/>
      </c>
      <c r="BW789" s="128">
        <f>IFERROR(AL789*$W789,)</f>
        <v/>
      </c>
      <c r="BX789" s="128">
        <f>IFERROR(AM789*$W789,)</f>
        <v/>
      </c>
      <c r="BY789" s="128">
        <f>IFERROR(AN789*$W789,)</f>
        <v/>
      </c>
      <c r="BZ789" s="128">
        <f>IFERROR(AO789*$W789,)</f>
        <v/>
      </c>
      <c r="CA789" s="128">
        <f>IFERROR(AP789*$W789,)</f>
        <v/>
      </c>
      <c r="CB789" s="128">
        <f>IFERROR(AQ789*$W789,)</f>
        <v/>
      </c>
      <c r="CC789" s="128">
        <f>IFERROR(AR789*$W789,)</f>
        <v/>
      </c>
      <c r="CD789" s="128">
        <f>IFERROR(AS789*$W789,)</f>
        <v/>
      </c>
      <c r="CE789" s="128">
        <f>IFERROR(AT789*$W789,)</f>
        <v/>
      </c>
      <c r="CF789" s="128">
        <f>IFERROR(AU789*$W789,)</f>
        <v/>
      </c>
      <c r="CG789" s="128">
        <f>IFERROR(AV789*$W789,)</f>
        <v/>
      </c>
      <c r="CH789" s="128">
        <f>IFERROR(AW789*$W789,)</f>
        <v/>
      </c>
      <c r="CI789" s="128">
        <f>IFERROR(AX789*$W789,)</f>
        <v/>
      </c>
      <c r="CJ789" s="128">
        <f>IFERROR(AY789*$W789,)</f>
        <v/>
      </c>
      <c r="CK789" s="128">
        <f>IFERROR(AZ789*$W789,)</f>
        <v/>
      </c>
      <c r="CL789" s="129">
        <f>IFERROR(if($Y789=0,BA789*($W789/1.2),BA789*$Y789),"")</f>
        <v/>
      </c>
      <c r="CM789" s="129">
        <f>IFERROR(if($Y789=0,BB789*($W789/1.2),BB789*$Y789),"")</f>
        <v/>
      </c>
      <c r="CN789" s="129">
        <f>IFERROR(if($Y789=0,BC789*($W789/1.2),BC789*$Y789),"")</f>
        <v/>
      </c>
      <c r="CO789" s="130">
        <f>IFERROR(if($AA789=0,($W789/1.35)*BD789,BD789*$AA789),)</f>
        <v/>
      </c>
      <c r="CP789" s="130">
        <f>IFERROR(if($AA789=0,($W789/1.35)*BE789,BE789*$AA789),)</f>
        <v/>
      </c>
      <c r="CQ789" s="130">
        <f>IFERROR(if($AA789=0,($W789/1.35)*BF789,BF789*$AA789),)</f>
        <v/>
      </c>
      <c r="CR789" s="128">
        <f>IFERROR(if($AC789=0,($W789/0.74)*BG789,
BG789*$AC789),)</f>
        <v/>
      </c>
      <c r="CS789" s="128">
        <f>IFERROR(if($AC789=0,($W789/0.74)*BH789,
BH789*$AC789),)</f>
        <v/>
      </c>
      <c r="CT789" s="128">
        <f>IFERROR(if($AC789=0,($W789/0.74)*BI789,
BI789*$AC789),)</f>
        <v/>
      </c>
      <c r="CU789" s="128">
        <f>IFERROR(AI789*$V789,)</f>
        <v/>
      </c>
      <c r="CV789" s="128">
        <f>IFERROR(AJ789*$V789,)</f>
        <v/>
      </c>
      <c r="CW789" s="128">
        <f>IFERROR(AK789*$V789,)</f>
        <v/>
      </c>
      <c r="CX789" s="128">
        <f>IFERROR(AL789*$V789,)</f>
        <v/>
      </c>
      <c r="CY789" s="128">
        <f>IFERROR(AM789*$V789,)</f>
        <v/>
      </c>
      <c r="CZ789" s="128">
        <f>IFERROR(AN789*$V789,)</f>
        <v/>
      </c>
      <c r="DA789" s="128">
        <f>IFERROR(AO789*$V789,)</f>
        <v/>
      </c>
      <c r="DB789" s="128">
        <f>IFERROR(AP789*$V789,)</f>
        <v/>
      </c>
      <c r="DC789" s="128">
        <f>IFERROR(AQ789*$V789,)</f>
        <v/>
      </c>
      <c r="DD789" s="128">
        <f>IFERROR(AR789*$V789,)</f>
        <v/>
      </c>
      <c r="DE789" s="128">
        <f>IFERROR(AS789*$V789,)</f>
        <v/>
      </c>
      <c r="DF789" s="128">
        <f>IFERROR(AT789*$V789,)</f>
        <v/>
      </c>
      <c r="DG789" s="128">
        <f>IFERROR(AU789*$V789,)</f>
        <v/>
      </c>
      <c r="DH789" s="128">
        <f>IFERROR(AV789*$V789,)</f>
        <v/>
      </c>
      <c r="DI789" s="128">
        <f>IFERROR(AW789*$V789,)</f>
        <v/>
      </c>
      <c r="DJ789" s="128">
        <f>IFERROR(AX789*$V789,)</f>
        <v/>
      </c>
      <c r="DK789" s="128">
        <f>IFERROR(AY789*$V789,)</f>
        <v/>
      </c>
      <c r="DL789" s="128">
        <f>IFERROR(AZ789*$V789,)</f>
        <v/>
      </c>
      <c r="DM789" s="129">
        <f>IFERROR(if($X789=0,($V789/1.2)*BA789,
BA789*$X789),)</f>
        <v/>
      </c>
      <c r="DN789" s="129">
        <f>IFERROR(if($X789=0,($V789/1.2)*BB789,
BB789*$X789),)</f>
        <v/>
      </c>
      <c r="DO789" s="129">
        <f>IFERROR(if($X789=0,($V789/1.2)*BC789,
BC789*$X789),)</f>
        <v/>
      </c>
      <c r="DP789" s="130">
        <f>IFERROR(if($Z789=0,($V789/1.35)*BD789,
BD789*$Z789),)</f>
        <v/>
      </c>
      <c r="DQ789" s="130">
        <f>IFERROR(if($Z789=0,($V789/1.35)*BE789,
BE789*$Z789),)</f>
        <v/>
      </c>
      <c r="DR789" s="130">
        <f>IFERROR(if($Z789=0,($V789/1.35)*BF789,
BF789*$Z789),)</f>
        <v/>
      </c>
      <c r="DS789" s="128">
        <f>IFERROR(IF($AB789=0,($V789/0.74)*BG789,
BG789*$AB789),)</f>
        <v/>
      </c>
      <c r="DT789" s="128">
        <f>IFERROR(IF($AB789=0,($V789/0.74)*BH789,
BH789*$AB789),)</f>
        <v/>
      </c>
      <c r="DU789" s="128">
        <f>IFERROR(IF($AB789=0,($V789/0.74)*BI789,
BI789*$AB789),)</f>
        <v/>
      </c>
    </row>
    <row r="790" ht="131.25" customHeight="1" s="162">
      <c r="A790" s="115" t="n"/>
      <c r="B790" s="115" t="n"/>
      <c r="C790" s="115" t="n"/>
      <c r="D790" s="115" t="n"/>
      <c r="E790" s="115" t="n"/>
      <c r="F790" s="115" t="n"/>
      <c r="G790" s="115" t="n"/>
      <c r="H790" s="115" t="n"/>
      <c r="I790" s="115" t="n"/>
      <c r="J790" s="115" t="n"/>
      <c r="K790" s="115" t="n"/>
      <c r="L790" s="115" t="n"/>
      <c r="M790" s="115" t="n"/>
      <c r="N790" s="115" t="n"/>
      <c r="O790" s="115" t="n"/>
      <c r="P790" s="115" t="n"/>
      <c r="Q790" s="115" t="n"/>
      <c r="R790" s="115" t="n"/>
      <c r="S790" s="115" t="n"/>
      <c r="T790" s="115" t="n"/>
      <c r="U790" s="116" t="n"/>
      <c r="V790" s="116" t="n"/>
      <c r="W790" s="117" t="n"/>
      <c r="X790" s="118" t="n"/>
      <c r="Y790" s="119" t="n"/>
      <c r="Z790" s="120" t="n"/>
      <c r="AA790" s="121" t="n"/>
      <c r="AB790" s="122" t="n"/>
      <c r="AC790" s="117" t="n"/>
      <c r="AD790" s="123">
        <f>IF(SUM($AE790:$AH790)=0,"",SUM($AE790:$AH790))</f>
        <v/>
      </c>
      <c r="AE790" s="123">
        <f>iferror(IF(SUM($AI790:$AZ790)=0,"",SUM($AI790:$AZ790)),"")</f>
        <v/>
      </c>
      <c r="AF790" s="123">
        <f>iferror(IF(SUM($BA790:$BC790)=0,"",SUM($BA790:$BC790)),"")</f>
        <v/>
      </c>
      <c r="AG790" s="123">
        <f>iferror(IF(SUM($BD790:$BF790)=0,"",SUM($BD790:$BF790)),"")</f>
        <v/>
      </c>
      <c r="AH790" s="124">
        <f>iferror(IF(SUM($BG790:$BI790)=0,"",SUM($BG790:$BI790)),"")</f>
        <v/>
      </c>
      <c r="AI790" s="131" t="n"/>
      <c r="AJ790" s="132" t="n"/>
      <c r="AK790" s="132" t="n"/>
      <c r="AL790" s="132" t="n"/>
      <c r="AM790" s="132" t="n"/>
      <c r="AN790" s="132" t="n"/>
      <c r="AO790" s="132" t="n"/>
      <c r="AP790" s="132" t="n"/>
      <c r="AQ790" s="132" t="n"/>
      <c r="AR790" s="132" t="n"/>
      <c r="AS790" s="132" t="n"/>
      <c r="AT790" s="132" t="n"/>
      <c r="AU790" s="132" t="n"/>
      <c r="AV790" s="132" t="n"/>
      <c r="AW790" s="132" t="n"/>
      <c r="AX790" s="132" t="n"/>
      <c r="AY790" s="132" t="n"/>
      <c r="AZ790" s="133" t="n"/>
      <c r="BA790" s="131" t="n"/>
      <c r="BB790" s="132" t="n"/>
      <c r="BC790" s="133" t="n"/>
      <c r="BD790" s="131" t="n"/>
      <c r="BE790" s="132" t="n"/>
      <c r="BF790" s="133" t="n"/>
      <c r="BG790" s="131" t="n"/>
      <c r="BH790" s="132" t="n"/>
      <c r="BI790" s="132" t="n"/>
      <c r="BJ790" s="128">
        <f>iferror(SUM($BK790,($BL790*1.2),($BM790*1.35),($BN790*0.74)),)</f>
        <v/>
      </c>
      <c r="BK790" s="128">
        <f>IFERROR(SUM($BT790:$CK790),)</f>
        <v/>
      </c>
      <c r="BL790" s="129">
        <f>IFERROR(SUM($CL790:$CN790),)</f>
        <v/>
      </c>
      <c r="BM790" s="130">
        <f>IFERROR(SUM($CO790:$CQ790),)</f>
        <v/>
      </c>
      <c r="BN790" s="128">
        <f>IFERROR(SUM($CR790:$CT790),)</f>
        <v/>
      </c>
      <c r="BO790" s="128">
        <f>iferror(SUM($BP790,($BQ790*1.2),($BR790*1.35),($BS790*0.74)),)</f>
        <v/>
      </c>
      <c r="BP790" s="128">
        <f>IFERROR(SUM($CU790:$DL790),)</f>
        <v/>
      </c>
      <c r="BQ790" s="128">
        <f>IFERROR(SUM($DM790:$DO790),)</f>
        <v/>
      </c>
      <c r="BR790" s="128">
        <f>IFERROR(SUM($DP790:$DR790),)</f>
        <v/>
      </c>
      <c r="BS790" s="128">
        <f>IFERROR(SUM($DS790:$DU790),)</f>
        <v/>
      </c>
      <c r="BT790" s="128">
        <f>IFERROR(AI790*$W790,)</f>
        <v/>
      </c>
      <c r="BU790" s="128">
        <f>IFERROR(AJ790*$W790,)</f>
        <v/>
      </c>
      <c r="BV790" s="128">
        <f>IFERROR(AK790*$W790,)</f>
        <v/>
      </c>
      <c r="BW790" s="128">
        <f>IFERROR(AL790*$W790,)</f>
        <v/>
      </c>
      <c r="BX790" s="128">
        <f>IFERROR(AM790*$W790,)</f>
        <v/>
      </c>
      <c r="BY790" s="128">
        <f>IFERROR(AN790*$W790,)</f>
        <v/>
      </c>
      <c r="BZ790" s="128">
        <f>IFERROR(AO790*$W790,)</f>
        <v/>
      </c>
      <c r="CA790" s="128">
        <f>IFERROR(AP790*$W790,)</f>
        <v/>
      </c>
      <c r="CB790" s="128">
        <f>IFERROR(AQ790*$W790,)</f>
        <v/>
      </c>
      <c r="CC790" s="128">
        <f>IFERROR(AR790*$W790,)</f>
        <v/>
      </c>
      <c r="CD790" s="128">
        <f>IFERROR(AS790*$W790,)</f>
        <v/>
      </c>
      <c r="CE790" s="128">
        <f>IFERROR(AT790*$W790,)</f>
        <v/>
      </c>
      <c r="CF790" s="128">
        <f>IFERROR(AU790*$W790,)</f>
        <v/>
      </c>
      <c r="CG790" s="128">
        <f>IFERROR(AV790*$W790,)</f>
        <v/>
      </c>
      <c r="CH790" s="128">
        <f>IFERROR(AW790*$W790,)</f>
        <v/>
      </c>
      <c r="CI790" s="128">
        <f>IFERROR(AX790*$W790,)</f>
        <v/>
      </c>
      <c r="CJ790" s="128">
        <f>IFERROR(AY790*$W790,)</f>
        <v/>
      </c>
      <c r="CK790" s="128">
        <f>IFERROR(AZ790*$W790,)</f>
        <v/>
      </c>
      <c r="CL790" s="129">
        <f>IFERROR(if($Y790=0,BA790*($W790/1.2),BA790*$Y790),"")</f>
        <v/>
      </c>
      <c r="CM790" s="129">
        <f>IFERROR(if($Y790=0,BB790*($W790/1.2),BB790*$Y790),"")</f>
        <v/>
      </c>
      <c r="CN790" s="129">
        <f>IFERROR(if($Y790=0,BC790*($W790/1.2),BC790*$Y790),"")</f>
        <v/>
      </c>
      <c r="CO790" s="130">
        <f>IFERROR(if($AA790=0,($W790/1.35)*BD790,BD790*$AA790),)</f>
        <v/>
      </c>
      <c r="CP790" s="130">
        <f>IFERROR(if($AA790=0,($W790/1.35)*BE790,BE790*$AA790),)</f>
        <v/>
      </c>
      <c r="CQ790" s="130">
        <f>IFERROR(if($AA790=0,($W790/1.35)*BF790,BF790*$AA790),)</f>
        <v/>
      </c>
      <c r="CR790" s="128">
        <f>IFERROR(if($AC790=0,($W790/0.74)*BG790,
BG790*$AC790),)</f>
        <v/>
      </c>
      <c r="CS790" s="128">
        <f>IFERROR(if($AC790=0,($W790/0.74)*BH790,
BH790*$AC790),)</f>
        <v/>
      </c>
      <c r="CT790" s="128">
        <f>IFERROR(if($AC790=0,($W790/0.74)*BI790,
BI790*$AC790),)</f>
        <v/>
      </c>
      <c r="CU790" s="128">
        <f>IFERROR(AI790*$V790,)</f>
        <v/>
      </c>
      <c r="CV790" s="128">
        <f>IFERROR(AJ790*$V790,)</f>
        <v/>
      </c>
      <c r="CW790" s="128">
        <f>IFERROR(AK790*$V790,)</f>
        <v/>
      </c>
      <c r="CX790" s="128">
        <f>IFERROR(AL790*$V790,)</f>
        <v/>
      </c>
      <c r="CY790" s="128">
        <f>IFERROR(AM790*$V790,)</f>
        <v/>
      </c>
      <c r="CZ790" s="128">
        <f>IFERROR(AN790*$V790,)</f>
        <v/>
      </c>
      <c r="DA790" s="128">
        <f>IFERROR(AO790*$V790,)</f>
        <v/>
      </c>
      <c r="DB790" s="128">
        <f>IFERROR(AP790*$V790,)</f>
        <v/>
      </c>
      <c r="DC790" s="128">
        <f>IFERROR(AQ790*$V790,)</f>
        <v/>
      </c>
      <c r="DD790" s="128">
        <f>IFERROR(AR790*$V790,)</f>
        <v/>
      </c>
      <c r="DE790" s="128">
        <f>IFERROR(AS790*$V790,)</f>
        <v/>
      </c>
      <c r="DF790" s="128">
        <f>IFERROR(AT790*$V790,)</f>
        <v/>
      </c>
      <c r="DG790" s="128">
        <f>IFERROR(AU790*$V790,)</f>
        <v/>
      </c>
      <c r="DH790" s="128">
        <f>IFERROR(AV790*$V790,)</f>
        <v/>
      </c>
      <c r="DI790" s="128">
        <f>IFERROR(AW790*$V790,)</f>
        <v/>
      </c>
      <c r="DJ790" s="128">
        <f>IFERROR(AX790*$V790,)</f>
        <v/>
      </c>
      <c r="DK790" s="128">
        <f>IFERROR(AY790*$V790,)</f>
        <v/>
      </c>
      <c r="DL790" s="128">
        <f>IFERROR(AZ790*$V790,)</f>
        <v/>
      </c>
      <c r="DM790" s="129">
        <f>IFERROR(if($X790=0,($V790/1.2)*BA790,
BA790*$X790),)</f>
        <v/>
      </c>
      <c r="DN790" s="129">
        <f>IFERROR(if($X790=0,($V790/1.2)*BB790,
BB790*$X790),)</f>
        <v/>
      </c>
      <c r="DO790" s="129">
        <f>IFERROR(if($X790=0,($V790/1.2)*BC790,
BC790*$X790),)</f>
        <v/>
      </c>
      <c r="DP790" s="130">
        <f>IFERROR(if($Z790=0,($V790/1.35)*BD790,
BD790*$Z790),)</f>
        <v/>
      </c>
      <c r="DQ790" s="130">
        <f>IFERROR(if($Z790=0,($V790/1.35)*BE790,
BE790*$Z790),)</f>
        <v/>
      </c>
      <c r="DR790" s="130">
        <f>IFERROR(if($Z790=0,($V790/1.35)*BF790,
BF790*$Z790),)</f>
        <v/>
      </c>
      <c r="DS790" s="128">
        <f>IFERROR(IF($AB790=0,($V790/0.74)*BG790,
BG790*$AB790),)</f>
        <v/>
      </c>
      <c r="DT790" s="128">
        <f>IFERROR(IF($AB790=0,($V790/0.74)*BH790,
BH790*$AB790),)</f>
        <v/>
      </c>
      <c r="DU790" s="128">
        <f>IFERROR(IF($AB790=0,($V790/0.74)*BI790,
BI790*$AB790),)</f>
        <v/>
      </c>
    </row>
    <row r="791" ht="131.25" customHeight="1" s="162">
      <c r="A791" s="115" t="n"/>
      <c r="B791" s="115" t="n"/>
      <c r="C791" s="115" t="n"/>
      <c r="D791" s="115" t="n"/>
      <c r="E791" s="115" t="n"/>
      <c r="F791" s="115" t="n"/>
      <c r="G791" s="115" t="n"/>
      <c r="H791" s="115" t="n"/>
      <c r="I791" s="115" t="n"/>
      <c r="J791" s="115" t="n"/>
      <c r="K791" s="115" t="n"/>
      <c r="L791" s="115" t="n"/>
      <c r="M791" s="115" t="n"/>
      <c r="N791" s="115" t="n"/>
      <c r="O791" s="115" t="n"/>
      <c r="P791" s="115" t="n"/>
      <c r="Q791" s="115" t="n"/>
      <c r="R791" s="115" t="n"/>
      <c r="S791" s="115" t="n"/>
      <c r="T791" s="115" t="n"/>
      <c r="U791" s="116" t="n"/>
      <c r="V791" s="116" t="n"/>
      <c r="W791" s="117" t="n"/>
      <c r="X791" s="118" t="n"/>
      <c r="Y791" s="119" t="n"/>
      <c r="Z791" s="120" t="n"/>
      <c r="AA791" s="121" t="n"/>
      <c r="AB791" s="122" t="n"/>
      <c r="AC791" s="117" t="n"/>
      <c r="AD791" s="123">
        <f>IF(SUM($AE791:$AH791)=0,"",SUM($AE791:$AH791))</f>
        <v/>
      </c>
      <c r="AE791" s="123">
        <f>iferror(IF(SUM($AI791:$AZ791)=0,"",SUM($AI791:$AZ791)),"")</f>
        <v/>
      </c>
      <c r="AF791" s="123">
        <f>iferror(IF(SUM($BA791:$BC791)=0,"",SUM($BA791:$BC791)),"")</f>
        <v/>
      </c>
      <c r="AG791" s="123">
        <f>iferror(IF(SUM($BD791:$BF791)=0,"",SUM($BD791:$BF791)),"")</f>
        <v/>
      </c>
      <c r="AH791" s="124">
        <f>iferror(IF(SUM($BG791:$BI791)=0,"",SUM($BG791:$BI791)),"")</f>
        <v/>
      </c>
      <c r="AI791" s="131" t="n"/>
      <c r="AJ791" s="132" t="n"/>
      <c r="AK791" s="132" t="n"/>
      <c r="AL791" s="132" t="n"/>
      <c r="AM791" s="132" t="n"/>
      <c r="AN791" s="132" t="n"/>
      <c r="AO791" s="132" t="n"/>
      <c r="AP791" s="132" t="n"/>
      <c r="AQ791" s="132" t="n"/>
      <c r="AR791" s="132" t="n"/>
      <c r="AS791" s="132" t="n"/>
      <c r="AT791" s="132" t="n"/>
      <c r="AU791" s="132" t="n"/>
      <c r="AV791" s="132" t="n"/>
      <c r="AW791" s="132" t="n"/>
      <c r="AX791" s="132" t="n"/>
      <c r="AY791" s="132" t="n"/>
      <c r="AZ791" s="133" t="n"/>
      <c r="BA791" s="131" t="n"/>
      <c r="BB791" s="132" t="n"/>
      <c r="BC791" s="133" t="n"/>
      <c r="BD791" s="131" t="n"/>
      <c r="BE791" s="132" t="n"/>
      <c r="BF791" s="133" t="n"/>
      <c r="BG791" s="131" t="n"/>
      <c r="BH791" s="132" t="n"/>
      <c r="BI791" s="132" t="n"/>
      <c r="BJ791" s="128">
        <f>iferror(SUM($BK791,($BL791*1.2),($BM791*1.35),($BN791*0.74)),)</f>
        <v/>
      </c>
      <c r="BK791" s="128">
        <f>IFERROR(SUM($BT791:$CK791),)</f>
        <v/>
      </c>
      <c r="BL791" s="129">
        <f>IFERROR(SUM($CL791:$CN791),)</f>
        <v/>
      </c>
      <c r="BM791" s="130">
        <f>IFERROR(SUM($CO791:$CQ791),)</f>
        <v/>
      </c>
      <c r="BN791" s="128">
        <f>IFERROR(SUM($CR791:$CT791),)</f>
        <v/>
      </c>
      <c r="BO791" s="128">
        <f>iferror(SUM($BP791,($BQ791*1.2),($BR791*1.35),($BS791*0.74)),)</f>
        <v/>
      </c>
      <c r="BP791" s="128">
        <f>IFERROR(SUM($CU791:$DL791),)</f>
        <v/>
      </c>
      <c r="BQ791" s="128">
        <f>IFERROR(SUM($DM791:$DO791),)</f>
        <v/>
      </c>
      <c r="BR791" s="128">
        <f>IFERROR(SUM($DP791:$DR791),)</f>
        <v/>
      </c>
      <c r="BS791" s="128">
        <f>IFERROR(SUM($DS791:$DU791),)</f>
        <v/>
      </c>
      <c r="BT791" s="128">
        <f>IFERROR(AI791*$W791,)</f>
        <v/>
      </c>
      <c r="BU791" s="128">
        <f>IFERROR(AJ791*$W791,)</f>
        <v/>
      </c>
      <c r="BV791" s="128">
        <f>IFERROR(AK791*$W791,)</f>
        <v/>
      </c>
      <c r="BW791" s="128">
        <f>IFERROR(AL791*$W791,)</f>
        <v/>
      </c>
      <c r="BX791" s="128">
        <f>IFERROR(AM791*$W791,)</f>
        <v/>
      </c>
      <c r="BY791" s="128">
        <f>IFERROR(AN791*$W791,)</f>
        <v/>
      </c>
      <c r="BZ791" s="128">
        <f>IFERROR(AO791*$W791,)</f>
        <v/>
      </c>
      <c r="CA791" s="128">
        <f>IFERROR(AP791*$W791,)</f>
        <v/>
      </c>
      <c r="CB791" s="128">
        <f>IFERROR(AQ791*$W791,)</f>
        <v/>
      </c>
      <c r="CC791" s="128">
        <f>IFERROR(AR791*$W791,)</f>
        <v/>
      </c>
      <c r="CD791" s="128">
        <f>IFERROR(AS791*$W791,)</f>
        <v/>
      </c>
      <c r="CE791" s="128">
        <f>IFERROR(AT791*$W791,)</f>
        <v/>
      </c>
      <c r="CF791" s="128">
        <f>IFERROR(AU791*$W791,)</f>
        <v/>
      </c>
      <c r="CG791" s="128">
        <f>IFERROR(AV791*$W791,)</f>
        <v/>
      </c>
      <c r="CH791" s="128">
        <f>IFERROR(AW791*$W791,)</f>
        <v/>
      </c>
      <c r="CI791" s="128">
        <f>IFERROR(AX791*$W791,)</f>
        <v/>
      </c>
      <c r="CJ791" s="128">
        <f>IFERROR(AY791*$W791,)</f>
        <v/>
      </c>
      <c r="CK791" s="128">
        <f>IFERROR(AZ791*$W791,)</f>
        <v/>
      </c>
      <c r="CL791" s="129">
        <f>IFERROR(if($Y791=0,BA791*($W791/1.2),BA791*$Y791),"")</f>
        <v/>
      </c>
      <c r="CM791" s="129">
        <f>IFERROR(if($Y791=0,BB791*($W791/1.2),BB791*$Y791),"")</f>
        <v/>
      </c>
      <c r="CN791" s="129">
        <f>IFERROR(if($Y791=0,BC791*($W791/1.2),BC791*$Y791),"")</f>
        <v/>
      </c>
      <c r="CO791" s="130">
        <f>IFERROR(if($AA791=0,($W791/1.35)*BD791,BD791*$AA791),)</f>
        <v/>
      </c>
      <c r="CP791" s="130">
        <f>IFERROR(if($AA791=0,($W791/1.35)*BE791,BE791*$AA791),)</f>
        <v/>
      </c>
      <c r="CQ791" s="130">
        <f>IFERROR(if($AA791=0,($W791/1.35)*BF791,BF791*$AA791),)</f>
        <v/>
      </c>
      <c r="CR791" s="128">
        <f>IFERROR(if($AC791=0,($W791/0.74)*BG791,
BG791*$AC791),)</f>
        <v/>
      </c>
      <c r="CS791" s="128">
        <f>IFERROR(if($AC791=0,($W791/0.74)*BH791,
BH791*$AC791),)</f>
        <v/>
      </c>
      <c r="CT791" s="128">
        <f>IFERROR(if($AC791=0,($W791/0.74)*BI791,
BI791*$AC791),)</f>
        <v/>
      </c>
      <c r="CU791" s="128">
        <f>IFERROR(AI791*$V791,)</f>
        <v/>
      </c>
      <c r="CV791" s="128">
        <f>IFERROR(AJ791*$V791,)</f>
        <v/>
      </c>
      <c r="CW791" s="128">
        <f>IFERROR(AK791*$V791,)</f>
        <v/>
      </c>
      <c r="CX791" s="128">
        <f>IFERROR(AL791*$V791,)</f>
        <v/>
      </c>
      <c r="CY791" s="128">
        <f>IFERROR(AM791*$V791,)</f>
        <v/>
      </c>
      <c r="CZ791" s="128">
        <f>IFERROR(AN791*$V791,)</f>
        <v/>
      </c>
      <c r="DA791" s="128">
        <f>IFERROR(AO791*$V791,)</f>
        <v/>
      </c>
      <c r="DB791" s="128">
        <f>IFERROR(AP791*$V791,)</f>
        <v/>
      </c>
      <c r="DC791" s="128">
        <f>IFERROR(AQ791*$V791,)</f>
        <v/>
      </c>
      <c r="DD791" s="128">
        <f>IFERROR(AR791*$V791,)</f>
        <v/>
      </c>
      <c r="DE791" s="128">
        <f>IFERROR(AS791*$V791,)</f>
        <v/>
      </c>
      <c r="DF791" s="128">
        <f>IFERROR(AT791*$V791,)</f>
        <v/>
      </c>
      <c r="DG791" s="128">
        <f>IFERROR(AU791*$V791,)</f>
        <v/>
      </c>
      <c r="DH791" s="128">
        <f>IFERROR(AV791*$V791,)</f>
        <v/>
      </c>
      <c r="DI791" s="128">
        <f>IFERROR(AW791*$V791,)</f>
        <v/>
      </c>
      <c r="DJ791" s="128">
        <f>IFERROR(AX791*$V791,)</f>
        <v/>
      </c>
      <c r="DK791" s="128">
        <f>IFERROR(AY791*$V791,)</f>
        <v/>
      </c>
      <c r="DL791" s="128">
        <f>IFERROR(AZ791*$V791,)</f>
        <v/>
      </c>
      <c r="DM791" s="129">
        <f>IFERROR(if($X791=0,($V791/1.2)*BA791,
BA791*$X791),)</f>
        <v/>
      </c>
      <c r="DN791" s="129">
        <f>IFERROR(if($X791=0,($V791/1.2)*BB791,
BB791*$X791),)</f>
        <v/>
      </c>
      <c r="DO791" s="129">
        <f>IFERROR(if($X791=0,($V791/1.2)*BC791,
BC791*$X791),)</f>
        <v/>
      </c>
      <c r="DP791" s="130">
        <f>IFERROR(if($Z791=0,($V791/1.35)*BD791,
BD791*$Z791),)</f>
        <v/>
      </c>
      <c r="DQ791" s="130">
        <f>IFERROR(if($Z791=0,($V791/1.35)*BE791,
BE791*$Z791),)</f>
        <v/>
      </c>
      <c r="DR791" s="130">
        <f>IFERROR(if($Z791=0,($V791/1.35)*BF791,
BF791*$Z791),)</f>
        <v/>
      </c>
      <c r="DS791" s="128">
        <f>IFERROR(IF($AB791=0,($V791/0.74)*BG791,
BG791*$AB791),)</f>
        <v/>
      </c>
      <c r="DT791" s="128">
        <f>IFERROR(IF($AB791=0,($V791/0.74)*BH791,
BH791*$AB791),)</f>
        <v/>
      </c>
      <c r="DU791" s="128">
        <f>IFERROR(IF($AB791=0,($V791/0.74)*BI791,
BI791*$AB791),)</f>
        <v/>
      </c>
    </row>
    <row r="792" ht="131.25" customHeight="1" s="162">
      <c r="A792" s="115" t="n"/>
      <c r="B792" s="115" t="n"/>
      <c r="C792" s="115" t="n"/>
      <c r="D792" s="115" t="n"/>
      <c r="E792" s="115" t="n"/>
      <c r="F792" s="115" t="n"/>
      <c r="G792" s="115" t="n"/>
      <c r="H792" s="115" t="n"/>
      <c r="I792" s="115" t="n"/>
      <c r="J792" s="115" t="n"/>
      <c r="K792" s="115" t="n"/>
      <c r="L792" s="115" t="n"/>
      <c r="M792" s="115" t="n"/>
      <c r="N792" s="115" t="n"/>
      <c r="O792" s="115" t="n"/>
      <c r="P792" s="115" t="n"/>
      <c r="Q792" s="115" t="n"/>
      <c r="R792" s="115" t="n"/>
      <c r="S792" s="115" t="n"/>
      <c r="T792" s="115" t="n"/>
      <c r="U792" s="116" t="n"/>
      <c r="V792" s="116" t="n"/>
      <c r="W792" s="117" t="n"/>
      <c r="X792" s="118" t="n"/>
      <c r="Y792" s="119" t="n"/>
      <c r="Z792" s="120" t="n"/>
      <c r="AA792" s="121" t="n"/>
      <c r="AB792" s="122" t="n"/>
      <c r="AC792" s="117" t="n"/>
      <c r="AD792" s="123">
        <f>IF(SUM($AE792:$AH792)=0,"",SUM($AE792:$AH792))</f>
        <v/>
      </c>
      <c r="AE792" s="123">
        <f>iferror(IF(SUM($AI792:$AZ792)=0,"",SUM($AI792:$AZ792)),"")</f>
        <v/>
      </c>
      <c r="AF792" s="123">
        <f>iferror(IF(SUM($BA792:$BC792)=0,"",SUM($BA792:$BC792)),"")</f>
        <v/>
      </c>
      <c r="AG792" s="123">
        <f>iferror(IF(SUM($BD792:$BF792)=0,"",SUM($BD792:$BF792)),"")</f>
        <v/>
      </c>
      <c r="AH792" s="124">
        <f>iferror(IF(SUM($BG792:$BI792)=0,"",SUM($BG792:$BI792)),"")</f>
        <v/>
      </c>
      <c r="AI792" s="131" t="n"/>
      <c r="AJ792" s="132" t="n"/>
      <c r="AK792" s="132" t="n"/>
      <c r="AL792" s="132" t="n"/>
      <c r="AM792" s="132" t="n"/>
      <c r="AN792" s="132" t="n"/>
      <c r="AO792" s="132" t="n"/>
      <c r="AP792" s="132" t="n"/>
      <c r="AQ792" s="132" t="n"/>
      <c r="AR792" s="132" t="n"/>
      <c r="AS792" s="132" t="n"/>
      <c r="AT792" s="132" t="n"/>
      <c r="AU792" s="132" t="n"/>
      <c r="AV792" s="132" t="n"/>
      <c r="AW792" s="132" t="n"/>
      <c r="AX792" s="132" t="n"/>
      <c r="AY792" s="132" t="n"/>
      <c r="AZ792" s="133" t="n"/>
      <c r="BA792" s="131" t="n"/>
      <c r="BB792" s="132" t="n"/>
      <c r="BC792" s="133" t="n"/>
      <c r="BD792" s="131" t="n"/>
      <c r="BE792" s="132" t="n"/>
      <c r="BF792" s="133" t="n"/>
      <c r="BG792" s="131" t="n"/>
      <c r="BH792" s="132" t="n"/>
      <c r="BI792" s="132" t="n"/>
      <c r="BJ792" s="128">
        <f>iferror(SUM($BK792,($BL792*1.2),($BM792*1.35),($BN792*0.74)),)</f>
        <v/>
      </c>
      <c r="BK792" s="128">
        <f>IFERROR(SUM($BT792:$CK792),)</f>
        <v/>
      </c>
      <c r="BL792" s="129">
        <f>IFERROR(SUM($CL792:$CN792),)</f>
        <v/>
      </c>
      <c r="BM792" s="130">
        <f>IFERROR(SUM($CO792:$CQ792),)</f>
        <v/>
      </c>
      <c r="BN792" s="128">
        <f>IFERROR(SUM($CR792:$CT792),)</f>
        <v/>
      </c>
      <c r="BO792" s="128">
        <f>iferror(SUM($BP792,($BQ792*1.2),($BR792*1.35),($BS792*0.74)),)</f>
        <v/>
      </c>
      <c r="BP792" s="128">
        <f>IFERROR(SUM($CU792:$DL792),)</f>
        <v/>
      </c>
      <c r="BQ792" s="128">
        <f>IFERROR(SUM($DM792:$DO792),)</f>
        <v/>
      </c>
      <c r="BR792" s="128">
        <f>IFERROR(SUM($DP792:$DR792),)</f>
        <v/>
      </c>
      <c r="BS792" s="128">
        <f>IFERROR(SUM($DS792:$DU792),)</f>
        <v/>
      </c>
      <c r="BT792" s="128">
        <f>IFERROR(AI792*$W792,)</f>
        <v/>
      </c>
      <c r="BU792" s="128">
        <f>IFERROR(AJ792*$W792,)</f>
        <v/>
      </c>
      <c r="BV792" s="128">
        <f>IFERROR(AK792*$W792,)</f>
        <v/>
      </c>
      <c r="BW792" s="128">
        <f>IFERROR(AL792*$W792,)</f>
        <v/>
      </c>
      <c r="BX792" s="128">
        <f>IFERROR(AM792*$W792,)</f>
        <v/>
      </c>
      <c r="BY792" s="128">
        <f>IFERROR(AN792*$W792,)</f>
        <v/>
      </c>
      <c r="BZ792" s="128">
        <f>IFERROR(AO792*$W792,)</f>
        <v/>
      </c>
      <c r="CA792" s="128">
        <f>IFERROR(AP792*$W792,)</f>
        <v/>
      </c>
      <c r="CB792" s="128">
        <f>IFERROR(AQ792*$W792,)</f>
        <v/>
      </c>
      <c r="CC792" s="128">
        <f>IFERROR(AR792*$W792,)</f>
        <v/>
      </c>
      <c r="CD792" s="128">
        <f>IFERROR(AS792*$W792,)</f>
        <v/>
      </c>
      <c r="CE792" s="128">
        <f>IFERROR(AT792*$W792,)</f>
        <v/>
      </c>
      <c r="CF792" s="128">
        <f>IFERROR(AU792*$W792,)</f>
        <v/>
      </c>
      <c r="CG792" s="128">
        <f>IFERROR(AV792*$W792,)</f>
        <v/>
      </c>
      <c r="CH792" s="128">
        <f>IFERROR(AW792*$W792,)</f>
        <v/>
      </c>
      <c r="CI792" s="128">
        <f>IFERROR(AX792*$W792,)</f>
        <v/>
      </c>
      <c r="CJ792" s="128">
        <f>IFERROR(AY792*$W792,)</f>
        <v/>
      </c>
      <c r="CK792" s="128">
        <f>IFERROR(AZ792*$W792,)</f>
        <v/>
      </c>
      <c r="CL792" s="129">
        <f>IFERROR(if($Y792=0,BA792*($W792/1.2),BA792*$Y792),"")</f>
        <v/>
      </c>
      <c r="CM792" s="129">
        <f>IFERROR(if($Y792=0,BB792*($W792/1.2),BB792*$Y792),"")</f>
        <v/>
      </c>
      <c r="CN792" s="129">
        <f>IFERROR(if($Y792=0,BC792*($W792/1.2),BC792*$Y792),"")</f>
        <v/>
      </c>
      <c r="CO792" s="130">
        <f>IFERROR(if($AA792=0,($W792/1.35)*BD792,BD792*$AA792),)</f>
        <v/>
      </c>
      <c r="CP792" s="130">
        <f>IFERROR(if($AA792=0,($W792/1.35)*BE792,BE792*$AA792),)</f>
        <v/>
      </c>
      <c r="CQ792" s="130">
        <f>IFERROR(if($AA792=0,($W792/1.35)*BF792,BF792*$AA792),)</f>
        <v/>
      </c>
      <c r="CR792" s="128">
        <f>IFERROR(if($AC792=0,($W792/0.74)*BG792,
BG792*$AC792),)</f>
        <v/>
      </c>
      <c r="CS792" s="128">
        <f>IFERROR(if($AC792=0,($W792/0.74)*BH792,
BH792*$AC792),)</f>
        <v/>
      </c>
      <c r="CT792" s="128">
        <f>IFERROR(if($AC792=0,($W792/0.74)*BI792,
BI792*$AC792),)</f>
        <v/>
      </c>
      <c r="CU792" s="128">
        <f>IFERROR(AI792*$V792,)</f>
        <v/>
      </c>
      <c r="CV792" s="128">
        <f>IFERROR(AJ792*$V792,)</f>
        <v/>
      </c>
      <c r="CW792" s="128">
        <f>IFERROR(AK792*$V792,)</f>
        <v/>
      </c>
      <c r="CX792" s="128">
        <f>IFERROR(AL792*$V792,)</f>
        <v/>
      </c>
      <c r="CY792" s="128">
        <f>IFERROR(AM792*$V792,)</f>
        <v/>
      </c>
      <c r="CZ792" s="128">
        <f>IFERROR(AN792*$V792,)</f>
        <v/>
      </c>
      <c r="DA792" s="128">
        <f>IFERROR(AO792*$V792,)</f>
        <v/>
      </c>
      <c r="DB792" s="128">
        <f>IFERROR(AP792*$V792,)</f>
        <v/>
      </c>
      <c r="DC792" s="128">
        <f>IFERROR(AQ792*$V792,)</f>
        <v/>
      </c>
      <c r="DD792" s="128">
        <f>IFERROR(AR792*$V792,)</f>
        <v/>
      </c>
      <c r="DE792" s="128">
        <f>IFERROR(AS792*$V792,)</f>
        <v/>
      </c>
      <c r="DF792" s="128">
        <f>IFERROR(AT792*$V792,)</f>
        <v/>
      </c>
      <c r="DG792" s="128">
        <f>IFERROR(AU792*$V792,)</f>
        <v/>
      </c>
      <c r="DH792" s="128">
        <f>IFERROR(AV792*$V792,)</f>
        <v/>
      </c>
      <c r="DI792" s="128">
        <f>IFERROR(AW792*$V792,)</f>
        <v/>
      </c>
      <c r="DJ792" s="128">
        <f>IFERROR(AX792*$V792,)</f>
        <v/>
      </c>
      <c r="DK792" s="128">
        <f>IFERROR(AY792*$V792,)</f>
        <v/>
      </c>
      <c r="DL792" s="128">
        <f>IFERROR(AZ792*$V792,)</f>
        <v/>
      </c>
      <c r="DM792" s="129">
        <f>IFERROR(if($X792=0,($V792/1.2)*BA792,
BA792*$X792),)</f>
        <v/>
      </c>
      <c r="DN792" s="129">
        <f>IFERROR(if($X792=0,($V792/1.2)*BB792,
BB792*$X792),)</f>
        <v/>
      </c>
      <c r="DO792" s="129">
        <f>IFERROR(if($X792=0,($V792/1.2)*BC792,
BC792*$X792),)</f>
        <v/>
      </c>
      <c r="DP792" s="130">
        <f>IFERROR(if($Z792=0,($V792/1.35)*BD792,
BD792*$Z792),)</f>
        <v/>
      </c>
      <c r="DQ792" s="130">
        <f>IFERROR(if($Z792=0,($V792/1.35)*BE792,
BE792*$Z792),)</f>
        <v/>
      </c>
      <c r="DR792" s="130">
        <f>IFERROR(if($Z792=0,($V792/1.35)*BF792,
BF792*$Z792),)</f>
        <v/>
      </c>
      <c r="DS792" s="128">
        <f>IFERROR(IF($AB792=0,($V792/0.74)*BG792,
BG792*$AB792),)</f>
        <v/>
      </c>
      <c r="DT792" s="128">
        <f>IFERROR(IF($AB792=0,($V792/0.74)*BH792,
BH792*$AB792),)</f>
        <v/>
      </c>
      <c r="DU792" s="128">
        <f>IFERROR(IF($AB792=0,($V792/0.74)*BI792,
BI792*$AB792),)</f>
        <v/>
      </c>
    </row>
    <row r="793" ht="131.25" customHeight="1" s="162">
      <c r="A793" s="115" t="n"/>
      <c r="B793" s="115" t="n"/>
      <c r="C793" s="115" t="n"/>
      <c r="D793" s="115" t="n"/>
      <c r="E793" s="115" t="n"/>
      <c r="F793" s="115" t="n"/>
      <c r="G793" s="115" t="n"/>
      <c r="H793" s="115" t="n"/>
      <c r="I793" s="115" t="n"/>
      <c r="J793" s="115" t="n"/>
      <c r="K793" s="115" t="n"/>
      <c r="L793" s="115" t="n"/>
      <c r="M793" s="115" t="n"/>
      <c r="N793" s="115" t="n"/>
      <c r="O793" s="115" t="n"/>
      <c r="P793" s="115" t="n"/>
      <c r="Q793" s="115" t="n"/>
      <c r="R793" s="115" t="n"/>
      <c r="S793" s="115" t="n"/>
      <c r="T793" s="115" t="n"/>
      <c r="U793" s="116" t="n"/>
      <c r="V793" s="116" t="n"/>
      <c r="W793" s="117" t="n"/>
      <c r="X793" s="118" t="n"/>
      <c r="Y793" s="119" t="n"/>
      <c r="Z793" s="120" t="n"/>
      <c r="AA793" s="121" t="n"/>
      <c r="AB793" s="122" t="n"/>
      <c r="AC793" s="117" t="n"/>
      <c r="AD793" s="123">
        <f>IF(SUM($AE793:$AH793)=0,"",SUM($AE793:$AH793))</f>
        <v/>
      </c>
      <c r="AE793" s="123">
        <f>iferror(IF(SUM($AI793:$AZ793)=0,"",SUM($AI793:$AZ793)),"")</f>
        <v/>
      </c>
      <c r="AF793" s="123">
        <f>iferror(IF(SUM($BA793:$BC793)=0,"",SUM($BA793:$BC793)),"")</f>
        <v/>
      </c>
      <c r="AG793" s="123">
        <f>iferror(IF(SUM($BD793:$BF793)=0,"",SUM($BD793:$BF793)),"")</f>
        <v/>
      </c>
      <c r="AH793" s="124">
        <f>iferror(IF(SUM($BG793:$BI793)=0,"",SUM($BG793:$BI793)),"")</f>
        <v/>
      </c>
      <c r="AI793" s="131" t="n"/>
      <c r="AJ793" s="132" t="n"/>
      <c r="AK793" s="132" t="n"/>
      <c r="AL793" s="132" t="n"/>
      <c r="AM793" s="132" t="n"/>
      <c r="AN793" s="132" t="n"/>
      <c r="AO793" s="132" t="n"/>
      <c r="AP793" s="132" t="n"/>
      <c r="AQ793" s="132" t="n"/>
      <c r="AR793" s="132" t="n"/>
      <c r="AS793" s="132" t="n"/>
      <c r="AT793" s="132" t="n"/>
      <c r="AU793" s="132" t="n"/>
      <c r="AV793" s="132" t="n"/>
      <c r="AW793" s="132" t="n"/>
      <c r="AX793" s="132" t="n"/>
      <c r="AY793" s="132" t="n"/>
      <c r="AZ793" s="133" t="n"/>
      <c r="BA793" s="131" t="n"/>
      <c r="BB793" s="132" t="n"/>
      <c r="BC793" s="133" t="n"/>
      <c r="BD793" s="131" t="n"/>
      <c r="BE793" s="132" t="n"/>
      <c r="BF793" s="133" t="n"/>
      <c r="BG793" s="131" t="n"/>
      <c r="BH793" s="132" t="n"/>
      <c r="BI793" s="132" t="n"/>
      <c r="BJ793" s="128">
        <f>iferror(SUM($BK793,($BL793*1.2),($BM793*1.35),($BN793*0.74)),)</f>
        <v/>
      </c>
      <c r="BK793" s="128">
        <f>IFERROR(SUM($BT793:$CK793),)</f>
        <v/>
      </c>
      <c r="BL793" s="129">
        <f>IFERROR(SUM($CL793:$CN793),)</f>
        <v/>
      </c>
      <c r="BM793" s="130">
        <f>IFERROR(SUM($CO793:$CQ793),)</f>
        <v/>
      </c>
      <c r="BN793" s="128">
        <f>IFERROR(SUM($CR793:$CT793),)</f>
        <v/>
      </c>
      <c r="BO793" s="128">
        <f>iferror(SUM($BP793,($BQ793*1.2),($BR793*1.35),($BS793*0.74)),)</f>
        <v/>
      </c>
      <c r="BP793" s="128">
        <f>IFERROR(SUM($CU793:$DL793),)</f>
        <v/>
      </c>
      <c r="BQ793" s="128">
        <f>IFERROR(SUM($DM793:$DO793),)</f>
        <v/>
      </c>
      <c r="BR793" s="128">
        <f>IFERROR(SUM($DP793:$DR793),)</f>
        <v/>
      </c>
      <c r="BS793" s="128">
        <f>IFERROR(SUM($DS793:$DU793),)</f>
        <v/>
      </c>
      <c r="BT793" s="128">
        <f>IFERROR(AI793*$W793,)</f>
        <v/>
      </c>
      <c r="BU793" s="128">
        <f>IFERROR(AJ793*$W793,)</f>
        <v/>
      </c>
      <c r="BV793" s="128">
        <f>IFERROR(AK793*$W793,)</f>
        <v/>
      </c>
      <c r="BW793" s="128">
        <f>IFERROR(AL793*$W793,)</f>
        <v/>
      </c>
      <c r="BX793" s="128">
        <f>IFERROR(AM793*$W793,)</f>
        <v/>
      </c>
      <c r="BY793" s="128">
        <f>IFERROR(AN793*$W793,)</f>
        <v/>
      </c>
      <c r="BZ793" s="128">
        <f>IFERROR(AO793*$W793,)</f>
        <v/>
      </c>
      <c r="CA793" s="128">
        <f>IFERROR(AP793*$W793,)</f>
        <v/>
      </c>
      <c r="CB793" s="128">
        <f>IFERROR(AQ793*$W793,)</f>
        <v/>
      </c>
      <c r="CC793" s="128">
        <f>IFERROR(AR793*$W793,)</f>
        <v/>
      </c>
      <c r="CD793" s="128">
        <f>IFERROR(AS793*$W793,)</f>
        <v/>
      </c>
      <c r="CE793" s="128">
        <f>IFERROR(AT793*$W793,)</f>
        <v/>
      </c>
      <c r="CF793" s="128">
        <f>IFERROR(AU793*$W793,)</f>
        <v/>
      </c>
      <c r="CG793" s="128">
        <f>IFERROR(AV793*$W793,)</f>
        <v/>
      </c>
      <c r="CH793" s="128">
        <f>IFERROR(AW793*$W793,)</f>
        <v/>
      </c>
      <c r="CI793" s="128">
        <f>IFERROR(AX793*$W793,)</f>
        <v/>
      </c>
      <c r="CJ793" s="128">
        <f>IFERROR(AY793*$W793,)</f>
        <v/>
      </c>
      <c r="CK793" s="128">
        <f>IFERROR(AZ793*$W793,)</f>
        <v/>
      </c>
      <c r="CL793" s="129">
        <f>IFERROR(if($Y793=0,BA793*($W793/1.2),BA793*$Y793),"")</f>
        <v/>
      </c>
      <c r="CM793" s="129">
        <f>IFERROR(if($Y793=0,BB793*($W793/1.2),BB793*$Y793),"")</f>
        <v/>
      </c>
      <c r="CN793" s="129">
        <f>IFERROR(if($Y793=0,BC793*($W793/1.2),BC793*$Y793),"")</f>
        <v/>
      </c>
      <c r="CO793" s="130">
        <f>IFERROR(if($AA793=0,($W793/1.35)*BD793,BD793*$AA793),)</f>
        <v/>
      </c>
      <c r="CP793" s="130">
        <f>IFERROR(if($AA793=0,($W793/1.35)*BE793,BE793*$AA793),)</f>
        <v/>
      </c>
      <c r="CQ793" s="130">
        <f>IFERROR(if($AA793=0,($W793/1.35)*BF793,BF793*$AA793),)</f>
        <v/>
      </c>
      <c r="CR793" s="128">
        <f>IFERROR(if($AC793=0,($W793/0.74)*BG793,
BG793*$AC793),)</f>
        <v/>
      </c>
      <c r="CS793" s="128">
        <f>IFERROR(if($AC793=0,($W793/0.74)*BH793,
BH793*$AC793),)</f>
        <v/>
      </c>
      <c r="CT793" s="128">
        <f>IFERROR(if($AC793=0,($W793/0.74)*BI793,
BI793*$AC793),)</f>
        <v/>
      </c>
      <c r="CU793" s="128">
        <f>IFERROR(AI793*$V793,)</f>
        <v/>
      </c>
      <c r="CV793" s="128">
        <f>IFERROR(AJ793*$V793,)</f>
        <v/>
      </c>
      <c r="CW793" s="128">
        <f>IFERROR(AK793*$V793,)</f>
        <v/>
      </c>
      <c r="CX793" s="128">
        <f>IFERROR(AL793*$V793,)</f>
        <v/>
      </c>
      <c r="CY793" s="128">
        <f>IFERROR(AM793*$V793,)</f>
        <v/>
      </c>
      <c r="CZ793" s="128">
        <f>IFERROR(AN793*$V793,)</f>
        <v/>
      </c>
      <c r="DA793" s="128">
        <f>IFERROR(AO793*$V793,)</f>
        <v/>
      </c>
      <c r="DB793" s="128">
        <f>IFERROR(AP793*$V793,)</f>
        <v/>
      </c>
      <c r="DC793" s="128">
        <f>IFERROR(AQ793*$V793,)</f>
        <v/>
      </c>
      <c r="DD793" s="128">
        <f>IFERROR(AR793*$V793,)</f>
        <v/>
      </c>
      <c r="DE793" s="128">
        <f>IFERROR(AS793*$V793,)</f>
        <v/>
      </c>
      <c r="DF793" s="128">
        <f>IFERROR(AT793*$V793,)</f>
        <v/>
      </c>
      <c r="DG793" s="128">
        <f>IFERROR(AU793*$V793,)</f>
        <v/>
      </c>
      <c r="DH793" s="128">
        <f>IFERROR(AV793*$V793,)</f>
        <v/>
      </c>
      <c r="DI793" s="128">
        <f>IFERROR(AW793*$V793,)</f>
        <v/>
      </c>
      <c r="DJ793" s="128">
        <f>IFERROR(AX793*$V793,)</f>
        <v/>
      </c>
      <c r="DK793" s="128">
        <f>IFERROR(AY793*$V793,)</f>
        <v/>
      </c>
      <c r="DL793" s="128">
        <f>IFERROR(AZ793*$V793,)</f>
        <v/>
      </c>
      <c r="DM793" s="129">
        <f>IFERROR(if($X793=0,($V793/1.2)*BA793,
BA793*$X793),)</f>
        <v/>
      </c>
      <c r="DN793" s="129">
        <f>IFERROR(if($X793=0,($V793/1.2)*BB793,
BB793*$X793),)</f>
        <v/>
      </c>
      <c r="DO793" s="129">
        <f>IFERROR(if($X793=0,($V793/1.2)*BC793,
BC793*$X793),)</f>
        <v/>
      </c>
      <c r="DP793" s="130">
        <f>IFERROR(if($Z793=0,($V793/1.35)*BD793,
BD793*$Z793),)</f>
        <v/>
      </c>
      <c r="DQ793" s="130">
        <f>IFERROR(if($Z793=0,($V793/1.35)*BE793,
BE793*$Z793),)</f>
        <v/>
      </c>
      <c r="DR793" s="130">
        <f>IFERROR(if($Z793=0,($V793/1.35)*BF793,
BF793*$Z793),)</f>
        <v/>
      </c>
      <c r="DS793" s="128">
        <f>IFERROR(IF($AB793=0,($V793/0.74)*BG793,
BG793*$AB793),)</f>
        <v/>
      </c>
      <c r="DT793" s="128">
        <f>IFERROR(IF($AB793=0,($V793/0.74)*BH793,
BH793*$AB793),)</f>
        <v/>
      </c>
      <c r="DU793" s="128">
        <f>IFERROR(IF($AB793=0,($V793/0.74)*BI793,
BI793*$AB793),)</f>
        <v/>
      </c>
    </row>
    <row r="794" ht="131.25" customHeight="1" s="162">
      <c r="A794" s="115" t="n"/>
      <c r="B794" s="115" t="n"/>
      <c r="C794" s="115" t="n"/>
      <c r="D794" s="115" t="n"/>
      <c r="E794" s="115" t="n"/>
      <c r="F794" s="115" t="n"/>
      <c r="G794" s="115" t="n"/>
      <c r="H794" s="115" t="n"/>
      <c r="I794" s="115" t="n"/>
      <c r="J794" s="115" t="n"/>
      <c r="K794" s="115" t="n"/>
      <c r="L794" s="115" t="n"/>
      <c r="M794" s="115" t="n"/>
      <c r="N794" s="115" t="n"/>
      <c r="O794" s="115" t="n"/>
      <c r="P794" s="115" t="n"/>
      <c r="Q794" s="115" t="n"/>
      <c r="R794" s="115" t="n"/>
      <c r="S794" s="115" t="n"/>
      <c r="T794" s="115" t="n"/>
      <c r="U794" s="116" t="n"/>
      <c r="V794" s="116" t="n"/>
      <c r="W794" s="117" t="n"/>
      <c r="X794" s="118" t="n"/>
      <c r="Y794" s="119" t="n"/>
      <c r="Z794" s="120" t="n"/>
      <c r="AA794" s="121" t="n"/>
      <c r="AB794" s="122" t="n"/>
      <c r="AC794" s="117" t="n"/>
      <c r="AD794" s="123">
        <f>IF(SUM($AE794:$AH794)=0,"",SUM($AE794:$AH794))</f>
        <v/>
      </c>
      <c r="AE794" s="123">
        <f>iferror(IF(SUM($AI794:$AZ794)=0,"",SUM($AI794:$AZ794)),"")</f>
        <v/>
      </c>
      <c r="AF794" s="123">
        <f>iferror(IF(SUM($BA794:$BC794)=0,"",SUM($BA794:$BC794)),"")</f>
        <v/>
      </c>
      <c r="AG794" s="123">
        <f>iferror(IF(SUM($BD794:$BF794)=0,"",SUM($BD794:$BF794)),"")</f>
        <v/>
      </c>
      <c r="AH794" s="124">
        <f>iferror(IF(SUM($BG794:$BI794)=0,"",SUM($BG794:$BI794)),"")</f>
        <v/>
      </c>
      <c r="AI794" s="131" t="n"/>
      <c r="AJ794" s="132" t="n"/>
      <c r="AK794" s="132" t="n"/>
      <c r="AL794" s="132" t="n"/>
      <c r="AM794" s="132" t="n"/>
      <c r="AN794" s="132" t="n"/>
      <c r="AO794" s="132" t="n"/>
      <c r="AP794" s="132" t="n"/>
      <c r="AQ794" s="132" t="n"/>
      <c r="AR794" s="132" t="n"/>
      <c r="AS794" s="132" t="n"/>
      <c r="AT794" s="132" t="n"/>
      <c r="AU794" s="132" t="n"/>
      <c r="AV794" s="132" t="n"/>
      <c r="AW794" s="132" t="n"/>
      <c r="AX794" s="132" t="n"/>
      <c r="AY794" s="132" t="n"/>
      <c r="AZ794" s="133" t="n"/>
      <c r="BA794" s="131" t="n"/>
      <c r="BB794" s="132" t="n"/>
      <c r="BC794" s="133" t="n"/>
      <c r="BD794" s="131" t="n"/>
      <c r="BE794" s="132" t="n"/>
      <c r="BF794" s="133" t="n"/>
      <c r="BG794" s="131" t="n"/>
      <c r="BH794" s="132" t="n"/>
      <c r="BI794" s="132" t="n"/>
      <c r="BJ794" s="128">
        <f>iferror(SUM($BK794,($BL794*1.2),($BM794*1.35),($BN794*0.74)),)</f>
        <v/>
      </c>
      <c r="BK794" s="128">
        <f>IFERROR(SUM($BT794:$CK794),)</f>
        <v/>
      </c>
      <c r="BL794" s="129">
        <f>IFERROR(SUM($CL794:$CN794),)</f>
        <v/>
      </c>
      <c r="BM794" s="130">
        <f>IFERROR(SUM($CO794:$CQ794),)</f>
        <v/>
      </c>
      <c r="BN794" s="128">
        <f>IFERROR(SUM($CR794:$CT794),)</f>
        <v/>
      </c>
      <c r="BO794" s="128">
        <f>iferror(SUM($BP794,($BQ794*1.2),($BR794*1.35),($BS794*0.74)),)</f>
        <v/>
      </c>
      <c r="BP794" s="128">
        <f>IFERROR(SUM($CU794:$DL794),)</f>
        <v/>
      </c>
      <c r="BQ794" s="128">
        <f>IFERROR(SUM($DM794:$DO794),)</f>
        <v/>
      </c>
      <c r="BR794" s="128">
        <f>IFERROR(SUM($DP794:$DR794),)</f>
        <v/>
      </c>
      <c r="BS794" s="128">
        <f>IFERROR(SUM($DS794:$DU794),)</f>
        <v/>
      </c>
      <c r="BT794" s="128">
        <f>IFERROR(AI794*$W794,)</f>
        <v/>
      </c>
      <c r="BU794" s="128">
        <f>IFERROR(AJ794*$W794,)</f>
        <v/>
      </c>
      <c r="BV794" s="128">
        <f>IFERROR(AK794*$W794,)</f>
        <v/>
      </c>
      <c r="BW794" s="128">
        <f>IFERROR(AL794*$W794,)</f>
        <v/>
      </c>
      <c r="BX794" s="128">
        <f>IFERROR(AM794*$W794,)</f>
        <v/>
      </c>
      <c r="BY794" s="128">
        <f>IFERROR(AN794*$W794,)</f>
        <v/>
      </c>
      <c r="BZ794" s="128">
        <f>IFERROR(AO794*$W794,)</f>
        <v/>
      </c>
      <c r="CA794" s="128">
        <f>IFERROR(AP794*$W794,)</f>
        <v/>
      </c>
      <c r="CB794" s="128">
        <f>IFERROR(AQ794*$W794,)</f>
        <v/>
      </c>
      <c r="CC794" s="128">
        <f>IFERROR(AR794*$W794,)</f>
        <v/>
      </c>
      <c r="CD794" s="128">
        <f>IFERROR(AS794*$W794,)</f>
        <v/>
      </c>
      <c r="CE794" s="128">
        <f>IFERROR(AT794*$W794,)</f>
        <v/>
      </c>
      <c r="CF794" s="128">
        <f>IFERROR(AU794*$W794,)</f>
        <v/>
      </c>
      <c r="CG794" s="128">
        <f>IFERROR(AV794*$W794,)</f>
        <v/>
      </c>
      <c r="CH794" s="128">
        <f>IFERROR(AW794*$W794,)</f>
        <v/>
      </c>
      <c r="CI794" s="128">
        <f>IFERROR(AX794*$W794,)</f>
        <v/>
      </c>
      <c r="CJ794" s="128">
        <f>IFERROR(AY794*$W794,)</f>
        <v/>
      </c>
      <c r="CK794" s="128">
        <f>IFERROR(AZ794*$W794,)</f>
        <v/>
      </c>
      <c r="CL794" s="129">
        <f>IFERROR(if($Y794=0,BA794*($W794/1.2),BA794*$Y794),"")</f>
        <v/>
      </c>
      <c r="CM794" s="129">
        <f>IFERROR(if($Y794=0,BB794*($W794/1.2),BB794*$Y794),"")</f>
        <v/>
      </c>
      <c r="CN794" s="129">
        <f>IFERROR(if($Y794=0,BC794*($W794/1.2),BC794*$Y794),"")</f>
        <v/>
      </c>
      <c r="CO794" s="130">
        <f>IFERROR(if($AA794=0,($W794/1.35)*BD794,BD794*$AA794),)</f>
        <v/>
      </c>
      <c r="CP794" s="130">
        <f>IFERROR(if($AA794=0,($W794/1.35)*BE794,BE794*$AA794),)</f>
        <v/>
      </c>
      <c r="CQ794" s="130">
        <f>IFERROR(if($AA794=0,($W794/1.35)*BF794,BF794*$AA794),)</f>
        <v/>
      </c>
      <c r="CR794" s="128">
        <f>IFERROR(if($AC794=0,($W794/0.74)*BG794,
BG794*$AC794),)</f>
        <v/>
      </c>
      <c r="CS794" s="128">
        <f>IFERROR(if($AC794=0,($W794/0.74)*BH794,
BH794*$AC794),)</f>
        <v/>
      </c>
      <c r="CT794" s="128">
        <f>IFERROR(if($AC794=0,($W794/0.74)*BI794,
BI794*$AC794),)</f>
        <v/>
      </c>
      <c r="CU794" s="128">
        <f>IFERROR(AI794*$V794,)</f>
        <v/>
      </c>
      <c r="CV794" s="128">
        <f>IFERROR(AJ794*$V794,)</f>
        <v/>
      </c>
      <c r="CW794" s="128">
        <f>IFERROR(AK794*$V794,)</f>
        <v/>
      </c>
      <c r="CX794" s="128">
        <f>IFERROR(AL794*$V794,)</f>
        <v/>
      </c>
      <c r="CY794" s="128">
        <f>IFERROR(AM794*$V794,)</f>
        <v/>
      </c>
      <c r="CZ794" s="128">
        <f>IFERROR(AN794*$V794,)</f>
        <v/>
      </c>
      <c r="DA794" s="128">
        <f>IFERROR(AO794*$V794,)</f>
        <v/>
      </c>
      <c r="DB794" s="128">
        <f>IFERROR(AP794*$V794,)</f>
        <v/>
      </c>
      <c r="DC794" s="128">
        <f>IFERROR(AQ794*$V794,)</f>
        <v/>
      </c>
      <c r="DD794" s="128">
        <f>IFERROR(AR794*$V794,)</f>
        <v/>
      </c>
      <c r="DE794" s="128">
        <f>IFERROR(AS794*$V794,)</f>
        <v/>
      </c>
      <c r="DF794" s="128">
        <f>IFERROR(AT794*$V794,)</f>
        <v/>
      </c>
      <c r="DG794" s="128">
        <f>IFERROR(AU794*$V794,)</f>
        <v/>
      </c>
      <c r="DH794" s="128">
        <f>IFERROR(AV794*$V794,)</f>
        <v/>
      </c>
      <c r="DI794" s="128">
        <f>IFERROR(AW794*$V794,)</f>
        <v/>
      </c>
      <c r="DJ794" s="128">
        <f>IFERROR(AX794*$V794,)</f>
        <v/>
      </c>
      <c r="DK794" s="128">
        <f>IFERROR(AY794*$V794,)</f>
        <v/>
      </c>
      <c r="DL794" s="128">
        <f>IFERROR(AZ794*$V794,)</f>
        <v/>
      </c>
      <c r="DM794" s="129">
        <f>IFERROR(if($X794=0,($V794/1.2)*BA794,
BA794*$X794),)</f>
        <v/>
      </c>
      <c r="DN794" s="129">
        <f>IFERROR(if($X794=0,($V794/1.2)*BB794,
BB794*$X794),)</f>
        <v/>
      </c>
      <c r="DO794" s="129">
        <f>IFERROR(if($X794=0,($V794/1.2)*BC794,
BC794*$X794),)</f>
        <v/>
      </c>
      <c r="DP794" s="130">
        <f>IFERROR(if($Z794=0,($V794/1.35)*BD794,
BD794*$Z794),)</f>
        <v/>
      </c>
      <c r="DQ794" s="130">
        <f>IFERROR(if($Z794=0,($V794/1.35)*BE794,
BE794*$Z794),)</f>
        <v/>
      </c>
      <c r="DR794" s="130">
        <f>IFERROR(if($Z794=0,($V794/1.35)*BF794,
BF794*$Z794),)</f>
        <v/>
      </c>
      <c r="DS794" s="128">
        <f>IFERROR(IF($AB794=0,($V794/0.74)*BG794,
BG794*$AB794),)</f>
        <v/>
      </c>
      <c r="DT794" s="128">
        <f>IFERROR(IF($AB794=0,($V794/0.74)*BH794,
BH794*$AB794),)</f>
        <v/>
      </c>
      <c r="DU794" s="128">
        <f>IFERROR(IF($AB794=0,($V794/0.74)*BI794,
BI794*$AB794),)</f>
        <v/>
      </c>
    </row>
    <row r="795" ht="131.25" customHeight="1" s="162">
      <c r="A795" s="115" t="n"/>
      <c r="B795" s="115" t="n"/>
      <c r="C795" s="115" t="n"/>
      <c r="D795" s="115" t="n"/>
      <c r="E795" s="115" t="n"/>
      <c r="F795" s="115" t="n"/>
      <c r="G795" s="115" t="n"/>
      <c r="H795" s="115" t="n"/>
      <c r="I795" s="115" t="n"/>
      <c r="J795" s="115" t="n"/>
      <c r="K795" s="115" t="n"/>
      <c r="L795" s="115" t="n"/>
      <c r="M795" s="115" t="n"/>
      <c r="N795" s="115" t="n"/>
      <c r="O795" s="115" t="n"/>
      <c r="P795" s="115" t="n"/>
      <c r="Q795" s="115" t="n"/>
      <c r="R795" s="115" t="n"/>
      <c r="S795" s="115" t="n"/>
      <c r="T795" s="115" t="n"/>
      <c r="U795" s="116" t="n"/>
      <c r="V795" s="116" t="n"/>
      <c r="W795" s="117" t="n"/>
      <c r="X795" s="118" t="n"/>
      <c r="Y795" s="119" t="n"/>
      <c r="Z795" s="120" t="n"/>
      <c r="AA795" s="121" t="n"/>
      <c r="AB795" s="122" t="n"/>
      <c r="AC795" s="117" t="n"/>
      <c r="AD795" s="123">
        <f>IF(SUM($AE795:$AH795)=0,"",SUM($AE795:$AH795))</f>
        <v/>
      </c>
      <c r="AE795" s="123">
        <f>iferror(IF(SUM($AI795:$AZ795)=0,"",SUM($AI795:$AZ795)),"")</f>
        <v/>
      </c>
      <c r="AF795" s="123">
        <f>iferror(IF(SUM($BA795:$BC795)=0,"",SUM($BA795:$BC795)),"")</f>
        <v/>
      </c>
      <c r="AG795" s="123">
        <f>iferror(IF(SUM($BD795:$BF795)=0,"",SUM($BD795:$BF795)),"")</f>
        <v/>
      </c>
      <c r="AH795" s="124">
        <f>iferror(IF(SUM($BG795:$BI795)=0,"",SUM($BG795:$BI795)),"")</f>
        <v/>
      </c>
      <c r="AI795" s="131" t="n"/>
      <c r="AJ795" s="132" t="n"/>
      <c r="AK795" s="132" t="n"/>
      <c r="AL795" s="132" t="n"/>
      <c r="AM795" s="132" t="n"/>
      <c r="AN795" s="132" t="n"/>
      <c r="AO795" s="132" t="n"/>
      <c r="AP795" s="132" t="n"/>
      <c r="AQ795" s="132" t="n"/>
      <c r="AR795" s="132" t="n"/>
      <c r="AS795" s="132" t="n"/>
      <c r="AT795" s="132" t="n"/>
      <c r="AU795" s="132" t="n"/>
      <c r="AV795" s="132" t="n"/>
      <c r="AW795" s="132" t="n"/>
      <c r="AX795" s="132" t="n"/>
      <c r="AY795" s="132" t="n"/>
      <c r="AZ795" s="133" t="n"/>
      <c r="BA795" s="131" t="n"/>
      <c r="BB795" s="132" t="n"/>
      <c r="BC795" s="133" t="n"/>
      <c r="BD795" s="131" t="n"/>
      <c r="BE795" s="132" t="n"/>
      <c r="BF795" s="133" t="n"/>
      <c r="BG795" s="131" t="n"/>
      <c r="BH795" s="132" t="n"/>
      <c r="BI795" s="132" t="n"/>
      <c r="BJ795" s="128">
        <f>iferror(SUM($BK795,($BL795*1.2),($BM795*1.35),($BN795*0.74)),)</f>
        <v/>
      </c>
      <c r="BK795" s="128">
        <f>IFERROR(SUM($BT795:$CK795),)</f>
        <v/>
      </c>
      <c r="BL795" s="129">
        <f>IFERROR(SUM($CL795:$CN795),)</f>
        <v/>
      </c>
      <c r="BM795" s="130">
        <f>IFERROR(SUM($CO795:$CQ795),)</f>
        <v/>
      </c>
      <c r="BN795" s="128">
        <f>IFERROR(SUM($CR795:$CT795),)</f>
        <v/>
      </c>
      <c r="BO795" s="128">
        <f>iferror(SUM($BP795,($BQ795*1.2),($BR795*1.35),($BS795*0.74)),)</f>
        <v/>
      </c>
      <c r="BP795" s="128">
        <f>IFERROR(SUM($CU795:$DL795),)</f>
        <v/>
      </c>
      <c r="BQ795" s="128">
        <f>IFERROR(SUM($DM795:$DO795),)</f>
        <v/>
      </c>
      <c r="BR795" s="128">
        <f>IFERROR(SUM($DP795:$DR795),)</f>
        <v/>
      </c>
      <c r="BS795" s="128">
        <f>IFERROR(SUM($DS795:$DU795),)</f>
        <v/>
      </c>
      <c r="BT795" s="128">
        <f>IFERROR(AI795*$W795,)</f>
        <v/>
      </c>
      <c r="BU795" s="128">
        <f>IFERROR(AJ795*$W795,)</f>
        <v/>
      </c>
      <c r="BV795" s="128">
        <f>IFERROR(AK795*$W795,)</f>
        <v/>
      </c>
      <c r="BW795" s="128">
        <f>IFERROR(AL795*$W795,)</f>
        <v/>
      </c>
      <c r="BX795" s="128">
        <f>IFERROR(AM795*$W795,)</f>
        <v/>
      </c>
      <c r="BY795" s="128">
        <f>IFERROR(AN795*$W795,)</f>
        <v/>
      </c>
      <c r="BZ795" s="128">
        <f>IFERROR(AO795*$W795,)</f>
        <v/>
      </c>
      <c r="CA795" s="128">
        <f>IFERROR(AP795*$W795,)</f>
        <v/>
      </c>
      <c r="CB795" s="128">
        <f>IFERROR(AQ795*$W795,)</f>
        <v/>
      </c>
      <c r="CC795" s="128">
        <f>IFERROR(AR795*$W795,)</f>
        <v/>
      </c>
      <c r="CD795" s="128">
        <f>IFERROR(AS795*$W795,)</f>
        <v/>
      </c>
      <c r="CE795" s="128">
        <f>IFERROR(AT795*$W795,)</f>
        <v/>
      </c>
      <c r="CF795" s="128">
        <f>IFERROR(AU795*$W795,)</f>
        <v/>
      </c>
      <c r="CG795" s="128">
        <f>IFERROR(AV795*$W795,)</f>
        <v/>
      </c>
      <c r="CH795" s="128">
        <f>IFERROR(AW795*$W795,)</f>
        <v/>
      </c>
      <c r="CI795" s="128">
        <f>IFERROR(AX795*$W795,)</f>
        <v/>
      </c>
      <c r="CJ795" s="128">
        <f>IFERROR(AY795*$W795,)</f>
        <v/>
      </c>
      <c r="CK795" s="128">
        <f>IFERROR(AZ795*$W795,)</f>
        <v/>
      </c>
      <c r="CL795" s="129">
        <f>IFERROR(if($Y795=0,BA795*($W795/1.2),BA795*$Y795),"")</f>
        <v/>
      </c>
      <c r="CM795" s="129">
        <f>IFERROR(if($Y795=0,BB795*($W795/1.2),BB795*$Y795),"")</f>
        <v/>
      </c>
      <c r="CN795" s="129">
        <f>IFERROR(if($Y795=0,BC795*($W795/1.2),BC795*$Y795),"")</f>
        <v/>
      </c>
      <c r="CO795" s="130">
        <f>IFERROR(if($AA795=0,($W795/1.35)*BD795,BD795*$AA795),)</f>
        <v/>
      </c>
      <c r="CP795" s="130">
        <f>IFERROR(if($AA795=0,($W795/1.35)*BE795,BE795*$AA795),)</f>
        <v/>
      </c>
      <c r="CQ795" s="130">
        <f>IFERROR(if($AA795=0,($W795/1.35)*BF795,BF795*$AA795),)</f>
        <v/>
      </c>
      <c r="CR795" s="128">
        <f>IFERROR(if($AC795=0,($W795/0.74)*BG795,
BG795*$AC795),)</f>
        <v/>
      </c>
      <c r="CS795" s="128">
        <f>IFERROR(if($AC795=0,($W795/0.74)*BH795,
BH795*$AC795),)</f>
        <v/>
      </c>
      <c r="CT795" s="128">
        <f>IFERROR(if($AC795=0,($W795/0.74)*BI795,
BI795*$AC795),)</f>
        <v/>
      </c>
      <c r="CU795" s="128">
        <f>IFERROR(AI795*$V795,)</f>
        <v/>
      </c>
      <c r="CV795" s="128">
        <f>IFERROR(AJ795*$V795,)</f>
        <v/>
      </c>
      <c r="CW795" s="128">
        <f>IFERROR(AK795*$V795,)</f>
        <v/>
      </c>
      <c r="CX795" s="128">
        <f>IFERROR(AL795*$V795,)</f>
        <v/>
      </c>
      <c r="CY795" s="128">
        <f>IFERROR(AM795*$V795,)</f>
        <v/>
      </c>
      <c r="CZ795" s="128">
        <f>IFERROR(AN795*$V795,)</f>
        <v/>
      </c>
      <c r="DA795" s="128">
        <f>IFERROR(AO795*$V795,)</f>
        <v/>
      </c>
      <c r="DB795" s="128">
        <f>IFERROR(AP795*$V795,)</f>
        <v/>
      </c>
      <c r="DC795" s="128">
        <f>IFERROR(AQ795*$V795,)</f>
        <v/>
      </c>
      <c r="DD795" s="128">
        <f>IFERROR(AR795*$V795,)</f>
        <v/>
      </c>
      <c r="DE795" s="128">
        <f>IFERROR(AS795*$V795,)</f>
        <v/>
      </c>
      <c r="DF795" s="128">
        <f>IFERROR(AT795*$V795,)</f>
        <v/>
      </c>
      <c r="DG795" s="128">
        <f>IFERROR(AU795*$V795,)</f>
        <v/>
      </c>
      <c r="DH795" s="128">
        <f>IFERROR(AV795*$V795,)</f>
        <v/>
      </c>
      <c r="DI795" s="128">
        <f>IFERROR(AW795*$V795,)</f>
        <v/>
      </c>
      <c r="DJ795" s="128">
        <f>IFERROR(AX795*$V795,)</f>
        <v/>
      </c>
      <c r="DK795" s="128">
        <f>IFERROR(AY795*$V795,)</f>
        <v/>
      </c>
      <c r="DL795" s="128">
        <f>IFERROR(AZ795*$V795,)</f>
        <v/>
      </c>
      <c r="DM795" s="129">
        <f>IFERROR(if($X795=0,($V795/1.2)*BA795,
BA795*$X795),)</f>
        <v/>
      </c>
      <c r="DN795" s="129">
        <f>IFERROR(if($X795=0,($V795/1.2)*BB795,
BB795*$X795),)</f>
        <v/>
      </c>
      <c r="DO795" s="129">
        <f>IFERROR(if($X795=0,($V795/1.2)*BC795,
BC795*$X795),)</f>
        <v/>
      </c>
      <c r="DP795" s="130">
        <f>IFERROR(if($Z795=0,($V795/1.35)*BD795,
BD795*$Z795),)</f>
        <v/>
      </c>
      <c r="DQ795" s="130">
        <f>IFERROR(if($Z795=0,($V795/1.35)*BE795,
BE795*$Z795),)</f>
        <v/>
      </c>
      <c r="DR795" s="130">
        <f>IFERROR(if($Z795=0,($V795/1.35)*BF795,
BF795*$Z795),)</f>
        <v/>
      </c>
      <c r="DS795" s="128">
        <f>IFERROR(IF($AB795=0,($V795/0.74)*BG795,
BG795*$AB795),)</f>
        <v/>
      </c>
      <c r="DT795" s="128">
        <f>IFERROR(IF($AB795=0,($V795/0.74)*BH795,
BH795*$AB795),)</f>
        <v/>
      </c>
      <c r="DU795" s="128">
        <f>IFERROR(IF($AB795=0,($V795/0.74)*BI795,
BI795*$AB795),)</f>
        <v/>
      </c>
    </row>
    <row r="796" ht="131.25" customHeight="1" s="162">
      <c r="A796" s="115" t="n"/>
      <c r="B796" s="115" t="n"/>
      <c r="C796" s="115" t="n"/>
      <c r="D796" s="115" t="n"/>
      <c r="E796" s="115" t="n"/>
      <c r="F796" s="115" t="n"/>
      <c r="G796" s="115" t="n"/>
      <c r="H796" s="115" t="n"/>
      <c r="I796" s="115" t="n"/>
      <c r="J796" s="115" t="n"/>
      <c r="K796" s="115" t="n"/>
      <c r="L796" s="115" t="n"/>
      <c r="M796" s="115" t="n"/>
      <c r="N796" s="115" t="n"/>
      <c r="O796" s="115" t="n"/>
      <c r="P796" s="115" t="n"/>
      <c r="Q796" s="115" t="n"/>
      <c r="R796" s="115" t="n"/>
      <c r="S796" s="115" t="n"/>
      <c r="T796" s="115" t="n"/>
      <c r="U796" s="116" t="n"/>
      <c r="V796" s="116" t="n"/>
      <c r="W796" s="117" t="n"/>
      <c r="X796" s="118" t="n"/>
      <c r="Y796" s="119" t="n"/>
      <c r="Z796" s="120" t="n"/>
      <c r="AA796" s="121" t="n"/>
      <c r="AB796" s="122" t="n"/>
      <c r="AC796" s="117" t="n"/>
      <c r="AD796" s="123">
        <f>IF(SUM($AE796:$AH796)=0,"",SUM($AE796:$AH796))</f>
        <v/>
      </c>
      <c r="AE796" s="123">
        <f>iferror(IF(SUM($AI796:$AZ796)=0,"",SUM($AI796:$AZ796)),"")</f>
        <v/>
      </c>
      <c r="AF796" s="123">
        <f>iferror(IF(SUM($BA796:$BC796)=0,"",SUM($BA796:$BC796)),"")</f>
        <v/>
      </c>
      <c r="AG796" s="123">
        <f>iferror(IF(SUM($BD796:$BF796)=0,"",SUM($BD796:$BF796)),"")</f>
        <v/>
      </c>
      <c r="AH796" s="124">
        <f>iferror(IF(SUM($BG796:$BI796)=0,"",SUM($BG796:$BI796)),"")</f>
        <v/>
      </c>
      <c r="AI796" s="131" t="n"/>
      <c r="AJ796" s="132" t="n"/>
      <c r="AK796" s="132" t="n"/>
      <c r="AL796" s="132" t="n"/>
      <c r="AM796" s="132" t="n"/>
      <c r="AN796" s="132" t="n"/>
      <c r="AO796" s="132" t="n"/>
      <c r="AP796" s="132" t="n"/>
      <c r="AQ796" s="132" t="n"/>
      <c r="AR796" s="132" t="n"/>
      <c r="AS796" s="132" t="n"/>
      <c r="AT796" s="132" t="n"/>
      <c r="AU796" s="132" t="n"/>
      <c r="AV796" s="132" t="n"/>
      <c r="AW796" s="132" t="n"/>
      <c r="AX796" s="132" t="n"/>
      <c r="AY796" s="132" t="n"/>
      <c r="AZ796" s="133" t="n"/>
      <c r="BA796" s="131" t="n"/>
      <c r="BB796" s="132" t="n"/>
      <c r="BC796" s="133" t="n"/>
      <c r="BD796" s="131" t="n"/>
      <c r="BE796" s="132" t="n"/>
      <c r="BF796" s="133" t="n"/>
      <c r="BG796" s="131" t="n"/>
      <c r="BH796" s="132" t="n"/>
      <c r="BI796" s="132" t="n"/>
      <c r="BJ796" s="128">
        <f>iferror(SUM($BK796,($BL796*1.2),($BM796*1.35),($BN796*0.74)),)</f>
        <v/>
      </c>
      <c r="BK796" s="128">
        <f>IFERROR(SUM($BT796:$CK796),)</f>
        <v/>
      </c>
      <c r="BL796" s="129">
        <f>IFERROR(SUM($CL796:$CN796),)</f>
        <v/>
      </c>
      <c r="BM796" s="130">
        <f>IFERROR(SUM($CO796:$CQ796),)</f>
        <v/>
      </c>
      <c r="BN796" s="128">
        <f>IFERROR(SUM($CR796:$CT796),)</f>
        <v/>
      </c>
      <c r="BO796" s="128">
        <f>iferror(SUM($BP796,($BQ796*1.2),($BR796*1.35),($BS796*0.74)),)</f>
        <v/>
      </c>
      <c r="BP796" s="128">
        <f>IFERROR(SUM($CU796:$DL796),)</f>
        <v/>
      </c>
      <c r="BQ796" s="128">
        <f>IFERROR(SUM($DM796:$DO796),)</f>
        <v/>
      </c>
      <c r="BR796" s="128">
        <f>IFERROR(SUM($DP796:$DR796),)</f>
        <v/>
      </c>
      <c r="BS796" s="128">
        <f>IFERROR(SUM($DS796:$DU796),)</f>
        <v/>
      </c>
      <c r="BT796" s="128">
        <f>IFERROR(AI796*$W796,)</f>
        <v/>
      </c>
      <c r="BU796" s="128">
        <f>IFERROR(AJ796*$W796,)</f>
        <v/>
      </c>
      <c r="BV796" s="128">
        <f>IFERROR(AK796*$W796,)</f>
        <v/>
      </c>
      <c r="BW796" s="128">
        <f>IFERROR(AL796*$W796,)</f>
        <v/>
      </c>
      <c r="BX796" s="128">
        <f>IFERROR(AM796*$W796,)</f>
        <v/>
      </c>
      <c r="BY796" s="128">
        <f>IFERROR(AN796*$W796,)</f>
        <v/>
      </c>
      <c r="BZ796" s="128">
        <f>IFERROR(AO796*$W796,)</f>
        <v/>
      </c>
      <c r="CA796" s="128">
        <f>IFERROR(AP796*$W796,)</f>
        <v/>
      </c>
      <c r="CB796" s="128">
        <f>IFERROR(AQ796*$W796,)</f>
        <v/>
      </c>
      <c r="CC796" s="128">
        <f>IFERROR(AR796*$W796,)</f>
        <v/>
      </c>
      <c r="CD796" s="128">
        <f>IFERROR(AS796*$W796,)</f>
        <v/>
      </c>
      <c r="CE796" s="128">
        <f>IFERROR(AT796*$W796,)</f>
        <v/>
      </c>
      <c r="CF796" s="128">
        <f>IFERROR(AU796*$W796,)</f>
        <v/>
      </c>
      <c r="CG796" s="128">
        <f>IFERROR(AV796*$W796,)</f>
        <v/>
      </c>
      <c r="CH796" s="128">
        <f>IFERROR(AW796*$W796,)</f>
        <v/>
      </c>
      <c r="CI796" s="128">
        <f>IFERROR(AX796*$W796,)</f>
        <v/>
      </c>
      <c r="CJ796" s="128">
        <f>IFERROR(AY796*$W796,)</f>
        <v/>
      </c>
      <c r="CK796" s="128">
        <f>IFERROR(AZ796*$W796,)</f>
        <v/>
      </c>
      <c r="CL796" s="129">
        <f>IFERROR(if($Y796=0,BA796*($W796/1.2),BA796*$Y796),"")</f>
        <v/>
      </c>
      <c r="CM796" s="129">
        <f>IFERROR(if($Y796=0,BB796*($W796/1.2),BB796*$Y796),"")</f>
        <v/>
      </c>
      <c r="CN796" s="129">
        <f>IFERROR(if($Y796=0,BC796*($W796/1.2),BC796*$Y796),"")</f>
        <v/>
      </c>
      <c r="CO796" s="130">
        <f>IFERROR(if($AA796=0,($W796/1.35)*BD796,BD796*$AA796),)</f>
        <v/>
      </c>
      <c r="CP796" s="130">
        <f>IFERROR(if($AA796=0,($W796/1.35)*BE796,BE796*$AA796),)</f>
        <v/>
      </c>
      <c r="CQ796" s="130">
        <f>IFERROR(if($AA796=0,($W796/1.35)*BF796,BF796*$AA796),)</f>
        <v/>
      </c>
      <c r="CR796" s="128">
        <f>IFERROR(if($AC796=0,($W796/0.74)*BG796,
BG796*$AC796),)</f>
        <v/>
      </c>
      <c r="CS796" s="128">
        <f>IFERROR(if($AC796=0,($W796/0.74)*BH796,
BH796*$AC796),)</f>
        <v/>
      </c>
      <c r="CT796" s="128">
        <f>IFERROR(if($AC796=0,($W796/0.74)*BI796,
BI796*$AC796),)</f>
        <v/>
      </c>
      <c r="CU796" s="128">
        <f>IFERROR(AI796*$V796,)</f>
        <v/>
      </c>
      <c r="CV796" s="128">
        <f>IFERROR(AJ796*$V796,)</f>
        <v/>
      </c>
      <c r="CW796" s="128">
        <f>IFERROR(AK796*$V796,)</f>
        <v/>
      </c>
      <c r="CX796" s="128">
        <f>IFERROR(AL796*$V796,)</f>
        <v/>
      </c>
      <c r="CY796" s="128">
        <f>IFERROR(AM796*$V796,)</f>
        <v/>
      </c>
      <c r="CZ796" s="128">
        <f>IFERROR(AN796*$V796,)</f>
        <v/>
      </c>
      <c r="DA796" s="128">
        <f>IFERROR(AO796*$V796,)</f>
        <v/>
      </c>
      <c r="DB796" s="128">
        <f>IFERROR(AP796*$V796,)</f>
        <v/>
      </c>
      <c r="DC796" s="128">
        <f>IFERROR(AQ796*$V796,)</f>
        <v/>
      </c>
      <c r="DD796" s="128">
        <f>IFERROR(AR796*$V796,)</f>
        <v/>
      </c>
      <c r="DE796" s="128">
        <f>IFERROR(AS796*$V796,)</f>
        <v/>
      </c>
      <c r="DF796" s="128">
        <f>IFERROR(AT796*$V796,)</f>
        <v/>
      </c>
      <c r="DG796" s="128">
        <f>IFERROR(AU796*$V796,)</f>
        <v/>
      </c>
      <c r="DH796" s="128">
        <f>IFERROR(AV796*$V796,)</f>
        <v/>
      </c>
      <c r="DI796" s="128">
        <f>IFERROR(AW796*$V796,)</f>
        <v/>
      </c>
      <c r="DJ796" s="128">
        <f>IFERROR(AX796*$V796,)</f>
        <v/>
      </c>
      <c r="DK796" s="128">
        <f>IFERROR(AY796*$V796,)</f>
        <v/>
      </c>
      <c r="DL796" s="128">
        <f>IFERROR(AZ796*$V796,)</f>
        <v/>
      </c>
      <c r="DM796" s="129">
        <f>IFERROR(if($X796=0,($V796/1.2)*BA796,
BA796*$X796),)</f>
        <v/>
      </c>
      <c r="DN796" s="129">
        <f>IFERROR(if($X796=0,($V796/1.2)*BB796,
BB796*$X796),)</f>
        <v/>
      </c>
      <c r="DO796" s="129">
        <f>IFERROR(if($X796=0,($V796/1.2)*BC796,
BC796*$X796),)</f>
        <v/>
      </c>
      <c r="DP796" s="130">
        <f>IFERROR(if($Z796=0,($V796/1.35)*BD796,
BD796*$Z796),)</f>
        <v/>
      </c>
      <c r="DQ796" s="130">
        <f>IFERROR(if($Z796=0,($V796/1.35)*BE796,
BE796*$Z796),)</f>
        <v/>
      </c>
      <c r="DR796" s="130">
        <f>IFERROR(if($Z796=0,($V796/1.35)*BF796,
BF796*$Z796),)</f>
        <v/>
      </c>
      <c r="DS796" s="128">
        <f>IFERROR(IF($AB796=0,($V796/0.74)*BG796,
BG796*$AB796),)</f>
        <v/>
      </c>
      <c r="DT796" s="128">
        <f>IFERROR(IF($AB796=0,($V796/0.74)*BH796,
BH796*$AB796),)</f>
        <v/>
      </c>
      <c r="DU796" s="128">
        <f>IFERROR(IF($AB796=0,($V796/0.74)*BI796,
BI796*$AB796),)</f>
        <v/>
      </c>
    </row>
    <row r="797" ht="131.25" customHeight="1" s="162">
      <c r="A797" s="115" t="n"/>
      <c r="B797" s="115" t="n"/>
      <c r="C797" s="115" t="n"/>
      <c r="D797" s="115" t="n"/>
      <c r="E797" s="115" t="n"/>
      <c r="F797" s="115" t="n"/>
      <c r="G797" s="115" t="n"/>
      <c r="H797" s="115" t="n"/>
      <c r="I797" s="115" t="n"/>
      <c r="J797" s="115" t="n"/>
      <c r="K797" s="115" t="n"/>
      <c r="L797" s="115" t="n"/>
      <c r="M797" s="115" t="n"/>
      <c r="N797" s="115" t="n"/>
      <c r="O797" s="115" t="n"/>
      <c r="P797" s="115" t="n"/>
      <c r="Q797" s="115" t="n"/>
      <c r="R797" s="115" t="n"/>
      <c r="S797" s="115" t="n"/>
      <c r="T797" s="115" t="n"/>
      <c r="U797" s="116" t="n"/>
      <c r="V797" s="116" t="n"/>
      <c r="W797" s="117" t="n"/>
      <c r="X797" s="118" t="n"/>
      <c r="Y797" s="119" t="n"/>
      <c r="Z797" s="120" t="n"/>
      <c r="AA797" s="121" t="n"/>
      <c r="AB797" s="122" t="n"/>
      <c r="AC797" s="117" t="n"/>
      <c r="AD797" s="123">
        <f>IF(SUM($AE797:$AH797)=0,"",SUM($AE797:$AH797))</f>
        <v/>
      </c>
      <c r="AE797" s="123">
        <f>iferror(IF(SUM($AI797:$AZ797)=0,"",SUM($AI797:$AZ797)),"")</f>
        <v/>
      </c>
      <c r="AF797" s="123">
        <f>iferror(IF(SUM($BA797:$BC797)=0,"",SUM($BA797:$BC797)),"")</f>
        <v/>
      </c>
      <c r="AG797" s="123">
        <f>iferror(IF(SUM($BD797:$BF797)=0,"",SUM($BD797:$BF797)),"")</f>
        <v/>
      </c>
      <c r="AH797" s="124">
        <f>iferror(IF(SUM($BG797:$BI797)=0,"",SUM($BG797:$BI797)),"")</f>
        <v/>
      </c>
      <c r="AI797" s="131" t="n"/>
      <c r="AJ797" s="132" t="n"/>
      <c r="AK797" s="132" t="n"/>
      <c r="AL797" s="132" t="n"/>
      <c r="AM797" s="132" t="n"/>
      <c r="AN797" s="132" t="n"/>
      <c r="AO797" s="132" t="n"/>
      <c r="AP797" s="132" t="n"/>
      <c r="AQ797" s="132" t="n"/>
      <c r="AR797" s="132" t="n"/>
      <c r="AS797" s="132" t="n"/>
      <c r="AT797" s="132" t="n"/>
      <c r="AU797" s="132" t="n"/>
      <c r="AV797" s="132" t="n"/>
      <c r="AW797" s="132" t="n"/>
      <c r="AX797" s="132" t="n"/>
      <c r="AY797" s="132" t="n"/>
      <c r="AZ797" s="133" t="n"/>
      <c r="BA797" s="131" t="n"/>
      <c r="BB797" s="132" t="n"/>
      <c r="BC797" s="133" t="n"/>
      <c r="BD797" s="131" t="n"/>
      <c r="BE797" s="132" t="n"/>
      <c r="BF797" s="133" t="n"/>
      <c r="BG797" s="131" t="n"/>
      <c r="BH797" s="132" t="n"/>
      <c r="BI797" s="132" t="n"/>
      <c r="BJ797" s="128">
        <f>iferror(SUM($BK797,($BL797*1.2),($BM797*1.35),($BN797*0.74)),)</f>
        <v/>
      </c>
      <c r="BK797" s="128">
        <f>IFERROR(SUM($BT797:$CK797),)</f>
        <v/>
      </c>
      <c r="BL797" s="129">
        <f>IFERROR(SUM($CL797:$CN797),)</f>
        <v/>
      </c>
      <c r="BM797" s="130">
        <f>IFERROR(SUM($CO797:$CQ797),)</f>
        <v/>
      </c>
      <c r="BN797" s="128">
        <f>IFERROR(SUM($CR797:$CT797),)</f>
        <v/>
      </c>
      <c r="BO797" s="128">
        <f>iferror(SUM($BP797,($BQ797*1.2),($BR797*1.35),($BS797*0.74)),)</f>
        <v/>
      </c>
      <c r="BP797" s="128">
        <f>IFERROR(SUM($CU797:$DL797),)</f>
        <v/>
      </c>
      <c r="BQ797" s="128">
        <f>IFERROR(SUM($DM797:$DO797),)</f>
        <v/>
      </c>
      <c r="BR797" s="128">
        <f>IFERROR(SUM($DP797:$DR797),)</f>
        <v/>
      </c>
      <c r="BS797" s="128">
        <f>IFERROR(SUM($DS797:$DU797),)</f>
        <v/>
      </c>
      <c r="BT797" s="128">
        <f>IFERROR(AI797*$W797,)</f>
        <v/>
      </c>
      <c r="BU797" s="128">
        <f>IFERROR(AJ797*$W797,)</f>
        <v/>
      </c>
      <c r="BV797" s="128">
        <f>IFERROR(AK797*$W797,)</f>
        <v/>
      </c>
      <c r="BW797" s="128">
        <f>IFERROR(AL797*$W797,)</f>
        <v/>
      </c>
      <c r="BX797" s="128">
        <f>IFERROR(AM797*$W797,)</f>
        <v/>
      </c>
      <c r="BY797" s="128">
        <f>IFERROR(AN797*$W797,)</f>
        <v/>
      </c>
      <c r="BZ797" s="128">
        <f>IFERROR(AO797*$W797,)</f>
        <v/>
      </c>
      <c r="CA797" s="128">
        <f>IFERROR(AP797*$W797,)</f>
        <v/>
      </c>
      <c r="CB797" s="128">
        <f>IFERROR(AQ797*$W797,)</f>
        <v/>
      </c>
      <c r="CC797" s="128">
        <f>IFERROR(AR797*$W797,)</f>
        <v/>
      </c>
      <c r="CD797" s="128">
        <f>IFERROR(AS797*$W797,)</f>
        <v/>
      </c>
      <c r="CE797" s="128">
        <f>IFERROR(AT797*$W797,)</f>
        <v/>
      </c>
      <c r="CF797" s="128">
        <f>IFERROR(AU797*$W797,)</f>
        <v/>
      </c>
      <c r="CG797" s="128">
        <f>IFERROR(AV797*$W797,)</f>
        <v/>
      </c>
      <c r="CH797" s="128">
        <f>IFERROR(AW797*$W797,)</f>
        <v/>
      </c>
      <c r="CI797" s="128">
        <f>IFERROR(AX797*$W797,)</f>
        <v/>
      </c>
      <c r="CJ797" s="128">
        <f>IFERROR(AY797*$W797,)</f>
        <v/>
      </c>
      <c r="CK797" s="128">
        <f>IFERROR(AZ797*$W797,)</f>
        <v/>
      </c>
      <c r="CL797" s="129">
        <f>IFERROR(if($Y797=0,BA797*($W797/1.2),BA797*$Y797),"")</f>
        <v/>
      </c>
      <c r="CM797" s="129">
        <f>IFERROR(if($Y797=0,BB797*($W797/1.2),BB797*$Y797),"")</f>
        <v/>
      </c>
      <c r="CN797" s="129">
        <f>IFERROR(if($Y797=0,BC797*($W797/1.2),BC797*$Y797),"")</f>
        <v/>
      </c>
      <c r="CO797" s="130">
        <f>IFERROR(if($AA797=0,($W797/1.35)*BD797,BD797*$AA797),)</f>
        <v/>
      </c>
      <c r="CP797" s="130">
        <f>IFERROR(if($AA797=0,($W797/1.35)*BE797,BE797*$AA797),)</f>
        <v/>
      </c>
      <c r="CQ797" s="130">
        <f>IFERROR(if($AA797=0,($W797/1.35)*BF797,BF797*$AA797),)</f>
        <v/>
      </c>
      <c r="CR797" s="128">
        <f>IFERROR(if($AC797=0,($W797/0.74)*BG797,
BG797*$AC797),)</f>
        <v/>
      </c>
      <c r="CS797" s="128">
        <f>IFERROR(if($AC797=0,($W797/0.74)*BH797,
BH797*$AC797),)</f>
        <v/>
      </c>
      <c r="CT797" s="128">
        <f>IFERROR(if($AC797=0,($W797/0.74)*BI797,
BI797*$AC797),)</f>
        <v/>
      </c>
      <c r="CU797" s="128">
        <f>IFERROR(AI797*$V797,)</f>
        <v/>
      </c>
      <c r="CV797" s="128">
        <f>IFERROR(AJ797*$V797,)</f>
        <v/>
      </c>
      <c r="CW797" s="128">
        <f>IFERROR(AK797*$V797,)</f>
        <v/>
      </c>
      <c r="CX797" s="128">
        <f>IFERROR(AL797*$V797,)</f>
        <v/>
      </c>
      <c r="CY797" s="128">
        <f>IFERROR(AM797*$V797,)</f>
        <v/>
      </c>
      <c r="CZ797" s="128">
        <f>IFERROR(AN797*$V797,)</f>
        <v/>
      </c>
      <c r="DA797" s="128">
        <f>IFERROR(AO797*$V797,)</f>
        <v/>
      </c>
      <c r="DB797" s="128">
        <f>IFERROR(AP797*$V797,)</f>
        <v/>
      </c>
      <c r="DC797" s="128">
        <f>IFERROR(AQ797*$V797,)</f>
        <v/>
      </c>
      <c r="DD797" s="128">
        <f>IFERROR(AR797*$V797,)</f>
        <v/>
      </c>
      <c r="DE797" s="128">
        <f>IFERROR(AS797*$V797,)</f>
        <v/>
      </c>
      <c r="DF797" s="128">
        <f>IFERROR(AT797*$V797,)</f>
        <v/>
      </c>
      <c r="DG797" s="128">
        <f>IFERROR(AU797*$V797,)</f>
        <v/>
      </c>
      <c r="DH797" s="128">
        <f>IFERROR(AV797*$V797,)</f>
        <v/>
      </c>
      <c r="DI797" s="128">
        <f>IFERROR(AW797*$V797,)</f>
        <v/>
      </c>
      <c r="DJ797" s="128">
        <f>IFERROR(AX797*$V797,)</f>
        <v/>
      </c>
      <c r="DK797" s="128">
        <f>IFERROR(AY797*$V797,)</f>
        <v/>
      </c>
      <c r="DL797" s="128">
        <f>IFERROR(AZ797*$V797,)</f>
        <v/>
      </c>
      <c r="DM797" s="129">
        <f>IFERROR(if($X797=0,($V797/1.2)*BA797,
BA797*$X797),)</f>
        <v/>
      </c>
      <c r="DN797" s="129">
        <f>IFERROR(if($X797=0,($V797/1.2)*BB797,
BB797*$X797),)</f>
        <v/>
      </c>
      <c r="DO797" s="129">
        <f>IFERROR(if($X797=0,($V797/1.2)*BC797,
BC797*$X797),)</f>
        <v/>
      </c>
      <c r="DP797" s="130">
        <f>IFERROR(if($Z797=0,($V797/1.35)*BD797,
BD797*$Z797),)</f>
        <v/>
      </c>
      <c r="DQ797" s="130">
        <f>IFERROR(if($Z797=0,($V797/1.35)*BE797,
BE797*$Z797),)</f>
        <v/>
      </c>
      <c r="DR797" s="130">
        <f>IFERROR(if($Z797=0,($V797/1.35)*BF797,
BF797*$Z797),)</f>
        <v/>
      </c>
      <c r="DS797" s="128">
        <f>IFERROR(IF($AB797=0,($V797/0.74)*BG797,
BG797*$AB797),)</f>
        <v/>
      </c>
      <c r="DT797" s="128">
        <f>IFERROR(IF($AB797=0,($V797/0.74)*BH797,
BH797*$AB797),)</f>
        <v/>
      </c>
      <c r="DU797" s="128">
        <f>IFERROR(IF($AB797=0,($V797/0.74)*BI797,
BI797*$AB797),)</f>
        <v/>
      </c>
    </row>
    <row r="798" ht="131.25" customHeight="1" s="162">
      <c r="A798" s="115" t="n"/>
      <c r="B798" s="115" t="n"/>
      <c r="C798" s="115" t="n"/>
      <c r="D798" s="115" t="n"/>
      <c r="E798" s="115" t="n"/>
      <c r="F798" s="115" t="n"/>
      <c r="G798" s="115" t="n"/>
      <c r="H798" s="115" t="n"/>
      <c r="I798" s="115" t="n"/>
      <c r="J798" s="115" t="n"/>
      <c r="K798" s="115" t="n"/>
      <c r="L798" s="115" t="n"/>
      <c r="M798" s="115" t="n"/>
      <c r="N798" s="115" t="n"/>
      <c r="O798" s="115" t="n"/>
      <c r="P798" s="115" t="n"/>
      <c r="Q798" s="115" t="n"/>
      <c r="R798" s="115" t="n"/>
      <c r="S798" s="115" t="n"/>
      <c r="T798" s="115" t="n"/>
      <c r="U798" s="116" t="n"/>
      <c r="V798" s="116" t="n"/>
      <c r="W798" s="117" t="n"/>
      <c r="X798" s="118" t="n"/>
      <c r="Y798" s="119" t="n"/>
      <c r="Z798" s="120" t="n"/>
      <c r="AA798" s="121" t="n"/>
      <c r="AB798" s="122" t="n"/>
      <c r="AC798" s="117" t="n"/>
      <c r="AD798" s="123">
        <f>IF(SUM($AE798:$AH798)=0,"",SUM($AE798:$AH798))</f>
        <v/>
      </c>
      <c r="AE798" s="123">
        <f>iferror(IF(SUM($AI798:$AZ798)=0,"",SUM($AI798:$AZ798)),"")</f>
        <v/>
      </c>
      <c r="AF798" s="123">
        <f>iferror(IF(SUM($BA798:$BC798)=0,"",SUM($BA798:$BC798)),"")</f>
        <v/>
      </c>
      <c r="AG798" s="123">
        <f>iferror(IF(SUM($BD798:$BF798)=0,"",SUM($BD798:$BF798)),"")</f>
        <v/>
      </c>
      <c r="AH798" s="124">
        <f>iferror(IF(SUM($BG798:$BI798)=0,"",SUM($BG798:$BI798)),"")</f>
        <v/>
      </c>
      <c r="AI798" s="131" t="n"/>
      <c r="AJ798" s="132" t="n"/>
      <c r="AK798" s="132" t="n"/>
      <c r="AL798" s="132" t="n"/>
      <c r="AM798" s="132" t="n"/>
      <c r="AN798" s="132" t="n"/>
      <c r="AO798" s="132" t="n"/>
      <c r="AP798" s="132" t="n"/>
      <c r="AQ798" s="132" t="n"/>
      <c r="AR798" s="132" t="n"/>
      <c r="AS798" s="132" t="n"/>
      <c r="AT798" s="132" t="n"/>
      <c r="AU798" s="132" t="n"/>
      <c r="AV798" s="132" t="n"/>
      <c r="AW798" s="132" t="n"/>
      <c r="AX798" s="132" t="n"/>
      <c r="AY798" s="132" t="n"/>
      <c r="AZ798" s="133" t="n"/>
      <c r="BA798" s="131" t="n"/>
      <c r="BB798" s="132" t="n"/>
      <c r="BC798" s="133" t="n"/>
      <c r="BD798" s="131" t="n"/>
      <c r="BE798" s="132" t="n"/>
      <c r="BF798" s="133" t="n"/>
      <c r="BG798" s="131" t="n"/>
      <c r="BH798" s="132" t="n"/>
      <c r="BI798" s="132" t="n"/>
      <c r="BJ798" s="128">
        <f>iferror(SUM($BK798,($BL798*1.2),($BM798*1.35),($BN798*0.74)),)</f>
        <v/>
      </c>
      <c r="BK798" s="128">
        <f>IFERROR(SUM($BT798:$CK798),)</f>
        <v/>
      </c>
      <c r="BL798" s="129">
        <f>IFERROR(SUM($CL798:$CN798),)</f>
        <v/>
      </c>
      <c r="BM798" s="130">
        <f>IFERROR(SUM($CO798:$CQ798),)</f>
        <v/>
      </c>
      <c r="BN798" s="128">
        <f>IFERROR(SUM($CR798:$CT798),)</f>
        <v/>
      </c>
      <c r="BO798" s="128">
        <f>iferror(SUM($BP798,($BQ798*1.2),($BR798*1.35),($BS798*0.74)),)</f>
        <v/>
      </c>
      <c r="BP798" s="128">
        <f>IFERROR(SUM($CU798:$DL798),)</f>
        <v/>
      </c>
      <c r="BQ798" s="128">
        <f>IFERROR(SUM($DM798:$DO798),)</f>
        <v/>
      </c>
      <c r="BR798" s="128">
        <f>IFERROR(SUM($DP798:$DR798),)</f>
        <v/>
      </c>
      <c r="BS798" s="128">
        <f>IFERROR(SUM($DS798:$DU798),)</f>
        <v/>
      </c>
      <c r="BT798" s="128">
        <f>IFERROR(AI798*$W798,)</f>
        <v/>
      </c>
      <c r="BU798" s="128">
        <f>IFERROR(AJ798*$W798,)</f>
        <v/>
      </c>
      <c r="BV798" s="128">
        <f>IFERROR(AK798*$W798,)</f>
        <v/>
      </c>
      <c r="BW798" s="128">
        <f>IFERROR(AL798*$W798,)</f>
        <v/>
      </c>
      <c r="BX798" s="128">
        <f>IFERROR(AM798*$W798,)</f>
        <v/>
      </c>
      <c r="BY798" s="128">
        <f>IFERROR(AN798*$W798,)</f>
        <v/>
      </c>
      <c r="BZ798" s="128">
        <f>IFERROR(AO798*$W798,)</f>
        <v/>
      </c>
      <c r="CA798" s="128">
        <f>IFERROR(AP798*$W798,)</f>
        <v/>
      </c>
      <c r="CB798" s="128">
        <f>IFERROR(AQ798*$W798,)</f>
        <v/>
      </c>
      <c r="CC798" s="128">
        <f>IFERROR(AR798*$W798,)</f>
        <v/>
      </c>
      <c r="CD798" s="128">
        <f>IFERROR(AS798*$W798,)</f>
        <v/>
      </c>
      <c r="CE798" s="128">
        <f>IFERROR(AT798*$W798,)</f>
        <v/>
      </c>
      <c r="CF798" s="128">
        <f>IFERROR(AU798*$W798,)</f>
        <v/>
      </c>
      <c r="CG798" s="128">
        <f>IFERROR(AV798*$W798,)</f>
        <v/>
      </c>
      <c r="CH798" s="128">
        <f>IFERROR(AW798*$W798,)</f>
        <v/>
      </c>
      <c r="CI798" s="128">
        <f>IFERROR(AX798*$W798,)</f>
        <v/>
      </c>
      <c r="CJ798" s="128">
        <f>IFERROR(AY798*$W798,)</f>
        <v/>
      </c>
      <c r="CK798" s="128">
        <f>IFERROR(AZ798*$W798,)</f>
        <v/>
      </c>
      <c r="CL798" s="129">
        <f>IFERROR(if($Y798=0,BA798*($W798/1.2),BA798*$Y798),"")</f>
        <v/>
      </c>
      <c r="CM798" s="129">
        <f>IFERROR(if($Y798=0,BB798*($W798/1.2),BB798*$Y798),"")</f>
        <v/>
      </c>
      <c r="CN798" s="129">
        <f>IFERROR(if($Y798=0,BC798*($W798/1.2),BC798*$Y798),"")</f>
        <v/>
      </c>
      <c r="CO798" s="130">
        <f>IFERROR(if($AA798=0,($W798/1.35)*BD798,BD798*$AA798),)</f>
        <v/>
      </c>
      <c r="CP798" s="130">
        <f>IFERROR(if($AA798=0,($W798/1.35)*BE798,BE798*$AA798),)</f>
        <v/>
      </c>
      <c r="CQ798" s="130">
        <f>IFERROR(if($AA798=0,($W798/1.35)*BF798,BF798*$AA798),)</f>
        <v/>
      </c>
      <c r="CR798" s="128">
        <f>IFERROR(if($AC798=0,($W798/0.74)*BG798,
BG798*$AC798),)</f>
        <v/>
      </c>
      <c r="CS798" s="128">
        <f>IFERROR(if($AC798=0,($W798/0.74)*BH798,
BH798*$AC798),)</f>
        <v/>
      </c>
      <c r="CT798" s="128">
        <f>IFERROR(if($AC798=0,($W798/0.74)*BI798,
BI798*$AC798),)</f>
        <v/>
      </c>
      <c r="CU798" s="128">
        <f>IFERROR(AI798*$V798,)</f>
        <v/>
      </c>
      <c r="CV798" s="128">
        <f>IFERROR(AJ798*$V798,)</f>
        <v/>
      </c>
      <c r="CW798" s="128">
        <f>IFERROR(AK798*$V798,)</f>
        <v/>
      </c>
      <c r="CX798" s="128">
        <f>IFERROR(AL798*$V798,)</f>
        <v/>
      </c>
      <c r="CY798" s="128">
        <f>IFERROR(AM798*$V798,)</f>
        <v/>
      </c>
      <c r="CZ798" s="128">
        <f>IFERROR(AN798*$V798,)</f>
        <v/>
      </c>
      <c r="DA798" s="128">
        <f>IFERROR(AO798*$V798,)</f>
        <v/>
      </c>
      <c r="DB798" s="128">
        <f>IFERROR(AP798*$V798,)</f>
        <v/>
      </c>
      <c r="DC798" s="128">
        <f>IFERROR(AQ798*$V798,)</f>
        <v/>
      </c>
      <c r="DD798" s="128">
        <f>IFERROR(AR798*$V798,)</f>
        <v/>
      </c>
      <c r="DE798" s="128">
        <f>IFERROR(AS798*$V798,)</f>
        <v/>
      </c>
      <c r="DF798" s="128">
        <f>IFERROR(AT798*$V798,)</f>
        <v/>
      </c>
      <c r="DG798" s="128">
        <f>IFERROR(AU798*$V798,)</f>
        <v/>
      </c>
      <c r="DH798" s="128">
        <f>IFERROR(AV798*$V798,)</f>
        <v/>
      </c>
      <c r="DI798" s="128">
        <f>IFERROR(AW798*$V798,)</f>
        <v/>
      </c>
      <c r="DJ798" s="128">
        <f>IFERROR(AX798*$V798,)</f>
        <v/>
      </c>
      <c r="DK798" s="128">
        <f>IFERROR(AY798*$V798,)</f>
        <v/>
      </c>
      <c r="DL798" s="128">
        <f>IFERROR(AZ798*$V798,)</f>
        <v/>
      </c>
      <c r="DM798" s="129">
        <f>IFERROR(if($X798=0,($V798/1.2)*BA798,
BA798*$X798),)</f>
        <v/>
      </c>
      <c r="DN798" s="129">
        <f>IFERROR(if($X798=0,($V798/1.2)*BB798,
BB798*$X798),)</f>
        <v/>
      </c>
      <c r="DO798" s="129">
        <f>IFERROR(if($X798=0,($V798/1.2)*BC798,
BC798*$X798),)</f>
        <v/>
      </c>
      <c r="DP798" s="130">
        <f>IFERROR(if($Z798=0,($V798/1.35)*BD798,
BD798*$Z798),)</f>
        <v/>
      </c>
      <c r="DQ798" s="130">
        <f>IFERROR(if($Z798=0,($V798/1.35)*BE798,
BE798*$Z798),)</f>
        <v/>
      </c>
      <c r="DR798" s="130">
        <f>IFERROR(if($Z798=0,($V798/1.35)*BF798,
BF798*$Z798),)</f>
        <v/>
      </c>
      <c r="DS798" s="128">
        <f>IFERROR(IF($AB798=0,($V798/0.74)*BG798,
BG798*$AB798),)</f>
        <v/>
      </c>
      <c r="DT798" s="128">
        <f>IFERROR(IF($AB798=0,($V798/0.74)*BH798,
BH798*$AB798),)</f>
        <v/>
      </c>
      <c r="DU798" s="128">
        <f>IFERROR(IF($AB798=0,($V798/0.74)*BI798,
BI798*$AB798),)</f>
        <v/>
      </c>
    </row>
    <row r="799" ht="131.25" customHeight="1" s="162">
      <c r="A799" s="115" t="n"/>
      <c r="B799" s="115" t="n"/>
      <c r="C799" s="115" t="n"/>
      <c r="D799" s="115" t="n"/>
      <c r="E799" s="115" t="n"/>
      <c r="F799" s="115" t="n"/>
      <c r="G799" s="115" t="n"/>
      <c r="H799" s="115" t="n"/>
      <c r="I799" s="115" t="n"/>
      <c r="J799" s="115" t="n"/>
      <c r="K799" s="115" t="n"/>
      <c r="L799" s="115" t="n"/>
      <c r="M799" s="115" t="n"/>
      <c r="N799" s="115" t="n"/>
      <c r="O799" s="115" t="n"/>
      <c r="P799" s="115" t="n"/>
      <c r="Q799" s="115" t="n"/>
      <c r="R799" s="115" t="n"/>
      <c r="S799" s="115" t="n"/>
      <c r="T799" s="115" t="n"/>
      <c r="U799" s="116" t="n"/>
      <c r="V799" s="116" t="n"/>
      <c r="W799" s="117" t="n"/>
      <c r="X799" s="118" t="n"/>
      <c r="Y799" s="119" t="n"/>
      <c r="Z799" s="120" t="n"/>
      <c r="AA799" s="121" t="n"/>
      <c r="AB799" s="122" t="n"/>
      <c r="AC799" s="117" t="n"/>
      <c r="AD799" s="123">
        <f>IF(SUM($AE799:$AH799)=0,"",SUM($AE799:$AH799))</f>
        <v/>
      </c>
      <c r="AE799" s="123">
        <f>iferror(IF(SUM($AI799:$AZ799)=0,"",SUM($AI799:$AZ799)),"")</f>
        <v/>
      </c>
      <c r="AF799" s="123">
        <f>iferror(IF(SUM($BA799:$BC799)=0,"",SUM($BA799:$BC799)),"")</f>
        <v/>
      </c>
      <c r="AG799" s="123">
        <f>iferror(IF(SUM($BD799:$BF799)=0,"",SUM($BD799:$BF799)),"")</f>
        <v/>
      </c>
      <c r="AH799" s="124">
        <f>iferror(IF(SUM($BG799:$BI799)=0,"",SUM($BG799:$BI799)),"")</f>
        <v/>
      </c>
      <c r="AI799" s="131" t="n"/>
      <c r="AJ799" s="132" t="n"/>
      <c r="AK799" s="132" t="n"/>
      <c r="AL799" s="132" t="n"/>
      <c r="AM799" s="132" t="n"/>
      <c r="AN799" s="132" t="n"/>
      <c r="AO799" s="132" t="n"/>
      <c r="AP799" s="132" t="n"/>
      <c r="AQ799" s="132" t="n"/>
      <c r="AR799" s="132" t="n"/>
      <c r="AS799" s="132" t="n"/>
      <c r="AT799" s="132" t="n"/>
      <c r="AU799" s="132" t="n"/>
      <c r="AV799" s="132" t="n"/>
      <c r="AW799" s="132" t="n"/>
      <c r="AX799" s="132" t="n"/>
      <c r="AY799" s="132" t="n"/>
      <c r="AZ799" s="133" t="n"/>
      <c r="BA799" s="131" t="n"/>
      <c r="BB799" s="132" t="n"/>
      <c r="BC799" s="133" t="n"/>
      <c r="BD799" s="131" t="n"/>
      <c r="BE799" s="132" t="n"/>
      <c r="BF799" s="133" t="n"/>
      <c r="BG799" s="131" t="n"/>
      <c r="BH799" s="132" t="n"/>
      <c r="BI799" s="132" t="n"/>
      <c r="BJ799" s="128">
        <f>iferror(SUM($BK799,($BL799*1.2),($BM799*1.35),($BN799*0.74)),)</f>
        <v/>
      </c>
      <c r="BK799" s="128">
        <f>IFERROR(SUM($BT799:$CK799),)</f>
        <v/>
      </c>
      <c r="BL799" s="129">
        <f>IFERROR(SUM($CL799:$CN799),)</f>
        <v/>
      </c>
      <c r="BM799" s="130">
        <f>IFERROR(SUM($CO799:$CQ799),)</f>
        <v/>
      </c>
      <c r="BN799" s="128">
        <f>IFERROR(SUM($CR799:$CT799),)</f>
        <v/>
      </c>
      <c r="BO799" s="128">
        <f>iferror(SUM($BP799,($BQ799*1.2),($BR799*1.35),($BS799*0.74)),)</f>
        <v/>
      </c>
      <c r="BP799" s="128">
        <f>IFERROR(SUM($CU799:$DL799),)</f>
        <v/>
      </c>
      <c r="BQ799" s="128">
        <f>IFERROR(SUM($DM799:$DO799),)</f>
        <v/>
      </c>
      <c r="BR799" s="128">
        <f>IFERROR(SUM($DP799:$DR799),)</f>
        <v/>
      </c>
      <c r="BS799" s="128">
        <f>IFERROR(SUM($DS799:$DU799),)</f>
        <v/>
      </c>
      <c r="BT799" s="128">
        <f>IFERROR(AI799*$W799,)</f>
        <v/>
      </c>
      <c r="BU799" s="128">
        <f>IFERROR(AJ799*$W799,)</f>
        <v/>
      </c>
      <c r="BV799" s="128">
        <f>IFERROR(AK799*$W799,)</f>
        <v/>
      </c>
      <c r="BW799" s="128">
        <f>IFERROR(AL799*$W799,)</f>
        <v/>
      </c>
      <c r="BX799" s="128">
        <f>IFERROR(AM799*$W799,)</f>
        <v/>
      </c>
      <c r="BY799" s="128">
        <f>IFERROR(AN799*$W799,)</f>
        <v/>
      </c>
      <c r="BZ799" s="128">
        <f>IFERROR(AO799*$W799,)</f>
        <v/>
      </c>
      <c r="CA799" s="128">
        <f>IFERROR(AP799*$W799,)</f>
        <v/>
      </c>
      <c r="CB799" s="128">
        <f>IFERROR(AQ799*$W799,)</f>
        <v/>
      </c>
      <c r="CC799" s="128">
        <f>IFERROR(AR799*$W799,)</f>
        <v/>
      </c>
      <c r="CD799" s="128">
        <f>IFERROR(AS799*$W799,)</f>
        <v/>
      </c>
      <c r="CE799" s="128">
        <f>IFERROR(AT799*$W799,)</f>
        <v/>
      </c>
      <c r="CF799" s="128">
        <f>IFERROR(AU799*$W799,)</f>
        <v/>
      </c>
      <c r="CG799" s="128">
        <f>IFERROR(AV799*$W799,)</f>
        <v/>
      </c>
      <c r="CH799" s="128">
        <f>IFERROR(AW799*$W799,)</f>
        <v/>
      </c>
      <c r="CI799" s="128">
        <f>IFERROR(AX799*$W799,)</f>
        <v/>
      </c>
      <c r="CJ799" s="128">
        <f>IFERROR(AY799*$W799,)</f>
        <v/>
      </c>
      <c r="CK799" s="128">
        <f>IFERROR(AZ799*$W799,)</f>
        <v/>
      </c>
      <c r="CL799" s="129">
        <f>IFERROR(if($Y799=0,BA799*($W799/1.2),BA799*$Y799),"")</f>
        <v/>
      </c>
      <c r="CM799" s="129">
        <f>IFERROR(if($Y799=0,BB799*($W799/1.2),BB799*$Y799),"")</f>
        <v/>
      </c>
      <c r="CN799" s="129">
        <f>IFERROR(if($Y799=0,BC799*($W799/1.2),BC799*$Y799),"")</f>
        <v/>
      </c>
      <c r="CO799" s="130">
        <f>IFERROR(if($AA799=0,($W799/1.35)*BD799,BD799*$AA799),)</f>
        <v/>
      </c>
      <c r="CP799" s="130">
        <f>IFERROR(if($AA799=0,($W799/1.35)*BE799,BE799*$AA799),)</f>
        <v/>
      </c>
      <c r="CQ799" s="130">
        <f>IFERROR(if($AA799=0,($W799/1.35)*BF799,BF799*$AA799),)</f>
        <v/>
      </c>
      <c r="CR799" s="128">
        <f>IFERROR(if($AC799=0,($W799/0.74)*BG799,
BG799*$AC799),)</f>
        <v/>
      </c>
      <c r="CS799" s="128">
        <f>IFERROR(if($AC799=0,($W799/0.74)*BH799,
BH799*$AC799),)</f>
        <v/>
      </c>
      <c r="CT799" s="128">
        <f>IFERROR(if($AC799=0,($W799/0.74)*BI799,
BI799*$AC799),)</f>
        <v/>
      </c>
      <c r="CU799" s="128">
        <f>IFERROR(AI799*$V799,)</f>
        <v/>
      </c>
      <c r="CV799" s="128">
        <f>IFERROR(AJ799*$V799,)</f>
        <v/>
      </c>
      <c r="CW799" s="128">
        <f>IFERROR(AK799*$V799,)</f>
        <v/>
      </c>
      <c r="CX799" s="128">
        <f>IFERROR(AL799*$V799,)</f>
        <v/>
      </c>
      <c r="CY799" s="128">
        <f>IFERROR(AM799*$V799,)</f>
        <v/>
      </c>
      <c r="CZ799" s="128">
        <f>IFERROR(AN799*$V799,)</f>
        <v/>
      </c>
      <c r="DA799" s="128">
        <f>IFERROR(AO799*$V799,)</f>
        <v/>
      </c>
      <c r="DB799" s="128">
        <f>IFERROR(AP799*$V799,)</f>
        <v/>
      </c>
      <c r="DC799" s="128">
        <f>IFERROR(AQ799*$V799,)</f>
        <v/>
      </c>
      <c r="DD799" s="128">
        <f>IFERROR(AR799*$V799,)</f>
        <v/>
      </c>
      <c r="DE799" s="128">
        <f>IFERROR(AS799*$V799,)</f>
        <v/>
      </c>
      <c r="DF799" s="128">
        <f>IFERROR(AT799*$V799,)</f>
        <v/>
      </c>
      <c r="DG799" s="128">
        <f>IFERROR(AU799*$V799,)</f>
        <v/>
      </c>
      <c r="DH799" s="128">
        <f>IFERROR(AV799*$V799,)</f>
        <v/>
      </c>
      <c r="DI799" s="128">
        <f>IFERROR(AW799*$V799,)</f>
        <v/>
      </c>
      <c r="DJ799" s="128">
        <f>IFERROR(AX799*$V799,)</f>
        <v/>
      </c>
      <c r="DK799" s="128">
        <f>IFERROR(AY799*$V799,)</f>
        <v/>
      </c>
      <c r="DL799" s="128">
        <f>IFERROR(AZ799*$V799,)</f>
        <v/>
      </c>
      <c r="DM799" s="129">
        <f>IFERROR(if($X799=0,($V799/1.2)*BA799,
BA799*$X799),)</f>
        <v/>
      </c>
      <c r="DN799" s="129">
        <f>IFERROR(if($X799=0,($V799/1.2)*BB799,
BB799*$X799),)</f>
        <v/>
      </c>
      <c r="DO799" s="129">
        <f>IFERROR(if($X799=0,($V799/1.2)*BC799,
BC799*$X799),)</f>
        <v/>
      </c>
      <c r="DP799" s="130">
        <f>IFERROR(if($Z799=0,($V799/1.35)*BD799,
BD799*$Z799),)</f>
        <v/>
      </c>
      <c r="DQ799" s="130">
        <f>IFERROR(if($Z799=0,($V799/1.35)*BE799,
BE799*$Z799),)</f>
        <v/>
      </c>
      <c r="DR799" s="130">
        <f>IFERROR(if($Z799=0,($V799/1.35)*BF799,
BF799*$Z799),)</f>
        <v/>
      </c>
      <c r="DS799" s="128">
        <f>IFERROR(IF($AB799=0,($V799/0.74)*BG799,
BG799*$AB799),)</f>
        <v/>
      </c>
      <c r="DT799" s="128">
        <f>IFERROR(IF($AB799=0,($V799/0.74)*BH799,
BH799*$AB799),)</f>
        <v/>
      </c>
      <c r="DU799" s="128">
        <f>IFERROR(IF($AB799=0,($V799/0.74)*BI799,
BI799*$AB799),)</f>
        <v/>
      </c>
    </row>
    <row r="800" ht="131.25" customHeight="1" s="162">
      <c r="A800" s="115" t="n"/>
      <c r="B800" s="115" t="n"/>
      <c r="C800" s="115" t="n"/>
      <c r="D800" s="115" t="n"/>
      <c r="E800" s="115" t="n"/>
      <c r="F800" s="115" t="n"/>
      <c r="G800" s="115" t="n"/>
      <c r="H800" s="115" t="n"/>
      <c r="I800" s="115" t="n"/>
      <c r="J800" s="115" t="n"/>
      <c r="K800" s="115" t="n"/>
      <c r="L800" s="115" t="n"/>
      <c r="M800" s="115" t="n"/>
      <c r="N800" s="115" t="n"/>
      <c r="O800" s="115" t="n"/>
      <c r="P800" s="115" t="n"/>
      <c r="Q800" s="115" t="n"/>
      <c r="R800" s="115" t="n"/>
      <c r="S800" s="115" t="n"/>
      <c r="T800" s="115" t="n"/>
      <c r="U800" s="116" t="n"/>
      <c r="V800" s="116" t="n"/>
      <c r="W800" s="117" t="n"/>
      <c r="X800" s="118" t="n"/>
      <c r="Y800" s="119" t="n"/>
      <c r="Z800" s="120" t="n"/>
      <c r="AA800" s="121" t="n"/>
      <c r="AB800" s="122" t="n"/>
      <c r="AC800" s="117" t="n"/>
      <c r="AD800" s="123">
        <f>IF(SUM($AE800:$AH800)=0,"",SUM($AE800:$AH800))</f>
        <v/>
      </c>
      <c r="AE800" s="123">
        <f>iferror(IF(SUM($AI800:$AZ800)=0,"",SUM($AI800:$AZ800)),"")</f>
        <v/>
      </c>
      <c r="AF800" s="123">
        <f>iferror(IF(SUM($BA800:$BC800)=0,"",SUM($BA800:$BC800)),"")</f>
        <v/>
      </c>
      <c r="AG800" s="123">
        <f>iferror(IF(SUM($BD800:$BF800)=0,"",SUM($BD800:$BF800)),"")</f>
        <v/>
      </c>
      <c r="AH800" s="124">
        <f>iferror(IF(SUM($BG800:$BI800)=0,"",SUM($BG800:$BI800)),"")</f>
        <v/>
      </c>
      <c r="AI800" s="131" t="n"/>
      <c r="AJ800" s="132" t="n"/>
      <c r="AK800" s="132" t="n"/>
      <c r="AL800" s="132" t="n"/>
      <c r="AM800" s="132" t="n"/>
      <c r="AN800" s="132" t="n"/>
      <c r="AO800" s="132" t="n"/>
      <c r="AP800" s="132" t="n"/>
      <c r="AQ800" s="132" t="n"/>
      <c r="AR800" s="132" t="n"/>
      <c r="AS800" s="132" t="n"/>
      <c r="AT800" s="132" t="n"/>
      <c r="AU800" s="132" t="n"/>
      <c r="AV800" s="132" t="n"/>
      <c r="AW800" s="132" t="n"/>
      <c r="AX800" s="132" t="n"/>
      <c r="AY800" s="132" t="n"/>
      <c r="AZ800" s="133" t="n"/>
      <c r="BA800" s="131" t="n"/>
      <c r="BB800" s="132" t="n"/>
      <c r="BC800" s="133" t="n"/>
      <c r="BD800" s="131" t="n"/>
      <c r="BE800" s="132" t="n"/>
      <c r="BF800" s="133" t="n"/>
      <c r="BG800" s="131" t="n"/>
      <c r="BH800" s="132" t="n"/>
      <c r="BI800" s="132" t="n"/>
      <c r="BJ800" s="128">
        <f>iferror(SUM($BK800,($BL800*1.2),($BM800*1.35),($BN800*0.74)),)</f>
        <v/>
      </c>
      <c r="BK800" s="128">
        <f>IFERROR(SUM($BT800:$CK800),)</f>
        <v/>
      </c>
      <c r="BL800" s="129">
        <f>IFERROR(SUM($CL800:$CN800),)</f>
        <v/>
      </c>
      <c r="BM800" s="130">
        <f>IFERROR(SUM($CO800:$CQ800),)</f>
        <v/>
      </c>
      <c r="BN800" s="128">
        <f>IFERROR(SUM($CR800:$CT800),)</f>
        <v/>
      </c>
      <c r="BO800" s="128">
        <f>iferror(SUM($BP800,($BQ800*1.2),($BR800*1.35),($BS800*0.74)),)</f>
        <v/>
      </c>
      <c r="BP800" s="128">
        <f>IFERROR(SUM($CU800:$DL800),)</f>
        <v/>
      </c>
      <c r="BQ800" s="128">
        <f>IFERROR(SUM($DM800:$DO800),)</f>
        <v/>
      </c>
      <c r="BR800" s="128">
        <f>IFERROR(SUM($DP800:$DR800),)</f>
        <v/>
      </c>
      <c r="BS800" s="128">
        <f>IFERROR(SUM($DS800:$DU800),)</f>
        <v/>
      </c>
      <c r="BT800" s="128">
        <f>IFERROR(AI800*$W800,)</f>
        <v/>
      </c>
      <c r="BU800" s="128">
        <f>IFERROR(AJ800*$W800,)</f>
        <v/>
      </c>
      <c r="BV800" s="128">
        <f>IFERROR(AK800*$W800,)</f>
        <v/>
      </c>
      <c r="BW800" s="128">
        <f>IFERROR(AL800*$W800,)</f>
        <v/>
      </c>
      <c r="BX800" s="128">
        <f>IFERROR(AM800*$W800,)</f>
        <v/>
      </c>
      <c r="BY800" s="128">
        <f>IFERROR(AN800*$W800,)</f>
        <v/>
      </c>
      <c r="BZ800" s="128">
        <f>IFERROR(AO800*$W800,)</f>
        <v/>
      </c>
      <c r="CA800" s="128">
        <f>IFERROR(AP800*$W800,)</f>
        <v/>
      </c>
      <c r="CB800" s="128">
        <f>IFERROR(AQ800*$W800,)</f>
        <v/>
      </c>
      <c r="CC800" s="128">
        <f>IFERROR(AR800*$W800,)</f>
        <v/>
      </c>
      <c r="CD800" s="128">
        <f>IFERROR(AS800*$W800,)</f>
        <v/>
      </c>
      <c r="CE800" s="128">
        <f>IFERROR(AT800*$W800,)</f>
        <v/>
      </c>
      <c r="CF800" s="128">
        <f>IFERROR(AU800*$W800,)</f>
        <v/>
      </c>
      <c r="CG800" s="128">
        <f>IFERROR(AV800*$W800,)</f>
        <v/>
      </c>
      <c r="CH800" s="128">
        <f>IFERROR(AW800*$W800,)</f>
        <v/>
      </c>
      <c r="CI800" s="128">
        <f>IFERROR(AX800*$W800,)</f>
        <v/>
      </c>
      <c r="CJ800" s="128">
        <f>IFERROR(AY800*$W800,)</f>
        <v/>
      </c>
      <c r="CK800" s="128">
        <f>IFERROR(AZ800*$W800,)</f>
        <v/>
      </c>
      <c r="CL800" s="129">
        <f>IFERROR(if($Y800=0,BA800*($W800/1.2),BA800*$Y800),"")</f>
        <v/>
      </c>
      <c r="CM800" s="129">
        <f>IFERROR(if($Y800=0,BB800*($W800/1.2),BB800*$Y800),"")</f>
        <v/>
      </c>
      <c r="CN800" s="129">
        <f>IFERROR(if($Y800=0,BC800*($W800/1.2),BC800*$Y800),"")</f>
        <v/>
      </c>
      <c r="CO800" s="130">
        <f>IFERROR(if($AA800=0,($W800/1.35)*BD800,BD800*$AA800),)</f>
        <v/>
      </c>
      <c r="CP800" s="130">
        <f>IFERROR(if($AA800=0,($W800/1.35)*BE800,BE800*$AA800),)</f>
        <v/>
      </c>
      <c r="CQ800" s="130">
        <f>IFERROR(if($AA800=0,($W800/1.35)*BF800,BF800*$AA800),)</f>
        <v/>
      </c>
      <c r="CR800" s="128">
        <f>IFERROR(if($AC800=0,($W800/0.74)*BG800,
BG800*$AC800),)</f>
        <v/>
      </c>
      <c r="CS800" s="128">
        <f>IFERROR(if($AC800=0,($W800/0.74)*BH800,
BH800*$AC800),)</f>
        <v/>
      </c>
      <c r="CT800" s="128">
        <f>IFERROR(if($AC800=0,($W800/0.74)*BI800,
BI800*$AC800),)</f>
        <v/>
      </c>
      <c r="CU800" s="128">
        <f>IFERROR(AI800*$V800,)</f>
        <v/>
      </c>
      <c r="CV800" s="128">
        <f>IFERROR(AJ800*$V800,)</f>
        <v/>
      </c>
      <c r="CW800" s="128">
        <f>IFERROR(AK800*$V800,)</f>
        <v/>
      </c>
      <c r="CX800" s="128">
        <f>IFERROR(AL800*$V800,)</f>
        <v/>
      </c>
      <c r="CY800" s="128">
        <f>IFERROR(AM800*$V800,)</f>
        <v/>
      </c>
      <c r="CZ800" s="128">
        <f>IFERROR(AN800*$V800,)</f>
        <v/>
      </c>
      <c r="DA800" s="128">
        <f>IFERROR(AO800*$V800,)</f>
        <v/>
      </c>
      <c r="DB800" s="128">
        <f>IFERROR(AP800*$V800,)</f>
        <v/>
      </c>
      <c r="DC800" s="128">
        <f>IFERROR(AQ800*$V800,)</f>
        <v/>
      </c>
      <c r="DD800" s="128">
        <f>IFERROR(AR800*$V800,)</f>
        <v/>
      </c>
      <c r="DE800" s="128">
        <f>IFERROR(AS800*$V800,)</f>
        <v/>
      </c>
      <c r="DF800" s="128">
        <f>IFERROR(AT800*$V800,)</f>
        <v/>
      </c>
      <c r="DG800" s="128">
        <f>IFERROR(AU800*$V800,)</f>
        <v/>
      </c>
      <c r="DH800" s="128">
        <f>IFERROR(AV800*$V800,)</f>
        <v/>
      </c>
      <c r="DI800" s="128">
        <f>IFERROR(AW800*$V800,)</f>
        <v/>
      </c>
      <c r="DJ800" s="128">
        <f>IFERROR(AX800*$V800,)</f>
        <v/>
      </c>
      <c r="DK800" s="128">
        <f>IFERROR(AY800*$V800,)</f>
        <v/>
      </c>
      <c r="DL800" s="128">
        <f>IFERROR(AZ800*$V800,)</f>
        <v/>
      </c>
      <c r="DM800" s="129">
        <f>IFERROR(if($X800=0,($V800/1.2)*BA800,
BA800*$X800),)</f>
        <v/>
      </c>
      <c r="DN800" s="129">
        <f>IFERROR(if($X800=0,($V800/1.2)*BB800,
BB800*$X800),)</f>
        <v/>
      </c>
      <c r="DO800" s="129">
        <f>IFERROR(if($X800=0,($V800/1.2)*BC800,
BC800*$X800),)</f>
        <v/>
      </c>
      <c r="DP800" s="130">
        <f>IFERROR(if($Z800=0,($V800/1.35)*BD800,
BD800*$Z800),)</f>
        <v/>
      </c>
      <c r="DQ800" s="130">
        <f>IFERROR(if($Z800=0,($V800/1.35)*BE800,
BE800*$Z800),)</f>
        <v/>
      </c>
      <c r="DR800" s="130">
        <f>IFERROR(if($Z800=0,($V800/1.35)*BF800,
BF800*$Z800),)</f>
        <v/>
      </c>
      <c r="DS800" s="128">
        <f>IFERROR(IF($AB800=0,($V800/0.74)*BG800,
BG800*$AB800),)</f>
        <v/>
      </c>
      <c r="DT800" s="128">
        <f>IFERROR(IF($AB800=0,($V800/0.74)*BH800,
BH800*$AB800),)</f>
        <v/>
      </c>
      <c r="DU800" s="128">
        <f>IFERROR(IF($AB800=0,($V800/0.74)*BI800,
BI800*$AB800),)</f>
        <v/>
      </c>
    </row>
    <row r="801" ht="131.25" customHeight="1" s="162">
      <c r="A801" s="115" t="n"/>
      <c r="B801" s="115" t="n"/>
      <c r="C801" s="115" t="n"/>
      <c r="D801" s="115" t="n"/>
      <c r="E801" s="115" t="n"/>
      <c r="F801" s="115" t="n"/>
      <c r="G801" s="115" t="n"/>
      <c r="H801" s="115" t="n"/>
      <c r="I801" s="115" t="n"/>
      <c r="J801" s="115" t="n"/>
      <c r="K801" s="115" t="n"/>
      <c r="L801" s="115" t="n"/>
      <c r="M801" s="115" t="n"/>
      <c r="N801" s="115" t="n"/>
      <c r="O801" s="115" t="n"/>
      <c r="P801" s="115" t="n"/>
      <c r="Q801" s="115" t="n"/>
      <c r="R801" s="115" t="n"/>
      <c r="S801" s="115" t="n"/>
      <c r="T801" s="115" t="n"/>
      <c r="U801" s="116" t="n"/>
      <c r="V801" s="116" t="n"/>
      <c r="W801" s="117" t="n"/>
      <c r="X801" s="118" t="n"/>
      <c r="Y801" s="119" t="n"/>
      <c r="Z801" s="120" t="n"/>
      <c r="AA801" s="121" t="n"/>
      <c r="AB801" s="122" t="n"/>
      <c r="AC801" s="117" t="n"/>
      <c r="AD801" s="123">
        <f>IF(SUM($AE801:$AH801)=0,"",SUM($AE801:$AH801))</f>
        <v/>
      </c>
      <c r="AE801" s="123">
        <f>iferror(IF(SUM($AI801:$AZ801)=0,"",SUM($AI801:$AZ801)),"")</f>
        <v/>
      </c>
      <c r="AF801" s="123">
        <f>iferror(IF(SUM($BA801:$BC801)=0,"",SUM($BA801:$BC801)),"")</f>
        <v/>
      </c>
      <c r="AG801" s="123">
        <f>iferror(IF(SUM($BD801:$BF801)=0,"",SUM($BD801:$BF801)),"")</f>
        <v/>
      </c>
      <c r="AH801" s="124">
        <f>iferror(IF(SUM($BG801:$BI801)=0,"",SUM($BG801:$BI801)),"")</f>
        <v/>
      </c>
      <c r="AI801" s="131" t="n"/>
      <c r="AJ801" s="132" t="n"/>
      <c r="AK801" s="132" t="n"/>
      <c r="AL801" s="132" t="n"/>
      <c r="AM801" s="132" t="n"/>
      <c r="AN801" s="132" t="n"/>
      <c r="AO801" s="132" t="n"/>
      <c r="AP801" s="132" t="n"/>
      <c r="AQ801" s="132" t="n"/>
      <c r="AR801" s="132" t="n"/>
      <c r="AS801" s="132" t="n"/>
      <c r="AT801" s="132" t="n"/>
      <c r="AU801" s="132" t="n"/>
      <c r="AV801" s="132" t="n"/>
      <c r="AW801" s="132" t="n"/>
      <c r="AX801" s="132" t="n"/>
      <c r="AY801" s="132" t="n"/>
      <c r="AZ801" s="133" t="n"/>
      <c r="BA801" s="131" t="n"/>
      <c r="BB801" s="132" t="n"/>
      <c r="BC801" s="133" t="n"/>
      <c r="BD801" s="131" t="n"/>
      <c r="BE801" s="132" t="n"/>
      <c r="BF801" s="133" t="n"/>
      <c r="BG801" s="131" t="n"/>
      <c r="BH801" s="132" t="n"/>
      <c r="BI801" s="132" t="n"/>
      <c r="BJ801" s="128">
        <f>iferror(SUM($BK801,($BL801*1.2),($BM801*1.35),($BN801*0.74)),)</f>
        <v/>
      </c>
      <c r="BK801" s="128">
        <f>IFERROR(SUM($BT801:$CK801),)</f>
        <v/>
      </c>
      <c r="BL801" s="129">
        <f>IFERROR(SUM($CL801:$CN801),)</f>
        <v/>
      </c>
      <c r="BM801" s="130">
        <f>IFERROR(SUM($CO801:$CQ801),)</f>
        <v/>
      </c>
      <c r="BN801" s="128">
        <f>IFERROR(SUM($CR801:$CT801),)</f>
        <v/>
      </c>
      <c r="BO801" s="128">
        <f>iferror(SUM($BP801,($BQ801*1.2),($BR801*1.35),($BS801*0.74)),)</f>
        <v/>
      </c>
      <c r="BP801" s="128">
        <f>IFERROR(SUM($CU801:$DL801),)</f>
        <v/>
      </c>
      <c r="BQ801" s="128">
        <f>IFERROR(SUM($DM801:$DO801),)</f>
        <v/>
      </c>
      <c r="BR801" s="128">
        <f>IFERROR(SUM($DP801:$DR801),)</f>
        <v/>
      </c>
      <c r="BS801" s="128">
        <f>IFERROR(SUM($DS801:$DU801),)</f>
        <v/>
      </c>
      <c r="BT801" s="128">
        <f>IFERROR(AI801*$W801,)</f>
        <v/>
      </c>
      <c r="BU801" s="128">
        <f>IFERROR(AJ801*$W801,)</f>
        <v/>
      </c>
      <c r="BV801" s="128">
        <f>IFERROR(AK801*$W801,)</f>
        <v/>
      </c>
      <c r="BW801" s="128">
        <f>IFERROR(AL801*$W801,)</f>
        <v/>
      </c>
      <c r="BX801" s="128">
        <f>IFERROR(AM801*$W801,)</f>
        <v/>
      </c>
      <c r="BY801" s="128">
        <f>IFERROR(AN801*$W801,)</f>
        <v/>
      </c>
      <c r="BZ801" s="128">
        <f>IFERROR(AO801*$W801,)</f>
        <v/>
      </c>
      <c r="CA801" s="128">
        <f>IFERROR(AP801*$W801,)</f>
        <v/>
      </c>
      <c r="CB801" s="128">
        <f>IFERROR(AQ801*$W801,)</f>
        <v/>
      </c>
      <c r="CC801" s="128">
        <f>IFERROR(AR801*$W801,)</f>
        <v/>
      </c>
      <c r="CD801" s="128">
        <f>IFERROR(AS801*$W801,)</f>
        <v/>
      </c>
      <c r="CE801" s="128">
        <f>IFERROR(AT801*$W801,)</f>
        <v/>
      </c>
      <c r="CF801" s="128">
        <f>IFERROR(AU801*$W801,)</f>
        <v/>
      </c>
      <c r="CG801" s="128">
        <f>IFERROR(AV801*$W801,)</f>
        <v/>
      </c>
      <c r="CH801" s="128">
        <f>IFERROR(AW801*$W801,)</f>
        <v/>
      </c>
      <c r="CI801" s="128">
        <f>IFERROR(AX801*$W801,)</f>
        <v/>
      </c>
      <c r="CJ801" s="128">
        <f>IFERROR(AY801*$W801,)</f>
        <v/>
      </c>
      <c r="CK801" s="128">
        <f>IFERROR(AZ801*$W801,)</f>
        <v/>
      </c>
      <c r="CL801" s="129">
        <f>IFERROR(if($Y801=0,BA801*($W801/1.2),BA801*$Y801),"")</f>
        <v/>
      </c>
      <c r="CM801" s="129">
        <f>IFERROR(if($Y801=0,BB801*($W801/1.2),BB801*$Y801),"")</f>
        <v/>
      </c>
      <c r="CN801" s="129">
        <f>IFERROR(if($Y801=0,BC801*($W801/1.2),BC801*$Y801),"")</f>
        <v/>
      </c>
      <c r="CO801" s="130">
        <f>IFERROR(if($AA801=0,($W801/1.35)*BD801,BD801*$AA801),)</f>
        <v/>
      </c>
      <c r="CP801" s="130">
        <f>IFERROR(if($AA801=0,($W801/1.35)*BE801,BE801*$AA801),)</f>
        <v/>
      </c>
      <c r="CQ801" s="130">
        <f>IFERROR(if($AA801=0,($W801/1.35)*BF801,BF801*$AA801),)</f>
        <v/>
      </c>
      <c r="CR801" s="128">
        <f>IFERROR(if($AC801=0,($W801/0.74)*BG801,
BG801*$AC801),)</f>
        <v/>
      </c>
      <c r="CS801" s="128">
        <f>IFERROR(if($AC801=0,($W801/0.74)*BH801,
BH801*$AC801),)</f>
        <v/>
      </c>
      <c r="CT801" s="128">
        <f>IFERROR(if($AC801=0,($W801/0.74)*BI801,
BI801*$AC801),)</f>
        <v/>
      </c>
      <c r="CU801" s="128">
        <f>IFERROR(AI801*$V801,)</f>
        <v/>
      </c>
      <c r="CV801" s="128">
        <f>IFERROR(AJ801*$V801,)</f>
        <v/>
      </c>
      <c r="CW801" s="128">
        <f>IFERROR(AK801*$V801,)</f>
        <v/>
      </c>
      <c r="CX801" s="128">
        <f>IFERROR(AL801*$V801,)</f>
        <v/>
      </c>
      <c r="CY801" s="128">
        <f>IFERROR(AM801*$V801,)</f>
        <v/>
      </c>
      <c r="CZ801" s="128">
        <f>IFERROR(AN801*$V801,)</f>
        <v/>
      </c>
      <c r="DA801" s="128">
        <f>IFERROR(AO801*$V801,)</f>
        <v/>
      </c>
      <c r="DB801" s="128">
        <f>IFERROR(AP801*$V801,)</f>
        <v/>
      </c>
      <c r="DC801" s="128">
        <f>IFERROR(AQ801*$V801,)</f>
        <v/>
      </c>
      <c r="DD801" s="128">
        <f>IFERROR(AR801*$V801,)</f>
        <v/>
      </c>
      <c r="DE801" s="128">
        <f>IFERROR(AS801*$V801,)</f>
        <v/>
      </c>
      <c r="DF801" s="128">
        <f>IFERROR(AT801*$V801,)</f>
        <v/>
      </c>
      <c r="DG801" s="128">
        <f>IFERROR(AU801*$V801,)</f>
        <v/>
      </c>
      <c r="DH801" s="128">
        <f>IFERROR(AV801*$V801,)</f>
        <v/>
      </c>
      <c r="DI801" s="128">
        <f>IFERROR(AW801*$V801,)</f>
        <v/>
      </c>
      <c r="DJ801" s="128">
        <f>IFERROR(AX801*$V801,)</f>
        <v/>
      </c>
      <c r="DK801" s="128">
        <f>IFERROR(AY801*$V801,)</f>
        <v/>
      </c>
      <c r="DL801" s="128">
        <f>IFERROR(AZ801*$V801,)</f>
        <v/>
      </c>
      <c r="DM801" s="129">
        <f>IFERROR(if($X801=0,($V801/1.2)*BA801,
BA801*$X801),)</f>
        <v/>
      </c>
      <c r="DN801" s="129">
        <f>IFERROR(if($X801=0,($V801/1.2)*BB801,
BB801*$X801),)</f>
        <v/>
      </c>
      <c r="DO801" s="129">
        <f>IFERROR(if($X801=0,($V801/1.2)*BC801,
BC801*$X801),)</f>
        <v/>
      </c>
      <c r="DP801" s="130">
        <f>IFERROR(if($Z801=0,($V801/1.35)*BD801,
BD801*$Z801),)</f>
        <v/>
      </c>
      <c r="DQ801" s="130">
        <f>IFERROR(if($Z801=0,($V801/1.35)*BE801,
BE801*$Z801),)</f>
        <v/>
      </c>
      <c r="DR801" s="130">
        <f>IFERROR(if($Z801=0,($V801/1.35)*BF801,
BF801*$Z801),)</f>
        <v/>
      </c>
      <c r="DS801" s="128">
        <f>IFERROR(IF($AB801=0,($V801/0.74)*BG801,
BG801*$AB801),)</f>
        <v/>
      </c>
      <c r="DT801" s="128">
        <f>IFERROR(IF($AB801=0,($V801/0.74)*BH801,
BH801*$AB801),)</f>
        <v/>
      </c>
      <c r="DU801" s="128">
        <f>IFERROR(IF($AB801=0,($V801/0.74)*BI801,
BI801*$AB801),)</f>
        <v/>
      </c>
    </row>
    <row r="802" ht="131.25" customHeight="1" s="162">
      <c r="A802" s="115" t="n"/>
      <c r="B802" s="115" t="n"/>
      <c r="C802" s="115" t="n"/>
      <c r="D802" s="115" t="n"/>
      <c r="E802" s="115" t="n"/>
      <c r="F802" s="115" t="n"/>
      <c r="G802" s="115" t="n"/>
      <c r="H802" s="115" t="n"/>
      <c r="I802" s="115" t="n"/>
      <c r="J802" s="115" t="n"/>
      <c r="K802" s="115" t="n"/>
      <c r="L802" s="115" t="n"/>
      <c r="M802" s="115" t="n"/>
      <c r="N802" s="115" t="n"/>
      <c r="O802" s="115" t="n"/>
      <c r="P802" s="115" t="n"/>
      <c r="Q802" s="115" t="n"/>
      <c r="R802" s="115" t="n"/>
      <c r="S802" s="115" t="n"/>
      <c r="T802" s="115" t="n"/>
      <c r="U802" s="116" t="n"/>
      <c r="V802" s="116" t="n"/>
      <c r="W802" s="117" t="n"/>
      <c r="X802" s="118" t="n"/>
      <c r="Y802" s="119" t="n"/>
      <c r="Z802" s="120" t="n"/>
      <c r="AA802" s="121" t="n"/>
      <c r="AB802" s="122" t="n"/>
      <c r="AC802" s="117" t="n"/>
      <c r="AD802" s="123">
        <f>IF(SUM($AE802:$AH802)=0,"",SUM($AE802:$AH802))</f>
        <v/>
      </c>
      <c r="AE802" s="123">
        <f>iferror(IF(SUM($AI802:$AZ802)=0,"",SUM($AI802:$AZ802)),"")</f>
        <v/>
      </c>
      <c r="AF802" s="123">
        <f>iferror(IF(SUM($BA802:$BC802)=0,"",SUM($BA802:$BC802)),"")</f>
        <v/>
      </c>
      <c r="AG802" s="123">
        <f>iferror(IF(SUM($BD802:$BF802)=0,"",SUM($BD802:$BF802)),"")</f>
        <v/>
      </c>
      <c r="AH802" s="124">
        <f>iferror(IF(SUM($BG802:$BI802)=0,"",SUM($BG802:$BI802)),"")</f>
        <v/>
      </c>
      <c r="AI802" s="131" t="n"/>
      <c r="AJ802" s="132" t="n"/>
      <c r="AK802" s="132" t="n"/>
      <c r="AL802" s="132" t="n"/>
      <c r="AM802" s="132" t="n"/>
      <c r="AN802" s="132" t="n"/>
      <c r="AO802" s="132" t="n"/>
      <c r="AP802" s="132" t="n"/>
      <c r="AQ802" s="132" t="n"/>
      <c r="AR802" s="132" t="n"/>
      <c r="AS802" s="132" t="n"/>
      <c r="AT802" s="132" t="n"/>
      <c r="AU802" s="132" t="n"/>
      <c r="AV802" s="132" t="n"/>
      <c r="AW802" s="132" t="n"/>
      <c r="AX802" s="132" t="n"/>
      <c r="AY802" s="132" t="n"/>
      <c r="AZ802" s="133" t="n"/>
      <c r="BA802" s="131" t="n"/>
      <c r="BB802" s="132" t="n"/>
      <c r="BC802" s="133" t="n"/>
      <c r="BD802" s="131" t="n"/>
      <c r="BE802" s="132" t="n"/>
      <c r="BF802" s="133" t="n"/>
      <c r="BG802" s="131" t="n"/>
      <c r="BH802" s="132" t="n"/>
      <c r="BI802" s="132" t="n"/>
      <c r="BJ802" s="128">
        <f>iferror(SUM($BK802,($BL802*1.2),($BM802*1.35),($BN802*0.74)),)</f>
        <v/>
      </c>
      <c r="BK802" s="128">
        <f>IFERROR(SUM($BT802:$CK802),)</f>
        <v/>
      </c>
      <c r="BL802" s="129">
        <f>IFERROR(SUM($CL802:$CN802),)</f>
        <v/>
      </c>
      <c r="BM802" s="130">
        <f>IFERROR(SUM($CO802:$CQ802),)</f>
        <v/>
      </c>
      <c r="BN802" s="128">
        <f>IFERROR(SUM($CR802:$CT802),)</f>
        <v/>
      </c>
      <c r="BO802" s="128">
        <f>iferror(SUM($BP802,($BQ802*1.2),($BR802*1.35),($BS802*0.74)),)</f>
        <v/>
      </c>
      <c r="BP802" s="128">
        <f>IFERROR(SUM($CU802:$DL802),)</f>
        <v/>
      </c>
      <c r="BQ802" s="128">
        <f>IFERROR(SUM($DM802:$DO802),)</f>
        <v/>
      </c>
      <c r="BR802" s="128">
        <f>IFERROR(SUM($DP802:$DR802),)</f>
        <v/>
      </c>
      <c r="BS802" s="128">
        <f>IFERROR(SUM($DS802:$DU802),)</f>
        <v/>
      </c>
      <c r="BT802" s="128">
        <f>IFERROR(AI802*$W802,)</f>
        <v/>
      </c>
      <c r="BU802" s="128">
        <f>IFERROR(AJ802*$W802,)</f>
        <v/>
      </c>
      <c r="BV802" s="128">
        <f>IFERROR(AK802*$W802,)</f>
        <v/>
      </c>
      <c r="BW802" s="128">
        <f>IFERROR(AL802*$W802,)</f>
        <v/>
      </c>
      <c r="BX802" s="128">
        <f>IFERROR(AM802*$W802,)</f>
        <v/>
      </c>
      <c r="BY802" s="128">
        <f>IFERROR(AN802*$W802,)</f>
        <v/>
      </c>
      <c r="BZ802" s="128">
        <f>IFERROR(AO802*$W802,)</f>
        <v/>
      </c>
      <c r="CA802" s="128">
        <f>IFERROR(AP802*$W802,)</f>
        <v/>
      </c>
      <c r="CB802" s="128">
        <f>IFERROR(AQ802*$W802,)</f>
        <v/>
      </c>
      <c r="CC802" s="128">
        <f>IFERROR(AR802*$W802,)</f>
        <v/>
      </c>
      <c r="CD802" s="128">
        <f>IFERROR(AS802*$W802,)</f>
        <v/>
      </c>
      <c r="CE802" s="128">
        <f>IFERROR(AT802*$W802,)</f>
        <v/>
      </c>
      <c r="CF802" s="128">
        <f>IFERROR(AU802*$W802,)</f>
        <v/>
      </c>
      <c r="CG802" s="128">
        <f>IFERROR(AV802*$W802,)</f>
        <v/>
      </c>
      <c r="CH802" s="128">
        <f>IFERROR(AW802*$W802,)</f>
        <v/>
      </c>
      <c r="CI802" s="128">
        <f>IFERROR(AX802*$W802,)</f>
        <v/>
      </c>
      <c r="CJ802" s="128">
        <f>IFERROR(AY802*$W802,)</f>
        <v/>
      </c>
      <c r="CK802" s="128">
        <f>IFERROR(AZ802*$W802,)</f>
        <v/>
      </c>
      <c r="CL802" s="129">
        <f>IFERROR(if($Y802=0,BA802*($W802/1.2),BA802*$Y802),"")</f>
        <v/>
      </c>
      <c r="CM802" s="129">
        <f>IFERROR(if($Y802=0,BB802*($W802/1.2),BB802*$Y802),"")</f>
        <v/>
      </c>
      <c r="CN802" s="129">
        <f>IFERROR(if($Y802=0,BC802*($W802/1.2),BC802*$Y802),"")</f>
        <v/>
      </c>
      <c r="CO802" s="130">
        <f>IFERROR(if($AA802=0,($W802/1.35)*BD802,BD802*$AA802),)</f>
        <v/>
      </c>
      <c r="CP802" s="130">
        <f>IFERROR(if($AA802=0,($W802/1.35)*BE802,BE802*$AA802),)</f>
        <v/>
      </c>
      <c r="CQ802" s="130">
        <f>IFERROR(if($AA802=0,($W802/1.35)*BF802,BF802*$AA802),)</f>
        <v/>
      </c>
      <c r="CR802" s="128">
        <f>IFERROR(if($AC802=0,($W802/0.74)*BG802,
BG802*$AC802),)</f>
        <v/>
      </c>
      <c r="CS802" s="128">
        <f>IFERROR(if($AC802=0,($W802/0.74)*BH802,
BH802*$AC802),)</f>
        <v/>
      </c>
      <c r="CT802" s="128">
        <f>IFERROR(if($AC802=0,($W802/0.74)*BI802,
BI802*$AC802),)</f>
        <v/>
      </c>
      <c r="CU802" s="128">
        <f>IFERROR(AI802*$V802,)</f>
        <v/>
      </c>
      <c r="CV802" s="128">
        <f>IFERROR(AJ802*$V802,)</f>
        <v/>
      </c>
      <c r="CW802" s="128">
        <f>IFERROR(AK802*$V802,)</f>
        <v/>
      </c>
      <c r="CX802" s="128">
        <f>IFERROR(AL802*$V802,)</f>
        <v/>
      </c>
      <c r="CY802" s="128">
        <f>IFERROR(AM802*$V802,)</f>
        <v/>
      </c>
      <c r="CZ802" s="128">
        <f>IFERROR(AN802*$V802,)</f>
        <v/>
      </c>
      <c r="DA802" s="128">
        <f>IFERROR(AO802*$V802,)</f>
        <v/>
      </c>
      <c r="DB802" s="128">
        <f>IFERROR(AP802*$V802,)</f>
        <v/>
      </c>
      <c r="DC802" s="128">
        <f>IFERROR(AQ802*$V802,)</f>
        <v/>
      </c>
      <c r="DD802" s="128">
        <f>IFERROR(AR802*$V802,)</f>
        <v/>
      </c>
      <c r="DE802" s="128">
        <f>IFERROR(AS802*$V802,)</f>
        <v/>
      </c>
      <c r="DF802" s="128">
        <f>IFERROR(AT802*$V802,)</f>
        <v/>
      </c>
      <c r="DG802" s="128">
        <f>IFERROR(AU802*$V802,)</f>
        <v/>
      </c>
      <c r="DH802" s="128">
        <f>IFERROR(AV802*$V802,)</f>
        <v/>
      </c>
      <c r="DI802" s="128">
        <f>IFERROR(AW802*$V802,)</f>
        <v/>
      </c>
      <c r="DJ802" s="128">
        <f>IFERROR(AX802*$V802,)</f>
        <v/>
      </c>
      <c r="DK802" s="128">
        <f>IFERROR(AY802*$V802,)</f>
        <v/>
      </c>
      <c r="DL802" s="128">
        <f>IFERROR(AZ802*$V802,)</f>
        <v/>
      </c>
      <c r="DM802" s="129">
        <f>IFERROR(if($X802=0,($V802/1.2)*BA802,
BA802*$X802),)</f>
        <v/>
      </c>
      <c r="DN802" s="129">
        <f>IFERROR(if($X802=0,($V802/1.2)*BB802,
BB802*$X802),)</f>
        <v/>
      </c>
      <c r="DO802" s="129">
        <f>IFERROR(if($X802=0,($V802/1.2)*BC802,
BC802*$X802),)</f>
        <v/>
      </c>
      <c r="DP802" s="130">
        <f>IFERROR(if($Z802=0,($V802/1.35)*BD802,
BD802*$Z802),)</f>
        <v/>
      </c>
      <c r="DQ802" s="130">
        <f>IFERROR(if($Z802=0,($V802/1.35)*BE802,
BE802*$Z802),)</f>
        <v/>
      </c>
      <c r="DR802" s="130">
        <f>IFERROR(if($Z802=0,($V802/1.35)*BF802,
BF802*$Z802),)</f>
        <v/>
      </c>
      <c r="DS802" s="128">
        <f>IFERROR(IF($AB802=0,($V802/0.74)*BG802,
BG802*$AB802),)</f>
        <v/>
      </c>
      <c r="DT802" s="128">
        <f>IFERROR(IF($AB802=0,($V802/0.74)*BH802,
BH802*$AB802),)</f>
        <v/>
      </c>
      <c r="DU802" s="128">
        <f>IFERROR(IF($AB802=0,($V802/0.74)*BI802,
BI802*$AB802),)</f>
        <v/>
      </c>
    </row>
    <row r="803" ht="131.25" customHeight="1" s="162">
      <c r="A803" s="115" t="n"/>
      <c r="B803" s="115" t="n"/>
      <c r="C803" s="115" t="n"/>
      <c r="D803" s="115" t="n"/>
      <c r="E803" s="115" t="n"/>
      <c r="F803" s="115" t="n"/>
      <c r="G803" s="115" t="n"/>
      <c r="H803" s="115" t="n"/>
      <c r="I803" s="115" t="n"/>
      <c r="J803" s="115" t="n"/>
      <c r="K803" s="115" t="n"/>
      <c r="L803" s="115" t="n"/>
      <c r="M803" s="115" t="n"/>
      <c r="N803" s="115" t="n"/>
      <c r="O803" s="115" t="n"/>
      <c r="P803" s="115" t="n"/>
      <c r="Q803" s="115" t="n"/>
      <c r="R803" s="115" t="n"/>
      <c r="S803" s="115" t="n"/>
      <c r="T803" s="115" t="n"/>
      <c r="U803" s="116" t="n"/>
      <c r="V803" s="116" t="n"/>
      <c r="W803" s="117" t="n"/>
      <c r="X803" s="118" t="n"/>
      <c r="Y803" s="119" t="n"/>
      <c r="Z803" s="120" t="n"/>
      <c r="AA803" s="121" t="n"/>
      <c r="AB803" s="122" t="n"/>
      <c r="AC803" s="117" t="n"/>
      <c r="AD803" s="123">
        <f>IF(SUM($AE803:$AH803)=0,"",SUM($AE803:$AH803))</f>
        <v/>
      </c>
      <c r="AE803" s="123">
        <f>iferror(IF(SUM($AI803:$AZ803)=0,"",SUM($AI803:$AZ803)),"")</f>
        <v/>
      </c>
      <c r="AF803" s="123">
        <f>iferror(IF(SUM($BA803:$BC803)=0,"",SUM($BA803:$BC803)),"")</f>
        <v/>
      </c>
      <c r="AG803" s="123">
        <f>iferror(IF(SUM($BD803:$BF803)=0,"",SUM($BD803:$BF803)),"")</f>
        <v/>
      </c>
      <c r="AH803" s="124">
        <f>iferror(IF(SUM($BG803:$BI803)=0,"",SUM($BG803:$BI803)),"")</f>
        <v/>
      </c>
      <c r="AI803" s="131" t="n"/>
      <c r="AJ803" s="132" t="n"/>
      <c r="AK803" s="132" t="n"/>
      <c r="AL803" s="132" t="n"/>
      <c r="AM803" s="132" t="n"/>
      <c r="AN803" s="132" t="n"/>
      <c r="AO803" s="132" t="n"/>
      <c r="AP803" s="132" t="n"/>
      <c r="AQ803" s="132" t="n"/>
      <c r="AR803" s="132" t="n"/>
      <c r="AS803" s="132" t="n"/>
      <c r="AT803" s="132" t="n"/>
      <c r="AU803" s="132" t="n"/>
      <c r="AV803" s="132" t="n"/>
      <c r="AW803" s="132" t="n"/>
      <c r="AX803" s="132" t="n"/>
      <c r="AY803" s="132" t="n"/>
      <c r="AZ803" s="133" t="n"/>
      <c r="BA803" s="131" t="n"/>
      <c r="BB803" s="132" t="n"/>
      <c r="BC803" s="133" t="n"/>
      <c r="BD803" s="131" t="n"/>
      <c r="BE803" s="132" t="n"/>
      <c r="BF803" s="133" t="n"/>
      <c r="BG803" s="131" t="n"/>
      <c r="BH803" s="132" t="n"/>
      <c r="BI803" s="132" t="n"/>
      <c r="BJ803" s="128">
        <f>iferror(SUM($BK803,($BL803*1.2),($BM803*1.35),($BN803*0.74)),)</f>
        <v/>
      </c>
      <c r="BK803" s="128">
        <f>IFERROR(SUM($BT803:$CK803),)</f>
        <v/>
      </c>
      <c r="BL803" s="129">
        <f>IFERROR(SUM($CL803:$CN803),)</f>
        <v/>
      </c>
      <c r="BM803" s="130">
        <f>IFERROR(SUM($CO803:$CQ803),)</f>
        <v/>
      </c>
      <c r="BN803" s="128">
        <f>IFERROR(SUM($CR803:$CT803),)</f>
        <v/>
      </c>
      <c r="BO803" s="128">
        <f>iferror(SUM($BP803,($BQ803*1.2),($BR803*1.35),($BS803*0.74)),)</f>
        <v/>
      </c>
      <c r="BP803" s="128">
        <f>IFERROR(SUM($CU803:$DL803),)</f>
        <v/>
      </c>
      <c r="BQ803" s="128">
        <f>IFERROR(SUM($DM803:$DO803),)</f>
        <v/>
      </c>
      <c r="BR803" s="128">
        <f>IFERROR(SUM($DP803:$DR803),)</f>
        <v/>
      </c>
      <c r="BS803" s="128">
        <f>IFERROR(SUM($DS803:$DU803),)</f>
        <v/>
      </c>
      <c r="BT803" s="128">
        <f>IFERROR(AI803*$W803,)</f>
        <v/>
      </c>
      <c r="BU803" s="128">
        <f>IFERROR(AJ803*$W803,)</f>
        <v/>
      </c>
      <c r="BV803" s="128">
        <f>IFERROR(AK803*$W803,)</f>
        <v/>
      </c>
      <c r="BW803" s="128">
        <f>IFERROR(AL803*$W803,)</f>
        <v/>
      </c>
      <c r="BX803" s="128">
        <f>IFERROR(AM803*$W803,)</f>
        <v/>
      </c>
      <c r="BY803" s="128">
        <f>IFERROR(AN803*$W803,)</f>
        <v/>
      </c>
      <c r="BZ803" s="128">
        <f>IFERROR(AO803*$W803,)</f>
        <v/>
      </c>
      <c r="CA803" s="128">
        <f>IFERROR(AP803*$W803,)</f>
        <v/>
      </c>
      <c r="CB803" s="128">
        <f>IFERROR(AQ803*$W803,)</f>
        <v/>
      </c>
      <c r="CC803" s="128">
        <f>IFERROR(AR803*$W803,)</f>
        <v/>
      </c>
      <c r="CD803" s="128">
        <f>IFERROR(AS803*$W803,)</f>
        <v/>
      </c>
      <c r="CE803" s="128">
        <f>IFERROR(AT803*$W803,)</f>
        <v/>
      </c>
      <c r="CF803" s="128">
        <f>IFERROR(AU803*$W803,)</f>
        <v/>
      </c>
      <c r="CG803" s="128">
        <f>IFERROR(AV803*$W803,)</f>
        <v/>
      </c>
      <c r="CH803" s="128">
        <f>IFERROR(AW803*$W803,)</f>
        <v/>
      </c>
      <c r="CI803" s="128">
        <f>IFERROR(AX803*$W803,)</f>
        <v/>
      </c>
      <c r="CJ803" s="128">
        <f>IFERROR(AY803*$W803,)</f>
        <v/>
      </c>
      <c r="CK803" s="128">
        <f>IFERROR(AZ803*$W803,)</f>
        <v/>
      </c>
      <c r="CL803" s="129">
        <f>IFERROR(if($Y803=0,BA803*($W803/1.2),BA803*$Y803),"")</f>
        <v/>
      </c>
      <c r="CM803" s="129">
        <f>IFERROR(if($Y803=0,BB803*($W803/1.2),BB803*$Y803),"")</f>
        <v/>
      </c>
      <c r="CN803" s="129">
        <f>IFERROR(if($Y803=0,BC803*($W803/1.2),BC803*$Y803),"")</f>
        <v/>
      </c>
      <c r="CO803" s="130">
        <f>IFERROR(if($AA803=0,($W803/1.35)*BD803,BD803*$AA803),)</f>
        <v/>
      </c>
      <c r="CP803" s="130">
        <f>IFERROR(if($AA803=0,($W803/1.35)*BE803,BE803*$AA803),)</f>
        <v/>
      </c>
      <c r="CQ803" s="130">
        <f>IFERROR(if($AA803=0,($W803/1.35)*BF803,BF803*$AA803),)</f>
        <v/>
      </c>
      <c r="CR803" s="128">
        <f>IFERROR(if($AC803=0,($W803/0.74)*BG803,
BG803*$AC803),)</f>
        <v/>
      </c>
      <c r="CS803" s="128">
        <f>IFERROR(if($AC803=0,($W803/0.74)*BH803,
BH803*$AC803),)</f>
        <v/>
      </c>
      <c r="CT803" s="128">
        <f>IFERROR(if($AC803=0,($W803/0.74)*BI803,
BI803*$AC803),)</f>
        <v/>
      </c>
      <c r="CU803" s="128">
        <f>IFERROR(AI803*$V803,)</f>
        <v/>
      </c>
      <c r="CV803" s="128">
        <f>IFERROR(AJ803*$V803,)</f>
        <v/>
      </c>
      <c r="CW803" s="128">
        <f>IFERROR(AK803*$V803,)</f>
        <v/>
      </c>
      <c r="CX803" s="128">
        <f>IFERROR(AL803*$V803,)</f>
        <v/>
      </c>
      <c r="CY803" s="128">
        <f>IFERROR(AM803*$V803,)</f>
        <v/>
      </c>
      <c r="CZ803" s="128">
        <f>IFERROR(AN803*$V803,)</f>
        <v/>
      </c>
      <c r="DA803" s="128">
        <f>IFERROR(AO803*$V803,)</f>
        <v/>
      </c>
      <c r="DB803" s="128">
        <f>IFERROR(AP803*$V803,)</f>
        <v/>
      </c>
      <c r="DC803" s="128">
        <f>IFERROR(AQ803*$V803,)</f>
        <v/>
      </c>
      <c r="DD803" s="128">
        <f>IFERROR(AR803*$V803,)</f>
        <v/>
      </c>
      <c r="DE803" s="128">
        <f>IFERROR(AS803*$V803,)</f>
        <v/>
      </c>
      <c r="DF803" s="128">
        <f>IFERROR(AT803*$V803,)</f>
        <v/>
      </c>
      <c r="DG803" s="128">
        <f>IFERROR(AU803*$V803,)</f>
        <v/>
      </c>
      <c r="DH803" s="128">
        <f>IFERROR(AV803*$V803,)</f>
        <v/>
      </c>
      <c r="DI803" s="128">
        <f>IFERROR(AW803*$V803,)</f>
        <v/>
      </c>
      <c r="DJ803" s="128">
        <f>IFERROR(AX803*$V803,)</f>
        <v/>
      </c>
      <c r="DK803" s="128">
        <f>IFERROR(AY803*$V803,)</f>
        <v/>
      </c>
      <c r="DL803" s="128">
        <f>IFERROR(AZ803*$V803,)</f>
        <v/>
      </c>
      <c r="DM803" s="129">
        <f>IFERROR(if($X803=0,($V803/1.2)*BA803,
BA803*$X803),)</f>
        <v/>
      </c>
      <c r="DN803" s="129">
        <f>IFERROR(if($X803=0,($V803/1.2)*BB803,
BB803*$X803),)</f>
        <v/>
      </c>
      <c r="DO803" s="129">
        <f>IFERROR(if($X803=0,($V803/1.2)*BC803,
BC803*$X803),)</f>
        <v/>
      </c>
      <c r="DP803" s="130">
        <f>IFERROR(if($Z803=0,($V803/1.35)*BD803,
BD803*$Z803),)</f>
        <v/>
      </c>
      <c r="DQ803" s="130">
        <f>IFERROR(if($Z803=0,($V803/1.35)*BE803,
BE803*$Z803),)</f>
        <v/>
      </c>
      <c r="DR803" s="130">
        <f>IFERROR(if($Z803=0,($V803/1.35)*BF803,
BF803*$Z803),)</f>
        <v/>
      </c>
      <c r="DS803" s="128">
        <f>IFERROR(IF($AB803=0,($V803/0.74)*BG803,
BG803*$AB803),)</f>
        <v/>
      </c>
      <c r="DT803" s="128">
        <f>IFERROR(IF($AB803=0,($V803/0.74)*BH803,
BH803*$AB803),)</f>
        <v/>
      </c>
      <c r="DU803" s="128">
        <f>IFERROR(IF($AB803=0,($V803/0.74)*BI803,
BI803*$AB803),)</f>
        <v/>
      </c>
    </row>
    <row r="804" ht="131.25" customHeight="1" s="162">
      <c r="A804" s="115" t="n"/>
      <c r="B804" s="115" t="n"/>
      <c r="C804" s="115" t="n"/>
      <c r="D804" s="115" t="n"/>
      <c r="E804" s="115" t="n"/>
      <c r="F804" s="115" t="n"/>
      <c r="G804" s="115" t="n"/>
      <c r="H804" s="115" t="n"/>
      <c r="I804" s="115" t="n"/>
      <c r="J804" s="115" t="n"/>
      <c r="K804" s="115" t="n"/>
      <c r="L804" s="115" t="n"/>
      <c r="M804" s="115" t="n"/>
      <c r="N804" s="115" t="n"/>
      <c r="O804" s="115" t="n"/>
      <c r="P804" s="115" t="n"/>
      <c r="Q804" s="115" t="n"/>
      <c r="R804" s="115" t="n"/>
      <c r="S804" s="115" t="n"/>
      <c r="T804" s="115" t="n"/>
      <c r="U804" s="116" t="n"/>
      <c r="V804" s="116" t="n"/>
      <c r="W804" s="117" t="n"/>
      <c r="X804" s="118" t="n"/>
      <c r="Y804" s="119" t="n"/>
      <c r="Z804" s="120" t="n"/>
      <c r="AA804" s="121" t="n"/>
      <c r="AB804" s="122" t="n"/>
      <c r="AC804" s="117" t="n"/>
      <c r="AD804" s="123">
        <f>IF(SUM($AE804:$AH804)=0,"",SUM($AE804:$AH804))</f>
        <v/>
      </c>
      <c r="AE804" s="123">
        <f>iferror(IF(SUM($AI804:$AZ804)=0,"",SUM($AI804:$AZ804)),"")</f>
        <v/>
      </c>
      <c r="AF804" s="123">
        <f>iferror(IF(SUM($BA804:$BC804)=0,"",SUM($BA804:$BC804)),"")</f>
        <v/>
      </c>
      <c r="AG804" s="123">
        <f>iferror(IF(SUM($BD804:$BF804)=0,"",SUM($BD804:$BF804)),"")</f>
        <v/>
      </c>
      <c r="AH804" s="124">
        <f>iferror(IF(SUM($BG804:$BI804)=0,"",SUM($BG804:$BI804)),"")</f>
        <v/>
      </c>
      <c r="AI804" s="131" t="n"/>
      <c r="AJ804" s="132" t="n"/>
      <c r="AK804" s="132" t="n"/>
      <c r="AL804" s="132" t="n"/>
      <c r="AM804" s="132" t="n"/>
      <c r="AN804" s="132" t="n"/>
      <c r="AO804" s="132" t="n"/>
      <c r="AP804" s="132" t="n"/>
      <c r="AQ804" s="132" t="n"/>
      <c r="AR804" s="132" t="n"/>
      <c r="AS804" s="132" t="n"/>
      <c r="AT804" s="132" t="n"/>
      <c r="AU804" s="132" t="n"/>
      <c r="AV804" s="132" t="n"/>
      <c r="AW804" s="132" t="n"/>
      <c r="AX804" s="132" t="n"/>
      <c r="AY804" s="132" t="n"/>
      <c r="AZ804" s="133" t="n"/>
      <c r="BA804" s="131" t="n"/>
      <c r="BB804" s="132" t="n"/>
      <c r="BC804" s="133" t="n"/>
      <c r="BD804" s="131" t="n"/>
      <c r="BE804" s="132" t="n"/>
      <c r="BF804" s="133" t="n"/>
      <c r="BG804" s="131" t="n"/>
      <c r="BH804" s="132" t="n"/>
      <c r="BI804" s="132" t="n"/>
      <c r="BJ804" s="128">
        <f>iferror(SUM($BK804,($BL804*1.2),($BM804*1.35),($BN804*0.74)),)</f>
        <v/>
      </c>
      <c r="BK804" s="128">
        <f>IFERROR(SUM($BT804:$CK804),)</f>
        <v/>
      </c>
      <c r="BL804" s="129">
        <f>IFERROR(SUM($CL804:$CN804),)</f>
        <v/>
      </c>
      <c r="BM804" s="130">
        <f>IFERROR(SUM($CO804:$CQ804),)</f>
        <v/>
      </c>
      <c r="BN804" s="128">
        <f>IFERROR(SUM($CR804:$CT804),)</f>
        <v/>
      </c>
      <c r="BO804" s="128">
        <f>iferror(SUM($BP804,($BQ804*1.2),($BR804*1.35),($BS804*0.74)),)</f>
        <v/>
      </c>
      <c r="BP804" s="128">
        <f>IFERROR(SUM($CU804:$DL804),)</f>
        <v/>
      </c>
      <c r="BQ804" s="128">
        <f>IFERROR(SUM($DM804:$DO804),)</f>
        <v/>
      </c>
      <c r="BR804" s="128">
        <f>IFERROR(SUM($DP804:$DR804),)</f>
        <v/>
      </c>
      <c r="BS804" s="128">
        <f>IFERROR(SUM($DS804:$DU804),)</f>
        <v/>
      </c>
      <c r="BT804" s="128">
        <f>IFERROR(AI804*$W804,)</f>
        <v/>
      </c>
      <c r="BU804" s="128">
        <f>IFERROR(AJ804*$W804,)</f>
        <v/>
      </c>
      <c r="BV804" s="128">
        <f>IFERROR(AK804*$W804,)</f>
        <v/>
      </c>
      <c r="BW804" s="128">
        <f>IFERROR(AL804*$W804,)</f>
        <v/>
      </c>
      <c r="BX804" s="128">
        <f>IFERROR(AM804*$W804,)</f>
        <v/>
      </c>
      <c r="BY804" s="128">
        <f>IFERROR(AN804*$W804,)</f>
        <v/>
      </c>
      <c r="BZ804" s="128">
        <f>IFERROR(AO804*$W804,)</f>
        <v/>
      </c>
      <c r="CA804" s="128">
        <f>IFERROR(AP804*$W804,)</f>
        <v/>
      </c>
      <c r="CB804" s="128">
        <f>IFERROR(AQ804*$W804,)</f>
        <v/>
      </c>
      <c r="CC804" s="128">
        <f>IFERROR(AR804*$W804,)</f>
        <v/>
      </c>
      <c r="CD804" s="128">
        <f>IFERROR(AS804*$W804,)</f>
        <v/>
      </c>
      <c r="CE804" s="128">
        <f>IFERROR(AT804*$W804,)</f>
        <v/>
      </c>
      <c r="CF804" s="128">
        <f>IFERROR(AU804*$W804,)</f>
        <v/>
      </c>
      <c r="CG804" s="128">
        <f>IFERROR(AV804*$W804,)</f>
        <v/>
      </c>
      <c r="CH804" s="128">
        <f>IFERROR(AW804*$W804,)</f>
        <v/>
      </c>
      <c r="CI804" s="128">
        <f>IFERROR(AX804*$W804,)</f>
        <v/>
      </c>
      <c r="CJ804" s="128">
        <f>IFERROR(AY804*$W804,)</f>
        <v/>
      </c>
      <c r="CK804" s="128">
        <f>IFERROR(AZ804*$W804,)</f>
        <v/>
      </c>
      <c r="CL804" s="129">
        <f>IFERROR(if($Y804=0,BA804*($W804/1.2),BA804*$Y804),"")</f>
        <v/>
      </c>
      <c r="CM804" s="129">
        <f>IFERROR(if($Y804=0,BB804*($W804/1.2),BB804*$Y804),"")</f>
        <v/>
      </c>
      <c r="CN804" s="129">
        <f>IFERROR(if($Y804=0,BC804*($W804/1.2),BC804*$Y804),"")</f>
        <v/>
      </c>
      <c r="CO804" s="130">
        <f>IFERROR(if($AA804=0,($W804/1.35)*BD804,BD804*$AA804),)</f>
        <v/>
      </c>
      <c r="CP804" s="130">
        <f>IFERROR(if($AA804=0,($W804/1.35)*BE804,BE804*$AA804),)</f>
        <v/>
      </c>
      <c r="CQ804" s="130">
        <f>IFERROR(if($AA804=0,($W804/1.35)*BF804,BF804*$AA804),)</f>
        <v/>
      </c>
      <c r="CR804" s="128">
        <f>IFERROR(if($AC804=0,($W804/0.74)*BG804,
BG804*$AC804),)</f>
        <v/>
      </c>
      <c r="CS804" s="128">
        <f>IFERROR(if($AC804=0,($W804/0.74)*BH804,
BH804*$AC804),)</f>
        <v/>
      </c>
      <c r="CT804" s="128">
        <f>IFERROR(if($AC804=0,($W804/0.74)*BI804,
BI804*$AC804),)</f>
        <v/>
      </c>
      <c r="CU804" s="128">
        <f>IFERROR(AI804*$V804,)</f>
        <v/>
      </c>
      <c r="CV804" s="128">
        <f>IFERROR(AJ804*$V804,)</f>
        <v/>
      </c>
      <c r="CW804" s="128">
        <f>IFERROR(AK804*$V804,)</f>
        <v/>
      </c>
      <c r="CX804" s="128">
        <f>IFERROR(AL804*$V804,)</f>
        <v/>
      </c>
      <c r="CY804" s="128">
        <f>IFERROR(AM804*$V804,)</f>
        <v/>
      </c>
      <c r="CZ804" s="128">
        <f>IFERROR(AN804*$V804,)</f>
        <v/>
      </c>
      <c r="DA804" s="128">
        <f>IFERROR(AO804*$V804,)</f>
        <v/>
      </c>
      <c r="DB804" s="128">
        <f>IFERROR(AP804*$V804,)</f>
        <v/>
      </c>
      <c r="DC804" s="128">
        <f>IFERROR(AQ804*$V804,)</f>
        <v/>
      </c>
      <c r="DD804" s="128">
        <f>IFERROR(AR804*$V804,)</f>
        <v/>
      </c>
      <c r="DE804" s="128">
        <f>IFERROR(AS804*$V804,)</f>
        <v/>
      </c>
      <c r="DF804" s="128">
        <f>IFERROR(AT804*$V804,)</f>
        <v/>
      </c>
      <c r="DG804" s="128">
        <f>IFERROR(AU804*$V804,)</f>
        <v/>
      </c>
      <c r="DH804" s="128">
        <f>IFERROR(AV804*$V804,)</f>
        <v/>
      </c>
      <c r="DI804" s="128">
        <f>IFERROR(AW804*$V804,)</f>
        <v/>
      </c>
      <c r="DJ804" s="128">
        <f>IFERROR(AX804*$V804,)</f>
        <v/>
      </c>
      <c r="DK804" s="128">
        <f>IFERROR(AY804*$V804,)</f>
        <v/>
      </c>
      <c r="DL804" s="128">
        <f>IFERROR(AZ804*$V804,)</f>
        <v/>
      </c>
      <c r="DM804" s="129">
        <f>IFERROR(if($X804=0,($V804/1.2)*BA804,
BA804*$X804),)</f>
        <v/>
      </c>
      <c r="DN804" s="129">
        <f>IFERROR(if($X804=0,($V804/1.2)*BB804,
BB804*$X804),)</f>
        <v/>
      </c>
      <c r="DO804" s="129">
        <f>IFERROR(if($X804=0,($V804/1.2)*BC804,
BC804*$X804),)</f>
        <v/>
      </c>
      <c r="DP804" s="130">
        <f>IFERROR(if($Z804=0,($V804/1.35)*BD804,
BD804*$Z804),)</f>
        <v/>
      </c>
      <c r="DQ804" s="130">
        <f>IFERROR(if($Z804=0,($V804/1.35)*BE804,
BE804*$Z804),)</f>
        <v/>
      </c>
      <c r="DR804" s="130">
        <f>IFERROR(if($Z804=0,($V804/1.35)*BF804,
BF804*$Z804),)</f>
        <v/>
      </c>
      <c r="DS804" s="128">
        <f>IFERROR(IF($AB804=0,($V804/0.74)*BG804,
BG804*$AB804),)</f>
        <v/>
      </c>
      <c r="DT804" s="128">
        <f>IFERROR(IF($AB804=0,($V804/0.74)*BH804,
BH804*$AB804),)</f>
        <v/>
      </c>
      <c r="DU804" s="128">
        <f>IFERROR(IF($AB804=0,($V804/0.74)*BI804,
BI804*$AB804),)</f>
        <v/>
      </c>
    </row>
    <row r="805" ht="131.25" customHeight="1" s="162">
      <c r="A805" s="115" t="n"/>
      <c r="B805" s="115" t="n"/>
      <c r="C805" s="115" t="n"/>
      <c r="D805" s="115" t="n"/>
      <c r="E805" s="115" t="n"/>
      <c r="F805" s="115" t="n"/>
      <c r="G805" s="115" t="n"/>
      <c r="H805" s="115" t="n"/>
      <c r="I805" s="115" t="n"/>
      <c r="J805" s="115" t="n"/>
      <c r="K805" s="115" t="n"/>
      <c r="L805" s="115" t="n"/>
      <c r="M805" s="115" t="n"/>
      <c r="N805" s="115" t="n"/>
      <c r="O805" s="115" t="n"/>
      <c r="P805" s="115" t="n"/>
      <c r="Q805" s="115" t="n"/>
      <c r="R805" s="115" t="n"/>
      <c r="S805" s="115" t="n"/>
      <c r="T805" s="115" t="n"/>
      <c r="U805" s="116" t="n"/>
      <c r="V805" s="116" t="n"/>
      <c r="W805" s="117" t="n"/>
      <c r="X805" s="118" t="n"/>
      <c r="Y805" s="119" t="n"/>
      <c r="Z805" s="120" t="n"/>
      <c r="AA805" s="121" t="n"/>
      <c r="AB805" s="122" t="n"/>
      <c r="AC805" s="117" t="n"/>
      <c r="AD805" s="123">
        <f>IF(SUM($AE805:$AH805)=0,"",SUM($AE805:$AH805))</f>
        <v/>
      </c>
      <c r="AE805" s="123">
        <f>iferror(IF(SUM($AI805:$AZ805)=0,"",SUM($AI805:$AZ805)),"")</f>
        <v/>
      </c>
      <c r="AF805" s="123">
        <f>iferror(IF(SUM($BA805:$BC805)=0,"",SUM($BA805:$BC805)),"")</f>
        <v/>
      </c>
      <c r="AG805" s="123">
        <f>iferror(IF(SUM($BD805:$BF805)=0,"",SUM($BD805:$BF805)),"")</f>
        <v/>
      </c>
      <c r="AH805" s="124">
        <f>iferror(IF(SUM($BG805:$BI805)=0,"",SUM($BG805:$BI805)),"")</f>
        <v/>
      </c>
      <c r="AI805" s="131" t="n"/>
      <c r="AJ805" s="132" t="n"/>
      <c r="AK805" s="132" t="n"/>
      <c r="AL805" s="132" t="n"/>
      <c r="AM805" s="132" t="n"/>
      <c r="AN805" s="132" t="n"/>
      <c r="AO805" s="132" t="n"/>
      <c r="AP805" s="132" t="n"/>
      <c r="AQ805" s="132" t="n"/>
      <c r="AR805" s="132" t="n"/>
      <c r="AS805" s="132" t="n"/>
      <c r="AT805" s="132" t="n"/>
      <c r="AU805" s="132" t="n"/>
      <c r="AV805" s="132" t="n"/>
      <c r="AW805" s="132" t="n"/>
      <c r="AX805" s="132" t="n"/>
      <c r="AY805" s="132" t="n"/>
      <c r="AZ805" s="133" t="n"/>
      <c r="BA805" s="131" t="n"/>
      <c r="BB805" s="132" t="n"/>
      <c r="BC805" s="133" t="n"/>
      <c r="BD805" s="131" t="n"/>
      <c r="BE805" s="132" t="n"/>
      <c r="BF805" s="133" t="n"/>
      <c r="BG805" s="131" t="n"/>
      <c r="BH805" s="132" t="n"/>
      <c r="BI805" s="132" t="n"/>
      <c r="BJ805" s="128">
        <f>iferror(SUM($BK805,($BL805*1.2),($BM805*1.35),($BN805*0.74)),)</f>
        <v/>
      </c>
      <c r="BK805" s="128">
        <f>IFERROR(SUM($BT805:$CK805),)</f>
        <v/>
      </c>
      <c r="BL805" s="129">
        <f>IFERROR(SUM($CL805:$CN805),)</f>
        <v/>
      </c>
      <c r="BM805" s="130">
        <f>IFERROR(SUM($CO805:$CQ805),)</f>
        <v/>
      </c>
      <c r="BN805" s="128">
        <f>IFERROR(SUM($CR805:$CT805),)</f>
        <v/>
      </c>
      <c r="BO805" s="128">
        <f>iferror(SUM($BP805,($BQ805*1.2),($BR805*1.35),($BS805*0.74)),)</f>
        <v/>
      </c>
      <c r="BP805" s="128">
        <f>IFERROR(SUM($CU805:$DL805),)</f>
        <v/>
      </c>
      <c r="BQ805" s="128">
        <f>IFERROR(SUM($DM805:$DO805),)</f>
        <v/>
      </c>
      <c r="BR805" s="128">
        <f>IFERROR(SUM($DP805:$DR805),)</f>
        <v/>
      </c>
      <c r="BS805" s="128">
        <f>IFERROR(SUM($DS805:$DU805),)</f>
        <v/>
      </c>
      <c r="BT805" s="128">
        <f>IFERROR(AI805*$W805,)</f>
        <v/>
      </c>
      <c r="BU805" s="128">
        <f>IFERROR(AJ805*$W805,)</f>
        <v/>
      </c>
      <c r="BV805" s="128">
        <f>IFERROR(AK805*$W805,)</f>
        <v/>
      </c>
      <c r="BW805" s="128">
        <f>IFERROR(AL805*$W805,)</f>
        <v/>
      </c>
      <c r="BX805" s="128">
        <f>IFERROR(AM805*$W805,)</f>
        <v/>
      </c>
      <c r="BY805" s="128">
        <f>IFERROR(AN805*$W805,)</f>
        <v/>
      </c>
      <c r="BZ805" s="128">
        <f>IFERROR(AO805*$W805,)</f>
        <v/>
      </c>
      <c r="CA805" s="128">
        <f>IFERROR(AP805*$W805,)</f>
        <v/>
      </c>
      <c r="CB805" s="128">
        <f>IFERROR(AQ805*$W805,)</f>
        <v/>
      </c>
      <c r="CC805" s="128">
        <f>IFERROR(AR805*$W805,)</f>
        <v/>
      </c>
      <c r="CD805" s="128">
        <f>IFERROR(AS805*$W805,)</f>
        <v/>
      </c>
      <c r="CE805" s="128">
        <f>IFERROR(AT805*$W805,)</f>
        <v/>
      </c>
      <c r="CF805" s="128">
        <f>IFERROR(AU805*$W805,)</f>
        <v/>
      </c>
      <c r="CG805" s="128">
        <f>IFERROR(AV805*$W805,)</f>
        <v/>
      </c>
      <c r="CH805" s="128">
        <f>IFERROR(AW805*$W805,)</f>
        <v/>
      </c>
      <c r="CI805" s="128">
        <f>IFERROR(AX805*$W805,)</f>
        <v/>
      </c>
      <c r="CJ805" s="128">
        <f>IFERROR(AY805*$W805,)</f>
        <v/>
      </c>
      <c r="CK805" s="128">
        <f>IFERROR(AZ805*$W805,)</f>
        <v/>
      </c>
      <c r="CL805" s="129">
        <f>IFERROR(if($Y805=0,BA805*($W805/1.2),BA805*$Y805),"")</f>
        <v/>
      </c>
      <c r="CM805" s="129">
        <f>IFERROR(if($Y805=0,BB805*($W805/1.2),BB805*$Y805),"")</f>
        <v/>
      </c>
      <c r="CN805" s="129">
        <f>IFERROR(if($Y805=0,BC805*($W805/1.2),BC805*$Y805),"")</f>
        <v/>
      </c>
      <c r="CO805" s="130">
        <f>IFERROR(if($AA805=0,($W805/1.35)*BD805,BD805*$AA805),)</f>
        <v/>
      </c>
      <c r="CP805" s="130">
        <f>IFERROR(if($AA805=0,($W805/1.35)*BE805,BE805*$AA805),)</f>
        <v/>
      </c>
      <c r="CQ805" s="130">
        <f>IFERROR(if($AA805=0,($W805/1.35)*BF805,BF805*$AA805),)</f>
        <v/>
      </c>
      <c r="CR805" s="128">
        <f>IFERROR(if($AC805=0,($W805/0.74)*BG805,
BG805*$AC805),)</f>
        <v/>
      </c>
      <c r="CS805" s="128">
        <f>IFERROR(if($AC805=0,($W805/0.74)*BH805,
BH805*$AC805),)</f>
        <v/>
      </c>
      <c r="CT805" s="128">
        <f>IFERROR(if($AC805=0,($W805/0.74)*BI805,
BI805*$AC805),)</f>
        <v/>
      </c>
      <c r="CU805" s="128">
        <f>IFERROR(AI805*$V805,)</f>
        <v/>
      </c>
      <c r="CV805" s="128">
        <f>IFERROR(AJ805*$V805,)</f>
        <v/>
      </c>
      <c r="CW805" s="128">
        <f>IFERROR(AK805*$V805,)</f>
        <v/>
      </c>
      <c r="CX805" s="128">
        <f>IFERROR(AL805*$V805,)</f>
        <v/>
      </c>
      <c r="CY805" s="128">
        <f>IFERROR(AM805*$V805,)</f>
        <v/>
      </c>
      <c r="CZ805" s="128">
        <f>IFERROR(AN805*$V805,)</f>
        <v/>
      </c>
      <c r="DA805" s="128">
        <f>IFERROR(AO805*$V805,)</f>
        <v/>
      </c>
      <c r="DB805" s="128">
        <f>IFERROR(AP805*$V805,)</f>
        <v/>
      </c>
      <c r="DC805" s="128">
        <f>IFERROR(AQ805*$V805,)</f>
        <v/>
      </c>
      <c r="DD805" s="128">
        <f>IFERROR(AR805*$V805,)</f>
        <v/>
      </c>
      <c r="DE805" s="128">
        <f>IFERROR(AS805*$V805,)</f>
        <v/>
      </c>
      <c r="DF805" s="128">
        <f>IFERROR(AT805*$V805,)</f>
        <v/>
      </c>
      <c r="DG805" s="128">
        <f>IFERROR(AU805*$V805,)</f>
        <v/>
      </c>
      <c r="DH805" s="128">
        <f>IFERROR(AV805*$V805,)</f>
        <v/>
      </c>
      <c r="DI805" s="128">
        <f>IFERROR(AW805*$V805,)</f>
        <v/>
      </c>
      <c r="DJ805" s="128">
        <f>IFERROR(AX805*$V805,)</f>
        <v/>
      </c>
      <c r="DK805" s="128">
        <f>IFERROR(AY805*$V805,)</f>
        <v/>
      </c>
      <c r="DL805" s="128">
        <f>IFERROR(AZ805*$V805,)</f>
        <v/>
      </c>
      <c r="DM805" s="129">
        <f>IFERROR(if($X805=0,($V805/1.2)*BA805,
BA805*$X805),)</f>
        <v/>
      </c>
      <c r="DN805" s="129">
        <f>IFERROR(if($X805=0,($V805/1.2)*BB805,
BB805*$X805),)</f>
        <v/>
      </c>
      <c r="DO805" s="129">
        <f>IFERROR(if($X805=0,($V805/1.2)*BC805,
BC805*$X805),)</f>
        <v/>
      </c>
      <c r="DP805" s="130">
        <f>IFERROR(if($Z805=0,($V805/1.35)*BD805,
BD805*$Z805),)</f>
        <v/>
      </c>
      <c r="DQ805" s="130">
        <f>IFERROR(if($Z805=0,($V805/1.35)*BE805,
BE805*$Z805),)</f>
        <v/>
      </c>
      <c r="DR805" s="130">
        <f>IFERROR(if($Z805=0,($V805/1.35)*BF805,
BF805*$Z805),)</f>
        <v/>
      </c>
      <c r="DS805" s="128">
        <f>IFERROR(IF($AB805=0,($V805/0.74)*BG805,
BG805*$AB805),)</f>
        <v/>
      </c>
      <c r="DT805" s="128">
        <f>IFERROR(IF($AB805=0,($V805/0.74)*BH805,
BH805*$AB805),)</f>
        <v/>
      </c>
      <c r="DU805" s="128">
        <f>IFERROR(IF($AB805=0,($V805/0.74)*BI805,
BI805*$AB805),)</f>
        <v/>
      </c>
    </row>
    <row r="806" ht="131.25" customHeight="1" s="162">
      <c r="A806" s="115" t="n"/>
      <c r="B806" s="115" t="n"/>
      <c r="C806" s="115" t="n"/>
      <c r="D806" s="115" t="n"/>
      <c r="E806" s="115" t="n"/>
      <c r="F806" s="115" t="n"/>
      <c r="G806" s="115" t="n"/>
      <c r="H806" s="115" t="n"/>
      <c r="I806" s="115" t="n"/>
      <c r="J806" s="115" t="n"/>
      <c r="K806" s="115" t="n"/>
      <c r="L806" s="115" t="n"/>
      <c r="M806" s="115" t="n"/>
      <c r="N806" s="115" t="n"/>
      <c r="O806" s="115" t="n"/>
      <c r="P806" s="115" t="n"/>
      <c r="Q806" s="115" t="n"/>
      <c r="R806" s="115" t="n"/>
      <c r="S806" s="115" t="n"/>
      <c r="T806" s="115" t="n"/>
      <c r="U806" s="116" t="n"/>
      <c r="V806" s="116" t="n"/>
      <c r="W806" s="117" t="n"/>
      <c r="X806" s="118" t="n"/>
      <c r="Y806" s="119" t="n"/>
      <c r="Z806" s="120" t="n"/>
      <c r="AA806" s="121" t="n"/>
      <c r="AB806" s="122" t="n"/>
      <c r="AC806" s="117" t="n"/>
      <c r="AD806" s="123">
        <f>IF(SUM($AE806:$AH806)=0,"",SUM($AE806:$AH806))</f>
        <v/>
      </c>
      <c r="AE806" s="123">
        <f>iferror(IF(SUM($AI806:$AZ806)=0,"",SUM($AI806:$AZ806)),"")</f>
        <v/>
      </c>
      <c r="AF806" s="123">
        <f>iferror(IF(SUM($BA806:$BC806)=0,"",SUM($BA806:$BC806)),"")</f>
        <v/>
      </c>
      <c r="AG806" s="123">
        <f>iferror(IF(SUM($BD806:$BF806)=0,"",SUM($BD806:$BF806)),"")</f>
        <v/>
      </c>
      <c r="AH806" s="124">
        <f>iferror(IF(SUM($BG806:$BI806)=0,"",SUM($BG806:$BI806)),"")</f>
        <v/>
      </c>
      <c r="AI806" s="131" t="n"/>
      <c r="AJ806" s="132" t="n"/>
      <c r="AK806" s="132" t="n"/>
      <c r="AL806" s="132" t="n"/>
      <c r="AM806" s="132" t="n"/>
      <c r="AN806" s="132" t="n"/>
      <c r="AO806" s="132" t="n"/>
      <c r="AP806" s="132" t="n"/>
      <c r="AQ806" s="132" t="n"/>
      <c r="AR806" s="132" t="n"/>
      <c r="AS806" s="132" t="n"/>
      <c r="AT806" s="132" t="n"/>
      <c r="AU806" s="132" t="n"/>
      <c r="AV806" s="132" t="n"/>
      <c r="AW806" s="132" t="n"/>
      <c r="AX806" s="132" t="n"/>
      <c r="AY806" s="132" t="n"/>
      <c r="AZ806" s="133" t="n"/>
      <c r="BA806" s="131" t="n"/>
      <c r="BB806" s="132" t="n"/>
      <c r="BC806" s="133" t="n"/>
      <c r="BD806" s="131" t="n"/>
      <c r="BE806" s="132" t="n"/>
      <c r="BF806" s="133" t="n"/>
      <c r="BG806" s="131" t="n"/>
      <c r="BH806" s="132" t="n"/>
      <c r="BI806" s="132" t="n"/>
      <c r="BJ806" s="128">
        <f>iferror(SUM($BK806,($BL806*1.2),($BM806*1.35),($BN806*0.74)),)</f>
        <v/>
      </c>
      <c r="BK806" s="128">
        <f>IFERROR(SUM($BT806:$CK806),)</f>
        <v/>
      </c>
      <c r="BL806" s="129">
        <f>IFERROR(SUM($CL806:$CN806),)</f>
        <v/>
      </c>
      <c r="BM806" s="130">
        <f>IFERROR(SUM($CO806:$CQ806),)</f>
        <v/>
      </c>
      <c r="BN806" s="128">
        <f>IFERROR(SUM($CR806:$CT806),)</f>
        <v/>
      </c>
      <c r="BO806" s="128">
        <f>iferror(SUM($BP806,($BQ806*1.2),($BR806*1.35),($BS806*0.74)),)</f>
        <v/>
      </c>
      <c r="BP806" s="128">
        <f>IFERROR(SUM($CU806:$DL806),)</f>
        <v/>
      </c>
      <c r="BQ806" s="128">
        <f>IFERROR(SUM($DM806:$DO806),)</f>
        <v/>
      </c>
      <c r="BR806" s="128">
        <f>IFERROR(SUM($DP806:$DR806),)</f>
        <v/>
      </c>
      <c r="BS806" s="128">
        <f>IFERROR(SUM($DS806:$DU806),)</f>
        <v/>
      </c>
      <c r="BT806" s="128">
        <f>IFERROR(AI806*$W806,)</f>
        <v/>
      </c>
      <c r="BU806" s="128">
        <f>IFERROR(AJ806*$W806,)</f>
        <v/>
      </c>
      <c r="BV806" s="128">
        <f>IFERROR(AK806*$W806,)</f>
        <v/>
      </c>
      <c r="BW806" s="128">
        <f>IFERROR(AL806*$W806,)</f>
        <v/>
      </c>
      <c r="BX806" s="128">
        <f>IFERROR(AM806*$W806,)</f>
        <v/>
      </c>
      <c r="BY806" s="128">
        <f>IFERROR(AN806*$W806,)</f>
        <v/>
      </c>
      <c r="BZ806" s="128">
        <f>IFERROR(AO806*$W806,)</f>
        <v/>
      </c>
      <c r="CA806" s="128">
        <f>IFERROR(AP806*$W806,)</f>
        <v/>
      </c>
      <c r="CB806" s="128">
        <f>IFERROR(AQ806*$W806,)</f>
        <v/>
      </c>
      <c r="CC806" s="128">
        <f>IFERROR(AR806*$W806,)</f>
        <v/>
      </c>
      <c r="CD806" s="128">
        <f>IFERROR(AS806*$W806,)</f>
        <v/>
      </c>
      <c r="CE806" s="128">
        <f>IFERROR(AT806*$W806,)</f>
        <v/>
      </c>
      <c r="CF806" s="128">
        <f>IFERROR(AU806*$W806,)</f>
        <v/>
      </c>
      <c r="CG806" s="128">
        <f>IFERROR(AV806*$W806,)</f>
        <v/>
      </c>
      <c r="CH806" s="128">
        <f>IFERROR(AW806*$W806,)</f>
        <v/>
      </c>
      <c r="CI806" s="128">
        <f>IFERROR(AX806*$W806,)</f>
        <v/>
      </c>
      <c r="CJ806" s="128">
        <f>IFERROR(AY806*$W806,)</f>
        <v/>
      </c>
      <c r="CK806" s="128">
        <f>IFERROR(AZ806*$W806,)</f>
        <v/>
      </c>
      <c r="CL806" s="129">
        <f>IFERROR(if($Y806=0,BA806*($W806/1.2),BA806*$Y806),"")</f>
        <v/>
      </c>
      <c r="CM806" s="129">
        <f>IFERROR(if($Y806=0,BB806*($W806/1.2),BB806*$Y806),"")</f>
        <v/>
      </c>
      <c r="CN806" s="129">
        <f>IFERROR(if($Y806=0,BC806*($W806/1.2),BC806*$Y806),"")</f>
        <v/>
      </c>
      <c r="CO806" s="130">
        <f>IFERROR(if($AA806=0,($W806/1.35)*BD806,BD806*$AA806),)</f>
        <v/>
      </c>
      <c r="CP806" s="130">
        <f>IFERROR(if($AA806=0,($W806/1.35)*BE806,BE806*$AA806),)</f>
        <v/>
      </c>
      <c r="CQ806" s="130">
        <f>IFERROR(if($AA806=0,($W806/1.35)*BF806,BF806*$AA806),)</f>
        <v/>
      </c>
      <c r="CR806" s="128">
        <f>IFERROR(if($AC806=0,($W806/0.74)*BG806,
BG806*$AC806),)</f>
        <v/>
      </c>
      <c r="CS806" s="128">
        <f>IFERROR(if($AC806=0,($W806/0.74)*BH806,
BH806*$AC806),)</f>
        <v/>
      </c>
      <c r="CT806" s="128">
        <f>IFERROR(if($AC806=0,($W806/0.74)*BI806,
BI806*$AC806),)</f>
        <v/>
      </c>
      <c r="CU806" s="128">
        <f>IFERROR(AI806*$V806,)</f>
        <v/>
      </c>
      <c r="CV806" s="128">
        <f>IFERROR(AJ806*$V806,)</f>
        <v/>
      </c>
      <c r="CW806" s="128">
        <f>IFERROR(AK806*$V806,)</f>
        <v/>
      </c>
      <c r="CX806" s="128">
        <f>IFERROR(AL806*$V806,)</f>
        <v/>
      </c>
      <c r="CY806" s="128">
        <f>IFERROR(AM806*$V806,)</f>
        <v/>
      </c>
      <c r="CZ806" s="128">
        <f>IFERROR(AN806*$V806,)</f>
        <v/>
      </c>
      <c r="DA806" s="128">
        <f>IFERROR(AO806*$V806,)</f>
        <v/>
      </c>
      <c r="DB806" s="128">
        <f>IFERROR(AP806*$V806,)</f>
        <v/>
      </c>
      <c r="DC806" s="128">
        <f>IFERROR(AQ806*$V806,)</f>
        <v/>
      </c>
      <c r="DD806" s="128">
        <f>IFERROR(AR806*$V806,)</f>
        <v/>
      </c>
      <c r="DE806" s="128">
        <f>IFERROR(AS806*$V806,)</f>
        <v/>
      </c>
      <c r="DF806" s="128">
        <f>IFERROR(AT806*$V806,)</f>
        <v/>
      </c>
      <c r="DG806" s="128">
        <f>IFERROR(AU806*$V806,)</f>
        <v/>
      </c>
      <c r="DH806" s="128">
        <f>IFERROR(AV806*$V806,)</f>
        <v/>
      </c>
      <c r="DI806" s="128">
        <f>IFERROR(AW806*$V806,)</f>
        <v/>
      </c>
      <c r="DJ806" s="128">
        <f>IFERROR(AX806*$V806,)</f>
        <v/>
      </c>
      <c r="DK806" s="128">
        <f>IFERROR(AY806*$V806,)</f>
        <v/>
      </c>
      <c r="DL806" s="128">
        <f>IFERROR(AZ806*$V806,)</f>
        <v/>
      </c>
      <c r="DM806" s="129">
        <f>IFERROR(if($X806=0,($V806/1.2)*BA806,
BA806*$X806),)</f>
        <v/>
      </c>
      <c r="DN806" s="129">
        <f>IFERROR(if($X806=0,($V806/1.2)*BB806,
BB806*$X806),)</f>
        <v/>
      </c>
      <c r="DO806" s="129">
        <f>IFERROR(if($X806=0,($V806/1.2)*BC806,
BC806*$X806),)</f>
        <v/>
      </c>
      <c r="DP806" s="130">
        <f>IFERROR(if($Z806=0,($V806/1.35)*BD806,
BD806*$Z806),)</f>
        <v/>
      </c>
      <c r="DQ806" s="130">
        <f>IFERROR(if($Z806=0,($V806/1.35)*BE806,
BE806*$Z806),)</f>
        <v/>
      </c>
      <c r="DR806" s="130">
        <f>IFERROR(if($Z806=0,($V806/1.35)*BF806,
BF806*$Z806),)</f>
        <v/>
      </c>
      <c r="DS806" s="128">
        <f>IFERROR(IF($AB806=0,($V806/0.74)*BG806,
BG806*$AB806),)</f>
        <v/>
      </c>
      <c r="DT806" s="128">
        <f>IFERROR(IF($AB806=0,($V806/0.74)*BH806,
BH806*$AB806),)</f>
        <v/>
      </c>
      <c r="DU806" s="128">
        <f>IFERROR(IF($AB806=0,($V806/0.74)*BI806,
BI806*$AB806),)</f>
        <v/>
      </c>
    </row>
    <row r="807" ht="131.25" customHeight="1" s="162">
      <c r="A807" s="115" t="n"/>
      <c r="B807" s="115" t="n"/>
      <c r="C807" s="115" t="n"/>
      <c r="D807" s="115" t="n"/>
      <c r="E807" s="115" t="n"/>
      <c r="F807" s="115" t="n"/>
      <c r="G807" s="115" t="n"/>
      <c r="H807" s="115" t="n"/>
      <c r="I807" s="115" t="n"/>
      <c r="J807" s="115" t="n"/>
      <c r="K807" s="115" t="n"/>
      <c r="L807" s="115" t="n"/>
      <c r="M807" s="115" t="n"/>
      <c r="N807" s="115" t="n"/>
      <c r="O807" s="115" t="n"/>
      <c r="P807" s="115" t="n"/>
      <c r="Q807" s="115" t="n"/>
      <c r="R807" s="115" t="n"/>
      <c r="S807" s="115" t="n"/>
      <c r="T807" s="115" t="n"/>
      <c r="U807" s="116" t="n"/>
      <c r="V807" s="116" t="n"/>
      <c r="W807" s="117" t="n"/>
      <c r="X807" s="118" t="n"/>
      <c r="Y807" s="119" t="n"/>
      <c r="Z807" s="120" t="n"/>
      <c r="AA807" s="121" t="n"/>
      <c r="AB807" s="122" t="n"/>
      <c r="AC807" s="117" t="n"/>
      <c r="AD807" s="123">
        <f>IF(SUM($AE807:$AH807)=0,"",SUM($AE807:$AH807))</f>
        <v/>
      </c>
      <c r="AE807" s="123">
        <f>iferror(IF(SUM($AI807:$AZ807)=0,"",SUM($AI807:$AZ807)),"")</f>
        <v/>
      </c>
      <c r="AF807" s="123">
        <f>iferror(IF(SUM($BA807:$BC807)=0,"",SUM($BA807:$BC807)),"")</f>
        <v/>
      </c>
      <c r="AG807" s="123">
        <f>iferror(IF(SUM($BD807:$BF807)=0,"",SUM($BD807:$BF807)),"")</f>
        <v/>
      </c>
      <c r="AH807" s="124">
        <f>iferror(IF(SUM($BG807:$BI807)=0,"",SUM($BG807:$BI807)),"")</f>
        <v/>
      </c>
      <c r="AI807" s="131" t="n"/>
      <c r="AJ807" s="132" t="n"/>
      <c r="AK807" s="132" t="n"/>
      <c r="AL807" s="132" t="n"/>
      <c r="AM807" s="132" t="n"/>
      <c r="AN807" s="132" t="n"/>
      <c r="AO807" s="132" t="n"/>
      <c r="AP807" s="132" t="n"/>
      <c r="AQ807" s="132" t="n"/>
      <c r="AR807" s="132" t="n"/>
      <c r="AS807" s="132" t="n"/>
      <c r="AT807" s="132" t="n"/>
      <c r="AU807" s="132" t="n"/>
      <c r="AV807" s="132" t="n"/>
      <c r="AW807" s="132" t="n"/>
      <c r="AX807" s="132" t="n"/>
      <c r="AY807" s="132" t="n"/>
      <c r="AZ807" s="133" t="n"/>
      <c r="BA807" s="131" t="n"/>
      <c r="BB807" s="132" t="n"/>
      <c r="BC807" s="133" t="n"/>
      <c r="BD807" s="131" t="n"/>
      <c r="BE807" s="132" t="n"/>
      <c r="BF807" s="133" t="n"/>
      <c r="BG807" s="131" t="n"/>
      <c r="BH807" s="132" t="n"/>
      <c r="BI807" s="132" t="n"/>
      <c r="BJ807" s="128">
        <f>iferror(SUM($BK807,($BL807*1.2),($BM807*1.35),($BN807*0.74)),)</f>
        <v/>
      </c>
      <c r="BK807" s="128">
        <f>IFERROR(SUM($BT807:$CK807),)</f>
        <v/>
      </c>
      <c r="BL807" s="129">
        <f>IFERROR(SUM($CL807:$CN807),)</f>
        <v/>
      </c>
      <c r="BM807" s="130">
        <f>IFERROR(SUM($CO807:$CQ807),)</f>
        <v/>
      </c>
      <c r="BN807" s="128">
        <f>IFERROR(SUM($CR807:$CT807),)</f>
        <v/>
      </c>
      <c r="BO807" s="128">
        <f>iferror(SUM($BP807,($BQ807*1.2),($BR807*1.35),($BS807*0.74)),)</f>
        <v/>
      </c>
      <c r="BP807" s="128">
        <f>IFERROR(SUM($CU807:$DL807),)</f>
        <v/>
      </c>
      <c r="BQ807" s="128">
        <f>IFERROR(SUM($DM807:$DO807),)</f>
        <v/>
      </c>
      <c r="BR807" s="128">
        <f>IFERROR(SUM($DP807:$DR807),)</f>
        <v/>
      </c>
      <c r="BS807" s="128">
        <f>IFERROR(SUM($DS807:$DU807),)</f>
        <v/>
      </c>
      <c r="BT807" s="128">
        <f>IFERROR(AI807*$W807,)</f>
        <v/>
      </c>
      <c r="BU807" s="128">
        <f>IFERROR(AJ807*$W807,)</f>
        <v/>
      </c>
      <c r="BV807" s="128">
        <f>IFERROR(AK807*$W807,)</f>
        <v/>
      </c>
      <c r="BW807" s="128">
        <f>IFERROR(AL807*$W807,)</f>
        <v/>
      </c>
      <c r="BX807" s="128">
        <f>IFERROR(AM807*$W807,)</f>
        <v/>
      </c>
      <c r="BY807" s="128">
        <f>IFERROR(AN807*$W807,)</f>
        <v/>
      </c>
      <c r="BZ807" s="128">
        <f>IFERROR(AO807*$W807,)</f>
        <v/>
      </c>
      <c r="CA807" s="128">
        <f>IFERROR(AP807*$W807,)</f>
        <v/>
      </c>
      <c r="CB807" s="128">
        <f>IFERROR(AQ807*$W807,)</f>
        <v/>
      </c>
      <c r="CC807" s="128">
        <f>IFERROR(AR807*$W807,)</f>
        <v/>
      </c>
      <c r="CD807" s="128">
        <f>IFERROR(AS807*$W807,)</f>
        <v/>
      </c>
      <c r="CE807" s="128">
        <f>IFERROR(AT807*$W807,)</f>
        <v/>
      </c>
      <c r="CF807" s="128">
        <f>IFERROR(AU807*$W807,)</f>
        <v/>
      </c>
      <c r="CG807" s="128">
        <f>IFERROR(AV807*$W807,)</f>
        <v/>
      </c>
      <c r="CH807" s="128">
        <f>IFERROR(AW807*$W807,)</f>
        <v/>
      </c>
      <c r="CI807" s="128">
        <f>IFERROR(AX807*$W807,)</f>
        <v/>
      </c>
      <c r="CJ807" s="128">
        <f>IFERROR(AY807*$W807,)</f>
        <v/>
      </c>
      <c r="CK807" s="128">
        <f>IFERROR(AZ807*$W807,)</f>
        <v/>
      </c>
      <c r="CL807" s="129">
        <f>IFERROR(if($Y807=0,BA807*($W807/1.2),BA807*$Y807),"")</f>
        <v/>
      </c>
      <c r="CM807" s="129">
        <f>IFERROR(if($Y807=0,BB807*($W807/1.2),BB807*$Y807),"")</f>
        <v/>
      </c>
      <c r="CN807" s="129">
        <f>IFERROR(if($Y807=0,BC807*($W807/1.2),BC807*$Y807),"")</f>
        <v/>
      </c>
      <c r="CO807" s="130">
        <f>IFERROR(if($AA807=0,($W807/1.35)*BD807,BD807*$AA807),)</f>
        <v/>
      </c>
      <c r="CP807" s="130">
        <f>IFERROR(if($AA807=0,($W807/1.35)*BE807,BE807*$AA807),)</f>
        <v/>
      </c>
      <c r="CQ807" s="130">
        <f>IFERROR(if($AA807=0,($W807/1.35)*BF807,BF807*$AA807),)</f>
        <v/>
      </c>
      <c r="CR807" s="128">
        <f>IFERROR(if($AC807=0,($W807/0.74)*BG807,
BG807*$AC807),)</f>
        <v/>
      </c>
      <c r="CS807" s="128">
        <f>IFERROR(if($AC807=0,($W807/0.74)*BH807,
BH807*$AC807),)</f>
        <v/>
      </c>
      <c r="CT807" s="128">
        <f>IFERROR(if($AC807=0,($W807/0.74)*BI807,
BI807*$AC807),)</f>
        <v/>
      </c>
      <c r="CU807" s="128">
        <f>IFERROR(AI807*$V807,)</f>
        <v/>
      </c>
      <c r="CV807" s="128">
        <f>IFERROR(AJ807*$V807,)</f>
        <v/>
      </c>
      <c r="CW807" s="128">
        <f>IFERROR(AK807*$V807,)</f>
        <v/>
      </c>
      <c r="CX807" s="128">
        <f>IFERROR(AL807*$V807,)</f>
        <v/>
      </c>
      <c r="CY807" s="128">
        <f>IFERROR(AM807*$V807,)</f>
        <v/>
      </c>
      <c r="CZ807" s="128">
        <f>IFERROR(AN807*$V807,)</f>
        <v/>
      </c>
      <c r="DA807" s="128">
        <f>IFERROR(AO807*$V807,)</f>
        <v/>
      </c>
      <c r="DB807" s="128">
        <f>IFERROR(AP807*$V807,)</f>
        <v/>
      </c>
      <c r="DC807" s="128">
        <f>IFERROR(AQ807*$V807,)</f>
        <v/>
      </c>
      <c r="DD807" s="128">
        <f>IFERROR(AR807*$V807,)</f>
        <v/>
      </c>
      <c r="DE807" s="128">
        <f>IFERROR(AS807*$V807,)</f>
        <v/>
      </c>
      <c r="DF807" s="128">
        <f>IFERROR(AT807*$V807,)</f>
        <v/>
      </c>
      <c r="DG807" s="128">
        <f>IFERROR(AU807*$V807,)</f>
        <v/>
      </c>
      <c r="DH807" s="128">
        <f>IFERROR(AV807*$V807,)</f>
        <v/>
      </c>
      <c r="DI807" s="128">
        <f>IFERROR(AW807*$V807,)</f>
        <v/>
      </c>
      <c r="DJ807" s="128">
        <f>IFERROR(AX807*$V807,)</f>
        <v/>
      </c>
      <c r="DK807" s="128">
        <f>IFERROR(AY807*$V807,)</f>
        <v/>
      </c>
      <c r="DL807" s="128">
        <f>IFERROR(AZ807*$V807,)</f>
        <v/>
      </c>
      <c r="DM807" s="129">
        <f>IFERROR(if($X807=0,($V807/1.2)*BA807,
BA807*$X807),)</f>
        <v/>
      </c>
      <c r="DN807" s="129">
        <f>IFERROR(if($X807=0,($V807/1.2)*BB807,
BB807*$X807),)</f>
        <v/>
      </c>
      <c r="DO807" s="129">
        <f>IFERROR(if($X807=0,($V807/1.2)*BC807,
BC807*$X807),)</f>
        <v/>
      </c>
      <c r="DP807" s="130">
        <f>IFERROR(if($Z807=0,($V807/1.35)*BD807,
BD807*$Z807),)</f>
        <v/>
      </c>
      <c r="DQ807" s="130">
        <f>IFERROR(if($Z807=0,($V807/1.35)*BE807,
BE807*$Z807),)</f>
        <v/>
      </c>
      <c r="DR807" s="130">
        <f>IFERROR(if($Z807=0,($V807/1.35)*BF807,
BF807*$Z807),)</f>
        <v/>
      </c>
      <c r="DS807" s="128">
        <f>IFERROR(IF($AB807=0,($V807/0.74)*BG807,
BG807*$AB807),)</f>
        <v/>
      </c>
      <c r="DT807" s="128">
        <f>IFERROR(IF($AB807=0,($V807/0.74)*BH807,
BH807*$AB807),)</f>
        <v/>
      </c>
      <c r="DU807" s="128">
        <f>IFERROR(IF($AB807=0,($V807/0.74)*BI807,
BI807*$AB807),)</f>
        <v/>
      </c>
    </row>
    <row r="808" ht="131.25" customHeight="1" s="162">
      <c r="A808" s="115" t="n"/>
      <c r="B808" s="115" t="n"/>
      <c r="C808" s="115" t="n"/>
      <c r="D808" s="115" t="n"/>
      <c r="E808" s="115" t="n"/>
      <c r="F808" s="115" t="n"/>
      <c r="G808" s="115" t="n"/>
      <c r="H808" s="115" t="n"/>
      <c r="I808" s="115" t="n"/>
      <c r="J808" s="115" t="n"/>
      <c r="K808" s="115" t="n"/>
      <c r="L808" s="115" t="n"/>
      <c r="M808" s="115" t="n"/>
      <c r="N808" s="115" t="n"/>
      <c r="O808" s="115" t="n"/>
      <c r="P808" s="115" t="n"/>
      <c r="Q808" s="115" t="n"/>
      <c r="R808" s="115" t="n"/>
      <c r="S808" s="115" t="n"/>
      <c r="T808" s="115" t="n"/>
      <c r="U808" s="116" t="n"/>
      <c r="V808" s="116" t="n"/>
      <c r="W808" s="117" t="n"/>
      <c r="X808" s="118" t="n"/>
      <c r="Y808" s="119" t="n"/>
      <c r="Z808" s="120" t="n"/>
      <c r="AA808" s="121" t="n"/>
      <c r="AB808" s="122" t="n"/>
      <c r="AC808" s="117" t="n"/>
      <c r="AD808" s="123">
        <f>IF(SUM($AE808:$AH808)=0,"",SUM($AE808:$AH808))</f>
        <v/>
      </c>
      <c r="AE808" s="123">
        <f>iferror(IF(SUM($AI808:$AZ808)=0,"",SUM($AI808:$AZ808)),"")</f>
        <v/>
      </c>
      <c r="AF808" s="123">
        <f>iferror(IF(SUM($BA808:$BC808)=0,"",SUM($BA808:$BC808)),"")</f>
        <v/>
      </c>
      <c r="AG808" s="123">
        <f>iferror(IF(SUM($BD808:$BF808)=0,"",SUM($BD808:$BF808)),"")</f>
        <v/>
      </c>
      <c r="AH808" s="124">
        <f>iferror(IF(SUM($BG808:$BI808)=0,"",SUM($BG808:$BI808)),"")</f>
        <v/>
      </c>
      <c r="AI808" s="131" t="n"/>
      <c r="AJ808" s="132" t="n"/>
      <c r="AK808" s="132" t="n"/>
      <c r="AL808" s="132" t="n"/>
      <c r="AM808" s="132" t="n"/>
      <c r="AN808" s="132" t="n"/>
      <c r="AO808" s="132" t="n"/>
      <c r="AP808" s="132" t="n"/>
      <c r="AQ808" s="132" t="n"/>
      <c r="AR808" s="132" t="n"/>
      <c r="AS808" s="132" t="n"/>
      <c r="AT808" s="132" t="n"/>
      <c r="AU808" s="132" t="n"/>
      <c r="AV808" s="132" t="n"/>
      <c r="AW808" s="132" t="n"/>
      <c r="AX808" s="132" t="n"/>
      <c r="AY808" s="132" t="n"/>
      <c r="AZ808" s="133" t="n"/>
      <c r="BA808" s="131" t="n"/>
      <c r="BB808" s="132" t="n"/>
      <c r="BC808" s="133" t="n"/>
      <c r="BD808" s="131" t="n"/>
      <c r="BE808" s="132" t="n"/>
      <c r="BF808" s="133" t="n"/>
      <c r="BG808" s="131" t="n"/>
      <c r="BH808" s="132" t="n"/>
      <c r="BI808" s="132" t="n"/>
      <c r="BJ808" s="128">
        <f>iferror(SUM($BK808,($BL808*1.2),($BM808*1.35),($BN808*0.74)),)</f>
        <v/>
      </c>
      <c r="BK808" s="128">
        <f>IFERROR(SUM($BT808:$CK808),)</f>
        <v/>
      </c>
      <c r="BL808" s="129">
        <f>IFERROR(SUM($CL808:$CN808),)</f>
        <v/>
      </c>
      <c r="BM808" s="130">
        <f>IFERROR(SUM($CO808:$CQ808),)</f>
        <v/>
      </c>
      <c r="BN808" s="128">
        <f>IFERROR(SUM($CR808:$CT808),)</f>
        <v/>
      </c>
      <c r="BO808" s="128">
        <f>iferror(SUM($BP808,($BQ808*1.2),($BR808*1.35),($BS808*0.74)),)</f>
        <v/>
      </c>
      <c r="BP808" s="128">
        <f>IFERROR(SUM($CU808:$DL808),)</f>
        <v/>
      </c>
      <c r="BQ808" s="128">
        <f>IFERROR(SUM($DM808:$DO808),)</f>
        <v/>
      </c>
      <c r="BR808" s="128">
        <f>IFERROR(SUM($DP808:$DR808),)</f>
        <v/>
      </c>
      <c r="BS808" s="128">
        <f>IFERROR(SUM($DS808:$DU808),)</f>
        <v/>
      </c>
      <c r="BT808" s="128">
        <f>IFERROR(AI808*$W808,)</f>
        <v/>
      </c>
      <c r="BU808" s="128">
        <f>IFERROR(AJ808*$W808,)</f>
        <v/>
      </c>
      <c r="BV808" s="128">
        <f>IFERROR(AK808*$W808,)</f>
        <v/>
      </c>
      <c r="BW808" s="128">
        <f>IFERROR(AL808*$W808,)</f>
        <v/>
      </c>
      <c r="BX808" s="128">
        <f>IFERROR(AM808*$W808,)</f>
        <v/>
      </c>
      <c r="BY808" s="128">
        <f>IFERROR(AN808*$W808,)</f>
        <v/>
      </c>
      <c r="BZ808" s="128">
        <f>IFERROR(AO808*$W808,)</f>
        <v/>
      </c>
      <c r="CA808" s="128">
        <f>IFERROR(AP808*$W808,)</f>
        <v/>
      </c>
      <c r="CB808" s="128">
        <f>IFERROR(AQ808*$W808,)</f>
        <v/>
      </c>
      <c r="CC808" s="128">
        <f>IFERROR(AR808*$W808,)</f>
        <v/>
      </c>
      <c r="CD808" s="128">
        <f>IFERROR(AS808*$W808,)</f>
        <v/>
      </c>
      <c r="CE808" s="128">
        <f>IFERROR(AT808*$W808,)</f>
        <v/>
      </c>
      <c r="CF808" s="128">
        <f>IFERROR(AU808*$W808,)</f>
        <v/>
      </c>
      <c r="CG808" s="128">
        <f>IFERROR(AV808*$W808,)</f>
        <v/>
      </c>
      <c r="CH808" s="128">
        <f>IFERROR(AW808*$W808,)</f>
        <v/>
      </c>
      <c r="CI808" s="128">
        <f>IFERROR(AX808*$W808,)</f>
        <v/>
      </c>
      <c r="CJ808" s="128">
        <f>IFERROR(AY808*$W808,)</f>
        <v/>
      </c>
      <c r="CK808" s="128">
        <f>IFERROR(AZ808*$W808,)</f>
        <v/>
      </c>
      <c r="CL808" s="129">
        <f>IFERROR(if($Y808=0,BA808*($W808/1.2),BA808*$Y808),"")</f>
        <v/>
      </c>
      <c r="CM808" s="129">
        <f>IFERROR(if($Y808=0,BB808*($W808/1.2),BB808*$Y808),"")</f>
        <v/>
      </c>
      <c r="CN808" s="129">
        <f>IFERROR(if($Y808=0,BC808*($W808/1.2),BC808*$Y808),"")</f>
        <v/>
      </c>
      <c r="CO808" s="130">
        <f>IFERROR(if($AA808=0,($W808/1.35)*BD808,BD808*$AA808),)</f>
        <v/>
      </c>
      <c r="CP808" s="130">
        <f>IFERROR(if($AA808=0,($W808/1.35)*BE808,BE808*$AA808),)</f>
        <v/>
      </c>
      <c r="CQ808" s="130">
        <f>IFERROR(if($AA808=0,($W808/1.35)*BF808,BF808*$AA808),)</f>
        <v/>
      </c>
      <c r="CR808" s="128">
        <f>IFERROR(if($AC808=0,($W808/0.74)*BG808,
BG808*$AC808),)</f>
        <v/>
      </c>
      <c r="CS808" s="128">
        <f>IFERROR(if($AC808=0,($W808/0.74)*BH808,
BH808*$AC808),)</f>
        <v/>
      </c>
      <c r="CT808" s="128">
        <f>IFERROR(if($AC808=0,($W808/0.74)*BI808,
BI808*$AC808),)</f>
        <v/>
      </c>
      <c r="CU808" s="128">
        <f>IFERROR(AI808*$V808,)</f>
        <v/>
      </c>
      <c r="CV808" s="128">
        <f>IFERROR(AJ808*$V808,)</f>
        <v/>
      </c>
      <c r="CW808" s="128">
        <f>IFERROR(AK808*$V808,)</f>
        <v/>
      </c>
      <c r="CX808" s="128">
        <f>IFERROR(AL808*$V808,)</f>
        <v/>
      </c>
      <c r="CY808" s="128">
        <f>IFERROR(AM808*$V808,)</f>
        <v/>
      </c>
      <c r="CZ808" s="128">
        <f>IFERROR(AN808*$V808,)</f>
        <v/>
      </c>
      <c r="DA808" s="128">
        <f>IFERROR(AO808*$V808,)</f>
        <v/>
      </c>
      <c r="DB808" s="128">
        <f>IFERROR(AP808*$V808,)</f>
        <v/>
      </c>
      <c r="DC808" s="128">
        <f>IFERROR(AQ808*$V808,)</f>
        <v/>
      </c>
      <c r="DD808" s="128">
        <f>IFERROR(AR808*$V808,)</f>
        <v/>
      </c>
      <c r="DE808" s="128">
        <f>IFERROR(AS808*$V808,)</f>
        <v/>
      </c>
      <c r="DF808" s="128">
        <f>IFERROR(AT808*$V808,)</f>
        <v/>
      </c>
      <c r="DG808" s="128">
        <f>IFERROR(AU808*$V808,)</f>
        <v/>
      </c>
      <c r="DH808" s="128">
        <f>IFERROR(AV808*$V808,)</f>
        <v/>
      </c>
      <c r="DI808" s="128">
        <f>IFERROR(AW808*$V808,)</f>
        <v/>
      </c>
      <c r="DJ808" s="128">
        <f>IFERROR(AX808*$V808,)</f>
        <v/>
      </c>
      <c r="DK808" s="128">
        <f>IFERROR(AY808*$V808,)</f>
        <v/>
      </c>
      <c r="DL808" s="128">
        <f>IFERROR(AZ808*$V808,)</f>
        <v/>
      </c>
      <c r="DM808" s="129">
        <f>IFERROR(if($X808=0,($V808/1.2)*BA808,
BA808*$X808),)</f>
        <v/>
      </c>
      <c r="DN808" s="129">
        <f>IFERROR(if($X808=0,($V808/1.2)*BB808,
BB808*$X808),)</f>
        <v/>
      </c>
      <c r="DO808" s="129">
        <f>IFERROR(if($X808=0,($V808/1.2)*BC808,
BC808*$X808),)</f>
        <v/>
      </c>
      <c r="DP808" s="130">
        <f>IFERROR(if($Z808=0,($V808/1.35)*BD808,
BD808*$Z808),)</f>
        <v/>
      </c>
      <c r="DQ808" s="130">
        <f>IFERROR(if($Z808=0,($V808/1.35)*BE808,
BE808*$Z808),)</f>
        <v/>
      </c>
      <c r="DR808" s="130">
        <f>IFERROR(if($Z808=0,($V808/1.35)*BF808,
BF808*$Z808),)</f>
        <v/>
      </c>
      <c r="DS808" s="128">
        <f>IFERROR(IF($AB808=0,($V808/0.74)*BG808,
BG808*$AB808),)</f>
        <v/>
      </c>
      <c r="DT808" s="128">
        <f>IFERROR(IF($AB808=0,($V808/0.74)*BH808,
BH808*$AB808),)</f>
        <v/>
      </c>
      <c r="DU808" s="128">
        <f>IFERROR(IF($AB808=0,($V808/0.74)*BI808,
BI808*$AB808),)</f>
        <v/>
      </c>
    </row>
    <row r="809" ht="131.25" customHeight="1" s="162">
      <c r="A809" s="115" t="n"/>
      <c r="B809" s="115" t="n"/>
      <c r="C809" s="115" t="n"/>
      <c r="D809" s="115" t="n"/>
      <c r="E809" s="115" t="n"/>
      <c r="F809" s="115" t="n"/>
      <c r="G809" s="115" t="n"/>
      <c r="H809" s="115" t="n"/>
      <c r="I809" s="115" t="n"/>
      <c r="J809" s="115" t="n"/>
      <c r="K809" s="115" t="n"/>
      <c r="L809" s="115" t="n"/>
      <c r="M809" s="115" t="n"/>
      <c r="N809" s="115" t="n"/>
      <c r="O809" s="115" t="n"/>
      <c r="P809" s="115" t="n"/>
      <c r="Q809" s="115" t="n"/>
      <c r="R809" s="115" t="n"/>
      <c r="S809" s="115" t="n"/>
      <c r="T809" s="115" t="n"/>
      <c r="U809" s="116" t="n"/>
      <c r="V809" s="116" t="n"/>
      <c r="W809" s="117" t="n"/>
      <c r="X809" s="118" t="n"/>
      <c r="Y809" s="119" t="n"/>
      <c r="Z809" s="120" t="n"/>
      <c r="AA809" s="121" t="n"/>
      <c r="AB809" s="122" t="n"/>
      <c r="AC809" s="117" t="n"/>
      <c r="AD809" s="123">
        <f>IF(SUM($AE809:$AH809)=0,"",SUM($AE809:$AH809))</f>
        <v/>
      </c>
      <c r="AE809" s="123">
        <f>iferror(IF(SUM($AI809:$AZ809)=0,"",SUM($AI809:$AZ809)),"")</f>
        <v/>
      </c>
      <c r="AF809" s="123">
        <f>iferror(IF(SUM($BA809:$BC809)=0,"",SUM($BA809:$BC809)),"")</f>
        <v/>
      </c>
      <c r="AG809" s="123">
        <f>iferror(IF(SUM($BD809:$BF809)=0,"",SUM($BD809:$BF809)),"")</f>
        <v/>
      </c>
      <c r="AH809" s="124">
        <f>iferror(IF(SUM($BG809:$BI809)=0,"",SUM($BG809:$BI809)),"")</f>
        <v/>
      </c>
      <c r="AI809" s="131" t="n"/>
      <c r="AJ809" s="132" t="n"/>
      <c r="AK809" s="132" t="n"/>
      <c r="AL809" s="132" t="n"/>
      <c r="AM809" s="132" t="n"/>
      <c r="AN809" s="132" t="n"/>
      <c r="AO809" s="132" t="n"/>
      <c r="AP809" s="132" t="n"/>
      <c r="AQ809" s="132" t="n"/>
      <c r="AR809" s="132" t="n"/>
      <c r="AS809" s="132" t="n"/>
      <c r="AT809" s="132" t="n"/>
      <c r="AU809" s="132" t="n"/>
      <c r="AV809" s="132" t="n"/>
      <c r="AW809" s="132" t="n"/>
      <c r="AX809" s="132" t="n"/>
      <c r="AY809" s="132" t="n"/>
      <c r="AZ809" s="133" t="n"/>
      <c r="BA809" s="131" t="n"/>
      <c r="BB809" s="132" t="n"/>
      <c r="BC809" s="133" t="n"/>
      <c r="BD809" s="131" t="n"/>
      <c r="BE809" s="132" t="n"/>
      <c r="BF809" s="133" t="n"/>
      <c r="BG809" s="131" t="n"/>
      <c r="BH809" s="132" t="n"/>
      <c r="BI809" s="132" t="n"/>
      <c r="BJ809" s="128">
        <f>iferror(SUM($BK809,($BL809*1.2),($BM809*1.35),($BN809*0.74)),)</f>
        <v/>
      </c>
      <c r="BK809" s="128">
        <f>IFERROR(SUM($BT809:$CK809),)</f>
        <v/>
      </c>
      <c r="BL809" s="129">
        <f>IFERROR(SUM($CL809:$CN809),)</f>
        <v/>
      </c>
      <c r="BM809" s="130">
        <f>IFERROR(SUM($CO809:$CQ809),)</f>
        <v/>
      </c>
      <c r="BN809" s="128">
        <f>IFERROR(SUM($CR809:$CT809),)</f>
        <v/>
      </c>
      <c r="BO809" s="128">
        <f>iferror(SUM($BP809,($BQ809*1.2),($BR809*1.35),($BS809*0.74)),)</f>
        <v/>
      </c>
      <c r="BP809" s="128">
        <f>IFERROR(SUM($CU809:$DL809),)</f>
        <v/>
      </c>
      <c r="BQ809" s="128">
        <f>IFERROR(SUM($DM809:$DO809),)</f>
        <v/>
      </c>
      <c r="BR809" s="128">
        <f>IFERROR(SUM($DP809:$DR809),)</f>
        <v/>
      </c>
      <c r="BS809" s="128">
        <f>IFERROR(SUM($DS809:$DU809),)</f>
        <v/>
      </c>
      <c r="BT809" s="128">
        <f>IFERROR(AI809*$W809,)</f>
        <v/>
      </c>
      <c r="BU809" s="128">
        <f>IFERROR(AJ809*$W809,)</f>
        <v/>
      </c>
      <c r="BV809" s="128">
        <f>IFERROR(AK809*$W809,)</f>
        <v/>
      </c>
      <c r="BW809" s="128">
        <f>IFERROR(AL809*$W809,)</f>
        <v/>
      </c>
      <c r="BX809" s="128">
        <f>IFERROR(AM809*$W809,)</f>
        <v/>
      </c>
      <c r="BY809" s="128">
        <f>IFERROR(AN809*$W809,)</f>
        <v/>
      </c>
      <c r="BZ809" s="128">
        <f>IFERROR(AO809*$W809,)</f>
        <v/>
      </c>
      <c r="CA809" s="128">
        <f>IFERROR(AP809*$W809,)</f>
        <v/>
      </c>
      <c r="CB809" s="128">
        <f>IFERROR(AQ809*$W809,)</f>
        <v/>
      </c>
      <c r="CC809" s="128">
        <f>IFERROR(AR809*$W809,)</f>
        <v/>
      </c>
      <c r="CD809" s="128">
        <f>IFERROR(AS809*$W809,)</f>
        <v/>
      </c>
      <c r="CE809" s="128">
        <f>IFERROR(AT809*$W809,)</f>
        <v/>
      </c>
      <c r="CF809" s="128">
        <f>IFERROR(AU809*$W809,)</f>
        <v/>
      </c>
      <c r="CG809" s="128">
        <f>IFERROR(AV809*$W809,)</f>
        <v/>
      </c>
      <c r="CH809" s="128">
        <f>IFERROR(AW809*$W809,)</f>
        <v/>
      </c>
      <c r="CI809" s="128">
        <f>IFERROR(AX809*$W809,)</f>
        <v/>
      </c>
      <c r="CJ809" s="128">
        <f>IFERROR(AY809*$W809,)</f>
        <v/>
      </c>
      <c r="CK809" s="128">
        <f>IFERROR(AZ809*$W809,)</f>
        <v/>
      </c>
      <c r="CL809" s="129">
        <f>IFERROR(if($Y809=0,BA809*($W809/1.2),BA809*$Y809),"")</f>
        <v/>
      </c>
      <c r="CM809" s="129">
        <f>IFERROR(if($Y809=0,BB809*($W809/1.2),BB809*$Y809),"")</f>
        <v/>
      </c>
      <c r="CN809" s="129">
        <f>IFERROR(if($Y809=0,BC809*($W809/1.2),BC809*$Y809),"")</f>
        <v/>
      </c>
      <c r="CO809" s="130">
        <f>IFERROR(if($AA809=0,($W809/1.35)*BD809,BD809*$AA809),)</f>
        <v/>
      </c>
      <c r="CP809" s="130">
        <f>IFERROR(if($AA809=0,($W809/1.35)*BE809,BE809*$AA809),)</f>
        <v/>
      </c>
      <c r="CQ809" s="130">
        <f>IFERROR(if($AA809=0,($W809/1.35)*BF809,BF809*$AA809),)</f>
        <v/>
      </c>
      <c r="CR809" s="128">
        <f>IFERROR(if($AC809=0,($W809/0.74)*BG809,
BG809*$AC809),)</f>
        <v/>
      </c>
      <c r="CS809" s="128">
        <f>IFERROR(if($AC809=0,($W809/0.74)*BH809,
BH809*$AC809),)</f>
        <v/>
      </c>
      <c r="CT809" s="128">
        <f>IFERROR(if($AC809=0,($W809/0.74)*BI809,
BI809*$AC809),)</f>
        <v/>
      </c>
      <c r="CU809" s="128">
        <f>IFERROR(AI809*$V809,)</f>
        <v/>
      </c>
      <c r="CV809" s="128">
        <f>IFERROR(AJ809*$V809,)</f>
        <v/>
      </c>
      <c r="CW809" s="128">
        <f>IFERROR(AK809*$V809,)</f>
        <v/>
      </c>
      <c r="CX809" s="128">
        <f>IFERROR(AL809*$V809,)</f>
        <v/>
      </c>
      <c r="CY809" s="128">
        <f>IFERROR(AM809*$V809,)</f>
        <v/>
      </c>
      <c r="CZ809" s="128">
        <f>IFERROR(AN809*$V809,)</f>
        <v/>
      </c>
      <c r="DA809" s="128">
        <f>IFERROR(AO809*$V809,)</f>
        <v/>
      </c>
      <c r="DB809" s="128">
        <f>IFERROR(AP809*$V809,)</f>
        <v/>
      </c>
      <c r="DC809" s="128">
        <f>IFERROR(AQ809*$V809,)</f>
        <v/>
      </c>
      <c r="DD809" s="128">
        <f>IFERROR(AR809*$V809,)</f>
        <v/>
      </c>
      <c r="DE809" s="128">
        <f>IFERROR(AS809*$V809,)</f>
        <v/>
      </c>
      <c r="DF809" s="128">
        <f>IFERROR(AT809*$V809,)</f>
        <v/>
      </c>
      <c r="DG809" s="128">
        <f>IFERROR(AU809*$V809,)</f>
        <v/>
      </c>
      <c r="DH809" s="128">
        <f>IFERROR(AV809*$V809,)</f>
        <v/>
      </c>
      <c r="DI809" s="128">
        <f>IFERROR(AW809*$V809,)</f>
        <v/>
      </c>
      <c r="DJ809" s="128">
        <f>IFERROR(AX809*$V809,)</f>
        <v/>
      </c>
      <c r="DK809" s="128">
        <f>IFERROR(AY809*$V809,)</f>
        <v/>
      </c>
      <c r="DL809" s="128">
        <f>IFERROR(AZ809*$V809,)</f>
        <v/>
      </c>
      <c r="DM809" s="129">
        <f>IFERROR(if($X809=0,($V809/1.2)*BA809,
BA809*$X809),)</f>
        <v/>
      </c>
      <c r="DN809" s="129">
        <f>IFERROR(if($X809=0,($V809/1.2)*BB809,
BB809*$X809),)</f>
        <v/>
      </c>
      <c r="DO809" s="129">
        <f>IFERROR(if($X809=0,($V809/1.2)*BC809,
BC809*$X809),)</f>
        <v/>
      </c>
      <c r="DP809" s="130">
        <f>IFERROR(if($Z809=0,($V809/1.35)*BD809,
BD809*$Z809),)</f>
        <v/>
      </c>
      <c r="DQ809" s="130">
        <f>IFERROR(if($Z809=0,($V809/1.35)*BE809,
BE809*$Z809),)</f>
        <v/>
      </c>
      <c r="DR809" s="130">
        <f>IFERROR(if($Z809=0,($V809/1.35)*BF809,
BF809*$Z809),)</f>
        <v/>
      </c>
      <c r="DS809" s="128">
        <f>IFERROR(IF($AB809=0,($V809/0.74)*BG809,
BG809*$AB809),)</f>
        <v/>
      </c>
      <c r="DT809" s="128">
        <f>IFERROR(IF($AB809=0,($V809/0.74)*BH809,
BH809*$AB809),)</f>
        <v/>
      </c>
      <c r="DU809" s="128">
        <f>IFERROR(IF($AB809=0,($V809/0.74)*BI809,
BI809*$AB809),)</f>
        <v/>
      </c>
    </row>
    <row r="810" ht="131.25" customHeight="1" s="162">
      <c r="A810" s="115" t="n"/>
      <c r="B810" s="115" t="n"/>
      <c r="C810" s="115" t="n"/>
      <c r="D810" s="115" t="n"/>
      <c r="E810" s="115" t="n"/>
      <c r="F810" s="115" t="n"/>
      <c r="G810" s="115" t="n"/>
      <c r="H810" s="115" t="n"/>
      <c r="I810" s="115" t="n"/>
      <c r="J810" s="115" t="n"/>
      <c r="K810" s="115" t="n"/>
      <c r="L810" s="115" t="n"/>
      <c r="M810" s="115" t="n"/>
      <c r="N810" s="115" t="n"/>
      <c r="O810" s="115" t="n"/>
      <c r="P810" s="115" t="n"/>
      <c r="Q810" s="115" t="n"/>
      <c r="R810" s="115" t="n"/>
      <c r="S810" s="115" t="n"/>
      <c r="T810" s="115" t="n"/>
      <c r="U810" s="116" t="n"/>
      <c r="V810" s="116" t="n"/>
      <c r="W810" s="117" t="n"/>
      <c r="X810" s="118" t="n"/>
      <c r="Y810" s="119" t="n"/>
      <c r="Z810" s="120" t="n"/>
      <c r="AA810" s="121" t="n"/>
      <c r="AB810" s="122" t="n"/>
      <c r="AC810" s="117" t="n"/>
      <c r="AD810" s="123">
        <f>IF(SUM($AE810:$AH810)=0,"",SUM($AE810:$AH810))</f>
        <v/>
      </c>
      <c r="AE810" s="123">
        <f>iferror(IF(SUM($AI810:$AZ810)=0,"",SUM($AI810:$AZ810)),"")</f>
        <v/>
      </c>
      <c r="AF810" s="123">
        <f>iferror(IF(SUM($BA810:$BC810)=0,"",SUM($BA810:$BC810)),"")</f>
        <v/>
      </c>
      <c r="AG810" s="123">
        <f>iferror(IF(SUM($BD810:$BF810)=0,"",SUM($BD810:$BF810)),"")</f>
        <v/>
      </c>
      <c r="AH810" s="124">
        <f>iferror(IF(SUM($BG810:$BI810)=0,"",SUM($BG810:$BI810)),"")</f>
        <v/>
      </c>
      <c r="AI810" s="131" t="n"/>
      <c r="AJ810" s="132" t="n"/>
      <c r="AK810" s="132" t="n"/>
      <c r="AL810" s="132" t="n"/>
      <c r="AM810" s="132" t="n"/>
      <c r="AN810" s="132" t="n"/>
      <c r="AO810" s="132" t="n"/>
      <c r="AP810" s="132" t="n"/>
      <c r="AQ810" s="132" t="n"/>
      <c r="AR810" s="132" t="n"/>
      <c r="AS810" s="132" t="n"/>
      <c r="AT810" s="132" t="n"/>
      <c r="AU810" s="132" t="n"/>
      <c r="AV810" s="132" t="n"/>
      <c r="AW810" s="132" t="n"/>
      <c r="AX810" s="132" t="n"/>
      <c r="AY810" s="132" t="n"/>
      <c r="AZ810" s="133" t="n"/>
      <c r="BA810" s="131" t="n"/>
      <c r="BB810" s="132" t="n"/>
      <c r="BC810" s="133" t="n"/>
      <c r="BD810" s="131" t="n"/>
      <c r="BE810" s="132" t="n"/>
      <c r="BF810" s="133" t="n"/>
      <c r="BG810" s="131" t="n"/>
      <c r="BH810" s="132" t="n"/>
      <c r="BI810" s="132" t="n"/>
      <c r="BJ810" s="128">
        <f>iferror(SUM($BK810,($BL810*1.2),($BM810*1.35),($BN810*0.74)),)</f>
        <v/>
      </c>
      <c r="BK810" s="128">
        <f>IFERROR(SUM($BT810:$CK810),)</f>
        <v/>
      </c>
      <c r="BL810" s="129">
        <f>IFERROR(SUM($CL810:$CN810),)</f>
        <v/>
      </c>
      <c r="BM810" s="130">
        <f>IFERROR(SUM($CO810:$CQ810),)</f>
        <v/>
      </c>
      <c r="BN810" s="128">
        <f>IFERROR(SUM($CR810:$CT810),)</f>
        <v/>
      </c>
      <c r="BO810" s="128">
        <f>iferror(SUM($BP810,($BQ810*1.2),($BR810*1.35),($BS810*0.74)),)</f>
        <v/>
      </c>
      <c r="BP810" s="128">
        <f>IFERROR(SUM($CU810:$DL810),)</f>
        <v/>
      </c>
      <c r="BQ810" s="128">
        <f>IFERROR(SUM($DM810:$DO810),)</f>
        <v/>
      </c>
      <c r="BR810" s="128">
        <f>IFERROR(SUM($DP810:$DR810),)</f>
        <v/>
      </c>
      <c r="BS810" s="128">
        <f>IFERROR(SUM($DS810:$DU810),)</f>
        <v/>
      </c>
      <c r="BT810" s="128">
        <f>IFERROR(AI810*$W810,)</f>
        <v/>
      </c>
      <c r="BU810" s="128">
        <f>IFERROR(AJ810*$W810,)</f>
        <v/>
      </c>
      <c r="BV810" s="128">
        <f>IFERROR(AK810*$W810,)</f>
        <v/>
      </c>
      <c r="BW810" s="128">
        <f>IFERROR(AL810*$W810,)</f>
        <v/>
      </c>
      <c r="BX810" s="128">
        <f>IFERROR(AM810*$W810,)</f>
        <v/>
      </c>
      <c r="BY810" s="128">
        <f>IFERROR(AN810*$W810,)</f>
        <v/>
      </c>
      <c r="BZ810" s="128">
        <f>IFERROR(AO810*$W810,)</f>
        <v/>
      </c>
      <c r="CA810" s="128">
        <f>IFERROR(AP810*$W810,)</f>
        <v/>
      </c>
      <c r="CB810" s="128">
        <f>IFERROR(AQ810*$W810,)</f>
        <v/>
      </c>
      <c r="CC810" s="128">
        <f>IFERROR(AR810*$W810,)</f>
        <v/>
      </c>
      <c r="CD810" s="128">
        <f>IFERROR(AS810*$W810,)</f>
        <v/>
      </c>
      <c r="CE810" s="128">
        <f>IFERROR(AT810*$W810,)</f>
        <v/>
      </c>
      <c r="CF810" s="128">
        <f>IFERROR(AU810*$W810,)</f>
        <v/>
      </c>
      <c r="CG810" s="128">
        <f>IFERROR(AV810*$W810,)</f>
        <v/>
      </c>
      <c r="CH810" s="128">
        <f>IFERROR(AW810*$W810,)</f>
        <v/>
      </c>
      <c r="CI810" s="128">
        <f>IFERROR(AX810*$W810,)</f>
        <v/>
      </c>
      <c r="CJ810" s="128">
        <f>IFERROR(AY810*$W810,)</f>
        <v/>
      </c>
      <c r="CK810" s="128">
        <f>IFERROR(AZ810*$W810,)</f>
        <v/>
      </c>
      <c r="CL810" s="129">
        <f>IFERROR(if($Y810=0,BA810*($W810/1.2),BA810*$Y810),"")</f>
        <v/>
      </c>
      <c r="CM810" s="129">
        <f>IFERROR(if($Y810=0,BB810*($W810/1.2),BB810*$Y810),"")</f>
        <v/>
      </c>
      <c r="CN810" s="129">
        <f>IFERROR(if($Y810=0,BC810*($W810/1.2),BC810*$Y810),"")</f>
        <v/>
      </c>
      <c r="CO810" s="130">
        <f>IFERROR(if($AA810=0,($W810/1.35)*BD810,BD810*$AA810),)</f>
        <v/>
      </c>
      <c r="CP810" s="130">
        <f>IFERROR(if($AA810=0,($W810/1.35)*BE810,BE810*$AA810),)</f>
        <v/>
      </c>
      <c r="CQ810" s="130">
        <f>IFERROR(if($AA810=0,($W810/1.35)*BF810,BF810*$AA810),)</f>
        <v/>
      </c>
      <c r="CR810" s="128">
        <f>IFERROR(if($AC810=0,($W810/0.74)*BG810,
BG810*$AC810),)</f>
        <v/>
      </c>
      <c r="CS810" s="128">
        <f>IFERROR(if($AC810=0,($W810/0.74)*BH810,
BH810*$AC810),)</f>
        <v/>
      </c>
      <c r="CT810" s="128">
        <f>IFERROR(if($AC810=0,($W810/0.74)*BI810,
BI810*$AC810),)</f>
        <v/>
      </c>
      <c r="CU810" s="128">
        <f>IFERROR(AI810*$V810,)</f>
        <v/>
      </c>
      <c r="CV810" s="128">
        <f>IFERROR(AJ810*$V810,)</f>
        <v/>
      </c>
      <c r="CW810" s="128">
        <f>IFERROR(AK810*$V810,)</f>
        <v/>
      </c>
      <c r="CX810" s="128">
        <f>IFERROR(AL810*$V810,)</f>
        <v/>
      </c>
      <c r="CY810" s="128">
        <f>IFERROR(AM810*$V810,)</f>
        <v/>
      </c>
      <c r="CZ810" s="128">
        <f>IFERROR(AN810*$V810,)</f>
        <v/>
      </c>
      <c r="DA810" s="128">
        <f>IFERROR(AO810*$V810,)</f>
        <v/>
      </c>
      <c r="DB810" s="128">
        <f>IFERROR(AP810*$V810,)</f>
        <v/>
      </c>
      <c r="DC810" s="128">
        <f>IFERROR(AQ810*$V810,)</f>
        <v/>
      </c>
      <c r="DD810" s="128">
        <f>IFERROR(AR810*$V810,)</f>
        <v/>
      </c>
      <c r="DE810" s="128">
        <f>IFERROR(AS810*$V810,)</f>
        <v/>
      </c>
      <c r="DF810" s="128">
        <f>IFERROR(AT810*$V810,)</f>
        <v/>
      </c>
      <c r="DG810" s="128">
        <f>IFERROR(AU810*$V810,)</f>
        <v/>
      </c>
      <c r="DH810" s="128">
        <f>IFERROR(AV810*$V810,)</f>
        <v/>
      </c>
      <c r="DI810" s="128">
        <f>IFERROR(AW810*$V810,)</f>
        <v/>
      </c>
      <c r="DJ810" s="128">
        <f>IFERROR(AX810*$V810,)</f>
        <v/>
      </c>
      <c r="DK810" s="128">
        <f>IFERROR(AY810*$V810,)</f>
        <v/>
      </c>
      <c r="DL810" s="128">
        <f>IFERROR(AZ810*$V810,)</f>
        <v/>
      </c>
      <c r="DM810" s="129">
        <f>IFERROR(if($X810=0,($V810/1.2)*BA810,
BA810*$X810),)</f>
        <v/>
      </c>
      <c r="DN810" s="129">
        <f>IFERROR(if($X810=0,($V810/1.2)*BB810,
BB810*$X810),)</f>
        <v/>
      </c>
      <c r="DO810" s="129">
        <f>IFERROR(if($X810=0,($V810/1.2)*BC810,
BC810*$X810),)</f>
        <v/>
      </c>
      <c r="DP810" s="130">
        <f>IFERROR(if($Z810=0,($V810/1.35)*BD810,
BD810*$Z810),)</f>
        <v/>
      </c>
      <c r="DQ810" s="130">
        <f>IFERROR(if($Z810=0,($V810/1.35)*BE810,
BE810*$Z810),)</f>
        <v/>
      </c>
      <c r="DR810" s="130">
        <f>IFERROR(if($Z810=0,($V810/1.35)*BF810,
BF810*$Z810),)</f>
        <v/>
      </c>
      <c r="DS810" s="128">
        <f>IFERROR(IF($AB810=0,($V810/0.74)*BG810,
BG810*$AB810),)</f>
        <v/>
      </c>
      <c r="DT810" s="128">
        <f>IFERROR(IF($AB810=0,($V810/0.74)*BH810,
BH810*$AB810),)</f>
        <v/>
      </c>
      <c r="DU810" s="128">
        <f>IFERROR(IF($AB810=0,($V810/0.74)*BI810,
BI810*$AB810),)</f>
        <v/>
      </c>
    </row>
    <row r="811" ht="131.25" customHeight="1" s="162">
      <c r="A811" s="115" t="n"/>
      <c r="B811" s="115" t="n"/>
      <c r="C811" s="115" t="n"/>
      <c r="D811" s="115" t="n"/>
      <c r="E811" s="115" t="n"/>
      <c r="F811" s="115" t="n"/>
      <c r="G811" s="115" t="n"/>
      <c r="H811" s="115" t="n"/>
      <c r="I811" s="115" t="n"/>
      <c r="J811" s="115" t="n"/>
      <c r="K811" s="115" t="n"/>
      <c r="L811" s="115" t="n"/>
      <c r="M811" s="115" t="n"/>
      <c r="N811" s="115" t="n"/>
      <c r="O811" s="115" t="n"/>
      <c r="P811" s="115" t="n"/>
      <c r="Q811" s="115" t="n"/>
      <c r="R811" s="115" t="n"/>
      <c r="S811" s="115" t="n"/>
      <c r="T811" s="115" t="n"/>
      <c r="U811" s="116" t="n"/>
      <c r="V811" s="116" t="n"/>
      <c r="W811" s="117" t="n"/>
      <c r="X811" s="118" t="n"/>
      <c r="Y811" s="119" t="n"/>
      <c r="Z811" s="120" t="n"/>
      <c r="AA811" s="121" t="n"/>
      <c r="AB811" s="122" t="n"/>
      <c r="AC811" s="117" t="n"/>
      <c r="AD811" s="123">
        <f>IF(SUM($AE811:$AH811)=0,"",SUM($AE811:$AH811))</f>
        <v/>
      </c>
      <c r="AE811" s="123">
        <f>iferror(IF(SUM($AI811:$AZ811)=0,"",SUM($AI811:$AZ811)),"")</f>
        <v/>
      </c>
      <c r="AF811" s="123">
        <f>iferror(IF(SUM($BA811:$BC811)=0,"",SUM($BA811:$BC811)),"")</f>
        <v/>
      </c>
      <c r="AG811" s="123">
        <f>iferror(IF(SUM($BD811:$BF811)=0,"",SUM($BD811:$BF811)),"")</f>
        <v/>
      </c>
      <c r="AH811" s="124">
        <f>iferror(IF(SUM($BG811:$BI811)=0,"",SUM($BG811:$BI811)),"")</f>
        <v/>
      </c>
      <c r="AI811" s="131" t="n"/>
      <c r="AJ811" s="132" t="n"/>
      <c r="AK811" s="132" t="n"/>
      <c r="AL811" s="132" t="n"/>
      <c r="AM811" s="132" t="n"/>
      <c r="AN811" s="132" t="n"/>
      <c r="AO811" s="132" t="n"/>
      <c r="AP811" s="132" t="n"/>
      <c r="AQ811" s="132" t="n"/>
      <c r="AR811" s="132" t="n"/>
      <c r="AS811" s="132" t="n"/>
      <c r="AT811" s="132" t="n"/>
      <c r="AU811" s="132" t="n"/>
      <c r="AV811" s="132" t="n"/>
      <c r="AW811" s="132" t="n"/>
      <c r="AX811" s="132" t="n"/>
      <c r="AY811" s="132" t="n"/>
      <c r="AZ811" s="133" t="n"/>
      <c r="BA811" s="131" t="n"/>
      <c r="BB811" s="132" t="n"/>
      <c r="BC811" s="133" t="n"/>
      <c r="BD811" s="131" t="n"/>
      <c r="BE811" s="132" t="n"/>
      <c r="BF811" s="133" t="n"/>
      <c r="BG811" s="131" t="n"/>
      <c r="BH811" s="132" t="n"/>
      <c r="BI811" s="132" t="n"/>
      <c r="BJ811" s="128">
        <f>iferror(SUM($BK811,($BL811*1.2),($BM811*1.35),($BN811*0.74)),)</f>
        <v/>
      </c>
      <c r="BK811" s="128">
        <f>IFERROR(SUM($BT811:$CK811),)</f>
        <v/>
      </c>
      <c r="BL811" s="129">
        <f>IFERROR(SUM($CL811:$CN811),)</f>
        <v/>
      </c>
      <c r="BM811" s="130">
        <f>IFERROR(SUM($CO811:$CQ811),)</f>
        <v/>
      </c>
      <c r="BN811" s="128">
        <f>IFERROR(SUM($CR811:$CT811),)</f>
        <v/>
      </c>
      <c r="BO811" s="128">
        <f>iferror(SUM($BP811,($BQ811*1.2),($BR811*1.35),($BS811*0.74)),)</f>
        <v/>
      </c>
      <c r="BP811" s="128">
        <f>IFERROR(SUM($CU811:$DL811),)</f>
        <v/>
      </c>
      <c r="BQ811" s="128">
        <f>IFERROR(SUM($DM811:$DO811),)</f>
        <v/>
      </c>
      <c r="BR811" s="128">
        <f>IFERROR(SUM($DP811:$DR811),)</f>
        <v/>
      </c>
      <c r="BS811" s="128">
        <f>IFERROR(SUM($DS811:$DU811),)</f>
        <v/>
      </c>
      <c r="BT811" s="128">
        <f>IFERROR(AI811*$W811,)</f>
        <v/>
      </c>
      <c r="BU811" s="128">
        <f>IFERROR(AJ811*$W811,)</f>
        <v/>
      </c>
      <c r="BV811" s="128">
        <f>IFERROR(AK811*$W811,)</f>
        <v/>
      </c>
      <c r="BW811" s="128">
        <f>IFERROR(AL811*$W811,)</f>
        <v/>
      </c>
      <c r="BX811" s="128">
        <f>IFERROR(AM811*$W811,)</f>
        <v/>
      </c>
      <c r="BY811" s="128">
        <f>IFERROR(AN811*$W811,)</f>
        <v/>
      </c>
      <c r="BZ811" s="128">
        <f>IFERROR(AO811*$W811,)</f>
        <v/>
      </c>
      <c r="CA811" s="128">
        <f>IFERROR(AP811*$W811,)</f>
        <v/>
      </c>
      <c r="CB811" s="128">
        <f>IFERROR(AQ811*$W811,)</f>
        <v/>
      </c>
      <c r="CC811" s="128">
        <f>IFERROR(AR811*$W811,)</f>
        <v/>
      </c>
      <c r="CD811" s="128">
        <f>IFERROR(AS811*$W811,)</f>
        <v/>
      </c>
      <c r="CE811" s="128">
        <f>IFERROR(AT811*$W811,)</f>
        <v/>
      </c>
      <c r="CF811" s="128">
        <f>IFERROR(AU811*$W811,)</f>
        <v/>
      </c>
      <c r="CG811" s="128">
        <f>IFERROR(AV811*$W811,)</f>
        <v/>
      </c>
      <c r="CH811" s="128">
        <f>IFERROR(AW811*$W811,)</f>
        <v/>
      </c>
      <c r="CI811" s="128">
        <f>IFERROR(AX811*$W811,)</f>
        <v/>
      </c>
      <c r="CJ811" s="128">
        <f>IFERROR(AY811*$W811,)</f>
        <v/>
      </c>
      <c r="CK811" s="128">
        <f>IFERROR(AZ811*$W811,)</f>
        <v/>
      </c>
      <c r="CL811" s="129">
        <f>IFERROR(if($Y811=0,BA811*($W811/1.2),BA811*$Y811),"")</f>
        <v/>
      </c>
      <c r="CM811" s="129">
        <f>IFERROR(if($Y811=0,BB811*($W811/1.2),BB811*$Y811),"")</f>
        <v/>
      </c>
      <c r="CN811" s="129">
        <f>IFERROR(if($Y811=0,BC811*($W811/1.2),BC811*$Y811),"")</f>
        <v/>
      </c>
      <c r="CO811" s="130">
        <f>IFERROR(if($AA811=0,($W811/1.35)*BD811,BD811*$AA811),)</f>
        <v/>
      </c>
      <c r="CP811" s="130">
        <f>IFERROR(if($AA811=0,($W811/1.35)*BE811,BE811*$AA811),)</f>
        <v/>
      </c>
      <c r="CQ811" s="130">
        <f>IFERROR(if($AA811=0,($W811/1.35)*BF811,BF811*$AA811),)</f>
        <v/>
      </c>
      <c r="CR811" s="128">
        <f>IFERROR(if($AC811=0,($W811/0.74)*BG811,
BG811*$AC811),)</f>
        <v/>
      </c>
      <c r="CS811" s="128">
        <f>IFERROR(if($AC811=0,($W811/0.74)*BH811,
BH811*$AC811),)</f>
        <v/>
      </c>
      <c r="CT811" s="128">
        <f>IFERROR(if($AC811=0,($W811/0.74)*BI811,
BI811*$AC811),)</f>
        <v/>
      </c>
      <c r="CU811" s="128">
        <f>IFERROR(AI811*$V811,)</f>
        <v/>
      </c>
      <c r="CV811" s="128">
        <f>IFERROR(AJ811*$V811,)</f>
        <v/>
      </c>
      <c r="CW811" s="128">
        <f>IFERROR(AK811*$V811,)</f>
        <v/>
      </c>
      <c r="CX811" s="128">
        <f>IFERROR(AL811*$V811,)</f>
        <v/>
      </c>
      <c r="CY811" s="128">
        <f>IFERROR(AM811*$V811,)</f>
        <v/>
      </c>
      <c r="CZ811" s="128">
        <f>IFERROR(AN811*$V811,)</f>
        <v/>
      </c>
      <c r="DA811" s="128">
        <f>IFERROR(AO811*$V811,)</f>
        <v/>
      </c>
      <c r="DB811" s="128">
        <f>IFERROR(AP811*$V811,)</f>
        <v/>
      </c>
      <c r="DC811" s="128">
        <f>IFERROR(AQ811*$V811,)</f>
        <v/>
      </c>
      <c r="DD811" s="128">
        <f>IFERROR(AR811*$V811,)</f>
        <v/>
      </c>
      <c r="DE811" s="128">
        <f>IFERROR(AS811*$V811,)</f>
        <v/>
      </c>
      <c r="DF811" s="128">
        <f>IFERROR(AT811*$V811,)</f>
        <v/>
      </c>
      <c r="DG811" s="128">
        <f>IFERROR(AU811*$V811,)</f>
        <v/>
      </c>
      <c r="DH811" s="128">
        <f>IFERROR(AV811*$V811,)</f>
        <v/>
      </c>
      <c r="DI811" s="128">
        <f>IFERROR(AW811*$V811,)</f>
        <v/>
      </c>
      <c r="DJ811" s="128">
        <f>IFERROR(AX811*$V811,)</f>
        <v/>
      </c>
      <c r="DK811" s="128">
        <f>IFERROR(AY811*$V811,)</f>
        <v/>
      </c>
      <c r="DL811" s="128">
        <f>IFERROR(AZ811*$V811,)</f>
        <v/>
      </c>
      <c r="DM811" s="129">
        <f>IFERROR(if($X811=0,($V811/1.2)*BA811,
BA811*$X811),)</f>
        <v/>
      </c>
      <c r="DN811" s="129">
        <f>IFERROR(if($X811=0,($V811/1.2)*BB811,
BB811*$X811),)</f>
        <v/>
      </c>
      <c r="DO811" s="129">
        <f>IFERROR(if($X811=0,($V811/1.2)*BC811,
BC811*$X811),)</f>
        <v/>
      </c>
      <c r="DP811" s="130">
        <f>IFERROR(if($Z811=0,($V811/1.35)*BD811,
BD811*$Z811),)</f>
        <v/>
      </c>
      <c r="DQ811" s="130">
        <f>IFERROR(if($Z811=0,($V811/1.35)*BE811,
BE811*$Z811),)</f>
        <v/>
      </c>
      <c r="DR811" s="130">
        <f>IFERROR(if($Z811=0,($V811/1.35)*BF811,
BF811*$Z811),)</f>
        <v/>
      </c>
      <c r="DS811" s="128">
        <f>IFERROR(IF($AB811=0,($V811/0.74)*BG811,
BG811*$AB811),)</f>
        <v/>
      </c>
      <c r="DT811" s="128">
        <f>IFERROR(IF($AB811=0,($V811/0.74)*BH811,
BH811*$AB811),)</f>
        <v/>
      </c>
      <c r="DU811" s="128">
        <f>IFERROR(IF($AB811=0,($V811/0.74)*BI811,
BI811*$AB811),)</f>
        <v/>
      </c>
    </row>
    <row r="812" ht="131.25" customHeight="1" s="162">
      <c r="A812" s="115" t="n"/>
      <c r="B812" s="115" t="n"/>
      <c r="C812" s="115" t="n"/>
      <c r="D812" s="115" t="n"/>
      <c r="E812" s="115" t="n"/>
      <c r="F812" s="115" t="n"/>
      <c r="G812" s="115" t="n"/>
      <c r="H812" s="115" t="n"/>
      <c r="I812" s="115" t="n"/>
      <c r="J812" s="115" t="n"/>
      <c r="K812" s="115" t="n"/>
      <c r="L812" s="115" t="n"/>
      <c r="M812" s="115" t="n"/>
      <c r="N812" s="115" t="n"/>
      <c r="O812" s="115" t="n"/>
      <c r="P812" s="115" t="n"/>
      <c r="Q812" s="115" t="n"/>
      <c r="R812" s="115" t="n"/>
      <c r="S812" s="115" t="n"/>
      <c r="T812" s="115" t="n"/>
      <c r="U812" s="116" t="n"/>
      <c r="V812" s="116" t="n"/>
      <c r="W812" s="117" t="n"/>
      <c r="X812" s="118" t="n"/>
      <c r="Y812" s="119" t="n"/>
      <c r="Z812" s="120" t="n"/>
      <c r="AA812" s="121" t="n"/>
      <c r="AB812" s="122" t="n"/>
      <c r="AC812" s="117" t="n"/>
      <c r="AD812" s="123">
        <f>IF(SUM($AE812:$AH812)=0,"",SUM($AE812:$AH812))</f>
        <v/>
      </c>
      <c r="AE812" s="123">
        <f>iferror(IF(SUM($AI812:$AZ812)=0,"",SUM($AI812:$AZ812)),"")</f>
        <v/>
      </c>
      <c r="AF812" s="123">
        <f>iferror(IF(SUM($BA812:$BC812)=0,"",SUM($BA812:$BC812)),"")</f>
        <v/>
      </c>
      <c r="AG812" s="123">
        <f>iferror(IF(SUM($BD812:$BF812)=0,"",SUM($BD812:$BF812)),"")</f>
        <v/>
      </c>
      <c r="AH812" s="124">
        <f>iferror(IF(SUM($BG812:$BI812)=0,"",SUM($BG812:$BI812)),"")</f>
        <v/>
      </c>
      <c r="AI812" s="131" t="n"/>
      <c r="AJ812" s="132" t="n"/>
      <c r="AK812" s="132" t="n"/>
      <c r="AL812" s="132" t="n"/>
      <c r="AM812" s="132" t="n"/>
      <c r="AN812" s="132" t="n"/>
      <c r="AO812" s="132" t="n"/>
      <c r="AP812" s="132" t="n"/>
      <c r="AQ812" s="132" t="n"/>
      <c r="AR812" s="132" t="n"/>
      <c r="AS812" s="132" t="n"/>
      <c r="AT812" s="132" t="n"/>
      <c r="AU812" s="132" t="n"/>
      <c r="AV812" s="132" t="n"/>
      <c r="AW812" s="132" t="n"/>
      <c r="AX812" s="132" t="n"/>
      <c r="AY812" s="132" t="n"/>
      <c r="AZ812" s="133" t="n"/>
      <c r="BA812" s="131" t="n"/>
      <c r="BB812" s="132" t="n"/>
      <c r="BC812" s="133" t="n"/>
      <c r="BD812" s="131" t="n"/>
      <c r="BE812" s="132" t="n"/>
      <c r="BF812" s="133" t="n"/>
      <c r="BG812" s="131" t="n"/>
      <c r="BH812" s="132" t="n"/>
      <c r="BI812" s="132" t="n"/>
      <c r="BJ812" s="128">
        <f>iferror(SUM($BK812,($BL812*1.2),($BM812*1.35),($BN812*0.74)),)</f>
        <v/>
      </c>
      <c r="BK812" s="128">
        <f>IFERROR(SUM($BT812:$CK812),)</f>
        <v/>
      </c>
      <c r="BL812" s="129">
        <f>IFERROR(SUM($CL812:$CN812),)</f>
        <v/>
      </c>
      <c r="BM812" s="130">
        <f>IFERROR(SUM($CO812:$CQ812),)</f>
        <v/>
      </c>
      <c r="BN812" s="128">
        <f>IFERROR(SUM($CR812:$CT812),)</f>
        <v/>
      </c>
      <c r="BO812" s="128">
        <f>iferror(SUM($BP812,($BQ812*1.2),($BR812*1.35),($BS812*0.74)),)</f>
        <v/>
      </c>
      <c r="BP812" s="128">
        <f>IFERROR(SUM($CU812:$DL812),)</f>
        <v/>
      </c>
      <c r="BQ812" s="128">
        <f>IFERROR(SUM($DM812:$DO812),)</f>
        <v/>
      </c>
      <c r="BR812" s="128">
        <f>IFERROR(SUM($DP812:$DR812),)</f>
        <v/>
      </c>
      <c r="BS812" s="128">
        <f>IFERROR(SUM($DS812:$DU812),)</f>
        <v/>
      </c>
      <c r="BT812" s="128">
        <f>IFERROR(AI812*$W812,)</f>
        <v/>
      </c>
      <c r="BU812" s="128">
        <f>IFERROR(AJ812*$W812,)</f>
        <v/>
      </c>
      <c r="BV812" s="128">
        <f>IFERROR(AK812*$W812,)</f>
        <v/>
      </c>
      <c r="BW812" s="128">
        <f>IFERROR(AL812*$W812,)</f>
        <v/>
      </c>
      <c r="BX812" s="128">
        <f>IFERROR(AM812*$W812,)</f>
        <v/>
      </c>
      <c r="BY812" s="128">
        <f>IFERROR(AN812*$W812,)</f>
        <v/>
      </c>
      <c r="BZ812" s="128">
        <f>IFERROR(AO812*$W812,)</f>
        <v/>
      </c>
      <c r="CA812" s="128">
        <f>IFERROR(AP812*$W812,)</f>
        <v/>
      </c>
      <c r="CB812" s="128">
        <f>IFERROR(AQ812*$W812,)</f>
        <v/>
      </c>
      <c r="CC812" s="128">
        <f>IFERROR(AR812*$W812,)</f>
        <v/>
      </c>
      <c r="CD812" s="128">
        <f>IFERROR(AS812*$W812,)</f>
        <v/>
      </c>
      <c r="CE812" s="128">
        <f>IFERROR(AT812*$W812,)</f>
        <v/>
      </c>
      <c r="CF812" s="128">
        <f>IFERROR(AU812*$W812,)</f>
        <v/>
      </c>
      <c r="CG812" s="128">
        <f>IFERROR(AV812*$W812,)</f>
        <v/>
      </c>
      <c r="CH812" s="128">
        <f>IFERROR(AW812*$W812,)</f>
        <v/>
      </c>
      <c r="CI812" s="128">
        <f>IFERROR(AX812*$W812,)</f>
        <v/>
      </c>
      <c r="CJ812" s="128">
        <f>IFERROR(AY812*$W812,)</f>
        <v/>
      </c>
      <c r="CK812" s="128">
        <f>IFERROR(AZ812*$W812,)</f>
        <v/>
      </c>
      <c r="CL812" s="129">
        <f>IFERROR(if($Y812=0,BA812*($W812/1.2),BA812*$Y812),"")</f>
        <v/>
      </c>
      <c r="CM812" s="129">
        <f>IFERROR(if($Y812=0,BB812*($W812/1.2),BB812*$Y812),"")</f>
        <v/>
      </c>
      <c r="CN812" s="129">
        <f>IFERROR(if($Y812=0,BC812*($W812/1.2),BC812*$Y812),"")</f>
        <v/>
      </c>
      <c r="CO812" s="130">
        <f>IFERROR(if($AA812=0,($W812/1.35)*BD812,BD812*$AA812),)</f>
        <v/>
      </c>
      <c r="CP812" s="130">
        <f>IFERROR(if($AA812=0,($W812/1.35)*BE812,BE812*$AA812),)</f>
        <v/>
      </c>
      <c r="CQ812" s="130">
        <f>IFERROR(if($AA812=0,($W812/1.35)*BF812,BF812*$AA812),)</f>
        <v/>
      </c>
      <c r="CR812" s="128">
        <f>IFERROR(if($AC812=0,($W812/0.74)*BG812,
BG812*$AC812),)</f>
        <v/>
      </c>
      <c r="CS812" s="128">
        <f>IFERROR(if($AC812=0,($W812/0.74)*BH812,
BH812*$AC812),)</f>
        <v/>
      </c>
      <c r="CT812" s="128">
        <f>IFERROR(if($AC812=0,($W812/0.74)*BI812,
BI812*$AC812),)</f>
        <v/>
      </c>
      <c r="CU812" s="128">
        <f>IFERROR(AI812*$V812,)</f>
        <v/>
      </c>
      <c r="CV812" s="128">
        <f>IFERROR(AJ812*$V812,)</f>
        <v/>
      </c>
      <c r="CW812" s="128">
        <f>IFERROR(AK812*$V812,)</f>
        <v/>
      </c>
      <c r="CX812" s="128">
        <f>IFERROR(AL812*$V812,)</f>
        <v/>
      </c>
      <c r="CY812" s="128">
        <f>IFERROR(AM812*$V812,)</f>
        <v/>
      </c>
      <c r="CZ812" s="128">
        <f>IFERROR(AN812*$V812,)</f>
        <v/>
      </c>
      <c r="DA812" s="128">
        <f>IFERROR(AO812*$V812,)</f>
        <v/>
      </c>
      <c r="DB812" s="128">
        <f>IFERROR(AP812*$V812,)</f>
        <v/>
      </c>
      <c r="DC812" s="128">
        <f>IFERROR(AQ812*$V812,)</f>
        <v/>
      </c>
      <c r="DD812" s="128">
        <f>IFERROR(AR812*$V812,)</f>
        <v/>
      </c>
      <c r="DE812" s="128">
        <f>IFERROR(AS812*$V812,)</f>
        <v/>
      </c>
      <c r="DF812" s="128">
        <f>IFERROR(AT812*$V812,)</f>
        <v/>
      </c>
      <c r="DG812" s="128">
        <f>IFERROR(AU812*$V812,)</f>
        <v/>
      </c>
      <c r="DH812" s="128">
        <f>IFERROR(AV812*$V812,)</f>
        <v/>
      </c>
      <c r="DI812" s="128">
        <f>IFERROR(AW812*$V812,)</f>
        <v/>
      </c>
      <c r="DJ812" s="128">
        <f>IFERROR(AX812*$V812,)</f>
        <v/>
      </c>
      <c r="DK812" s="128">
        <f>IFERROR(AY812*$V812,)</f>
        <v/>
      </c>
      <c r="DL812" s="128">
        <f>IFERROR(AZ812*$V812,)</f>
        <v/>
      </c>
      <c r="DM812" s="129">
        <f>IFERROR(if($X812=0,($V812/1.2)*BA812,
BA812*$X812),)</f>
        <v/>
      </c>
      <c r="DN812" s="129">
        <f>IFERROR(if($X812=0,($V812/1.2)*BB812,
BB812*$X812),)</f>
        <v/>
      </c>
      <c r="DO812" s="129">
        <f>IFERROR(if($X812=0,($V812/1.2)*BC812,
BC812*$X812),)</f>
        <v/>
      </c>
      <c r="DP812" s="130">
        <f>IFERROR(if($Z812=0,($V812/1.35)*BD812,
BD812*$Z812),)</f>
        <v/>
      </c>
      <c r="DQ812" s="130">
        <f>IFERROR(if($Z812=0,($V812/1.35)*BE812,
BE812*$Z812),)</f>
        <v/>
      </c>
      <c r="DR812" s="130">
        <f>IFERROR(if($Z812=0,($V812/1.35)*BF812,
BF812*$Z812),)</f>
        <v/>
      </c>
      <c r="DS812" s="128">
        <f>IFERROR(IF($AB812=0,($V812/0.74)*BG812,
BG812*$AB812),)</f>
        <v/>
      </c>
      <c r="DT812" s="128">
        <f>IFERROR(IF($AB812=0,($V812/0.74)*BH812,
BH812*$AB812),)</f>
        <v/>
      </c>
      <c r="DU812" s="128">
        <f>IFERROR(IF($AB812=0,($V812/0.74)*BI812,
BI812*$AB812),)</f>
        <v/>
      </c>
    </row>
    <row r="813" ht="131.25" customHeight="1" s="162">
      <c r="A813" s="115" t="n"/>
      <c r="B813" s="115" t="n"/>
      <c r="C813" s="115" t="n"/>
      <c r="D813" s="115" t="n"/>
      <c r="E813" s="115" t="n"/>
      <c r="F813" s="115" t="n"/>
      <c r="G813" s="115" t="n"/>
      <c r="H813" s="115" t="n"/>
      <c r="I813" s="115" t="n"/>
      <c r="J813" s="115" t="n"/>
      <c r="K813" s="115" t="n"/>
      <c r="L813" s="115" t="n"/>
      <c r="M813" s="115" t="n"/>
      <c r="N813" s="115" t="n"/>
      <c r="O813" s="115" t="n"/>
      <c r="P813" s="115" t="n"/>
      <c r="Q813" s="115" t="n"/>
      <c r="R813" s="115" t="n"/>
      <c r="S813" s="115" t="n"/>
      <c r="T813" s="115" t="n"/>
      <c r="U813" s="116" t="n"/>
      <c r="V813" s="116" t="n"/>
      <c r="W813" s="117" t="n"/>
      <c r="X813" s="118" t="n"/>
      <c r="Y813" s="119" t="n"/>
      <c r="Z813" s="120" t="n"/>
      <c r="AA813" s="121" t="n"/>
      <c r="AB813" s="122" t="n"/>
      <c r="AC813" s="117" t="n"/>
      <c r="AD813" s="123">
        <f>IF(SUM($AE813:$AH813)=0,"",SUM($AE813:$AH813))</f>
        <v/>
      </c>
      <c r="AE813" s="123">
        <f>iferror(IF(SUM($AI813:$AZ813)=0,"",SUM($AI813:$AZ813)),"")</f>
        <v/>
      </c>
      <c r="AF813" s="123">
        <f>iferror(IF(SUM($BA813:$BC813)=0,"",SUM($BA813:$BC813)),"")</f>
        <v/>
      </c>
      <c r="AG813" s="123">
        <f>iferror(IF(SUM($BD813:$BF813)=0,"",SUM($BD813:$BF813)),"")</f>
        <v/>
      </c>
      <c r="AH813" s="124">
        <f>iferror(IF(SUM($BG813:$BI813)=0,"",SUM($BG813:$BI813)),"")</f>
        <v/>
      </c>
      <c r="AI813" s="131" t="n"/>
      <c r="AJ813" s="132" t="n"/>
      <c r="AK813" s="132" t="n"/>
      <c r="AL813" s="132" t="n"/>
      <c r="AM813" s="132" t="n"/>
      <c r="AN813" s="132" t="n"/>
      <c r="AO813" s="132" t="n"/>
      <c r="AP813" s="132" t="n"/>
      <c r="AQ813" s="132" t="n"/>
      <c r="AR813" s="132" t="n"/>
      <c r="AS813" s="132" t="n"/>
      <c r="AT813" s="132" t="n"/>
      <c r="AU813" s="132" t="n"/>
      <c r="AV813" s="132" t="n"/>
      <c r="AW813" s="132" t="n"/>
      <c r="AX813" s="132" t="n"/>
      <c r="AY813" s="132" t="n"/>
      <c r="AZ813" s="133" t="n"/>
      <c r="BA813" s="131" t="n"/>
      <c r="BB813" s="132" t="n"/>
      <c r="BC813" s="133" t="n"/>
      <c r="BD813" s="131" t="n"/>
      <c r="BE813" s="132" t="n"/>
      <c r="BF813" s="133" t="n"/>
      <c r="BG813" s="131" t="n"/>
      <c r="BH813" s="132" t="n"/>
      <c r="BI813" s="132" t="n"/>
      <c r="BJ813" s="128">
        <f>iferror(SUM($BK813,($BL813*1.2),($BM813*1.35),($BN813*0.74)),)</f>
        <v/>
      </c>
      <c r="BK813" s="128">
        <f>IFERROR(SUM($BT813:$CK813),)</f>
        <v/>
      </c>
      <c r="BL813" s="129">
        <f>IFERROR(SUM($CL813:$CN813),)</f>
        <v/>
      </c>
      <c r="BM813" s="130">
        <f>IFERROR(SUM($CO813:$CQ813),)</f>
        <v/>
      </c>
      <c r="BN813" s="128">
        <f>IFERROR(SUM($CR813:$CT813),)</f>
        <v/>
      </c>
      <c r="BO813" s="128">
        <f>iferror(SUM($BP813,($BQ813*1.2),($BR813*1.35),($BS813*0.74)),)</f>
        <v/>
      </c>
      <c r="BP813" s="128">
        <f>IFERROR(SUM($CU813:$DL813),)</f>
        <v/>
      </c>
      <c r="BQ813" s="128">
        <f>IFERROR(SUM($DM813:$DO813),)</f>
        <v/>
      </c>
      <c r="BR813" s="128">
        <f>IFERROR(SUM($DP813:$DR813),)</f>
        <v/>
      </c>
      <c r="BS813" s="128">
        <f>IFERROR(SUM($DS813:$DU813),)</f>
        <v/>
      </c>
      <c r="BT813" s="128">
        <f>IFERROR(AI813*$W813,)</f>
        <v/>
      </c>
      <c r="BU813" s="128">
        <f>IFERROR(AJ813*$W813,)</f>
        <v/>
      </c>
      <c r="BV813" s="128">
        <f>IFERROR(AK813*$W813,)</f>
        <v/>
      </c>
      <c r="BW813" s="128">
        <f>IFERROR(AL813*$W813,)</f>
        <v/>
      </c>
      <c r="BX813" s="128">
        <f>IFERROR(AM813*$W813,)</f>
        <v/>
      </c>
      <c r="BY813" s="128">
        <f>IFERROR(AN813*$W813,)</f>
        <v/>
      </c>
      <c r="BZ813" s="128">
        <f>IFERROR(AO813*$W813,)</f>
        <v/>
      </c>
      <c r="CA813" s="128">
        <f>IFERROR(AP813*$W813,)</f>
        <v/>
      </c>
      <c r="CB813" s="128">
        <f>IFERROR(AQ813*$W813,)</f>
        <v/>
      </c>
      <c r="CC813" s="128">
        <f>IFERROR(AR813*$W813,)</f>
        <v/>
      </c>
      <c r="CD813" s="128">
        <f>IFERROR(AS813*$W813,)</f>
        <v/>
      </c>
      <c r="CE813" s="128">
        <f>IFERROR(AT813*$W813,)</f>
        <v/>
      </c>
      <c r="CF813" s="128">
        <f>IFERROR(AU813*$W813,)</f>
        <v/>
      </c>
      <c r="CG813" s="128">
        <f>IFERROR(AV813*$W813,)</f>
        <v/>
      </c>
      <c r="CH813" s="128">
        <f>IFERROR(AW813*$W813,)</f>
        <v/>
      </c>
      <c r="CI813" s="128">
        <f>IFERROR(AX813*$W813,)</f>
        <v/>
      </c>
      <c r="CJ813" s="128">
        <f>IFERROR(AY813*$W813,)</f>
        <v/>
      </c>
      <c r="CK813" s="128">
        <f>IFERROR(AZ813*$W813,)</f>
        <v/>
      </c>
      <c r="CL813" s="129">
        <f>IFERROR(if($Y813=0,BA813*($W813/1.2),BA813*$Y813),"")</f>
        <v/>
      </c>
      <c r="CM813" s="129">
        <f>IFERROR(if($Y813=0,BB813*($W813/1.2),BB813*$Y813),"")</f>
        <v/>
      </c>
      <c r="CN813" s="129">
        <f>IFERROR(if($Y813=0,BC813*($W813/1.2),BC813*$Y813),"")</f>
        <v/>
      </c>
      <c r="CO813" s="130">
        <f>IFERROR(if($AA813=0,($W813/1.35)*BD813,BD813*$AA813),)</f>
        <v/>
      </c>
      <c r="CP813" s="130">
        <f>IFERROR(if($AA813=0,($W813/1.35)*BE813,BE813*$AA813),)</f>
        <v/>
      </c>
      <c r="CQ813" s="130">
        <f>IFERROR(if($AA813=0,($W813/1.35)*BF813,BF813*$AA813),)</f>
        <v/>
      </c>
      <c r="CR813" s="128">
        <f>IFERROR(if($AC813=0,($W813/0.74)*BG813,
BG813*$AC813),)</f>
        <v/>
      </c>
      <c r="CS813" s="128">
        <f>IFERROR(if($AC813=0,($W813/0.74)*BH813,
BH813*$AC813),)</f>
        <v/>
      </c>
      <c r="CT813" s="128">
        <f>IFERROR(if($AC813=0,($W813/0.74)*BI813,
BI813*$AC813),)</f>
        <v/>
      </c>
      <c r="CU813" s="128">
        <f>IFERROR(AI813*$V813,)</f>
        <v/>
      </c>
      <c r="CV813" s="128">
        <f>IFERROR(AJ813*$V813,)</f>
        <v/>
      </c>
      <c r="CW813" s="128">
        <f>IFERROR(AK813*$V813,)</f>
        <v/>
      </c>
      <c r="CX813" s="128">
        <f>IFERROR(AL813*$V813,)</f>
        <v/>
      </c>
      <c r="CY813" s="128">
        <f>IFERROR(AM813*$V813,)</f>
        <v/>
      </c>
      <c r="CZ813" s="128">
        <f>IFERROR(AN813*$V813,)</f>
        <v/>
      </c>
      <c r="DA813" s="128">
        <f>IFERROR(AO813*$V813,)</f>
        <v/>
      </c>
      <c r="DB813" s="128">
        <f>IFERROR(AP813*$V813,)</f>
        <v/>
      </c>
      <c r="DC813" s="128">
        <f>IFERROR(AQ813*$V813,)</f>
        <v/>
      </c>
      <c r="DD813" s="128">
        <f>IFERROR(AR813*$V813,)</f>
        <v/>
      </c>
      <c r="DE813" s="128">
        <f>IFERROR(AS813*$V813,)</f>
        <v/>
      </c>
      <c r="DF813" s="128">
        <f>IFERROR(AT813*$V813,)</f>
        <v/>
      </c>
      <c r="DG813" s="128">
        <f>IFERROR(AU813*$V813,)</f>
        <v/>
      </c>
      <c r="DH813" s="128">
        <f>IFERROR(AV813*$V813,)</f>
        <v/>
      </c>
      <c r="DI813" s="128">
        <f>IFERROR(AW813*$V813,)</f>
        <v/>
      </c>
      <c r="DJ813" s="128">
        <f>IFERROR(AX813*$V813,)</f>
        <v/>
      </c>
      <c r="DK813" s="128">
        <f>IFERROR(AY813*$V813,)</f>
        <v/>
      </c>
      <c r="DL813" s="128">
        <f>IFERROR(AZ813*$V813,)</f>
        <v/>
      </c>
      <c r="DM813" s="129">
        <f>IFERROR(if($X813=0,($V813/1.2)*BA813,
BA813*$X813),)</f>
        <v/>
      </c>
      <c r="DN813" s="129">
        <f>IFERROR(if($X813=0,($V813/1.2)*BB813,
BB813*$X813),)</f>
        <v/>
      </c>
      <c r="DO813" s="129">
        <f>IFERROR(if($X813=0,($V813/1.2)*BC813,
BC813*$X813),)</f>
        <v/>
      </c>
      <c r="DP813" s="130">
        <f>IFERROR(if($Z813=0,($V813/1.35)*BD813,
BD813*$Z813),)</f>
        <v/>
      </c>
      <c r="DQ813" s="130">
        <f>IFERROR(if($Z813=0,($V813/1.35)*BE813,
BE813*$Z813),)</f>
        <v/>
      </c>
      <c r="DR813" s="130">
        <f>IFERROR(if($Z813=0,($V813/1.35)*BF813,
BF813*$Z813),)</f>
        <v/>
      </c>
      <c r="DS813" s="128">
        <f>IFERROR(IF($AB813=0,($V813/0.74)*BG813,
BG813*$AB813),)</f>
        <v/>
      </c>
      <c r="DT813" s="128">
        <f>IFERROR(IF($AB813=0,($V813/0.74)*BH813,
BH813*$AB813),)</f>
        <v/>
      </c>
      <c r="DU813" s="128">
        <f>IFERROR(IF($AB813=0,($V813/0.74)*BI813,
BI813*$AB813),)</f>
        <v/>
      </c>
    </row>
    <row r="814" ht="131.25" customHeight="1" s="162">
      <c r="A814" s="115" t="n"/>
      <c r="B814" s="115" t="n"/>
      <c r="C814" s="115" t="n"/>
      <c r="D814" s="115" t="n"/>
      <c r="E814" s="115" t="n"/>
      <c r="F814" s="115" t="n"/>
      <c r="G814" s="115" t="n"/>
      <c r="H814" s="115" t="n"/>
      <c r="I814" s="115" t="n"/>
      <c r="J814" s="115" t="n"/>
      <c r="K814" s="115" t="n"/>
      <c r="L814" s="115" t="n"/>
      <c r="M814" s="115" t="n"/>
      <c r="N814" s="115" t="n"/>
      <c r="O814" s="115" t="n"/>
      <c r="P814" s="115" t="n"/>
      <c r="Q814" s="115" t="n"/>
      <c r="R814" s="115" t="n"/>
      <c r="S814" s="115" t="n"/>
      <c r="T814" s="115" t="n"/>
      <c r="U814" s="116" t="n"/>
      <c r="V814" s="116" t="n"/>
      <c r="W814" s="117" t="n"/>
      <c r="X814" s="118" t="n"/>
      <c r="Y814" s="119" t="n"/>
      <c r="Z814" s="120" t="n"/>
      <c r="AA814" s="121" t="n"/>
      <c r="AB814" s="122" t="n"/>
      <c r="AC814" s="117" t="n"/>
      <c r="AD814" s="123">
        <f>IF(SUM($AE814:$AH814)=0,"",SUM($AE814:$AH814))</f>
        <v/>
      </c>
      <c r="AE814" s="123">
        <f>iferror(IF(SUM($AI814:$AZ814)=0,"",SUM($AI814:$AZ814)),"")</f>
        <v/>
      </c>
      <c r="AF814" s="123">
        <f>iferror(IF(SUM($BA814:$BC814)=0,"",SUM($BA814:$BC814)),"")</f>
        <v/>
      </c>
      <c r="AG814" s="123">
        <f>iferror(IF(SUM($BD814:$BF814)=0,"",SUM($BD814:$BF814)),"")</f>
        <v/>
      </c>
      <c r="AH814" s="124">
        <f>iferror(IF(SUM($BG814:$BI814)=0,"",SUM($BG814:$BI814)),"")</f>
        <v/>
      </c>
      <c r="AI814" s="131" t="n"/>
      <c r="AJ814" s="132" t="n"/>
      <c r="AK814" s="132" t="n"/>
      <c r="AL814" s="132" t="n"/>
      <c r="AM814" s="132" t="n"/>
      <c r="AN814" s="132" t="n"/>
      <c r="AO814" s="132" t="n"/>
      <c r="AP814" s="132" t="n"/>
      <c r="AQ814" s="132" t="n"/>
      <c r="AR814" s="132" t="n"/>
      <c r="AS814" s="132" t="n"/>
      <c r="AT814" s="132" t="n"/>
      <c r="AU814" s="132" t="n"/>
      <c r="AV814" s="132" t="n"/>
      <c r="AW814" s="132" t="n"/>
      <c r="AX814" s="132" t="n"/>
      <c r="AY814" s="132" t="n"/>
      <c r="AZ814" s="133" t="n"/>
      <c r="BA814" s="131" t="n"/>
      <c r="BB814" s="132" t="n"/>
      <c r="BC814" s="133" t="n"/>
      <c r="BD814" s="131" t="n"/>
      <c r="BE814" s="132" t="n"/>
      <c r="BF814" s="133" t="n"/>
      <c r="BG814" s="131" t="n"/>
      <c r="BH814" s="132" t="n"/>
      <c r="BI814" s="132" t="n"/>
      <c r="BJ814" s="128">
        <f>iferror(SUM($BK814,($BL814*1.2),($BM814*1.35),($BN814*0.74)),)</f>
        <v/>
      </c>
      <c r="BK814" s="128">
        <f>IFERROR(SUM($BT814:$CK814),)</f>
        <v/>
      </c>
      <c r="BL814" s="129">
        <f>IFERROR(SUM($CL814:$CN814),)</f>
        <v/>
      </c>
      <c r="BM814" s="130">
        <f>IFERROR(SUM($CO814:$CQ814),)</f>
        <v/>
      </c>
      <c r="BN814" s="128">
        <f>IFERROR(SUM($CR814:$CT814),)</f>
        <v/>
      </c>
      <c r="BO814" s="128">
        <f>iferror(SUM($BP814,($BQ814*1.2),($BR814*1.35),($BS814*0.74)),)</f>
        <v/>
      </c>
      <c r="BP814" s="128">
        <f>IFERROR(SUM($CU814:$DL814),)</f>
        <v/>
      </c>
      <c r="BQ814" s="128">
        <f>IFERROR(SUM($DM814:$DO814),)</f>
        <v/>
      </c>
      <c r="BR814" s="128">
        <f>IFERROR(SUM($DP814:$DR814),)</f>
        <v/>
      </c>
      <c r="BS814" s="128">
        <f>IFERROR(SUM($DS814:$DU814),)</f>
        <v/>
      </c>
      <c r="BT814" s="128">
        <f>IFERROR(AI814*$W814,)</f>
        <v/>
      </c>
      <c r="BU814" s="128">
        <f>IFERROR(AJ814*$W814,)</f>
        <v/>
      </c>
      <c r="BV814" s="128">
        <f>IFERROR(AK814*$W814,)</f>
        <v/>
      </c>
      <c r="BW814" s="128">
        <f>IFERROR(AL814*$W814,)</f>
        <v/>
      </c>
      <c r="BX814" s="128">
        <f>IFERROR(AM814*$W814,)</f>
        <v/>
      </c>
      <c r="BY814" s="128">
        <f>IFERROR(AN814*$W814,)</f>
        <v/>
      </c>
      <c r="BZ814" s="128">
        <f>IFERROR(AO814*$W814,)</f>
        <v/>
      </c>
      <c r="CA814" s="128">
        <f>IFERROR(AP814*$W814,)</f>
        <v/>
      </c>
      <c r="CB814" s="128">
        <f>IFERROR(AQ814*$W814,)</f>
        <v/>
      </c>
      <c r="CC814" s="128">
        <f>IFERROR(AR814*$W814,)</f>
        <v/>
      </c>
      <c r="CD814" s="128">
        <f>IFERROR(AS814*$W814,)</f>
        <v/>
      </c>
      <c r="CE814" s="128">
        <f>IFERROR(AT814*$W814,)</f>
        <v/>
      </c>
      <c r="CF814" s="128">
        <f>IFERROR(AU814*$W814,)</f>
        <v/>
      </c>
      <c r="CG814" s="128">
        <f>IFERROR(AV814*$W814,)</f>
        <v/>
      </c>
      <c r="CH814" s="128">
        <f>IFERROR(AW814*$W814,)</f>
        <v/>
      </c>
      <c r="CI814" s="128">
        <f>IFERROR(AX814*$W814,)</f>
        <v/>
      </c>
      <c r="CJ814" s="128">
        <f>IFERROR(AY814*$W814,)</f>
        <v/>
      </c>
      <c r="CK814" s="128">
        <f>IFERROR(AZ814*$W814,)</f>
        <v/>
      </c>
      <c r="CL814" s="129">
        <f>IFERROR(if($Y814=0,BA814*($W814/1.2),BA814*$Y814),"")</f>
        <v/>
      </c>
      <c r="CM814" s="129">
        <f>IFERROR(if($Y814=0,BB814*($W814/1.2),BB814*$Y814),"")</f>
        <v/>
      </c>
      <c r="CN814" s="129">
        <f>IFERROR(if($Y814=0,BC814*($W814/1.2),BC814*$Y814),"")</f>
        <v/>
      </c>
      <c r="CO814" s="130">
        <f>IFERROR(if($AA814=0,($W814/1.35)*BD814,BD814*$AA814),)</f>
        <v/>
      </c>
      <c r="CP814" s="130">
        <f>IFERROR(if($AA814=0,($W814/1.35)*BE814,BE814*$AA814),)</f>
        <v/>
      </c>
      <c r="CQ814" s="130">
        <f>IFERROR(if($AA814=0,($W814/1.35)*BF814,BF814*$AA814),)</f>
        <v/>
      </c>
      <c r="CR814" s="128">
        <f>IFERROR(if($AC814=0,($W814/0.74)*BG814,
BG814*$AC814),)</f>
        <v/>
      </c>
      <c r="CS814" s="128">
        <f>IFERROR(if($AC814=0,($W814/0.74)*BH814,
BH814*$AC814),)</f>
        <v/>
      </c>
      <c r="CT814" s="128">
        <f>IFERROR(if($AC814=0,($W814/0.74)*BI814,
BI814*$AC814),)</f>
        <v/>
      </c>
      <c r="CU814" s="128">
        <f>IFERROR(AI814*$V814,)</f>
        <v/>
      </c>
      <c r="CV814" s="128">
        <f>IFERROR(AJ814*$V814,)</f>
        <v/>
      </c>
      <c r="CW814" s="128">
        <f>IFERROR(AK814*$V814,)</f>
        <v/>
      </c>
      <c r="CX814" s="128">
        <f>IFERROR(AL814*$V814,)</f>
        <v/>
      </c>
      <c r="CY814" s="128">
        <f>IFERROR(AM814*$V814,)</f>
        <v/>
      </c>
      <c r="CZ814" s="128">
        <f>IFERROR(AN814*$V814,)</f>
        <v/>
      </c>
      <c r="DA814" s="128">
        <f>IFERROR(AO814*$V814,)</f>
        <v/>
      </c>
      <c r="DB814" s="128">
        <f>IFERROR(AP814*$V814,)</f>
        <v/>
      </c>
      <c r="DC814" s="128">
        <f>IFERROR(AQ814*$V814,)</f>
        <v/>
      </c>
      <c r="DD814" s="128">
        <f>IFERROR(AR814*$V814,)</f>
        <v/>
      </c>
      <c r="DE814" s="128">
        <f>IFERROR(AS814*$V814,)</f>
        <v/>
      </c>
      <c r="DF814" s="128">
        <f>IFERROR(AT814*$V814,)</f>
        <v/>
      </c>
      <c r="DG814" s="128">
        <f>IFERROR(AU814*$V814,)</f>
        <v/>
      </c>
      <c r="DH814" s="128">
        <f>IFERROR(AV814*$V814,)</f>
        <v/>
      </c>
      <c r="DI814" s="128">
        <f>IFERROR(AW814*$V814,)</f>
        <v/>
      </c>
      <c r="DJ814" s="128">
        <f>IFERROR(AX814*$V814,)</f>
        <v/>
      </c>
      <c r="DK814" s="128">
        <f>IFERROR(AY814*$V814,)</f>
        <v/>
      </c>
      <c r="DL814" s="128">
        <f>IFERROR(AZ814*$V814,)</f>
        <v/>
      </c>
      <c r="DM814" s="129">
        <f>IFERROR(if($X814=0,($V814/1.2)*BA814,
BA814*$X814),)</f>
        <v/>
      </c>
      <c r="DN814" s="129">
        <f>IFERROR(if($X814=0,($V814/1.2)*BB814,
BB814*$X814),)</f>
        <v/>
      </c>
      <c r="DO814" s="129">
        <f>IFERROR(if($X814=0,($V814/1.2)*BC814,
BC814*$X814),)</f>
        <v/>
      </c>
      <c r="DP814" s="130">
        <f>IFERROR(if($Z814=0,($V814/1.35)*BD814,
BD814*$Z814),)</f>
        <v/>
      </c>
      <c r="DQ814" s="130">
        <f>IFERROR(if($Z814=0,($V814/1.35)*BE814,
BE814*$Z814),)</f>
        <v/>
      </c>
      <c r="DR814" s="130">
        <f>IFERROR(if($Z814=0,($V814/1.35)*BF814,
BF814*$Z814),)</f>
        <v/>
      </c>
      <c r="DS814" s="128">
        <f>IFERROR(IF($AB814=0,($V814/0.74)*BG814,
BG814*$AB814),)</f>
        <v/>
      </c>
      <c r="DT814" s="128">
        <f>IFERROR(IF($AB814=0,($V814/0.74)*BH814,
BH814*$AB814),)</f>
        <v/>
      </c>
      <c r="DU814" s="128">
        <f>IFERROR(IF($AB814=0,($V814/0.74)*BI814,
BI814*$AB814),)</f>
        <v/>
      </c>
    </row>
    <row r="815" ht="131.25" customHeight="1" s="162">
      <c r="A815" s="115" t="n"/>
      <c r="B815" s="115" t="n"/>
      <c r="C815" s="115" t="n"/>
      <c r="D815" s="115" t="n"/>
      <c r="E815" s="115" t="n"/>
      <c r="F815" s="115" t="n"/>
      <c r="G815" s="115" t="n"/>
      <c r="H815" s="115" t="n"/>
      <c r="I815" s="115" t="n"/>
      <c r="J815" s="115" t="n"/>
      <c r="K815" s="115" t="n"/>
      <c r="L815" s="115" t="n"/>
      <c r="M815" s="115" t="n"/>
      <c r="N815" s="115" t="n"/>
      <c r="O815" s="115" t="n"/>
      <c r="P815" s="115" t="n"/>
      <c r="Q815" s="115" t="n"/>
      <c r="R815" s="115" t="n"/>
      <c r="S815" s="115" t="n"/>
      <c r="T815" s="115" t="n"/>
      <c r="U815" s="116" t="n"/>
      <c r="V815" s="116" t="n"/>
      <c r="W815" s="117" t="n"/>
      <c r="X815" s="118" t="n"/>
      <c r="Y815" s="119" t="n"/>
      <c r="Z815" s="120" t="n"/>
      <c r="AA815" s="121" t="n"/>
      <c r="AB815" s="122" t="n"/>
      <c r="AC815" s="117" t="n"/>
      <c r="AD815" s="123">
        <f>IF(SUM($AE815:$AH815)=0,"",SUM($AE815:$AH815))</f>
        <v/>
      </c>
      <c r="AE815" s="123">
        <f>iferror(IF(SUM($AI815:$AZ815)=0,"",SUM($AI815:$AZ815)),"")</f>
        <v/>
      </c>
      <c r="AF815" s="123">
        <f>iferror(IF(SUM($BA815:$BC815)=0,"",SUM($BA815:$BC815)),"")</f>
        <v/>
      </c>
      <c r="AG815" s="123">
        <f>iferror(IF(SUM($BD815:$BF815)=0,"",SUM($BD815:$BF815)),"")</f>
        <v/>
      </c>
      <c r="AH815" s="124">
        <f>iferror(IF(SUM($BG815:$BI815)=0,"",SUM($BG815:$BI815)),"")</f>
        <v/>
      </c>
      <c r="AI815" s="131" t="n"/>
      <c r="AJ815" s="132" t="n"/>
      <c r="AK815" s="132" t="n"/>
      <c r="AL815" s="132" t="n"/>
      <c r="AM815" s="132" t="n"/>
      <c r="AN815" s="132" t="n"/>
      <c r="AO815" s="132" t="n"/>
      <c r="AP815" s="132" t="n"/>
      <c r="AQ815" s="132" t="n"/>
      <c r="AR815" s="132" t="n"/>
      <c r="AS815" s="132" t="n"/>
      <c r="AT815" s="132" t="n"/>
      <c r="AU815" s="132" t="n"/>
      <c r="AV815" s="132" t="n"/>
      <c r="AW815" s="132" t="n"/>
      <c r="AX815" s="132" t="n"/>
      <c r="AY815" s="132" t="n"/>
      <c r="AZ815" s="133" t="n"/>
      <c r="BA815" s="131" t="n"/>
      <c r="BB815" s="132" t="n"/>
      <c r="BC815" s="133" t="n"/>
      <c r="BD815" s="131" t="n"/>
      <c r="BE815" s="132" t="n"/>
      <c r="BF815" s="133" t="n"/>
      <c r="BG815" s="131" t="n"/>
      <c r="BH815" s="132" t="n"/>
      <c r="BI815" s="132" t="n"/>
      <c r="BJ815" s="128">
        <f>iferror(SUM($BK815,($BL815*1.2),($BM815*1.35),($BN815*0.74)),)</f>
        <v/>
      </c>
      <c r="BK815" s="128">
        <f>IFERROR(SUM($BT815:$CK815),)</f>
        <v/>
      </c>
      <c r="BL815" s="129">
        <f>IFERROR(SUM($CL815:$CN815),)</f>
        <v/>
      </c>
      <c r="BM815" s="130">
        <f>IFERROR(SUM($CO815:$CQ815),)</f>
        <v/>
      </c>
      <c r="BN815" s="128">
        <f>IFERROR(SUM($CR815:$CT815),)</f>
        <v/>
      </c>
      <c r="BO815" s="128">
        <f>iferror(SUM($BP815,($BQ815*1.2),($BR815*1.35),($BS815*0.74)),)</f>
        <v/>
      </c>
      <c r="BP815" s="128">
        <f>IFERROR(SUM($CU815:$DL815),)</f>
        <v/>
      </c>
      <c r="BQ815" s="128">
        <f>IFERROR(SUM($DM815:$DO815),)</f>
        <v/>
      </c>
      <c r="BR815" s="128">
        <f>IFERROR(SUM($DP815:$DR815),)</f>
        <v/>
      </c>
      <c r="BS815" s="128">
        <f>IFERROR(SUM($DS815:$DU815),)</f>
        <v/>
      </c>
      <c r="BT815" s="128">
        <f>IFERROR(AI815*$W815,)</f>
        <v/>
      </c>
      <c r="BU815" s="128">
        <f>IFERROR(AJ815*$W815,)</f>
        <v/>
      </c>
      <c r="BV815" s="128">
        <f>IFERROR(AK815*$W815,)</f>
        <v/>
      </c>
      <c r="BW815" s="128">
        <f>IFERROR(AL815*$W815,)</f>
        <v/>
      </c>
      <c r="BX815" s="128">
        <f>IFERROR(AM815*$W815,)</f>
        <v/>
      </c>
      <c r="BY815" s="128">
        <f>IFERROR(AN815*$W815,)</f>
        <v/>
      </c>
      <c r="BZ815" s="128">
        <f>IFERROR(AO815*$W815,)</f>
        <v/>
      </c>
      <c r="CA815" s="128">
        <f>IFERROR(AP815*$W815,)</f>
        <v/>
      </c>
      <c r="CB815" s="128">
        <f>IFERROR(AQ815*$W815,)</f>
        <v/>
      </c>
      <c r="CC815" s="128">
        <f>IFERROR(AR815*$W815,)</f>
        <v/>
      </c>
      <c r="CD815" s="128">
        <f>IFERROR(AS815*$W815,)</f>
        <v/>
      </c>
      <c r="CE815" s="128">
        <f>IFERROR(AT815*$W815,)</f>
        <v/>
      </c>
      <c r="CF815" s="128">
        <f>IFERROR(AU815*$W815,)</f>
        <v/>
      </c>
      <c r="CG815" s="128">
        <f>IFERROR(AV815*$W815,)</f>
        <v/>
      </c>
      <c r="CH815" s="128">
        <f>IFERROR(AW815*$W815,)</f>
        <v/>
      </c>
      <c r="CI815" s="128">
        <f>IFERROR(AX815*$W815,)</f>
        <v/>
      </c>
      <c r="CJ815" s="128">
        <f>IFERROR(AY815*$W815,)</f>
        <v/>
      </c>
      <c r="CK815" s="128">
        <f>IFERROR(AZ815*$W815,)</f>
        <v/>
      </c>
      <c r="CL815" s="129">
        <f>IFERROR(if($Y815=0,BA815*($W815/1.2),BA815*$Y815),"")</f>
        <v/>
      </c>
      <c r="CM815" s="129">
        <f>IFERROR(if($Y815=0,BB815*($W815/1.2),BB815*$Y815),"")</f>
        <v/>
      </c>
      <c r="CN815" s="129">
        <f>IFERROR(if($Y815=0,BC815*($W815/1.2),BC815*$Y815),"")</f>
        <v/>
      </c>
      <c r="CO815" s="130">
        <f>IFERROR(if($AA815=0,($W815/1.35)*BD815,BD815*$AA815),)</f>
        <v/>
      </c>
      <c r="CP815" s="130">
        <f>IFERROR(if($AA815=0,($W815/1.35)*BE815,BE815*$AA815),)</f>
        <v/>
      </c>
      <c r="CQ815" s="130">
        <f>IFERROR(if($AA815=0,($W815/1.35)*BF815,BF815*$AA815),)</f>
        <v/>
      </c>
      <c r="CR815" s="128">
        <f>IFERROR(if($AC815=0,($W815/0.74)*BG815,
BG815*$AC815),)</f>
        <v/>
      </c>
      <c r="CS815" s="128">
        <f>IFERROR(if($AC815=0,($W815/0.74)*BH815,
BH815*$AC815),)</f>
        <v/>
      </c>
      <c r="CT815" s="128">
        <f>IFERROR(if($AC815=0,($W815/0.74)*BI815,
BI815*$AC815),)</f>
        <v/>
      </c>
      <c r="CU815" s="128">
        <f>IFERROR(AI815*$V815,)</f>
        <v/>
      </c>
      <c r="CV815" s="128">
        <f>IFERROR(AJ815*$V815,)</f>
        <v/>
      </c>
      <c r="CW815" s="128">
        <f>IFERROR(AK815*$V815,)</f>
        <v/>
      </c>
      <c r="CX815" s="128">
        <f>IFERROR(AL815*$V815,)</f>
        <v/>
      </c>
      <c r="CY815" s="128">
        <f>IFERROR(AM815*$V815,)</f>
        <v/>
      </c>
      <c r="CZ815" s="128">
        <f>IFERROR(AN815*$V815,)</f>
        <v/>
      </c>
      <c r="DA815" s="128">
        <f>IFERROR(AO815*$V815,)</f>
        <v/>
      </c>
      <c r="DB815" s="128">
        <f>IFERROR(AP815*$V815,)</f>
        <v/>
      </c>
      <c r="DC815" s="128">
        <f>IFERROR(AQ815*$V815,)</f>
        <v/>
      </c>
      <c r="DD815" s="128">
        <f>IFERROR(AR815*$V815,)</f>
        <v/>
      </c>
      <c r="DE815" s="128">
        <f>IFERROR(AS815*$V815,)</f>
        <v/>
      </c>
      <c r="DF815" s="128">
        <f>IFERROR(AT815*$V815,)</f>
        <v/>
      </c>
      <c r="DG815" s="128">
        <f>IFERROR(AU815*$V815,)</f>
        <v/>
      </c>
      <c r="DH815" s="128">
        <f>IFERROR(AV815*$V815,)</f>
        <v/>
      </c>
      <c r="DI815" s="128">
        <f>IFERROR(AW815*$V815,)</f>
        <v/>
      </c>
      <c r="DJ815" s="128">
        <f>IFERROR(AX815*$V815,)</f>
        <v/>
      </c>
      <c r="DK815" s="128">
        <f>IFERROR(AY815*$V815,)</f>
        <v/>
      </c>
      <c r="DL815" s="128">
        <f>IFERROR(AZ815*$V815,)</f>
        <v/>
      </c>
      <c r="DM815" s="129">
        <f>IFERROR(if($X815=0,($V815/1.2)*BA815,
BA815*$X815),)</f>
        <v/>
      </c>
      <c r="DN815" s="129">
        <f>IFERROR(if($X815=0,($V815/1.2)*BB815,
BB815*$X815),)</f>
        <v/>
      </c>
      <c r="DO815" s="129">
        <f>IFERROR(if($X815=0,($V815/1.2)*BC815,
BC815*$X815),)</f>
        <v/>
      </c>
      <c r="DP815" s="130">
        <f>IFERROR(if($Z815=0,($V815/1.35)*BD815,
BD815*$Z815),)</f>
        <v/>
      </c>
      <c r="DQ815" s="130">
        <f>IFERROR(if($Z815=0,($V815/1.35)*BE815,
BE815*$Z815),)</f>
        <v/>
      </c>
      <c r="DR815" s="130">
        <f>IFERROR(if($Z815=0,($V815/1.35)*BF815,
BF815*$Z815),)</f>
        <v/>
      </c>
      <c r="DS815" s="128">
        <f>IFERROR(IF($AB815=0,($V815/0.74)*BG815,
BG815*$AB815),)</f>
        <v/>
      </c>
      <c r="DT815" s="128">
        <f>IFERROR(IF($AB815=0,($V815/0.74)*BH815,
BH815*$AB815),)</f>
        <v/>
      </c>
      <c r="DU815" s="128">
        <f>IFERROR(IF($AB815=0,($V815/0.74)*BI815,
BI815*$AB815),)</f>
        <v/>
      </c>
    </row>
    <row r="816" ht="131.25" customHeight="1" s="162">
      <c r="A816" s="115" t="n"/>
      <c r="B816" s="115" t="n"/>
      <c r="C816" s="115" t="n"/>
      <c r="D816" s="115" t="n"/>
      <c r="E816" s="115" t="n"/>
      <c r="F816" s="115" t="n"/>
      <c r="G816" s="115" t="n"/>
      <c r="H816" s="115" t="n"/>
      <c r="I816" s="115" t="n"/>
      <c r="J816" s="115" t="n"/>
      <c r="K816" s="115" t="n"/>
      <c r="L816" s="115" t="n"/>
      <c r="M816" s="115" t="n"/>
      <c r="N816" s="115" t="n"/>
      <c r="O816" s="115" t="n"/>
      <c r="P816" s="115" t="n"/>
      <c r="Q816" s="115" t="n"/>
      <c r="R816" s="115" t="n"/>
      <c r="S816" s="115" t="n"/>
      <c r="T816" s="115" t="n"/>
      <c r="U816" s="116" t="n"/>
      <c r="V816" s="116" t="n"/>
      <c r="W816" s="117" t="n"/>
      <c r="X816" s="118" t="n"/>
      <c r="Y816" s="119" t="n"/>
      <c r="Z816" s="120" t="n"/>
      <c r="AA816" s="121" t="n"/>
      <c r="AB816" s="122" t="n"/>
      <c r="AC816" s="117" t="n"/>
      <c r="AD816" s="123">
        <f>IF(SUM($AE816:$AH816)=0,"",SUM($AE816:$AH816))</f>
        <v/>
      </c>
      <c r="AE816" s="123">
        <f>iferror(IF(SUM($AI816:$AZ816)=0,"",SUM($AI816:$AZ816)),"")</f>
        <v/>
      </c>
      <c r="AF816" s="123">
        <f>iferror(IF(SUM($BA816:$BC816)=0,"",SUM($BA816:$BC816)),"")</f>
        <v/>
      </c>
      <c r="AG816" s="123">
        <f>iferror(IF(SUM($BD816:$BF816)=0,"",SUM($BD816:$BF816)),"")</f>
        <v/>
      </c>
      <c r="AH816" s="124">
        <f>iferror(IF(SUM($BG816:$BI816)=0,"",SUM($BG816:$BI816)),"")</f>
        <v/>
      </c>
      <c r="AI816" s="131" t="n"/>
      <c r="AJ816" s="132" t="n"/>
      <c r="AK816" s="132" t="n"/>
      <c r="AL816" s="132" t="n"/>
      <c r="AM816" s="132" t="n"/>
      <c r="AN816" s="132" t="n"/>
      <c r="AO816" s="132" t="n"/>
      <c r="AP816" s="132" t="n"/>
      <c r="AQ816" s="132" t="n"/>
      <c r="AR816" s="132" t="n"/>
      <c r="AS816" s="132" t="n"/>
      <c r="AT816" s="132" t="n"/>
      <c r="AU816" s="132" t="n"/>
      <c r="AV816" s="132" t="n"/>
      <c r="AW816" s="132" t="n"/>
      <c r="AX816" s="132" t="n"/>
      <c r="AY816" s="132" t="n"/>
      <c r="AZ816" s="133" t="n"/>
      <c r="BA816" s="131" t="n"/>
      <c r="BB816" s="132" t="n"/>
      <c r="BC816" s="133" t="n"/>
      <c r="BD816" s="131" t="n"/>
      <c r="BE816" s="132" t="n"/>
      <c r="BF816" s="133" t="n"/>
      <c r="BG816" s="131" t="n"/>
      <c r="BH816" s="132" t="n"/>
      <c r="BI816" s="132" t="n"/>
      <c r="BJ816" s="128">
        <f>iferror(SUM($BK816,($BL816*1.2),($BM816*1.35),($BN816*0.74)),)</f>
        <v/>
      </c>
      <c r="BK816" s="128">
        <f>IFERROR(SUM($BT816:$CK816),)</f>
        <v/>
      </c>
      <c r="BL816" s="129">
        <f>IFERROR(SUM($CL816:$CN816),)</f>
        <v/>
      </c>
      <c r="BM816" s="130">
        <f>IFERROR(SUM($CO816:$CQ816),)</f>
        <v/>
      </c>
      <c r="BN816" s="128">
        <f>IFERROR(SUM($CR816:$CT816),)</f>
        <v/>
      </c>
      <c r="BO816" s="128">
        <f>iferror(SUM($BP816,($BQ816*1.2),($BR816*1.35),($BS816*0.74)),)</f>
        <v/>
      </c>
      <c r="BP816" s="128">
        <f>IFERROR(SUM($CU816:$DL816),)</f>
        <v/>
      </c>
      <c r="BQ816" s="128">
        <f>IFERROR(SUM($DM816:$DO816),)</f>
        <v/>
      </c>
      <c r="BR816" s="128">
        <f>IFERROR(SUM($DP816:$DR816),)</f>
        <v/>
      </c>
      <c r="BS816" s="128">
        <f>IFERROR(SUM($DS816:$DU816),)</f>
        <v/>
      </c>
      <c r="BT816" s="128">
        <f>IFERROR(AI816*$W816,)</f>
        <v/>
      </c>
      <c r="BU816" s="128">
        <f>IFERROR(AJ816*$W816,)</f>
        <v/>
      </c>
      <c r="BV816" s="128">
        <f>IFERROR(AK816*$W816,)</f>
        <v/>
      </c>
      <c r="BW816" s="128">
        <f>IFERROR(AL816*$W816,)</f>
        <v/>
      </c>
      <c r="BX816" s="128">
        <f>IFERROR(AM816*$W816,)</f>
        <v/>
      </c>
      <c r="BY816" s="128">
        <f>IFERROR(AN816*$W816,)</f>
        <v/>
      </c>
      <c r="BZ816" s="128">
        <f>IFERROR(AO816*$W816,)</f>
        <v/>
      </c>
      <c r="CA816" s="128">
        <f>IFERROR(AP816*$W816,)</f>
        <v/>
      </c>
      <c r="CB816" s="128">
        <f>IFERROR(AQ816*$W816,)</f>
        <v/>
      </c>
      <c r="CC816" s="128">
        <f>IFERROR(AR816*$W816,)</f>
        <v/>
      </c>
      <c r="CD816" s="128">
        <f>IFERROR(AS816*$W816,)</f>
        <v/>
      </c>
      <c r="CE816" s="128">
        <f>IFERROR(AT816*$W816,)</f>
        <v/>
      </c>
      <c r="CF816" s="128">
        <f>IFERROR(AU816*$W816,)</f>
        <v/>
      </c>
      <c r="CG816" s="128">
        <f>IFERROR(AV816*$W816,)</f>
        <v/>
      </c>
      <c r="CH816" s="128">
        <f>IFERROR(AW816*$W816,)</f>
        <v/>
      </c>
      <c r="CI816" s="128">
        <f>IFERROR(AX816*$W816,)</f>
        <v/>
      </c>
      <c r="CJ816" s="128">
        <f>IFERROR(AY816*$W816,)</f>
        <v/>
      </c>
      <c r="CK816" s="128">
        <f>IFERROR(AZ816*$W816,)</f>
        <v/>
      </c>
      <c r="CL816" s="129">
        <f>IFERROR(if($Y816=0,BA816*($W816/1.2),BA816*$Y816),"")</f>
        <v/>
      </c>
      <c r="CM816" s="129">
        <f>IFERROR(if($Y816=0,BB816*($W816/1.2),BB816*$Y816),"")</f>
        <v/>
      </c>
      <c r="CN816" s="129">
        <f>IFERROR(if($Y816=0,BC816*($W816/1.2),BC816*$Y816),"")</f>
        <v/>
      </c>
      <c r="CO816" s="130">
        <f>IFERROR(if($AA816=0,($W816/1.35)*BD816,BD816*$AA816),)</f>
        <v/>
      </c>
      <c r="CP816" s="130">
        <f>IFERROR(if($AA816=0,($W816/1.35)*BE816,BE816*$AA816),)</f>
        <v/>
      </c>
      <c r="CQ816" s="130">
        <f>IFERROR(if($AA816=0,($W816/1.35)*BF816,BF816*$AA816),)</f>
        <v/>
      </c>
      <c r="CR816" s="128">
        <f>IFERROR(if($AC816=0,($W816/0.74)*BG816,
BG816*$AC816),)</f>
        <v/>
      </c>
      <c r="CS816" s="128">
        <f>IFERROR(if($AC816=0,($W816/0.74)*BH816,
BH816*$AC816),)</f>
        <v/>
      </c>
      <c r="CT816" s="128">
        <f>IFERROR(if($AC816=0,($W816/0.74)*BI816,
BI816*$AC816),)</f>
        <v/>
      </c>
      <c r="CU816" s="128">
        <f>IFERROR(AI816*$V816,)</f>
        <v/>
      </c>
      <c r="CV816" s="128">
        <f>IFERROR(AJ816*$V816,)</f>
        <v/>
      </c>
      <c r="CW816" s="128">
        <f>IFERROR(AK816*$V816,)</f>
        <v/>
      </c>
      <c r="CX816" s="128">
        <f>IFERROR(AL816*$V816,)</f>
        <v/>
      </c>
      <c r="CY816" s="128">
        <f>IFERROR(AM816*$V816,)</f>
        <v/>
      </c>
      <c r="CZ816" s="128">
        <f>IFERROR(AN816*$V816,)</f>
        <v/>
      </c>
      <c r="DA816" s="128">
        <f>IFERROR(AO816*$V816,)</f>
        <v/>
      </c>
      <c r="DB816" s="128">
        <f>IFERROR(AP816*$V816,)</f>
        <v/>
      </c>
      <c r="DC816" s="128">
        <f>IFERROR(AQ816*$V816,)</f>
        <v/>
      </c>
      <c r="DD816" s="128">
        <f>IFERROR(AR816*$V816,)</f>
        <v/>
      </c>
      <c r="DE816" s="128">
        <f>IFERROR(AS816*$V816,)</f>
        <v/>
      </c>
      <c r="DF816" s="128">
        <f>IFERROR(AT816*$V816,)</f>
        <v/>
      </c>
      <c r="DG816" s="128">
        <f>IFERROR(AU816*$V816,)</f>
        <v/>
      </c>
      <c r="DH816" s="128">
        <f>IFERROR(AV816*$V816,)</f>
        <v/>
      </c>
      <c r="DI816" s="128">
        <f>IFERROR(AW816*$V816,)</f>
        <v/>
      </c>
      <c r="DJ816" s="128">
        <f>IFERROR(AX816*$V816,)</f>
        <v/>
      </c>
      <c r="DK816" s="128">
        <f>IFERROR(AY816*$V816,)</f>
        <v/>
      </c>
      <c r="DL816" s="128">
        <f>IFERROR(AZ816*$V816,)</f>
        <v/>
      </c>
      <c r="DM816" s="129">
        <f>IFERROR(if($X816=0,($V816/1.2)*BA816,
BA816*$X816),)</f>
        <v/>
      </c>
      <c r="DN816" s="129">
        <f>IFERROR(if($X816=0,($V816/1.2)*BB816,
BB816*$X816),)</f>
        <v/>
      </c>
      <c r="DO816" s="129">
        <f>IFERROR(if($X816=0,($V816/1.2)*BC816,
BC816*$X816),)</f>
        <v/>
      </c>
      <c r="DP816" s="130">
        <f>IFERROR(if($Z816=0,($V816/1.35)*BD816,
BD816*$Z816),)</f>
        <v/>
      </c>
      <c r="DQ816" s="130">
        <f>IFERROR(if($Z816=0,($V816/1.35)*BE816,
BE816*$Z816),)</f>
        <v/>
      </c>
      <c r="DR816" s="130">
        <f>IFERROR(if($Z816=0,($V816/1.35)*BF816,
BF816*$Z816),)</f>
        <v/>
      </c>
      <c r="DS816" s="128">
        <f>IFERROR(IF($AB816=0,($V816/0.74)*BG816,
BG816*$AB816),)</f>
        <v/>
      </c>
      <c r="DT816" s="128">
        <f>IFERROR(IF($AB816=0,($V816/0.74)*BH816,
BH816*$AB816),)</f>
        <v/>
      </c>
      <c r="DU816" s="128">
        <f>IFERROR(IF($AB816=0,($V816/0.74)*BI816,
BI816*$AB816),)</f>
        <v/>
      </c>
    </row>
    <row r="817" ht="131.25" customHeight="1" s="162">
      <c r="A817" s="115" t="n"/>
      <c r="B817" s="115" t="n"/>
      <c r="C817" s="115" t="n"/>
      <c r="D817" s="115" t="n"/>
      <c r="E817" s="115" t="n"/>
      <c r="F817" s="115" t="n"/>
      <c r="G817" s="115" t="n"/>
      <c r="H817" s="115" t="n"/>
      <c r="I817" s="115" t="n"/>
      <c r="J817" s="115" t="n"/>
      <c r="K817" s="115" t="n"/>
      <c r="L817" s="115" t="n"/>
      <c r="M817" s="115" t="n"/>
      <c r="N817" s="115" t="n"/>
      <c r="O817" s="115" t="n"/>
      <c r="P817" s="115" t="n"/>
      <c r="Q817" s="115" t="n"/>
      <c r="R817" s="115" t="n"/>
      <c r="S817" s="115" t="n"/>
      <c r="T817" s="115" t="n"/>
      <c r="U817" s="116" t="n"/>
      <c r="V817" s="116" t="n"/>
      <c r="W817" s="117" t="n"/>
      <c r="X817" s="118" t="n"/>
      <c r="Y817" s="119" t="n"/>
      <c r="Z817" s="120" t="n"/>
      <c r="AA817" s="121" t="n"/>
      <c r="AB817" s="122" t="n"/>
      <c r="AC817" s="117" t="n"/>
      <c r="AD817" s="123">
        <f>IF(SUM($AE817:$AH817)=0,"",SUM($AE817:$AH817))</f>
        <v/>
      </c>
      <c r="AE817" s="123">
        <f>iferror(IF(SUM($AI817:$AZ817)=0,"",SUM($AI817:$AZ817)),"")</f>
        <v/>
      </c>
      <c r="AF817" s="123">
        <f>iferror(IF(SUM($BA817:$BC817)=0,"",SUM($BA817:$BC817)),"")</f>
        <v/>
      </c>
      <c r="AG817" s="123">
        <f>iferror(IF(SUM($BD817:$BF817)=0,"",SUM($BD817:$BF817)),"")</f>
        <v/>
      </c>
      <c r="AH817" s="124">
        <f>iferror(IF(SUM($BG817:$BI817)=0,"",SUM($BG817:$BI817)),"")</f>
        <v/>
      </c>
      <c r="AI817" s="131" t="n"/>
      <c r="AJ817" s="132" t="n"/>
      <c r="AK817" s="132" t="n"/>
      <c r="AL817" s="132" t="n"/>
      <c r="AM817" s="132" t="n"/>
      <c r="AN817" s="132" t="n"/>
      <c r="AO817" s="132" t="n"/>
      <c r="AP817" s="132" t="n"/>
      <c r="AQ817" s="132" t="n"/>
      <c r="AR817" s="132" t="n"/>
      <c r="AS817" s="132" t="n"/>
      <c r="AT817" s="132" t="n"/>
      <c r="AU817" s="132" t="n"/>
      <c r="AV817" s="132" t="n"/>
      <c r="AW817" s="132" t="n"/>
      <c r="AX817" s="132" t="n"/>
      <c r="AY817" s="132" t="n"/>
      <c r="AZ817" s="133" t="n"/>
      <c r="BA817" s="131" t="n"/>
      <c r="BB817" s="132" t="n"/>
      <c r="BC817" s="133" t="n"/>
      <c r="BD817" s="131" t="n"/>
      <c r="BE817" s="132" t="n"/>
      <c r="BF817" s="133" t="n"/>
      <c r="BG817" s="131" t="n"/>
      <c r="BH817" s="132" t="n"/>
      <c r="BI817" s="132" t="n"/>
      <c r="BJ817" s="128">
        <f>iferror(SUM($BK817,($BL817*1.2),($BM817*1.35),($BN817*0.74)),)</f>
        <v/>
      </c>
      <c r="BK817" s="128">
        <f>IFERROR(SUM($BT817:$CK817),)</f>
        <v/>
      </c>
      <c r="BL817" s="129">
        <f>IFERROR(SUM($CL817:$CN817),)</f>
        <v/>
      </c>
      <c r="BM817" s="130">
        <f>IFERROR(SUM($CO817:$CQ817),)</f>
        <v/>
      </c>
      <c r="BN817" s="128">
        <f>IFERROR(SUM($CR817:$CT817),)</f>
        <v/>
      </c>
      <c r="BO817" s="128">
        <f>iferror(SUM($BP817,($BQ817*1.2),($BR817*1.35),($BS817*0.74)),)</f>
        <v/>
      </c>
      <c r="BP817" s="128">
        <f>IFERROR(SUM($CU817:$DL817),)</f>
        <v/>
      </c>
      <c r="BQ817" s="128">
        <f>IFERROR(SUM($DM817:$DO817),)</f>
        <v/>
      </c>
      <c r="BR817" s="128">
        <f>IFERROR(SUM($DP817:$DR817),)</f>
        <v/>
      </c>
      <c r="BS817" s="128">
        <f>IFERROR(SUM($DS817:$DU817),)</f>
        <v/>
      </c>
      <c r="BT817" s="128">
        <f>IFERROR(AI817*$W817,)</f>
        <v/>
      </c>
      <c r="BU817" s="128">
        <f>IFERROR(AJ817*$W817,)</f>
        <v/>
      </c>
      <c r="BV817" s="128">
        <f>IFERROR(AK817*$W817,)</f>
        <v/>
      </c>
      <c r="BW817" s="128">
        <f>IFERROR(AL817*$W817,)</f>
        <v/>
      </c>
      <c r="BX817" s="128">
        <f>IFERROR(AM817*$W817,)</f>
        <v/>
      </c>
      <c r="BY817" s="128">
        <f>IFERROR(AN817*$W817,)</f>
        <v/>
      </c>
      <c r="BZ817" s="128">
        <f>IFERROR(AO817*$W817,)</f>
        <v/>
      </c>
      <c r="CA817" s="128">
        <f>IFERROR(AP817*$W817,)</f>
        <v/>
      </c>
      <c r="CB817" s="128">
        <f>IFERROR(AQ817*$W817,)</f>
        <v/>
      </c>
      <c r="CC817" s="128">
        <f>IFERROR(AR817*$W817,)</f>
        <v/>
      </c>
      <c r="CD817" s="128">
        <f>IFERROR(AS817*$W817,)</f>
        <v/>
      </c>
      <c r="CE817" s="128">
        <f>IFERROR(AT817*$W817,)</f>
        <v/>
      </c>
      <c r="CF817" s="128">
        <f>IFERROR(AU817*$W817,)</f>
        <v/>
      </c>
      <c r="CG817" s="128">
        <f>IFERROR(AV817*$W817,)</f>
        <v/>
      </c>
      <c r="CH817" s="128">
        <f>IFERROR(AW817*$W817,)</f>
        <v/>
      </c>
      <c r="CI817" s="128">
        <f>IFERROR(AX817*$W817,)</f>
        <v/>
      </c>
      <c r="CJ817" s="128">
        <f>IFERROR(AY817*$W817,)</f>
        <v/>
      </c>
      <c r="CK817" s="128">
        <f>IFERROR(AZ817*$W817,)</f>
        <v/>
      </c>
      <c r="CL817" s="129">
        <f>IFERROR(if($Y817=0,BA817*($W817/1.2),BA817*$Y817),"")</f>
        <v/>
      </c>
      <c r="CM817" s="129">
        <f>IFERROR(if($Y817=0,BB817*($W817/1.2),BB817*$Y817),"")</f>
        <v/>
      </c>
      <c r="CN817" s="129">
        <f>IFERROR(if($Y817=0,BC817*($W817/1.2),BC817*$Y817),"")</f>
        <v/>
      </c>
      <c r="CO817" s="130">
        <f>IFERROR(if($AA817=0,($W817/1.35)*BD817,BD817*$AA817),)</f>
        <v/>
      </c>
      <c r="CP817" s="130">
        <f>IFERROR(if($AA817=0,($W817/1.35)*BE817,BE817*$AA817),)</f>
        <v/>
      </c>
      <c r="CQ817" s="130">
        <f>IFERROR(if($AA817=0,($W817/1.35)*BF817,BF817*$AA817),)</f>
        <v/>
      </c>
      <c r="CR817" s="128">
        <f>IFERROR(if($AC817=0,($W817/0.74)*BG817,
BG817*$AC817),)</f>
        <v/>
      </c>
      <c r="CS817" s="128">
        <f>IFERROR(if($AC817=0,($W817/0.74)*BH817,
BH817*$AC817),)</f>
        <v/>
      </c>
      <c r="CT817" s="128">
        <f>IFERROR(if($AC817=0,($W817/0.74)*BI817,
BI817*$AC817),)</f>
        <v/>
      </c>
      <c r="CU817" s="128">
        <f>IFERROR(AI817*$V817,)</f>
        <v/>
      </c>
      <c r="CV817" s="128">
        <f>IFERROR(AJ817*$V817,)</f>
        <v/>
      </c>
      <c r="CW817" s="128">
        <f>IFERROR(AK817*$V817,)</f>
        <v/>
      </c>
      <c r="CX817" s="128">
        <f>IFERROR(AL817*$V817,)</f>
        <v/>
      </c>
      <c r="CY817" s="128">
        <f>IFERROR(AM817*$V817,)</f>
        <v/>
      </c>
      <c r="CZ817" s="128">
        <f>IFERROR(AN817*$V817,)</f>
        <v/>
      </c>
      <c r="DA817" s="128">
        <f>IFERROR(AO817*$V817,)</f>
        <v/>
      </c>
      <c r="DB817" s="128">
        <f>IFERROR(AP817*$V817,)</f>
        <v/>
      </c>
      <c r="DC817" s="128">
        <f>IFERROR(AQ817*$V817,)</f>
        <v/>
      </c>
      <c r="DD817" s="128">
        <f>IFERROR(AR817*$V817,)</f>
        <v/>
      </c>
      <c r="DE817" s="128">
        <f>IFERROR(AS817*$V817,)</f>
        <v/>
      </c>
      <c r="DF817" s="128">
        <f>IFERROR(AT817*$V817,)</f>
        <v/>
      </c>
      <c r="DG817" s="128">
        <f>IFERROR(AU817*$V817,)</f>
        <v/>
      </c>
      <c r="DH817" s="128">
        <f>IFERROR(AV817*$V817,)</f>
        <v/>
      </c>
      <c r="DI817" s="128">
        <f>IFERROR(AW817*$V817,)</f>
        <v/>
      </c>
      <c r="DJ817" s="128">
        <f>IFERROR(AX817*$V817,)</f>
        <v/>
      </c>
      <c r="DK817" s="128">
        <f>IFERROR(AY817*$V817,)</f>
        <v/>
      </c>
      <c r="DL817" s="128">
        <f>IFERROR(AZ817*$V817,)</f>
        <v/>
      </c>
      <c r="DM817" s="129">
        <f>IFERROR(if($X817=0,($V817/1.2)*BA817,
BA817*$X817),)</f>
        <v/>
      </c>
      <c r="DN817" s="129">
        <f>IFERROR(if($X817=0,($V817/1.2)*BB817,
BB817*$X817),)</f>
        <v/>
      </c>
      <c r="DO817" s="129">
        <f>IFERROR(if($X817=0,($V817/1.2)*BC817,
BC817*$X817),)</f>
        <v/>
      </c>
      <c r="DP817" s="130">
        <f>IFERROR(if($Z817=0,($V817/1.35)*BD817,
BD817*$Z817),)</f>
        <v/>
      </c>
      <c r="DQ817" s="130">
        <f>IFERROR(if($Z817=0,($V817/1.35)*BE817,
BE817*$Z817),)</f>
        <v/>
      </c>
      <c r="DR817" s="130">
        <f>IFERROR(if($Z817=0,($V817/1.35)*BF817,
BF817*$Z817),)</f>
        <v/>
      </c>
      <c r="DS817" s="128">
        <f>IFERROR(IF($AB817=0,($V817/0.74)*BG817,
BG817*$AB817),)</f>
        <v/>
      </c>
      <c r="DT817" s="128">
        <f>IFERROR(IF($AB817=0,($V817/0.74)*BH817,
BH817*$AB817),)</f>
        <v/>
      </c>
      <c r="DU817" s="128">
        <f>IFERROR(IF($AB817=0,($V817/0.74)*BI817,
BI817*$AB817),)</f>
        <v/>
      </c>
    </row>
    <row r="818" ht="131.25" customHeight="1" s="162">
      <c r="A818" s="115" t="n"/>
      <c r="B818" s="115" t="n"/>
      <c r="C818" s="115" t="n"/>
      <c r="D818" s="115" t="n"/>
      <c r="E818" s="115" t="n"/>
      <c r="F818" s="115" t="n"/>
      <c r="G818" s="115" t="n"/>
      <c r="H818" s="115" t="n"/>
      <c r="I818" s="115" t="n"/>
      <c r="J818" s="115" t="n"/>
      <c r="K818" s="115" t="n"/>
      <c r="L818" s="115" t="n"/>
      <c r="M818" s="115" t="n"/>
      <c r="N818" s="115" t="n"/>
      <c r="O818" s="115" t="n"/>
      <c r="P818" s="115" t="n"/>
      <c r="Q818" s="115" t="n"/>
      <c r="R818" s="115" t="n"/>
      <c r="S818" s="115" t="n"/>
      <c r="T818" s="115" t="n"/>
      <c r="U818" s="116" t="n"/>
      <c r="V818" s="116" t="n"/>
      <c r="W818" s="117" t="n"/>
      <c r="X818" s="118" t="n"/>
      <c r="Y818" s="119" t="n"/>
      <c r="Z818" s="120" t="n"/>
      <c r="AA818" s="121" t="n"/>
      <c r="AB818" s="122" t="n"/>
      <c r="AC818" s="117" t="n"/>
      <c r="AD818" s="123">
        <f>IF(SUM($AE818:$AH818)=0,"",SUM($AE818:$AH818))</f>
        <v/>
      </c>
      <c r="AE818" s="123">
        <f>iferror(IF(SUM($AI818:$AZ818)=0,"",SUM($AI818:$AZ818)),"")</f>
        <v/>
      </c>
      <c r="AF818" s="123">
        <f>iferror(IF(SUM($BA818:$BC818)=0,"",SUM($BA818:$BC818)),"")</f>
        <v/>
      </c>
      <c r="AG818" s="123">
        <f>iferror(IF(SUM($BD818:$BF818)=0,"",SUM($BD818:$BF818)),"")</f>
        <v/>
      </c>
      <c r="AH818" s="124">
        <f>iferror(IF(SUM($BG818:$BI818)=0,"",SUM($BG818:$BI818)),"")</f>
        <v/>
      </c>
      <c r="AI818" s="131" t="n"/>
      <c r="AJ818" s="132" t="n"/>
      <c r="AK818" s="132" t="n"/>
      <c r="AL818" s="132" t="n"/>
      <c r="AM818" s="132" t="n"/>
      <c r="AN818" s="132" t="n"/>
      <c r="AO818" s="132" t="n"/>
      <c r="AP818" s="132" t="n"/>
      <c r="AQ818" s="132" t="n"/>
      <c r="AR818" s="132" t="n"/>
      <c r="AS818" s="132" t="n"/>
      <c r="AT818" s="132" t="n"/>
      <c r="AU818" s="132" t="n"/>
      <c r="AV818" s="132" t="n"/>
      <c r="AW818" s="132" t="n"/>
      <c r="AX818" s="132" t="n"/>
      <c r="AY818" s="132" t="n"/>
      <c r="AZ818" s="133" t="n"/>
      <c r="BA818" s="131" t="n"/>
      <c r="BB818" s="132" t="n"/>
      <c r="BC818" s="133" t="n"/>
      <c r="BD818" s="131" t="n"/>
      <c r="BE818" s="132" t="n"/>
      <c r="BF818" s="133" t="n"/>
      <c r="BG818" s="131" t="n"/>
      <c r="BH818" s="132" t="n"/>
      <c r="BI818" s="132" t="n"/>
      <c r="BJ818" s="128">
        <f>iferror(SUM($BK818,($BL818*1.2),($BM818*1.35),($BN818*0.74)),)</f>
        <v/>
      </c>
      <c r="BK818" s="128">
        <f>IFERROR(SUM($BT818:$CK818),)</f>
        <v/>
      </c>
      <c r="BL818" s="129">
        <f>IFERROR(SUM($CL818:$CN818),)</f>
        <v/>
      </c>
      <c r="BM818" s="130">
        <f>IFERROR(SUM($CO818:$CQ818),)</f>
        <v/>
      </c>
      <c r="BN818" s="128">
        <f>IFERROR(SUM($CR818:$CT818),)</f>
        <v/>
      </c>
      <c r="BO818" s="128">
        <f>iferror(SUM($BP818,($BQ818*1.2),($BR818*1.35),($BS818*0.74)),)</f>
        <v/>
      </c>
      <c r="BP818" s="128">
        <f>IFERROR(SUM($CU818:$DL818),)</f>
        <v/>
      </c>
      <c r="BQ818" s="128">
        <f>IFERROR(SUM($DM818:$DO818),)</f>
        <v/>
      </c>
      <c r="BR818" s="128">
        <f>IFERROR(SUM($DP818:$DR818),)</f>
        <v/>
      </c>
      <c r="BS818" s="128">
        <f>IFERROR(SUM($DS818:$DU818),)</f>
        <v/>
      </c>
      <c r="BT818" s="128">
        <f>IFERROR(AI818*$W818,)</f>
        <v/>
      </c>
      <c r="BU818" s="128">
        <f>IFERROR(AJ818*$W818,)</f>
        <v/>
      </c>
      <c r="BV818" s="128">
        <f>IFERROR(AK818*$W818,)</f>
        <v/>
      </c>
      <c r="BW818" s="128">
        <f>IFERROR(AL818*$W818,)</f>
        <v/>
      </c>
      <c r="BX818" s="128">
        <f>IFERROR(AM818*$W818,)</f>
        <v/>
      </c>
      <c r="BY818" s="128">
        <f>IFERROR(AN818*$W818,)</f>
        <v/>
      </c>
      <c r="BZ818" s="128">
        <f>IFERROR(AO818*$W818,)</f>
        <v/>
      </c>
      <c r="CA818" s="128">
        <f>IFERROR(AP818*$W818,)</f>
        <v/>
      </c>
      <c r="CB818" s="128">
        <f>IFERROR(AQ818*$W818,)</f>
        <v/>
      </c>
      <c r="CC818" s="128">
        <f>IFERROR(AR818*$W818,)</f>
        <v/>
      </c>
      <c r="CD818" s="128">
        <f>IFERROR(AS818*$W818,)</f>
        <v/>
      </c>
      <c r="CE818" s="128">
        <f>IFERROR(AT818*$W818,)</f>
        <v/>
      </c>
      <c r="CF818" s="128">
        <f>IFERROR(AU818*$W818,)</f>
        <v/>
      </c>
      <c r="CG818" s="128">
        <f>IFERROR(AV818*$W818,)</f>
        <v/>
      </c>
      <c r="CH818" s="128">
        <f>IFERROR(AW818*$W818,)</f>
        <v/>
      </c>
      <c r="CI818" s="128">
        <f>IFERROR(AX818*$W818,)</f>
        <v/>
      </c>
      <c r="CJ818" s="128">
        <f>IFERROR(AY818*$W818,)</f>
        <v/>
      </c>
      <c r="CK818" s="128">
        <f>IFERROR(AZ818*$W818,)</f>
        <v/>
      </c>
      <c r="CL818" s="129">
        <f>IFERROR(if($Y818=0,BA818*($W818/1.2),BA818*$Y818),"")</f>
        <v/>
      </c>
      <c r="CM818" s="129">
        <f>IFERROR(if($Y818=0,BB818*($W818/1.2),BB818*$Y818),"")</f>
        <v/>
      </c>
      <c r="CN818" s="129">
        <f>IFERROR(if($Y818=0,BC818*($W818/1.2),BC818*$Y818),"")</f>
        <v/>
      </c>
      <c r="CO818" s="130">
        <f>IFERROR(if($AA818=0,($W818/1.35)*BD818,BD818*$AA818),)</f>
        <v/>
      </c>
      <c r="CP818" s="130">
        <f>IFERROR(if($AA818=0,($W818/1.35)*BE818,BE818*$AA818),)</f>
        <v/>
      </c>
      <c r="CQ818" s="130">
        <f>IFERROR(if($AA818=0,($W818/1.35)*BF818,BF818*$AA818),)</f>
        <v/>
      </c>
      <c r="CR818" s="128">
        <f>IFERROR(if($AC818=0,($W818/0.74)*BG818,
BG818*$AC818),)</f>
        <v/>
      </c>
      <c r="CS818" s="128">
        <f>IFERROR(if($AC818=0,($W818/0.74)*BH818,
BH818*$AC818),)</f>
        <v/>
      </c>
      <c r="CT818" s="128">
        <f>IFERROR(if($AC818=0,($W818/0.74)*BI818,
BI818*$AC818),)</f>
        <v/>
      </c>
      <c r="CU818" s="128">
        <f>IFERROR(AI818*$V818,)</f>
        <v/>
      </c>
      <c r="CV818" s="128">
        <f>IFERROR(AJ818*$V818,)</f>
        <v/>
      </c>
      <c r="CW818" s="128">
        <f>IFERROR(AK818*$V818,)</f>
        <v/>
      </c>
      <c r="CX818" s="128">
        <f>IFERROR(AL818*$V818,)</f>
        <v/>
      </c>
      <c r="CY818" s="128">
        <f>IFERROR(AM818*$V818,)</f>
        <v/>
      </c>
      <c r="CZ818" s="128">
        <f>IFERROR(AN818*$V818,)</f>
        <v/>
      </c>
      <c r="DA818" s="128">
        <f>IFERROR(AO818*$V818,)</f>
        <v/>
      </c>
      <c r="DB818" s="128">
        <f>IFERROR(AP818*$V818,)</f>
        <v/>
      </c>
      <c r="DC818" s="128">
        <f>IFERROR(AQ818*$V818,)</f>
        <v/>
      </c>
      <c r="DD818" s="128">
        <f>IFERROR(AR818*$V818,)</f>
        <v/>
      </c>
      <c r="DE818" s="128">
        <f>IFERROR(AS818*$V818,)</f>
        <v/>
      </c>
      <c r="DF818" s="128">
        <f>IFERROR(AT818*$V818,)</f>
        <v/>
      </c>
      <c r="DG818" s="128">
        <f>IFERROR(AU818*$V818,)</f>
        <v/>
      </c>
      <c r="DH818" s="128">
        <f>IFERROR(AV818*$V818,)</f>
        <v/>
      </c>
      <c r="DI818" s="128">
        <f>IFERROR(AW818*$V818,)</f>
        <v/>
      </c>
      <c r="DJ818" s="128">
        <f>IFERROR(AX818*$V818,)</f>
        <v/>
      </c>
      <c r="DK818" s="128">
        <f>IFERROR(AY818*$V818,)</f>
        <v/>
      </c>
      <c r="DL818" s="128">
        <f>IFERROR(AZ818*$V818,)</f>
        <v/>
      </c>
      <c r="DM818" s="129">
        <f>IFERROR(if($X818=0,($V818/1.2)*BA818,
BA818*$X818),)</f>
        <v/>
      </c>
      <c r="DN818" s="129">
        <f>IFERROR(if($X818=0,($V818/1.2)*BB818,
BB818*$X818),)</f>
        <v/>
      </c>
      <c r="DO818" s="129">
        <f>IFERROR(if($X818=0,($V818/1.2)*BC818,
BC818*$X818),)</f>
        <v/>
      </c>
      <c r="DP818" s="130">
        <f>IFERROR(if($Z818=0,($V818/1.35)*BD818,
BD818*$Z818),)</f>
        <v/>
      </c>
      <c r="DQ818" s="130">
        <f>IFERROR(if($Z818=0,($V818/1.35)*BE818,
BE818*$Z818),)</f>
        <v/>
      </c>
      <c r="DR818" s="130">
        <f>IFERROR(if($Z818=0,($V818/1.35)*BF818,
BF818*$Z818),)</f>
        <v/>
      </c>
      <c r="DS818" s="128">
        <f>IFERROR(IF($AB818=0,($V818/0.74)*BG818,
BG818*$AB818),)</f>
        <v/>
      </c>
      <c r="DT818" s="128">
        <f>IFERROR(IF($AB818=0,($V818/0.74)*BH818,
BH818*$AB818),)</f>
        <v/>
      </c>
      <c r="DU818" s="128">
        <f>IFERROR(IF($AB818=0,($V818/0.74)*BI818,
BI818*$AB818),)</f>
        <v/>
      </c>
    </row>
    <row r="819" ht="131.25" customHeight="1" s="162">
      <c r="A819" s="115" t="n"/>
      <c r="B819" s="115" t="n"/>
      <c r="C819" s="115" t="n"/>
      <c r="D819" s="115" t="n"/>
      <c r="E819" s="115" t="n"/>
      <c r="F819" s="115" t="n"/>
      <c r="G819" s="115" t="n"/>
      <c r="H819" s="115" t="n"/>
      <c r="I819" s="115" t="n"/>
      <c r="J819" s="115" t="n"/>
      <c r="K819" s="115" t="n"/>
      <c r="L819" s="115" t="n"/>
      <c r="M819" s="115" t="n"/>
      <c r="N819" s="115" t="n"/>
      <c r="O819" s="115" t="n"/>
      <c r="P819" s="115" t="n"/>
      <c r="Q819" s="115" t="n"/>
      <c r="R819" s="115" t="n"/>
      <c r="S819" s="115" t="n"/>
      <c r="T819" s="115" t="n"/>
      <c r="U819" s="116" t="n"/>
      <c r="V819" s="116" t="n"/>
      <c r="W819" s="117" t="n"/>
      <c r="X819" s="118" t="n"/>
      <c r="Y819" s="119" t="n"/>
      <c r="Z819" s="120" t="n"/>
      <c r="AA819" s="121" t="n"/>
      <c r="AB819" s="122" t="n"/>
      <c r="AC819" s="117" t="n"/>
      <c r="AD819" s="123">
        <f>IF(SUM($AE819:$AH819)=0,"",SUM($AE819:$AH819))</f>
        <v/>
      </c>
      <c r="AE819" s="123">
        <f>iferror(IF(SUM($AI819:$AZ819)=0,"",SUM($AI819:$AZ819)),"")</f>
        <v/>
      </c>
      <c r="AF819" s="123">
        <f>iferror(IF(SUM($BA819:$BC819)=0,"",SUM($BA819:$BC819)),"")</f>
        <v/>
      </c>
      <c r="AG819" s="123">
        <f>iferror(IF(SUM($BD819:$BF819)=0,"",SUM($BD819:$BF819)),"")</f>
        <v/>
      </c>
      <c r="AH819" s="124">
        <f>iferror(IF(SUM($BG819:$BI819)=0,"",SUM($BG819:$BI819)),"")</f>
        <v/>
      </c>
      <c r="AI819" s="131" t="n"/>
      <c r="AJ819" s="132" t="n"/>
      <c r="AK819" s="132" t="n"/>
      <c r="AL819" s="132" t="n"/>
      <c r="AM819" s="132" t="n"/>
      <c r="AN819" s="132" t="n"/>
      <c r="AO819" s="132" t="n"/>
      <c r="AP819" s="132" t="n"/>
      <c r="AQ819" s="132" t="n"/>
      <c r="AR819" s="132" t="n"/>
      <c r="AS819" s="132" t="n"/>
      <c r="AT819" s="132" t="n"/>
      <c r="AU819" s="132" t="n"/>
      <c r="AV819" s="132" t="n"/>
      <c r="AW819" s="132" t="n"/>
      <c r="AX819" s="132" t="n"/>
      <c r="AY819" s="132" t="n"/>
      <c r="AZ819" s="133" t="n"/>
      <c r="BA819" s="131" t="n"/>
      <c r="BB819" s="132" t="n"/>
      <c r="BC819" s="133" t="n"/>
      <c r="BD819" s="131" t="n"/>
      <c r="BE819" s="132" t="n"/>
      <c r="BF819" s="133" t="n"/>
      <c r="BG819" s="131" t="n"/>
      <c r="BH819" s="132" t="n"/>
      <c r="BI819" s="132" t="n"/>
      <c r="BJ819" s="128">
        <f>iferror(SUM($BK819,($BL819*1.2),($BM819*1.35),($BN819*0.74)),)</f>
        <v/>
      </c>
      <c r="BK819" s="128">
        <f>IFERROR(SUM($BT819:$CK819),)</f>
        <v/>
      </c>
      <c r="BL819" s="129">
        <f>IFERROR(SUM($CL819:$CN819),)</f>
        <v/>
      </c>
      <c r="BM819" s="130">
        <f>IFERROR(SUM($CO819:$CQ819),)</f>
        <v/>
      </c>
      <c r="BN819" s="128">
        <f>IFERROR(SUM($CR819:$CT819),)</f>
        <v/>
      </c>
      <c r="BO819" s="128">
        <f>iferror(SUM($BP819,($BQ819*1.2),($BR819*1.35),($BS819*0.74)),)</f>
        <v/>
      </c>
      <c r="BP819" s="128">
        <f>IFERROR(SUM($CU819:$DL819),)</f>
        <v/>
      </c>
      <c r="BQ819" s="128">
        <f>IFERROR(SUM($DM819:$DO819),)</f>
        <v/>
      </c>
      <c r="BR819" s="128">
        <f>IFERROR(SUM($DP819:$DR819),)</f>
        <v/>
      </c>
      <c r="BS819" s="128">
        <f>IFERROR(SUM($DS819:$DU819),)</f>
        <v/>
      </c>
      <c r="BT819" s="128">
        <f>IFERROR(AI819*$W819,)</f>
        <v/>
      </c>
      <c r="BU819" s="128">
        <f>IFERROR(AJ819*$W819,)</f>
        <v/>
      </c>
      <c r="BV819" s="128">
        <f>IFERROR(AK819*$W819,)</f>
        <v/>
      </c>
      <c r="BW819" s="128">
        <f>IFERROR(AL819*$W819,)</f>
        <v/>
      </c>
      <c r="BX819" s="128">
        <f>IFERROR(AM819*$W819,)</f>
        <v/>
      </c>
      <c r="BY819" s="128">
        <f>IFERROR(AN819*$W819,)</f>
        <v/>
      </c>
      <c r="BZ819" s="128">
        <f>IFERROR(AO819*$W819,)</f>
        <v/>
      </c>
      <c r="CA819" s="128">
        <f>IFERROR(AP819*$W819,)</f>
        <v/>
      </c>
      <c r="CB819" s="128">
        <f>IFERROR(AQ819*$W819,)</f>
        <v/>
      </c>
      <c r="CC819" s="128">
        <f>IFERROR(AR819*$W819,)</f>
        <v/>
      </c>
      <c r="CD819" s="128">
        <f>IFERROR(AS819*$W819,)</f>
        <v/>
      </c>
      <c r="CE819" s="128">
        <f>IFERROR(AT819*$W819,)</f>
        <v/>
      </c>
      <c r="CF819" s="128">
        <f>IFERROR(AU819*$W819,)</f>
        <v/>
      </c>
      <c r="CG819" s="128">
        <f>IFERROR(AV819*$W819,)</f>
        <v/>
      </c>
      <c r="CH819" s="128">
        <f>IFERROR(AW819*$W819,)</f>
        <v/>
      </c>
      <c r="CI819" s="128">
        <f>IFERROR(AX819*$W819,)</f>
        <v/>
      </c>
      <c r="CJ819" s="128">
        <f>IFERROR(AY819*$W819,)</f>
        <v/>
      </c>
      <c r="CK819" s="128">
        <f>IFERROR(AZ819*$W819,)</f>
        <v/>
      </c>
      <c r="CL819" s="129">
        <f>IFERROR(if($Y819=0,BA819*($W819/1.2),BA819*$Y819),"")</f>
        <v/>
      </c>
      <c r="CM819" s="129">
        <f>IFERROR(if($Y819=0,BB819*($W819/1.2),BB819*$Y819),"")</f>
        <v/>
      </c>
      <c r="CN819" s="129">
        <f>IFERROR(if($Y819=0,BC819*($W819/1.2),BC819*$Y819),"")</f>
        <v/>
      </c>
      <c r="CO819" s="130">
        <f>IFERROR(if($AA819=0,($W819/1.35)*BD819,BD819*$AA819),)</f>
        <v/>
      </c>
      <c r="CP819" s="130">
        <f>IFERROR(if($AA819=0,($W819/1.35)*BE819,BE819*$AA819),)</f>
        <v/>
      </c>
      <c r="CQ819" s="130">
        <f>IFERROR(if($AA819=0,($W819/1.35)*BF819,BF819*$AA819),)</f>
        <v/>
      </c>
      <c r="CR819" s="128">
        <f>IFERROR(if($AC819=0,($W819/0.74)*BG819,
BG819*$AC819),)</f>
        <v/>
      </c>
      <c r="CS819" s="128">
        <f>IFERROR(if($AC819=0,($W819/0.74)*BH819,
BH819*$AC819),)</f>
        <v/>
      </c>
      <c r="CT819" s="128">
        <f>IFERROR(if($AC819=0,($W819/0.74)*BI819,
BI819*$AC819),)</f>
        <v/>
      </c>
      <c r="CU819" s="128">
        <f>IFERROR(AI819*$V819,)</f>
        <v/>
      </c>
      <c r="CV819" s="128">
        <f>IFERROR(AJ819*$V819,)</f>
        <v/>
      </c>
      <c r="CW819" s="128">
        <f>IFERROR(AK819*$V819,)</f>
        <v/>
      </c>
      <c r="CX819" s="128">
        <f>IFERROR(AL819*$V819,)</f>
        <v/>
      </c>
      <c r="CY819" s="128">
        <f>IFERROR(AM819*$V819,)</f>
        <v/>
      </c>
      <c r="CZ819" s="128">
        <f>IFERROR(AN819*$V819,)</f>
        <v/>
      </c>
      <c r="DA819" s="128">
        <f>IFERROR(AO819*$V819,)</f>
        <v/>
      </c>
      <c r="DB819" s="128">
        <f>IFERROR(AP819*$V819,)</f>
        <v/>
      </c>
      <c r="DC819" s="128">
        <f>IFERROR(AQ819*$V819,)</f>
        <v/>
      </c>
      <c r="DD819" s="128">
        <f>IFERROR(AR819*$V819,)</f>
        <v/>
      </c>
      <c r="DE819" s="128">
        <f>IFERROR(AS819*$V819,)</f>
        <v/>
      </c>
      <c r="DF819" s="128">
        <f>IFERROR(AT819*$V819,)</f>
        <v/>
      </c>
      <c r="DG819" s="128">
        <f>IFERROR(AU819*$V819,)</f>
        <v/>
      </c>
      <c r="DH819" s="128">
        <f>IFERROR(AV819*$V819,)</f>
        <v/>
      </c>
      <c r="DI819" s="128">
        <f>IFERROR(AW819*$V819,)</f>
        <v/>
      </c>
      <c r="DJ819" s="128">
        <f>IFERROR(AX819*$V819,)</f>
        <v/>
      </c>
      <c r="DK819" s="128">
        <f>IFERROR(AY819*$V819,)</f>
        <v/>
      </c>
      <c r="DL819" s="128">
        <f>IFERROR(AZ819*$V819,)</f>
        <v/>
      </c>
      <c r="DM819" s="129">
        <f>IFERROR(if($X819=0,($V819/1.2)*BA819,
BA819*$X819),)</f>
        <v/>
      </c>
      <c r="DN819" s="129">
        <f>IFERROR(if($X819=0,($V819/1.2)*BB819,
BB819*$X819),)</f>
        <v/>
      </c>
      <c r="DO819" s="129">
        <f>IFERROR(if($X819=0,($V819/1.2)*BC819,
BC819*$X819),)</f>
        <v/>
      </c>
      <c r="DP819" s="130">
        <f>IFERROR(if($Z819=0,($V819/1.35)*BD819,
BD819*$Z819),)</f>
        <v/>
      </c>
      <c r="DQ819" s="130">
        <f>IFERROR(if($Z819=0,($V819/1.35)*BE819,
BE819*$Z819),)</f>
        <v/>
      </c>
      <c r="DR819" s="130">
        <f>IFERROR(if($Z819=0,($V819/1.35)*BF819,
BF819*$Z819),)</f>
        <v/>
      </c>
      <c r="DS819" s="128">
        <f>IFERROR(IF($AB819=0,($V819/0.74)*BG819,
BG819*$AB819),)</f>
        <v/>
      </c>
      <c r="DT819" s="128">
        <f>IFERROR(IF($AB819=0,($V819/0.74)*BH819,
BH819*$AB819),)</f>
        <v/>
      </c>
      <c r="DU819" s="128">
        <f>IFERROR(IF($AB819=0,($V819/0.74)*BI819,
BI819*$AB819),)</f>
        <v/>
      </c>
    </row>
    <row r="820" ht="131.25" customHeight="1" s="162">
      <c r="A820" s="115" t="n"/>
      <c r="B820" s="115" t="n"/>
      <c r="C820" s="115" t="n"/>
      <c r="D820" s="115" t="n"/>
      <c r="E820" s="115" t="n"/>
      <c r="F820" s="115" t="n"/>
      <c r="G820" s="115" t="n"/>
      <c r="H820" s="115" t="n"/>
      <c r="I820" s="115" t="n"/>
      <c r="J820" s="115" t="n"/>
      <c r="K820" s="115" t="n"/>
      <c r="L820" s="115" t="n"/>
      <c r="M820" s="115" t="n"/>
      <c r="N820" s="115" t="n"/>
      <c r="O820" s="115" t="n"/>
      <c r="P820" s="115" t="n"/>
      <c r="Q820" s="115" t="n"/>
      <c r="R820" s="115" t="n"/>
      <c r="S820" s="115" t="n"/>
      <c r="T820" s="115" t="n"/>
      <c r="U820" s="116" t="n"/>
      <c r="V820" s="116" t="n"/>
      <c r="W820" s="117" t="n"/>
      <c r="X820" s="118" t="n"/>
      <c r="Y820" s="119" t="n"/>
      <c r="Z820" s="120" t="n"/>
      <c r="AA820" s="121" t="n"/>
      <c r="AB820" s="122" t="n"/>
      <c r="AC820" s="117" t="n"/>
      <c r="AD820" s="123">
        <f>IF(SUM($AE820:$AH820)=0,"",SUM($AE820:$AH820))</f>
        <v/>
      </c>
      <c r="AE820" s="123">
        <f>iferror(IF(SUM($AI820:$AZ820)=0,"",SUM($AI820:$AZ820)),"")</f>
        <v/>
      </c>
      <c r="AF820" s="123">
        <f>iferror(IF(SUM($BA820:$BC820)=0,"",SUM($BA820:$BC820)),"")</f>
        <v/>
      </c>
      <c r="AG820" s="123">
        <f>iferror(IF(SUM($BD820:$BF820)=0,"",SUM($BD820:$BF820)),"")</f>
        <v/>
      </c>
      <c r="AH820" s="124">
        <f>iferror(IF(SUM($BG820:$BI820)=0,"",SUM($BG820:$BI820)),"")</f>
        <v/>
      </c>
      <c r="AI820" s="131" t="n"/>
      <c r="AJ820" s="132" t="n"/>
      <c r="AK820" s="132" t="n"/>
      <c r="AL820" s="132" t="n"/>
      <c r="AM820" s="132" t="n"/>
      <c r="AN820" s="132" t="n"/>
      <c r="AO820" s="132" t="n"/>
      <c r="AP820" s="132" t="n"/>
      <c r="AQ820" s="132" t="n"/>
      <c r="AR820" s="132" t="n"/>
      <c r="AS820" s="132" t="n"/>
      <c r="AT820" s="132" t="n"/>
      <c r="AU820" s="132" t="n"/>
      <c r="AV820" s="132" t="n"/>
      <c r="AW820" s="132" t="n"/>
      <c r="AX820" s="132" t="n"/>
      <c r="AY820" s="132" t="n"/>
      <c r="AZ820" s="133" t="n"/>
      <c r="BA820" s="131" t="n"/>
      <c r="BB820" s="132" t="n"/>
      <c r="BC820" s="133" t="n"/>
      <c r="BD820" s="131" t="n"/>
      <c r="BE820" s="132" t="n"/>
      <c r="BF820" s="133" t="n"/>
      <c r="BG820" s="131" t="n"/>
      <c r="BH820" s="132" t="n"/>
      <c r="BI820" s="132" t="n"/>
      <c r="BJ820" s="128">
        <f>iferror(SUM($BK820,($BL820*1.2),($BM820*1.35),($BN820*0.74)),)</f>
        <v/>
      </c>
      <c r="BK820" s="128">
        <f>IFERROR(SUM($BT820:$CK820),)</f>
        <v/>
      </c>
      <c r="BL820" s="129">
        <f>IFERROR(SUM($CL820:$CN820),)</f>
        <v/>
      </c>
      <c r="BM820" s="130">
        <f>IFERROR(SUM($CO820:$CQ820),)</f>
        <v/>
      </c>
      <c r="BN820" s="128">
        <f>IFERROR(SUM($CR820:$CT820),)</f>
        <v/>
      </c>
      <c r="BO820" s="128">
        <f>iferror(SUM($BP820,($BQ820*1.2),($BR820*1.35),($BS820*0.74)),)</f>
        <v/>
      </c>
      <c r="BP820" s="128">
        <f>IFERROR(SUM($CU820:$DL820),)</f>
        <v/>
      </c>
      <c r="BQ820" s="128">
        <f>IFERROR(SUM($DM820:$DO820),)</f>
        <v/>
      </c>
      <c r="BR820" s="128">
        <f>IFERROR(SUM($DP820:$DR820),)</f>
        <v/>
      </c>
      <c r="BS820" s="128">
        <f>IFERROR(SUM($DS820:$DU820),)</f>
        <v/>
      </c>
      <c r="BT820" s="128">
        <f>IFERROR(AI820*$W820,)</f>
        <v/>
      </c>
      <c r="BU820" s="128">
        <f>IFERROR(AJ820*$W820,)</f>
        <v/>
      </c>
      <c r="BV820" s="128">
        <f>IFERROR(AK820*$W820,)</f>
        <v/>
      </c>
      <c r="BW820" s="128">
        <f>IFERROR(AL820*$W820,)</f>
        <v/>
      </c>
      <c r="BX820" s="128">
        <f>IFERROR(AM820*$W820,)</f>
        <v/>
      </c>
      <c r="BY820" s="128">
        <f>IFERROR(AN820*$W820,)</f>
        <v/>
      </c>
      <c r="BZ820" s="128">
        <f>IFERROR(AO820*$W820,)</f>
        <v/>
      </c>
      <c r="CA820" s="128">
        <f>IFERROR(AP820*$W820,)</f>
        <v/>
      </c>
      <c r="CB820" s="128">
        <f>IFERROR(AQ820*$W820,)</f>
        <v/>
      </c>
      <c r="CC820" s="128">
        <f>IFERROR(AR820*$W820,)</f>
        <v/>
      </c>
      <c r="CD820" s="128">
        <f>IFERROR(AS820*$W820,)</f>
        <v/>
      </c>
      <c r="CE820" s="128">
        <f>IFERROR(AT820*$W820,)</f>
        <v/>
      </c>
      <c r="CF820" s="128">
        <f>IFERROR(AU820*$W820,)</f>
        <v/>
      </c>
      <c r="CG820" s="128">
        <f>IFERROR(AV820*$W820,)</f>
        <v/>
      </c>
      <c r="CH820" s="128">
        <f>IFERROR(AW820*$W820,)</f>
        <v/>
      </c>
      <c r="CI820" s="128">
        <f>IFERROR(AX820*$W820,)</f>
        <v/>
      </c>
      <c r="CJ820" s="128">
        <f>IFERROR(AY820*$W820,)</f>
        <v/>
      </c>
      <c r="CK820" s="128">
        <f>IFERROR(AZ820*$W820,)</f>
        <v/>
      </c>
      <c r="CL820" s="129">
        <f>IFERROR(if($Y820=0,BA820*($W820/1.2),BA820*$Y820),"")</f>
        <v/>
      </c>
      <c r="CM820" s="129">
        <f>IFERROR(if($Y820=0,BB820*($W820/1.2),BB820*$Y820),"")</f>
        <v/>
      </c>
      <c r="CN820" s="129">
        <f>IFERROR(if($Y820=0,BC820*($W820/1.2),BC820*$Y820),"")</f>
        <v/>
      </c>
      <c r="CO820" s="130">
        <f>IFERROR(if($AA820=0,($W820/1.35)*BD820,BD820*$AA820),)</f>
        <v/>
      </c>
      <c r="CP820" s="130">
        <f>IFERROR(if($AA820=0,($W820/1.35)*BE820,BE820*$AA820),)</f>
        <v/>
      </c>
      <c r="CQ820" s="130">
        <f>IFERROR(if($AA820=0,($W820/1.35)*BF820,BF820*$AA820),)</f>
        <v/>
      </c>
      <c r="CR820" s="128">
        <f>IFERROR(if($AC820=0,($W820/0.74)*BG820,
BG820*$AC820),)</f>
        <v/>
      </c>
      <c r="CS820" s="128">
        <f>IFERROR(if($AC820=0,($W820/0.74)*BH820,
BH820*$AC820),)</f>
        <v/>
      </c>
      <c r="CT820" s="128">
        <f>IFERROR(if($AC820=0,($W820/0.74)*BI820,
BI820*$AC820),)</f>
        <v/>
      </c>
      <c r="CU820" s="128">
        <f>IFERROR(AI820*$V820,)</f>
        <v/>
      </c>
      <c r="CV820" s="128">
        <f>IFERROR(AJ820*$V820,)</f>
        <v/>
      </c>
      <c r="CW820" s="128">
        <f>IFERROR(AK820*$V820,)</f>
        <v/>
      </c>
      <c r="CX820" s="128">
        <f>IFERROR(AL820*$V820,)</f>
        <v/>
      </c>
      <c r="CY820" s="128">
        <f>IFERROR(AM820*$V820,)</f>
        <v/>
      </c>
      <c r="CZ820" s="128">
        <f>IFERROR(AN820*$V820,)</f>
        <v/>
      </c>
      <c r="DA820" s="128">
        <f>IFERROR(AO820*$V820,)</f>
        <v/>
      </c>
      <c r="DB820" s="128">
        <f>IFERROR(AP820*$V820,)</f>
        <v/>
      </c>
      <c r="DC820" s="128">
        <f>IFERROR(AQ820*$V820,)</f>
        <v/>
      </c>
      <c r="DD820" s="128">
        <f>IFERROR(AR820*$V820,)</f>
        <v/>
      </c>
      <c r="DE820" s="128">
        <f>IFERROR(AS820*$V820,)</f>
        <v/>
      </c>
      <c r="DF820" s="128">
        <f>IFERROR(AT820*$V820,)</f>
        <v/>
      </c>
      <c r="DG820" s="128">
        <f>IFERROR(AU820*$V820,)</f>
        <v/>
      </c>
      <c r="DH820" s="128">
        <f>IFERROR(AV820*$V820,)</f>
        <v/>
      </c>
      <c r="DI820" s="128">
        <f>IFERROR(AW820*$V820,)</f>
        <v/>
      </c>
      <c r="DJ820" s="128">
        <f>IFERROR(AX820*$V820,)</f>
        <v/>
      </c>
      <c r="DK820" s="128">
        <f>IFERROR(AY820*$V820,)</f>
        <v/>
      </c>
      <c r="DL820" s="128">
        <f>IFERROR(AZ820*$V820,)</f>
        <v/>
      </c>
      <c r="DM820" s="129">
        <f>IFERROR(if($X820=0,($V820/1.2)*BA820,
BA820*$X820),)</f>
        <v/>
      </c>
      <c r="DN820" s="129">
        <f>IFERROR(if($X820=0,($V820/1.2)*BB820,
BB820*$X820),)</f>
        <v/>
      </c>
      <c r="DO820" s="129">
        <f>IFERROR(if($X820=0,($V820/1.2)*BC820,
BC820*$X820),)</f>
        <v/>
      </c>
      <c r="DP820" s="130">
        <f>IFERROR(if($Z820=0,($V820/1.35)*BD820,
BD820*$Z820),)</f>
        <v/>
      </c>
      <c r="DQ820" s="130">
        <f>IFERROR(if($Z820=0,($V820/1.35)*BE820,
BE820*$Z820),)</f>
        <v/>
      </c>
      <c r="DR820" s="130">
        <f>IFERROR(if($Z820=0,($V820/1.35)*BF820,
BF820*$Z820),)</f>
        <v/>
      </c>
      <c r="DS820" s="128">
        <f>IFERROR(IF($AB820=0,($V820/0.74)*BG820,
BG820*$AB820),)</f>
        <v/>
      </c>
      <c r="DT820" s="128">
        <f>IFERROR(IF($AB820=0,($V820/0.74)*BH820,
BH820*$AB820),)</f>
        <v/>
      </c>
      <c r="DU820" s="128">
        <f>IFERROR(IF($AB820=0,($V820/0.74)*BI820,
BI820*$AB820),)</f>
        <v/>
      </c>
    </row>
    <row r="821" ht="131.25" customHeight="1" s="162">
      <c r="A821" s="115" t="n"/>
      <c r="B821" s="115" t="n"/>
      <c r="C821" s="115" t="n"/>
      <c r="D821" s="115" t="n"/>
      <c r="E821" s="115" t="n"/>
      <c r="F821" s="115" t="n"/>
      <c r="G821" s="115" t="n"/>
      <c r="H821" s="115" t="n"/>
      <c r="I821" s="115" t="n"/>
      <c r="J821" s="115" t="n"/>
      <c r="K821" s="115" t="n"/>
      <c r="L821" s="115" t="n"/>
      <c r="M821" s="115" t="n"/>
      <c r="N821" s="115" t="n"/>
      <c r="O821" s="115" t="n"/>
      <c r="P821" s="115" t="n"/>
      <c r="Q821" s="115" t="n"/>
      <c r="R821" s="115" t="n"/>
      <c r="S821" s="115" t="n"/>
      <c r="T821" s="115" t="n"/>
      <c r="U821" s="116" t="n"/>
      <c r="V821" s="116" t="n"/>
      <c r="W821" s="117" t="n"/>
      <c r="X821" s="118" t="n"/>
      <c r="Y821" s="119" t="n"/>
      <c r="Z821" s="120" t="n"/>
      <c r="AA821" s="121" t="n"/>
      <c r="AB821" s="122" t="n"/>
      <c r="AC821" s="117" t="n"/>
      <c r="AD821" s="123">
        <f>IF(SUM($AE821:$AH821)=0,"",SUM($AE821:$AH821))</f>
        <v/>
      </c>
      <c r="AE821" s="123">
        <f>iferror(IF(SUM($AI821:$AZ821)=0,"",SUM($AI821:$AZ821)),"")</f>
        <v/>
      </c>
      <c r="AF821" s="123">
        <f>iferror(IF(SUM($BA821:$BC821)=0,"",SUM($BA821:$BC821)),"")</f>
        <v/>
      </c>
      <c r="AG821" s="123">
        <f>iferror(IF(SUM($BD821:$BF821)=0,"",SUM($BD821:$BF821)),"")</f>
        <v/>
      </c>
      <c r="AH821" s="124">
        <f>iferror(IF(SUM($BG821:$BI821)=0,"",SUM($BG821:$BI821)),"")</f>
        <v/>
      </c>
      <c r="AI821" s="131" t="n"/>
      <c r="AJ821" s="132" t="n"/>
      <c r="AK821" s="132" t="n"/>
      <c r="AL821" s="132" t="n"/>
      <c r="AM821" s="132" t="n"/>
      <c r="AN821" s="132" t="n"/>
      <c r="AO821" s="132" t="n"/>
      <c r="AP821" s="132" t="n"/>
      <c r="AQ821" s="132" t="n"/>
      <c r="AR821" s="132" t="n"/>
      <c r="AS821" s="132" t="n"/>
      <c r="AT821" s="132" t="n"/>
      <c r="AU821" s="132" t="n"/>
      <c r="AV821" s="132" t="n"/>
      <c r="AW821" s="132" t="n"/>
      <c r="AX821" s="132" t="n"/>
      <c r="AY821" s="132" t="n"/>
      <c r="AZ821" s="133" t="n"/>
      <c r="BA821" s="131" t="n"/>
      <c r="BB821" s="132" t="n"/>
      <c r="BC821" s="133" t="n"/>
      <c r="BD821" s="131" t="n"/>
      <c r="BE821" s="132" t="n"/>
      <c r="BF821" s="133" t="n"/>
      <c r="BG821" s="131" t="n"/>
      <c r="BH821" s="132" t="n"/>
      <c r="BI821" s="132" t="n"/>
      <c r="BJ821" s="128">
        <f>iferror(SUM($BK821,($BL821*1.2),($BM821*1.35),($BN821*0.74)),)</f>
        <v/>
      </c>
      <c r="BK821" s="128">
        <f>IFERROR(SUM($BT821:$CK821),)</f>
        <v/>
      </c>
      <c r="BL821" s="129">
        <f>IFERROR(SUM($CL821:$CN821),)</f>
        <v/>
      </c>
      <c r="BM821" s="130">
        <f>IFERROR(SUM($CO821:$CQ821),)</f>
        <v/>
      </c>
      <c r="BN821" s="128">
        <f>IFERROR(SUM($CR821:$CT821),)</f>
        <v/>
      </c>
      <c r="BO821" s="128">
        <f>iferror(SUM($BP821,($BQ821*1.2),($BR821*1.35),($BS821*0.74)),)</f>
        <v/>
      </c>
      <c r="BP821" s="128">
        <f>IFERROR(SUM($CU821:$DL821),)</f>
        <v/>
      </c>
      <c r="BQ821" s="128">
        <f>IFERROR(SUM($DM821:$DO821),)</f>
        <v/>
      </c>
      <c r="BR821" s="128">
        <f>IFERROR(SUM($DP821:$DR821),)</f>
        <v/>
      </c>
      <c r="BS821" s="128">
        <f>IFERROR(SUM($DS821:$DU821),)</f>
        <v/>
      </c>
      <c r="BT821" s="128">
        <f>IFERROR(AI821*$W821,)</f>
        <v/>
      </c>
      <c r="BU821" s="128">
        <f>IFERROR(AJ821*$W821,)</f>
        <v/>
      </c>
      <c r="BV821" s="128">
        <f>IFERROR(AK821*$W821,)</f>
        <v/>
      </c>
      <c r="BW821" s="128">
        <f>IFERROR(AL821*$W821,)</f>
        <v/>
      </c>
      <c r="BX821" s="128">
        <f>IFERROR(AM821*$W821,)</f>
        <v/>
      </c>
      <c r="BY821" s="128">
        <f>IFERROR(AN821*$W821,)</f>
        <v/>
      </c>
      <c r="BZ821" s="128">
        <f>IFERROR(AO821*$W821,)</f>
        <v/>
      </c>
      <c r="CA821" s="128">
        <f>IFERROR(AP821*$W821,)</f>
        <v/>
      </c>
      <c r="CB821" s="128">
        <f>IFERROR(AQ821*$W821,)</f>
        <v/>
      </c>
      <c r="CC821" s="128">
        <f>IFERROR(AR821*$W821,)</f>
        <v/>
      </c>
      <c r="CD821" s="128">
        <f>IFERROR(AS821*$W821,)</f>
        <v/>
      </c>
      <c r="CE821" s="128">
        <f>IFERROR(AT821*$W821,)</f>
        <v/>
      </c>
      <c r="CF821" s="128">
        <f>IFERROR(AU821*$W821,)</f>
        <v/>
      </c>
      <c r="CG821" s="128">
        <f>IFERROR(AV821*$W821,)</f>
        <v/>
      </c>
      <c r="CH821" s="128">
        <f>IFERROR(AW821*$W821,)</f>
        <v/>
      </c>
      <c r="CI821" s="128">
        <f>IFERROR(AX821*$W821,)</f>
        <v/>
      </c>
      <c r="CJ821" s="128">
        <f>IFERROR(AY821*$W821,)</f>
        <v/>
      </c>
      <c r="CK821" s="128">
        <f>IFERROR(AZ821*$W821,)</f>
        <v/>
      </c>
      <c r="CL821" s="129">
        <f>IFERROR(if($Y821=0,BA821*($W821/1.2),BA821*$Y821),"")</f>
        <v/>
      </c>
      <c r="CM821" s="129">
        <f>IFERROR(if($Y821=0,BB821*($W821/1.2),BB821*$Y821),"")</f>
        <v/>
      </c>
      <c r="CN821" s="129">
        <f>IFERROR(if($Y821=0,BC821*($W821/1.2),BC821*$Y821),"")</f>
        <v/>
      </c>
      <c r="CO821" s="130">
        <f>IFERROR(if($AA821=0,($W821/1.35)*BD821,BD821*$AA821),)</f>
        <v/>
      </c>
      <c r="CP821" s="130">
        <f>IFERROR(if($AA821=0,($W821/1.35)*BE821,BE821*$AA821),)</f>
        <v/>
      </c>
      <c r="CQ821" s="130">
        <f>IFERROR(if($AA821=0,($W821/1.35)*BF821,BF821*$AA821),)</f>
        <v/>
      </c>
      <c r="CR821" s="128">
        <f>IFERROR(if($AC821=0,($W821/0.74)*BG821,
BG821*$AC821),)</f>
        <v/>
      </c>
      <c r="CS821" s="128">
        <f>IFERROR(if($AC821=0,($W821/0.74)*BH821,
BH821*$AC821),)</f>
        <v/>
      </c>
      <c r="CT821" s="128">
        <f>IFERROR(if($AC821=0,($W821/0.74)*BI821,
BI821*$AC821),)</f>
        <v/>
      </c>
      <c r="CU821" s="128">
        <f>IFERROR(AI821*$V821,)</f>
        <v/>
      </c>
      <c r="CV821" s="128">
        <f>IFERROR(AJ821*$V821,)</f>
        <v/>
      </c>
      <c r="CW821" s="128">
        <f>IFERROR(AK821*$V821,)</f>
        <v/>
      </c>
      <c r="CX821" s="128">
        <f>IFERROR(AL821*$V821,)</f>
        <v/>
      </c>
      <c r="CY821" s="128">
        <f>IFERROR(AM821*$V821,)</f>
        <v/>
      </c>
      <c r="CZ821" s="128">
        <f>IFERROR(AN821*$V821,)</f>
        <v/>
      </c>
      <c r="DA821" s="128">
        <f>IFERROR(AO821*$V821,)</f>
        <v/>
      </c>
      <c r="DB821" s="128">
        <f>IFERROR(AP821*$V821,)</f>
        <v/>
      </c>
      <c r="DC821" s="128">
        <f>IFERROR(AQ821*$V821,)</f>
        <v/>
      </c>
      <c r="DD821" s="128">
        <f>IFERROR(AR821*$V821,)</f>
        <v/>
      </c>
      <c r="DE821" s="128">
        <f>IFERROR(AS821*$V821,)</f>
        <v/>
      </c>
      <c r="DF821" s="128">
        <f>IFERROR(AT821*$V821,)</f>
        <v/>
      </c>
      <c r="DG821" s="128">
        <f>IFERROR(AU821*$V821,)</f>
        <v/>
      </c>
      <c r="DH821" s="128">
        <f>IFERROR(AV821*$V821,)</f>
        <v/>
      </c>
      <c r="DI821" s="128">
        <f>IFERROR(AW821*$V821,)</f>
        <v/>
      </c>
      <c r="DJ821" s="128">
        <f>IFERROR(AX821*$V821,)</f>
        <v/>
      </c>
      <c r="DK821" s="128">
        <f>IFERROR(AY821*$V821,)</f>
        <v/>
      </c>
      <c r="DL821" s="128">
        <f>IFERROR(AZ821*$V821,)</f>
        <v/>
      </c>
      <c r="DM821" s="129">
        <f>IFERROR(if($X821=0,($V821/1.2)*BA821,
BA821*$X821),)</f>
        <v/>
      </c>
      <c r="DN821" s="129">
        <f>IFERROR(if($X821=0,($V821/1.2)*BB821,
BB821*$X821),)</f>
        <v/>
      </c>
      <c r="DO821" s="129">
        <f>IFERROR(if($X821=0,($V821/1.2)*BC821,
BC821*$X821),)</f>
        <v/>
      </c>
      <c r="DP821" s="130">
        <f>IFERROR(if($Z821=0,($V821/1.35)*BD821,
BD821*$Z821),)</f>
        <v/>
      </c>
      <c r="DQ821" s="130">
        <f>IFERROR(if($Z821=0,($V821/1.35)*BE821,
BE821*$Z821),)</f>
        <v/>
      </c>
      <c r="DR821" s="130">
        <f>IFERROR(if($Z821=0,($V821/1.35)*BF821,
BF821*$Z821),)</f>
        <v/>
      </c>
      <c r="DS821" s="128">
        <f>IFERROR(IF($AB821=0,($V821/0.74)*BG821,
BG821*$AB821),)</f>
        <v/>
      </c>
      <c r="DT821" s="128">
        <f>IFERROR(IF($AB821=0,($V821/0.74)*BH821,
BH821*$AB821),)</f>
        <v/>
      </c>
      <c r="DU821" s="128">
        <f>IFERROR(IF($AB821=0,($V821/0.74)*BI821,
BI821*$AB821),)</f>
        <v/>
      </c>
    </row>
    <row r="822" ht="131.25" customHeight="1" s="162">
      <c r="A822" s="115" t="n"/>
      <c r="B822" s="115" t="n"/>
      <c r="C822" s="115" t="n"/>
      <c r="D822" s="115" t="n"/>
      <c r="E822" s="115" t="n"/>
      <c r="F822" s="115" t="n"/>
      <c r="G822" s="115" t="n"/>
      <c r="H822" s="115" t="n"/>
      <c r="I822" s="115" t="n"/>
      <c r="J822" s="115" t="n"/>
      <c r="K822" s="115" t="n"/>
      <c r="L822" s="115" t="n"/>
      <c r="M822" s="115" t="n"/>
      <c r="N822" s="115" t="n"/>
      <c r="O822" s="115" t="n"/>
      <c r="P822" s="115" t="n"/>
      <c r="Q822" s="115" t="n"/>
      <c r="R822" s="115" t="n"/>
      <c r="S822" s="115" t="n"/>
      <c r="T822" s="115" t="n"/>
      <c r="U822" s="116" t="n"/>
      <c r="V822" s="116" t="n"/>
      <c r="W822" s="117" t="n"/>
      <c r="X822" s="118" t="n"/>
      <c r="Y822" s="119" t="n"/>
      <c r="Z822" s="120" t="n"/>
      <c r="AA822" s="121" t="n"/>
      <c r="AB822" s="122" t="n"/>
      <c r="AC822" s="117" t="n"/>
      <c r="AD822" s="123">
        <f>IF(SUM($AE822:$AH822)=0,"",SUM($AE822:$AH822))</f>
        <v/>
      </c>
      <c r="AE822" s="123">
        <f>iferror(IF(SUM($AI822:$AZ822)=0,"",SUM($AI822:$AZ822)),"")</f>
        <v/>
      </c>
      <c r="AF822" s="123">
        <f>iferror(IF(SUM($BA822:$BC822)=0,"",SUM($BA822:$BC822)),"")</f>
        <v/>
      </c>
      <c r="AG822" s="123">
        <f>iferror(IF(SUM($BD822:$BF822)=0,"",SUM($BD822:$BF822)),"")</f>
        <v/>
      </c>
      <c r="AH822" s="124">
        <f>iferror(IF(SUM($BG822:$BI822)=0,"",SUM($BG822:$BI822)),"")</f>
        <v/>
      </c>
      <c r="AI822" s="131" t="n"/>
      <c r="AJ822" s="132" t="n"/>
      <c r="AK822" s="132" t="n"/>
      <c r="AL822" s="132" t="n"/>
      <c r="AM822" s="132" t="n"/>
      <c r="AN822" s="132" t="n"/>
      <c r="AO822" s="132" t="n"/>
      <c r="AP822" s="132" t="n"/>
      <c r="AQ822" s="132" t="n"/>
      <c r="AR822" s="132" t="n"/>
      <c r="AS822" s="132" t="n"/>
      <c r="AT822" s="132" t="n"/>
      <c r="AU822" s="132" t="n"/>
      <c r="AV822" s="132" t="n"/>
      <c r="AW822" s="132" t="n"/>
      <c r="AX822" s="132" t="n"/>
      <c r="AY822" s="132" t="n"/>
      <c r="AZ822" s="133" t="n"/>
      <c r="BA822" s="131" t="n"/>
      <c r="BB822" s="132" t="n"/>
      <c r="BC822" s="133" t="n"/>
      <c r="BD822" s="131" t="n"/>
      <c r="BE822" s="132" t="n"/>
      <c r="BF822" s="133" t="n"/>
      <c r="BG822" s="131" t="n"/>
      <c r="BH822" s="132" t="n"/>
      <c r="BI822" s="132" t="n"/>
      <c r="BJ822" s="128">
        <f>iferror(SUM($BK822,($BL822*1.2),($BM822*1.35),($BN822*0.74)),)</f>
        <v/>
      </c>
      <c r="BK822" s="128">
        <f>IFERROR(SUM($BT822:$CK822),)</f>
        <v/>
      </c>
      <c r="BL822" s="129">
        <f>IFERROR(SUM($CL822:$CN822),)</f>
        <v/>
      </c>
      <c r="BM822" s="130">
        <f>IFERROR(SUM($CO822:$CQ822),)</f>
        <v/>
      </c>
      <c r="BN822" s="128">
        <f>IFERROR(SUM($CR822:$CT822),)</f>
        <v/>
      </c>
      <c r="BO822" s="128">
        <f>iferror(SUM($BP822,($BQ822*1.2),($BR822*1.35),($BS822*0.74)),)</f>
        <v/>
      </c>
      <c r="BP822" s="128">
        <f>IFERROR(SUM($CU822:$DL822),)</f>
        <v/>
      </c>
      <c r="BQ822" s="128">
        <f>IFERROR(SUM($DM822:$DO822),)</f>
        <v/>
      </c>
      <c r="BR822" s="128">
        <f>IFERROR(SUM($DP822:$DR822),)</f>
        <v/>
      </c>
      <c r="BS822" s="128">
        <f>IFERROR(SUM($DS822:$DU822),)</f>
        <v/>
      </c>
      <c r="BT822" s="128">
        <f>IFERROR(AI822*$W822,)</f>
        <v/>
      </c>
      <c r="BU822" s="128">
        <f>IFERROR(AJ822*$W822,)</f>
        <v/>
      </c>
      <c r="BV822" s="128">
        <f>IFERROR(AK822*$W822,)</f>
        <v/>
      </c>
      <c r="BW822" s="128">
        <f>IFERROR(AL822*$W822,)</f>
        <v/>
      </c>
      <c r="BX822" s="128">
        <f>IFERROR(AM822*$W822,)</f>
        <v/>
      </c>
      <c r="BY822" s="128">
        <f>IFERROR(AN822*$W822,)</f>
        <v/>
      </c>
      <c r="BZ822" s="128">
        <f>IFERROR(AO822*$W822,)</f>
        <v/>
      </c>
      <c r="CA822" s="128">
        <f>IFERROR(AP822*$W822,)</f>
        <v/>
      </c>
      <c r="CB822" s="128">
        <f>IFERROR(AQ822*$W822,)</f>
        <v/>
      </c>
      <c r="CC822" s="128">
        <f>IFERROR(AR822*$W822,)</f>
        <v/>
      </c>
      <c r="CD822" s="128">
        <f>IFERROR(AS822*$W822,)</f>
        <v/>
      </c>
      <c r="CE822" s="128">
        <f>IFERROR(AT822*$W822,)</f>
        <v/>
      </c>
      <c r="CF822" s="128">
        <f>IFERROR(AU822*$W822,)</f>
        <v/>
      </c>
      <c r="CG822" s="128">
        <f>IFERROR(AV822*$W822,)</f>
        <v/>
      </c>
      <c r="CH822" s="128">
        <f>IFERROR(AW822*$W822,)</f>
        <v/>
      </c>
      <c r="CI822" s="128">
        <f>IFERROR(AX822*$W822,)</f>
        <v/>
      </c>
      <c r="CJ822" s="128">
        <f>IFERROR(AY822*$W822,)</f>
        <v/>
      </c>
      <c r="CK822" s="128">
        <f>IFERROR(AZ822*$W822,)</f>
        <v/>
      </c>
      <c r="CL822" s="129">
        <f>IFERROR(if($Y822=0,BA822*($W822/1.2),BA822*$Y822),"")</f>
        <v/>
      </c>
      <c r="CM822" s="129">
        <f>IFERROR(if($Y822=0,BB822*($W822/1.2),BB822*$Y822),"")</f>
        <v/>
      </c>
      <c r="CN822" s="129">
        <f>IFERROR(if($Y822=0,BC822*($W822/1.2),BC822*$Y822),"")</f>
        <v/>
      </c>
      <c r="CO822" s="130">
        <f>IFERROR(if($AA822=0,($W822/1.35)*BD822,BD822*$AA822),)</f>
        <v/>
      </c>
      <c r="CP822" s="130">
        <f>IFERROR(if($AA822=0,($W822/1.35)*BE822,BE822*$AA822),)</f>
        <v/>
      </c>
      <c r="CQ822" s="130">
        <f>IFERROR(if($AA822=0,($W822/1.35)*BF822,BF822*$AA822),)</f>
        <v/>
      </c>
      <c r="CR822" s="128">
        <f>IFERROR(if($AC822=0,($W822/0.74)*BG822,
BG822*$AC822),)</f>
        <v/>
      </c>
      <c r="CS822" s="128">
        <f>IFERROR(if($AC822=0,($W822/0.74)*BH822,
BH822*$AC822),)</f>
        <v/>
      </c>
      <c r="CT822" s="128">
        <f>IFERROR(if($AC822=0,($W822/0.74)*BI822,
BI822*$AC822),)</f>
        <v/>
      </c>
      <c r="CU822" s="128">
        <f>IFERROR(AI822*$V822,)</f>
        <v/>
      </c>
      <c r="CV822" s="128">
        <f>IFERROR(AJ822*$V822,)</f>
        <v/>
      </c>
      <c r="CW822" s="128">
        <f>IFERROR(AK822*$V822,)</f>
        <v/>
      </c>
      <c r="CX822" s="128">
        <f>IFERROR(AL822*$V822,)</f>
        <v/>
      </c>
      <c r="CY822" s="128">
        <f>IFERROR(AM822*$V822,)</f>
        <v/>
      </c>
      <c r="CZ822" s="128">
        <f>IFERROR(AN822*$V822,)</f>
        <v/>
      </c>
      <c r="DA822" s="128">
        <f>IFERROR(AO822*$V822,)</f>
        <v/>
      </c>
      <c r="DB822" s="128">
        <f>IFERROR(AP822*$V822,)</f>
        <v/>
      </c>
      <c r="DC822" s="128">
        <f>IFERROR(AQ822*$V822,)</f>
        <v/>
      </c>
      <c r="DD822" s="128">
        <f>IFERROR(AR822*$V822,)</f>
        <v/>
      </c>
      <c r="DE822" s="128">
        <f>IFERROR(AS822*$V822,)</f>
        <v/>
      </c>
      <c r="DF822" s="128">
        <f>IFERROR(AT822*$V822,)</f>
        <v/>
      </c>
      <c r="DG822" s="128">
        <f>IFERROR(AU822*$V822,)</f>
        <v/>
      </c>
      <c r="DH822" s="128">
        <f>IFERROR(AV822*$V822,)</f>
        <v/>
      </c>
      <c r="DI822" s="128">
        <f>IFERROR(AW822*$V822,)</f>
        <v/>
      </c>
      <c r="DJ822" s="128">
        <f>IFERROR(AX822*$V822,)</f>
        <v/>
      </c>
      <c r="DK822" s="128">
        <f>IFERROR(AY822*$V822,)</f>
        <v/>
      </c>
      <c r="DL822" s="128">
        <f>IFERROR(AZ822*$V822,)</f>
        <v/>
      </c>
      <c r="DM822" s="129">
        <f>IFERROR(if($X822=0,($V822/1.2)*BA822,
BA822*$X822),)</f>
        <v/>
      </c>
      <c r="DN822" s="129">
        <f>IFERROR(if($X822=0,($V822/1.2)*BB822,
BB822*$X822),)</f>
        <v/>
      </c>
      <c r="DO822" s="129">
        <f>IFERROR(if($X822=0,($V822/1.2)*BC822,
BC822*$X822),)</f>
        <v/>
      </c>
      <c r="DP822" s="130">
        <f>IFERROR(if($Z822=0,($V822/1.35)*BD822,
BD822*$Z822),)</f>
        <v/>
      </c>
      <c r="DQ822" s="130">
        <f>IFERROR(if($Z822=0,($V822/1.35)*BE822,
BE822*$Z822),)</f>
        <v/>
      </c>
      <c r="DR822" s="130">
        <f>IFERROR(if($Z822=0,($V822/1.35)*BF822,
BF822*$Z822),)</f>
        <v/>
      </c>
      <c r="DS822" s="128">
        <f>IFERROR(IF($AB822=0,($V822/0.74)*BG822,
BG822*$AB822),)</f>
        <v/>
      </c>
      <c r="DT822" s="128">
        <f>IFERROR(IF($AB822=0,($V822/0.74)*BH822,
BH822*$AB822),)</f>
        <v/>
      </c>
      <c r="DU822" s="128">
        <f>IFERROR(IF($AB822=0,($V822/0.74)*BI822,
BI822*$AB822),)</f>
        <v/>
      </c>
    </row>
    <row r="823" ht="131.25" customHeight="1" s="162">
      <c r="A823" s="115" t="n"/>
      <c r="B823" s="115" t="n"/>
      <c r="C823" s="115" t="n"/>
      <c r="D823" s="115" t="n"/>
      <c r="E823" s="115" t="n"/>
      <c r="F823" s="115" t="n"/>
      <c r="G823" s="115" t="n"/>
      <c r="H823" s="115" t="n"/>
      <c r="I823" s="115" t="n"/>
      <c r="J823" s="115" t="n"/>
      <c r="K823" s="115" t="n"/>
      <c r="L823" s="115" t="n"/>
      <c r="M823" s="115" t="n"/>
      <c r="N823" s="115" t="n"/>
      <c r="O823" s="115" t="n"/>
      <c r="P823" s="115" t="n"/>
      <c r="Q823" s="115" t="n"/>
      <c r="R823" s="115" t="n"/>
      <c r="S823" s="115" t="n"/>
      <c r="T823" s="115" t="n"/>
      <c r="U823" s="116" t="n"/>
      <c r="V823" s="116" t="n"/>
      <c r="W823" s="117" t="n"/>
      <c r="X823" s="118" t="n"/>
      <c r="Y823" s="119" t="n"/>
      <c r="Z823" s="120" t="n"/>
      <c r="AA823" s="121" t="n"/>
      <c r="AB823" s="122" t="n"/>
      <c r="AC823" s="117" t="n"/>
      <c r="AD823" s="123">
        <f>IF(SUM($AE823:$AH823)=0,"",SUM($AE823:$AH823))</f>
        <v/>
      </c>
      <c r="AE823" s="123">
        <f>iferror(IF(SUM($AI823:$AZ823)=0,"",SUM($AI823:$AZ823)),"")</f>
        <v/>
      </c>
      <c r="AF823" s="123">
        <f>iferror(IF(SUM($BA823:$BC823)=0,"",SUM($BA823:$BC823)),"")</f>
        <v/>
      </c>
      <c r="AG823" s="123">
        <f>iferror(IF(SUM($BD823:$BF823)=0,"",SUM($BD823:$BF823)),"")</f>
        <v/>
      </c>
      <c r="AH823" s="124">
        <f>iferror(IF(SUM($BG823:$BI823)=0,"",SUM($BG823:$BI823)),"")</f>
        <v/>
      </c>
      <c r="AI823" s="131" t="n"/>
      <c r="AJ823" s="132" t="n"/>
      <c r="AK823" s="132" t="n"/>
      <c r="AL823" s="132" t="n"/>
      <c r="AM823" s="132" t="n"/>
      <c r="AN823" s="132" t="n"/>
      <c r="AO823" s="132" t="n"/>
      <c r="AP823" s="132" t="n"/>
      <c r="AQ823" s="132" t="n"/>
      <c r="AR823" s="132" t="n"/>
      <c r="AS823" s="132" t="n"/>
      <c r="AT823" s="132" t="n"/>
      <c r="AU823" s="132" t="n"/>
      <c r="AV823" s="132" t="n"/>
      <c r="AW823" s="132" t="n"/>
      <c r="AX823" s="132" t="n"/>
      <c r="AY823" s="132" t="n"/>
      <c r="AZ823" s="133" t="n"/>
      <c r="BA823" s="131" t="n"/>
      <c r="BB823" s="132" t="n"/>
      <c r="BC823" s="133" t="n"/>
      <c r="BD823" s="131" t="n"/>
      <c r="BE823" s="132" t="n"/>
      <c r="BF823" s="133" t="n"/>
      <c r="BG823" s="131" t="n"/>
      <c r="BH823" s="132" t="n"/>
      <c r="BI823" s="132" t="n"/>
      <c r="BJ823" s="128">
        <f>iferror(SUM($BK823,($BL823*1.2),($BM823*1.35),($BN823*0.74)),)</f>
        <v/>
      </c>
      <c r="BK823" s="128">
        <f>IFERROR(SUM($BT823:$CK823),)</f>
        <v/>
      </c>
      <c r="BL823" s="129">
        <f>IFERROR(SUM($CL823:$CN823),)</f>
        <v/>
      </c>
      <c r="BM823" s="130">
        <f>IFERROR(SUM($CO823:$CQ823),)</f>
        <v/>
      </c>
      <c r="BN823" s="128">
        <f>IFERROR(SUM($CR823:$CT823),)</f>
        <v/>
      </c>
      <c r="BO823" s="128">
        <f>iferror(SUM($BP823,($BQ823*1.2),($BR823*1.35),($BS823*0.74)),)</f>
        <v/>
      </c>
      <c r="BP823" s="128">
        <f>IFERROR(SUM($CU823:$DL823),)</f>
        <v/>
      </c>
      <c r="BQ823" s="128">
        <f>IFERROR(SUM($DM823:$DO823),)</f>
        <v/>
      </c>
      <c r="BR823" s="128">
        <f>IFERROR(SUM($DP823:$DR823),)</f>
        <v/>
      </c>
      <c r="BS823" s="128">
        <f>IFERROR(SUM($DS823:$DU823),)</f>
        <v/>
      </c>
      <c r="BT823" s="128">
        <f>IFERROR(AI823*$W823,)</f>
        <v/>
      </c>
      <c r="BU823" s="128">
        <f>IFERROR(AJ823*$W823,)</f>
        <v/>
      </c>
      <c r="BV823" s="128">
        <f>IFERROR(AK823*$W823,)</f>
        <v/>
      </c>
      <c r="BW823" s="128">
        <f>IFERROR(AL823*$W823,)</f>
        <v/>
      </c>
      <c r="BX823" s="128">
        <f>IFERROR(AM823*$W823,)</f>
        <v/>
      </c>
      <c r="BY823" s="128">
        <f>IFERROR(AN823*$W823,)</f>
        <v/>
      </c>
      <c r="BZ823" s="128">
        <f>IFERROR(AO823*$W823,)</f>
        <v/>
      </c>
      <c r="CA823" s="128">
        <f>IFERROR(AP823*$W823,)</f>
        <v/>
      </c>
      <c r="CB823" s="128">
        <f>IFERROR(AQ823*$W823,)</f>
        <v/>
      </c>
      <c r="CC823" s="128">
        <f>IFERROR(AR823*$W823,)</f>
        <v/>
      </c>
      <c r="CD823" s="128">
        <f>IFERROR(AS823*$W823,)</f>
        <v/>
      </c>
      <c r="CE823" s="128">
        <f>IFERROR(AT823*$W823,)</f>
        <v/>
      </c>
      <c r="CF823" s="128">
        <f>IFERROR(AU823*$W823,)</f>
        <v/>
      </c>
      <c r="CG823" s="128">
        <f>IFERROR(AV823*$W823,)</f>
        <v/>
      </c>
      <c r="CH823" s="128">
        <f>IFERROR(AW823*$W823,)</f>
        <v/>
      </c>
      <c r="CI823" s="128">
        <f>IFERROR(AX823*$W823,)</f>
        <v/>
      </c>
      <c r="CJ823" s="128">
        <f>IFERROR(AY823*$W823,)</f>
        <v/>
      </c>
      <c r="CK823" s="128">
        <f>IFERROR(AZ823*$W823,)</f>
        <v/>
      </c>
      <c r="CL823" s="129">
        <f>IFERROR(if($Y823=0,BA823*($W823/1.2),BA823*$Y823),"")</f>
        <v/>
      </c>
      <c r="CM823" s="129">
        <f>IFERROR(if($Y823=0,BB823*($W823/1.2),BB823*$Y823),"")</f>
        <v/>
      </c>
      <c r="CN823" s="129">
        <f>IFERROR(if($Y823=0,BC823*($W823/1.2),BC823*$Y823),"")</f>
        <v/>
      </c>
      <c r="CO823" s="130">
        <f>IFERROR(if($AA823=0,($W823/1.35)*BD823,BD823*$AA823),)</f>
        <v/>
      </c>
      <c r="CP823" s="130">
        <f>IFERROR(if($AA823=0,($W823/1.35)*BE823,BE823*$AA823),)</f>
        <v/>
      </c>
      <c r="CQ823" s="130">
        <f>IFERROR(if($AA823=0,($W823/1.35)*BF823,BF823*$AA823),)</f>
        <v/>
      </c>
      <c r="CR823" s="128">
        <f>IFERROR(if($AC823=0,($W823/0.74)*BG823,
BG823*$AC823),)</f>
        <v/>
      </c>
      <c r="CS823" s="128">
        <f>IFERROR(if($AC823=0,($W823/0.74)*BH823,
BH823*$AC823),)</f>
        <v/>
      </c>
      <c r="CT823" s="128">
        <f>IFERROR(if($AC823=0,($W823/0.74)*BI823,
BI823*$AC823),)</f>
        <v/>
      </c>
      <c r="CU823" s="128">
        <f>IFERROR(AI823*$V823,)</f>
        <v/>
      </c>
      <c r="CV823" s="128">
        <f>IFERROR(AJ823*$V823,)</f>
        <v/>
      </c>
      <c r="CW823" s="128">
        <f>IFERROR(AK823*$V823,)</f>
        <v/>
      </c>
      <c r="CX823" s="128">
        <f>IFERROR(AL823*$V823,)</f>
        <v/>
      </c>
      <c r="CY823" s="128">
        <f>IFERROR(AM823*$V823,)</f>
        <v/>
      </c>
      <c r="CZ823" s="128">
        <f>IFERROR(AN823*$V823,)</f>
        <v/>
      </c>
      <c r="DA823" s="128">
        <f>IFERROR(AO823*$V823,)</f>
        <v/>
      </c>
      <c r="DB823" s="128">
        <f>IFERROR(AP823*$V823,)</f>
        <v/>
      </c>
      <c r="DC823" s="128">
        <f>IFERROR(AQ823*$V823,)</f>
        <v/>
      </c>
      <c r="DD823" s="128">
        <f>IFERROR(AR823*$V823,)</f>
        <v/>
      </c>
      <c r="DE823" s="128">
        <f>IFERROR(AS823*$V823,)</f>
        <v/>
      </c>
      <c r="DF823" s="128">
        <f>IFERROR(AT823*$V823,)</f>
        <v/>
      </c>
      <c r="DG823" s="128">
        <f>IFERROR(AU823*$V823,)</f>
        <v/>
      </c>
      <c r="DH823" s="128">
        <f>IFERROR(AV823*$V823,)</f>
        <v/>
      </c>
      <c r="DI823" s="128">
        <f>IFERROR(AW823*$V823,)</f>
        <v/>
      </c>
      <c r="DJ823" s="128">
        <f>IFERROR(AX823*$V823,)</f>
        <v/>
      </c>
      <c r="DK823" s="128">
        <f>IFERROR(AY823*$V823,)</f>
        <v/>
      </c>
      <c r="DL823" s="128">
        <f>IFERROR(AZ823*$V823,)</f>
        <v/>
      </c>
      <c r="DM823" s="129">
        <f>IFERROR(if($X823=0,($V823/1.2)*BA823,
BA823*$X823),)</f>
        <v/>
      </c>
      <c r="DN823" s="129">
        <f>IFERROR(if($X823=0,($V823/1.2)*BB823,
BB823*$X823),)</f>
        <v/>
      </c>
      <c r="DO823" s="129">
        <f>IFERROR(if($X823=0,($V823/1.2)*BC823,
BC823*$X823),)</f>
        <v/>
      </c>
      <c r="DP823" s="130">
        <f>IFERROR(if($Z823=0,($V823/1.35)*BD823,
BD823*$Z823),)</f>
        <v/>
      </c>
      <c r="DQ823" s="130">
        <f>IFERROR(if($Z823=0,($V823/1.35)*BE823,
BE823*$Z823),)</f>
        <v/>
      </c>
      <c r="DR823" s="130">
        <f>IFERROR(if($Z823=0,($V823/1.35)*BF823,
BF823*$Z823),)</f>
        <v/>
      </c>
      <c r="DS823" s="128">
        <f>IFERROR(IF($AB823=0,($V823/0.74)*BG823,
BG823*$AB823),)</f>
        <v/>
      </c>
      <c r="DT823" s="128">
        <f>IFERROR(IF($AB823=0,($V823/0.74)*BH823,
BH823*$AB823),)</f>
        <v/>
      </c>
      <c r="DU823" s="128">
        <f>IFERROR(IF($AB823=0,($V823/0.74)*BI823,
BI823*$AB823),)</f>
        <v/>
      </c>
    </row>
    <row r="824" ht="131.25" customHeight="1" s="162">
      <c r="A824" s="115" t="n"/>
      <c r="B824" s="115" t="n"/>
      <c r="C824" s="115" t="n"/>
      <c r="D824" s="115" t="n"/>
      <c r="E824" s="115" t="n"/>
      <c r="F824" s="115" t="n"/>
      <c r="G824" s="115" t="n"/>
      <c r="H824" s="115" t="n"/>
      <c r="I824" s="115" t="n"/>
      <c r="J824" s="115" t="n"/>
      <c r="K824" s="115" t="n"/>
      <c r="L824" s="115" t="n"/>
      <c r="M824" s="115" t="n"/>
      <c r="N824" s="115" t="n"/>
      <c r="O824" s="115" t="n"/>
      <c r="P824" s="115" t="n"/>
      <c r="Q824" s="115" t="n"/>
      <c r="R824" s="115" t="n"/>
      <c r="S824" s="115" t="n"/>
      <c r="T824" s="115" t="n"/>
      <c r="U824" s="116" t="n"/>
      <c r="V824" s="116" t="n"/>
      <c r="W824" s="117" t="n"/>
      <c r="X824" s="118" t="n"/>
      <c r="Y824" s="119" t="n"/>
      <c r="Z824" s="120" t="n"/>
      <c r="AA824" s="121" t="n"/>
      <c r="AB824" s="122" t="n"/>
      <c r="AC824" s="117" t="n"/>
      <c r="AD824" s="123">
        <f>IF(SUM($AE824:$AH824)=0,"",SUM($AE824:$AH824))</f>
        <v/>
      </c>
      <c r="AE824" s="123">
        <f>iferror(IF(SUM($AI824:$AZ824)=0,"",SUM($AI824:$AZ824)),"")</f>
        <v/>
      </c>
      <c r="AF824" s="123">
        <f>iferror(IF(SUM($BA824:$BC824)=0,"",SUM($BA824:$BC824)),"")</f>
        <v/>
      </c>
      <c r="AG824" s="123">
        <f>iferror(IF(SUM($BD824:$BF824)=0,"",SUM($BD824:$BF824)),"")</f>
        <v/>
      </c>
      <c r="AH824" s="124">
        <f>iferror(IF(SUM($BG824:$BI824)=0,"",SUM($BG824:$BI824)),"")</f>
        <v/>
      </c>
      <c r="AI824" s="131" t="n"/>
      <c r="AJ824" s="132" t="n"/>
      <c r="AK824" s="132" t="n"/>
      <c r="AL824" s="132" t="n"/>
      <c r="AM824" s="132" t="n"/>
      <c r="AN824" s="132" t="n"/>
      <c r="AO824" s="132" t="n"/>
      <c r="AP824" s="132" t="n"/>
      <c r="AQ824" s="132" t="n"/>
      <c r="AR824" s="132" t="n"/>
      <c r="AS824" s="132" t="n"/>
      <c r="AT824" s="132" t="n"/>
      <c r="AU824" s="132" t="n"/>
      <c r="AV824" s="132" t="n"/>
      <c r="AW824" s="132" t="n"/>
      <c r="AX824" s="132" t="n"/>
      <c r="AY824" s="132" t="n"/>
      <c r="AZ824" s="133" t="n"/>
      <c r="BA824" s="131" t="n"/>
      <c r="BB824" s="132" t="n"/>
      <c r="BC824" s="133" t="n"/>
      <c r="BD824" s="131" t="n"/>
      <c r="BE824" s="132" t="n"/>
      <c r="BF824" s="133" t="n"/>
      <c r="BG824" s="131" t="n"/>
      <c r="BH824" s="132" t="n"/>
      <c r="BI824" s="132" t="n"/>
      <c r="BJ824" s="128">
        <f>iferror(SUM($BK824,($BL824*1.2),($BM824*1.35),($BN824*0.74)),)</f>
        <v/>
      </c>
      <c r="BK824" s="128">
        <f>IFERROR(SUM($BT824:$CK824),)</f>
        <v/>
      </c>
      <c r="BL824" s="129">
        <f>IFERROR(SUM($CL824:$CN824),)</f>
        <v/>
      </c>
      <c r="BM824" s="130">
        <f>IFERROR(SUM($CO824:$CQ824),)</f>
        <v/>
      </c>
      <c r="BN824" s="128">
        <f>IFERROR(SUM($CR824:$CT824),)</f>
        <v/>
      </c>
      <c r="BO824" s="128">
        <f>iferror(SUM($BP824,($BQ824*1.2),($BR824*1.35),($BS824*0.74)),)</f>
        <v/>
      </c>
      <c r="BP824" s="128">
        <f>IFERROR(SUM($CU824:$DL824),)</f>
        <v/>
      </c>
      <c r="BQ824" s="128">
        <f>IFERROR(SUM($DM824:$DO824),)</f>
        <v/>
      </c>
      <c r="BR824" s="128">
        <f>IFERROR(SUM($DP824:$DR824),)</f>
        <v/>
      </c>
      <c r="BS824" s="128">
        <f>IFERROR(SUM($DS824:$DU824),)</f>
        <v/>
      </c>
      <c r="BT824" s="128">
        <f>IFERROR(AI824*$W824,)</f>
        <v/>
      </c>
      <c r="BU824" s="128">
        <f>IFERROR(AJ824*$W824,)</f>
        <v/>
      </c>
      <c r="BV824" s="128">
        <f>IFERROR(AK824*$W824,)</f>
        <v/>
      </c>
      <c r="BW824" s="128">
        <f>IFERROR(AL824*$W824,)</f>
        <v/>
      </c>
      <c r="BX824" s="128">
        <f>IFERROR(AM824*$W824,)</f>
        <v/>
      </c>
      <c r="BY824" s="128">
        <f>IFERROR(AN824*$W824,)</f>
        <v/>
      </c>
      <c r="BZ824" s="128">
        <f>IFERROR(AO824*$W824,)</f>
        <v/>
      </c>
      <c r="CA824" s="128">
        <f>IFERROR(AP824*$W824,)</f>
        <v/>
      </c>
      <c r="CB824" s="128">
        <f>IFERROR(AQ824*$W824,)</f>
        <v/>
      </c>
      <c r="CC824" s="128">
        <f>IFERROR(AR824*$W824,)</f>
        <v/>
      </c>
      <c r="CD824" s="128">
        <f>IFERROR(AS824*$W824,)</f>
        <v/>
      </c>
      <c r="CE824" s="128">
        <f>IFERROR(AT824*$W824,)</f>
        <v/>
      </c>
      <c r="CF824" s="128">
        <f>IFERROR(AU824*$W824,)</f>
        <v/>
      </c>
      <c r="CG824" s="128">
        <f>IFERROR(AV824*$W824,)</f>
        <v/>
      </c>
      <c r="CH824" s="128">
        <f>IFERROR(AW824*$W824,)</f>
        <v/>
      </c>
      <c r="CI824" s="128">
        <f>IFERROR(AX824*$W824,)</f>
        <v/>
      </c>
      <c r="CJ824" s="128">
        <f>IFERROR(AY824*$W824,)</f>
        <v/>
      </c>
      <c r="CK824" s="128">
        <f>IFERROR(AZ824*$W824,)</f>
        <v/>
      </c>
      <c r="CL824" s="129">
        <f>IFERROR(if($Y824=0,BA824*($W824/1.2),BA824*$Y824),"")</f>
        <v/>
      </c>
      <c r="CM824" s="129">
        <f>IFERROR(if($Y824=0,BB824*($W824/1.2),BB824*$Y824),"")</f>
        <v/>
      </c>
      <c r="CN824" s="129">
        <f>IFERROR(if($Y824=0,BC824*($W824/1.2),BC824*$Y824),"")</f>
        <v/>
      </c>
      <c r="CO824" s="130">
        <f>IFERROR(if($AA824=0,($W824/1.35)*BD824,BD824*$AA824),)</f>
        <v/>
      </c>
      <c r="CP824" s="130">
        <f>IFERROR(if($AA824=0,($W824/1.35)*BE824,BE824*$AA824),)</f>
        <v/>
      </c>
      <c r="CQ824" s="130">
        <f>IFERROR(if($AA824=0,($W824/1.35)*BF824,BF824*$AA824),)</f>
        <v/>
      </c>
      <c r="CR824" s="128">
        <f>IFERROR(if($AC824=0,($W824/0.74)*BG824,
BG824*$AC824),)</f>
        <v/>
      </c>
      <c r="CS824" s="128">
        <f>IFERROR(if($AC824=0,($W824/0.74)*BH824,
BH824*$AC824),)</f>
        <v/>
      </c>
      <c r="CT824" s="128">
        <f>IFERROR(if($AC824=0,($W824/0.74)*BI824,
BI824*$AC824),)</f>
        <v/>
      </c>
      <c r="CU824" s="128">
        <f>IFERROR(AI824*$V824,)</f>
        <v/>
      </c>
      <c r="CV824" s="128">
        <f>IFERROR(AJ824*$V824,)</f>
        <v/>
      </c>
      <c r="CW824" s="128">
        <f>IFERROR(AK824*$V824,)</f>
        <v/>
      </c>
      <c r="CX824" s="128">
        <f>IFERROR(AL824*$V824,)</f>
        <v/>
      </c>
      <c r="CY824" s="128">
        <f>IFERROR(AM824*$V824,)</f>
        <v/>
      </c>
      <c r="CZ824" s="128">
        <f>IFERROR(AN824*$V824,)</f>
        <v/>
      </c>
      <c r="DA824" s="128">
        <f>IFERROR(AO824*$V824,)</f>
        <v/>
      </c>
      <c r="DB824" s="128">
        <f>IFERROR(AP824*$V824,)</f>
        <v/>
      </c>
      <c r="DC824" s="128">
        <f>IFERROR(AQ824*$V824,)</f>
        <v/>
      </c>
      <c r="DD824" s="128">
        <f>IFERROR(AR824*$V824,)</f>
        <v/>
      </c>
      <c r="DE824" s="128">
        <f>IFERROR(AS824*$V824,)</f>
        <v/>
      </c>
      <c r="DF824" s="128">
        <f>IFERROR(AT824*$V824,)</f>
        <v/>
      </c>
      <c r="DG824" s="128">
        <f>IFERROR(AU824*$V824,)</f>
        <v/>
      </c>
      <c r="DH824" s="128">
        <f>IFERROR(AV824*$V824,)</f>
        <v/>
      </c>
      <c r="DI824" s="128">
        <f>IFERROR(AW824*$V824,)</f>
        <v/>
      </c>
      <c r="DJ824" s="128">
        <f>IFERROR(AX824*$V824,)</f>
        <v/>
      </c>
      <c r="DK824" s="128">
        <f>IFERROR(AY824*$V824,)</f>
        <v/>
      </c>
      <c r="DL824" s="128">
        <f>IFERROR(AZ824*$V824,)</f>
        <v/>
      </c>
      <c r="DM824" s="129">
        <f>IFERROR(if($X824=0,($V824/1.2)*BA824,
BA824*$X824),)</f>
        <v/>
      </c>
      <c r="DN824" s="129">
        <f>IFERROR(if($X824=0,($V824/1.2)*BB824,
BB824*$X824),)</f>
        <v/>
      </c>
      <c r="DO824" s="129">
        <f>IFERROR(if($X824=0,($V824/1.2)*BC824,
BC824*$X824),)</f>
        <v/>
      </c>
      <c r="DP824" s="130">
        <f>IFERROR(if($Z824=0,($V824/1.35)*BD824,
BD824*$Z824),)</f>
        <v/>
      </c>
      <c r="DQ824" s="130">
        <f>IFERROR(if($Z824=0,($V824/1.35)*BE824,
BE824*$Z824),)</f>
        <v/>
      </c>
      <c r="DR824" s="130">
        <f>IFERROR(if($Z824=0,($V824/1.35)*BF824,
BF824*$Z824),)</f>
        <v/>
      </c>
      <c r="DS824" s="128">
        <f>IFERROR(IF($AB824=0,($V824/0.74)*BG824,
BG824*$AB824),)</f>
        <v/>
      </c>
      <c r="DT824" s="128">
        <f>IFERROR(IF($AB824=0,($V824/0.74)*BH824,
BH824*$AB824),)</f>
        <v/>
      </c>
      <c r="DU824" s="128">
        <f>IFERROR(IF($AB824=0,($V824/0.74)*BI824,
BI824*$AB824),)</f>
        <v/>
      </c>
    </row>
    <row r="825" ht="131.25" customHeight="1" s="162">
      <c r="A825" s="115" t="n"/>
      <c r="B825" s="115" t="n"/>
      <c r="C825" s="115" t="n"/>
      <c r="D825" s="115" t="n"/>
      <c r="E825" s="115" t="n"/>
      <c r="F825" s="115" t="n"/>
      <c r="G825" s="115" t="n"/>
      <c r="H825" s="115" t="n"/>
      <c r="I825" s="115" t="n"/>
      <c r="J825" s="115" t="n"/>
      <c r="K825" s="115" t="n"/>
      <c r="L825" s="115" t="n"/>
      <c r="M825" s="115" t="n"/>
      <c r="N825" s="115" t="n"/>
      <c r="O825" s="115" t="n"/>
      <c r="P825" s="115" t="n"/>
      <c r="Q825" s="115" t="n"/>
      <c r="R825" s="115" t="n"/>
      <c r="S825" s="115" t="n"/>
      <c r="T825" s="115" t="n"/>
      <c r="U825" s="116" t="n"/>
      <c r="V825" s="116" t="n"/>
      <c r="W825" s="117" t="n"/>
      <c r="X825" s="118" t="n"/>
      <c r="Y825" s="119" t="n"/>
      <c r="Z825" s="120" t="n"/>
      <c r="AA825" s="121" t="n"/>
      <c r="AB825" s="122" t="n"/>
      <c r="AC825" s="117" t="n"/>
      <c r="AD825" s="123">
        <f>IF(SUM($AE825:$AH825)=0,"",SUM($AE825:$AH825))</f>
        <v/>
      </c>
      <c r="AE825" s="123">
        <f>iferror(IF(SUM($AI825:$AZ825)=0,"",SUM($AI825:$AZ825)),"")</f>
        <v/>
      </c>
      <c r="AF825" s="123">
        <f>iferror(IF(SUM($BA825:$BC825)=0,"",SUM($BA825:$BC825)),"")</f>
        <v/>
      </c>
      <c r="AG825" s="123">
        <f>iferror(IF(SUM($BD825:$BF825)=0,"",SUM($BD825:$BF825)),"")</f>
        <v/>
      </c>
      <c r="AH825" s="124">
        <f>iferror(IF(SUM($BG825:$BI825)=0,"",SUM($BG825:$BI825)),"")</f>
        <v/>
      </c>
      <c r="AI825" s="131" t="n"/>
      <c r="AJ825" s="132" t="n"/>
      <c r="AK825" s="132" t="n"/>
      <c r="AL825" s="132" t="n"/>
      <c r="AM825" s="132" t="n"/>
      <c r="AN825" s="132" t="n"/>
      <c r="AO825" s="132" t="n"/>
      <c r="AP825" s="132" t="n"/>
      <c r="AQ825" s="132" t="n"/>
      <c r="AR825" s="132" t="n"/>
      <c r="AS825" s="132" t="n"/>
      <c r="AT825" s="132" t="n"/>
      <c r="AU825" s="132" t="n"/>
      <c r="AV825" s="132" t="n"/>
      <c r="AW825" s="132" t="n"/>
      <c r="AX825" s="132" t="n"/>
      <c r="AY825" s="132" t="n"/>
      <c r="AZ825" s="133" t="n"/>
      <c r="BA825" s="131" t="n"/>
      <c r="BB825" s="132" t="n"/>
      <c r="BC825" s="133" t="n"/>
      <c r="BD825" s="131" t="n"/>
      <c r="BE825" s="132" t="n"/>
      <c r="BF825" s="133" t="n"/>
      <c r="BG825" s="131" t="n"/>
      <c r="BH825" s="132" t="n"/>
      <c r="BI825" s="132" t="n"/>
      <c r="BJ825" s="128">
        <f>iferror(SUM($BK825,($BL825*1.2),($BM825*1.35),($BN825*0.74)),)</f>
        <v/>
      </c>
      <c r="BK825" s="128">
        <f>IFERROR(SUM($BT825:$CK825),)</f>
        <v/>
      </c>
      <c r="BL825" s="129">
        <f>IFERROR(SUM($CL825:$CN825),)</f>
        <v/>
      </c>
      <c r="BM825" s="130">
        <f>IFERROR(SUM($CO825:$CQ825),)</f>
        <v/>
      </c>
      <c r="BN825" s="128">
        <f>IFERROR(SUM($CR825:$CT825),)</f>
        <v/>
      </c>
      <c r="BO825" s="128">
        <f>iferror(SUM($BP825,($BQ825*1.2),($BR825*1.35),($BS825*0.74)),)</f>
        <v/>
      </c>
      <c r="BP825" s="128">
        <f>IFERROR(SUM($CU825:$DL825),)</f>
        <v/>
      </c>
      <c r="BQ825" s="128">
        <f>IFERROR(SUM($DM825:$DO825),)</f>
        <v/>
      </c>
      <c r="BR825" s="128">
        <f>IFERROR(SUM($DP825:$DR825),)</f>
        <v/>
      </c>
      <c r="BS825" s="128">
        <f>IFERROR(SUM($DS825:$DU825),)</f>
        <v/>
      </c>
      <c r="BT825" s="128">
        <f>IFERROR(AI825*$W825,)</f>
        <v/>
      </c>
      <c r="BU825" s="128">
        <f>IFERROR(AJ825*$W825,)</f>
        <v/>
      </c>
      <c r="BV825" s="128">
        <f>IFERROR(AK825*$W825,)</f>
        <v/>
      </c>
      <c r="BW825" s="128">
        <f>IFERROR(AL825*$W825,)</f>
        <v/>
      </c>
      <c r="BX825" s="128">
        <f>IFERROR(AM825*$W825,)</f>
        <v/>
      </c>
      <c r="BY825" s="128">
        <f>IFERROR(AN825*$W825,)</f>
        <v/>
      </c>
      <c r="BZ825" s="128">
        <f>IFERROR(AO825*$W825,)</f>
        <v/>
      </c>
      <c r="CA825" s="128">
        <f>IFERROR(AP825*$W825,)</f>
        <v/>
      </c>
      <c r="CB825" s="128">
        <f>IFERROR(AQ825*$W825,)</f>
        <v/>
      </c>
      <c r="CC825" s="128">
        <f>IFERROR(AR825*$W825,)</f>
        <v/>
      </c>
      <c r="CD825" s="128">
        <f>IFERROR(AS825*$W825,)</f>
        <v/>
      </c>
      <c r="CE825" s="128">
        <f>IFERROR(AT825*$W825,)</f>
        <v/>
      </c>
      <c r="CF825" s="128">
        <f>IFERROR(AU825*$W825,)</f>
        <v/>
      </c>
      <c r="CG825" s="128">
        <f>IFERROR(AV825*$W825,)</f>
        <v/>
      </c>
      <c r="CH825" s="128">
        <f>IFERROR(AW825*$W825,)</f>
        <v/>
      </c>
      <c r="CI825" s="128">
        <f>IFERROR(AX825*$W825,)</f>
        <v/>
      </c>
      <c r="CJ825" s="128">
        <f>IFERROR(AY825*$W825,)</f>
        <v/>
      </c>
      <c r="CK825" s="128">
        <f>IFERROR(AZ825*$W825,)</f>
        <v/>
      </c>
      <c r="CL825" s="129">
        <f>IFERROR(if($Y825=0,BA825*($W825/1.2),BA825*$Y825),"")</f>
        <v/>
      </c>
      <c r="CM825" s="129">
        <f>IFERROR(if($Y825=0,BB825*($W825/1.2),BB825*$Y825),"")</f>
        <v/>
      </c>
      <c r="CN825" s="129">
        <f>IFERROR(if($Y825=0,BC825*($W825/1.2),BC825*$Y825),"")</f>
        <v/>
      </c>
      <c r="CO825" s="130">
        <f>IFERROR(if($AA825=0,($W825/1.35)*BD825,BD825*$AA825),)</f>
        <v/>
      </c>
      <c r="CP825" s="130">
        <f>IFERROR(if($AA825=0,($W825/1.35)*BE825,BE825*$AA825),)</f>
        <v/>
      </c>
      <c r="CQ825" s="130">
        <f>IFERROR(if($AA825=0,($W825/1.35)*BF825,BF825*$AA825),)</f>
        <v/>
      </c>
      <c r="CR825" s="128">
        <f>IFERROR(if($AC825=0,($W825/0.74)*BG825,
BG825*$AC825),)</f>
        <v/>
      </c>
      <c r="CS825" s="128">
        <f>IFERROR(if($AC825=0,($W825/0.74)*BH825,
BH825*$AC825),)</f>
        <v/>
      </c>
      <c r="CT825" s="128">
        <f>IFERROR(if($AC825=0,($W825/0.74)*BI825,
BI825*$AC825),)</f>
        <v/>
      </c>
      <c r="CU825" s="128">
        <f>IFERROR(AI825*$V825,)</f>
        <v/>
      </c>
      <c r="CV825" s="128">
        <f>IFERROR(AJ825*$V825,)</f>
        <v/>
      </c>
      <c r="CW825" s="128">
        <f>IFERROR(AK825*$V825,)</f>
        <v/>
      </c>
      <c r="CX825" s="128">
        <f>IFERROR(AL825*$V825,)</f>
        <v/>
      </c>
      <c r="CY825" s="128">
        <f>IFERROR(AM825*$V825,)</f>
        <v/>
      </c>
      <c r="CZ825" s="128">
        <f>IFERROR(AN825*$V825,)</f>
        <v/>
      </c>
      <c r="DA825" s="128">
        <f>IFERROR(AO825*$V825,)</f>
        <v/>
      </c>
      <c r="DB825" s="128">
        <f>IFERROR(AP825*$V825,)</f>
        <v/>
      </c>
      <c r="DC825" s="128">
        <f>IFERROR(AQ825*$V825,)</f>
        <v/>
      </c>
      <c r="DD825" s="128">
        <f>IFERROR(AR825*$V825,)</f>
        <v/>
      </c>
      <c r="DE825" s="128">
        <f>IFERROR(AS825*$V825,)</f>
        <v/>
      </c>
      <c r="DF825" s="128">
        <f>IFERROR(AT825*$V825,)</f>
        <v/>
      </c>
      <c r="DG825" s="128">
        <f>IFERROR(AU825*$V825,)</f>
        <v/>
      </c>
      <c r="DH825" s="128">
        <f>IFERROR(AV825*$V825,)</f>
        <v/>
      </c>
      <c r="DI825" s="128">
        <f>IFERROR(AW825*$V825,)</f>
        <v/>
      </c>
      <c r="DJ825" s="128">
        <f>IFERROR(AX825*$V825,)</f>
        <v/>
      </c>
      <c r="DK825" s="128">
        <f>IFERROR(AY825*$V825,)</f>
        <v/>
      </c>
      <c r="DL825" s="128">
        <f>IFERROR(AZ825*$V825,)</f>
        <v/>
      </c>
      <c r="DM825" s="129">
        <f>IFERROR(if($X825=0,($V825/1.2)*BA825,
BA825*$X825),)</f>
        <v/>
      </c>
      <c r="DN825" s="129">
        <f>IFERROR(if($X825=0,($V825/1.2)*BB825,
BB825*$X825),)</f>
        <v/>
      </c>
      <c r="DO825" s="129">
        <f>IFERROR(if($X825=0,($V825/1.2)*BC825,
BC825*$X825),)</f>
        <v/>
      </c>
      <c r="DP825" s="130">
        <f>IFERROR(if($Z825=0,($V825/1.35)*BD825,
BD825*$Z825),)</f>
        <v/>
      </c>
      <c r="DQ825" s="130">
        <f>IFERROR(if($Z825=0,($V825/1.35)*BE825,
BE825*$Z825),)</f>
        <v/>
      </c>
      <c r="DR825" s="130">
        <f>IFERROR(if($Z825=0,($V825/1.35)*BF825,
BF825*$Z825),)</f>
        <v/>
      </c>
      <c r="DS825" s="128">
        <f>IFERROR(IF($AB825=0,($V825/0.74)*BG825,
BG825*$AB825),)</f>
        <v/>
      </c>
      <c r="DT825" s="128">
        <f>IFERROR(IF($AB825=0,($V825/0.74)*BH825,
BH825*$AB825),)</f>
        <v/>
      </c>
      <c r="DU825" s="128">
        <f>IFERROR(IF($AB825=0,($V825/0.74)*BI825,
BI825*$AB825),)</f>
        <v/>
      </c>
    </row>
    <row r="826" ht="131.25" customHeight="1" s="162">
      <c r="A826" s="115" t="n"/>
      <c r="B826" s="115" t="n"/>
      <c r="C826" s="115" t="n"/>
      <c r="D826" s="115" t="n"/>
      <c r="E826" s="115" t="n"/>
      <c r="F826" s="115" t="n"/>
      <c r="G826" s="115" t="n"/>
      <c r="H826" s="115" t="n"/>
      <c r="I826" s="115" t="n"/>
      <c r="J826" s="115" t="n"/>
      <c r="K826" s="115" t="n"/>
      <c r="L826" s="115" t="n"/>
      <c r="M826" s="115" t="n"/>
      <c r="N826" s="115" t="n"/>
      <c r="O826" s="115" t="n"/>
      <c r="P826" s="115" t="n"/>
      <c r="Q826" s="115" t="n"/>
      <c r="R826" s="115" t="n"/>
      <c r="S826" s="115" t="n"/>
      <c r="T826" s="115" t="n"/>
      <c r="U826" s="116" t="n"/>
      <c r="V826" s="116" t="n"/>
      <c r="W826" s="117" t="n"/>
      <c r="X826" s="118" t="n"/>
      <c r="Y826" s="119" t="n"/>
      <c r="Z826" s="120" t="n"/>
      <c r="AA826" s="121" t="n"/>
      <c r="AB826" s="122" t="n"/>
      <c r="AC826" s="117" t="n"/>
      <c r="AD826" s="123">
        <f>IF(SUM($AE826:$AH826)=0,"",SUM($AE826:$AH826))</f>
        <v/>
      </c>
      <c r="AE826" s="123">
        <f>iferror(IF(SUM($AI826:$AZ826)=0,"",SUM($AI826:$AZ826)),"")</f>
        <v/>
      </c>
      <c r="AF826" s="123">
        <f>iferror(IF(SUM($BA826:$BC826)=0,"",SUM($BA826:$BC826)),"")</f>
        <v/>
      </c>
      <c r="AG826" s="123">
        <f>iferror(IF(SUM($BD826:$BF826)=0,"",SUM($BD826:$BF826)),"")</f>
        <v/>
      </c>
      <c r="AH826" s="124">
        <f>iferror(IF(SUM($BG826:$BI826)=0,"",SUM($BG826:$BI826)),"")</f>
        <v/>
      </c>
      <c r="AI826" s="131" t="n"/>
      <c r="AJ826" s="132" t="n"/>
      <c r="AK826" s="132" t="n"/>
      <c r="AL826" s="132" t="n"/>
      <c r="AM826" s="132" t="n"/>
      <c r="AN826" s="132" t="n"/>
      <c r="AO826" s="132" t="n"/>
      <c r="AP826" s="132" t="n"/>
      <c r="AQ826" s="132" t="n"/>
      <c r="AR826" s="132" t="n"/>
      <c r="AS826" s="132" t="n"/>
      <c r="AT826" s="132" t="n"/>
      <c r="AU826" s="132" t="n"/>
      <c r="AV826" s="132" t="n"/>
      <c r="AW826" s="132" t="n"/>
      <c r="AX826" s="132" t="n"/>
      <c r="AY826" s="132" t="n"/>
      <c r="AZ826" s="133" t="n"/>
      <c r="BA826" s="131" t="n"/>
      <c r="BB826" s="132" t="n"/>
      <c r="BC826" s="133" t="n"/>
      <c r="BD826" s="131" t="n"/>
      <c r="BE826" s="132" t="n"/>
      <c r="BF826" s="133" t="n"/>
      <c r="BG826" s="131" t="n"/>
      <c r="BH826" s="132" t="n"/>
      <c r="BI826" s="132" t="n"/>
      <c r="BJ826" s="128">
        <f>iferror(SUM($BK826,($BL826*1.2),($BM826*1.35),($BN826*0.74)),)</f>
        <v/>
      </c>
      <c r="BK826" s="128">
        <f>IFERROR(SUM($BT826:$CK826),)</f>
        <v/>
      </c>
      <c r="BL826" s="129">
        <f>IFERROR(SUM($CL826:$CN826),)</f>
        <v/>
      </c>
      <c r="BM826" s="130">
        <f>IFERROR(SUM($CO826:$CQ826),)</f>
        <v/>
      </c>
      <c r="BN826" s="128">
        <f>IFERROR(SUM($CR826:$CT826),)</f>
        <v/>
      </c>
      <c r="BO826" s="128">
        <f>iferror(SUM($BP826,($BQ826*1.2),($BR826*1.35),($BS826*0.74)),)</f>
        <v/>
      </c>
      <c r="BP826" s="128">
        <f>IFERROR(SUM($CU826:$DL826),)</f>
        <v/>
      </c>
      <c r="BQ826" s="128">
        <f>IFERROR(SUM($DM826:$DO826),)</f>
        <v/>
      </c>
      <c r="BR826" s="128">
        <f>IFERROR(SUM($DP826:$DR826),)</f>
        <v/>
      </c>
      <c r="BS826" s="128">
        <f>IFERROR(SUM($DS826:$DU826),)</f>
        <v/>
      </c>
      <c r="BT826" s="128">
        <f>IFERROR(AI826*$W826,)</f>
        <v/>
      </c>
      <c r="BU826" s="128">
        <f>IFERROR(AJ826*$W826,)</f>
        <v/>
      </c>
      <c r="BV826" s="128">
        <f>IFERROR(AK826*$W826,)</f>
        <v/>
      </c>
      <c r="BW826" s="128">
        <f>IFERROR(AL826*$W826,)</f>
        <v/>
      </c>
      <c r="BX826" s="128">
        <f>IFERROR(AM826*$W826,)</f>
        <v/>
      </c>
      <c r="BY826" s="128">
        <f>IFERROR(AN826*$W826,)</f>
        <v/>
      </c>
      <c r="BZ826" s="128">
        <f>IFERROR(AO826*$W826,)</f>
        <v/>
      </c>
      <c r="CA826" s="128">
        <f>IFERROR(AP826*$W826,)</f>
        <v/>
      </c>
      <c r="CB826" s="128">
        <f>IFERROR(AQ826*$W826,)</f>
        <v/>
      </c>
      <c r="CC826" s="128">
        <f>IFERROR(AR826*$W826,)</f>
        <v/>
      </c>
      <c r="CD826" s="128">
        <f>IFERROR(AS826*$W826,)</f>
        <v/>
      </c>
      <c r="CE826" s="128">
        <f>IFERROR(AT826*$W826,)</f>
        <v/>
      </c>
      <c r="CF826" s="128">
        <f>IFERROR(AU826*$W826,)</f>
        <v/>
      </c>
      <c r="CG826" s="128">
        <f>IFERROR(AV826*$W826,)</f>
        <v/>
      </c>
      <c r="CH826" s="128">
        <f>IFERROR(AW826*$W826,)</f>
        <v/>
      </c>
      <c r="CI826" s="128">
        <f>IFERROR(AX826*$W826,)</f>
        <v/>
      </c>
      <c r="CJ826" s="128">
        <f>IFERROR(AY826*$W826,)</f>
        <v/>
      </c>
      <c r="CK826" s="128">
        <f>IFERROR(AZ826*$W826,)</f>
        <v/>
      </c>
      <c r="CL826" s="129">
        <f>IFERROR(if($Y826=0,BA826*($W826/1.2),BA826*$Y826),"")</f>
        <v/>
      </c>
      <c r="CM826" s="129">
        <f>IFERROR(if($Y826=0,BB826*($W826/1.2),BB826*$Y826),"")</f>
        <v/>
      </c>
      <c r="CN826" s="129">
        <f>IFERROR(if($Y826=0,BC826*($W826/1.2),BC826*$Y826),"")</f>
        <v/>
      </c>
      <c r="CO826" s="130">
        <f>IFERROR(if($AA826=0,($W826/1.35)*BD826,BD826*$AA826),)</f>
        <v/>
      </c>
      <c r="CP826" s="130">
        <f>IFERROR(if($AA826=0,($W826/1.35)*BE826,BE826*$AA826),)</f>
        <v/>
      </c>
      <c r="CQ826" s="130">
        <f>IFERROR(if($AA826=0,($W826/1.35)*BF826,BF826*$AA826),)</f>
        <v/>
      </c>
      <c r="CR826" s="128">
        <f>IFERROR(if($AC826=0,($W826/0.74)*BG826,
BG826*$AC826),)</f>
        <v/>
      </c>
      <c r="CS826" s="128">
        <f>IFERROR(if($AC826=0,($W826/0.74)*BH826,
BH826*$AC826),)</f>
        <v/>
      </c>
      <c r="CT826" s="128">
        <f>IFERROR(if($AC826=0,($W826/0.74)*BI826,
BI826*$AC826),)</f>
        <v/>
      </c>
      <c r="CU826" s="128">
        <f>IFERROR(AI826*$V826,)</f>
        <v/>
      </c>
      <c r="CV826" s="128">
        <f>IFERROR(AJ826*$V826,)</f>
        <v/>
      </c>
      <c r="CW826" s="128">
        <f>IFERROR(AK826*$V826,)</f>
        <v/>
      </c>
      <c r="CX826" s="128">
        <f>IFERROR(AL826*$V826,)</f>
        <v/>
      </c>
      <c r="CY826" s="128">
        <f>IFERROR(AM826*$V826,)</f>
        <v/>
      </c>
      <c r="CZ826" s="128">
        <f>IFERROR(AN826*$V826,)</f>
        <v/>
      </c>
      <c r="DA826" s="128">
        <f>IFERROR(AO826*$V826,)</f>
        <v/>
      </c>
      <c r="DB826" s="128">
        <f>IFERROR(AP826*$V826,)</f>
        <v/>
      </c>
      <c r="DC826" s="128">
        <f>IFERROR(AQ826*$V826,)</f>
        <v/>
      </c>
      <c r="DD826" s="128">
        <f>IFERROR(AR826*$V826,)</f>
        <v/>
      </c>
      <c r="DE826" s="128">
        <f>IFERROR(AS826*$V826,)</f>
        <v/>
      </c>
      <c r="DF826" s="128">
        <f>IFERROR(AT826*$V826,)</f>
        <v/>
      </c>
      <c r="DG826" s="128">
        <f>IFERROR(AU826*$V826,)</f>
        <v/>
      </c>
      <c r="DH826" s="128">
        <f>IFERROR(AV826*$V826,)</f>
        <v/>
      </c>
      <c r="DI826" s="128">
        <f>IFERROR(AW826*$V826,)</f>
        <v/>
      </c>
      <c r="DJ826" s="128">
        <f>IFERROR(AX826*$V826,)</f>
        <v/>
      </c>
      <c r="DK826" s="128">
        <f>IFERROR(AY826*$V826,)</f>
        <v/>
      </c>
      <c r="DL826" s="128">
        <f>IFERROR(AZ826*$V826,)</f>
        <v/>
      </c>
      <c r="DM826" s="129">
        <f>IFERROR(if($X826=0,($V826/1.2)*BA826,
BA826*$X826),)</f>
        <v/>
      </c>
      <c r="DN826" s="129">
        <f>IFERROR(if($X826=0,($V826/1.2)*BB826,
BB826*$X826),)</f>
        <v/>
      </c>
      <c r="DO826" s="129">
        <f>IFERROR(if($X826=0,($V826/1.2)*BC826,
BC826*$X826),)</f>
        <v/>
      </c>
      <c r="DP826" s="130">
        <f>IFERROR(if($Z826=0,($V826/1.35)*BD826,
BD826*$Z826),)</f>
        <v/>
      </c>
      <c r="DQ826" s="130">
        <f>IFERROR(if($Z826=0,($V826/1.35)*BE826,
BE826*$Z826),)</f>
        <v/>
      </c>
      <c r="DR826" s="130">
        <f>IFERROR(if($Z826=0,($V826/1.35)*BF826,
BF826*$Z826),)</f>
        <v/>
      </c>
      <c r="DS826" s="128">
        <f>IFERROR(IF($AB826=0,($V826/0.74)*BG826,
BG826*$AB826),)</f>
        <v/>
      </c>
      <c r="DT826" s="128">
        <f>IFERROR(IF($AB826=0,($V826/0.74)*BH826,
BH826*$AB826),)</f>
        <v/>
      </c>
      <c r="DU826" s="128">
        <f>IFERROR(IF($AB826=0,($V826/0.74)*BI826,
BI826*$AB826),)</f>
        <v/>
      </c>
    </row>
    <row r="827" ht="131.25" customHeight="1" s="162">
      <c r="A827" s="115" t="n"/>
      <c r="B827" s="115" t="n"/>
      <c r="C827" s="115" t="n"/>
      <c r="D827" s="115" t="n"/>
      <c r="E827" s="115" t="n"/>
      <c r="F827" s="115" t="n"/>
      <c r="G827" s="115" t="n"/>
      <c r="H827" s="115" t="n"/>
      <c r="I827" s="115" t="n"/>
      <c r="J827" s="115" t="n"/>
      <c r="K827" s="115" t="n"/>
      <c r="L827" s="115" t="n"/>
      <c r="M827" s="115" t="n"/>
      <c r="N827" s="115" t="n"/>
      <c r="O827" s="115" t="n"/>
      <c r="P827" s="115" t="n"/>
      <c r="Q827" s="115" t="n"/>
      <c r="R827" s="115" t="n"/>
      <c r="S827" s="115" t="n"/>
      <c r="T827" s="115" t="n"/>
      <c r="U827" s="116" t="n"/>
      <c r="V827" s="116" t="n"/>
      <c r="W827" s="117" t="n"/>
      <c r="X827" s="118" t="n"/>
      <c r="Y827" s="119" t="n"/>
      <c r="Z827" s="120" t="n"/>
      <c r="AA827" s="121" t="n"/>
      <c r="AB827" s="122" t="n"/>
      <c r="AC827" s="117" t="n"/>
      <c r="AD827" s="123">
        <f>IF(SUM($AE827:$AH827)=0,"",SUM($AE827:$AH827))</f>
        <v/>
      </c>
      <c r="AE827" s="123">
        <f>iferror(IF(SUM($AI827:$AZ827)=0,"",SUM($AI827:$AZ827)),"")</f>
        <v/>
      </c>
      <c r="AF827" s="123">
        <f>iferror(IF(SUM($BA827:$BC827)=0,"",SUM($BA827:$BC827)),"")</f>
        <v/>
      </c>
      <c r="AG827" s="123">
        <f>iferror(IF(SUM($BD827:$BF827)=0,"",SUM($BD827:$BF827)),"")</f>
        <v/>
      </c>
      <c r="AH827" s="124">
        <f>iferror(IF(SUM($BG827:$BI827)=0,"",SUM($BG827:$BI827)),"")</f>
        <v/>
      </c>
      <c r="AI827" s="131" t="n"/>
      <c r="AJ827" s="132" t="n"/>
      <c r="AK827" s="132" t="n"/>
      <c r="AL827" s="132" t="n"/>
      <c r="AM827" s="132" t="n"/>
      <c r="AN827" s="132" t="n"/>
      <c r="AO827" s="132" t="n"/>
      <c r="AP827" s="132" t="n"/>
      <c r="AQ827" s="132" t="n"/>
      <c r="AR827" s="132" t="n"/>
      <c r="AS827" s="132" t="n"/>
      <c r="AT827" s="132" t="n"/>
      <c r="AU827" s="132" t="n"/>
      <c r="AV827" s="132" t="n"/>
      <c r="AW827" s="132" t="n"/>
      <c r="AX827" s="132" t="n"/>
      <c r="AY827" s="132" t="n"/>
      <c r="AZ827" s="133" t="n"/>
      <c r="BA827" s="131" t="n"/>
      <c r="BB827" s="132" t="n"/>
      <c r="BC827" s="133" t="n"/>
      <c r="BD827" s="131" t="n"/>
      <c r="BE827" s="132" t="n"/>
      <c r="BF827" s="133" t="n"/>
      <c r="BG827" s="131" t="n"/>
      <c r="BH827" s="132" t="n"/>
      <c r="BI827" s="132" t="n"/>
      <c r="BJ827" s="128">
        <f>iferror(SUM($BK827,($BL827*1.2),($BM827*1.35),($BN827*0.74)),)</f>
        <v/>
      </c>
      <c r="BK827" s="128">
        <f>IFERROR(SUM($BT827:$CK827),)</f>
        <v/>
      </c>
      <c r="BL827" s="129">
        <f>IFERROR(SUM($CL827:$CN827),)</f>
        <v/>
      </c>
      <c r="BM827" s="130">
        <f>IFERROR(SUM($CO827:$CQ827),)</f>
        <v/>
      </c>
      <c r="BN827" s="128">
        <f>IFERROR(SUM($CR827:$CT827),)</f>
        <v/>
      </c>
      <c r="BO827" s="128">
        <f>iferror(SUM($BP827,($BQ827*1.2),($BR827*1.35),($BS827*0.74)),)</f>
        <v/>
      </c>
      <c r="BP827" s="128">
        <f>IFERROR(SUM($CU827:$DL827),)</f>
        <v/>
      </c>
      <c r="BQ827" s="128">
        <f>IFERROR(SUM($DM827:$DO827),)</f>
        <v/>
      </c>
      <c r="BR827" s="128">
        <f>IFERROR(SUM($DP827:$DR827),)</f>
        <v/>
      </c>
      <c r="BS827" s="128">
        <f>IFERROR(SUM($DS827:$DU827),)</f>
        <v/>
      </c>
      <c r="BT827" s="128">
        <f>IFERROR(AI827*$W827,)</f>
        <v/>
      </c>
      <c r="BU827" s="128">
        <f>IFERROR(AJ827*$W827,)</f>
        <v/>
      </c>
      <c r="BV827" s="128">
        <f>IFERROR(AK827*$W827,)</f>
        <v/>
      </c>
      <c r="BW827" s="128">
        <f>IFERROR(AL827*$W827,)</f>
        <v/>
      </c>
      <c r="BX827" s="128">
        <f>IFERROR(AM827*$W827,)</f>
        <v/>
      </c>
      <c r="BY827" s="128">
        <f>IFERROR(AN827*$W827,)</f>
        <v/>
      </c>
      <c r="BZ827" s="128">
        <f>IFERROR(AO827*$W827,)</f>
        <v/>
      </c>
      <c r="CA827" s="128">
        <f>IFERROR(AP827*$W827,)</f>
        <v/>
      </c>
      <c r="CB827" s="128">
        <f>IFERROR(AQ827*$W827,)</f>
        <v/>
      </c>
      <c r="CC827" s="128">
        <f>IFERROR(AR827*$W827,)</f>
        <v/>
      </c>
      <c r="CD827" s="128">
        <f>IFERROR(AS827*$W827,)</f>
        <v/>
      </c>
      <c r="CE827" s="128">
        <f>IFERROR(AT827*$W827,)</f>
        <v/>
      </c>
      <c r="CF827" s="128">
        <f>IFERROR(AU827*$W827,)</f>
        <v/>
      </c>
      <c r="CG827" s="128">
        <f>IFERROR(AV827*$W827,)</f>
        <v/>
      </c>
      <c r="CH827" s="128">
        <f>IFERROR(AW827*$W827,)</f>
        <v/>
      </c>
      <c r="CI827" s="128">
        <f>IFERROR(AX827*$W827,)</f>
        <v/>
      </c>
      <c r="CJ827" s="128">
        <f>IFERROR(AY827*$W827,)</f>
        <v/>
      </c>
      <c r="CK827" s="128">
        <f>IFERROR(AZ827*$W827,)</f>
        <v/>
      </c>
      <c r="CL827" s="129">
        <f>IFERROR(if($Y827=0,BA827*($W827/1.2),BA827*$Y827),"")</f>
        <v/>
      </c>
      <c r="CM827" s="129">
        <f>IFERROR(if($Y827=0,BB827*($W827/1.2),BB827*$Y827),"")</f>
        <v/>
      </c>
      <c r="CN827" s="129">
        <f>IFERROR(if($Y827=0,BC827*($W827/1.2),BC827*$Y827),"")</f>
        <v/>
      </c>
      <c r="CO827" s="130">
        <f>IFERROR(if($AA827=0,($W827/1.35)*BD827,BD827*$AA827),)</f>
        <v/>
      </c>
      <c r="CP827" s="130">
        <f>IFERROR(if($AA827=0,($W827/1.35)*BE827,BE827*$AA827),)</f>
        <v/>
      </c>
      <c r="CQ827" s="130">
        <f>IFERROR(if($AA827=0,($W827/1.35)*BF827,BF827*$AA827),)</f>
        <v/>
      </c>
      <c r="CR827" s="128">
        <f>IFERROR(if($AC827=0,($W827/0.74)*BG827,
BG827*$AC827),)</f>
        <v/>
      </c>
      <c r="CS827" s="128">
        <f>IFERROR(if($AC827=0,($W827/0.74)*BH827,
BH827*$AC827),)</f>
        <v/>
      </c>
      <c r="CT827" s="128">
        <f>IFERROR(if($AC827=0,($W827/0.74)*BI827,
BI827*$AC827),)</f>
        <v/>
      </c>
      <c r="CU827" s="128">
        <f>IFERROR(AI827*$V827,)</f>
        <v/>
      </c>
      <c r="CV827" s="128">
        <f>IFERROR(AJ827*$V827,)</f>
        <v/>
      </c>
      <c r="CW827" s="128">
        <f>IFERROR(AK827*$V827,)</f>
        <v/>
      </c>
      <c r="CX827" s="128">
        <f>IFERROR(AL827*$V827,)</f>
        <v/>
      </c>
      <c r="CY827" s="128">
        <f>IFERROR(AM827*$V827,)</f>
        <v/>
      </c>
      <c r="CZ827" s="128">
        <f>IFERROR(AN827*$V827,)</f>
        <v/>
      </c>
      <c r="DA827" s="128">
        <f>IFERROR(AO827*$V827,)</f>
        <v/>
      </c>
      <c r="DB827" s="128">
        <f>IFERROR(AP827*$V827,)</f>
        <v/>
      </c>
      <c r="DC827" s="128">
        <f>IFERROR(AQ827*$V827,)</f>
        <v/>
      </c>
      <c r="DD827" s="128">
        <f>IFERROR(AR827*$V827,)</f>
        <v/>
      </c>
      <c r="DE827" s="128">
        <f>IFERROR(AS827*$V827,)</f>
        <v/>
      </c>
      <c r="DF827" s="128">
        <f>IFERROR(AT827*$V827,)</f>
        <v/>
      </c>
      <c r="DG827" s="128">
        <f>IFERROR(AU827*$V827,)</f>
        <v/>
      </c>
      <c r="DH827" s="128">
        <f>IFERROR(AV827*$V827,)</f>
        <v/>
      </c>
      <c r="DI827" s="128">
        <f>IFERROR(AW827*$V827,)</f>
        <v/>
      </c>
      <c r="DJ827" s="128">
        <f>IFERROR(AX827*$V827,)</f>
        <v/>
      </c>
      <c r="DK827" s="128">
        <f>IFERROR(AY827*$V827,)</f>
        <v/>
      </c>
      <c r="DL827" s="128">
        <f>IFERROR(AZ827*$V827,)</f>
        <v/>
      </c>
      <c r="DM827" s="129">
        <f>IFERROR(if($X827=0,($V827/1.2)*BA827,
BA827*$X827),)</f>
        <v/>
      </c>
      <c r="DN827" s="129">
        <f>IFERROR(if($X827=0,($V827/1.2)*BB827,
BB827*$X827),)</f>
        <v/>
      </c>
      <c r="DO827" s="129">
        <f>IFERROR(if($X827=0,($V827/1.2)*BC827,
BC827*$X827),)</f>
        <v/>
      </c>
      <c r="DP827" s="130">
        <f>IFERROR(if($Z827=0,($V827/1.35)*BD827,
BD827*$Z827),)</f>
        <v/>
      </c>
      <c r="DQ827" s="130">
        <f>IFERROR(if($Z827=0,($V827/1.35)*BE827,
BE827*$Z827),)</f>
        <v/>
      </c>
      <c r="DR827" s="130">
        <f>IFERROR(if($Z827=0,($V827/1.35)*BF827,
BF827*$Z827),)</f>
        <v/>
      </c>
      <c r="DS827" s="128">
        <f>IFERROR(IF($AB827=0,($V827/0.74)*BG827,
BG827*$AB827),)</f>
        <v/>
      </c>
      <c r="DT827" s="128">
        <f>IFERROR(IF($AB827=0,($V827/0.74)*BH827,
BH827*$AB827),)</f>
        <v/>
      </c>
      <c r="DU827" s="128">
        <f>IFERROR(IF($AB827=0,($V827/0.74)*BI827,
BI827*$AB827),)</f>
        <v/>
      </c>
    </row>
    <row r="828" ht="131.25" customHeight="1" s="162">
      <c r="A828" s="115" t="n"/>
      <c r="B828" s="115" t="n"/>
      <c r="C828" s="115" t="n"/>
      <c r="D828" s="115" t="n"/>
      <c r="E828" s="115" t="n"/>
      <c r="F828" s="115" t="n"/>
      <c r="G828" s="115" t="n"/>
      <c r="H828" s="115" t="n"/>
      <c r="I828" s="115" t="n"/>
      <c r="J828" s="115" t="n"/>
      <c r="K828" s="115" t="n"/>
      <c r="L828" s="115" t="n"/>
      <c r="M828" s="115" t="n"/>
      <c r="N828" s="115" t="n"/>
      <c r="O828" s="115" t="n"/>
      <c r="P828" s="115" t="n"/>
      <c r="Q828" s="115" t="n"/>
      <c r="R828" s="115" t="n"/>
      <c r="S828" s="115" t="n"/>
      <c r="T828" s="115" t="n"/>
      <c r="U828" s="116" t="n"/>
      <c r="V828" s="116" t="n"/>
      <c r="W828" s="117" t="n"/>
      <c r="X828" s="118" t="n"/>
      <c r="Y828" s="119" t="n"/>
      <c r="Z828" s="120" t="n"/>
      <c r="AA828" s="121" t="n"/>
      <c r="AB828" s="122" t="n"/>
      <c r="AC828" s="117" t="n"/>
      <c r="AD828" s="123">
        <f>IF(SUM($AE828:$AH828)=0,"",SUM($AE828:$AH828))</f>
        <v/>
      </c>
      <c r="AE828" s="123">
        <f>iferror(IF(SUM($AI828:$AZ828)=0,"",SUM($AI828:$AZ828)),"")</f>
        <v/>
      </c>
      <c r="AF828" s="123">
        <f>iferror(IF(SUM($BA828:$BC828)=0,"",SUM($BA828:$BC828)),"")</f>
        <v/>
      </c>
      <c r="AG828" s="123">
        <f>iferror(IF(SUM($BD828:$BF828)=0,"",SUM($BD828:$BF828)),"")</f>
        <v/>
      </c>
      <c r="AH828" s="124">
        <f>iferror(IF(SUM($BG828:$BI828)=0,"",SUM($BG828:$BI828)),"")</f>
        <v/>
      </c>
      <c r="AI828" s="131" t="n"/>
      <c r="AJ828" s="132" t="n"/>
      <c r="AK828" s="132" t="n"/>
      <c r="AL828" s="132" t="n"/>
      <c r="AM828" s="132" t="n"/>
      <c r="AN828" s="132" t="n"/>
      <c r="AO828" s="132" t="n"/>
      <c r="AP828" s="132" t="n"/>
      <c r="AQ828" s="132" t="n"/>
      <c r="AR828" s="132" t="n"/>
      <c r="AS828" s="132" t="n"/>
      <c r="AT828" s="132" t="n"/>
      <c r="AU828" s="132" t="n"/>
      <c r="AV828" s="132" t="n"/>
      <c r="AW828" s="132" t="n"/>
      <c r="AX828" s="132" t="n"/>
      <c r="AY828" s="132" t="n"/>
      <c r="AZ828" s="133" t="n"/>
      <c r="BA828" s="131" t="n"/>
      <c r="BB828" s="132" t="n"/>
      <c r="BC828" s="133" t="n"/>
      <c r="BD828" s="131" t="n"/>
      <c r="BE828" s="132" t="n"/>
      <c r="BF828" s="133" t="n"/>
      <c r="BG828" s="131" t="n"/>
      <c r="BH828" s="132" t="n"/>
      <c r="BI828" s="132" t="n"/>
      <c r="BJ828" s="128">
        <f>iferror(SUM($BK828,($BL828*1.2),($BM828*1.35),($BN828*0.74)),)</f>
        <v/>
      </c>
      <c r="BK828" s="128">
        <f>IFERROR(SUM($BT828:$CK828),)</f>
        <v/>
      </c>
      <c r="BL828" s="129">
        <f>IFERROR(SUM($CL828:$CN828),)</f>
        <v/>
      </c>
      <c r="BM828" s="130">
        <f>IFERROR(SUM($CO828:$CQ828),)</f>
        <v/>
      </c>
      <c r="BN828" s="128">
        <f>IFERROR(SUM($CR828:$CT828),)</f>
        <v/>
      </c>
      <c r="BO828" s="128">
        <f>iferror(SUM($BP828,($BQ828*1.2),($BR828*1.35),($BS828*0.74)),)</f>
        <v/>
      </c>
      <c r="BP828" s="128">
        <f>IFERROR(SUM($CU828:$DL828),)</f>
        <v/>
      </c>
      <c r="BQ828" s="128">
        <f>IFERROR(SUM($DM828:$DO828),)</f>
        <v/>
      </c>
      <c r="BR828" s="128">
        <f>IFERROR(SUM($DP828:$DR828),)</f>
        <v/>
      </c>
      <c r="BS828" s="128">
        <f>IFERROR(SUM($DS828:$DU828),)</f>
        <v/>
      </c>
      <c r="BT828" s="128">
        <f>IFERROR(AI828*$W828,)</f>
        <v/>
      </c>
      <c r="BU828" s="128">
        <f>IFERROR(AJ828*$W828,)</f>
        <v/>
      </c>
      <c r="BV828" s="128">
        <f>IFERROR(AK828*$W828,)</f>
        <v/>
      </c>
      <c r="BW828" s="128">
        <f>IFERROR(AL828*$W828,)</f>
        <v/>
      </c>
      <c r="BX828" s="128">
        <f>IFERROR(AM828*$W828,)</f>
        <v/>
      </c>
      <c r="BY828" s="128">
        <f>IFERROR(AN828*$W828,)</f>
        <v/>
      </c>
      <c r="BZ828" s="128">
        <f>IFERROR(AO828*$W828,)</f>
        <v/>
      </c>
      <c r="CA828" s="128">
        <f>IFERROR(AP828*$W828,)</f>
        <v/>
      </c>
      <c r="CB828" s="128">
        <f>IFERROR(AQ828*$W828,)</f>
        <v/>
      </c>
      <c r="CC828" s="128">
        <f>IFERROR(AR828*$W828,)</f>
        <v/>
      </c>
      <c r="CD828" s="128">
        <f>IFERROR(AS828*$W828,)</f>
        <v/>
      </c>
      <c r="CE828" s="128">
        <f>IFERROR(AT828*$W828,)</f>
        <v/>
      </c>
      <c r="CF828" s="128">
        <f>IFERROR(AU828*$W828,)</f>
        <v/>
      </c>
      <c r="CG828" s="128">
        <f>IFERROR(AV828*$W828,)</f>
        <v/>
      </c>
      <c r="CH828" s="128">
        <f>IFERROR(AW828*$W828,)</f>
        <v/>
      </c>
      <c r="CI828" s="128">
        <f>IFERROR(AX828*$W828,)</f>
        <v/>
      </c>
      <c r="CJ828" s="128">
        <f>IFERROR(AY828*$W828,)</f>
        <v/>
      </c>
      <c r="CK828" s="128">
        <f>IFERROR(AZ828*$W828,)</f>
        <v/>
      </c>
      <c r="CL828" s="129">
        <f>IFERROR(if($Y828=0,BA828*($W828/1.2),BA828*$Y828),"")</f>
        <v/>
      </c>
      <c r="CM828" s="129">
        <f>IFERROR(if($Y828=0,BB828*($W828/1.2),BB828*$Y828),"")</f>
        <v/>
      </c>
      <c r="CN828" s="129">
        <f>IFERROR(if($Y828=0,BC828*($W828/1.2),BC828*$Y828),"")</f>
        <v/>
      </c>
      <c r="CO828" s="130">
        <f>IFERROR(if($AA828=0,($W828/1.35)*BD828,BD828*$AA828),)</f>
        <v/>
      </c>
      <c r="CP828" s="130">
        <f>IFERROR(if($AA828=0,($W828/1.35)*BE828,BE828*$AA828),)</f>
        <v/>
      </c>
      <c r="CQ828" s="130">
        <f>IFERROR(if($AA828=0,($W828/1.35)*BF828,BF828*$AA828),)</f>
        <v/>
      </c>
      <c r="CR828" s="128">
        <f>IFERROR(if($AC828=0,($W828/0.74)*BG828,
BG828*$AC828),)</f>
        <v/>
      </c>
      <c r="CS828" s="128">
        <f>IFERROR(if($AC828=0,($W828/0.74)*BH828,
BH828*$AC828),)</f>
        <v/>
      </c>
      <c r="CT828" s="128">
        <f>IFERROR(if($AC828=0,($W828/0.74)*BI828,
BI828*$AC828),)</f>
        <v/>
      </c>
      <c r="CU828" s="128">
        <f>IFERROR(AI828*$V828,)</f>
        <v/>
      </c>
      <c r="CV828" s="128">
        <f>IFERROR(AJ828*$V828,)</f>
        <v/>
      </c>
      <c r="CW828" s="128">
        <f>IFERROR(AK828*$V828,)</f>
        <v/>
      </c>
      <c r="CX828" s="128">
        <f>IFERROR(AL828*$V828,)</f>
        <v/>
      </c>
      <c r="CY828" s="128">
        <f>IFERROR(AM828*$V828,)</f>
        <v/>
      </c>
      <c r="CZ828" s="128">
        <f>IFERROR(AN828*$V828,)</f>
        <v/>
      </c>
      <c r="DA828" s="128">
        <f>IFERROR(AO828*$V828,)</f>
        <v/>
      </c>
      <c r="DB828" s="128">
        <f>IFERROR(AP828*$V828,)</f>
        <v/>
      </c>
      <c r="DC828" s="128">
        <f>IFERROR(AQ828*$V828,)</f>
        <v/>
      </c>
      <c r="DD828" s="128">
        <f>IFERROR(AR828*$V828,)</f>
        <v/>
      </c>
      <c r="DE828" s="128">
        <f>IFERROR(AS828*$V828,)</f>
        <v/>
      </c>
      <c r="DF828" s="128">
        <f>IFERROR(AT828*$V828,)</f>
        <v/>
      </c>
      <c r="DG828" s="128">
        <f>IFERROR(AU828*$V828,)</f>
        <v/>
      </c>
      <c r="DH828" s="128">
        <f>IFERROR(AV828*$V828,)</f>
        <v/>
      </c>
      <c r="DI828" s="128">
        <f>IFERROR(AW828*$V828,)</f>
        <v/>
      </c>
      <c r="DJ828" s="128">
        <f>IFERROR(AX828*$V828,)</f>
        <v/>
      </c>
      <c r="DK828" s="128">
        <f>IFERROR(AY828*$V828,)</f>
        <v/>
      </c>
      <c r="DL828" s="128">
        <f>IFERROR(AZ828*$V828,)</f>
        <v/>
      </c>
      <c r="DM828" s="129">
        <f>IFERROR(if($X828=0,($V828/1.2)*BA828,
BA828*$X828),)</f>
        <v/>
      </c>
      <c r="DN828" s="129">
        <f>IFERROR(if($X828=0,($V828/1.2)*BB828,
BB828*$X828),)</f>
        <v/>
      </c>
      <c r="DO828" s="129">
        <f>IFERROR(if($X828=0,($V828/1.2)*BC828,
BC828*$X828),)</f>
        <v/>
      </c>
      <c r="DP828" s="130">
        <f>IFERROR(if($Z828=0,($V828/1.35)*BD828,
BD828*$Z828),)</f>
        <v/>
      </c>
      <c r="DQ828" s="130">
        <f>IFERROR(if($Z828=0,($V828/1.35)*BE828,
BE828*$Z828),)</f>
        <v/>
      </c>
      <c r="DR828" s="130">
        <f>IFERROR(if($Z828=0,($V828/1.35)*BF828,
BF828*$Z828),)</f>
        <v/>
      </c>
      <c r="DS828" s="128">
        <f>IFERROR(IF($AB828=0,($V828/0.74)*BG828,
BG828*$AB828),)</f>
        <v/>
      </c>
      <c r="DT828" s="128">
        <f>IFERROR(IF($AB828=0,($V828/0.74)*BH828,
BH828*$AB828),)</f>
        <v/>
      </c>
      <c r="DU828" s="128">
        <f>IFERROR(IF($AB828=0,($V828/0.74)*BI828,
BI828*$AB828),)</f>
        <v/>
      </c>
    </row>
    <row r="829" ht="131.25" customHeight="1" s="162">
      <c r="A829" s="115" t="n"/>
      <c r="B829" s="115" t="n"/>
      <c r="C829" s="115" t="n"/>
      <c r="D829" s="115" t="n"/>
      <c r="E829" s="115" t="n"/>
      <c r="F829" s="115" t="n"/>
      <c r="G829" s="115" t="n"/>
      <c r="H829" s="115" t="n"/>
      <c r="I829" s="115" t="n"/>
      <c r="J829" s="115" t="n"/>
      <c r="K829" s="115" t="n"/>
      <c r="L829" s="115" t="n"/>
      <c r="M829" s="115" t="n"/>
      <c r="N829" s="115" t="n"/>
      <c r="O829" s="115" t="n"/>
      <c r="P829" s="115" t="n"/>
      <c r="Q829" s="115" t="n"/>
      <c r="R829" s="115" t="n"/>
      <c r="S829" s="115" t="n"/>
      <c r="T829" s="115" t="n"/>
      <c r="U829" s="116" t="n"/>
      <c r="V829" s="116" t="n"/>
      <c r="W829" s="117" t="n"/>
      <c r="X829" s="118" t="n"/>
      <c r="Y829" s="119" t="n"/>
      <c r="Z829" s="120" t="n"/>
      <c r="AA829" s="121" t="n"/>
      <c r="AB829" s="122" t="n"/>
      <c r="AC829" s="117" t="n"/>
      <c r="AD829" s="123">
        <f>IF(SUM($AE829:$AH829)=0,"",SUM($AE829:$AH829))</f>
        <v/>
      </c>
      <c r="AE829" s="123">
        <f>iferror(IF(SUM($AI829:$AZ829)=0,"",SUM($AI829:$AZ829)),"")</f>
        <v/>
      </c>
      <c r="AF829" s="123">
        <f>iferror(IF(SUM($BA829:$BC829)=0,"",SUM($BA829:$BC829)),"")</f>
        <v/>
      </c>
      <c r="AG829" s="123">
        <f>iferror(IF(SUM($BD829:$BF829)=0,"",SUM($BD829:$BF829)),"")</f>
        <v/>
      </c>
      <c r="AH829" s="124">
        <f>iferror(IF(SUM($BG829:$BI829)=0,"",SUM($BG829:$BI829)),"")</f>
        <v/>
      </c>
      <c r="AI829" s="131" t="n"/>
      <c r="AJ829" s="132" t="n"/>
      <c r="AK829" s="132" t="n"/>
      <c r="AL829" s="132" t="n"/>
      <c r="AM829" s="132" t="n"/>
      <c r="AN829" s="132" t="n"/>
      <c r="AO829" s="132" t="n"/>
      <c r="AP829" s="132" t="n"/>
      <c r="AQ829" s="132" t="n"/>
      <c r="AR829" s="132" t="n"/>
      <c r="AS829" s="132" t="n"/>
      <c r="AT829" s="132" t="n"/>
      <c r="AU829" s="132" t="n"/>
      <c r="AV829" s="132" t="n"/>
      <c r="AW829" s="132" t="n"/>
      <c r="AX829" s="132" t="n"/>
      <c r="AY829" s="132" t="n"/>
      <c r="AZ829" s="133" t="n"/>
      <c r="BA829" s="131" t="n"/>
      <c r="BB829" s="132" t="n"/>
      <c r="BC829" s="133" t="n"/>
      <c r="BD829" s="131" t="n"/>
      <c r="BE829" s="132" t="n"/>
      <c r="BF829" s="133" t="n"/>
      <c r="BG829" s="131" t="n"/>
      <c r="BH829" s="132" t="n"/>
      <c r="BI829" s="132" t="n"/>
      <c r="BJ829" s="128">
        <f>iferror(SUM($BK829,($BL829*1.2),($BM829*1.35),($BN829*0.74)),)</f>
        <v/>
      </c>
      <c r="BK829" s="128">
        <f>IFERROR(SUM($BT829:$CK829),)</f>
        <v/>
      </c>
      <c r="BL829" s="129">
        <f>IFERROR(SUM($CL829:$CN829),)</f>
        <v/>
      </c>
      <c r="BM829" s="130">
        <f>IFERROR(SUM($CO829:$CQ829),)</f>
        <v/>
      </c>
      <c r="BN829" s="128">
        <f>IFERROR(SUM($CR829:$CT829),)</f>
        <v/>
      </c>
      <c r="BO829" s="128">
        <f>iferror(SUM($BP829,($BQ829*1.2),($BR829*1.35),($BS829*0.74)),)</f>
        <v/>
      </c>
      <c r="BP829" s="128">
        <f>IFERROR(SUM($CU829:$DL829),)</f>
        <v/>
      </c>
      <c r="BQ829" s="128">
        <f>IFERROR(SUM($DM829:$DO829),)</f>
        <v/>
      </c>
      <c r="BR829" s="128">
        <f>IFERROR(SUM($DP829:$DR829),)</f>
        <v/>
      </c>
      <c r="BS829" s="128">
        <f>IFERROR(SUM($DS829:$DU829),)</f>
        <v/>
      </c>
      <c r="BT829" s="128">
        <f>IFERROR(AI829*$W829,)</f>
        <v/>
      </c>
      <c r="BU829" s="128">
        <f>IFERROR(AJ829*$W829,)</f>
        <v/>
      </c>
      <c r="BV829" s="128">
        <f>IFERROR(AK829*$W829,)</f>
        <v/>
      </c>
      <c r="BW829" s="128">
        <f>IFERROR(AL829*$W829,)</f>
        <v/>
      </c>
      <c r="BX829" s="128">
        <f>IFERROR(AM829*$W829,)</f>
        <v/>
      </c>
      <c r="BY829" s="128">
        <f>IFERROR(AN829*$W829,)</f>
        <v/>
      </c>
      <c r="BZ829" s="128">
        <f>IFERROR(AO829*$W829,)</f>
        <v/>
      </c>
      <c r="CA829" s="128">
        <f>IFERROR(AP829*$W829,)</f>
        <v/>
      </c>
      <c r="CB829" s="128">
        <f>IFERROR(AQ829*$W829,)</f>
        <v/>
      </c>
      <c r="CC829" s="128">
        <f>IFERROR(AR829*$W829,)</f>
        <v/>
      </c>
      <c r="CD829" s="128">
        <f>IFERROR(AS829*$W829,)</f>
        <v/>
      </c>
      <c r="CE829" s="128">
        <f>IFERROR(AT829*$W829,)</f>
        <v/>
      </c>
      <c r="CF829" s="128">
        <f>IFERROR(AU829*$W829,)</f>
        <v/>
      </c>
      <c r="CG829" s="128">
        <f>IFERROR(AV829*$W829,)</f>
        <v/>
      </c>
      <c r="CH829" s="128">
        <f>IFERROR(AW829*$W829,)</f>
        <v/>
      </c>
      <c r="CI829" s="128">
        <f>IFERROR(AX829*$W829,)</f>
        <v/>
      </c>
      <c r="CJ829" s="128">
        <f>IFERROR(AY829*$W829,)</f>
        <v/>
      </c>
      <c r="CK829" s="128">
        <f>IFERROR(AZ829*$W829,)</f>
        <v/>
      </c>
      <c r="CL829" s="129">
        <f>IFERROR(if($Y829=0,BA829*($W829/1.2),BA829*$Y829),"")</f>
        <v/>
      </c>
      <c r="CM829" s="129">
        <f>IFERROR(if($Y829=0,BB829*($W829/1.2),BB829*$Y829),"")</f>
        <v/>
      </c>
      <c r="CN829" s="129">
        <f>IFERROR(if($Y829=0,BC829*($W829/1.2),BC829*$Y829),"")</f>
        <v/>
      </c>
      <c r="CO829" s="130">
        <f>IFERROR(if($AA829=0,($W829/1.35)*BD829,BD829*$AA829),)</f>
        <v/>
      </c>
      <c r="CP829" s="130">
        <f>IFERROR(if($AA829=0,($W829/1.35)*BE829,BE829*$AA829),)</f>
        <v/>
      </c>
      <c r="CQ829" s="130">
        <f>IFERROR(if($AA829=0,($W829/1.35)*BF829,BF829*$AA829),)</f>
        <v/>
      </c>
      <c r="CR829" s="128">
        <f>IFERROR(if($AC829=0,($W829/0.74)*BG829,
BG829*$AC829),)</f>
        <v/>
      </c>
      <c r="CS829" s="128">
        <f>IFERROR(if($AC829=0,($W829/0.74)*BH829,
BH829*$AC829),)</f>
        <v/>
      </c>
      <c r="CT829" s="128">
        <f>IFERROR(if($AC829=0,($W829/0.74)*BI829,
BI829*$AC829),)</f>
        <v/>
      </c>
      <c r="CU829" s="128">
        <f>IFERROR(AI829*$V829,)</f>
        <v/>
      </c>
      <c r="CV829" s="128">
        <f>IFERROR(AJ829*$V829,)</f>
        <v/>
      </c>
      <c r="CW829" s="128">
        <f>IFERROR(AK829*$V829,)</f>
        <v/>
      </c>
      <c r="CX829" s="128">
        <f>IFERROR(AL829*$V829,)</f>
        <v/>
      </c>
      <c r="CY829" s="128">
        <f>IFERROR(AM829*$V829,)</f>
        <v/>
      </c>
      <c r="CZ829" s="128">
        <f>IFERROR(AN829*$V829,)</f>
        <v/>
      </c>
      <c r="DA829" s="128">
        <f>IFERROR(AO829*$V829,)</f>
        <v/>
      </c>
      <c r="DB829" s="128">
        <f>IFERROR(AP829*$V829,)</f>
        <v/>
      </c>
      <c r="DC829" s="128">
        <f>IFERROR(AQ829*$V829,)</f>
        <v/>
      </c>
      <c r="DD829" s="128">
        <f>IFERROR(AR829*$V829,)</f>
        <v/>
      </c>
      <c r="DE829" s="128">
        <f>IFERROR(AS829*$V829,)</f>
        <v/>
      </c>
      <c r="DF829" s="128">
        <f>IFERROR(AT829*$V829,)</f>
        <v/>
      </c>
      <c r="DG829" s="128">
        <f>IFERROR(AU829*$V829,)</f>
        <v/>
      </c>
      <c r="DH829" s="128">
        <f>IFERROR(AV829*$V829,)</f>
        <v/>
      </c>
      <c r="DI829" s="128">
        <f>IFERROR(AW829*$V829,)</f>
        <v/>
      </c>
      <c r="DJ829" s="128">
        <f>IFERROR(AX829*$V829,)</f>
        <v/>
      </c>
      <c r="DK829" s="128">
        <f>IFERROR(AY829*$V829,)</f>
        <v/>
      </c>
      <c r="DL829" s="128">
        <f>IFERROR(AZ829*$V829,)</f>
        <v/>
      </c>
      <c r="DM829" s="129">
        <f>IFERROR(if($X829=0,($V829/1.2)*BA829,
BA829*$X829),)</f>
        <v/>
      </c>
      <c r="DN829" s="129">
        <f>IFERROR(if($X829=0,($V829/1.2)*BB829,
BB829*$X829),)</f>
        <v/>
      </c>
      <c r="DO829" s="129">
        <f>IFERROR(if($X829=0,($V829/1.2)*BC829,
BC829*$X829),)</f>
        <v/>
      </c>
      <c r="DP829" s="130">
        <f>IFERROR(if($Z829=0,($V829/1.35)*BD829,
BD829*$Z829),)</f>
        <v/>
      </c>
      <c r="DQ829" s="130">
        <f>IFERROR(if($Z829=0,($V829/1.35)*BE829,
BE829*$Z829),)</f>
        <v/>
      </c>
      <c r="DR829" s="130">
        <f>IFERROR(if($Z829=0,($V829/1.35)*BF829,
BF829*$Z829),)</f>
        <v/>
      </c>
      <c r="DS829" s="128">
        <f>IFERROR(IF($AB829=0,($V829/0.74)*BG829,
BG829*$AB829),)</f>
        <v/>
      </c>
      <c r="DT829" s="128">
        <f>IFERROR(IF($AB829=0,($V829/0.74)*BH829,
BH829*$AB829),)</f>
        <v/>
      </c>
      <c r="DU829" s="128">
        <f>IFERROR(IF($AB829=0,($V829/0.74)*BI829,
BI829*$AB829),)</f>
        <v/>
      </c>
    </row>
    <row r="830" ht="131.25" customHeight="1" s="162">
      <c r="A830" s="115" t="n"/>
      <c r="B830" s="115" t="n"/>
      <c r="C830" s="115" t="n"/>
      <c r="D830" s="115" t="n"/>
      <c r="E830" s="115" t="n"/>
      <c r="F830" s="115" t="n"/>
      <c r="G830" s="115" t="n"/>
      <c r="H830" s="115" t="n"/>
      <c r="I830" s="115" t="n"/>
      <c r="J830" s="115" t="n"/>
      <c r="K830" s="115" t="n"/>
      <c r="L830" s="115" t="n"/>
      <c r="M830" s="115" t="n"/>
      <c r="N830" s="115" t="n"/>
      <c r="O830" s="115" t="n"/>
      <c r="P830" s="115" t="n"/>
      <c r="Q830" s="115" t="n"/>
      <c r="R830" s="115" t="n"/>
      <c r="S830" s="115" t="n"/>
      <c r="T830" s="115" t="n"/>
      <c r="U830" s="116" t="n"/>
      <c r="V830" s="116" t="n"/>
      <c r="W830" s="117" t="n"/>
      <c r="X830" s="118" t="n"/>
      <c r="Y830" s="119" t="n"/>
      <c r="Z830" s="120" t="n"/>
      <c r="AA830" s="121" t="n"/>
      <c r="AB830" s="122" t="n"/>
      <c r="AC830" s="117" t="n"/>
      <c r="AD830" s="123">
        <f>IF(SUM($AE830:$AH830)=0,"",SUM($AE830:$AH830))</f>
        <v/>
      </c>
      <c r="AE830" s="123">
        <f>iferror(IF(SUM($AI830:$AZ830)=0,"",SUM($AI830:$AZ830)),"")</f>
        <v/>
      </c>
      <c r="AF830" s="123">
        <f>iferror(IF(SUM($BA830:$BC830)=0,"",SUM($BA830:$BC830)),"")</f>
        <v/>
      </c>
      <c r="AG830" s="123">
        <f>iferror(IF(SUM($BD830:$BF830)=0,"",SUM($BD830:$BF830)),"")</f>
        <v/>
      </c>
      <c r="AH830" s="124">
        <f>iferror(IF(SUM($BG830:$BI830)=0,"",SUM($BG830:$BI830)),"")</f>
        <v/>
      </c>
      <c r="AI830" s="131" t="n"/>
      <c r="AJ830" s="132" t="n"/>
      <c r="AK830" s="132" t="n"/>
      <c r="AL830" s="132" t="n"/>
      <c r="AM830" s="132" t="n"/>
      <c r="AN830" s="132" t="n"/>
      <c r="AO830" s="132" t="n"/>
      <c r="AP830" s="132" t="n"/>
      <c r="AQ830" s="132" t="n"/>
      <c r="AR830" s="132" t="n"/>
      <c r="AS830" s="132" t="n"/>
      <c r="AT830" s="132" t="n"/>
      <c r="AU830" s="132" t="n"/>
      <c r="AV830" s="132" t="n"/>
      <c r="AW830" s="132" t="n"/>
      <c r="AX830" s="132" t="n"/>
      <c r="AY830" s="132" t="n"/>
      <c r="AZ830" s="133" t="n"/>
      <c r="BA830" s="131" t="n"/>
      <c r="BB830" s="132" t="n"/>
      <c r="BC830" s="133" t="n"/>
      <c r="BD830" s="131" t="n"/>
      <c r="BE830" s="132" t="n"/>
      <c r="BF830" s="133" t="n"/>
      <c r="BG830" s="131" t="n"/>
      <c r="BH830" s="132" t="n"/>
      <c r="BI830" s="132" t="n"/>
      <c r="BJ830" s="128">
        <f>iferror(SUM($BK830,($BL830*1.2),($BM830*1.35),($BN830*0.74)),)</f>
        <v/>
      </c>
      <c r="BK830" s="128">
        <f>IFERROR(SUM($BT830:$CK830),)</f>
        <v/>
      </c>
      <c r="BL830" s="129">
        <f>IFERROR(SUM($CL830:$CN830),)</f>
        <v/>
      </c>
      <c r="BM830" s="130">
        <f>IFERROR(SUM($CO830:$CQ830),)</f>
        <v/>
      </c>
      <c r="BN830" s="128">
        <f>IFERROR(SUM($CR830:$CT830),)</f>
        <v/>
      </c>
      <c r="BO830" s="128">
        <f>iferror(SUM($BP830,($BQ830*1.2),($BR830*1.35),($BS830*0.74)),)</f>
        <v/>
      </c>
      <c r="BP830" s="128">
        <f>IFERROR(SUM($CU830:$DL830),)</f>
        <v/>
      </c>
      <c r="BQ830" s="128">
        <f>IFERROR(SUM($DM830:$DO830),)</f>
        <v/>
      </c>
      <c r="BR830" s="128">
        <f>IFERROR(SUM($DP830:$DR830),)</f>
        <v/>
      </c>
      <c r="BS830" s="128">
        <f>IFERROR(SUM($DS830:$DU830),)</f>
        <v/>
      </c>
      <c r="BT830" s="128">
        <f>IFERROR(AI830*$W830,)</f>
        <v/>
      </c>
      <c r="BU830" s="128">
        <f>IFERROR(AJ830*$W830,)</f>
        <v/>
      </c>
      <c r="BV830" s="128">
        <f>IFERROR(AK830*$W830,)</f>
        <v/>
      </c>
      <c r="BW830" s="128">
        <f>IFERROR(AL830*$W830,)</f>
        <v/>
      </c>
      <c r="BX830" s="128">
        <f>IFERROR(AM830*$W830,)</f>
        <v/>
      </c>
      <c r="BY830" s="128">
        <f>IFERROR(AN830*$W830,)</f>
        <v/>
      </c>
      <c r="BZ830" s="128">
        <f>IFERROR(AO830*$W830,)</f>
        <v/>
      </c>
      <c r="CA830" s="128">
        <f>IFERROR(AP830*$W830,)</f>
        <v/>
      </c>
      <c r="CB830" s="128">
        <f>IFERROR(AQ830*$W830,)</f>
        <v/>
      </c>
      <c r="CC830" s="128">
        <f>IFERROR(AR830*$W830,)</f>
        <v/>
      </c>
      <c r="CD830" s="128">
        <f>IFERROR(AS830*$W830,)</f>
        <v/>
      </c>
      <c r="CE830" s="128">
        <f>IFERROR(AT830*$W830,)</f>
        <v/>
      </c>
      <c r="CF830" s="128">
        <f>IFERROR(AU830*$W830,)</f>
        <v/>
      </c>
      <c r="CG830" s="128">
        <f>IFERROR(AV830*$W830,)</f>
        <v/>
      </c>
      <c r="CH830" s="128">
        <f>IFERROR(AW830*$W830,)</f>
        <v/>
      </c>
      <c r="CI830" s="128">
        <f>IFERROR(AX830*$W830,)</f>
        <v/>
      </c>
      <c r="CJ830" s="128">
        <f>IFERROR(AY830*$W830,)</f>
        <v/>
      </c>
      <c r="CK830" s="128">
        <f>IFERROR(AZ830*$W830,)</f>
        <v/>
      </c>
      <c r="CL830" s="129">
        <f>IFERROR(if($Y830=0,BA830*($W830/1.2),BA830*$Y830),"")</f>
        <v/>
      </c>
      <c r="CM830" s="129">
        <f>IFERROR(if($Y830=0,BB830*($W830/1.2),BB830*$Y830),"")</f>
        <v/>
      </c>
      <c r="CN830" s="129">
        <f>IFERROR(if($Y830=0,BC830*($W830/1.2),BC830*$Y830),"")</f>
        <v/>
      </c>
      <c r="CO830" s="130">
        <f>IFERROR(if($AA830=0,($W830/1.35)*BD830,BD830*$AA830),)</f>
        <v/>
      </c>
      <c r="CP830" s="130">
        <f>IFERROR(if($AA830=0,($W830/1.35)*BE830,BE830*$AA830),)</f>
        <v/>
      </c>
      <c r="CQ830" s="130">
        <f>IFERROR(if($AA830=0,($W830/1.35)*BF830,BF830*$AA830),)</f>
        <v/>
      </c>
      <c r="CR830" s="128">
        <f>IFERROR(if($AC830=0,($W830/0.74)*BG830,
BG830*$AC830),)</f>
        <v/>
      </c>
      <c r="CS830" s="128">
        <f>IFERROR(if($AC830=0,($W830/0.74)*BH830,
BH830*$AC830),)</f>
        <v/>
      </c>
      <c r="CT830" s="128">
        <f>IFERROR(if($AC830=0,($W830/0.74)*BI830,
BI830*$AC830),)</f>
        <v/>
      </c>
      <c r="CU830" s="128">
        <f>IFERROR(AI830*$V830,)</f>
        <v/>
      </c>
      <c r="CV830" s="128">
        <f>IFERROR(AJ830*$V830,)</f>
        <v/>
      </c>
      <c r="CW830" s="128">
        <f>IFERROR(AK830*$V830,)</f>
        <v/>
      </c>
      <c r="CX830" s="128">
        <f>IFERROR(AL830*$V830,)</f>
        <v/>
      </c>
      <c r="CY830" s="128">
        <f>IFERROR(AM830*$V830,)</f>
        <v/>
      </c>
      <c r="CZ830" s="128">
        <f>IFERROR(AN830*$V830,)</f>
        <v/>
      </c>
      <c r="DA830" s="128">
        <f>IFERROR(AO830*$V830,)</f>
        <v/>
      </c>
      <c r="DB830" s="128">
        <f>IFERROR(AP830*$V830,)</f>
        <v/>
      </c>
      <c r="DC830" s="128">
        <f>IFERROR(AQ830*$V830,)</f>
        <v/>
      </c>
      <c r="DD830" s="128">
        <f>IFERROR(AR830*$V830,)</f>
        <v/>
      </c>
      <c r="DE830" s="128">
        <f>IFERROR(AS830*$V830,)</f>
        <v/>
      </c>
      <c r="DF830" s="128">
        <f>IFERROR(AT830*$V830,)</f>
        <v/>
      </c>
      <c r="DG830" s="128">
        <f>IFERROR(AU830*$V830,)</f>
        <v/>
      </c>
      <c r="DH830" s="128">
        <f>IFERROR(AV830*$V830,)</f>
        <v/>
      </c>
      <c r="DI830" s="128">
        <f>IFERROR(AW830*$V830,)</f>
        <v/>
      </c>
      <c r="DJ830" s="128">
        <f>IFERROR(AX830*$V830,)</f>
        <v/>
      </c>
      <c r="DK830" s="128">
        <f>IFERROR(AY830*$V830,)</f>
        <v/>
      </c>
      <c r="DL830" s="128">
        <f>IFERROR(AZ830*$V830,)</f>
        <v/>
      </c>
      <c r="DM830" s="129">
        <f>IFERROR(if($X830=0,($V830/1.2)*BA830,
BA830*$X830),)</f>
        <v/>
      </c>
      <c r="DN830" s="129">
        <f>IFERROR(if($X830=0,($V830/1.2)*BB830,
BB830*$X830),)</f>
        <v/>
      </c>
      <c r="DO830" s="129">
        <f>IFERROR(if($X830=0,($V830/1.2)*BC830,
BC830*$X830),)</f>
        <v/>
      </c>
      <c r="DP830" s="130">
        <f>IFERROR(if($Z830=0,($V830/1.35)*BD830,
BD830*$Z830),)</f>
        <v/>
      </c>
      <c r="DQ830" s="130">
        <f>IFERROR(if($Z830=0,($V830/1.35)*BE830,
BE830*$Z830),)</f>
        <v/>
      </c>
      <c r="DR830" s="130">
        <f>IFERROR(if($Z830=0,($V830/1.35)*BF830,
BF830*$Z830),)</f>
        <v/>
      </c>
      <c r="DS830" s="128">
        <f>IFERROR(IF($AB830=0,($V830/0.74)*BG830,
BG830*$AB830),)</f>
        <v/>
      </c>
      <c r="DT830" s="128">
        <f>IFERROR(IF($AB830=0,($V830/0.74)*BH830,
BH830*$AB830),)</f>
        <v/>
      </c>
      <c r="DU830" s="128">
        <f>IFERROR(IF($AB830=0,($V830/0.74)*BI830,
BI830*$AB830),)</f>
        <v/>
      </c>
    </row>
    <row r="831" ht="131.25" customHeight="1" s="162">
      <c r="A831" s="115" t="n"/>
      <c r="B831" s="115" t="n"/>
      <c r="C831" s="115" t="n"/>
      <c r="D831" s="115" t="n"/>
      <c r="E831" s="115" t="n"/>
      <c r="F831" s="115" t="n"/>
      <c r="G831" s="115" t="n"/>
      <c r="H831" s="115" t="n"/>
      <c r="I831" s="115" t="n"/>
      <c r="J831" s="115" t="n"/>
      <c r="K831" s="115" t="n"/>
      <c r="L831" s="115" t="n"/>
      <c r="M831" s="115" t="n"/>
      <c r="N831" s="115" t="n"/>
      <c r="O831" s="115" t="n"/>
      <c r="P831" s="115" t="n"/>
      <c r="Q831" s="115" t="n"/>
      <c r="R831" s="115" t="n"/>
      <c r="S831" s="115" t="n"/>
      <c r="T831" s="115" t="n"/>
      <c r="U831" s="116" t="n"/>
      <c r="V831" s="116" t="n"/>
      <c r="W831" s="117" t="n"/>
      <c r="X831" s="118" t="n"/>
      <c r="Y831" s="119" t="n"/>
      <c r="Z831" s="120" t="n"/>
      <c r="AA831" s="121" t="n"/>
      <c r="AB831" s="122" t="n"/>
      <c r="AC831" s="117" t="n"/>
      <c r="AD831" s="123">
        <f>IF(SUM($AE831:$AH831)=0,"",SUM($AE831:$AH831))</f>
        <v/>
      </c>
      <c r="AE831" s="123">
        <f>iferror(IF(SUM($AI831:$AZ831)=0,"",SUM($AI831:$AZ831)),"")</f>
        <v/>
      </c>
      <c r="AF831" s="123">
        <f>iferror(IF(SUM($BA831:$BC831)=0,"",SUM($BA831:$BC831)),"")</f>
        <v/>
      </c>
      <c r="AG831" s="123">
        <f>iferror(IF(SUM($BD831:$BF831)=0,"",SUM($BD831:$BF831)),"")</f>
        <v/>
      </c>
      <c r="AH831" s="124">
        <f>iferror(IF(SUM($BG831:$BI831)=0,"",SUM($BG831:$BI831)),"")</f>
        <v/>
      </c>
      <c r="AI831" s="131" t="n"/>
      <c r="AJ831" s="132" t="n"/>
      <c r="AK831" s="132" t="n"/>
      <c r="AL831" s="132" t="n"/>
      <c r="AM831" s="132" t="n"/>
      <c r="AN831" s="132" t="n"/>
      <c r="AO831" s="132" t="n"/>
      <c r="AP831" s="132" t="n"/>
      <c r="AQ831" s="132" t="n"/>
      <c r="AR831" s="132" t="n"/>
      <c r="AS831" s="132" t="n"/>
      <c r="AT831" s="132" t="n"/>
      <c r="AU831" s="132" t="n"/>
      <c r="AV831" s="132" t="n"/>
      <c r="AW831" s="132" t="n"/>
      <c r="AX831" s="132" t="n"/>
      <c r="AY831" s="132" t="n"/>
      <c r="AZ831" s="133" t="n"/>
      <c r="BA831" s="131" t="n"/>
      <c r="BB831" s="132" t="n"/>
      <c r="BC831" s="133" t="n"/>
      <c r="BD831" s="131" t="n"/>
      <c r="BE831" s="132" t="n"/>
      <c r="BF831" s="133" t="n"/>
      <c r="BG831" s="131" t="n"/>
      <c r="BH831" s="132" t="n"/>
      <c r="BI831" s="132" t="n"/>
      <c r="BJ831" s="128">
        <f>iferror(SUM($BK831,($BL831*1.2),($BM831*1.35),($BN831*0.74)),)</f>
        <v/>
      </c>
      <c r="BK831" s="128">
        <f>IFERROR(SUM($BT831:$CK831),)</f>
        <v/>
      </c>
      <c r="BL831" s="129">
        <f>IFERROR(SUM($CL831:$CN831),)</f>
        <v/>
      </c>
      <c r="BM831" s="130">
        <f>IFERROR(SUM($CO831:$CQ831),)</f>
        <v/>
      </c>
      <c r="BN831" s="128">
        <f>IFERROR(SUM($CR831:$CT831),)</f>
        <v/>
      </c>
      <c r="BO831" s="128">
        <f>iferror(SUM($BP831,($BQ831*1.2),($BR831*1.35),($BS831*0.74)),)</f>
        <v/>
      </c>
      <c r="BP831" s="128">
        <f>IFERROR(SUM($CU831:$DL831),)</f>
        <v/>
      </c>
      <c r="BQ831" s="128">
        <f>IFERROR(SUM($DM831:$DO831),)</f>
        <v/>
      </c>
      <c r="BR831" s="128">
        <f>IFERROR(SUM($DP831:$DR831),)</f>
        <v/>
      </c>
      <c r="BS831" s="128">
        <f>IFERROR(SUM($DS831:$DU831),)</f>
        <v/>
      </c>
      <c r="BT831" s="128">
        <f>IFERROR(AI831*$W831,)</f>
        <v/>
      </c>
      <c r="BU831" s="128">
        <f>IFERROR(AJ831*$W831,)</f>
        <v/>
      </c>
      <c r="BV831" s="128">
        <f>IFERROR(AK831*$W831,)</f>
        <v/>
      </c>
      <c r="BW831" s="128">
        <f>IFERROR(AL831*$W831,)</f>
        <v/>
      </c>
      <c r="BX831" s="128">
        <f>IFERROR(AM831*$W831,)</f>
        <v/>
      </c>
      <c r="BY831" s="128">
        <f>IFERROR(AN831*$W831,)</f>
        <v/>
      </c>
      <c r="BZ831" s="128">
        <f>IFERROR(AO831*$W831,)</f>
        <v/>
      </c>
      <c r="CA831" s="128">
        <f>IFERROR(AP831*$W831,)</f>
        <v/>
      </c>
      <c r="CB831" s="128">
        <f>IFERROR(AQ831*$W831,)</f>
        <v/>
      </c>
      <c r="CC831" s="128">
        <f>IFERROR(AR831*$W831,)</f>
        <v/>
      </c>
      <c r="CD831" s="128">
        <f>IFERROR(AS831*$W831,)</f>
        <v/>
      </c>
      <c r="CE831" s="128">
        <f>IFERROR(AT831*$W831,)</f>
        <v/>
      </c>
      <c r="CF831" s="128">
        <f>IFERROR(AU831*$W831,)</f>
        <v/>
      </c>
      <c r="CG831" s="128">
        <f>IFERROR(AV831*$W831,)</f>
        <v/>
      </c>
      <c r="CH831" s="128">
        <f>IFERROR(AW831*$W831,)</f>
        <v/>
      </c>
      <c r="CI831" s="128">
        <f>IFERROR(AX831*$W831,)</f>
        <v/>
      </c>
      <c r="CJ831" s="128">
        <f>IFERROR(AY831*$W831,)</f>
        <v/>
      </c>
      <c r="CK831" s="128">
        <f>IFERROR(AZ831*$W831,)</f>
        <v/>
      </c>
      <c r="CL831" s="129">
        <f>IFERROR(if($Y831=0,BA831*($W831/1.2),BA831*$Y831),"")</f>
        <v/>
      </c>
      <c r="CM831" s="129">
        <f>IFERROR(if($Y831=0,BB831*($W831/1.2),BB831*$Y831),"")</f>
        <v/>
      </c>
      <c r="CN831" s="129">
        <f>IFERROR(if($Y831=0,BC831*($W831/1.2),BC831*$Y831),"")</f>
        <v/>
      </c>
      <c r="CO831" s="130">
        <f>IFERROR(if($AA831=0,($W831/1.35)*BD831,BD831*$AA831),)</f>
        <v/>
      </c>
      <c r="CP831" s="130">
        <f>IFERROR(if($AA831=0,($W831/1.35)*BE831,BE831*$AA831),)</f>
        <v/>
      </c>
      <c r="CQ831" s="130">
        <f>IFERROR(if($AA831=0,($W831/1.35)*BF831,BF831*$AA831),)</f>
        <v/>
      </c>
      <c r="CR831" s="128">
        <f>IFERROR(if($AC831=0,($W831/0.74)*BG831,
BG831*$AC831),)</f>
        <v/>
      </c>
      <c r="CS831" s="128">
        <f>IFERROR(if($AC831=0,($W831/0.74)*BH831,
BH831*$AC831),)</f>
        <v/>
      </c>
      <c r="CT831" s="128">
        <f>IFERROR(if($AC831=0,($W831/0.74)*BI831,
BI831*$AC831),)</f>
        <v/>
      </c>
      <c r="CU831" s="128">
        <f>IFERROR(AI831*$V831,)</f>
        <v/>
      </c>
      <c r="CV831" s="128">
        <f>IFERROR(AJ831*$V831,)</f>
        <v/>
      </c>
      <c r="CW831" s="128">
        <f>IFERROR(AK831*$V831,)</f>
        <v/>
      </c>
      <c r="CX831" s="128">
        <f>IFERROR(AL831*$V831,)</f>
        <v/>
      </c>
      <c r="CY831" s="128">
        <f>IFERROR(AM831*$V831,)</f>
        <v/>
      </c>
      <c r="CZ831" s="128">
        <f>IFERROR(AN831*$V831,)</f>
        <v/>
      </c>
      <c r="DA831" s="128">
        <f>IFERROR(AO831*$V831,)</f>
        <v/>
      </c>
      <c r="DB831" s="128">
        <f>IFERROR(AP831*$V831,)</f>
        <v/>
      </c>
      <c r="DC831" s="128">
        <f>IFERROR(AQ831*$V831,)</f>
        <v/>
      </c>
      <c r="DD831" s="128">
        <f>IFERROR(AR831*$V831,)</f>
        <v/>
      </c>
      <c r="DE831" s="128">
        <f>IFERROR(AS831*$V831,)</f>
        <v/>
      </c>
      <c r="DF831" s="128">
        <f>IFERROR(AT831*$V831,)</f>
        <v/>
      </c>
      <c r="DG831" s="128">
        <f>IFERROR(AU831*$V831,)</f>
        <v/>
      </c>
      <c r="DH831" s="128">
        <f>IFERROR(AV831*$V831,)</f>
        <v/>
      </c>
      <c r="DI831" s="128">
        <f>IFERROR(AW831*$V831,)</f>
        <v/>
      </c>
      <c r="DJ831" s="128">
        <f>IFERROR(AX831*$V831,)</f>
        <v/>
      </c>
      <c r="DK831" s="128">
        <f>IFERROR(AY831*$V831,)</f>
        <v/>
      </c>
      <c r="DL831" s="128">
        <f>IFERROR(AZ831*$V831,)</f>
        <v/>
      </c>
      <c r="DM831" s="129">
        <f>IFERROR(if($X831=0,($V831/1.2)*BA831,
BA831*$X831),)</f>
        <v/>
      </c>
      <c r="DN831" s="129">
        <f>IFERROR(if($X831=0,($V831/1.2)*BB831,
BB831*$X831),)</f>
        <v/>
      </c>
      <c r="DO831" s="129">
        <f>IFERROR(if($X831=0,($V831/1.2)*BC831,
BC831*$X831),)</f>
        <v/>
      </c>
      <c r="DP831" s="130">
        <f>IFERROR(if($Z831=0,($V831/1.35)*BD831,
BD831*$Z831),)</f>
        <v/>
      </c>
      <c r="DQ831" s="130">
        <f>IFERROR(if($Z831=0,($V831/1.35)*BE831,
BE831*$Z831),)</f>
        <v/>
      </c>
      <c r="DR831" s="130">
        <f>IFERROR(if($Z831=0,($V831/1.35)*BF831,
BF831*$Z831),)</f>
        <v/>
      </c>
      <c r="DS831" s="128">
        <f>IFERROR(IF($AB831=0,($V831/0.74)*BG831,
BG831*$AB831),)</f>
        <v/>
      </c>
      <c r="DT831" s="128">
        <f>IFERROR(IF($AB831=0,($V831/0.74)*BH831,
BH831*$AB831),)</f>
        <v/>
      </c>
      <c r="DU831" s="128">
        <f>IFERROR(IF($AB831=0,($V831/0.74)*BI831,
BI831*$AB831),)</f>
        <v/>
      </c>
    </row>
    <row r="832" ht="131.25" customHeight="1" s="162">
      <c r="A832" s="115" t="n"/>
      <c r="B832" s="115" t="n"/>
      <c r="C832" s="115" t="n"/>
      <c r="D832" s="115" t="n"/>
      <c r="E832" s="115" t="n"/>
      <c r="F832" s="115" t="n"/>
      <c r="G832" s="115" t="n"/>
      <c r="H832" s="115" t="n"/>
      <c r="I832" s="115" t="n"/>
      <c r="J832" s="115" t="n"/>
      <c r="K832" s="115" t="n"/>
      <c r="L832" s="115" t="n"/>
      <c r="M832" s="115" t="n"/>
      <c r="N832" s="115" t="n"/>
      <c r="O832" s="115" t="n"/>
      <c r="P832" s="115" t="n"/>
      <c r="Q832" s="115" t="n"/>
      <c r="R832" s="115" t="n"/>
      <c r="S832" s="115" t="n"/>
      <c r="T832" s="115" t="n"/>
      <c r="U832" s="116" t="n"/>
      <c r="V832" s="116" t="n"/>
      <c r="W832" s="117" t="n"/>
      <c r="X832" s="118" t="n"/>
      <c r="Y832" s="119" t="n"/>
      <c r="Z832" s="120" t="n"/>
      <c r="AA832" s="121" t="n"/>
      <c r="AB832" s="122" t="n"/>
      <c r="AC832" s="117" t="n"/>
      <c r="AD832" s="123">
        <f>IF(SUM($AE832:$AH832)=0,"",SUM($AE832:$AH832))</f>
        <v/>
      </c>
      <c r="AE832" s="123">
        <f>iferror(IF(SUM($AI832:$AZ832)=0,"",SUM($AI832:$AZ832)),"")</f>
        <v/>
      </c>
      <c r="AF832" s="123">
        <f>iferror(IF(SUM($BA832:$BC832)=0,"",SUM($BA832:$BC832)),"")</f>
        <v/>
      </c>
      <c r="AG832" s="123">
        <f>iferror(IF(SUM($BD832:$BF832)=0,"",SUM($BD832:$BF832)),"")</f>
        <v/>
      </c>
      <c r="AH832" s="124">
        <f>iferror(IF(SUM($BG832:$BI832)=0,"",SUM($BG832:$BI832)),"")</f>
        <v/>
      </c>
      <c r="AI832" s="131" t="n"/>
      <c r="AJ832" s="132" t="n"/>
      <c r="AK832" s="132" t="n"/>
      <c r="AL832" s="132" t="n"/>
      <c r="AM832" s="132" t="n"/>
      <c r="AN832" s="132" t="n"/>
      <c r="AO832" s="132" t="n"/>
      <c r="AP832" s="132" t="n"/>
      <c r="AQ832" s="132" t="n"/>
      <c r="AR832" s="132" t="n"/>
      <c r="AS832" s="132" t="n"/>
      <c r="AT832" s="132" t="n"/>
      <c r="AU832" s="132" t="n"/>
      <c r="AV832" s="132" t="n"/>
      <c r="AW832" s="132" t="n"/>
      <c r="AX832" s="132" t="n"/>
      <c r="AY832" s="132" t="n"/>
      <c r="AZ832" s="133" t="n"/>
      <c r="BA832" s="131" t="n"/>
      <c r="BB832" s="132" t="n"/>
      <c r="BC832" s="133" t="n"/>
      <c r="BD832" s="131" t="n"/>
      <c r="BE832" s="132" t="n"/>
      <c r="BF832" s="133" t="n"/>
      <c r="BG832" s="131" t="n"/>
      <c r="BH832" s="132" t="n"/>
      <c r="BI832" s="132" t="n"/>
      <c r="BJ832" s="128">
        <f>iferror(SUM($BK832,($BL832*1.2),($BM832*1.35),($BN832*0.74)),)</f>
        <v/>
      </c>
      <c r="BK832" s="128">
        <f>IFERROR(SUM($BT832:$CK832),)</f>
        <v/>
      </c>
      <c r="BL832" s="129">
        <f>IFERROR(SUM($CL832:$CN832),)</f>
        <v/>
      </c>
      <c r="BM832" s="130">
        <f>IFERROR(SUM($CO832:$CQ832),)</f>
        <v/>
      </c>
      <c r="BN832" s="128">
        <f>IFERROR(SUM($CR832:$CT832),)</f>
        <v/>
      </c>
      <c r="BO832" s="128">
        <f>iferror(SUM($BP832,($BQ832*1.2),($BR832*1.35),($BS832*0.74)),)</f>
        <v/>
      </c>
      <c r="BP832" s="128">
        <f>IFERROR(SUM($CU832:$DL832),)</f>
        <v/>
      </c>
      <c r="BQ832" s="128">
        <f>IFERROR(SUM($DM832:$DO832),)</f>
        <v/>
      </c>
      <c r="BR832" s="128">
        <f>IFERROR(SUM($DP832:$DR832),)</f>
        <v/>
      </c>
      <c r="BS832" s="128">
        <f>IFERROR(SUM($DS832:$DU832),)</f>
        <v/>
      </c>
      <c r="BT832" s="128">
        <f>IFERROR(AI832*$W832,)</f>
        <v/>
      </c>
      <c r="BU832" s="128">
        <f>IFERROR(AJ832*$W832,)</f>
        <v/>
      </c>
      <c r="BV832" s="128">
        <f>IFERROR(AK832*$W832,)</f>
        <v/>
      </c>
      <c r="BW832" s="128">
        <f>IFERROR(AL832*$W832,)</f>
        <v/>
      </c>
      <c r="BX832" s="128">
        <f>IFERROR(AM832*$W832,)</f>
        <v/>
      </c>
      <c r="BY832" s="128">
        <f>IFERROR(AN832*$W832,)</f>
        <v/>
      </c>
      <c r="BZ832" s="128">
        <f>IFERROR(AO832*$W832,)</f>
        <v/>
      </c>
      <c r="CA832" s="128">
        <f>IFERROR(AP832*$W832,)</f>
        <v/>
      </c>
      <c r="CB832" s="128">
        <f>IFERROR(AQ832*$W832,)</f>
        <v/>
      </c>
      <c r="CC832" s="128">
        <f>IFERROR(AR832*$W832,)</f>
        <v/>
      </c>
      <c r="CD832" s="128">
        <f>IFERROR(AS832*$W832,)</f>
        <v/>
      </c>
      <c r="CE832" s="128">
        <f>IFERROR(AT832*$W832,)</f>
        <v/>
      </c>
      <c r="CF832" s="128">
        <f>IFERROR(AU832*$W832,)</f>
        <v/>
      </c>
      <c r="CG832" s="128">
        <f>IFERROR(AV832*$W832,)</f>
        <v/>
      </c>
      <c r="CH832" s="128">
        <f>IFERROR(AW832*$W832,)</f>
        <v/>
      </c>
      <c r="CI832" s="128">
        <f>IFERROR(AX832*$W832,)</f>
        <v/>
      </c>
      <c r="CJ832" s="128">
        <f>IFERROR(AY832*$W832,)</f>
        <v/>
      </c>
      <c r="CK832" s="128">
        <f>IFERROR(AZ832*$W832,)</f>
        <v/>
      </c>
      <c r="CL832" s="129">
        <f>IFERROR(if($Y832=0,BA832*($W832/1.2),BA832*$Y832),"")</f>
        <v/>
      </c>
      <c r="CM832" s="129">
        <f>IFERROR(if($Y832=0,BB832*($W832/1.2),BB832*$Y832),"")</f>
        <v/>
      </c>
      <c r="CN832" s="129">
        <f>IFERROR(if($Y832=0,BC832*($W832/1.2),BC832*$Y832),"")</f>
        <v/>
      </c>
      <c r="CO832" s="130">
        <f>IFERROR(if($AA832=0,($W832/1.35)*BD832,BD832*$AA832),)</f>
        <v/>
      </c>
      <c r="CP832" s="130">
        <f>IFERROR(if($AA832=0,($W832/1.35)*BE832,BE832*$AA832),)</f>
        <v/>
      </c>
      <c r="CQ832" s="130">
        <f>IFERROR(if($AA832=0,($W832/1.35)*BF832,BF832*$AA832),)</f>
        <v/>
      </c>
      <c r="CR832" s="128">
        <f>IFERROR(if($AC832=0,($W832/0.74)*BG832,
BG832*$AC832),)</f>
        <v/>
      </c>
      <c r="CS832" s="128">
        <f>IFERROR(if($AC832=0,($W832/0.74)*BH832,
BH832*$AC832),)</f>
        <v/>
      </c>
      <c r="CT832" s="128">
        <f>IFERROR(if($AC832=0,($W832/0.74)*BI832,
BI832*$AC832),)</f>
        <v/>
      </c>
      <c r="CU832" s="128">
        <f>IFERROR(AI832*$V832,)</f>
        <v/>
      </c>
      <c r="CV832" s="128">
        <f>IFERROR(AJ832*$V832,)</f>
        <v/>
      </c>
      <c r="CW832" s="128">
        <f>IFERROR(AK832*$V832,)</f>
        <v/>
      </c>
      <c r="CX832" s="128">
        <f>IFERROR(AL832*$V832,)</f>
        <v/>
      </c>
      <c r="CY832" s="128">
        <f>IFERROR(AM832*$V832,)</f>
        <v/>
      </c>
      <c r="CZ832" s="128">
        <f>IFERROR(AN832*$V832,)</f>
        <v/>
      </c>
      <c r="DA832" s="128">
        <f>IFERROR(AO832*$V832,)</f>
        <v/>
      </c>
      <c r="DB832" s="128">
        <f>IFERROR(AP832*$V832,)</f>
        <v/>
      </c>
      <c r="DC832" s="128">
        <f>IFERROR(AQ832*$V832,)</f>
        <v/>
      </c>
      <c r="DD832" s="128">
        <f>IFERROR(AR832*$V832,)</f>
        <v/>
      </c>
      <c r="DE832" s="128">
        <f>IFERROR(AS832*$V832,)</f>
        <v/>
      </c>
      <c r="DF832" s="128">
        <f>IFERROR(AT832*$V832,)</f>
        <v/>
      </c>
      <c r="DG832" s="128">
        <f>IFERROR(AU832*$V832,)</f>
        <v/>
      </c>
      <c r="DH832" s="128">
        <f>IFERROR(AV832*$V832,)</f>
        <v/>
      </c>
      <c r="DI832" s="128">
        <f>IFERROR(AW832*$V832,)</f>
        <v/>
      </c>
      <c r="DJ832" s="128">
        <f>IFERROR(AX832*$V832,)</f>
        <v/>
      </c>
      <c r="DK832" s="128">
        <f>IFERROR(AY832*$V832,)</f>
        <v/>
      </c>
      <c r="DL832" s="128">
        <f>IFERROR(AZ832*$V832,)</f>
        <v/>
      </c>
      <c r="DM832" s="129">
        <f>IFERROR(if($X832=0,($V832/1.2)*BA832,
BA832*$X832),)</f>
        <v/>
      </c>
      <c r="DN832" s="129">
        <f>IFERROR(if($X832=0,($V832/1.2)*BB832,
BB832*$X832),)</f>
        <v/>
      </c>
      <c r="DO832" s="129">
        <f>IFERROR(if($X832=0,($V832/1.2)*BC832,
BC832*$X832),)</f>
        <v/>
      </c>
      <c r="DP832" s="130">
        <f>IFERROR(if($Z832=0,($V832/1.35)*BD832,
BD832*$Z832),)</f>
        <v/>
      </c>
      <c r="DQ832" s="130">
        <f>IFERROR(if($Z832=0,($V832/1.35)*BE832,
BE832*$Z832),)</f>
        <v/>
      </c>
      <c r="DR832" s="130">
        <f>IFERROR(if($Z832=0,($V832/1.35)*BF832,
BF832*$Z832),)</f>
        <v/>
      </c>
      <c r="DS832" s="128">
        <f>IFERROR(IF($AB832=0,($V832/0.74)*BG832,
BG832*$AB832),)</f>
        <v/>
      </c>
      <c r="DT832" s="128">
        <f>IFERROR(IF($AB832=0,($V832/0.74)*BH832,
BH832*$AB832),)</f>
        <v/>
      </c>
      <c r="DU832" s="128">
        <f>IFERROR(IF($AB832=0,($V832/0.74)*BI832,
BI832*$AB832),)</f>
        <v/>
      </c>
    </row>
    <row r="833" ht="131.25" customHeight="1" s="162">
      <c r="A833" s="115" t="n"/>
      <c r="B833" s="115" t="n"/>
      <c r="C833" s="115" t="n"/>
      <c r="D833" s="115" t="n"/>
      <c r="E833" s="115" t="n"/>
      <c r="F833" s="115" t="n"/>
      <c r="G833" s="115" t="n"/>
      <c r="H833" s="115" t="n"/>
      <c r="I833" s="115" t="n"/>
      <c r="J833" s="115" t="n"/>
      <c r="K833" s="115" t="n"/>
      <c r="L833" s="115" t="n"/>
      <c r="M833" s="115" t="n"/>
      <c r="N833" s="115" t="n"/>
      <c r="O833" s="115" t="n"/>
      <c r="P833" s="115" t="n"/>
      <c r="Q833" s="115" t="n"/>
      <c r="R833" s="115" t="n"/>
      <c r="S833" s="115" t="n"/>
      <c r="T833" s="115" t="n"/>
      <c r="U833" s="116" t="n"/>
      <c r="V833" s="116" t="n"/>
      <c r="W833" s="117" t="n"/>
      <c r="X833" s="118" t="n"/>
      <c r="Y833" s="119" t="n"/>
      <c r="Z833" s="120" t="n"/>
      <c r="AA833" s="121" t="n"/>
      <c r="AB833" s="122" t="n"/>
      <c r="AC833" s="117" t="n"/>
      <c r="AD833" s="123">
        <f>IF(SUM($AE833:$AH833)=0,"",SUM($AE833:$AH833))</f>
        <v/>
      </c>
      <c r="AE833" s="123">
        <f>iferror(IF(SUM($AI833:$AZ833)=0,"",SUM($AI833:$AZ833)),"")</f>
        <v/>
      </c>
      <c r="AF833" s="123">
        <f>iferror(IF(SUM($BA833:$BC833)=0,"",SUM($BA833:$BC833)),"")</f>
        <v/>
      </c>
      <c r="AG833" s="123">
        <f>iferror(IF(SUM($BD833:$BF833)=0,"",SUM($BD833:$BF833)),"")</f>
        <v/>
      </c>
      <c r="AH833" s="124">
        <f>iferror(IF(SUM($BG833:$BI833)=0,"",SUM($BG833:$BI833)),"")</f>
        <v/>
      </c>
      <c r="AI833" s="131" t="n"/>
      <c r="AJ833" s="132" t="n"/>
      <c r="AK833" s="132" t="n"/>
      <c r="AL833" s="132" t="n"/>
      <c r="AM833" s="132" t="n"/>
      <c r="AN833" s="132" t="n"/>
      <c r="AO833" s="132" t="n"/>
      <c r="AP833" s="132" t="n"/>
      <c r="AQ833" s="132" t="n"/>
      <c r="AR833" s="132" t="n"/>
      <c r="AS833" s="132" t="n"/>
      <c r="AT833" s="132" t="n"/>
      <c r="AU833" s="132" t="n"/>
      <c r="AV833" s="132" t="n"/>
      <c r="AW833" s="132" t="n"/>
      <c r="AX833" s="132" t="n"/>
      <c r="AY833" s="132" t="n"/>
      <c r="AZ833" s="133" t="n"/>
      <c r="BA833" s="131" t="n"/>
      <c r="BB833" s="132" t="n"/>
      <c r="BC833" s="133" t="n"/>
      <c r="BD833" s="131" t="n"/>
      <c r="BE833" s="132" t="n"/>
      <c r="BF833" s="133" t="n"/>
      <c r="BG833" s="131" t="n"/>
      <c r="BH833" s="132" t="n"/>
      <c r="BI833" s="132" t="n"/>
      <c r="BJ833" s="128">
        <f>iferror(SUM($BK833,($BL833*1.2),($BM833*1.35),($BN833*0.74)),)</f>
        <v/>
      </c>
      <c r="BK833" s="128">
        <f>IFERROR(SUM($BT833:$CK833),)</f>
        <v/>
      </c>
      <c r="BL833" s="129">
        <f>IFERROR(SUM($CL833:$CN833),)</f>
        <v/>
      </c>
      <c r="BM833" s="130">
        <f>IFERROR(SUM($CO833:$CQ833),)</f>
        <v/>
      </c>
      <c r="BN833" s="128">
        <f>IFERROR(SUM($CR833:$CT833),)</f>
        <v/>
      </c>
      <c r="BO833" s="128">
        <f>iferror(SUM($BP833,($BQ833*1.2),($BR833*1.35),($BS833*0.74)),)</f>
        <v/>
      </c>
      <c r="BP833" s="128">
        <f>IFERROR(SUM($CU833:$DL833),)</f>
        <v/>
      </c>
      <c r="BQ833" s="128">
        <f>IFERROR(SUM($DM833:$DO833),)</f>
        <v/>
      </c>
      <c r="BR833" s="128">
        <f>IFERROR(SUM($DP833:$DR833),)</f>
        <v/>
      </c>
      <c r="BS833" s="128">
        <f>IFERROR(SUM($DS833:$DU833),)</f>
        <v/>
      </c>
      <c r="BT833" s="128">
        <f>IFERROR(AI833*$W833,)</f>
        <v/>
      </c>
      <c r="BU833" s="128">
        <f>IFERROR(AJ833*$W833,)</f>
        <v/>
      </c>
      <c r="BV833" s="128">
        <f>IFERROR(AK833*$W833,)</f>
        <v/>
      </c>
      <c r="BW833" s="128">
        <f>IFERROR(AL833*$W833,)</f>
        <v/>
      </c>
      <c r="BX833" s="128">
        <f>IFERROR(AM833*$W833,)</f>
        <v/>
      </c>
      <c r="BY833" s="128">
        <f>IFERROR(AN833*$W833,)</f>
        <v/>
      </c>
      <c r="BZ833" s="128">
        <f>IFERROR(AO833*$W833,)</f>
        <v/>
      </c>
      <c r="CA833" s="128">
        <f>IFERROR(AP833*$W833,)</f>
        <v/>
      </c>
      <c r="CB833" s="128">
        <f>IFERROR(AQ833*$W833,)</f>
        <v/>
      </c>
      <c r="CC833" s="128">
        <f>IFERROR(AR833*$W833,)</f>
        <v/>
      </c>
      <c r="CD833" s="128">
        <f>IFERROR(AS833*$W833,)</f>
        <v/>
      </c>
      <c r="CE833" s="128">
        <f>IFERROR(AT833*$W833,)</f>
        <v/>
      </c>
      <c r="CF833" s="128">
        <f>IFERROR(AU833*$W833,)</f>
        <v/>
      </c>
      <c r="CG833" s="128">
        <f>IFERROR(AV833*$W833,)</f>
        <v/>
      </c>
      <c r="CH833" s="128">
        <f>IFERROR(AW833*$W833,)</f>
        <v/>
      </c>
      <c r="CI833" s="128">
        <f>IFERROR(AX833*$W833,)</f>
        <v/>
      </c>
      <c r="CJ833" s="128">
        <f>IFERROR(AY833*$W833,)</f>
        <v/>
      </c>
      <c r="CK833" s="128">
        <f>IFERROR(AZ833*$W833,)</f>
        <v/>
      </c>
      <c r="CL833" s="129">
        <f>IFERROR(if($Y833=0,BA833*($W833/1.2),BA833*$Y833),"")</f>
        <v/>
      </c>
      <c r="CM833" s="129">
        <f>IFERROR(if($Y833=0,BB833*($W833/1.2),BB833*$Y833),"")</f>
        <v/>
      </c>
      <c r="CN833" s="129">
        <f>IFERROR(if($Y833=0,BC833*($W833/1.2),BC833*$Y833),"")</f>
        <v/>
      </c>
      <c r="CO833" s="130">
        <f>IFERROR(if($AA833=0,($W833/1.35)*BD833,BD833*$AA833),)</f>
        <v/>
      </c>
      <c r="CP833" s="130">
        <f>IFERROR(if($AA833=0,($W833/1.35)*BE833,BE833*$AA833),)</f>
        <v/>
      </c>
      <c r="CQ833" s="130">
        <f>IFERROR(if($AA833=0,($W833/1.35)*BF833,BF833*$AA833),)</f>
        <v/>
      </c>
      <c r="CR833" s="128">
        <f>IFERROR(if($AC833=0,($W833/0.74)*BG833,
BG833*$AC833),)</f>
        <v/>
      </c>
      <c r="CS833" s="128">
        <f>IFERROR(if($AC833=0,($W833/0.74)*BH833,
BH833*$AC833),)</f>
        <v/>
      </c>
      <c r="CT833" s="128">
        <f>IFERROR(if($AC833=0,($W833/0.74)*BI833,
BI833*$AC833),)</f>
        <v/>
      </c>
      <c r="CU833" s="128">
        <f>IFERROR(AI833*$V833,)</f>
        <v/>
      </c>
      <c r="CV833" s="128">
        <f>IFERROR(AJ833*$V833,)</f>
        <v/>
      </c>
      <c r="CW833" s="128">
        <f>IFERROR(AK833*$V833,)</f>
        <v/>
      </c>
      <c r="CX833" s="128">
        <f>IFERROR(AL833*$V833,)</f>
        <v/>
      </c>
      <c r="CY833" s="128">
        <f>IFERROR(AM833*$V833,)</f>
        <v/>
      </c>
      <c r="CZ833" s="128">
        <f>IFERROR(AN833*$V833,)</f>
        <v/>
      </c>
      <c r="DA833" s="128">
        <f>IFERROR(AO833*$V833,)</f>
        <v/>
      </c>
      <c r="DB833" s="128">
        <f>IFERROR(AP833*$V833,)</f>
        <v/>
      </c>
      <c r="DC833" s="128">
        <f>IFERROR(AQ833*$V833,)</f>
        <v/>
      </c>
      <c r="DD833" s="128">
        <f>IFERROR(AR833*$V833,)</f>
        <v/>
      </c>
      <c r="DE833" s="128">
        <f>IFERROR(AS833*$V833,)</f>
        <v/>
      </c>
      <c r="DF833" s="128">
        <f>IFERROR(AT833*$V833,)</f>
        <v/>
      </c>
      <c r="DG833" s="128">
        <f>IFERROR(AU833*$V833,)</f>
        <v/>
      </c>
      <c r="DH833" s="128">
        <f>IFERROR(AV833*$V833,)</f>
        <v/>
      </c>
      <c r="DI833" s="128">
        <f>IFERROR(AW833*$V833,)</f>
        <v/>
      </c>
      <c r="DJ833" s="128">
        <f>IFERROR(AX833*$V833,)</f>
        <v/>
      </c>
      <c r="DK833" s="128">
        <f>IFERROR(AY833*$V833,)</f>
        <v/>
      </c>
      <c r="DL833" s="128">
        <f>IFERROR(AZ833*$V833,)</f>
        <v/>
      </c>
      <c r="DM833" s="129">
        <f>IFERROR(if($X833=0,($V833/1.2)*BA833,
BA833*$X833),)</f>
        <v/>
      </c>
      <c r="DN833" s="129">
        <f>IFERROR(if($X833=0,($V833/1.2)*BB833,
BB833*$X833),)</f>
        <v/>
      </c>
      <c r="DO833" s="129">
        <f>IFERROR(if($X833=0,($V833/1.2)*BC833,
BC833*$X833),)</f>
        <v/>
      </c>
      <c r="DP833" s="130">
        <f>IFERROR(if($Z833=0,($V833/1.35)*BD833,
BD833*$Z833),)</f>
        <v/>
      </c>
      <c r="DQ833" s="130">
        <f>IFERROR(if($Z833=0,($V833/1.35)*BE833,
BE833*$Z833),)</f>
        <v/>
      </c>
      <c r="DR833" s="130">
        <f>IFERROR(if($Z833=0,($V833/1.35)*BF833,
BF833*$Z833),)</f>
        <v/>
      </c>
      <c r="DS833" s="128">
        <f>IFERROR(IF($AB833=0,($V833/0.74)*BG833,
BG833*$AB833),)</f>
        <v/>
      </c>
      <c r="DT833" s="128">
        <f>IFERROR(IF($AB833=0,($V833/0.74)*BH833,
BH833*$AB833),)</f>
        <v/>
      </c>
      <c r="DU833" s="128">
        <f>IFERROR(IF($AB833=0,($V833/0.74)*BI833,
BI833*$AB833),)</f>
        <v/>
      </c>
    </row>
    <row r="834" ht="131.25" customHeight="1" s="162">
      <c r="A834" s="115" t="n"/>
      <c r="B834" s="115" t="n"/>
      <c r="C834" s="115" t="n"/>
      <c r="D834" s="115" t="n"/>
      <c r="E834" s="115" t="n"/>
      <c r="F834" s="115" t="n"/>
      <c r="G834" s="115" t="n"/>
      <c r="H834" s="115" t="n"/>
      <c r="I834" s="115" t="n"/>
      <c r="J834" s="115" t="n"/>
      <c r="K834" s="115" t="n"/>
      <c r="L834" s="115" t="n"/>
      <c r="M834" s="115" t="n"/>
      <c r="N834" s="115" t="n"/>
      <c r="O834" s="115" t="n"/>
      <c r="P834" s="115" t="n"/>
      <c r="Q834" s="115" t="n"/>
      <c r="R834" s="115" t="n"/>
      <c r="S834" s="115" t="n"/>
      <c r="T834" s="115" t="n"/>
      <c r="U834" s="116" t="n"/>
      <c r="V834" s="116" t="n"/>
      <c r="W834" s="117" t="n"/>
      <c r="X834" s="118" t="n"/>
      <c r="Y834" s="119" t="n"/>
      <c r="Z834" s="120" t="n"/>
      <c r="AA834" s="121" t="n"/>
      <c r="AB834" s="122" t="n"/>
      <c r="AC834" s="117" t="n"/>
      <c r="AD834" s="123">
        <f>IF(SUM($AE834:$AH834)=0,"",SUM($AE834:$AH834))</f>
        <v/>
      </c>
      <c r="AE834" s="123">
        <f>iferror(IF(SUM($AI834:$AZ834)=0,"",SUM($AI834:$AZ834)),"")</f>
        <v/>
      </c>
      <c r="AF834" s="123">
        <f>iferror(IF(SUM($BA834:$BC834)=0,"",SUM($BA834:$BC834)),"")</f>
        <v/>
      </c>
      <c r="AG834" s="123">
        <f>iferror(IF(SUM($BD834:$BF834)=0,"",SUM($BD834:$BF834)),"")</f>
        <v/>
      </c>
      <c r="AH834" s="124">
        <f>iferror(IF(SUM($BG834:$BI834)=0,"",SUM($BG834:$BI834)),"")</f>
        <v/>
      </c>
      <c r="AI834" s="131" t="n"/>
      <c r="AJ834" s="132" t="n"/>
      <c r="AK834" s="132" t="n"/>
      <c r="AL834" s="132" t="n"/>
      <c r="AM834" s="132" t="n"/>
      <c r="AN834" s="132" t="n"/>
      <c r="AO834" s="132" t="n"/>
      <c r="AP834" s="132" t="n"/>
      <c r="AQ834" s="132" t="n"/>
      <c r="AR834" s="132" t="n"/>
      <c r="AS834" s="132" t="n"/>
      <c r="AT834" s="132" t="n"/>
      <c r="AU834" s="132" t="n"/>
      <c r="AV834" s="132" t="n"/>
      <c r="AW834" s="132" t="n"/>
      <c r="AX834" s="132" t="n"/>
      <c r="AY834" s="132" t="n"/>
      <c r="AZ834" s="133" t="n"/>
      <c r="BA834" s="131" t="n"/>
      <c r="BB834" s="132" t="n"/>
      <c r="BC834" s="133" t="n"/>
      <c r="BD834" s="131" t="n"/>
      <c r="BE834" s="132" t="n"/>
      <c r="BF834" s="133" t="n"/>
      <c r="BG834" s="131" t="n"/>
      <c r="BH834" s="132" t="n"/>
      <c r="BI834" s="132" t="n"/>
      <c r="BJ834" s="128">
        <f>iferror(SUM($BK834,($BL834*1.2),($BM834*1.35),($BN834*0.74)),)</f>
        <v/>
      </c>
      <c r="BK834" s="128">
        <f>IFERROR(SUM($BT834:$CK834),)</f>
        <v/>
      </c>
      <c r="BL834" s="129">
        <f>IFERROR(SUM($CL834:$CN834),)</f>
        <v/>
      </c>
      <c r="BM834" s="130">
        <f>IFERROR(SUM($CO834:$CQ834),)</f>
        <v/>
      </c>
      <c r="BN834" s="128">
        <f>IFERROR(SUM($CR834:$CT834),)</f>
        <v/>
      </c>
      <c r="BO834" s="128">
        <f>iferror(SUM($BP834,($BQ834*1.2),($BR834*1.35),($BS834*0.74)),)</f>
        <v/>
      </c>
      <c r="BP834" s="128">
        <f>IFERROR(SUM($CU834:$DL834),)</f>
        <v/>
      </c>
      <c r="BQ834" s="128">
        <f>IFERROR(SUM($DM834:$DO834),)</f>
        <v/>
      </c>
      <c r="BR834" s="128">
        <f>IFERROR(SUM($DP834:$DR834),)</f>
        <v/>
      </c>
      <c r="BS834" s="128">
        <f>IFERROR(SUM($DS834:$DU834),)</f>
        <v/>
      </c>
      <c r="BT834" s="128">
        <f>IFERROR(AI834*$W834,)</f>
        <v/>
      </c>
      <c r="BU834" s="128">
        <f>IFERROR(AJ834*$W834,)</f>
        <v/>
      </c>
      <c r="BV834" s="128">
        <f>IFERROR(AK834*$W834,)</f>
        <v/>
      </c>
      <c r="BW834" s="128">
        <f>IFERROR(AL834*$W834,)</f>
        <v/>
      </c>
      <c r="BX834" s="128">
        <f>IFERROR(AM834*$W834,)</f>
        <v/>
      </c>
      <c r="BY834" s="128">
        <f>IFERROR(AN834*$W834,)</f>
        <v/>
      </c>
      <c r="BZ834" s="128">
        <f>IFERROR(AO834*$W834,)</f>
        <v/>
      </c>
      <c r="CA834" s="128">
        <f>IFERROR(AP834*$W834,)</f>
        <v/>
      </c>
      <c r="CB834" s="128">
        <f>IFERROR(AQ834*$W834,)</f>
        <v/>
      </c>
      <c r="CC834" s="128">
        <f>IFERROR(AR834*$W834,)</f>
        <v/>
      </c>
      <c r="CD834" s="128">
        <f>IFERROR(AS834*$W834,)</f>
        <v/>
      </c>
      <c r="CE834" s="128">
        <f>IFERROR(AT834*$W834,)</f>
        <v/>
      </c>
      <c r="CF834" s="128">
        <f>IFERROR(AU834*$W834,)</f>
        <v/>
      </c>
      <c r="CG834" s="128">
        <f>IFERROR(AV834*$W834,)</f>
        <v/>
      </c>
      <c r="CH834" s="128">
        <f>IFERROR(AW834*$W834,)</f>
        <v/>
      </c>
      <c r="CI834" s="128">
        <f>IFERROR(AX834*$W834,)</f>
        <v/>
      </c>
      <c r="CJ834" s="128">
        <f>IFERROR(AY834*$W834,)</f>
        <v/>
      </c>
      <c r="CK834" s="128">
        <f>IFERROR(AZ834*$W834,)</f>
        <v/>
      </c>
      <c r="CL834" s="129">
        <f>IFERROR(if($Y834=0,BA834*($W834/1.2),BA834*$Y834),"")</f>
        <v/>
      </c>
      <c r="CM834" s="129">
        <f>IFERROR(if($Y834=0,BB834*($W834/1.2),BB834*$Y834),"")</f>
        <v/>
      </c>
      <c r="CN834" s="129">
        <f>IFERROR(if($Y834=0,BC834*($W834/1.2),BC834*$Y834),"")</f>
        <v/>
      </c>
      <c r="CO834" s="130">
        <f>IFERROR(if($AA834=0,($W834/1.35)*BD834,BD834*$AA834),)</f>
        <v/>
      </c>
      <c r="CP834" s="130">
        <f>IFERROR(if($AA834=0,($W834/1.35)*BE834,BE834*$AA834),)</f>
        <v/>
      </c>
      <c r="CQ834" s="130">
        <f>IFERROR(if($AA834=0,($W834/1.35)*BF834,BF834*$AA834),)</f>
        <v/>
      </c>
      <c r="CR834" s="128">
        <f>IFERROR(if($AC834=0,($W834/0.74)*BG834,
BG834*$AC834),)</f>
        <v/>
      </c>
      <c r="CS834" s="128">
        <f>IFERROR(if($AC834=0,($W834/0.74)*BH834,
BH834*$AC834),)</f>
        <v/>
      </c>
      <c r="CT834" s="128">
        <f>IFERROR(if($AC834=0,($W834/0.74)*BI834,
BI834*$AC834),)</f>
        <v/>
      </c>
      <c r="CU834" s="128">
        <f>IFERROR(AI834*$V834,)</f>
        <v/>
      </c>
      <c r="CV834" s="128">
        <f>IFERROR(AJ834*$V834,)</f>
        <v/>
      </c>
      <c r="CW834" s="128">
        <f>IFERROR(AK834*$V834,)</f>
        <v/>
      </c>
      <c r="CX834" s="128">
        <f>IFERROR(AL834*$V834,)</f>
        <v/>
      </c>
      <c r="CY834" s="128">
        <f>IFERROR(AM834*$V834,)</f>
        <v/>
      </c>
      <c r="CZ834" s="128">
        <f>IFERROR(AN834*$V834,)</f>
        <v/>
      </c>
      <c r="DA834" s="128">
        <f>IFERROR(AO834*$V834,)</f>
        <v/>
      </c>
      <c r="DB834" s="128">
        <f>IFERROR(AP834*$V834,)</f>
        <v/>
      </c>
      <c r="DC834" s="128">
        <f>IFERROR(AQ834*$V834,)</f>
        <v/>
      </c>
      <c r="DD834" s="128">
        <f>IFERROR(AR834*$V834,)</f>
        <v/>
      </c>
      <c r="DE834" s="128">
        <f>IFERROR(AS834*$V834,)</f>
        <v/>
      </c>
      <c r="DF834" s="128">
        <f>IFERROR(AT834*$V834,)</f>
        <v/>
      </c>
      <c r="DG834" s="128">
        <f>IFERROR(AU834*$V834,)</f>
        <v/>
      </c>
      <c r="DH834" s="128">
        <f>IFERROR(AV834*$V834,)</f>
        <v/>
      </c>
      <c r="DI834" s="128">
        <f>IFERROR(AW834*$V834,)</f>
        <v/>
      </c>
      <c r="DJ834" s="128">
        <f>IFERROR(AX834*$V834,)</f>
        <v/>
      </c>
      <c r="DK834" s="128">
        <f>IFERROR(AY834*$V834,)</f>
        <v/>
      </c>
      <c r="DL834" s="128">
        <f>IFERROR(AZ834*$V834,)</f>
        <v/>
      </c>
      <c r="DM834" s="129">
        <f>IFERROR(if($X834=0,($V834/1.2)*BA834,
BA834*$X834),)</f>
        <v/>
      </c>
      <c r="DN834" s="129">
        <f>IFERROR(if($X834=0,($V834/1.2)*BB834,
BB834*$X834),)</f>
        <v/>
      </c>
      <c r="DO834" s="129">
        <f>IFERROR(if($X834=0,($V834/1.2)*BC834,
BC834*$X834),)</f>
        <v/>
      </c>
      <c r="DP834" s="130">
        <f>IFERROR(if($Z834=0,($V834/1.35)*BD834,
BD834*$Z834),)</f>
        <v/>
      </c>
      <c r="DQ834" s="130">
        <f>IFERROR(if($Z834=0,($V834/1.35)*BE834,
BE834*$Z834),)</f>
        <v/>
      </c>
      <c r="DR834" s="130">
        <f>IFERROR(if($Z834=0,($V834/1.35)*BF834,
BF834*$Z834),)</f>
        <v/>
      </c>
      <c r="DS834" s="128">
        <f>IFERROR(IF($AB834=0,($V834/0.74)*BG834,
BG834*$AB834),)</f>
        <v/>
      </c>
      <c r="DT834" s="128">
        <f>IFERROR(IF($AB834=0,($V834/0.74)*BH834,
BH834*$AB834),)</f>
        <v/>
      </c>
      <c r="DU834" s="128">
        <f>IFERROR(IF($AB834=0,($V834/0.74)*BI834,
BI834*$AB834),)</f>
        <v/>
      </c>
    </row>
    <row r="835" ht="131.25" customHeight="1" s="162">
      <c r="A835" s="115" t="n"/>
      <c r="B835" s="115" t="n"/>
      <c r="C835" s="115" t="n"/>
      <c r="D835" s="115" t="n"/>
      <c r="E835" s="115" t="n"/>
      <c r="F835" s="115" t="n"/>
      <c r="G835" s="115" t="n"/>
      <c r="H835" s="115" t="n"/>
      <c r="I835" s="115" t="n"/>
      <c r="J835" s="115" t="n"/>
      <c r="K835" s="115" t="n"/>
      <c r="L835" s="115" t="n"/>
      <c r="M835" s="115" t="n"/>
      <c r="N835" s="115" t="n"/>
      <c r="O835" s="115" t="n"/>
      <c r="P835" s="115" t="n"/>
      <c r="Q835" s="115" t="n"/>
      <c r="R835" s="115" t="n"/>
      <c r="S835" s="115" t="n"/>
      <c r="T835" s="115" t="n"/>
      <c r="U835" s="116" t="n"/>
      <c r="V835" s="116" t="n"/>
      <c r="W835" s="117" t="n"/>
      <c r="X835" s="118" t="n"/>
      <c r="Y835" s="119" t="n"/>
      <c r="Z835" s="120" t="n"/>
      <c r="AA835" s="121" t="n"/>
      <c r="AB835" s="122" t="n"/>
      <c r="AC835" s="117" t="n"/>
      <c r="AD835" s="123">
        <f>IF(SUM($AE835:$AH835)=0,"",SUM($AE835:$AH835))</f>
        <v/>
      </c>
      <c r="AE835" s="123">
        <f>iferror(IF(SUM($AI835:$AZ835)=0,"",SUM($AI835:$AZ835)),"")</f>
        <v/>
      </c>
      <c r="AF835" s="123">
        <f>iferror(IF(SUM($BA835:$BC835)=0,"",SUM($BA835:$BC835)),"")</f>
        <v/>
      </c>
      <c r="AG835" s="123">
        <f>iferror(IF(SUM($BD835:$BF835)=0,"",SUM($BD835:$BF835)),"")</f>
        <v/>
      </c>
      <c r="AH835" s="124">
        <f>iferror(IF(SUM($BG835:$BI835)=0,"",SUM($BG835:$BI835)),"")</f>
        <v/>
      </c>
      <c r="AI835" s="131" t="n"/>
      <c r="AJ835" s="132" t="n"/>
      <c r="AK835" s="132" t="n"/>
      <c r="AL835" s="132" t="n"/>
      <c r="AM835" s="132" t="n"/>
      <c r="AN835" s="132" t="n"/>
      <c r="AO835" s="132" t="n"/>
      <c r="AP835" s="132" t="n"/>
      <c r="AQ835" s="132" t="n"/>
      <c r="AR835" s="132" t="n"/>
      <c r="AS835" s="132" t="n"/>
      <c r="AT835" s="132" t="n"/>
      <c r="AU835" s="132" t="n"/>
      <c r="AV835" s="132" t="n"/>
      <c r="AW835" s="132" t="n"/>
      <c r="AX835" s="132" t="n"/>
      <c r="AY835" s="132" t="n"/>
      <c r="AZ835" s="133" t="n"/>
      <c r="BA835" s="131" t="n"/>
      <c r="BB835" s="132" t="n"/>
      <c r="BC835" s="133" t="n"/>
      <c r="BD835" s="131" t="n"/>
      <c r="BE835" s="132" t="n"/>
      <c r="BF835" s="133" t="n"/>
      <c r="BG835" s="131" t="n"/>
      <c r="BH835" s="132" t="n"/>
      <c r="BI835" s="132" t="n"/>
      <c r="BJ835" s="128">
        <f>iferror(SUM($BK835,($BL835*1.2),($BM835*1.35),($BN835*0.74)),)</f>
        <v/>
      </c>
      <c r="BK835" s="128">
        <f>IFERROR(SUM($BT835:$CK835),)</f>
        <v/>
      </c>
      <c r="BL835" s="129">
        <f>IFERROR(SUM($CL835:$CN835),)</f>
        <v/>
      </c>
      <c r="BM835" s="130">
        <f>IFERROR(SUM($CO835:$CQ835),)</f>
        <v/>
      </c>
      <c r="BN835" s="128">
        <f>IFERROR(SUM($CR835:$CT835),)</f>
        <v/>
      </c>
      <c r="BO835" s="128">
        <f>iferror(SUM($BP835,($BQ835*1.2),($BR835*1.35),($BS835*0.74)),)</f>
        <v/>
      </c>
      <c r="BP835" s="128">
        <f>IFERROR(SUM($CU835:$DL835),)</f>
        <v/>
      </c>
      <c r="BQ835" s="128">
        <f>IFERROR(SUM($DM835:$DO835),)</f>
        <v/>
      </c>
      <c r="BR835" s="128">
        <f>IFERROR(SUM($DP835:$DR835),)</f>
        <v/>
      </c>
      <c r="BS835" s="128">
        <f>IFERROR(SUM($DS835:$DU835),)</f>
        <v/>
      </c>
      <c r="BT835" s="128">
        <f>IFERROR(AI835*$W835,)</f>
        <v/>
      </c>
      <c r="BU835" s="128">
        <f>IFERROR(AJ835*$W835,)</f>
        <v/>
      </c>
      <c r="BV835" s="128">
        <f>IFERROR(AK835*$W835,)</f>
        <v/>
      </c>
      <c r="BW835" s="128">
        <f>IFERROR(AL835*$W835,)</f>
        <v/>
      </c>
      <c r="BX835" s="128">
        <f>IFERROR(AM835*$W835,)</f>
        <v/>
      </c>
      <c r="BY835" s="128">
        <f>IFERROR(AN835*$W835,)</f>
        <v/>
      </c>
      <c r="BZ835" s="128">
        <f>IFERROR(AO835*$W835,)</f>
        <v/>
      </c>
      <c r="CA835" s="128">
        <f>IFERROR(AP835*$W835,)</f>
        <v/>
      </c>
      <c r="CB835" s="128">
        <f>IFERROR(AQ835*$W835,)</f>
        <v/>
      </c>
      <c r="CC835" s="128">
        <f>IFERROR(AR835*$W835,)</f>
        <v/>
      </c>
      <c r="CD835" s="128">
        <f>IFERROR(AS835*$W835,)</f>
        <v/>
      </c>
      <c r="CE835" s="128">
        <f>IFERROR(AT835*$W835,)</f>
        <v/>
      </c>
      <c r="CF835" s="128">
        <f>IFERROR(AU835*$W835,)</f>
        <v/>
      </c>
      <c r="CG835" s="128">
        <f>IFERROR(AV835*$W835,)</f>
        <v/>
      </c>
      <c r="CH835" s="128">
        <f>IFERROR(AW835*$W835,)</f>
        <v/>
      </c>
      <c r="CI835" s="128">
        <f>IFERROR(AX835*$W835,)</f>
        <v/>
      </c>
      <c r="CJ835" s="128">
        <f>IFERROR(AY835*$W835,)</f>
        <v/>
      </c>
      <c r="CK835" s="128">
        <f>IFERROR(AZ835*$W835,)</f>
        <v/>
      </c>
      <c r="CL835" s="129">
        <f>IFERROR(if($Y835=0,BA835*($W835/1.2),BA835*$Y835),"")</f>
        <v/>
      </c>
      <c r="CM835" s="129">
        <f>IFERROR(if($Y835=0,BB835*($W835/1.2),BB835*$Y835),"")</f>
        <v/>
      </c>
      <c r="CN835" s="129">
        <f>IFERROR(if($Y835=0,BC835*($W835/1.2),BC835*$Y835),"")</f>
        <v/>
      </c>
      <c r="CO835" s="130">
        <f>IFERROR(if($AA835=0,($W835/1.35)*BD835,BD835*$AA835),)</f>
        <v/>
      </c>
      <c r="CP835" s="130">
        <f>IFERROR(if($AA835=0,($W835/1.35)*BE835,BE835*$AA835),)</f>
        <v/>
      </c>
      <c r="CQ835" s="130">
        <f>IFERROR(if($AA835=0,($W835/1.35)*BF835,BF835*$AA835),)</f>
        <v/>
      </c>
      <c r="CR835" s="128">
        <f>IFERROR(if($AC835=0,($W835/0.74)*BG835,
BG835*$AC835),)</f>
        <v/>
      </c>
      <c r="CS835" s="128">
        <f>IFERROR(if($AC835=0,($W835/0.74)*BH835,
BH835*$AC835),)</f>
        <v/>
      </c>
      <c r="CT835" s="128">
        <f>IFERROR(if($AC835=0,($W835/0.74)*BI835,
BI835*$AC835),)</f>
        <v/>
      </c>
      <c r="CU835" s="128">
        <f>IFERROR(AI835*$V835,)</f>
        <v/>
      </c>
      <c r="CV835" s="128">
        <f>IFERROR(AJ835*$V835,)</f>
        <v/>
      </c>
      <c r="CW835" s="128">
        <f>IFERROR(AK835*$V835,)</f>
        <v/>
      </c>
      <c r="CX835" s="128">
        <f>IFERROR(AL835*$V835,)</f>
        <v/>
      </c>
      <c r="CY835" s="128">
        <f>IFERROR(AM835*$V835,)</f>
        <v/>
      </c>
      <c r="CZ835" s="128">
        <f>IFERROR(AN835*$V835,)</f>
        <v/>
      </c>
      <c r="DA835" s="128">
        <f>IFERROR(AO835*$V835,)</f>
        <v/>
      </c>
      <c r="DB835" s="128">
        <f>IFERROR(AP835*$V835,)</f>
        <v/>
      </c>
      <c r="DC835" s="128">
        <f>IFERROR(AQ835*$V835,)</f>
        <v/>
      </c>
      <c r="DD835" s="128">
        <f>IFERROR(AR835*$V835,)</f>
        <v/>
      </c>
      <c r="DE835" s="128">
        <f>IFERROR(AS835*$V835,)</f>
        <v/>
      </c>
      <c r="DF835" s="128">
        <f>IFERROR(AT835*$V835,)</f>
        <v/>
      </c>
      <c r="DG835" s="128">
        <f>IFERROR(AU835*$V835,)</f>
        <v/>
      </c>
      <c r="DH835" s="128">
        <f>IFERROR(AV835*$V835,)</f>
        <v/>
      </c>
      <c r="DI835" s="128">
        <f>IFERROR(AW835*$V835,)</f>
        <v/>
      </c>
      <c r="DJ835" s="128">
        <f>IFERROR(AX835*$V835,)</f>
        <v/>
      </c>
      <c r="DK835" s="128">
        <f>IFERROR(AY835*$V835,)</f>
        <v/>
      </c>
      <c r="DL835" s="128">
        <f>IFERROR(AZ835*$V835,)</f>
        <v/>
      </c>
      <c r="DM835" s="129">
        <f>IFERROR(if($X835=0,($V835/1.2)*BA835,
BA835*$X835),)</f>
        <v/>
      </c>
      <c r="DN835" s="129">
        <f>IFERROR(if($X835=0,($V835/1.2)*BB835,
BB835*$X835),)</f>
        <v/>
      </c>
      <c r="DO835" s="129">
        <f>IFERROR(if($X835=0,($V835/1.2)*BC835,
BC835*$X835),)</f>
        <v/>
      </c>
      <c r="DP835" s="130">
        <f>IFERROR(if($Z835=0,($V835/1.35)*BD835,
BD835*$Z835),)</f>
        <v/>
      </c>
      <c r="DQ835" s="130">
        <f>IFERROR(if($Z835=0,($V835/1.35)*BE835,
BE835*$Z835),)</f>
        <v/>
      </c>
      <c r="DR835" s="130">
        <f>IFERROR(if($Z835=0,($V835/1.35)*BF835,
BF835*$Z835),)</f>
        <v/>
      </c>
      <c r="DS835" s="128">
        <f>IFERROR(IF($AB835=0,($V835/0.74)*BG835,
BG835*$AB835),)</f>
        <v/>
      </c>
      <c r="DT835" s="128">
        <f>IFERROR(IF($AB835=0,($V835/0.74)*BH835,
BH835*$AB835),)</f>
        <v/>
      </c>
      <c r="DU835" s="128">
        <f>IFERROR(IF($AB835=0,($V835/0.74)*BI835,
BI835*$AB835),)</f>
        <v/>
      </c>
    </row>
    <row r="836" ht="131.25" customHeight="1" s="162">
      <c r="A836" s="115" t="n"/>
      <c r="B836" s="115" t="n"/>
      <c r="C836" s="115" t="n"/>
      <c r="D836" s="115" t="n"/>
      <c r="E836" s="115" t="n"/>
      <c r="F836" s="115" t="n"/>
      <c r="G836" s="115" t="n"/>
      <c r="H836" s="115" t="n"/>
      <c r="I836" s="115" t="n"/>
      <c r="J836" s="115" t="n"/>
      <c r="K836" s="115" t="n"/>
      <c r="L836" s="115" t="n"/>
      <c r="M836" s="115" t="n"/>
      <c r="N836" s="115" t="n"/>
      <c r="O836" s="115" t="n"/>
      <c r="P836" s="115" t="n"/>
      <c r="Q836" s="115" t="n"/>
      <c r="R836" s="115" t="n"/>
      <c r="S836" s="115" t="n"/>
      <c r="T836" s="115" t="n"/>
      <c r="U836" s="116" t="n"/>
      <c r="V836" s="116" t="n"/>
      <c r="W836" s="117" t="n"/>
      <c r="X836" s="118" t="n"/>
      <c r="Y836" s="119" t="n"/>
      <c r="Z836" s="120" t="n"/>
      <c r="AA836" s="121" t="n"/>
      <c r="AB836" s="122" t="n"/>
      <c r="AC836" s="117" t="n"/>
      <c r="AD836" s="123">
        <f>IF(SUM($AE836:$AH836)=0,"",SUM($AE836:$AH836))</f>
        <v/>
      </c>
      <c r="AE836" s="123">
        <f>iferror(IF(SUM($AI836:$AZ836)=0,"",SUM($AI836:$AZ836)),"")</f>
        <v/>
      </c>
      <c r="AF836" s="123">
        <f>iferror(IF(SUM($BA836:$BC836)=0,"",SUM($BA836:$BC836)),"")</f>
        <v/>
      </c>
      <c r="AG836" s="123">
        <f>iferror(IF(SUM($BD836:$BF836)=0,"",SUM($BD836:$BF836)),"")</f>
        <v/>
      </c>
      <c r="AH836" s="124">
        <f>iferror(IF(SUM($BG836:$BI836)=0,"",SUM($BG836:$BI836)),"")</f>
        <v/>
      </c>
      <c r="AI836" s="131" t="n"/>
      <c r="AJ836" s="132" t="n"/>
      <c r="AK836" s="132" t="n"/>
      <c r="AL836" s="132" t="n"/>
      <c r="AM836" s="132" t="n"/>
      <c r="AN836" s="132" t="n"/>
      <c r="AO836" s="132" t="n"/>
      <c r="AP836" s="132" t="n"/>
      <c r="AQ836" s="132" t="n"/>
      <c r="AR836" s="132" t="n"/>
      <c r="AS836" s="132" t="n"/>
      <c r="AT836" s="132" t="n"/>
      <c r="AU836" s="132" t="n"/>
      <c r="AV836" s="132" t="n"/>
      <c r="AW836" s="132" t="n"/>
      <c r="AX836" s="132" t="n"/>
      <c r="AY836" s="132" t="n"/>
      <c r="AZ836" s="133" t="n"/>
      <c r="BA836" s="131" t="n"/>
      <c r="BB836" s="132" t="n"/>
      <c r="BC836" s="133" t="n"/>
      <c r="BD836" s="131" t="n"/>
      <c r="BE836" s="132" t="n"/>
      <c r="BF836" s="133" t="n"/>
      <c r="BG836" s="131" t="n"/>
      <c r="BH836" s="132" t="n"/>
      <c r="BI836" s="132" t="n"/>
      <c r="BJ836" s="128">
        <f>iferror(SUM($BK836,($BL836*1.2),($BM836*1.35),($BN836*0.74)),)</f>
        <v/>
      </c>
      <c r="BK836" s="128">
        <f>IFERROR(SUM($BT836:$CK836),)</f>
        <v/>
      </c>
      <c r="BL836" s="129">
        <f>IFERROR(SUM($CL836:$CN836),)</f>
        <v/>
      </c>
      <c r="BM836" s="130">
        <f>IFERROR(SUM($CO836:$CQ836),)</f>
        <v/>
      </c>
      <c r="BN836" s="128">
        <f>IFERROR(SUM($CR836:$CT836),)</f>
        <v/>
      </c>
      <c r="BO836" s="128">
        <f>iferror(SUM($BP836,($BQ836*1.2),($BR836*1.35),($BS836*0.74)),)</f>
        <v/>
      </c>
      <c r="BP836" s="128">
        <f>IFERROR(SUM($CU836:$DL836),)</f>
        <v/>
      </c>
      <c r="BQ836" s="128">
        <f>IFERROR(SUM($DM836:$DO836),)</f>
        <v/>
      </c>
      <c r="BR836" s="128">
        <f>IFERROR(SUM($DP836:$DR836),)</f>
        <v/>
      </c>
      <c r="BS836" s="128">
        <f>IFERROR(SUM($DS836:$DU836),)</f>
        <v/>
      </c>
      <c r="BT836" s="128">
        <f>IFERROR(AI836*$W836,)</f>
        <v/>
      </c>
      <c r="BU836" s="128">
        <f>IFERROR(AJ836*$W836,)</f>
        <v/>
      </c>
      <c r="BV836" s="128">
        <f>IFERROR(AK836*$W836,)</f>
        <v/>
      </c>
      <c r="BW836" s="128">
        <f>IFERROR(AL836*$W836,)</f>
        <v/>
      </c>
      <c r="BX836" s="128">
        <f>IFERROR(AM836*$W836,)</f>
        <v/>
      </c>
      <c r="BY836" s="128">
        <f>IFERROR(AN836*$W836,)</f>
        <v/>
      </c>
      <c r="BZ836" s="128">
        <f>IFERROR(AO836*$W836,)</f>
        <v/>
      </c>
      <c r="CA836" s="128">
        <f>IFERROR(AP836*$W836,)</f>
        <v/>
      </c>
      <c r="CB836" s="128">
        <f>IFERROR(AQ836*$W836,)</f>
        <v/>
      </c>
      <c r="CC836" s="128">
        <f>IFERROR(AR836*$W836,)</f>
        <v/>
      </c>
      <c r="CD836" s="128">
        <f>IFERROR(AS836*$W836,)</f>
        <v/>
      </c>
      <c r="CE836" s="128">
        <f>IFERROR(AT836*$W836,)</f>
        <v/>
      </c>
      <c r="CF836" s="128">
        <f>IFERROR(AU836*$W836,)</f>
        <v/>
      </c>
      <c r="CG836" s="128">
        <f>IFERROR(AV836*$W836,)</f>
        <v/>
      </c>
      <c r="CH836" s="128">
        <f>IFERROR(AW836*$W836,)</f>
        <v/>
      </c>
      <c r="CI836" s="128">
        <f>IFERROR(AX836*$W836,)</f>
        <v/>
      </c>
      <c r="CJ836" s="128">
        <f>IFERROR(AY836*$W836,)</f>
        <v/>
      </c>
      <c r="CK836" s="128">
        <f>IFERROR(AZ836*$W836,)</f>
        <v/>
      </c>
      <c r="CL836" s="129">
        <f>IFERROR(if($Y836=0,BA836*($W836/1.2),BA836*$Y836),"")</f>
        <v/>
      </c>
      <c r="CM836" s="129">
        <f>IFERROR(if($Y836=0,BB836*($W836/1.2),BB836*$Y836),"")</f>
        <v/>
      </c>
      <c r="CN836" s="129">
        <f>IFERROR(if($Y836=0,BC836*($W836/1.2),BC836*$Y836),"")</f>
        <v/>
      </c>
      <c r="CO836" s="130">
        <f>IFERROR(if($AA836=0,($W836/1.35)*BD836,BD836*$AA836),)</f>
        <v/>
      </c>
      <c r="CP836" s="130">
        <f>IFERROR(if($AA836=0,($W836/1.35)*BE836,BE836*$AA836),)</f>
        <v/>
      </c>
      <c r="CQ836" s="130">
        <f>IFERROR(if($AA836=0,($W836/1.35)*BF836,BF836*$AA836),)</f>
        <v/>
      </c>
      <c r="CR836" s="128">
        <f>IFERROR(if($AC836=0,($W836/0.74)*BG836,
BG836*$AC836),)</f>
        <v/>
      </c>
      <c r="CS836" s="128">
        <f>IFERROR(if($AC836=0,($W836/0.74)*BH836,
BH836*$AC836),)</f>
        <v/>
      </c>
      <c r="CT836" s="128">
        <f>IFERROR(if($AC836=0,($W836/0.74)*BI836,
BI836*$AC836),)</f>
        <v/>
      </c>
      <c r="CU836" s="128">
        <f>IFERROR(AI836*$V836,)</f>
        <v/>
      </c>
      <c r="CV836" s="128">
        <f>IFERROR(AJ836*$V836,)</f>
        <v/>
      </c>
      <c r="CW836" s="128">
        <f>IFERROR(AK836*$V836,)</f>
        <v/>
      </c>
      <c r="CX836" s="128">
        <f>IFERROR(AL836*$V836,)</f>
        <v/>
      </c>
      <c r="CY836" s="128">
        <f>IFERROR(AM836*$V836,)</f>
        <v/>
      </c>
      <c r="CZ836" s="128">
        <f>IFERROR(AN836*$V836,)</f>
        <v/>
      </c>
      <c r="DA836" s="128">
        <f>IFERROR(AO836*$V836,)</f>
        <v/>
      </c>
      <c r="DB836" s="128">
        <f>IFERROR(AP836*$V836,)</f>
        <v/>
      </c>
      <c r="DC836" s="128">
        <f>IFERROR(AQ836*$V836,)</f>
        <v/>
      </c>
      <c r="DD836" s="128">
        <f>IFERROR(AR836*$V836,)</f>
        <v/>
      </c>
      <c r="DE836" s="128">
        <f>IFERROR(AS836*$V836,)</f>
        <v/>
      </c>
      <c r="DF836" s="128">
        <f>IFERROR(AT836*$V836,)</f>
        <v/>
      </c>
      <c r="DG836" s="128">
        <f>IFERROR(AU836*$V836,)</f>
        <v/>
      </c>
      <c r="DH836" s="128">
        <f>IFERROR(AV836*$V836,)</f>
        <v/>
      </c>
      <c r="DI836" s="128">
        <f>IFERROR(AW836*$V836,)</f>
        <v/>
      </c>
      <c r="DJ836" s="128">
        <f>IFERROR(AX836*$V836,)</f>
        <v/>
      </c>
      <c r="DK836" s="128">
        <f>IFERROR(AY836*$V836,)</f>
        <v/>
      </c>
      <c r="DL836" s="128">
        <f>IFERROR(AZ836*$V836,)</f>
        <v/>
      </c>
      <c r="DM836" s="129">
        <f>IFERROR(if($X836=0,($V836/1.2)*BA836,
BA836*$X836),)</f>
        <v/>
      </c>
      <c r="DN836" s="129">
        <f>IFERROR(if($X836=0,($V836/1.2)*BB836,
BB836*$X836),)</f>
        <v/>
      </c>
      <c r="DO836" s="129">
        <f>IFERROR(if($X836=0,($V836/1.2)*BC836,
BC836*$X836),)</f>
        <v/>
      </c>
      <c r="DP836" s="130">
        <f>IFERROR(if($Z836=0,($V836/1.35)*BD836,
BD836*$Z836),)</f>
        <v/>
      </c>
      <c r="DQ836" s="130">
        <f>IFERROR(if($Z836=0,($V836/1.35)*BE836,
BE836*$Z836),)</f>
        <v/>
      </c>
      <c r="DR836" s="130">
        <f>IFERROR(if($Z836=0,($V836/1.35)*BF836,
BF836*$Z836),)</f>
        <v/>
      </c>
      <c r="DS836" s="128">
        <f>IFERROR(IF($AB836=0,($V836/0.74)*BG836,
BG836*$AB836),)</f>
        <v/>
      </c>
      <c r="DT836" s="128">
        <f>IFERROR(IF($AB836=0,($V836/0.74)*BH836,
BH836*$AB836),)</f>
        <v/>
      </c>
      <c r="DU836" s="128">
        <f>IFERROR(IF($AB836=0,($V836/0.74)*BI836,
BI836*$AB836),)</f>
        <v/>
      </c>
    </row>
    <row r="837" ht="131.25" customHeight="1" s="162">
      <c r="A837" s="115" t="n"/>
      <c r="B837" s="115" t="n"/>
      <c r="C837" s="115" t="n"/>
      <c r="D837" s="115" t="n"/>
      <c r="E837" s="115" t="n"/>
      <c r="F837" s="115" t="n"/>
      <c r="G837" s="115" t="n"/>
      <c r="H837" s="115" t="n"/>
      <c r="I837" s="115" t="n"/>
      <c r="J837" s="115" t="n"/>
      <c r="K837" s="115" t="n"/>
      <c r="L837" s="115" t="n"/>
      <c r="M837" s="115" t="n"/>
      <c r="N837" s="115" t="n"/>
      <c r="O837" s="115" t="n"/>
      <c r="P837" s="115" t="n"/>
      <c r="Q837" s="115" t="n"/>
      <c r="R837" s="115" t="n"/>
      <c r="S837" s="115" t="n"/>
      <c r="T837" s="115" t="n"/>
      <c r="U837" s="116" t="n"/>
      <c r="V837" s="116" t="n"/>
      <c r="W837" s="117" t="n"/>
      <c r="X837" s="118" t="n"/>
      <c r="Y837" s="119" t="n"/>
      <c r="Z837" s="120" t="n"/>
      <c r="AA837" s="121" t="n"/>
      <c r="AB837" s="122" t="n"/>
      <c r="AC837" s="117" t="n"/>
      <c r="AD837" s="123">
        <f>IF(SUM($AE837:$AH837)=0,"",SUM($AE837:$AH837))</f>
        <v/>
      </c>
      <c r="AE837" s="123">
        <f>iferror(IF(SUM($AI837:$AZ837)=0,"",SUM($AI837:$AZ837)),"")</f>
        <v/>
      </c>
      <c r="AF837" s="123">
        <f>iferror(IF(SUM($BA837:$BC837)=0,"",SUM($BA837:$BC837)),"")</f>
        <v/>
      </c>
      <c r="AG837" s="123">
        <f>iferror(IF(SUM($BD837:$BF837)=0,"",SUM($BD837:$BF837)),"")</f>
        <v/>
      </c>
      <c r="AH837" s="124">
        <f>iferror(IF(SUM($BG837:$BI837)=0,"",SUM($BG837:$BI837)),"")</f>
        <v/>
      </c>
      <c r="AI837" s="131" t="n"/>
      <c r="AJ837" s="132" t="n"/>
      <c r="AK837" s="132" t="n"/>
      <c r="AL837" s="132" t="n"/>
      <c r="AM837" s="132" t="n"/>
      <c r="AN837" s="132" t="n"/>
      <c r="AO837" s="132" t="n"/>
      <c r="AP837" s="132" t="n"/>
      <c r="AQ837" s="132" t="n"/>
      <c r="AR837" s="132" t="n"/>
      <c r="AS837" s="132" t="n"/>
      <c r="AT837" s="132" t="n"/>
      <c r="AU837" s="132" t="n"/>
      <c r="AV837" s="132" t="n"/>
      <c r="AW837" s="132" t="n"/>
      <c r="AX837" s="132" t="n"/>
      <c r="AY837" s="132" t="n"/>
      <c r="AZ837" s="133" t="n"/>
      <c r="BA837" s="131" t="n"/>
      <c r="BB837" s="132" t="n"/>
      <c r="BC837" s="133" t="n"/>
      <c r="BD837" s="131" t="n"/>
      <c r="BE837" s="132" t="n"/>
      <c r="BF837" s="133" t="n"/>
      <c r="BG837" s="131" t="n"/>
      <c r="BH837" s="132" t="n"/>
      <c r="BI837" s="132" t="n"/>
      <c r="BJ837" s="128">
        <f>iferror(SUM($BK837,($BL837*1.2),($BM837*1.35),($BN837*0.74)),)</f>
        <v/>
      </c>
      <c r="BK837" s="128">
        <f>IFERROR(SUM($BT837:$CK837),)</f>
        <v/>
      </c>
      <c r="BL837" s="129">
        <f>IFERROR(SUM($CL837:$CN837),)</f>
        <v/>
      </c>
      <c r="BM837" s="130">
        <f>IFERROR(SUM($CO837:$CQ837),)</f>
        <v/>
      </c>
      <c r="BN837" s="128">
        <f>IFERROR(SUM($CR837:$CT837),)</f>
        <v/>
      </c>
      <c r="BO837" s="128">
        <f>iferror(SUM($BP837,($BQ837*1.2),($BR837*1.35),($BS837*0.74)),)</f>
        <v/>
      </c>
      <c r="BP837" s="128">
        <f>IFERROR(SUM($CU837:$DL837),)</f>
        <v/>
      </c>
      <c r="BQ837" s="128">
        <f>IFERROR(SUM($DM837:$DO837),)</f>
        <v/>
      </c>
      <c r="BR837" s="128">
        <f>IFERROR(SUM($DP837:$DR837),)</f>
        <v/>
      </c>
      <c r="BS837" s="128">
        <f>IFERROR(SUM($DS837:$DU837),)</f>
        <v/>
      </c>
      <c r="BT837" s="128">
        <f>IFERROR(AI837*$W837,)</f>
        <v/>
      </c>
      <c r="BU837" s="128">
        <f>IFERROR(AJ837*$W837,)</f>
        <v/>
      </c>
      <c r="BV837" s="128">
        <f>IFERROR(AK837*$W837,)</f>
        <v/>
      </c>
      <c r="BW837" s="128">
        <f>IFERROR(AL837*$W837,)</f>
        <v/>
      </c>
      <c r="BX837" s="128">
        <f>IFERROR(AM837*$W837,)</f>
        <v/>
      </c>
      <c r="BY837" s="128">
        <f>IFERROR(AN837*$W837,)</f>
        <v/>
      </c>
      <c r="BZ837" s="128">
        <f>IFERROR(AO837*$W837,)</f>
        <v/>
      </c>
      <c r="CA837" s="128">
        <f>IFERROR(AP837*$W837,)</f>
        <v/>
      </c>
      <c r="CB837" s="128">
        <f>IFERROR(AQ837*$W837,)</f>
        <v/>
      </c>
      <c r="CC837" s="128">
        <f>IFERROR(AR837*$W837,)</f>
        <v/>
      </c>
      <c r="CD837" s="128">
        <f>IFERROR(AS837*$W837,)</f>
        <v/>
      </c>
      <c r="CE837" s="128">
        <f>IFERROR(AT837*$W837,)</f>
        <v/>
      </c>
      <c r="CF837" s="128">
        <f>IFERROR(AU837*$W837,)</f>
        <v/>
      </c>
      <c r="CG837" s="128">
        <f>IFERROR(AV837*$W837,)</f>
        <v/>
      </c>
      <c r="CH837" s="128">
        <f>IFERROR(AW837*$W837,)</f>
        <v/>
      </c>
      <c r="CI837" s="128">
        <f>IFERROR(AX837*$W837,)</f>
        <v/>
      </c>
      <c r="CJ837" s="128">
        <f>IFERROR(AY837*$W837,)</f>
        <v/>
      </c>
      <c r="CK837" s="128">
        <f>IFERROR(AZ837*$W837,)</f>
        <v/>
      </c>
      <c r="CL837" s="129">
        <f>IFERROR(if($Y837=0,BA837*($W837/1.2),BA837*$Y837),"")</f>
        <v/>
      </c>
      <c r="CM837" s="129">
        <f>IFERROR(if($Y837=0,BB837*($W837/1.2),BB837*$Y837),"")</f>
        <v/>
      </c>
      <c r="CN837" s="129">
        <f>IFERROR(if($Y837=0,BC837*($W837/1.2),BC837*$Y837),"")</f>
        <v/>
      </c>
      <c r="CO837" s="130">
        <f>IFERROR(if($AA837=0,($W837/1.35)*BD837,BD837*$AA837),)</f>
        <v/>
      </c>
      <c r="CP837" s="130">
        <f>IFERROR(if($AA837=0,($W837/1.35)*BE837,BE837*$AA837),)</f>
        <v/>
      </c>
      <c r="CQ837" s="130">
        <f>IFERROR(if($AA837=0,($W837/1.35)*BF837,BF837*$AA837),)</f>
        <v/>
      </c>
      <c r="CR837" s="128">
        <f>IFERROR(if($AC837=0,($W837/0.74)*BG837,
BG837*$AC837),)</f>
        <v/>
      </c>
      <c r="CS837" s="128">
        <f>IFERROR(if($AC837=0,($W837/0.74)*BH837,
BH837*$AC837),)</f>
        <v/>
      </c>
      <c r="CT837" s="128">
        <f>IFERROR(if($AC837=0,($W837/0.74)*BI837,
BI837*$AC837),)</f>
        <v/>
      </c>
      <c r="CU837" s="128">
        <f>IFERROR(AI837*$V837,)</f>
        <v/>
      </c>
      <c r="CV837" s="128">
        <f>IFERROR(AJ837*$V837,)</f>
        <v/>
      </c>
      <c r="CW837" s="128">
        <f>IFERROR(AK837*$V837,)</f>
        <v/>
      </c>
      <c r="CX837" s="128">
        <f>IFERROR(AL837*$V837,)</f>
        <v/>
      </c>
      <c r="CY837" s="128">
        <f>IFERROR(AM837*$V837,)</f>
        <v/>
      </c>
      <c r="CZ837" s="128">
        <f>IFERROR(AN837*$V837,)</f>
        <v/>
      </c>
      <c r="DA837" s="128">
        <f>IFERROR(AO837*$V837,)</f>
        <v/>
      </c>
      <c r="DB837" s="128">
        <f>IFERROR(AP837*$V837,)</f>
        <v/>
      </c>
      <c r="DC837" s="128">
        <f>IFERROR(AQ837*$V837,)</f>
        <v/>
      </c>
      <c r="DD837" s="128">
        <f>IFERROR(AR837*$V837,)</f>
        <v/>
      </c>
      <c r="DE837" s="128">
        <f>IFERROR(AS837*$V837,)</f>
        <v/>
      </c>
      <c r="DF837" s="128">
        <f>IFERROR(AT837*$V837,)</f>
        <v/>
      </c>
      <c r="DG837" s="128">
        <f>IFERROR(AU837*$V837,)</f>
        <v/>
      </c>
      <c r="DH837" s="128">
        <f>IFERROR(AV837*$V837,)</f>
        <v/>
      </c>
      <c r="DI837" s="128">
        <f>IFERROR(AW837*$V837,)</f>
        <v/>
      </c>
      <c r="DJ837" s="128">
        <f>IFERROR(AX837*$V837,)</f>
        <v/>
      </c>
      <c r="DK837" s="128">
        <f>IFERROR(AY837*$V837,)</f>
        <v/>
      </c>
      <c r="DL837" s="128">
        <f>IFERROR(AZ837*$V837,)</f>
        <v/>
      </c>
      <c r="DM837" s="129">
        <f>IFERROR(if($X837=0,($V837/1.2)*BA837,
BA837*$X837),)</f>
        <v/>
      </c>
      <c r="DN837" s="129">
        <f>IFERROR(if($X837=0,($V837/1.2)*BB837,
BB837*$X837),)</f>
        <v/>
      </c>
      <c r="DO837" s="129">
        <f>IFERROR(if($X837=0,($V837/1.2)*BC837,
BC837*$X837),)</f>
        <v/>
      </c>
      <c r="DP837" s="130">
        <f>IFERROR(if($Z837=0,($V837/1.35)*BD837,
BD837*$Z837),)</f>
        <v/>
      </c>
      <c r="DQ837" s="130">
        <f>IFERROR(if($Z837=0,($V837/1.35)*BE837,
BE837*$Z837),)</f>
        <v/>
      </c>
      <c r="DR837" s="130">
        <f>IFERROR(if($Z837=0,($V837/1.35)*BF837,
BF837*$Z837),)</f>
        <v/>
      </c>
      <c r="DS837" s="128">
        <f>IFERROR(IF($AB837=0,($V837/0.74)*BG837,
BG837*$AB837),)</f>
        <v/>
      </c>
      <c r="DT837" s="128">
        <f>IFERROR(IF($AB837=0,($V837/0.74)*BH837,
BH837*$AB837),)</f>
        <v/>
      </c>
      <c r="DU837" s="128">
        <f>IFERROR(IF($AB837=0,($V837/0.74)*BI837,
BI837*$AB837),)</f>
        <v/>
      </c>
    </row>
    <row r="838" ht="131.25" customHeight="1" s="162">
      <c r="A838" s="115" t="n"/>
      <c r="B838" s="115" t="n"/>
      <c r="C838" s="115" t="n"/>
      <c r="D838" s="115" t="n"/>
      <c r="E838" s="115" t="n"/>
      <c r="F838" s="115" t="n"/>
      <c r="G838" s="115" t="n"/>
      <c r="H838" s="115" t="n"/>
      <c r="I838" s="115" t="n"/>
      <c r="J838" s="115" t="n"/>
      <c r="K838" s="115" t="n"/>
      <c r="L838" s="115" t="n"/>
      <c r="M838" s="115" t="n"/>
      <c r="N838" s="115" t="n"/>
      <c r="O838" s="115" t="n"/>
      <c r="P838" s="115" t="n"/>
      <c r="Q838" s="115" t="n"/>
      <c r="R838" s="115" t="n"/>
      <c r="S838" s="115" t="n"/>
      <c r="T838" s="115" t="n"/>
      <c r="U838" s="116" t="n"/>
      <c r="V838" s="116" t="n"/>
      <c r="W838" s="117" t="n"/>
      <c r="X838" s="118" t="n"/>
      <c r="Y838" s="119" t="n"/>
      <c r="Z838" s="120" t="n"/>
      <c r="AA838" s="121" t="n"/>
      <c r="AB838" s="122" t="n"/>
      <c r="AC838" s="117" t="n"/>
      <c r="AD838" s="123">
        <f>IF(SUM($AE838:$AH838)=0,"",SUM($AE838:$AH838))</f>
        <v/>
      </c>
      <c r="AE838" s="123">
        <f>iferror(IF(SUM($AI838:$AZ838)=0,"",SUM($AI838:$AZ838)),"")</f>
        <v/>
      </c>
      <c r="AF838" s="123">
        <f>iferror(IF(SUM($BA838:$BC838)=0,"",SUM($BA838:$BC838)),"")</f>
        <v/>
      </c>
      <c r="AG838" s="123">
        <f>iferror(IF(SUM($BD838:$BF838)=0,"",SUM($BD838:$BF838)),"")</f>
        <v/>
      </c>
      <c r="AH838" s="124">
        <f>iferror(IF(SUM($BG838:$BI838)=0,"",SUM($BG838:$BI838)),"")</f>
        <v/>
      </c>
      <c r="AI838" s="131" t="n"/>
      <c r="AJ838" s="132" t="n"/>
      <c r="AK838" s="132" t="n"/>
      <c r="AL838" s="132" t="n"/>
      <c r="AM838" s="132" t="n"/>
      <c r="AN838" s="132" t="n"/>
      <c r="AO838" s="132" t="n"/>
      <c r="AP838" s="132" t="n"/>
      <c r="AQ838" s="132" t="n"/>
      <c r="AR838" s="132" t="n"/>
      <c r="AS838" s="132" t="n"/>
      <c r="AT838" s="132" t="n"/>
      <c r="AU838" s="132" t="n"/>
      <c r="AV838" s="132" t="n"/>
      <c r="AW838" s="132" t="n"/>
      <c r="AX838" s="132" t="n"/>
      <c r="AY838" s="132" t="n"/>
      <c r="AZ838" s="133" t="n"/>
      <c r="BA838" s="131" t="n"/>
      <c r="BB838" s="132" t="n"/>
      <c r="BC838" s="133" t="n"/>
      <c r="BD838" s="131" t="n"/>
      <c r="BE838" s="132" t="n"/>
      <c r="BF838" s="133" t="n"/>
      <c r="BG838" s="131" t="n"/>
      <c r="BH838" s="132" t="n"/>
      <c r="BI838" s="132" t="n"/>
      <c r="BJ838" s="128">
        <f>iferror(SUM($BK838,($BL838*1.2),($BM838*1.35),($BN838*0.74)),)</f>
        <v/>
      </c>
      <c r="BK838" s="128">
        <f>IFERROR(SUM($BT838:$CK838),)</f>
        <v/>
      </c>
      <c r="BL838" s="129">
        <f>IFERROR(SUM($CL838:$CN838),)</f>
        <v/>
      </c>
      <c r="BM838" s="130">
        <f>IFERROR(SUM($CO838:$CQ838),)</f>
        <v/>
      </c>
      <c r="BN838" s="128">
        <f>IFERROR(SUM($CR838:$CT838),)</f>
        <v/>
      </c>
      <c r="BO838" s="128">
        <f>iferror(SUM($BP838,($BQ838*1.2),($BR838*1.35),($BS838*0.74)),)</f>
        <v/>
      </c>
      <c r="BP838" s="128">
        <f>IFERROR(SUM($CU838:$DL838),)</f>
        <v/>
      </c>
      <c r="BQ838" s="128">
        <f>IFERROR(SUM($DM838:$DO838),)</f>
        <v/>
      </c>
      <c r="BR838" s="128">
        <f>IFERROR(SUM($DP838:$DR838),)</f>
        <v/>
      </c>
      <c r="BS838" s="128">
        <f>IFERROR(SUM($DS838:$DU838),)</f>
        <v/>
      </c>
      <c r="BT838" s="128">
        <f>IFERROR(AI838*$W838,)</f>
        <v/>
      </c>
      <c r="BU838" s="128">
        <f>IFERROR(AJ838*$W838,)</f>
        <v/>
      </c>
      <c r="BV838" s="128">
        <f>IFERROR(AK838*$W838,)</f>
        <v/>
      </c>
      <c r="BW838" s="128">
        <f>IFERROR(AL838*$W838,)</f>
        <v/>
      </c>
      <c r="BX838" s="128">
        <f>IFERROR(AM838*$W838,)</f>
        <v/>
      </c>
      <c r="BY838" s="128">
        <f>IFERROR(AN838*$W838,)</f>
        <v/>
      </c>
      <c r="BZ838" s="128">
        <f>IFERROR(AO838*$W838,)</f>
        <v/>
      </c>
      <c r="CA838" s="128">
        <f>IFERROR(AP838*$W838,)</f>
        <v/>
      </c>
      <c r="CB838" s="128">
        <f>IFERROR(AQ838*$W838,)</f>
        <v/>
      </c>
      <c r="CC838" s="128">
        <f>IFERROR(AR838*$W838,)</f>
        <v/>
      </c>
      <c r="CD838" s="128">
        <f>IFERROR(AS838*$W838,)</f>
        <v/>
      </c>
      <c r="CE838" s="128">
        <f>IFERROR(AT838*$W838,)</f>
        <v/>
      </c>
      <c r="CF838" s="128">
        <f>IFERROR(AU838*$W838,)</f>
        <v/>
      </c>
      <c r="CG838" s="128">
        <f>IFERROR(AV838*$W838,)</f>
        <v/>
      </c>
      <c r="CH838" s="128">
        <f>IFERROR(AW838*$W838,)</f>
        <v/>
      </c>
      <c r="CI838" s="128">
        <f>IFERROR(AX838*$W838,)</f>
        <v/>
      </c>
      <c r="CJ838" s="128">
        <f>IFERROR(AY838*$W838,)</f>
        <v/>
      </c>
      <c r="CK838" s="128">
        <f>IFERROR(AZ838*$W838,)</f>
        <v/>
      </c>
      <c r="CL838" s="129">
        <f>IFERROR(if($Y838=0,BA838*($W838/1.2),BA838*$Y838),"")</f>
        <v/>
      </c>
      <c r="CM838" s="129">
        <f>IFERROR(if($Y838=0,BB838*($W838/1.2),BB838*$Y838),"")</f>
        <v/>
      </c>
      <c r="CN838" s="129">
        <f>IFERROR(if($Y838=0,BC838*($W838/1.2),BC838*$Y838),"")</f>
        <v/>
      </c>
      <c r="CO838" s="130">
        <f>IFERROR(if($AA838=0,($W838/1.35)*BD838,BD838*$AA838),)</f>
        <v/>
      </c>
      <c r="CP838" s="130">
        <f>IFERROR(if($AA838=0,($W838/1.35)*BE838,BE838*$AA838),)</f>
        <v/>
      </c>
      <c r="CQ838" s="130">
        <f>IFERROR(if($AA838=0,($W838/1.35)*BF838,BF838*$AA838),)</f>
        <v/>
      </c>
      <c r="CR838" s="128">
        <f>IFERROR(if($AC838=0,($W838/0.74)*BG838,
BG838*$AC838),)</f>
        <v/>
      </c>
      <c r="CS838" s="128">
        <f>IFERROR(if($AC838=0,($W838/0.74)*BH838,
BH838*$AC838),)</f>
        <v/>
      </c>
      <c r="CT838" s="128">
        <f>IFERROR(if($AC838=0,($W838/0.74)*BI838,
BI838*$AC838),)</f>
        <v/>
      </c>
      <c r="CU838" s="128">
        <f>IFERROR(AI838*$V838,)</f>
        <v/>
      </c>
      <c r="CV838" s="128">
        <f>IFERROR(AJ838*$V838,)</f>
        <v/>
      </c>
      <c r="CW838" s="128">
        <f>IFERROR(AK838*$V838,)</f>
        <v/>
      </c>
      <c r="CX838" s="128">
        <f>IFERROR(AL838*$V838,)</f>
        <v/>
      </c>
      <c r="CY838" s="128">
        <f>IFERROR(AM838*$V838,)</f>
        <v/>
      </c>
      <c r="CZ838" s="128">
        <f>IFERROR(AN838*$V838,)</f>
        <v/>
      </c>
      <c r="DA838" s="128">
        <f>IFERROR(AO838*$V838,)</f>
        <v/>
      </c>
      <c r="DB838" s="128">
        <f>IFERROR(AP838*$V838,)</f>
        <v/>
      </c>
      <c r="DC838" s="128">
        <f>IFERROR(AQ838*$V838,)</f>
        <v/>
      </c>
      <c r="DD838" s="128">
        <f>IFERROR(AR838*$V838,)</f>
        <v/>
      </c>
      <c r="DE838" s="128">
        <f>IFERROR(AS838*$V838,)</f>
        <v/>
      </c>
      <c r="DF838" s="128">
        <f>IFERROR(AT838*$V838,)</f>
        <v/>
      </c>
      <c r="DG838" s="128">
        <f>IFERROR(AU838*$V838,)</f>
        <v/>
      </c>
      <c r="DH838" s="128">
        <f>IFERROR(AV838*$V838,)</f>
        <v/>
      </c>
      <c r="DI838" s="128">
        <f>IFERROR(AW838*$V838,)</f>
        <v/>
      </c>
      <c r="DJ838" s="128">
        <f>IFERROR(AX838*$V838,)</f>
        <v/>
      </c>
      <c r="DK838" s="128">
        <f>IFERROR(AY838*$V838,)</f>
        <v/>
      </c>
      <c r="DL838" s="128">
        <f>IFERROR(AZ838*$V838,)</f>
        <v/>
      </c>
      <c r="DM838" s="129">
        <f>IFERROR(if($X838=0,($V838/1.2)*BA838,
BA838*$X838),)</f>
        <v/>
      </c>
      <c r="DN838" s="129">
        <f>IFERROR(if($X838=0,($V838/1.2)*BB838,
BB838*$X838),)</f>
        <v/>
      </c>
      <c r="DO838" s="129">
        <f>IFERROR(if($X838=0,($V838/1.2)*BC838,
BC838*$X838),)</f>
        <v/>
      </c>
      <c r="DP838" s="130">
        <f>IFERROR(if($Z838=0,($V838/1.35)*BD838,
BD838*$Z838),)</f>
        <v/>
      </c>
      <c r="DQ838" s="130">
        <f>IFERROR(if($Z838=0,($V838/1.35)*BE838,
BE838*$Z838),)</f>
        <v/>
      </c>
      <c r="DR838" s="130">
        <f>IFERROR(if($Z838=0,($V838/1.35)*BF838,
BF838*$Z838),)</f>
        <v/>
      </c>
      <c r="DS838" s="128">
        <f>IFERROR(IF($AB838=0,($V838/0.74)*BG838,
BG838*$AB838),)</f>
        <v/>
      </c>
      <c r="DT838" s="128">
        <f>IFERROR(IF($AB838=0,($V838/0.74)*BH838,
BH838*$AB838),)</f>
        <v/>
      </c>
      <c r="DU838" s="128">
        <f>IFERROR(IF($AB838=0,($V838/0.74)*BI838,
BI838*$AB838),)</f>
        <v/>
      </c>
    </row>
    <row r="839" ht="131.25" customHeight="1" s="162">
      <c r="A839" s="115" t="n"/>
      <c r="B839" s="115" t="n"/>
      <c r="C839" s="115" t="n"/>
      <c r="D839" s="115" t="n"/>
      <c r="E839" s="115" t="n"/>
      <c r="F839" s="115" t="n"/>
      <c r="G839" s="115" t="n"/>
      <c r="H839" s="115" t="n"/>
      <c r="I839" s="115" t="n"/>
      <c r="J839" s="115" t="n"/>
      <c r="K839" s="115" t="n"/>
      <c r="L839" s="115" t="n"/>
      <c r="M839" s="115" t="n"/>
      <c r="N839" s="115" t="n"/>
      <c r="O839" s="115" t="n"/>
      <c r="P839" s="115" t="n"/>
      <c r="Q839" s="115" t="n"/>
      <c r="R839" s="115" t="n"/>
      <c r="S839" s="115" t="n"/>
      <c r="T839" s="115" t="n"/>
      <c r="U839" s="116" t="n"/>
      <c r="V839" s="116" t="n"/>
      <c r="W839" s="117" t="n"/>
      <c r="X839" s="118" t="n"/>
      <c r="Y839" s="119" t="n"/>
      <c r="Z839" s="120" t="n"/>
      <c r="AA839" s="121" t="n"/>
      <c r="AB839" s="122" t="n"/>
      <c r="AC839" s="117" t="n"/>
      <c r="AD839" s="123">
        <f>IF(SUM($AE839:$AH839)=0,"",SUM($AE839:$AH839))</f>
        <v/>
      </c>
      <c r="AE839" s="123">
        <f>iferror(IF(SUM($AI839:$AZ839)=0,"",SUM($AI839:$AZ839)),"")</f>
        <v/>
      </c>
      <c r="AF839" s="123">
        <f>iferror(IF(SUM($BA839:$BC839)=0,"",SUM($BA839:$BC839)),"")</f>
        <v/>
      </c>
      <c r="AG839" s="123">
        <f>iferror(IF(SUM($BD839:$BF839)=0,"",SUM($BD839:$BF839)),"")</f>
        <v/>
      </c>
      <c r="AH839" s="124">
        <f>iferror(IF(SUM($BG839:$BI839)=0,"",SUM($BG839:$BI839)),"")</f>
        <v/>
      </c>
      <c r="AI839" s="131" t="n"/>
      <c r="AJ839" s="132" t="n"/>
      <c r="AK839" s="132" t="n"/>
      <c r="AL839" s="132" t="n"/>
      <c r="AM839" s="132" t="n"/>
      <c r="AN839" s="132" t="n"/>
      <c r="AO839" s="132" t="n"/>
      <c r="AP839" s="132" t="n"/>
      <c r="AQ839" s="132" t="n"/>
      <c r="AR839" s="132" t="n"/>
      <c r="AS839" s="132" t="n"/>
      <c r="AT839" s="132" t="n"/>
      <c r="AU839" s="132" t="n"/>
      <c r="AV839" s="132" t="n"/>
      <c r="AW839" s="132" t="n"/>
      <c r="AX839" s="132" t="n"/>
      <c r="AY839" s="132" t="n"/>
      <c r="AZ839" s="133" t="n"/>
      <c r="BA839" s="131" t="n"/>
      <c r="BB839" s="132" t="n"/>
      <c r="BC839" s="133" t="n"/>
      <c r="BD839" s="131" t="n"/>
      <c r="BE839" s="132" t="n"/>
      <c r="BF839" s="133" t="n"/>
      <c r="BG839" s="131" t="n"/>
      <c r="BH839" s="132" t="n"/>
      <c r="BI839" s="132" t="n"/>
      <c r="BJ839" s="128">
        <f>iferror(SUM($BK839,($BL839*1.2),($BM839*1.35),($BN839*0.74)),)</f>
        <v/>
      </c>
      <c r="BK839" s="128">
        <f>IFERROR(SUM($BT839:$CK839),)</f>
        <v/>
      </c>
      <c r="BL839" s="129">
        <f>IFERROR(SUM($CL839:$CN839),)</f>
        <v/>
      </c>
      <c r="BM839" s="130">
        <f>IFERROR(SUM($CO839:$CQ839),)</f>
        <v/>
      </c>
      <c r="BN839" s="128">
        <f>IFERROR(SUM($CR839:$CT839),)</f>
        <v/>
      </c>
      <c r="BO839" s="128">
        <f>iferror(SUM($BP839,($BQ839*1.2),($BR839*1.35),($BS839*0.74)),)</f>
        <v/>
      </c>
      <c r="BP839" s="128">
        <f>IFERROR(SUM($CU839:$DL839),)</f>
        <v/>
      </c>
      <c r="BQ839" s="128">
        <f>IFERROR(SUM($DM839:$DO839),)</f>
        <v/>
      </c>
      <c r="BR839" s="128">
        <f>IFERROR(SUM($DP839:$DR839),)</f>
        <v/>
      </c>
      <c r="BS839" s="128">
        <f>IFERROR(SUM($DS839:$DU839),)</f>
        <v/>
      </c>
      <c r="BT839" s="128">
        <f>IFERROR(AI839*$W839,)</f>
        <v/>
      </c>
      <c r="BU839" s="128">
        <f>IFERROR(AJ839*$W839,)</f>
        <v/>
      </c>
      <c r="BV839" s="128">
        <f>IFERROR(AK839*$W839,)</f>
        <v/>
      </c>
      <c r="BW839" s="128">
        <f>IFERROR(AL839*$W839,)</f>
        <v/>
      </c>
      <c r="BX839" s="128">
        <f>IFERROR(AM839*$W839,)</f>
        <v/>
      </c>
      <c r="BY839" s="128">
        <f>IFERROR(AN839*$W839,)</f>
        <v/>
      </c>
      <c r="BZ839" s="128">
        <f>IFERROR(AO839*$W839,)</f>
        <v/>
      </c>
      <c r="CA839" s="128">
        <f>IFERROR(AP839*$W839,)</f>
        <v/>
      </c>
      <c r="CB839" s="128">
        <f>IFERROR(AQ839*$W839,)</f>
        <v/>
      </c>
      <c r="CC839" s="128">
        <f>IFERROR(AR839*$W839,)</f>
        <v/>
      </c>
      <c r="CD839" s="128">
        <f>IFERROR(AS839*$W839,)</f>
        <v/>
      </c>
      <c r="CE839" s="128">
        <f>IFERROR(AT839*$W839,)</f>
        <v/>
      </c>
      <c r="CF839" s="128">
        <f>IFERROR(AU839*$W839,)</f>
        <v/>
      </c>
      <c r="CG839" s="128">
        <f>IFERROR(AV839*$W839,)</f>
        <v/>
      </c>
      <c r="CH839" s="128">
        <f>IFERROR(AW839*$W839,)</f>
        <v/>
      </c>
      <c r="CI839" s="128">
        <f>IFERROR(AX839*$W839,)</f>
        <v/>
      </c>
      <c r="CJ839" s="128">
        <f>IFERROR(AY839*$W839,)</f>
        <v/>
      </c>
      <c r="CK839" s="128">
        <f>IFERROR(AZ839*$W839,)</f>
        <v/>
      </c>
      <c r="CL839" s="129">
        <f>IFERROR(if($Y839=0,BA839*($W839/1.2),BA839*$Y839),"")</f>
        <v/>
      </c>
      <c r="CM839" s="129">
        <f>IFERROR(if($Y839=0,BB839*($W839/1.2),BB839*$Y839),"")</f>
        <v/>
      </c>
      <c r="CN839" s="129">
        <f>IFERROR(if($Y839=0,BC839*($W839/1.2),BC839*$Y839),"")</f>
        <v/>
      </c>
      <c r="CO839" s="130">
        <f>IFERROR(if($AA839=0,($W839/1.35)*BD839,BD839*$AA839),)</f>
        <v/>
      </c>
      <c r="CP839" s="130">
        <f>IFERROR(if($AA839=0,($W839/1.35)*BE839,BE839*$AA839),)</f>
        <v/>
      </c>
      <c r="CQ839" s="130">
        <f>IFERROR(if($AA839=0,($W839/1.35)*BF839,BF839*$AA839),)</f>
        <v/>
      </c>
      <c r="CR839" s="128">
        <f>IFERROR(if($AC839=0,($W839/0.74)*BG839,
BG839*$AC839),)</f>
        <v/>
      </c>
      <c r="CS839" s="128">
        <f>IFERROR(if($AC839=0,($W839/0.74)*BH839,
BH839*$AC839),)</f>
        <v/>
      </c>
      <c r="CT839" s="128">
        <f>IFERROR(if($AC839=0,($W839/0.74)*BI839,
BI839*$AC839),)</f>
        <v/>
      </c>
      <c r="CU839" s="128">
        <f>IFERROR(AI839*$V839,)</f>
        <v/>
      </c>
      <c r="CV839" s="128">
        <f>IFERROR(AJ839*$V839,)</f>
        <v/>
      </c>
      <c r="CW839" s="128">
        <f>IFERROR(AK839*$V839,)</f>
        <v/>
      </c>
      <c r="CX839" s="128">
        <f>IFERROR(AL839*$V839,)</f>
        <v/>
      </c>
      <c r="CY839" s="128">
        <f>IFERROR(AM839*$V839,)</f>
        <v/>
      </c>
      <c r="CZ839" s="128">
        <f>IFERROR(AN839*$V839,)</f>
        <v/>
      </c>
      <c r="DA839" s="128">
        <f>IFERROR(AO839*$V839,)</f>
        <v/>
      </c>
      <c r="DB839" s="128">
        <f>IFERROR(AP839*$V839,)</f>
        <v/>
      </c>
      <c r="DC839" s="128">
        <f>IFERROR(AQ839*$V839,)</f>
        <v/>
      </c>
      <c r="DD839" s="128">
        <f>IFERROR(AR839*$V839,)</f>
        <v/>
      </c>
      <c r="DE839" s="128">
        <f>IFERROR(AS839*$V839,)</f>
        <v/>
      </c>
      <c r="DF839" s="128">
        <f>IFERROR(AT839*$V839,)</f>
        <v/>
      </c>
      <c r="DG839" s="128">
        <f>IFERROR(AU839*$V839,)</f>
        <v/>
      </c>
      <c r="DH839" s="128">
        <f>IFERROR(AV839*$V839,)</f>
        <v/>
      </c>
      <c r="DI839" s="128">
        <f>IFERROR(AW839*$V839,)</f>
        <v/>
      </c>
      <c r="DJ839" s="128">
        <f>IFERROR(AX839*$V839,)</f>
        <v/>
      </c>
      <c r="DK839" s="128">
        <f>IFERROR(AY839*$V839,)</f>
        <v/>
      </c>
      <c r="DL839" s="128">
        <f>IFERROR(AZ839*$V839,)</f>
        <v/>
      </c>
      <c r="DM839" s="129">
        <f>IFERROR(if($X839=0,($V839/1.2)*BA839,
BA839*$X839),)</f>
        <v/>
      </c>
      <c r="DN839" s="129">
        <f>IFERROR(if($X839=0,($V839/1.2)*BB839,
BB839*$X839),)</f>
        <v/>
      </c>
      <c r="DO839" s="129">
        <f>IFERROR(if($X839=0,($V839/1.2)*BC839,
BC839*$X839),)</f>
        <v/>
      </c>
      <c r="DP839" s="130">
        <f>IFERROR(if($Z839=0,($V839/1.35)*BD839,
BD839*$Z839),)</f>
        <v/>
      </c>
      <c r="DQ839" s="130">
        <f>IFERROR(if($Z839=0,($V839/1.35)*BE839,
BE839*$Z839),)</f>
        <v/>
      </c>
      <c r="DR839" s="130">
        <f>IFERROR(if($Z839=0,($V839/1.35)*BF839,
BF839*$Z839),)</f>
        <v/>
      </c>
      <c r="DS839" s="128">
        <f>IFERROR(IF($AB839=0,($V839/0.74)*BG839,
BG839*$AB839),)</f>
        <v/>
      </c>
      <c r="DT839" s="128">
        <f>IFERROR(IF($AB839=0,($V839/0.74)*BH839,
BH839*$AB839),)</f>
        <v/>
      </c>
      <c r="DU839" s="128">
        <f>IFERROR(IF($AB839=0,($V839/0.74)*BI839,
BI839*$AB839),)</f>
        <v/>
      </c>
    </row>
    <row r="840" ht="131.25" customHeight="1" s="162">
      <c r="A840" s="115" t="n"/>
      <c r="B840" s="115" t="n"/>
      <c r="C840" s="115" t="n"/>
      <c r="D840" s="115" t="n"/>
      <c r="E840" s="115" t="n"/>
      <c r="F840" s="115" t="n"/>
      <c r="G840" s="115" t="n"/>
      <c r="H840" s="115" t="n"/>
      <c r="I840" s="115" t="n"/>
      <c r="J840" s="115" t="n"/>
      <c r="K840" s="115" t="n"/>
      <c r="L840" s="115" t="n"/>
      <c r="M840" s="115" t="n"/>
      <c r="N840" s="115" t="n"/>
      <c r="O840" s="115" t="n"/>
      <c r="P840" s="115" t="n"/>
      <c r="Q840" s="115" t="n"/>
      <c r="R840" s="115" t="n"/>
      <c r="S840" s="115" t="n"/>
      <c r="T840" s="115" t="n"/>
      <c r="U840" s="116" t="n"/>
      <c r="V840" s="116" t="n"/>
      <c r="W840" s="117" t="n"/>
      <c r="X840" s="118" t="n"/>
      <c r="Y840" s="119" t="n"/>
      <c r="Z840" s="120" t="n"/>
      <c r="AA840" s="121" t="n"/>
      <c r="AB840" s="122" t="n"/>
      <c r="AC840" s="117" t="n"/>
      <c r="AD840" s="123">
        <f>IF(SUM($AE840:$AH840)=0,"",SUM($AE840:$AH840))</f>
        <v/>
      </c>
      <c r="AE840" s="123">
        <f>iferror(IF(SUM($AI840:$AZ840)=0,"",SUM($AI840:$AZ840)),"")</f>
        <v/>
      </c>
      <c r="AF840" s="123">
        <f>iferror(IF(SUM($BA840:$BC840)=0,"",SUM($BA840:$BC840)),"")</f>
        <v/>
      </c>
      <c r="AG840" s="123">
        <f>iferror(IF(SUM($BD840:$BF840)=0,"",SUM($BD840:$BF840)),"")</f>
        <v/>
      </c>
      <c r="AH840" s="124">
        <f>iferror(IF(SUM($BG840:$BI840)=0,"",SUM($BG840:$BI840)),"")</f>
        <v/>
      </c>
      <c r="AI840" s="131" t="n"/>
      <c r="AJ840" s="132" t="n"/>
      <c r="AK840" s="132" t="n"/>
      <c r="AL840" s="132" t="n"/>
      <c r="AM840" s="132" t="n"/>
      <c r="AN840" s="132" t="n"/>
      <c r="AO840" s="132" t="n"/>
      <c r="AP840" s="132" t="n"/>
      <c r="AQ840" s="132" t="n"/>
      <c r="AR840" s="132" t="n"/>
      <c r="AS840" s="132" t="n"/>
      <c r="AT840" s="132" t="n"/>
      <c r="AU840" s="132" t="n"/>
      <c r="AV840" s="132" t="n"/>
      <c r="AW840" s="132" t="n"/>
      <c r="AX840" s="132" t="n"/>
      <c r="AY840" s="132" t="n"/>
      <c r="AZ840" s="133" t="n"/>
      <c r="BA840" s="131" t="n"/>
      <c r="BB840" s="132" t="n"/>
      <c r="BC840" s="133" t="n"/>
      <c r="BD840" s="131" t="n"/>
      <c r="BE840" s="132" t="n"/>
      <c r="BF840" s="133" t="n"/>
      <c r="BG840" s="131" t="n"/>
      <c r="BH840" s="132" t="n"/>
      <c r="BI840" s="132" t="n"/>
      <c r="BJ840" s="128">
        <f>iferror(SUM($BK840,($BL840*1.2),($BM840*1.35),($BN840*0.74)),)</f>
        <v/>
      </c>
      <c r="BK840" s="128">
        <f>IFERROR(SUM($BT840:$CK840),)</f>
        <v/>
      </c>
      <c r="BL840" s="129">
        <f>IFERROR(SUM($CL840:$CN840),)</f>
        <v/>
      </c>
      <c r="BM840" s="130">
        <f>IFERROR(SUM($CO840:$CQ840),)</f>
        <v/>
      </c>
      <c r="BN840" s="128">
        <f>IFERROR(SUM($CR840:$CT840),)</f>
        <v/>
      </c>
      <c r="BO840" s="128">
        <f>iferror(SUM($BP840,($BQ840*1.2),($BR840*1.35),($BS840*0.74)),)</f>
        <v/>
      </c>
      <c r="BP840" s="128">
        <f>IFERROR(SUM($CU840:$DL840),)</f>
        <v/>
      </c>
      <c r="BQ840" s="128">
        <f>IFERROR(SUM($DM840:$DO840),)</f>
        <v/>
      </c>
      <c r="BR840" s="128">
        <f>IFERROR(SUM($DP840:$DR840),)</f>
        <v/>
      </c>
      <c r="BS840" s="128">
        <f>IFERROR(SUM($DS840:$DU840),)</f>
        <v/>
      </c>
      <c r="BT840" s="128">
        <f>IFERROR(AI840*$W840,)</f>
        <v/>
      </c>
      <c r="BU840" s="128">
        <f>IFERROR(AJ840*$W840,)</f>
        <v/>
      </c>
      <c r="BV840" s="128">
        <f>IFERROR(AK840*$W840,)</f>
        <v/>
      </c>
      <c r="BW840" s="128">
        <f>IFERROR(AL840*$W840,)</f>
        <v/>
      </c>
      <c r="BX840" s="128">
        <f>IFERROR(AM840*$W840,)</f>
        <v/>
      </c>
      <c r="BY840" s="128">
        <f>IFERROR(AN840*$W840,)</f>
        <v/>
      </c>
      <c r="BZ840" s="128">
        <f>IFERROR(AO840*$W840,)</f>
        <v/>
      </c>
      <c r="CA840" s="128">
        <f>IFERROR(AP840*$W840,)</f>
        <v/>
      </c>
      <c r="CB840" s="128">
        <f>IFERROR(AQ840*$W840,)</f>
        <v/>
      </c>
      <c r="CC840" s="128">
        <f>IFERROR(AR840*$W840,)</f>
        <v/>
      </c>
      <c r="CD840" s="128">
        <f>IFERROR(AS840*$W840,)</f>
        <v/>
      </c>
      <c r="CE840" s="128">
        <f>IFERROR(AT840*$W840,)</f>
        <v/>
      </c>
      <c r="CF840" s="128">
        <f>IFERROR(AU840*$W840,)</f>
        <v/>
      </c>
      <c r="CG840" s="128">
        <f>IFERROR(AV840*$W840,)</f>
        <v/>
      </c>
      <c r="CH840" s="128">
        <f>IFERROR(AW840*$W840,)</f>
        <v/>
      </c>
      <c r="CI840" s="128">
        <f>IFERROR(AX840*$W840,)</f>
        <v/>
      </c>
      <c r="CJ840" s="128">
        <f>IFERROR(AY840*$W840,)</f>
        <v/>
      </c>
      <c r="CK840" s="128">
        <f>IFERROR(AZ840*$W840,)</f>
        <v/>
      </c>
      <c r="CL840" s="129">
        <f>IFERROR(if($Y840=0,BA840*($W840/1.2),BA840*$Y840),"")</f>
        <v/>
      </c>
      <c r="CM840" s="129">
        <f>IFERROR(if($Y840=0,BB840*($W840/1.2),BB840*$Y840),"")</f>
        <v/>
      </c>
      <c r="CN840" s="129">
        <f>IFERROR(if($Y840=0,BC840*($W840/1.2),BC840*$Y840),"")</f>
        <v/>
      </c>
      <c r="CO840" s="130">
        <f>IFERROR(if($AA840=0,($W840/1.35)*BD840,BD840*$AA840),)</f>
        <v/>
      </c>
      <c r="CP840" s="130">
        <f>IFERROR(if($AA840=0,($W840/1.35)*BE840,BE840*$AA840),)</f>
        <v/>
      </c>
      <c r="CQ840" s="130">
        <f>IFERROR(if($AA840=0,($W840/1.35)*BF840,BF840*$AA840),)</f>
        <v/>
      </c>
      <c r="CR840" s="128">
        <f>IFERROR(if($AC840=0,($W840/0.74)*BG840,
BG840*$AC840),)</f>
        <v/>
      </c>
      <c r="CS840" s="128">
        <f>IFERROR(if($AC840=0,($W840/0.74)*BH840,
BH840*$AC840),)</f>
        <v/>
      </c>
      <c r="CT840" s="128">
        <f>IFERROR(if($AC840=0,($W840/0.74)*BI840,
BI840*$AC840),)</f>
        <v/>
      </c>
      <c r="CU840" s="128">
        <f>IFERROR(AI840*$V840,)</f>
        <v/>
      </c>
      <c r="CV840" s="128">
        <f>IFERROR(AJ840*$V840,)</f>
        <v/>
      </c>
      <c r="CW840" s="128">
        <f>IFERROR(AK840*$V840,)</f>
        <v/>
      </c>
      <c r="CX840" s="128">
        <f>IFERROR(AL840*$V840,)</f>
        <v/>
      </c>
      <c r="CY840" s="128">
        <f>IFERROR(AM840*$V840,)</f>
        <v/>
      </c>
      <c r="CZ840" s="128">
        <f>IFERROR(AN840*$V840,)</f>
        <v/>
      </c>
      <c r="DA840" s="128">
        <f>IFERROR(AO840*$V840,)</f>
        <v/>
      </c>
      <c r="DB840" s="128">
        <f>IFERROR(AP840*$V840,)</f>
        <v/>
      </c>
      <c r="DC840" s="128">
        <f>IFERROR(AQ840*$V840,)</f>
        <v/>
      </c>
      <c r="DD840" s="128">
        <f>IFERROR(AR840*$V840,)</f>
        <v/>
      </c>
      <c r="DE840" s="128">
        <f>IFERROR(AS840*$V840,)</f>
        <v/>
      </c>
      <c r="DF840" s="128">
        <f>IFERROR(AT840*$V840,)</f>
        <v/>
      </c>
      <c r="DG840" s="128">
        <f>IFERROR(AU840*$V840,)</f>
        <v/>
      </c>
      <c r="DH840" s="128">
        <f>IFERROR(AV840*$V840,)</f>
        <v/>
      </c>
      <c r="DI840" s="128">
        <f>IFERROR(AW840*$V840,)</f>
        <v/>
      </c>
      <c r="DJ840" s="128">
        <f>IFERROR(AX840*$V840,)</f>
        <v/>
      </c>
      <c r="DK840" s="128">
        <f>IFERROR(AY840*$V840,)</f>
        <v/>
      </c>
      <c r="DL840" s="128">
        <f>IFERROR(AZ840*$V840,)</f>
        <v/>
      </c>
      <c r="DM840" s="129">
        <f>IFERROR(if($X840=0,($V840/1.2)*BA840,
BA840*$X840),)</f>
        <v/>
      </c>
      <c r="DN840" s="129">
        <f>IFERROR(if($X840=0,($V840/1.2)*BB840,
BB840*$X840),)</f>
        <v/>
      </c>
      <c r="DO840" s="129">
        <f>IFERROR(if($X840=0,($V840/1.2)*BC840,
BC840*$X840),)</f>
        <v/>
      </c>
      <c r="DP840" s="130">
        <f>IFERROR(if($Z840=0,($V840/1.35)*BD840,
BD840*$Z840),)</f>
        <v/>
      </c>
      <c r="DQ840" s="130">
        <f>IFERROR(if($Z840=0,($V840/1.35)*BE840,
BE840*$Z840),)</f>
        <v/>
      </c>
      <c r="DR840" s="130">
        <f>IFERROR(if($Z840=0,($V840/1.35)*BF840,
BF840*$Z840),)</f>
        <v/>
      </c>
      <c r="DS840" s="128">
        <f>IFERROR(IF($AB840=0,($V840/0.74)*BG840,
BG840*$AB840),)</f>
        <v/>
      </c>
      <c r="DT840" s="128">
        <f>IFERROR(IF($AB840=0,($V840/0.74)*BH840,
BH840*$AB840),)</f>
        <v/>
      </c>
      <c r="DU840" s="128">
        <f>IFERROR(IF($AB840=0,($V840/0.74)*BI840,
BI840*$AB840),)</f>
        <v/>
      </c>
    </row>
    <row r="841" ht="131.25" customHeight="1" s="162">
      <c r="A841" s="115" t="n"/>
      <c r="B841" s="115" t="n"/>
      <c r="C841" s="115" t="n"/>
      <c r="D841" s="115" t="n"/>
      <c r="E841" s="115" t="n"/>
      <c r="F841" s="115" t="n"/>
      <c r="G841" s="115" t="n"/>
      <c r="H841" s="115" t="n"/>
      <c r="I841" s="115" t="n"/>
      <c r="J841" s="115" t="n"/>
      <c r="K841" s="115" t="n"/>
      <c r="L841" s="115" t="n"/>
      <c r="M841" s="115" t="n"/>
      <c r="N841" s="115" t="n"/>
      <c r="O841" s="115" t="n"/>
      <c r="P841" s="115" t="n"/>
      <c r="Q841" s="115" t="n"/>
      <c r="R841" s="115" t="n"/>
      <c r="S841" s="115" t="n"/>
      <c r="T841" s="115" t="n"/>
      <c r="U841" s="116" t="n"/>
      <c r="V841" s="116" t="n"/>
      <c r="W841" s="117" t="n"/>
      <c r="X841" s="118" t="n"/>
      <c r="Y841" s="119" t="n"/>
      <c r="Z841" s="120" t="n"/>
      <c r="AA841" s="121" t="n"/>
      <c r="AB841" s="122" t="n"/>
      <c r="AC841" s="117" t="n"/>
      <c r="AD841" s="123">
        <f>IF(SUM($AE841:$AH841)=0,"",SUM($AE841:$AH841))</f>
        <v/>
      </c>
      <c r="AE841" s="123">
        <f>iferror(IF(SUM($AI841:$AZ841)=0,"",SUM($AI841:$AZ841)),"")</f>
        <v/>
      </c>
      <c r="AF841" s="123">
        <f>iferror(IF(SUM($BA841:$BC841)=0,"",SUM($BA841:$BC841)),"")</f>
        <v/>
      </c>
      <c r="AG841" s="123">
        <f>iferror(IF(SUM($BD841:$BF841)=0,"",SUM($BD841:$BF841)),"")</f>
        <v/>
      </c>
      <c r="AH841" s="124">
        <f>iferror(IF(SUM($BG841:$BI841)=0,"",SUM($BG841:$BI841)),"")</f>
        <v/>
      </c>
      <c r="AI841" s="131" t="n"/>
      <c r="AJ841" s="132" t="n"/>
      <c r="AK841" s="132" t="n"/>
      <c r="AL841" s="132" t="n"/>
      <c r="AM841" s="132" t="n"/>
      <c r="AN841" s="132" t="n"/>
      <c r="AO841" s="132" t="n"/>
      <c r="AP841" s="132" t="n"/>
      <c r="AQ841" s="132" t="n"/>
      <c r="AR841" s="132" t="n"/>
      <c r="AS841" s="132" t="n"/>
      <c r="AT841" s="132" t="n"/>
      <c r="AU841" s="132" t="n"/>
      <c r="AV841" s="132" t="n"/>
      <c r="AW841" s="132" t="n"/>
      <c r="AX841" s="132" t="n"/>
      <c r="AY841" s="132" t="n"/>
      <c r="AZ841" s="133" t="n"/>
      <c r="BA841" s="131" t="n"/>
      <c r="BB841" s="132" t="n"/>
      <c r="BC841" s="133" t="n"/>
      <c r="BD841" s="131" t="n"/>
      <c r="BE841" s="132" t="n"/>
      <c r="BF841" s="133" t="n"/>
      <c r="BG841" s="131" t="n"/>
      <c r="BH841" s="132" t="n"/>
      <c r="BI841" s="132" t="n"/>
      <c r="BJ841" s="128">
        <f>iferror(SUM($BK841,($BL841*1.2),($BM841*1.35),($BN841*0.74)),)</f>
        <v/>
      </c>
      <c r="BK841" s="128">
        <f>IFERROR(SUM($BT841:$CK841),)</f>
        <v/>
      </c>
      <c r="BL841" s="129">
        <f>IFERROR(SUM($CL841:$CN841),)</f>
        <v/>
      </c>
      <c r="BM841" s="130">
        <f>IFERROR(SUM($CO841:$CQ841),)</f>
        <v/>
      </c>
      <c r="BN841" s="128">
        <f>IFERROR(SUM($CR841:$CT841),)</f>
        <v/>
      </c>
      <c r="BO841" s="128">
        <f>iferror(SUM($BP841,($BQ841*1.2),($BR841*1.35),($BS841*0.74)),)</f>
        <v/>
      </c>
      <c r="BP841" s="128">
        <f>IFERROR(SUM($CU841:$DL841),)</f>
        <v/>
      </c>
      <c r="BQ841" s="128">
        <f>IFERROR(SUM($DM841:$DO841),)</f>
        <v/>
      </c>
      <c r="BR841" s="128">
        <f>IFERROR(SUM($DP841:$DR841),)</f>
        <v/>
      </c>
      <c r="BS841" s="128">
        <f>IFERROR(SUM($DS841:$DU841),)</f>
        <v/>
      </c>
      <c r="BT841" s="128">
        <f>IFERROR(AI841*$W841,)</f>
        <v/>
      </c>
      <c r="BU841" s="128">
        <f>IFERROR(AJ841*$W841,)</f>
        <v/>
      </c>
      <c r="BV841" s="128">
        <f>IFERROR(AK841*$W841,)</f>
        <v/>
      </c>
      <c r="BW841" s="128">
        <f>IFERROR(AL841*$W841,)</f>
        <v/>
      </c>
      <c r="BX841" s="128">
        <f>IFERROR(AM841*$W841,)</f>
        <v/>
      </c>
      <c r="BY841" s="128">
        <f>IFERROR(AN841*$W841,)</f>
        <v/>
      </c>
      <c r="BZ841" s="128">
        <f>IFERROR(AO841*$W841,)</f>
        <v/>
      </c>
      <c r="CA841" s="128">
        <f>IFERROR(AP841*$W841,)</f>
        <v/>
      </c>
      <c r="CB841" s="128">
        <f>IFERROR(AQ841*$W841,)</f>
        <v/>
      </c>
      <c r="CC841" s="128">
        <f>IFERROR(AR841*$W841,)</f>
        <v/>
      </c>
      <c r="CD841" s="128">
        <f>IFERROR(AS841*$W841,)</f>
        <v/>
      </c>
      <c r="CE841" s="128">
        <f>IFERROR(AT841*$W841,)</f>
        <v/>
      </c>
      <c r="CF841" s="128">
        <f>IFERROR(AU841*$W841,)</f>
        <v/>
      </c>
      <c r="CG841" s="128">
        <f>IFERROR(AV841*$W841,)</f>
        <v/>
      </c>
      <c r="CH841" s="128">
        <f>IFERROR(AW841*$W841,)</f>
        <v/>
      </c>
      <c r="CI841" s="128">
        <f>IFERROR(AX841*$W841,)</f>
        <v/>
      </c>
      <c r="CJ841" s="128">
        <f>IFERROR(AY841*$W841,)</f>
        <v/>
      </c>
      <c r="CK841" s="128">
        <f>IFERROR(AZ841*$W841,)</f>
        <v/>
      </c>
      <c r="CL841" s="129">
        <f>IFERROR(if($Y841=0,BA841*($W841/1.2),BA841*$Y841),"")</f>
        <v/>
      </c>
      <c r="CM841" s="129">
        <f>IFERROR(if($Y841=0,BB841*($W841/1.2),BB841*$Y841),"")</f>
        <v/>
      </c>
      <c r="CN841" s="129">
        <f>IFERROR(if($Y841=0,BC841*($W841/1.2),BC841*$Y841),"")</f>
        <v/>
      </c>
      <c r="CO841" s="130">
        <f>IFERROR(if($AA841=0,($W841/1.35)*BD841,BD841*$AA841),)</f>
        <v/>
      </c>
      <c r="CP841" s="130">
        <f>IFERROR(if($AA841=0,($W841/1.35)*BE841,BE841*$AA841),)</f>
        <v/>
      </c>
      <c r="CQ841" s="130">
        <f>IFERROR(if($AA841=0,($W841/1.35)*BF841,BF841*$AA841),)</f>
        <v/>
      </c>
      <c r="CR841" s="128">
        <f>IFERROR(if($AC841=0,($W841/0.74)*BG841,
BG841*$AC841),)</f>
        <v/>
      </c>
      <c r="CS841" s="128">
        <f>IFERROR(if($AC841=0,($W841/0.74)*BH841,
BH841*$AC841),)</f>
        <v/>
      </c>
      <c r="CT841" s="128">
        <f>IFERROR(if($AC841=0,($W841/0.74)*BI841,
BI841*$AC841),)</f>
        <v/>
      </c>
      <c r="CU841" s="128">
        <f>IFERROR(AI841*$V841,)</f>
        <v/>
      </c>
      <c r="CV841" s="128">
        <f>IFERROR(AJ841*$V841,)</f>
        <v/>
      </c>
      <c r="CW841" s="128">
        <f>IFERROR(AK841*$V841,)</f>
        <v/>
      </c>
      <c r="CX841" s="128">
        <f>IFERROR(AL841*$V841,)</f>
        <v/>
      </c>
      <c r="CY841" s="128">
        <f>IFERROR(AM841*$V841,)</f>
        <v/>
      </c>
      <c r="CZ841" s="128">
        <f>IFERROR(AN841*$V841,)</f>
        <v/>
      </c>
      <c r="DA841" s="128">
        <f>IFERROR(AO841*$V841,)</f>
        <v/>
      </c>
      <c r="DB841" s="128">
        <f>IFERROR(AP841*$V841,)</f>
        <v/>
      </c>
      <c r="DC841" s="128">
        <f>IFERROR(AQ841*$V841,)</f>
        <v/>
      </c>
      <c r="DD841" s="128">
        <f>IFERROR(AR841*$V841,)</f>
        <v/>
      </c>
      <c r="DE841" s="128">
        <f>IFERROR(AS841*$V841,)</f>
        <v/>
      </c>
      <c r="DF841" s="128">
        <f>IFERROR(AT841*$V841,)</f>
        <v/>
      </c>
      <c r="DG841" s="128">
        <f>IFERROR(AU841*$V841,)</f>
        <v/>
      </c>
      <c r="DH841" s="128">
        <f>IFERROR(AV841*$V841,)</f>
        <v/>
      </c>
      <c r="DI841" s="128">
        <f>IFERROR(AW841*$V841,)</f>
        <v/>
      </c>
      <c r="DJ841" s="128">
        <f>IFERROR(AX841*$V841,)</f>
        <v/>
      </c>
      <c r="DK841" s="128">
        <f>IFERROR(AY841*$V841,)</f>
        <v/>
      </c>
      <c r="DL841" s="128">
        <f>IFERROR(AZ841*$V841,)</f>
        <v/>
      </c>
      <c r="DM841" s="129">
        <f>IFERROR(if($X841=0,($V841/1.2)*BA841,
BA841*$X841),)</f>
        <v/>
      </c>
      <c r="DN841" s="129">
        <f>IFERROR(if($X841=0,($V841/1.2)*BB841,
BB841*$X841),)</f>
        <v/>
      </c>
      <c r="DO841" s="129">
        <f>IFERROR(if($X841=0,($V841/1.2)*BC841,
BC841*$X841),)</f>
        <v/>
      </c>
      <c r="DP841" s="130">
        <f>IFERROR(if($Z841=0,($V841/1.35)*BD841,
BD841*$Z841),)</f>
        <v/>
      </c>
      <c r="DQ841" s="130">
        <f>IFERROR(if($Z841=0,($V841/1.35)*BE841,
BE841*$Z841),)</f>
        <v/>
      </c>
      <c r="DR841" s="130">
        <f>IFERROR(if($Z841=0,($V841/1.35)*BF841,
BF841*$Z841),)</f>
        <v/>
      </c>
      <c r="DS841" s="128">
        <f>IFERROR(IF($AB841=0,($V841/0.74)*BG841,
BG841*$AB841),)</f>
        <v/>
      </c>
      <c r="DT841" s="128">
        <f>IFERROR(IF($AB841=0,($V841/0.74)*BH841,
BH841*$AB841),)</f>
        <v/>
      </c>
      <c r="DU841" s="128">
        <f>IFERROR(IF($AB841=0,($V841/0.74)*BI841,
BI841*$AB841),)</f>
        <v/>
      </c>
    </row>
    <row r="842" ht="131.25" customHeight="1" s="162">
      <c r="A842" s="115" t="n"/>
      <c r="B842" s="115" t="n"/>
      <c r="C842" s="115" t="n"/>
      <c r="D842" s="115" t="n"/>
      <c r="E842" s="115" t="n"/>
      <c r="F842" s="115" t="n"/>
      <c r="G842" s="115" t="n"/>
      <c r="H842" s="115" t="n"/>
      <c r="I842" s="115" t="n"/>
      <c r="J842" s="115" t="n"/>
      <c r="K842" s="115" t="n"/>
      <c r="L842" s="115" t="n"/>
      <c r="M842" s="115" t="n"/>
      <c r="N842" s="115" t="n"/>
      <c r="O842" s="115" t="n"/>
      <c r="P842" s="115" t="n"/>
      <c r="Q842" s="115" t="n"/>
      <c r="R842" s="115" t="n"/>
      <c r="S842" s="115" t="n"/>
      <c r="T842" s="115" t="n"/>
      <c r="U842" s="116" t="n"/>
      <c r="V842" s="116" t="n"/>
      <c r="W842" s="117" t="n"/>
      <c r="X842" s="118" t="n"/>
      <c r="Y842" s="119" t="n"/>
      <c r="Z842" s="120" t="n"/>
      <c r="AA842" s="121" t="n"/>
      <c r="AB842" s="122" t="n"/>
      <c r="AC842" s="117" t="n"/>
      <c r="AD842" s="123">
        <f>IF(SUM($AE842:$AH842)=0,"",SUM($AE842:$AH842))</f>
        <v/>
      </c>
      <c r="AE842" s="123">
        <f>iferror(IF(SUM($AI842:$AZ842)=0,"",SUM($AI842:$AZ842)),"")</f>
        <v/>
      </c>
      <c r="AF842" s="123">
        <f>iferror(IF(SUM($BA842:$BC842)=0,"",SUM($BA842:$BC842)),"")</f>
        <v/>
      </c>
      <c r="AG842" s="123">
        <f>iferror(IF(SUM($BD842:$BF842)=0,"",SUM($BD842:$BF842)),"")</f>
        <v/>
      </c>
      <c r="AH842" s="124">
        <f>iferror(IF(SUM($BG842:$BI842)=0,"",SUM($BG842:$BI842)),"")</f>
        <v/>
      </c>
      <c r="AI842" s="131" t="n"/>
      <c r="AJ842" s="132" t="n"/>
      <c r="AK842" s="132" t="n"/>
      <c r="AL842" s="132" t="n"/>
      <c r="AM842" s="132" t="n"/>
      <c r="AN842" s="132" t="n"/>
      <c r="AO842" s="132" t="n"/>
      <c r="AP842" s="132" t="n"/>
      <c r="AQ842" s="132" t="n"/>
      <c r="AR842" s="132" t="n"/>
      <c r="AS842" s="132" t="n"/>
      <c r="AT842" s="132" t="n"/>
      <c r="AU842" s="132" t="n"/>
      <c r="AV842" s="132" t="n"/>
      <c r="AW842" s="132" t="n"/>
      <c r="AX842" s="132" t="n"/>
      <c r="AY842" s="132" t="n"/>
      <c r="AZ842" s="133" t="n"/>
      <c r="BA842" s="131" t="n"/>
      <c r="BB842" s="132" t="n"/>
      <c r="BC842" s="133" t="n"/>
      <c r="BD842" s="131" t="n"/>
      <c r="BE842" s="132" t="n"/>
      <c r="BF842" s="133" t="n"/>
      <c r="BG842" s="131" t="n"/>
      <c r="BH842" s="132" t="n"/>
      <c r="BI842" s="132" t="n"/>
      <c r="BJ842" s="128">
        <f>iferror(SUM($BK842,($BL842*1.2),($BM842*1.35),($BN842*0.74)),)</f>
        <v/>
      </c>
      <c r="BK842" s="128">
        <f>IFERROR(SUM($BT842:$CK842),)</f>
        <v/>
      </c>
      <c r="BL842" s="129">
        <f>IFERROR(SUM($CL842:$CN842),)</f>
        <v/>
      </c>
      <c r="BM842" s="130">
        <f>IFERROR(SUM($CO842:$CQ842),)</f>
        <v/>
      </c>
      <c r="BN842" s="128">
        <f>IFERROR(SUM($CR842:$CT842),)</f>
        <v/>
      </c>
      <c r="BO842" s="128">
        <f>iferror(SUM($BP842,($BQ842*1.2),($BR842*1.35),($BS842*0.74)),)</f>
        <v/>
      </c>
      <c r="BP842" s="128">
        <f>IFERROR(SUM($CU842:$DL842),)</f>
        <v/>
      </c>
      <c r="BQ842" s="128">
        <f>IFERROR(SUM($DM842:$DO842),)</f>
        <v/>
      </c>
      <c r="BR842" s="128">
        <f>IFERROR(SUM($DP842:$DR842),)</f>
        <v/>
      </c>
      <c r="BS842" s="128">
        <f>IFERROR(SUM($DS842:$DU842),)</f>
        <v/>
      </c>
      <c r="BT842" s="128">
        <f>IFERROR(AI842*$W842,)</f>
        <v/>
      </c>
      <c r="BU842" s="128">
        <f>IFERROR(AJ842*$W842,)</f>
        <v/>
      </c>
      <c r="BV842" s="128">
        <f>IFERROR(AK842*$W842,)</f>
        <v/>
      </c>
      <c r="BW842" s="128">
        <f>IFERROR(AL842*$W842,)</f>
        <v/>
      </c>
      <c r="BX842" s="128">
        <f>IFERROR(AM842*$W842,)</f>
        <v/>
      </c>
      <c r="BY842" s="128">
        <f>IFERROR(AN842*$W842,)</f>
        <v/>
      </c>
      <c r="BZ842" s="128">
        <f>IFERROR(AO842*$W842,)</f>
        <v/>
      </c>
      <c r="CA842" s="128">
        <f>IFERROR(AP842*$W842,)</f>
        <v/>
      </c>
      <c r="CB842" s="128">
        <f>IFERROR(AQ842*$W842,)</f>
        <v/>
      </c>
      <c r="CC842" s="128">
        <f>IFERROR(AR842*$W842,)</f>
        <v/>
      </c>
      <c r="CD842" s="128">
        <f>IFERROR(AS842*$W842,)</f>
        <v/>
      </c>
      <c r="CE842" s="128">
        <f>IFERROR(AT842*$W842,)</f>
        <v/>
      </c>
      <c r="CF842" s="128">
        <f>IFERROR(AU842*$W842,)</f>
        <v/>
      </c>
      <c r="CG842" s="128">
        <f>IFERROR(AV842*$W842,)</f>
        <v/>
      </c>
      <c r="CH842" s="128">
        <f>IFERROR(AW842*$W842,)</f>
        <v/>
      </c>
      <c r="CI842" s="128">
        <f>IFERROR(AX842*$W842,)</f>
        <v/>
      </c>
      <c r="CJ842" s="128">
        <f>IFERROR(AY842*$W842,)</f>
        <v/>
      </c>
      <c r="CK842" s="128">
        <f>IFERROR(AZ842*$W842,)</f>
        <v/>
      </c>
      <c r="CL842" s="129">
        <f>IFERROR(if($Y842=0,BA842*($W842/1.2),BA842*$Y842),"")</f>
        <v/>
      </c>
      <c r="CM842" s="129">
        <f>IFERROR(if($Y842=0,BB842*($W842/1.2),BB842*$Y842),"")</f>
        <v/>
      </c>
      <c r="CN842" s="129">
        <f>IFERROR(if($Y842=0,BC842*($W842/1.2),BC842*$Y842),"")</f>
        <v/>
      </c>
      <c r="CO842" s="130">
        <f>IFERROR(if($AA842=0,($W842/1.35)*BD842,BD842*$AA842),)</f>
        <v/>
      </c>
      <c r="CP842" s="130">
        <f>IFERROR(if($AA842=0,($W842/1.35)*BE842,BE842*$AA842),)</f>
        <v/>
      </c>
      <c r="CQ842" s="130">
        <f>IFERROR(if($AA842=0,($W842/1.35)*BF842,BF842*$AA842),)</f>
        <v/>
      </c>
      <c r="CR842" s="128">
        <f>IFERROR(if($AC842=0,($W842/0.74)*BG842,
BG842*$AC842),)</f>
        <v/>
      </c>
      <c r="CS842" s="128">
        <f>IFERROR(if($AC842=0,($W842/0.74)*BH842,
BH842*$AC842),)</f>
        <v/>
      </c>
      <c r="CT842" s="128">
        <f>IFERROR(if($AC842=0,($W842/0.74)*BI842,
BI842*$AC842),)</f>
        <v/>
      </c>
      <c r="CU842" s="128">
        <f>IFERROR(AI842*$V842,)</f>
        <v/>
      </c>
      <c r="CV842" s="128">
        <f>IFERROR(AJ842*$V842,)</f>
        <v/>
      </c>
      <c r="CW842" s="128">
        <f>IFERROR(AK842*$V842,)</f>
        <v/>
      </c>
      <c r="CX842" s="128">
        <f>IFERROR(AL842*$V842,)</f>
        <v/>
      </c>
      <c r="CY842" s="128">
        <f>IFERROR(AM842*$V842,)</f>
        <v/>
      </c>
      <c r="CZ842" s="128">
        <f>IFERROR(AN842*$V842,)</f>
        <v/>
      </c>
      <c r="DA842" s="128">
        <f>IFERROR(AO842*$V842,)</f>
        <v/>
      </c>
      <c r="DB842" s="128">
        <f>IFERROR(AP842*$V842,)</f>
        <v/>
      </c>
      <c r="DC842" s="128">
        <f>IFERROR(AQ842*$V842,)</f>
        <v/>
      </c>
      <c r="DD842" s="128">
        <f>IFERROR(AR842*$V842,)</f>
        <v/>
      </c>
      <c r="DE842" s="128">
        <f>IFERROR(AS842*$V842,)</f>
        <v/>
      </c>
      <c r="DF842" s="128">
        <f>IFERROR(AT842*$V842,)</f>
        <v/>
      </c>
      <c r="DG842" s="128">
        <f>IFERROR(AU842*$V842,)</f>
        <v/>
      </c>
      <c r="DH842" s="128">
        <f>IFERROR(AV842*$V842,)</f>
        <v/>
      </c>
      <c r="DI842" s="128">
        <f>IFERROR(AW842*$V842,)</f>
        <v/>
      </c>
      <c r="DJ842" s="128">
        <f>IFERROR(AX842*$V842,)</f>
        <v/>
      </c>
      <c r="DK842" s="128">
        <f>IFERROR(AY842*$V842,)</f>
        <v/>
      </c>
      <c r="DL842" s="128">
        <f>IFERROR(AZ842*$V842,)</f>
        <v/>
      </c>
      <c r="DM842" s="129">
        <f>IFERROR(if($X842=0,($V842/1.2)*BA842,
BA842*$X842),)</f>
        <v/>
      </c>
      <c r="DN842" s="129">
        <f>IFERROR(if($X842=0,($V842/1.2)*BB842,
BB842*$X842),)</f>
        <v/>
      </c>
      <c r="DO842" s="129">
        <f>IFERROR(if($X842=0,($V842/1.2)*BC842,
BC842*$X842),)</f>
        <v/>
      </c>
      <c r="DP842" s="130">
        <f>IFERROR(if($Z842=0,($V842/1.35)*BD842,
BD842*$Z842),)</f>
        <v/>
      </c>
      <c r="DQ842" s="130">
        <f>IFERROR(if($Z842=0,($V842/1.35)*BE842,
BE842*$Z842),)</f>
        <v/>
      </c>
      <c r="DR842" s="130">
        <f>IFERROR(if($Z842=0,($V842/1.35)*BF842,
BF842*$Z842),)</f>
        <v/>
      </c>
      <c r="DS842" s="128">
        <f>IFERROR(IF($AB842=0,($V842/0.74)*BG842,
BG842*$AB842),)</f>
        <v/>
      </c>
      <c r="DT842" s="128">
        <f>IFERROR(IF($AB842=0,($V842/0.74)*BH842,
BH842*$AB842),)</f>
        <v/>
      </c>
      <c r="DU842" s="128">
        <f>IFERROR(IF($AB842=0,($V842/0.74)*BI842,
BI842*$AB842),)</f>
        <v/>
      </c>
    </row>
    <row r="843" ht="131.25" customHeight="1" s="162">
      <c r="A843" s="115" t="n"/>
      <c r="B843" s="115" t="n"/>
      <c r="C843" s="115" t="n"/>
      <c r="D843" s="115" t="n"/>
      <c r="E843" s="115" t="n"/>
      <c r="F843" s="115" t="n"/>
      <c r="G843" s="115" t="n"/>
      <c r="H843" s="115" t="n"/>
      <c r="I843" s="115" t="n"/>
      <c r="J843" s="115" t="n"/>
      <c r="K843" s="115" t="n"/>
      <c r="L843" s="115" t="n"/>
      <c r="M843" s="115" t="n"/>
      <c r="N843" s="115" t="n"/>
      <c r="O843" s="115" t="n"/>
      <c r="P843" s="115" t="n"/>
      <c r="Q843" s="115" t="n"/>
      <c r="R843" s="115" t="n"/>
      <c r="S843" s="115" t="n"/>
      <c r="T843" s="115" t="n"/>
      <c r="U843" s="116" t="n"/>
      <c r="V843" s="116" t="n"/>
      <c r="W843" s="117" t="n"/>
      <c r="X843" s="118" t="n"/>
      <c r="Y843" s="119" t="n"/>
      <c r="Z843" s="120" t="n"/>
      <c r="AA843" s="121" t="n"/>
      <c r="AB843" s="122" t="n"/>
      <c r="AC843" s="117" t="n"/>
      <c r="AD843" s="123">
        <f>IF(SUM($AE843:$AH843)=0,"",SUM($AE843:$AH843))</f>
        <v/>
      </c>
      <c r="AE843" s="123">
        <f>iferror(IF(SUM($AI843:$AZ843)=0,"",SUM($AI843:$AZ843)),"")</f>
        <v/>
      </c>
      <c r="AF843" s="123">
        <f>iferror(IF(SUM($BA843:$BC843)=0,"",SUM($BA843:$BC843)),"")</f>
        <v/>
      </c>
      <c r="AG843" s="123">
        <f>iferror(IF(SUM($BD843:$BF843)=0,"",SUM($BD843:$BF843)),"")</f>
        <v/>
      </c>
      <c r="AH843" s="124">
        <f>iferror(IF(SUM($BG843:$BI843)=0,"",SUM($BG843:$BI843)),"")</f>
        <v/>
      </c>
      <c r="AI843" s="131" t="n"/>
      <c r="AJ843" s="132" t="n"/>
      <c r="AK843" s="132" t="n"/>
      <c r="AL843" s="132" t="n"/>
      <c r="AM843" s="132" t="n"/>
      <c r="AN843" s="132" t="n"/>
      <c r="AO843" s="132" t="n"/>
      <c r="AP843" s="132" t="n"/>
      <c r="AQ843" s="132" t="n"/>
      <c r="AR843" s="132" t="n"/>
      <c r="AS843" s="132" t="n"/>
      <c r="AT843" s="132" t="n"/>
      <c r="AU843" s="132" t="n"/>
      <c r="AV843" s="132" t="n"/>
      <c r="AW843" s="132" t="n"/>
      <c r="AX843" s="132" t="n"/>
      <c r="AY843" s="132" t="n"/>
      <c r="AZ843" s="133" t="n"/>
      <c r="BA843" s="131" t="n"/>
      <c r="BB843" s="132" t="n"/>
      <c r="BC843" s="133" t="n"/>
      <c r="BD843" s="131" t="n"/>
      <c r="BE843" s="132" t="n"/>
      <c r="BF843" s="133" t="n"/>
      <c r="BG843" s="131" t="n"/>
      <c r="BH843" s="132" t="n"/>
      <c r="BI843" s="132" t="n"/>
      <c r="BJ843" s="128">
        <f>iferror(SUM($BK843,($BL843*1.2),($BM843*1.35),($BN843*0.74)),)</f>
        <v/>
      </c>
      <c r="BK843" s="128">
        <f>IFERROR(SUM($BT843:$CK843),)</f>
        <v/>
      </c>
      <c r="BL843" s="129">
        <f>IFERROR(SUM($CL843:$CN843),)</f>
        <v/>
      </c>
      <c r="BM843" s="130">
        <f>IFERROR(SUM($CO843:$CQ843),)</f>
        <v/>
      </c>
      <c r="BN843" s="128">
        <f>IFERROR(SUM($CR843:$CT843),)</f>
        <v/>
      </c>
      <c r="BO843" s="128">
        <f>iferror(SUM($BP843,($BQ843*1.2),($BR843*1.35),($BS843*0.74)),)</f>
        <v/>
      </c>
      <c r="BP843" s="128">
        <f>IFERROR(SUM($CU843:$DL843),)</f>
        <v/>
      </c>
      <c r="BQ843" s="128">
        <f>IFERROR(SUM($DM843:$DO843),)</f>
        <v/>
      </c>
      <c r="BR843" s="128">
        <f>IFERROR(SUM($DP843:$DR843),)</f>
        <v/>
      </c>
      <c r="BS843" s="128">
        <f>IFERROR(SUM($DS843:$DU843),)</f>
        <v/>
      </c>
      <c r="BT843" s="128">
        <f>IFERROR(AI843*$W843,)</f>
        <v/>
      </c>
      <c r="BU843" s="128">
        <f>IFERROR(AJ843*$W843,)</f>
        <v/>
      </c>
      <c r="BV843" s="128">
        <f>IFERROR(AK843*$W843,)</f>
        <v/>
      </c>
      <c r="BW843" s="128">
        <f>IFERROR(AL843*$W843,)</f>
        <v/>
      </c>
      <c r="BX843" s="128">
        <f>IFERROR(AM843*$W843,)</f>
        <v/>
      </c>
      <c r="BY843" s="128">
        <f>IFERROR(AN843*$W843,)</f>
        <v/>
      </c>
      <c r="BZ843" s="128">
        <f>IFERROR(AO843*$W843,)</f>
        <v/>
      </c>
      <c r="CA843" s="128">
        <f>IFERROR(AP843*$W843,)</f>
        <v/>
      </c>
      <c r="CB843" s="128">
        <f>IFERROR(AQ843*$W843,)</f>
        <v/>
      </c>
      <c r="CC843" s="128">
        <f>IFERROR(AR843*$W843,)</f>
        <v/>
      </c>
      <c r="CD843" s="128">
        <f>IFERROR(AS843*$W843,)</f>
        <v/>
      </c>
      <c r="CE843" s="128">
        <f>IFERROR(AT843*$W843,)</f>
        <v/>
      </c>
      <c r="CF843" s="128">
        <f>IFERROR(AU843*$W843,)</f>
        <v/>
      </c>
      <c r="CG843" s="128">
        <f>IFERROR(AV843*$W843,)</f>
        <v/>
      </c>
      <c r="CH843" s="128">
        <f>IFERROR(AW843*$W843,)</f>
        <v/>
      </c>
      <c r="CI843" s="128">
        <f>IFERROR(AX843*$W843,)</f>
        <v/>
      </c>
      <c r="CJ843" s="128">
        <f>IFERROR(AY843*$W843,)</f>
        <v/>
      </c>
      <c r="CK843" s="128">
        <f>IFERROR(AZ843*$W843,)</f>
        <v/>
      </c>
      <c r="CL843" s="129">
        <f>IFERROR(if($Y843=0,BA843*($W843/1.2),BA843*$Y843),"")</f>
        <v/>
      </c>
      <c r="CM843" s="129">
        <f>IFERROR(if($Y843=0,BB843*($W843/1.2),BB843*$Y843),"")</f>
        <v/>
      </c>
      <c r="CN843" s="129">
        <f>IFERROR(if($Y843=0,BC843*($W843/1.2),BC843*$Y843),"")</f>
        <v/>
      </c>
      <c r="CO843" s="130">
        <f>IFERROR(if($AA843=0,($W843/1.35)*BD843,BD843*$AA843),)</f>
        <v/>
      </c>
      <c r="CP843" s="130">
        <f>IFERROR(if($AA843=0,($W843/1.35)*BE843,BE843*$AA843),)</f>
        <v/>
      </c>
      <c r="CQ843" s="130">
        <f>IFERROR(if($AA843=0,($W843/1.35)*BF843,BF843*$AA843),)</f>
        <v/>
      </c>
      <c r="CR843" s="128">
        <f>IFERROR(if($AC843=0,($W843/0.74)*BG843,
BG843*$AC843),)</f>
        <v/>
      </c>
      <c r="CS843" s="128">
        <f>IFERROR(if($AC843=0,($W843/0.74)*BH843,
BH843*$AC843),)</f>
        <v/>
      </c>
      <c r="CT843" s="128">
        <f>IFERROR(if($AC843=0,($W843/0.74)*BI843,
BI843*$AC843),)</f>
        <v/>
      </c>
      <c r="CU843" s="128">
        <f>IFERROR(AI843*$V843,)</f>
        <v/>
      </c>
      <c r="CV843" s="128">
        <f>IFERROR(AJ843*$V843,)</f>
        <v/>
      </c>
      <c r="CW843" s="128">
        <f>IFERROR(AK843*$V843,)</f>
        <v/>
      </c>
      <c r="CX843" s="128">
        <f>IFERROR(AL843*$V843,)</f>
        <v/>
      </c>
      <c r="CY843" s="128">
        <f>IFERROR(AM843*$V843,)</f>
        <v/>
      </c>
      <c r="CZ843" s="128">
        <f>IFERROR(AN843*$V843,)</f>
        <v/>
      </c>
      <c r="DA843" s="128">
        <f>IFERROR(AO843*$V843,)</f>
        <v/>
      </c>
      <c r="DB843" s="128">
        <f>IFERROR(AP843*$V843,)</f>
        <v/>
      </c>
      <c r="DC843" s="128">
        <f>IFERROR(AQ843*$V843,)</f>
        <v/>
      </c>
      <c r="DD843" s="128">
        <f>IFERROR(AR843*$V843,)</f>
        <v/>
      </c>
      <c r="DE843" s="128">
        <f>IFERROR(AS843*$V843,)</f>
        <v/>
      </c>
      <c r="DF843" s="128">
        <f>IFERROR(AT843*$V843,)</f>
        <v/>
      </c>
      <c r="DG843" s="128">
        <f>IFERROR(AU843*$V843,)</f>
        <v/>
      </c>
      <c r="DH843" s="128">
        <f>IFERROR(AV843*$V843,)</f>
        <v/>
      </c>
      <c r="DI843" s="128">
        <f>IFERROR(AW843*$V843,)</f>
        <v/>
      </c>
      <c r="DJ843" s="128">
        <f>IFERROR(AX843*$V843,)</f>
        <v/>
      </c>
      <c r="DK843" s="128">
        <f>IFERROR(AY843*$V843,)</f>
        <v/>
      </c>
      <c r="DL843" s="128">
        <f>IFERROR(AZ843*$V843,)</f>
        <v/>
      </c>
      <c r="DM843" s="129">
        <f>IFERROR(if($X843=0,($V843/1.2)*BA843,
BA843*$X843),)</f>
        <v/>
      </c>
      <c r="DN843" s="129">
        <f>IFERROR(if($X843=0,($V843/1.2)*BB843,
BB843*$X843),)</f>
        <v/>
      </c>
      <c r="DO843" s="129">
        <f>IFERROR(if($X843=0,($V843/1.2)*BC843,
BC843*$X843),)</f>
        <v/>
      </c>
      <c r="DP843" s="130">
        <f>IFERROR(if($Z843=0,($V843/1.35)*BD843,
BD843*$Z843),)</f>
        <v/>
      </c>
      <c r="DQ843" s="130">
        <f>IFERROR(if($Z843=0,($V843/1.35)*BE843,
BE843*$Z843),)</f>
        <v/>
      </c>
      <c r="DR843" s="130">
        <f>IFERROR(if($Z843=0,($V843/1.35)*BF843,
BF843*$Z843),)</f>
        <v/>
      </c>
      <c r="DS843" s="128">
        <f>IFERROR(IF($AB843=0,($V843/0.74)*BG843,
BG843*$AB843),)</f>
        <v/>
      </c>
      <c r="DT843" s="128">
        <f>IFERROR(IF($AB843=0,($V843/0.74)*BH843,
BH843*$AB843),)</f>
        <v/>
      </c>
      <c r="DU843" s="128">
        <f>IFERROR(IF($AB843=0,($V843/0.74)*BI843,
BI843*$AB843),)</f>
        <v/>
      </c>
    </row>
    <row r="844" ht="131.25" customHeight="1" s="162">
      <c r="A844" s="115" t="n"/>
      <c r="B844" s="115" t="n"/>
      <c r="C844" s="115" t="n"/>
      <c r="D844" s="115" t="n"/>
      <c r="E844" s="115" t="n"/>
      <c r="F844" s="115" t="n"/>
      <c r="G844" s="115" t="n"/>
      <c r="H844" s="115" t="n"/>
      <c r="I844" s="115" t="n"/>
      <c r="J844" s="115" t="n"/>
      <c r="K844" s="115" t="n"/>
      <c r="L844" s="115" t="n"/>
      <c r="M844" s="115" t="n"/>
      <c r="N844" s="115" t="n"/>
      <c r="O844" s="115" t="n"/>
      <c r="P844" s="115" t="n"/>
      <c r="Q844" s="115" t="n"/>
      <c r="R844" s="115" t="n"/>
      <c r="S844" s="115" t="n"/>
      <c r="T844" s="115" t="n"/>
      <c r="U844" s="116" t="n"/>
      <c r="V844" s="116" t="n"/>
      <c r="W844" s="117" t="n"/>
      <c r="X844" s="118" t="n"/>
      <c r="Y844" s="119" t="n"/>
      <c r="Z844" s="120" t="n"/>
      <c r="AA844" s="121" t="n"/>
      <c r="AB844" s="122" t="n"/>
      <c r="AC844" s="117" t="n"/>
      <c r="AD844" s="123">
        <f>IF(SUM($AE844:$AH844)=0,"",SUM($AE844:$AH844))</f>
        <v/>
      </c>
      <c r="AE844" s="123">
        <f>iferror(IF(SUM($AI844:$AZ844)=0,"",SUM($AI844:$AZ844)),"")</f>
        <v/>
      </c>
      <c r="AF844" s="123">
        <f>iferror(IF(SUM($BA844:$BC844)=0,"",SUM($BA844:$BC844)),"")</f>
        <v/>
      </c>
      <c r="AG844" s="123">
        <f>iferror(IF(SUM($BD844:$BF844)=0,"",SUM($BD844:$BF844)),"")</f>
        <v/>
      </c>
      <c r="AH844" s="124">
        <f>iferror(IF(SUM($BG844:$BI844)=0,"",SUM($BG844:$BI844)),"")</f>
        <v/>
      </c>
      <c r="AI844" s="131" t="n"/>
      <c r="AJ844" s="132" t="n"/>
      <c r="AK844" s="132" t="n"/>
      <c r="AL844" s="132" t="n"/>
      <c r="AM844" s="132" t="n"/>
      <c r="AN844" s="132" t="n"/>
      <c r="AO844" s="132" t="n"/>
      <c r="AP844" s="132" t="n"/>
      <c r="AQ844" s="132" t="n"/>
      <c r="AR844" s="132" t="n"/>
      <c r="AS844" s="132" t="n"/>
      <c r="AT844" s="132" t="n"/>
      <c r="AU844" s="132" t="n"/>
      <c r="AV844" s="132" t="n"/>
      <c r="AW844" s="132" t="n"/>
      <c r="AX844" s="132" t="n"/>
      <c r="AY844" s="132" t="n"/>
      <c r="AZ844" s="133" t="n"/>
      <c r="BA844" s="131" t="n"/>
      <c r="BB844" s="132" t="n"/>
      <c r="BC844" s="133" t="n"/>
      <c r="BD844" s="131" t="n"/>
      <c r="BE844" s="132" t="n"/>
      <c r="BF844" s="133" t="n"/>
      <c r="BG844" s="131" t="n"/>
      <c r="BH844" s="132" t="n"/>
      <c r="BI844" s="132" t="n"/>
      <c r="BJ844" s="128">
        <f>iferror(SUM($BK844,($BL844*1.2),($BM844*1.35),($BN844*0.74)),)</f>
        <v/>
      </c>
      <c r="BK844" s="128">
        <f>IFERROR(SUM($BT844:$CK844),)</f>
        <v/>
      </c>
      <c r="BL844" s="129">
        <f>IFERROR(SUM($CL844:$CN844),)</f>
        <v/>
      </c>
      <c r="BM844" s="130">
        <f>IFERROR(SUM($CO844:$CQ844),)</f>
        <v/>
      </c>
      <c r="BN844" s="128">
        <f>IFERROR(SUM($CR844:$CT844),)</f>
        <v/>
      </c>
      <c r="BO844" s="128">
        <f>iferror(SUM($BP844,($BQ844*1.2),($BR844*1.35),($BS844*0.74)),)</f>
        <v/>
      </c>
      <c r="BP844" s="128">
        <f>IFERROR(SUM($CU844:$DL844),)</f>
        <v/>
      </c>
      <c r="BQ844" s="128">
        <f>IFERROR(SUM($DM844:$DO844),)</f>
        <v/>
      </c>
      <c r="BR844" s="128">
        <f>IFERROR(SUM($DP844:$DR844),)</f>
        <v/>
      </c>
      <c r="BS844" s="128">
        <f>IFERROR(SUM($DS844:$DU844),)</f>
        <v/>
      </c>
      <c r="BT844" s="128">
        <f>IFERROR(AI844*$W844,)</f>
        <v/>
      </c>
      <c r="BU844" s="128">
        <f>IFERROR(AJ844*$W844,)</f>
        <v/>
      </c>
      <c r="BV844" s="128">
        <f>IFERROR(AK844*$W844,)</f>
        <v/>
      </c>
      <c r="BW844" s="128">
        <f>IFERROR(AL844*$W844,)</f>
        <v/>
      </c>
      <c r="BX844" s="128">
        <f>IFERROR(AM844*$W844,)</f>
        <v/>
      </c>
      <c r="BY844" s="128">
        <f>IFERROR(AN844*$W844,)</f>
        <v/>
      </c>
      <c r="BZ844" s="128">
        <f>IFERROR(AO844*$W844,)</f>
        <v/>
      </c>
      <c r="CA844" s="128">
        <f>IFERROR(AP844*$W844,)</f>
        <v/>
      </c>
      <c r="CB844" s="128">
        <f>IFERROR(AQ844*$W844,)</f>
        <v/>
      </c>
      <c r="CC844" s="128">
        <f>IFERROR(AR844*$W844,)</f>
        <v/>
      </c>
      <c r="CD844" s="128">
        <f>IFERROR(AS844*$W844,)</f>
        <v/>
      </c>
      <c r="CE844" s="128">
        <f>IFERROR(AT844*$W844,)</f>
        <v/>
      </c>
      <c r="CF844" s="128">
        <f>IFERROR(AU844*$W844,)</f>
        <v/>
      </c>
      <c r="CG844" s="128">
        <f>IFERROR(AV844*$W844,)</f>
        <v/>
      </c>
      <c r="CH844" s="128">
        <f>IFERROR(AW844*$W844,)</f>
        <v/>
      </c>
      <c r="CI844" s="128">
        <f>IFERROR(AX844*$W844,)</f>
        <v/>
      </c>
      <c r="CJ844" s="128">
        <f>IFERROR(AY844*$W844,)</f>
        <v/>
      </c>
      <c r="CK844" s="128">
        <f>IFERROR(AZ844*$W844,)</f>
        <v/>
      </c>
      <c r="CL844" s="129">
        <f>IFERROR(if($Y844=0,BA844*($W844/1.2),BA844*$Y844),"")</f>
        <v/>
      </c>
      <c r="CM844" s="129">
        <f>IFERROR(if($Y844=0,BB844*($W844/1.2),BB844*$Y844),"")</f>
        <v/>
      </c>
      <c r="CN844" s="129">
        <f>IFERROR(if($Y844=0,BC844*($W844/1.2),BC844*$Y844),"")</f>
        <v/>
      </c>
      <c r="CO844" s="130">
        <f>IFERROR(if($AA844=0,($W844/1.35)*BD844,BD844*$AA844),)</f>
        <v/>
      </c>
      <c r="CP844" s="130">
        <f>IFERROR(if($AA844=0,($W844/1.35)*BE844,BE844*$AA844),)</f>
        <v/>
      </c>
      <c r="CQ844" s="130">
        <f>IFERROR(if($AA844=0,($W844/1.35)*BF844,BF844*$AA844),)</f>
        <v/>
      </c>
      <c r="CR844" s="128">
        <f>IFERROR(if($AC844=0,($W844/0.74)*BG844,
BG844*$AC844),)</f>
        <v/>
      </c>
      <c r="CS844" s="128">
        <f>IFERROR(if($AC844=0,($W844/0.74)*BH844,
BH844*$AC844),)</f>
        <v/>
      </c>
      <c r="CT844" s="128">
        <f>IFERROR(if($AC844=0,($W844/0.74)*BI844,
BI844*$AC844),)</f>
        <v/>
      </c>
      <c r="CU844" s="128">
        <f>IFERROR(AI844*$V844,)</f>
        <v/>
      </c>
      <c r="CV844" s="128">
        <f>IFERROR(AJ844*$V844,)</f>
        <v/>
      </c>
      <c r="CW844" s="128">
        <f>IFERROR(AK844*$V844,)</f>
        <v/>
      </c>
      <c r="CX844" s="128">
        <f>IFERROR(AL844*$V844,)</f>
        <v/>
      </c>
      <c r="CY844" s="128">
        <f>IFERROR(AM844*$V844,)</f>
        <v/>
      </c>
      <c r="CZ844" s="128">
        <f>IFERROR(AN844*$V844,)</f>
        <v/>
      </c>
      <c r="DA844" s="128">
        <f>IFERROR(AO844*$V844,)</f>
        <v/>
      </c>
      <c r="DB844" s="128">
        <f>IFERROR(AP844*$V844,)</f>
        <v/>
      </c>
      <c r="DC844" s="128">
        <f>IFERROR(AQ844*$V844,)</f>
        <v/>
      </c>
      <c r="DD844" s="128">
        <f>IFERROR(AR844*$V844,)</f>
        <v/>
      </c>
      <c r="DE844" s="128">
        <f>IFERROR(AS844*$V844,)</f>
        <v/>
      </c>
      <c r="DF844" s="128">
        <f>IFERROR(AT844*$V844,)</f>
        <v/>
      </c>
      <c r="DG844" s="128">
        <f>IFERROR(AU844*$V844,)</f>
        <v/>
      </c>
      <c r="DH844" s="128">
        <f>IFERROR(AV844*$V844,)</f>
        <v/>
      </c>
      <c r="DI844" s="128">
        <f>IFERROR(AW844*$V844,)</f>
        <v/>
      </c>
      <c r="DJ844" s="128">
        <f>IFERROR(AX844*$V844,)</f>
        <v/>
      </c>
      <c r="DK844" s="128">
        <f>IFERROR(AY844*$V844,)</f>
        <v/>
      </c>
      <c r="DL844" s="128">
        <f>IFERROR(AZ844*$V844,)</f>
        <v/>
      </c>
      <c r="DM844" s="129">
        <f>IFERROR(if($X844=0,($V844/1.2)*BA844,
BA844*$X844),)</f>
        <v/>
      </c>
      <c r="DN844" s="129">
        <f>IFERROR(if($X844=0,($V844/1.2)*BB844,
BB844*$X844),)</f>
        <v/>
      </c>
      <c r="DO844" s="129">
        <f>IFERROR(if($X844=0,($V844/1.2)*BC844,
BC844*$X844),)</f>
        <v/>
      </c>
      <c r="DP844" s="130">
        <f>IFERROR(if($Z844=0,($V844/1.35)*BD844,
BD844*$Z844),)</f>
        <v/>
      </c>
      <c r="DQ844" s="130">
        <f>IFERROR(if($Z844=0,($V844/1.35)*BE844,
BE844*$Z844),)</f>
        <v/>
      </c>
      <c r="DR844" s="130">
        <f>IFERROR(if($Z844=0,($V844/1.35)*BF844,
BF844*$Z844),)</f>
        <v/>
      </c>
      <c r="DS844" s="128">
        <f>IFERROR(IF($AB844=0,($V844/0.74)*BG844,
BG844*$AB844),)</f>
        <v/>
      </c>
      <c r="DT844" s="128">
        <f>IFERROR(IF($AB844=0,($V844/0.74)*BH844,
BH844*$AB844),)</f>
        <v/>
      </c>
      <c r="DU844" s="128">
        <f>IFERROR(IF($AB844=0,($V844/0.74)*BI844,
BI844*$AB844),)</f>
        <v/>
      </c>
    </row>
    <row r="845" ht="131.25" customHeight="1" s="162">
      <c r="A845" s="115" t="n"/>
      <c r="B845" s="115" t="n"/>
      <c r="C845" s="115" t="n"/>
      <c r="D845" s="115" t="n"/>
      <c r="E845" s="115" t="n"/>
      <c r="F845" s="115" t="n"/>
      <c r="G845" s="115" t="n"/>
      <c r="H845" s="115" t="n"/>
      <c r="I845" s="115" t="n"/>
      <c r="J845" s="115" t="n"/>
      <c r="K845" s="115" t="n"/>
      <c r="L845" s="115" t="n"/>
      <c r="M845" s="115" t="n"/>
      <c r="N845" s="115" t="n"/>
      <c r="O845" s="115" t="n"/>
      <c r="P845" s="115" t="n"/>
      <c r="Q845" s="115" t="n"/>
      <c r="R845" s="115" t="n"/>
      <c r="S845" s="115" t="n"/>
      <c r="T845" s="115" t="n"/>
      <c r="U845" s="116" t="n"/>
      <c r="V845" s="116" t="n"/>
      <c r="W845" s="117" t="n"/>
      <c r="X845" s="118" t="n"/>
      <c r="Y845" s="119" t="n"/>
      <c r="Z845" s="120" t="n"/>
      <c r="AA845" s="121" t="n"/>
      <c r="AB845" s="122" t="n"/>
      <c r="AC845" s="117" t="n"/>
      <c r="AD845" s="123">
        <f>IF(SUM($AE845:$AH845)=0,"",SUM($AE845:$AH845))</f>
        <v/>
      </c>
      <c r="AE845" s="123">
        <f>iferror(IF(SUM($AI845:$AZ845)=0,"",SUM($AI845:$AZ845)),"")</f>
        <v/>
      </c>
      <c r="AF845" s="123">
        <f>iferror(IF(SUM($BA845:$BC845)=0,"",SUM($BA845:$BC845)),"")</f>
        <v/>
      </c>
      <c r="AG845" s="123">
        <f>iferror(IF(SUM($BD845:$BF845)=0,"",SUM($BD845:$BF845)),"")</f>
        <v/>
      </c>
      <c r="AH845" s="124">
        <f>iferror(IF(SUM($BG845:$BI845)=0,"",SUM($BG845:$BI845)),"")</f>
        <v/>
      </c>
      <c r="AI845" s="131" t="n"/>
      <c r="AJ845" s="132" t="n"/>
      <c r="AK845" s="132" t="n"/>
      <c r="AL845" s="132" t="n"/>
      <c r="AM845" s="132" t="n"/>
      <c r="AN845" s="132" t="n"/>
      <c r="AO845" s="132" t="n"/>
      <c r="AP845" s="132" t="n"/>
      <c r="AQ845" s="132" t="n"/>
      <c r="AR845" s="132" t="n"/>
      <c r="AS845" s="132" t="n"/>
      <c r="AT845" s="132" t="n"/>
      <c r="AU845" s="132" t="n"/>
      <c r="AV845" s="132" t="n"/>
      <c r="AW845" s="132" t="n"/>
      <c r="AX845" s="132" t="n"/>
      <c r="AY845" s="132" t="n"/>
      <c r="AZ845" s="133" t="n"/>
      <c r="BA845" s="131" t="n"/>
      <c r="BB845" s="132" t="n"/>
      <c r="BC845" s="133" t="n"/>
      <c r="BD845" s="131" t="n"/>
      <c r="BE845" s="132" t="n"/>
      <c r="BF845" s="133" t="n"/>
      <c r="BG845" s="131" t="n"/>
      <c r="BH845" s="132" t="n"/>
      <c r="BI845" s="132" t="n"/>
      <c r="BJ845" s="128">
        <f>iferror(SUM($BK845,($BL845*1.2),($BM845*1.35),($BN845*0.74)),)</f>
        <v/>
      </c>
      <c r="BK845" s="128">
        <f>IFERROR(SUM($BT845:$CK845),)</f>
        <v/>
      </c>
      <c r="BL845" s="129">
        <f>IFERROR(SUM($CL845:$CN845),)</f>
        <v/>
      </c>
      <c r="BM845" s="130">
        <f>IFERROR(SUM($CO845:$CQ845),)</f>
        <v/>
      </c>
      <c r="BN845" s="128">
        <f>IFERROR(SUM($CR845:$CT845),)</f>
        <v/>
      </c>
      <c r="BO845" s="128">
        <f>iferror(SUM($BP845,($BQ845*1.2),($BR845*1.35),($BS845*0.74)),)</f>
        <v/>
      </c>
      <c r="BP845" s="128">
        <f>IFERROR(SUM($CU845:$DL845),)</f>
        <v/>
      </c>
      <c r="BQ845" s="128">
        <f>IFERROR(SUM($DM845:$DO845),)</f>
        <v/>
      </c>
      <c r="BR845" s="128">
        <f>IFERROR(SUM($DP845:$DR845),)</f>
        <v/>
      </c>
      <c r="BS845" s="128">
        <f>IFERROR(SUM($DS845:$DU845),)</f>
        <v/>
      </c>
      <c r="BT845" s="128">
        <f>IFERROR(AI845*$W845,)</f>
        <v/>
      </c>
      <c r="BU845" s="128">
        <f>IFERROR(AJ845*$W845,)</f>
        <v/>
      </c>
      <c r="BV845" s="128">
        <f>IFERROR(AK845*$W845,)</f>
        <v/>
      </c>
      <c r="BW845" s="128">
        <f>IFERROR(AL845*$W845,)</f>
        <v/>
      </c>
      <c r="BX845" s="128">
        <f>IFERROR(AM845*$W845,)</f>
        <v/>
      </c>
      <c r="BY845" s="128">
        <f>IFERROR(AN845*$W845,)</f>
        <v/>
      </c>
      <c r="BZ845" s="128">
        <f>IFERROR(AO845*$W845,)</f>
        <v/>
      </c>
      <c r="CA845" s="128">
        <f>IFERROR(AP845*$W845,)</f>
        <v/>
      </c>
      <c r="CB845" s="128">
        <f>IFERROR(AQ845*$W845,)</f>
        <v/>
      </c>
      <c r="CC845" s="128">
        <f>IFERROR(AR845*$W845,)</f>
        <v/>
      </c>
      <c r="CD845" s="128">
        <f>IFERROR(AS845*$W845,)</f>
        <v/>
      </c>
      <c r="CE845" s="128">
        <f>IFERROR(AT845*$W845,)</f>
        <v/>
      </c>
      <c r="CF845" s="128">
        <f>IFERROR(AU845*$W845,)</f>
        <v/>
      </c>
      <c r="CG845" s="128">
        <f>IFERROR(AV845*$W845,)</f>
        <v/>
      </c>
      <c r="CH845" s="128">
        <f>IFERROR(AW845*$W845,)</f>
        <v/>
      </c>
      <c r="CI845" s="128">
        <f>IFERROR(AX845*$W845,)</f>
        <v/>
      </c>
      <c r="CJ845" s="128">
        <f>IFERROR(AY845*$W845,)</f>
        <v/>
      </c>
      <c r="CK845" s="128">
        <f>IFERROR(AZ845*$W845,)</f>
        <v/>
      </c>
      <c r="CL845" s="129">
        <f>IFERROR(if($Y845=0,BA845*($W845/1.2),BA845*$Y845),"")</f>
        <v/>
      </c>
      <c r="CM845" s="129">
        <f>IFERROR(if($Y845=0,BB845*($W845/1.2),BB845*$Y845),"")</f>
        <v/>
      </c>
      <c r="CN845" s="129">
        <f>IFERROR(if($Y845=0,BC845*($W845/1.2),BC845*$Y845),"")</f>
        <v/>
      </c>
      <c r="CO845" s="130">
        <f>IFERROR(if($AA845=0,($W845/1.35)*BD845,BD845*$AA845),)</f>
        <v/>
      </c>
      <c r="CP845" s="130">
        <f>IFERROR(if($AA845=0,($W845/1.35)*BE845,BE845*$AA845),)</f>
        <v/>
      </c>
      <c r="CQ845" s="130">
        <f>IFERROR(if($AA845=0,($W845/1.35)*BF845,BF845*$AA845),)</f>
        <v/>
      </c>
      <c r="CR845" s="128">
        <f>IFERROR(if($AC845=0,($W845/0.74)*BG845,
BG845*$AC845),)</f>
        <v/>
      </c>
      <c r="CS845" s="128">
        <f>IFERROR(if($AC845=0,($W845/0.74)*BH845,
BH845*$AC845),)</f>
        <v/>
      </c>
      <c r="CT845" s="128">
        <f>IFERROR(if($AC845=0,($W845/0.74)*BI845,
BI845*$AC845),)</f>
        <v/>
      </c>
      <c r="CU845" s="128">
        <f>IFERROR(AI845*$V845,)</f>
        <v/>
      </c>
      <c r="CV845" s="128">
        <f>IFERROR(AJ845*$V845,)</f>
        <v/>
      </c>
      <c r="CW845" s="128">
        <f>IFERROR(AK845*$V845,)</f>
        <v/>
      </c>
      <c r="CX845" s="128">
        <f>IFERROR(AL845*$V845,)</f>
        <v/>
      </c>
      <c r="CY845" s="128">
        <f>IFERROR(AM845*$V845,)</f>
        <v/>
      </c>
      <c r="CZ845" s="128">
        <f>IFERROR(AN845*$V845,)</f>
        <v/>
      </c>
      <c r="DA845" s="128">
        <f>IFERROR(AO845*$V845,)</f>
        <v/>
      </c>
      <c r="DB845" s="128">
        <f>IFERROR(AP845*$V845,)</f>
        <v/>
      </c>
      <c r="DC845" s="128">
        <f>IFERROR(AQ845*$V845,)</f>
        <v/>
      </c>
      <c r="DD845" s="128">
        <f>IFERROR(AR845*$V845,)</f>
        <v/>
      </c>
      <c r="DE845" s="128">
        <f>IFERROR(AS845*$V845,)</f>
        <v/>
      </c>
      <c r="DF845" s="128">
        <f>IFERROR(AT845*$V845,)</f>
        <v/>
      </c>
      <c r="DG845" s="128">
        <f>IFERROR(AU845*$V845,)</f>
        <v/>
      </c>
      <c r="DH845" s="128">
        <f>IFERROR(AV845*$V845,)</f>
        <v/>
      </c>
      <c r="DI845" s="128">
        <f>IFERROR(AW845*$V845,)</f>
        <v/>
      </c>
      <c r="DJ845" s="128">
        <f>IFERROR(AX845*$V845,)</f>
        <v/>
      </c>
      <c r="DK845" s="128">
        <f>IFERROR(AY845*$V845,)</f>
        <v/>
      </c>
      <c r="DL845" s="128">
        <f>IFERROR(AZ845*$V845,)</f>
        <v/>
      </c>
      <c r="DM845" s="129">
        <f>IFERROR(if($X845=0,($V845/1.2)*BA845,
BA845*$X845),)</f>
        <v/>
      </c>
      <c r="DN845" s="129">
        <f>IFERROR(if($X845=0,($V845/1.2)*BB845,
BB845*$X845),)</f>
        <v/>
      </c>
      <c r="DO845" s="129">
        <f>IFERROR(if($X845=0,($V845/1.2)*BC845,
BC845*$X845),)</f>
        <v/>
      </c>
      <c r="DP845" s="130">
        <f>IFERROR(if($Z845=0,($V845/1.35)*BD845,
BD845*$Z845),)</f>
        <v/>
      </c>
      <c r="DQ845" s="130">
        <f>IFERROR(if($Z845=0,($V845/1.35)*BE845,
BE845*$Z845),)</f>
        <v/>
      </c>
      <c r="DR845" s="130">
        <f>IFERROR(if($Z845=0,($V845/1.35)*BF845,
BF845*$Z845),)</f>
        <v/>
      </c>
      <c r="DS845" s="128">
        <f>IFERROR(IF($AB845=0,($V845/0.74)*BG845,
BG845*$AB845),)</f>
        <v/>
      </c>
      <c r="DT845" s="128">
        <f>IFERROR(IF($AB845=0,($V845/0.74)*BH845,
BH845*$AB845),)</f>
        <v/>
      </c>
      <c r="DU845" s="128">
        <f>IFERROR(IF($AB845=0,($V845/0.74)*BI845,
BI845*$AB845),)</f>
        <v/>
      </c>
    </row>
    <row r="846" ht="131.25" customHeight="1" s="162">
      <c r="A846" s="115" t="n"/>
      <c r="B846" s="115" t="n"/>
      <c r="C846" s="115" t="n"/>
      <c r="D846" s="115" t="n"/>
      <c r="E846" s="115" t="n"/>
      <c r="F846" s="115" t="n"/>
      <c r="G846" s="115" t="n"/>
      <c r="H846" s="115" t="n"/>
      <c r="I846" s="115" t="n"/>
      <c r="J846" s="115" t="n"/>
      <c r="K846" s="115" t="n"/>
      <c r="L846" s="115" t="n"/>
      <c r="M846" s="115" t="n"/>
      <c r="N846" s="115" t="n"/>
      <c r="O846" s="115" t="n"/>
      <c r="P846" s="115" t="n"/>
      <c r="Q846" s="115" t="n"/>
      <c r="R846" s="115" t="n"/>
      <c r="S846" s="115" t="n"/>
      <c r="T846" s="115" t="n"/>
      <c r="U846" s="116" t="n"/>
      <c r="V846" s="116" t="n"/>
      <c r="W846" s="117" t="n"/>
      <c r="X846" s="118" t="n"/>
      <c r="Y846" s="119" t="n"/>
      <c r="Z846" s="120" t="n"/>
      <c r="AA846" s="121" t="n"/>
      <c r="AB846" s="122" t="n"/>
      <c r="AC846" s="117" t="n"/>
      <c r="AD846" s="123">
        <f>IF(SUM($AE846:$AH846)=0,"",SUM($AE846:$AH846))</f>
        <v/>
      </c>
      <c r="AE846" s="123">
        <f>iferror(IF(SUM($AI846:$AZ846)=0,"",SUM($AI846:$AZ846)),"")</f>
        <v/>
      </c>
      <c r="AF846" s="123">
        <f>iferror(IF(SUM($BA846:$BC846)=0,"",SUM($BA846:$BC846)),"")</f>
        <v/>
      </c>
      <c r="AG846" s="123">
        <f>iferror(IF(SUM($BD846:$BF846)=0,"",SUM($BD846:$BF846)),"")</f>
        <v/>
      </c>
      <c r="AH846" s="124">
        <f>iferror(IF(SUM($BG846:$BI846)=0,"",SUM($BG846:$BI846)),"")</f>
        <v/>
      </c>
      <c r="AI846" s="131" t="n"/>
      <c r="AJ846" s="132" t="n"/>
      <c r="AK846" s="132" t="n"/>
      <c r="AL846" s="132" t="n"/>
      <c r="AM846" s="132" t="n"/>
      <c r="AN846" s="132" t="n"/>
      <c r="AO846" s="132" t="n"/>
      <c r="AP846" s="132" t="n"/>
      <c r="AQ846" s="132" t="n"/>
      <c r="AR846" s="132" t="n"/>
      <c r="AS846" s="132" t="n"/>
      <c r="AT846" s="132" t="n"/>
      <c r="AU846" s="132" t="n"/>
      <c r="AV846" s="132" t="n"/>
      <c r="AW846" s="132" t="n"/>
      <c r="AX846" s="132" t="n"/>
      <c r="AY846" s="132" t="n"/>
      <c r="AZ846" s="133" t="n"/>
      <c r="BA846" s="131" t="n"/>
      <c r="BB846" s="132" t="n"/>
      <c r="BC846" s="133" t="n"/>
      <c r="BD846" s="131" t="n"/>
      <c r="BE846" s="132" t="n"/>
      <c r="BF846" s="133" t="n"/>
      <c r="BG846" s="131" t="n"/>
      <c r="BH846" s="132" t="n"/>
      <c r="BI846" s="132" t="n"/>
      <c r="BJ846" s="128">
        <f>iferror(SUM($BK846,($BL846*1.2),($BM846*1.35),($BN846*0.74)),)</f>
        <v/>
      </c>
      <c r="BK846" s="128">
        <f>IFERROR(SUM($BT846:$CK846),)</f>
        <v/>
      </c>
      <c r="BL846" s="129">
        <f>IFERROR(SUM($CL846:$CN846),)</f>
        <v/>
      </c>
      <c r="BM846" s="130">
        <f>IFERROR(SUM($CO846:$CQ846),)</f>
        <v/>
      </c>
      <c r="BN846" s="128">
        <f>IFERROR(SUM($CR846:$CT846),)</f>
        <v/>
      </c>
      <c r="BO846" s="128">
        <f>iferror(SUM($BP846,($BQ846*1.2),($BR846*1.35),($BS846*0.74)),)</f>
        <v/>
      </c>
      <c r="BP846" s="128">
        <f>IFERROR(SUM($CU846:$DL846),)</f>
        <v/>
      </c>
      <c r="BQ846" s="128">
        <f>IFERROR(SUM($DM846:$DO846),)</f>
        <v/>
      </c>
      <c r="BR846" s="128">
        <f>IFERROR(SUM($DP846:$DR846),)</f>
        <v/>
      </c>
      <c r="BS846" s="128">
        <f>IFERROR(SUM($DS846:$DU846),)</f>
        <v/>
      </c>
      <c r="BT846" s="128">
        <f>IFERROR(AI846*$W846,)</f>
        <v/>
      </c>
      <c r="BU846" s="128">
        <f>IFERROR(AJ846*$W846,)</f>
        <v/>
      </c>
      <c r="BV846" s="128">
        <f>IFERROR(AK846*$W846,)</f>
        <v/>
      </c>
      <c r="BW846" s="128">
        <f>IFERROR(AL846*$W846,)</f>
        <v/>
      </c>
      <c r="BX846" s="128">
        <f>IFERROR(AM846*$W846,)</f>
        <v/>
      </c>
      <c r="BY846" s="128">
        <f>IFERROR(AN846*$W846,)</f>
        <v/>
      </c>
      <c r="BZ846" s="128">
        <f>IFERROR(AO846*$W846,)</f>
        <v/>
      </c>
      <c r="CA846" s="128">
        <f>IFERROR(AP846*$W846,)</f>
        <v/>
      </c>
      <c r="CB846" s="128">
        <f>IFERROR(AQ846*$W846,)</f>
        <v/>
      </c>
      <c r="CC846" s="128">
        <f>IFERROR(AR846*$W846,)</f>
        <v/>
      </c>
      <c r="CD846" s="128">
        <f>IFERROR(AS846*$W846,)</f>
        <v/>
      </c>
      <c r="CE846" s="128">
        <f>IFERROR(AT846*$W846,)</f>
        <v/>
      </c>
      <c r="CF846" s="128">
        <f>IFERROR(AU846*$W846,)</f>
        <v/>
      </c>
      <c r="CG846" s="128">
        <f>IFERROR(AV846*$W846,)</f>
        <v/>
      </c>
      <c r="CH846" s="128">
        <f>IFERROR(AW846*$W846,)</f>
        <v/>
      </c>
      <c r="CI846" s="128">
        <f>IFERROR(AX846*$W846,)</f>
        <v/>
      </c>
      <c r="CJ846" s="128">
        <f>IFERROR(AY846*$W846,)</f>
        <v/>
      </c>
      <c r="CK846" s="128">
        <f>IFERROR(AZ846*$W846,)</f>
        <v/>
      </c>
      <c r="CL846" s="129">
        <f>IFERROR(if($Y846=0,BA846*($W846/1.2),BA846*$Y846),"")</f>
        <v/>
      </c>
      <c r="CM846" s="129">
        <f>IFERROR(if($Y846=0,BB846*($W846/1.2),BB846*$Y846),"")</f>
        <v/>
      </c>
      <c r="CN846" s="129">
        <f>IFERROR(if($Y846=0,BC846*($W846/1.2),BC846*$Y846),"")</f>
        <v/>
      </c>
      <c r="CO846" s="130">
        <f>IFERROR(if($AA846=0,($W846/1.35)*BD846,BD846*$AA846),)</f>
        <v/>
      </c>
      <c r="CP846" s="130">
        <f>IFERROR(if($AA846=0,($W846/1.35)*BE846,BE846*$AA846),)</f>
        <v/>
      </c>
      <c r="CQ846" s="130">
        <f>IFERROR(if($AA846=0,($W846/1.35)*BF846,BF846*$AA846),)</f>
        <v/>
      </c>
      <c r="CR846" s="128">
        <f>IFERROR(if($AC846=0,($W846/0.74)*BG846,
BG846*$AC846),)</f>
        <v/>
      </c>
      <c r="CS846" s="128">
        <f>IFERROR(if($AC846=0,($W846/0.74)*BH846,
BH846*$AC846),)</f>
        <v/>
      </c>
      <c r="CT846" s="128">
        <f>IFERROR(if($AC846=0,($W846/0.74)*BI846,
BI846*$AC846),)</f>
        <v/>
      </c>
      <c r="CU846" s="128">
        <f>IFERROR(AI846*$V846,)</f>
        <v/>
      </c>
      <c r="CV846" s="128">
        <f>IFERROR(AJ846*$V846,)</f>
        <v/>
      </c>
      <c r="CW846" s="128">
        <f>IFERROR(AK846*$V846,)</f>
        <v/>
      </c>
      <c r="CX846" s="128">
        <f>IFERROR(AL846*$V846,)</f>
        <v/>
      </c>
      <c r="CY846" s="128">
        <f>IFERROR(AM846*$V846,)</f>
        <v/>
      </c>
      <c r="CZ846" s="128">
        <f>IFERROR(AN846*$V846,)</f>
        <v/>
      </c>
      <c r="DA846" s="128">
        <f>IFERROR(AO846*$V846,)</f>
        <v/>
      </c>
      <c r="DB846" s="128">
        <f>IFERROR(AP846*$V846,)</f>
        <v/>
      </c>
      <c r="DC846" s="128">
        <f>IFERROR(AQ846*$V846,)</f>
        <v/>
      </c>
      <c r="DD846" s="128">
        <f>IFERROR(AR846*$V846,)</f>
        <v/>
      </c>
      <c r="DE846" s="128">
        <f>IFERROR(AS846*$V846,)</f>
        <v/>
      </c>
      <c r="DF846" s="128">
        <f>IFERROR(AT846*$V846,)</f>
        <v/>
      </c>
      <c r="DG846" s="128">
        <f>IFERROR(AU846*$V846,)</f>
        <v/>
      </c>
      <c r="DH846" s="128">
        <f>IFERROR(AV846*$V846,)</f>
        <v/>
      </c>
      <c r="DI846" s="128">
        <f>IFERROR(AW846*$V846,)</f>
        <v/>
      </c>
      <c r="DJ846" s="128">
        <f>IFERROR(AX846*$V846,)</f>
        <v/>
      </c>
      <c r="DK846" s="128">
        <f>IFERROR(AY846*$V846,)</f>
        <v/>
      </c>
      <c r="DL846" s="128">
        <f>IFERROR(AZ846*$V846,)</f>
        <v/>
      </c>
      <c r="DM846" s="129">
        <f>IFERROR(if($X846=0,($V846/1.2)*BA846,
BA846*$X846),)</f>
        <v/>
      </c>
      <c r="DN846" s="129">
        <f>IFERROR(if($X846=0,($V846/1.2)*BB846,
BB846*$X846),)</f>
        <v/>
      </c>
      <c r="DO846" s="129">
        <f>IFERROR(if($X846=0,($V846/1.2)*BC846,
BC846*$X846),)</f>
        <v/>
      </c>
      <c r="DP846" s="130">
        <f>IFERROR(if($Z846=0,($V846/1.35)*BD846,
BD846*$Z846),)</f>
        <v/>
      </c>
      <c r="DQ846" s="130">
        <f>IFERROR(if($Z846=0,($V846/1.35)*BE846,
BE846*$Z846),)</f>
        <v/>
      </c>
      <c r="DR846" s="130">
        <f>IFERROR(if($Z846=0,($V846/1.35)*BF846,
BF846*$Z846),)</f>
        <v/>
      </c>
      <c r="DS846" s="128">
        <f>IFERROR(IF($AB846=0,($V846/0.74)*BG846,
BG846*$AB846),)</f>
        <v/>
      </c>
      <c r="DT846" s="128">
        <f>IFERROR(IF($AB846=0,($V846/0.74)*BH846,
BH846*$AB846),)</f>
        <v/>
      </c>
      <c r="DU846" s="128">
        <f>IFERROR(IF($AB846=0,($V846/0.74)*BI846,
BI846*$AB846),)</f>
        <v/>
      </c>
    </row>
    <row r="847" ht="131.25" customHeight="1" s="162">
      <c r="A847" s="115" t="n"/>
      <c r="B847" s="115" t="n"/>
      <c r="C847" s="115" t="n"/>
      <c r="D847" s="115" t="n"/>
      <c r="E847" s="115" t="n"/>
      <c r="F847" s="115" t="n"/>
      <c r="G847" s="115" t="n"/>
      <c r="H847" s="115" t="n"/>
      <c r="I847" s="115" t="n"/>
      <c r="J847" s="115" t="n"/>
      <c r="K847" s="115" t="n"/>
      <c r="L847" s="115" t="n"/>
      <c r="M847" s="115" t="n"/>
      <c r="N847" s="115" t="n"/>
      <c r="O847" s="115" t="n"/>
      <c r="P847" s="115" t="n"/>
      <c r="Q847" s="115" t="n"/>
      <c r="R847" s="115" t="n"/>
      <c r="S847" s="115" t="n"/>
      <c r="T847" s="115" t="n"/>
      <c r="U847" s="116" t="n"/>
      <c r="V847" s="116" t="n"/>
      <c r="W847" s="117" t="n"/>
      <c r="X847" s="118" t="n"/>
      <c r="Y847" s="119" t="n"/>
      <c r="Z847" s="120" t="n"/>
      <c r="AA847" s="121" t="n"/>
      <c r="AB847" s="122" t="n"/>
      <c r="AC847" s="117" t="n"/>
      <c r="AD847" s="123">
        <f>IF(SUM($AE847:$AH847)=0,"",SUM($AE847:$AH847))</f>
        <v/>
      </c>
      <c r="AE847" s="123">
        <f>iferror(IF(SUM($AI847:$AZ847)=0,"",SUM($AI847:$AZ847)),"")</f>
        <v/>
      </c>
      <c r="AF847" s="123">
        <f>iferror(IF(SUM($BA847:$BC847)=0,"",SUM($BA847:$BC847)),"")</f>
        <v/>
      </c>
      <c r="AG847" s="123">
        <f>iferror(IF(SUM($BD847:$BF847)=0,"",SUM($BD847:$BF847)),"")</f>
        <v/>
      </c>
      <c r="AH847" s="124">
        <f>iferror(IF(SUM($BG847:$BI847)=0,"",SUM($BG847:$BI847)),"")</f>
        <v/>
      </c>
      <c r="AI847" s="131" t="n"/>
      <c r="AJ847" s="132" t="n"/>
      <c r="AK847" s="132" t="n"/>
      <c r="AL847" s="132" t="n"/>
      <c r="AM847" s="132" t="n"/>
      <c r="AN847" s="132" t="n"/>
      <c r="AO847" s="132" t="n"/>
      <c r="AP847" s="132" t="n"/>
      <c r="AQ847" s="132" t="n"/>
      <c r="AR847" s="132" t="n"/>
      <c r="AS847" s="132" t="n"/>
      <c r="AT847" s="132" t="n"/>
      <c r="AU847" s="132" t="n"/>
      <c r="AV847" s="132" t="n"/>
      <c r="AW847" s="132" t="n"/>
      <c r="AX847" s="132" t="n"/>
      <c r="AY847" s="132" t="n"/>
      <c r="AZ847" s="133" t="n"/>
      <c r="BA847" s="131" t="n"/>
      <c r="BB847" s="132" t="n"/>
      <c r="BC847" s="133" t="n"/>
      <c r="BD847" s="131" t="n"/>
      <c r="BE847" s="132" t="n"/>
      <c r="BF847" s="133" t="n"/>
      <c r="BG847" s="131" t="n"/>
      <c r="BH847" s="132" t="n"/>
      <c r="BI847" s="132" t="n"/>
      <c r="BJ847" s="128">
        <f>iferror(SUM($BK847,($BL847*1.2),($BM847*1.35),($BN847*0.74)),)</f>
        <v/>
      </c>
      <c r="BK847" s="128">
        <f>IFERROR(SUM($BT847:$CK847),)</f>
        <v/>
      </c>
      <c r="BL847" s="129">
        <f>IFERROR(SUM($CL847:$CN847),)</f>
        <v/>
      </c>
      <c r="BM847" s="130">
        <f>IFERROR(SUM($CO847:$CQ847),)</f>
        <v/>
      </c>
      <c r="BN847" s="128">
        <f>IFERROR(SUM($CR847:$CT847),)</f>
        <v/>
      </c>
      <c r="BO847" s="128">
        <f>iferror(SUM($BP847,($BQ847*1.2),($BR847*1.35),($BS847*0.74)),)</f>
        <v/>
      </c>
      <c r="BP847" s="128">
        <f>IFERROR(SUM($CU847:$DL847),)</f>
        <v/>
      </c>
      <c r="BQ847" s="128">
        <f>IFERROR(SUM($DM847:$DO847),)</f>
        <v/>
      </c>
      <c r="BR847" s="128">
        <f>IFERROR(SUM($DP847:$DR847),)</f>
        <v/>
      </c>
      <c r="BS847" s="128">
        <f>IFERROR(SUM($DS847:$DU847),)</f>
        <v/>
      </c>
      <c r="BT847" s="128">
        <f>IFERROR(AI847*$W847,)</f>
        <v/>
      </c>
      <c r="BU847" s="128">
        <f>IFERROR(AJ847*$W847,)</f>
        <v/>
      </c>
      <c r="BV847" s="128">
        <f>IFERROR(AK847*$W847,)</f>
        <v/>
      </c>
      <c r="BW847" s="128">
        <f>IFERROR(AL847*$W847,)</f>
        <v/>
      </c>
      <c r="BX847" s="128">
        <f>IFERROR(AM847*$W847,)</f>
        <v/>
      </c>
      <c r="BY847" s="128">
        <f>IFERROR(AN847*$W847,)</f>
        <v/>
      </c>
      <c r="BZ847" s="128">
        <f>IFERROR(AO847*$W847,)</f>
        <v/>
      </c>
      <c r="CA847" s="128">
        <f>IFERROR(AP847*$W847,)</f>
        <v/>
      </c>
      <c r="CB847" s="128">
        <f>IFERROR(AQ847*$W847,)</f>
        <v/>
      </c>
      <c r="CC847" s="128">
        <f>IFERROR(AR847*$W847,)</f>
        <v/>
      </c>
      <c r="CD847" s="128">
        <f>IFERROR(AS847*$W847,)</f>
        <v/>
      </c>
      <c r="CE847" s="128">
        <f>IFERROR(AT847*$W847,)</f>
        <v/>
      </c>
      <c r="CF847" s="128">
        <f>IFERROR(AU847*$W847,)</f>
        <v/>
      </c>
      <c r="CG847" s="128">
        <f>IFERROR(AV847*$W847,)</f>
        <v/>
      </c>
      <c r="CH847" s="128">
        <f>IFERROR(AW847*$W847,)</f>
        <v/>
      </c>
      <c r="CI847" s="128">
        <f>IFERROR(AX847*$W847,)</f>
        <v/>
      </c>
      <c r="CJ847" s="128">
        <f>IFERROR(AY847*$W847,)</f>
        <v/>
      </c>
      <c r="CK847" s="128">
        <f>IFERROR(AZ847*$W847,)</f>
        <v/>
      </c>
      <c r="CL847" s="129">
        <f>IFERROR(if($Y847=0,BA847*($W847/1.2),BA847*$Y847),"")</f>
        <v/>
      </c>
      <c r="CM847" s="129">
        <f>IFERROR(if($Y847=0,BB847*($W847/1.2),BB847*$Y847),"")</f>
        <v/>
      </c>
      <c r="CN847" s="129">
        <f>IFERROR(if($Y847=0,BC847*($W847/1.2),BC847*$Y847),"")</f>
        <v/>
      </c>
      <c r="CO847" s="130">
        <f>IFERROR(if($AA847=0,($W847/1.35)*BD847,BD847*$AA847),)</f>
        <v/>
      </c>
      <c r="CP847" s="130">
        <f>IFERROR(if($AA847=0,($W847/1.35)*BE847,BE847*$AA847),)</f>
        <v/>
      </c>
      <c r="CQ847" s="130">
        <f>IFERROR(if($AA847=0,($W847/1.35)*BF847,BF847*$AA847),)</f>
        <v/>
      </c>
      <c r="CR847" s="128">
        <f>IFERROR(if($AC847=0,($W847/0.74)*BG847,
BG847*$AC847),)</f>
        <v/>
      </c>
      <c r="CS847" s="128">
        <f>IFERROR(if($AC847=0,($W847/0.74)*BH847,
BH847*$AC847),)</f>
        <v/>
      </c>
      <c r="CT847" s="128">
        <f>IFERROR(if($AC847=0,($W847/0.74)*BI847,
BI847*$AC847),)</f>
        <v/>
      </c>
      <c r="CU847" s="128">
        <f>IFERROR(AI847*$V847,)</f>
        <v/>
      </c>
      <c r="CV847" s="128">
        <f>IFERROR(AJ847*$V847,)</f>
        <v/>
      </c>
      <c r="CW847" s="128">
        <f>IFERROR(AK847*$V847,)</f>
        <v/>
      </c>
      <c r="CX847" s="128">
        <f>IFERROR(AL847*$V847,)</f>
        <v/>
      </c>
      <c r="CY847" s="128">
        <f>IFERROR(AM847*$V847,)</f>
        <v/>
      </c>
      <c r="CZ847" s="128">
        <f>IFERROR(AN847*$V847,)</f>
        <v/>
      </c>
      <c r="DA847" s="128">
        <f>IFERROR(AO847*$V847,)</f>
        <v/>
      </c>
      <c r="DB847" s="128">
        <f>IFERROR(AP847*$V847,)</f>
        <v/>
      </c>
      <c r="DC847" s="128">
        <f>IFERROR(AQ847*$V847,)</f>
        <v/>
      </c>
      <c r="DD847" s="128">
        <f>IFERROR(AR847*$V847,)</f>
        <v/>
      </c>
      <c r="DE847" s="128">
        <f>IFERROR(AS847*$V847,)</f>
        <v/>
      </c>
      <c r="DF847" s="128">
        <f>IFERROR(AT847*$V847,)</f>
        <v/>
      </c>
      <c r="DG847" s="128">
        <f>IFERROR(AU847*$V847,)</f>
        <v/>
      </c>
      <c r="DH847" s="128">
        <f>IFERROR(AV847*$V847,)</f>
        <v/>
      </c>
      <c r="DI847" s="128">
        <f>IFERROR(AW847*$V847,)</f>
        <v/>
      </c>
      <c r="DJ847" s="128">
        <f>IFERROR(AX847*$V847,)</f>
        <v/>
      </c>
      <c r="DK847" s="128">
        <f>IFERROR(AY847*$V847,)</f>
        <v/>
      </c>
      <c r="DL847" s="128">
        <f>IFERROR(AZ847*$V847,)</f>
        <v/>
      </c>
      <c r="DM847" s="129">
        <f>IFERROR(if($X847=0,($V847/1.2)*BA847,
BA847*$X847),)</f>
        <v/>
      </c>
      <c r="DN847" s="129">
        <f>IFERROR(if($X847=0,($V847/1.2)*BB847,
BB847*$X847),)</f>
        <v/>
      </c>
      <c r="DO847" s="129">
        <f>IFERROR(if($X847=0,($V847/1.2)*BC847,
BC847*$X847),)</f>
        <v/>
      </c>
      <c r="DP847" s="130">
        <f>IFERROR(if($Z847=0,($V847/1.35)*BD847,
BD847*$Z847),)</f>
        <v/>
      </c>
      <c r="DQ847" s="130">
        <f>IFERROR(if($Z847=0,($V847/1.35)*BE847,
BE847*$Z847),)</f>
        <v/>
      </c>
      <c r="DR847" s="130">
        <f>IFERROR(if($Z847=0,($V847/1.35)*BF847,
BF847*$Z847),)</f>
        <v/>
      </c>
      <c r="DS847" s="128">
        <f>IFERROR(IF($AB847=0,($V847/0.74)*BG847,
BG847*$AB847),)</f>
        <v/>
      </c>
      <c r="DT847" s="128">
        <f>IFERROR(IF($AB847=0,($V847/0.74)*BH847,
BH847*$AB847),)</f>
        <v/>
      </c>
      <c r="DU847" s="128">
        <f>IFERROR(IF($AB847=0,($V847/0.74)*BI847,
BI847*$AB847),)</f>
        <v/>
      </c>
    </row>
    <row r="848" ht="131.25" customHeight="1" s="162">
      <c r="A848" s="115" t="n"/>
      <c r="B848" s="115" t="n"/>
      <c r="C848" s="115" t="n"/>
      <c r="D848" s="115" t="n"/>
      <c r="E848" s="115" t="n"/>
      <c r="F848" s="115" t="n"/>
      <c r="G848" s="115" t="n"/>
      <c r="H848" s="115" t="n"/>
      <c r="I848" s="115" t="n"/>
      <c r="J848" s="115" t="n"/>
      <c r="K848" s="115" t="n"/>
      <c r="L848" s="115" t="n"/>
      <c r="M848" s="115" t="n"/>
      <c r="N848" s="115" t="n"/>
      <c r="O848" s="115" t="n"/>
      <c r="P848" s="115" t="n"/>
      <c r="Q848" s="115" t="n"/>
      <c r="R848" s="115" t="n"/>
      <c r="S848" s="115" t="n"/>
      <c r="T848" s="115" t="n"/>
      <c r="U848" s="116" t="n"/>
      <c r="V848" s="116" t="n"/>
      <c r="W848" s="117" t="n"/>
      <c r="X848" s="118" t="n"/>
      <c r="Y848" s="119" t="n"/>
      <c r="Z848" s="120" t="n"/>
      <c r="AA848" s="121" t="n"/>
      <c r="AB848" s="122" t="n"/>
      <c r="AC848" s="117" t="n"/>
      <c r="AD848" s="123">
        <f>IF(SUM($AE848:$AH848)=0,"",SUM($AE848:$AH848))</f>
        <v/>
      </c>
      <c r="AE848" s="123">
        <f>iferror(IF(SUM($AI848:$AZ848)=0,"",SUM($AI848:$AZ848)),"")</f>
        <v/>
      </c>
      <c r="AF848" s="123">
        <f>iferror(IF(SUM($BA848:$BC848)=0,"",SUM($BA848:$BC848)),"")</f>
        <v/>
      </c>
      <c r="AG848" s="123">
        <f>iferror(IF(SUM($BD848:$BF848)=0,"",SUM($BD848:$BF848)),"")</f>
        <v/>
      </c>
      <c r="AH848" s="124">
        <f>iferror(IF(SUM($BG848:$BI848)=0,"",SUM($BG848:$BI848)),"")</f>
        <v/>
      </c>
      <c r="AI848" s="131" t="n"/>
      <c r="AJ848" s="132" t="n"/>
      <c r="AK848" s="132" t="n"/>
      <c r="AL848" s="132" t="n"/>
      <c r="AM848" s="132" t="n"/>
      <c r="AN848" s="132" t="n"/>
      <c r="AO848" s="132" t="n"/>
      <c r="AP848" s="132" t="n"/>
      <c r="AQ848" s="132" t="n"/>
      <c r="AR848" s="132" t="n"/>
      <c r="AS848" s="132" t="n"/>
      <c r="AT848" s="132" t="n"/>
      <c r="AU848" s="132" t="n"/>
      <c r="AV848" s="132" t="n"/>
      <c r="AW848" s="132" t="n"/>
      <c r="AX848" s="132" t="n"/>
      <c r="AY848" s="132" t="n"/>
      <c r="AZ848" s="133" t="n"/>
      <c r="BA848" s="131" t="n"/>
      <c r="BB848" s="132" t="n"/>
      <c r="BC848" s="133" t="n"/>
      <c r="BD848" s="131" t="n"/>
      <c r="BE848" s="132" t="n"/>
      <c r="BF848" s="133" t="n"/>
      <c r="BG848" s="131" t="n"/>
      <c r="BH848" s="132" t="n"/>
      <c r="BI848" s="132" t="n"/>
      <c r="BJ848" s="128">
        <f>iferror(SUM($BK848,($BL848*1.2),($BM848*1.35),($BN848*0.74)),)</f>
        <v/>
      </c>
      <c r="BK848" s="128">
        <f>IFERROR(SUM($BT848:$CK848),)</f>
        <v/>
      </c>
      <c r="BL848" s="129">
        <f>IFERROR(SUM($CL848:$CN848),)</f>
        <v/>
      </c>
      <c r="BM848" s="130">
        <f>IFERROR(SUM($CO848:$CQ848),)</f>
        <v/>
      </c>
      <c r="BN848" s="128">
        <f>IFERROR(SUM($CR848:$CT848),)</f>
        <v/>
      </c>
      <c r="BO848" s="128">
        <f>iferror(SUM($BP848,($BQ848*1.2),($BR848*1.35),($BS848*0.74)),)</f>
        <v/>
      </c>
      <c r="BP848" s="128">
        <f>IFERROR(SUM($CU848:$DL848),)</f>
        <v/>
      </c>
      <c r="BQ848" s="128">
        <f>IFERROR(SUM($DM848:$DO848),)</f>
        <v/>
      </c>
      <c r="BR848" s="128">
        <f>IFERROR(SUM($DP848:$DR848),)</f>
        <v/>
      </c>
      <c r="BS848" s="128">
        <f>IFERROR(SUM($DS848:$DU848),)</f>
        <v/>
      </c>
      <c r="BT848" s="128">
        <f>IFERROR(AI848*$W848,)</f>
        <v/>
      </c>
      <c r="BU848" s="128">
        <f>IFERROR(AJ848*$W848,)</f>
        <v/>
      </c>
      <c r="BV848" s="128">
        <f>IFERROR(AK848*$W848,)</f>
        <v/>
      </c>
      <c r="BW848" s="128">
        <f>IFERROR(AL848*$W848,)</f>
        <v/>
      </c>
      <c r="BX848" s="128">
        <f>IFERROR(AM848*$W848,)</f>
        <v/>
      </c>
      <c r="BY848" s="128">
        <f>IFERROR(AN848*$W848,)</f>
        <v/>
      </c>
      <c r="BZ848" s="128">
        <f>IFERROR(AO848*$W848,)</f>
        <v/>
      </c>
      <c r="CA848" s="128">
        <f>IFERROR(AP848*$W848,)</f>
        <v/>
      </c>
      <c r="CB848" s="128">
        <f>IFERROR(AQ848*$W848,)</f>
        <v/>
      </c>
      <c r="CC848" s="128">
        <f>IFERROR(AR848*$W848,)</f>
        <v/>
      </c>
      <c r="CD848" s="128">
        <f>IFERROR(AS848*$W848,)</f>
        <v/>
      </c>
      <c r="CE848" s="128">
        <f>IFERROR(AT848*$W848,)</f>
        <v/>
      </c>
      <c r="CF848" s="128">
        <f>IFERROR(AU848*$W848,)</f>
        <v/>
      </c>
      <c r="CG848" s="128">
        <f>IFERROR(AV848*$W848,)</f>
        <v/>
      </c>
      <c r="CH848" s="128">
        <f>IFERROR(AW848*$W848,)</f>
        <v/>
      </c>
      <c r="CI848" s="128">
        <f>IFERROR(AX848*$W848,)</f>
        <v/>
      </c>
      <c r="CJ848" s="128">
        <f>IFERROR(AY848*$W848,)</f>
        <v/>
      </c>
      <c r="CK848" s="128">
        <f>IFERROR(AZ848*$W848,)</f>
        <v/>
      </c>
      <c r="CL848" s="129">
        <f>IFERROR(if($Y848=0,BA848*($W848/1.2),BA848*$Y848),"")</f>
        <v/>
      </c>
      <c r="CM848" s="129">
        <f>IFERROR(if($Y848=0,BB848*($W848/1.2),BB848*$Y848),"")</f>
        <v/>
      </c>
      <c r="CN848" s="129">
        <f>IFERROR(if($Y848=0,BC848*($W848/1.2),BC848*$Y848),"")</f>
        <v/>
      </c>
      <c r="CO848" s="130">
        <f>IFERROR(if($AA848=0,($W848/1.35)*BD848,BD848*$AA848),)</f>
        <v/>
      </c>
      <c r="CP848" s="130">
        <f>IFERROR(if($AA848=0,($W848/1.35)*BE848,BE848*$AA848),)</f>
        <v/>
      </c>
      <c r="CQ848" s="130">
        <f>IFERROR(if($AA848=0,($W848/1.35)*BF848,BF848*$AA848),)</f>
        <v/>
      </c>
      <c r="CR848" s="128">
        <f>IFERROR(if($AC848=0,($W848/0.74)*BG848,
BG848*$AC848),)</f>
        <v/>
      </c>
      <c r="CS848" s="128">
        <f>IFERROR(if($AC848=0,($W848/0.74)*BH848,
BH848*$AC848),)</f>
        <v/>
      </c>
      <c r="CT848" s="128">
        <f>IFERROR(if($AC848=0,($W848/0.74)*BI848,
BI848*$AC848),)</f>
        <v/>
      </c>
      <c r="CU848" s="128">
        <f>IFERROR(AI848*$V848,)</f>
        <v/>
      </c>
      <c r="CV848" s="128">
        <f>IFERROR(AJ848*$V848,)</f>
        <v/>
      </c>
      <c r="CW848" s="128">
        <f>IFERROR(AK848*$V848,)</f>
        <v/>
      </c>
      <c r="CX848" s="128">
        <f>IFERROR(AL848*$V848,)</f>
        <v/>
      </c>
      <c r="CY848" s="128">
        <f>IFERROR(AM848*$V848,)</f>
        <v/>
      </c>
      <c r="CZ848" s="128">
        <f>IFERROR(AN848*$V848,)</f>
        <v/>
      </c>
      <c r="DA848" s="128">
        <f>IFERROR(AO848*$V848,)</f>
        <v/>
      </c>
      <c r="DB848" s="128">
        <f>IFERROR(AP848*$V848,)</f>
        <v/>
      </c>
      <c r="DC848" s="128">
        <f>IFERROR(AQ848*$V848,)</f>
        <v/>
      </c>
      <c r="DD848" s="128">
        <f>IFERROR(AR848*$V848,)</f>
        <v/>
      </c>
      <c r="DE848" s="128">
        <f>IFERROR(AS848*$V848,)</f>
        <v/>
      </c>
      <c r="DF848" s="128">
        <f>IFERROR(AT848*$V848,)</f>
        <v/>
      </c>
      <c r="DG848" s="128">
        <f>IFERROR(AU848*$V848,)</f>
        <v/>
      </c>
      <c r="DH848" s="128">
        <f>IFERROR(AV848*$V848,)</f>
        <v/>
      </c>
      <c r="DI848" s="128">
        <f>IFERROR(AW848*$V848,)</f>
        <v/>
      </c>
      <c r="DJ848" s="128">
        <f>IFERROR(AX848*$V848,)</f>
        <v/>
      </c>
      <c r="DK848" s="128">
        <f>IFERROR(AY848*$V848,)</f>
        <v/>
      </c>
      <c r="DL848" s="128">
        <f>IFERROR(AZ848*$V848,)</f>
        <v/>
      </c>
      <c r="DM848" s="129">
        <f>IFERROR(if($X848=0,($V848/1.2)*BA848,
BA848*$X848),)</f>
        <v/>
      </c>
      <c r="DN848" s="129">
        <f>IFERROR(if($X848=0,($V848/1.2)*BB848,
BB848*$X848),)</f>
        <v/>
      </c>
      <c r="DO848" s="129">
        <f>IFERROR(if($X848=0,($V848/1.2)*BC848,
BC848*$X848),)</f>
        <v/>
      </c>
      <c r="DP848" s="130">
        <f>IFERROR(if($Z848=0,($V848/1.35)*BD848,
BD848*$Z848),)</f>
        <v/>
      </c>
      <c r="DQ848" s="130">
        <f>IFERROR(if($Z848=0,($V848/1.35)*BE848,
BE848*$Z848),)</f>
        <v/>
      </c>
      <c r="DR848" s="130">
        <f>IFERROR(if($Z848=0,($V848/1.35)*BF848,
BF848*$Z848),)</f>
        <v/>
      </c>
      <c r="DS848" s="128">
        <f>IFERROR(IF($AB848=0,($V848/0.74)*BG848,
BG848*$AB848),)</f>
        <v/>
      </c>
      <c r="DT848" s="128">
        <f>IFERROR(IF($AB848=0,($V848/0.74)*BH848,
BH848*$AB848),)</f>
        <v/>
      </c>
      <c r="DU848" s="128">
        <f>IFERROR(IF($AB848=0,($V848/0.74)*BI848,
BI848*$AB848),)</f>
        <v/>
      </c>
    </row>
    <row r="849" ht="131.25" customHeight="1" s="162">
      <c r="A849" s="115" t="n"/>
      <c r="B849" s="115" t="n"/>
      <c r="C849" s="115" t="n"/>
      <c r="D849" s="115" t="n"/>
      <c r="E849" s="115" t="n"/>
      <c r="F849" s="115" t="n"/>
      <c r="G849" s="115" t="n"/>
      <c r="H849" s="115" t="n"/>
      <c r="I849" s="115" t="n"/>
      <c r="J849" s="115" t="n"/>
      <c r="K849" s="115" t="n"/>
      <c r="L849" s="115" t="n"/>
      <c r="M849" s="115" t="n"/>
      <c r="N849" s="115" t="n"/>
      <c r="O849" s="115" t="n"/>
      <c r="P849" s="115" t="n"/>
      <c r="Q849" s="115" t="n"/>
      <c r="R849" s="115" t="n"/>
      <c r="S849" s="115" t="n"/>
      <c r="T849" s="115" t="n"/>
      <c r="U849" s="116" t="n"/>
      <c r="V849" s="116" t="n"/>
      <c r="W849" s="117" t="n"/>
      <c r="X849" s="118" t="n"/>
      <c r="Y849" s="119" t="n"/>
      <c r="Z849" s="120" t="n"/>
      <c r="AA849" s="121" t="n"/>
      <c r="AB849" s="122" t="n"/>
      <c r="AC849" s="117" t="n"/>
      <c r="AD849" s="123">
        <f>IF(SUM($AE849:$AH849)=0,"",SUM($AE849:$AH849))</f>
        <v/>
      </c>
      <c r="AE849" s="123">
        <f>iferror(IF(SUM($AI849:$AZ849)=0,"",SUM($AI849:$AZ849)),"")</f>
        <v/>
      </c>
      <c r="AF849" s="123">
        <f>iferror(IF(SUM($BA849:$BC849)=0,"",SUM($BA849:$BC849)),"")</f>
        <v/>
      </c>
      <c r="AG849" s="123">
        <f>iferror(IF(SUM($BD849:$BF849)=0,"",SUM($BD849:$BF849)),"")</f>
        <v/>
      </c>
      <c r="AH849" s="124">
        <f>iferror(IF(SUM($BG849:$BI849)=0,"",SUM($BG849:$BI849)),"")</f>
        <v/>
      </c>
      <c r="AI849" s="131" t="n"/>
      <c r="AJ849" s="132" t="n"/>
      <c r="AK849" s="132" t="n"/>
      <c r="AL849" s="132" t="n"/>
      <c r="AM849" s="132" t="n"/>
      <c r="AN849" s="132" t="n"/>
      <c r="AO849" s="132" t="n"/>
      <c r="AP849" s="132" t="n"/>
      <c r="AQ849" s="132" t="n"/>
      <c r="AR849" s="132" t="n"/>
      <c r="AS849" s="132" t="n"/>
      <c r="AT849" s="132" t="n"/>
      <c r="AU849" s="132" t="n"/>
      <c r="AV849" s="132" t="n"/>
      <c r="AW849" s="132" t="n"/>
      <c r="AX849" s="132" t="n"/>
      <c r="AY849" s="132" t="n"/>
      <c r="AZ849" s="133" t="n"/>
      <c r="BA849" s="131" t="n"/>
      <c r="BB849" s="132" t="n"/>
      <c r="BC849" s="133" t="n"/>
      <c r="BD849" s="131" t="n"/>
      <c r="BE849" s="132" t="n"/>
      <c r="BF849" s="133" t="n"/>
      <c r="BG849" s="131" t="n"/>
      <c r="BH849" s="132" t="n"/>
      <c r="BI849" s="132" t="n"/>
      <c r="BJ849" s="128">
        <f>iferror(SUM($BK849,($BL849*1.2),($BM849*1.35),($BN849*0.74)),)</f>
        <v/>
      </c>
      <c r="BK849" s="128">
        <f>IFERROR(SUM($BT849:$CK849),)</f>
        <v/>
      </c>
      <c r="BL849" s="129">
        <f>IFERROR(SUM($CL849:$CN849),)</f>
        <v/>
      </c>
      <c r="BM849" s="130">
        <f>IFERROR(SUM($CO849:$CQ849),)</f>
        <v/>
      </c>
      <c r="BN849" s="128">
        <f>IFERROR(SUM($CR849:$CT849),)</f>
        <v/>
      </c>
      <c r="BO849" s="128">
        <f>iferror(SUM($BP849,($BQ849*1.2),($BR849*1.35),($BS849*0.74)),)</f>
        <v/>
      </c>
      <c r="BP849" s="128">
        <f>IFERROR(SUM($CU849:$DL849),)</f>
        <v/>
      </c>
      <c r="BQ849" s="128">
        <f>IFERROR(SUM($DM849:$DO849),)</f>
        <v/>
      </c>
      <c r="BR849" s="128">
        <f>IFERROR(SUM($DP849:$DR849),)</f>
        <v/>
      </c>
      <c r="BS849" s="128">
        <f>IFERROR(SUM($DS849:$DU849),)</f>
        <v/>
      </c>
      <c r="BT849" s="128">
        <f>IFERROR(AI849*$W849,)</f>
        <v/>
      </c>
      <c r="BU849" s="128">
        <f>IFERROR(AJ849*$W849,)</f>
        <v/>
      </c>
      <c r="BV849" s="128">
        <f>IFERROR(AK849*$W849,)</f>
        <v/>
      </c>
      <c r="BW849" s="128">
        <f>IFERROR(AL849*$W849,)</f>
        <v/>
      </c>
      <c r="BX849" s="128">
        <f>IFERROR(AM849*$W849,)</f>
        <v/>
      </c>
      <c r="BY849" s="128">
        <f>IFERROR(AN849*$W849,)</f>
        <v/>
      </c>
      <c r="BZ849" s="128">
        <f>IFERROR(AO849*$W849,)</f>
        <v/>
      </c>
      <c r="CA849" s="128">
        <f>IFERROR(AP849*$W849,)</f>
        <v/>
      </c>
      <c r="CB849" s="128">
        <f>IFERROR(AQ849*$W849,)</f>
        <v/>
      </c>
      <c r="CC849" s="128">
        <f>IFERROR(AR849*$W849,)</f>
        <v/>
      </c>
      <c r="CD849" s="128">
        <f>IFERROR(AS849*$W849,)</f>
        <v/>
      </c>
      <c r="CE849" s="128">
        <f>IFERROR(AT849*$W849,)</f>
        <v/>
      </c>
      <c r="CF849" s="128">
        <f>IFERROR(AU849*$W849,)</f>
        <v/>
      </c>
      <c r="CG849" s="128">
        <f>IFERROR(AV849*$W849,)</f>
        <v/>
      </c>
      <c r="CH849" s="128">
        <f>IFERROR(AW849*$W849,)</f>
        <v/>
      </c>
      <c r="CI849" s="128">
        <f>IFERROR(AX849*$W849,)</f>
        <v/>
      </c>
      <c r="CJ849" s="128">
        <f>IFERROR(AY849*$W849,)</f>
        <v/>
      </c>
      <c r="CK849" s="128">
        <f>IFERROR(AZ849*$W849,)</f>
        <v/>
      </c>
      <c r="CL849" s="129">
        <f>IFERROR(if($Y849=0,BA849*($W849/1.2),BA849*$Y849),"")</f>
        <v/>
      </c>
      <c r="CM849" s="129">
        <f>IFERROR(if($Y849=0,BB849*($W849/1.2),BB849*$Y849),"")</f>
        <v/>
      </c>
      <c r="CN849" s="129">
        <f>IFERROR(if($Y849=0,BC849*($W849/1.2),BC849*$Y849),"")</f>
        <v/>
      </c>
      <c r="CO849" s="130">
        <f>IFERROR(if($AA849=0,($W849/1.35)*BD849,BD849*$AA849),)</f>
        <v/>
      </c>
      <c r="CP849" s="130">
        <f>IFERROR(if($AA849=0,($W849/1.35)*BE849,BE849*$AA849),)</f>
        <v/>
      </c>
      <c r="CQ849" s="130">
        <f>IFERROR(if($AA849=0,($W849/1.35)*BF849,BF849*$AA849),)</f>
        <v/>
      </c>
      <c r="CR849" s="128">
        <f>IFERROR(if($AC849=0,($W849/0.74)*BG849,
BG849*$AC849),)</f>
        <v/>
      </c>
      <c r="CS849" s="128">
        <f>IFERROR(if($AC849=0,($W849/0.74)*BH849,
BH849*$AC849),)</f>
        <v/>
      </c>
      <c r="CT849" s="128">
        <f>IFERROR(if($AC849=0,($W849/0.74)*BI849,
BI849*$AC849),)</f>
        <v/>
      </c>
      <c r="CU849" s="128">
        <f>IFERROR(AI849*$V849,)</f>
        <v/>
      </c>
      <c r="CV849" s="128">
        <f>IFERROR(AJ849*$V849,)</f>
        <v/>
      </c>
      <c r="CW849" s="128">
        <f>IFERROR(AK849*$V849,)</f>
        <v/>
      </c>
      <c r="CX849" s="128">
        <f>IFERROR(AL849*$V849,)</f>
        <v/>
      </c>
      <c r="CY849" s="128">
        <f>IFERROR(AM849*$V849,)</f>
        <v/>
      </c>
      <c r="CZ849" s="128">
        <f>IFERROR(AN849*$V849,)</f>
        <v/>
      </c>
      <c r="DA849" s="128">
        <f>IFERROR(AO849*$V849,)</f>
        <v/>
      </c>
      <c r="DB849" s="128">
        <f>IFERROR(AP849*$V849,)</f>
        <v/>
      </c>
      <c r="DC849" s="128">
        <f>IFERROR(AQ849*$V849,)</f>
        <v/>
      </c>
      <c r="DD849" s="128">
        <f>IFERROR(AR849*$V849,)</f>
        <v/>
      </c>
      <c r="DE849" s="128">
        <f>IFERROR(AS849*$V849,)</f>
        <v/>
      </c>
      <c r="DF849" s="128">
        <f>IFERROR(AT849*$V849,)</f>
        <v/>
      </c>
      <c r="DG849" s="128">
        <f>IFERROR(AU849*$V849,)</f>
        <v/>
      </c>
      <c r="DH849" s="128">
        <f>IFERROR(AV849*$V849,)</f>
        <v/>
      </c>
      <c r="DI849" s="128">
        <f>IFERROR(AW849*$V849,)</f>
        <v/>
      </c>
      <c r="DJ849" s="128">
        <f>IFERROR(AX849*$V849,)</f>
        <v/>
      </c>
      <c r="DK849" s="128">
        <f>IFERROR(AY849*$V849,)</f>
        <v/>
      </c>
      <c r="DL849" s="128">
        <f>IFERROR(AZ849*$V849,)</f>
        <v/>
      </c>
      <c r="DM849" s="129">
        <f>IFERROR(if($X849=0,($V849/1.2)*BA849,
BA849*$X849),)</f>
        <v/>
      </c>
      <c r="DN849" s="129">
        <f>IFERROR(if($X849=0,($V849/1.2)*BB849,
BB849*$X849),)</f>
        <v/>
      </c>
      <c r="DO849" s="129">
        <f>IFERROR(if($X849=0,($V849/1.2)*BC849,
BC849*$X849),)</f>
        <v/>
      </c>
      <c r="DP849" s="130">
        <f>IFERROR(if($Z849=0,($V849/1.35)*BD849,
BD849*$Z849),)</f>
        <v/>
      </c>
      <c r="DQ849" s="130">
        <f>IFERROR(if($Z849=0,($V849/1.35)*BE849,
BE849*$Z849),)</f>
        <v/>
      </c>
      <c r="DR849" s="130">
        <f>IFERROR(if($Z849=0,($V849/1.35)*BF849,
BF849*$Z849),)</f>
        <v/>
      </c>
      <c r="DS849" s="128">
        <f>IFERROR(IF($AB849=0,($V849/0.74)*BG849,
BG849*$AB849),)</f>
        <v/>
      </c>
      <c r="DT849" s="128">
        <f>IFERROR(IF($AB849=0,($V849/0.74)*BH849,
BH849*$AB849),)</f>
        <v/>
      </c>
      <c r="DU849" s="128">
        <f>IFERROR(IF($AB849=0,($V849/0.74)*BI849,
BI849*$AB849),)</f>
        <v/>
      </c>
    </row>
    <row r="850" ht="131.25" customHeight="1" s="162">
      <c r="A850" s="115" t="n"/>
      <c r="B850" s="115" t="n"/>
      <c r="C850" s="115" t="n"/>
      <c r="D850" s="115" t="n"/>
      <c r="E850" s="115" t="n"/>
      <c r="F850" s="115" t="n"/>
      <c r="G850" s="115" t="n"/>
      <c r="H850" s="115" t="n"/>
      <c r="I850" s="115" t="n"/>
      <c r="J850" s="115" t="n"/>
      <c r="K850" s="115" t="n"/>
      <c r="L850" s="115" t="n"/>
      <c r="M850" s="115" t="n"/>
      <c r="N850" s="115" t="n"/>
      <c r="O850" s="115" t="n"/>
      <c r="P850" s="115" t="n"/>
      <c r="Q850" s="115" t="n"/>
      <c r="R850" s="115" t="n"/>
      <c r="S850" s="115" t="n"/>
      <c r="T850" s="115" t="n"/>
      <c r="U850" s="116" t="n"/>
      <c r="V850" s="116" t="n"/>
      <c r="W850" s="117" t="n"/>
      <c r="X850" s="118" t="n"/>
      <c r="Y850" s="119" t="n"/>
      <c r="Z850" s="120" t="n"/>
      <c r="AA850" s="121" t="n"/>
      <c r="AB850" s="122" t="n"/>
      <c r="AC850" s="117" t="n"/>
      <c r="AD850" s="123">
        <f>IF(SUM($AE850:$AH850)=0,"",SUM($AE850:$AH850))</f>
        <v/>
      </c>
      <c r="AE850" s="123">
        <f>iferror(IF(SUM($AI850:$AZ850)=0,"",SUM($AI850:$AZ850)),"")</f>
        <v/>
      </c>
      <c r="AF850" s="123">
        <f>iferror(IF(SUM($BA850:$BC850)=0,"",SUM($BA850:$BC850)),"")</f>
        <v/>
      </c>
      <c r="AG850" s="123">
        <f>iferror(IF(SUM($BD850:$BF850)=0,"",SUM($BD850:$BF850)),"")</f>
        <v/>
      </c>
      <c r="AH850" s="124">
        <f>iferror(IF(SUM($BG850:$BI850)=0,"",SUM($BG850:$BI850)),"")</f>
        <v/>
      </c>
      <c r="AI850" s="131" t="n"/>
      <c r="AJ850" s="132" t="n"/>
      <c r="AK850" s="132" t="n"/>
      <c r="AL850" s="132" t="n"/>
      <c r="AM850" s="132" t="n"/>
      <c r="AN850" s="132" t="n"/>
      <c r="AO850" s="132" t="n"/>
      <c r="AP850" s="132" t="n"/>
      <c r="AQ850" s="132" t="n"/>
      <c r="AR850" s="132" t="n"/>
      <c r="AS850" s="132" t="n"/>
      <c r="AT850" s="132" t="n"/>
      <c r="AU850" s="132" t="n"/>
      <c r="AV850" s="132" t="n"/>
      <c r="AW850" s="132" t="n"/>
      <c r="AX850" s="132" t="n"/>
      <c r="AY850" s="132" t="n"/>
      <c r="AZ850" s="133" t="n"/>
      <c r="BA850" s="131" t="n"/>
      <c r="BB850" s="132" t="n"/>
      <c r="BC850" s="133" t="n"/>
      <c r="BD850" s="131" t="n"/>
      <c r="BE850" s="132" t="n"/>
      <c r="BF850" s="133" t="n"/>
      <c r="BG850" s="131" t="n"/>
      <c r="BH850" s="132" t="n"/>
      <c r="BI850" s="132" t="n"/>
      <c r="BJ850" s="128">
        <f>iferror(SUM($BK850,($BL850*1.2),($BM850*1.35),($BN850*0.74)),)</f>
        <v/>
      </c>
      <c r="BK850" s="128">
        <f>IFERROR(SUM($BT850:$CK850),)</f>
        <v/>
      </c>
      <c r="BL850" s="129">
        <f>IFERROR(SUM($CL850:$CN850),)</f>
        <v/>
      </c>
      <c r="BM850" s="130">
        <f>IFERROR(SUM($CO850:$CQ850),)</f>
        <v/>
      </c>
      <c r="BN850" s="128">
        <f>IFERROR(SUM($CR850:$CT850),)</f>
        <v/>
      </c>
      <c r="BO850" s="128">
        <f>iferror(SUM($BP850,($BQ850*1.2),($BR850*1.35),($BS850*0.74)),)</f>
        <v/>
      </c>
      <c r="BP850" s="128">
        <f>IFERROR(SUM($CU850:$DL850),)</f>
        <v/>
      </c>
      <c r="BQ850" s="128">
        <f>IFERROR(SUM($DM850:$DO850),)</f>
        <v/>
      </c>
      <c r="BR850" s="128">
        <f>IFERROR(SUM($DP850:$DR850),)</f>
        <v/>
      </c>
      <c r="BS850" s="128">
        <f>IFERROR(SUM($DS850:$DU850),)</f>
        <v/>
      </c>
      <c r="BT850" s="128">
        <f>IFERROR(AI850*$W850,)</f>
        <v/>
      </c>
      <c r="BU850" s="128">
        <f>IFERROR(AJ850*$W850,)</f>
        <v/>
      </c>
      <c r="BV850" s="128">
        <f>IFERROR(AK850*$W850,)</f>
        <v/>
      </c>
      <c r="BW850" s="128">
        <f>IFERROR(AL850*$W850,)</f>
        <v/>
      </c>
      <c r="BX850" s="128">
        <f>IFERROR(AM850*$W850,)</f>
        <v/>
      </c>
      <c r="BY850" s="128">
        <f>IFERROR(AN850*$W850,)</f>
        <v/>
      </c>
      <c r="BZ850" s="128">
        <f>IFERROR(AO850*$W850,)</f>
        <v/>
      </c>
      <c r="CA850" s="128">
        <f>IFERROR(AP850*$W850,)</f>
        <v/>
      </c>
      <c r="CB850" s="128">
        <f>IFERROR(AQ850*$W850,)</f>
        <v/>
      </c>
      <c r="CC850" s="128">
        <f>IFERROR(AR850*$W850,)</f>
        <v/>
      </c>
      <c r="CD850" s="128">
        <f>IFERROR(AS850*$W850,)</f>
        <v/>
      </c>
      <c r="CE850" s="128">
        <f>IFERROR(AT850*$W850,)</f>
        <v/>
      </c>
      <c r="CF850" s="128">
        <f>IFERROR(AU850*$W850,)</f>
        <v/>
      </c>
      <c r="CG850" s="128">
        <f>IFERROR(AV850*$W850,)</f>
        <v/>
      </c>
      <c r="CH850" s="128">
        <f>IFERROR(AW850*$W850,)</f>
        <v/>
      </c>
      <c r="CI850" s="128">
        <f>IFERROR(AX850*$W850,)</f>
        <v/>
      </c>
      <c r="CJ850" s="128">
        <f>IFERROR(AY850*$W850,)</f>
        <v/>
      </c>
      <c r="CK850" s="128">
        <f>IFERROR(AZ850*$W850,)</f>
        <v/>
      </c>
      <c r="CL850" s="129">
        <f>IFERROR(if($Y850=0,BA850*($W850/1.2),BA850*$Y850),"")</f>
        <v/>
      </c>
      <c r="CM850" s="129">
        <f>IFERROR(if($Y850=0,BB850*($W850/1.2),BB850*$Y850),"")</f>
        <v/>
      </c>
      <c r="CN850" s="129">
        <f>IFERROR(if($Y850=0,BC850*($W850/1.2),BC850*$Y850),"")</f>
        <v/>
      </c>
      <c r="CO850" s="130">
        <f>IFERROR(if($AA850=0,($W850/1.35)*BD850,BD850*$AA850),)</f>
        <v/>
      </c>
      <c r="CP850" s="130">
        <f>IFERROR(if($AA850=0,($W850/1.35)*BE850,BE850*$AA850),)</f>
        <v/>
      </c>
      <c r="CQ850" s="130">
        <f>IFERROR(if($AA850=0,($W850/1.35)*BF850,BF850*$AA850),)</f>
        <v/>
      </c>
      <c r="CR850" s="128">
        <f>IFERROR(if($AC850=0,($W850/0.74)*BG850,
BG850*$AC850),)</f>
        <v/>
      </c>
      <c r="CS850" s="128">
        <f>IFERROR(if($AC850=0,($W850/0.74)*BH850,
BH850*$AC850),)</f>
        <v/>
      </c>
      <c r="CT850" s="128">
        <f>IFERROR(if($AC850=0,($W850/0.74)*BI850,
BI850*$AC850),)</f>
        <v/>
      </c>
      <c r="CU850" s="128">
        <f>IFERROR(AI850*$V850,)</f>
        <v/>
      </c>
      <c r="CV850" s="128">
        <f>IFERROR(AJ850*$V850,)</f>
        <v/>
      </c>
      <c r="CW850" s="128">
        <f>IFERROR(AK850*$V850,)</f>
        <v/>
      </c>
      <c r="CX850" s="128">
        <f>IFERROR(AL850*$V850,)</f>
        <v/>
      </c>
      <c r="CY850" s="128">
        <f>IFERROR(AM850*$V850,)</f>
        <v/>
      </c>
      <c r="CZ850" s="128">
        <f>IFERROR(AN850*$V850,)</f>
        <v/>
      </c>
      <c r="DA850" s="128">
        <f>IFERROR(AO850*$V850,)</f>
        <v/>
      </c>
      <c r="DB850" s="128">
        <f>IFERROR(AP850*$V850,)</f>
        <v/>
      </c>
      <c r="DC850" s="128">
        <f>IFERROR(AQ850*$V850,)</f>
        <v/>
      </c>
      <c r="DD850" s="128">
        <f>IFERROR(AR850*$V850,)</f>
        <v/>
      </c>
      <c r="DE850" s="128">
        <f>IFERROR(AS850*$V850,)</f>
        <v/>
      </c>
      <c r="DF850" s="128">
        <f>IFERROR(AT850*$V850,)</f>
        <v/>
      </c>
      <c r="DG850" s="128">
        <f>IFERROR(AU850*$V850,)</f>
        <v/>
      </c>
      <c r="DH850" s="128">
        <f>IFERROR(AV850*$V850,)</f>
        <v/>
      </c>
      <c r="DI850" s="128">
        <f>IFERROR(AW850*$V850,)</f>
        <v/>
      </c>
      <c r="DJ850" s="128">
        <f>IFERROR(AX850*$V850,)</f>
        <v/>
      </c>
      <c r="DK850" s="128">
        <f>IFERROR(AY850*$V850,)</f>
        <v/>
      </c>
      <c r="DL850" s="128">
        <f>IFERROR(AZ850*$V850,)</f>
        <v/>
      </c>
      <c r="DM850" s="129">
        <f>IFERROR(if($X850=0,($V850/1.2)*BA850,
BA850*$X850),)</f>
        <v/>
      </c>
      <c r="DN850" s="129">
        <f>IFERROR(if($X850=0,($V850/1.2)*BB850,
BB850*$X850),)</f>
        <v/>
      </c>
      <c r="DO850" s="129">
        <f>IFERROR(if($X850=0,($V850/1.2)*BC850,
BC850*$X850),)</f>
        <v/>
      </c>
      <c r="DP850" s="130">
        <f>IFERROR(if($Z850=0,($V850/1.35)*BD850,
BD850*$Z850),)</f>
        <v/>
      </c>
      <c r="DQ850" s="130">
        <f>IFERROR(if($Z850=0,($V850/1.35)*BE850,
BE850*$Z850),)</f>
        <v/>
      </c>
      <c r="DR850" s="130">
        <f>IFERROR(if($Z850=0,($V850/1.35)*BF850,
BF850*$Z850),)</f>
        <v/>
      </c>
      <c r="DS850" s="128">
        <f>IFERROR(IF($AB850=0,($V850/0.74)*BG850,
BG850*$AB850),)</f>
        <v/>
      </c>
      <c r="DT850" s="128">
        <f>IFERROR(IF($AB850=0,($V850/0.74)*BH850,
BH850*$AB850),)</f>
        <v/>
      </c>
      <c r="DU850" s="128">
        <f>IFERROR(IF($AB850=0,($V850/0.74)*BI850,
BI850*$AB850),)</f>
        <v/>
      </c>
    </row>
    <row r="851" ht="131.25" customHeight="1" s="162">
      <c r="A851" s="115" t="n"/>
      <c r="B851" s="115" t="n"/>
      <c r="C851" s="115" t="n"/>
      <c r="D851" s="115" t="n"/>
      <c r="E851" s="115" t="n"/>
      <c r="F851" s="115" t="n"/>
      <c r="G851" s="115" t="n"/>
      <c r="H851" s="115" t="n"/>
      <c r="I851" s="115" t="n"/>
      <c r="J851" s="115" t="n"/>
      <c r="K851" s="115" t="n"/>
      <c r="L851" s="115" t="n"/>
      <c r="M851" s="115" t="n"/>
      <c r="N851" s="115" t="n"/>
      <c r="O851" s="115" t="n"/>
      <c r="P851" s="115" t="n"/>
      <c r="Q851" s="115" t="n"/>
      <c r="R851" s="115" t="n"/>
      <c r="S851" s="115" t="n"/>
      <c r="T851" s="115" t="n"/>
      <c r="U851" s="116" t="n"/>
      <c r="V851" s="116" t="n"/>
      <c r="W851" s="117" t="n"/>
      <c r="X851" s="118" t="n"/>
      <c r="Y851" s="119" t="n"/>
      <c r="Z851" s="120" t="n"/>
      <c r="AA851" s="121" t="n"/>
      <c r="AB851" s="122" t="n"/>
      <c r="AC851" s="117" t="n"/>
      <c r="AD851" s="123">
        <f>IF(SUM($AE851:$AH851)=0,"",SUM($AE851:$AH851))</f>
        <v/>
      </c>
      <c r="AE851" s="123">
        <f>iferror(IF(SUM($AI851:$AZ851)=0,"",SUM($AI851:$AZ851)),"")</f>
        <v/>
      </c>
      <c r="AF851" s="123">
        <f>iferror(IF(SUM($BA851:$BC851)=0,"",SUM($BA851:$BC851)),"")</f>
        <v/>
      </c>
      <c r="AG851" s="123">
        <f>iferror(IF(SUM($BD851:$BF851)=0,"",SUM($BD851:$BF851)),"")</f>
        <v/>
      </c>
      <c r="AH851" s="124">
        <f>iferror(IF(SUM($BG851:$BI851)=0,"",SUM($BG851:$BI851)),"")</f>
        <v/>
      </c>
      <c r="AI851" s="131" t="n"/>
      <c r="AJ851" s="132" t="n"/>
      <c r="AK851" s="132" t="n"/>
      <c r="AL851" s="132" t="n"/>
      <c r="AM851" s="132" t="n"/>
      <c r="AN851" s="132" t="n"/>
      <c r="AO851" s="132" t="n"/>
      <c r="AP851" s="132" t="n"/>
      <c r="AQ851" s="132" t="n"/>
      <c r="AR851" s="132" t="n"/>
      <c r="AS851" s="132" t="n"/>
      <c r="AT851" s="132" t="n"/>
      <c r="AU851" s="132" t="n"/>
      <c r="AV851" s="132" t="n"/>
      <c r="AW851" s="132" t="n"/>
      <c r="AX851" s="132" t="n"/>
      <c r="AY851" s="132" t="n"/>
      <c r="AZ851" s="133" t="n"/>
      <c r="BA851" s="131" t="n"/>
      <c r="BB851" s="132" t="n"/>
      <c r="BC851" s="133" t="n"/>
      <c r="BD851" s="131" t="n"/>
      <c r="BE851" s="132" t="n"/>
      <c r="BF851" s="133" t="n"/>
      <c r="BG851" s="131" t="n"/>
      <c r="BH851" s="132" t="n"/>
      <c r="BI851" s="132" t="n"/>
      <c r="BJ851" s="128">
        <f>iferror(SUM($BK851,($BL851*1.2),($BM851*1.35),($BN851*0.74)),)</f>
        <v/>
      </c>
      <c r="BK851" s="128">
        <f>IFERROR(SUM($BT851:$CK851),)</f>
        <v/>
      </c>
      <c r="BL851" s="129">
        <f>IFERROR(SUM($CL851:$CN851),)</f>
        <v/>
      </c>
      <c r="BM851" s="130">
        <f>IFERROR(SUM($CO851:$CQ851),)</f>
        <v/>
      </c>
      <c r="BN851" s="128">
        <f>IFERROR(SUM($CR851:$CT851),)</f>
        <v/>
      </c>
      <c r="BO851" s="128">
        <f>iferror(SUM($BP851,($BQ851*1.2),($BR851*1.35),($BS851*0.74)),)</f>
        <v/>
      </c>
      <c r="BP851" s="128">
        <f>IFERROR(SUM($CU851:$DL851),)</f>
        <v/>
      </c>
      <c r="BQ851" s="128">
        <f>IFERROR(SUM($DM851:$DO851),)</f>
        <v/>
      </c>
      <c r="BR851" s="128">
        <f>IFERROR(SUM($DP851:$DR851),)</f>
        <v/>
      </c>
      <c r="BS851" s="128">
        <f>IFERROR(SUM($DS851:$DU851),)</f>
        <v/>
      </c>
      <c r="BT851" s="128">
        <f>IFERROR(AI851*$W851,)</f>
        <v/>
      </c>
      <c r="BU851" s="128">
        <f>IFERROR(AJ851*$W851,)</f>
        <v/>
      </c>
      <c r="BV851" s="128">
        <f>IFERROR(AK851*$W851,)</f>
        <v/>
      </c>
      <c r="BW851" s="128">
        <f>IFERROR(AL851*$W851,)</f>
        <v/>
      </c>
      <c r="BX851" s="128">
        <f>IFERROR(AM851*$W851,)</f>
        <v/>
      </c>
      <c r="BY851" s="128">
        <f>IFERROR(AN851*$W851,)</f>
        <v/>
      </c>
      <c r="BZ851" s="128">
        <f>IFERROR(AO851*$W851,)</f>
        <v/>
      </c>
      <c r="CA851" s="128">
        <f>IFERROR(AP851*$W851,)</f>
        <v/>
      </c>
      <c r="CB851" s="128">
        <f>IFERROR(AQ851*$W851,)</f>
        <v/>
      </c>
      <c r="CC851" s="128">
        <f>IFERROR(AR851*$W851,)</f>
        <v/>
      </c>
      <c r="CD851" s="128">
        <f>IFERROR(AS851*$W851,)</f>
        <v/>
      </c>
      <c r="CE851" s="128">
        <f>IFERROR(AT851*$W851,)</f>
        <v/>
      </c>
      <c r="CF851" s="128">
        <f>IFERROR(AU851*$W851,)</f>
        <v/>
      </c>
      <c r="CG851" s="128">
        <f>IFERROR(AV851*$W851,)</f>
        <v/>
      </c>
      <c r="CH851" s="128">
        <f>IFERROR(AW851*$W851,)</f>
        <v/>
      </c>
      <c r="CI851" s="128">
        <f>IFERROR(AX851*$W851,)</f>
        <v/>
      </c>
      <c r="CJ851" s="128">
        <f>IFERROR(AY851*$W851,)</f>
        <v/>
      </c>
      <c r="CK851" s="128">
        <f>IFERROR(AZ851*$W851,)</f>
        <v/>
      </c>
      <c r="CL851" s="129">
        <f>IFERROR(if($Y851=0,BA851*($W851/1.2),BA851*$Y851),"")</f>
        <v/>
      </c>
      <c r="CM851" s="129">
        <f>IFERROR(if($Y851=0,BB851*($W851/1.2),BB851*$Y851),"")</f>
        <v/>
      </c>
      <c r="CN851" s="129">
        <f>IFERROR(if($Y851=0,BC851*($W851/1.2),BC851*$Y851),"")</f>
        <v/>
      </c>
      <c r="CO851" s="130">
        <f>IFERROR(if($AA851=0,($W851/1.35)*BD851,BD851*$AA851),)</f>
        <v/>
      </c>
      <c r="CP851" s="130">
        <f>IFERROR(if($AA851=0,($W851/1.35)*BE851,BE851*$AA851),)</f>
        <v/>
      </c>
      <c r="CQ851" s="130">
        <f>IFERROR(if($AA851=0,($W851/1.35)*BF851,BF851*$AA851),)</f>
        <v/>
      </c>
      <c r="CR851" s="128">
        <f>IFERROR(if($AC851=0,($W851/0.74)*BG851,
BG851*$AC851),)</f>
        <v/>
      </c>
      <c r="CS851" s="128">
        <f>IFERROR(if($AC851=0,($W851/0.74)*BH851,
BH851*$AC851),)</f>
        <v/>
      </c>
      <c r="CT851" s="128">
        <f>IFERROR(if($AC851=0,($W851/0.74)*BI851,
BI851*$AC851),)</f>
        <v/>
      </c>
      <c r="CU851" s="128">
        <f>IFERROR(AI851*$V851,)</f>
        <v/>
      </c>
      <c r="CV851" s="128">
        <f>IFERROR(AJ851*$V851,)</f>
        <v/>
      </c>
      <c r="CW851" s="128">
        <f>IFERROR(AK851*$V851,)</f>
        <v/>
      </c>
      <c r="CX851" s="128">
        <f>IFERROR(AL851*$V851,)</f>
        <v/>
      </c>
      <c r="CY851" s="128">
        <f>IFERROR(AM851*$V851,)</f>
        <v/>
      </c>
      <c r="CZ851" s="128">
        <f>IFERROR(AN851*$V851,)</f>
        <v/>
      </c>
      <c r="DA851" s="128">
        <f>IFERROR(AO851*$V851,)</f>
        <v/>
      </c>
      <c r="DB851" s="128">
        <f>IFERROR(AP851*$V851,)</f>
        <v/>
      </c>
      <c r="DC851" s="128">
        <f>IFERROR(AQ851*$V851,)</f>
        <v/>
      </c>
      <c r="DD851" s="128">
        <f>IFERROR(AR851*$V851,)</f>
        <v/>
      </c>
      <c r="DE851" s="128">
        <f>IFERROR(AS851*$V851,)</f>
        <v/>
      </c>
      <c r="DF851" s="128">
        <f>IFERROR(AT851*$V851,)</f>
        <v/>
      </c>
      <c r="DG851" s="128">
        <f>IFERROR(AU851*$V851,)</f>
        <v/>
      </c>
      <c r="DH851" s="128">
        <f>IFERROR(AV851*$V851,)</f>
        <v/>
      </c>
      <c r="DI851" s="128">
        <f>IFERROR(AW851*$V851,)</f>
        <v/>
      </c>
      <c r="DJ851" s="128">
        <f>IFERROR(AX851*$V851,)</f>
        <v/>
      </c>
      <c r="DK851" s="128">
        <f>IFERROR(AY851*$V851,)</f>
        <v/>
      </c>
      <c r="DL851" s="128">
        <f>IFERROR(AZ851*$V851,)</f>
        <v/>
      </c>
      <c r="DM851" s="129">
        <f>IFERROR(if($X851=0,($V851/1.2)*BA851,
BA851*$X851),)</f>
        <v/>
      </c>
      <c r="DN851" s="129">
        <f>IFERROR(if($X851=0,($V851/1.2)*BB851,
BB851*$X851),)</f>
        <v/>
      </c>
      <c r="DO851" s="129">
        <f>IFERROR(if($X851=0,($V851/1.2)*BC851,
BC851*$X851),)</f>
        <v/>
      </c>
      <c r="DP851" s="130">
        <f>IFERROR(if($Z851=0,($V851/1.35)*BD851,
BD851*$Z851),)</f>
        <v/>
      </c>
      <c r="DQ851" s="130">
        <f>IFERROR(if($Z851=0,($V851/1.35)*BE851,
BE851*$Z851),)</f>
        <v/>
      </c>
      <c r="DR851" s="130">
        <f>IFERROR(if($Z851=0,($V851/1.35)*BF851,
BF851*$Z851),)</f>
        <v/>
      </c>
      <c r="DS851" s="128">
        <f>IFERROR(IF($AB851=0,($V851/0.74)*BG851,
BG851*$AB851),)</f>
        <v/>
      </c>
      <c r="DT851" s="128">
        <f>IFERROR(IF($AB851=0,($V851/0.74)*BH851,
BH851*$AB851),)</f>
        <v/>
      </c>
      <c r="DU851" s="128">
        <f>IFERROR(IF($AB851=0,($V851/0.74)*BI851,
BI851*$AB851),)</f>
        <v/>
      </c>
    </row>
    <row r="852" ht="131.25" customHeight="1" s="162">
      <c r="A852" s="115" t="n"/>
      <c r="B852" s="115" t="n"/>
      <c r="C852" s="115" t="n"/>
      <c r="D852" s="115" t="n"/>
      <c r="E852" s="115" t="n"/>
      <c r="F852" s="115" t="n"/>
      <c r="G852" s="115" t="n"/>
      <c r="H852" s="115" t="n"/>
      <c r="I852" s="115" t="n"/>
      <c r="J852" s="115" t="n"/>
      <c r="K852" s="115" t="n"/>
      <c r="L852" s="115" t="n"/>
      <c r="M852" s="115" t="n"/>
      <c r="N852" s="115" t="n"/>
      <c r="O852" s="115" t="n"/>
      <c r="P852" s="115" t="n"/>
      <c r="Q852" s="115" t="n"/>
      <c r="R852" s="115" t="n"/>
      <c r="S852" s="115" t="n"/>
      <c r="T852" s="115" t="n"/>
      <c r="U852" s="116" t="n"/>
      <c r="V852" s="116" t="n"/>
      <c r="W852" s="117" t="n"/>
      <c r="X852" s="118" t="n"/>
      <c r="Y852" s="119" t="n"/>
      <c r="Z852" s="120" t="n"/>
      <c r="AA852" s="121" t="n"/>
      <c r="AB852" s="122" t="n"/>
      <c r="AC852" s="117" t="n"/>
      <c r="AD852" s="123">
        <f>IF(SUM($AE852:$AH852)=0,"",SUM($AE852:$AH852))</f>
        <v/>
      </c>
      <c r="AE852" s="123">
        <f>iferror(IF(SUM($AI852:$AZ852)=0,"",SUM($AI852:$AZ852)),"")</f>
        <v/>
      </c>
      <c r="AF852" s="123">
        <f>iferror(IF(SUM($BA852:$BC852)=0,"",SUM($BA852:$BC852)),"")</f>
        <v/>
      </c>
      <c r="AG852" s="123">
        <f>iferror(IF(SUM($BD852:$BF852)=0,"",SUM($BD852:$BF852)),"")</f>
        <v/>
      </c>
      <c r="AH852" s="124">
        <f>iferror(IF(SUM($BG852:$BI852)=0,"",SUM($BG852:$BI852)),"")</f>
        <v/>
      </c>
      <c r="AI852" s="131" t="n"/>
      <c r="AJ852" s="132" t="n"/>
      <c r="AK852" s="132" t="n"/>
      <c r="AL852" s="132" t="n"/>
      <c r="AM852" s="132" t="n"/>
      <c r="AN852" s="132" t="n"/>
      <c r="AO852" s="132" t="n"/>
      <c r="AP852" s="132" t="n"/>
      <c r="AQ852" s="132" t="n"/>
      <c r="AR852" s="132" t="n"/>
      <c r="AS852" s="132" t="n"/>
      <c r="AT852" s="132" t="n"/>
      <c r="AU852" s="132" t="n"/>
      <c r="AV852" s="132" t="n"/>
      <c r="AW852" s="132" t="n"/>
      <c r="AX852" s="132" t="n"/>
      <c r="AY852" s="132" t="n"/>
      <c r="AZ852" s="133" t="n"/>
      <c r="BA852" s="131" t="n"/>
      <c r="BB852" s="132" t="n"/>
      <c r="BC852" s="133" t="n"/>
      <c r="BD852" s="131" t="n"/>
      <c r="BE852" s="132" t="n"/>
      <c r="BF852" s="133" t="n"/>
      <c r="BG852" s="131" t="n"/>
      <c r="BH852" s="132" t="n"/>
      <c r="BI852" s="132" t="n"/>
      <c r="BJ852" s="128">
        <f>iferror(SUM($BK852,($BL852*1.2),($BM852*1.35),($BN852*0.74)),)</f>
        <v/>
      </c>
      <c r="BK852" s="128">
        <f>IFERROR(SUM($BT852:$CK852),)</f>
        <v/>
      </c>
      <c r="BL852" s="129">
        <f>IFERROR(SUM($CL852:$CN852),)</f>
        <v/>
      </c>
      <c r="BM852" s="130">
        <f>IFERROR(SUM($CO852:$CQ852),)</f>
        <v/>
      </c>
      <c r="BN852" s="128">
        <f>IFERROR(SUM($CR852:$CT852),)</f>
        <v/>
      </c>
      <c r="BO852" s="128">
        <f>iferror(SUM($BP852,($BQ852*1.2),($BR852*1.35),($BS852*0.74)),)</f>
        <v/>
      </c>
      <c r="BP852" s="128">
        <f>IFERROR(SUM($CU852:$DL852),)</f>
        <v/>
      </c>
      <c r="BQ852" s="128">
        <f>IFERROR(SUM($DM852:$DO852),)</f>
        <v/>
      </c>
      <c r="BR852" s="128">
        <f>IFERROR(SUM($DP852:$DR852),)</f>
        <v/>
      </c>
      <c r="BS852" s="128">
        <f>IFERROR(SUM($DS852:$DU852),)</f>
        <v/>
      </c>
      <c r="BT852" s="128">
        <f>IFERROR(AI852*$W852,)</f>
        <v/>
      </c>
      <c r="BU852" s="128">
        <f>IFERROR(AJ852*$W852,)</f>
        <v/>
      </c>
      <c r="BV852" s="128">
        <f>IFERROR(AK852*$W852,)</f>
        <v/>
      </c>
      <c r="BW852" s="128">
        <f>IFERROR(AL852*$W852,)</f>
        <v/>
      </c>
      <c r="BX852" s="128">
        <f>IFERROR(AM852*$W852,)</f>
        <v/>
      </c>
      <c r="BY852" s="128">
        <f>IFERROR(AN852*$W852,)</f>
        <v/>
      </c>
      <c r="BZ852" s="128">
        <f>IFERROR(AO852*$W852,)</f>
        <v/>
      </c>
      <c r="CA852" s="128">
        <f>IFERROR(AP852*$W852,)</f>
        <v/>
      </c>
      <c r="CB852" s="128">
        <f>IFERROR(AQ852*$W852,)</f>
        <v/>
      </c>
      <c r="CC852" s="128">
        <f>IFERROR(AR852*$W852,)</f>
        <v/>
      </c>
      <c r="CD852" s="128">
        <f>IFERROR(AS852*$W852,)</f>
        <v/>
      </c>
      <c r="CE852" s="128">
        <f>IFERROR(AT852*$W852,)</f>
        <v/>
      </c>
      <c r="CF852" s="128">
        <f>IFERROR(AU852*$W852,)</f>
        <v/>
      </c>
      <c r="CG852" s="128">
        <f>IFERROR(AV852*$W852,)</f>
        <v/>
      </c>
      <c r="CH852" s="128">
        <f>IFERROR(AW852*$W852,)</f>
        <v/>
      </c>
      <c r="CI852" s="128">
        <f>IFERROR(AX852*$W852,)</f>
        <v/>
      </c>
      <c r="CJ852" s="128">
        <f>IFERROR(AY852*$W852,)</f>
        <v/>
      </c>
      <c r="CK852" s="128">
        <f>IFERROR(AZ852*$W852,)</f>
        <v/>
      </c>
      <c r="CL852" s="129">
        <f>IFERROR(if($Y852=0,BA852*($W852/1.2),BA852*$Y852),"")</f>
        <v/>
      </c>
      <c r="CM852" s="129">
        <f>IFERROR(if($Y852=0,BB852*($W852/1.2),BB852*$Y852),"")</f>
        <v/>
      </c>
      <c r="CN852" s="129">
        <f>IFERROR(if($Y852=0,BC852*($W852/1.2),BC852*$Y852),"")</f>
        <v/>
      </c>
      <c r="CO852" s="130">
        <f>IFERROR(if($AA852=0,($W852/1.35)*BD852,BD852*$AA852),)</f>
        <v/>
      </c>
      <c r="CP852" s="130">
        <f>IFERROR(if($AA852=0,($W852/1.35)*BE852,BE852*$AA852),)</f>
        <v/>
      </c>
      <c r="CQ852" s="130">
        <f>IFERROR(if($AA852=0,($W852/1.35)*BF852,BF852*$AA852),)</f>
        <v/>
      </c>
      <c r="CR852" s="128">
        <f>IFERROR(if($AC852=0,($W852/0.74)*BG852,
BG852*$AC852),)</f>
        <v/>
      </c>
      <c r="CS852" s="128">
        <f>IFERROR(if($AC852=0,($W852/0.74)*BH852,
BH852*$AC852),)</f>
        <v/>
      </c>
      <c r="CT852" s="128">
        <f>IFERROR(if($AC852=0,($W852/0.74)*BI852,
BI852*$AC852),)</f>
        <v/>
      </c>
      <c r="CU852" s="128">
        <f>IFERROR(AI852*$V852,)</f>
        <v/>
      </c>
      <c r="CV852" s="128">
        <f>IFERROR(AJ852*$V852,)</f>
        <v/>
      </c>
      <c r="CW852" s="128">
        <f>IFERROR(AK852*$V852,)</f>
        <v/>
      </c>
      <c r="CX852" s="128">
        <f>IFERROR(AL852*$V852,)</f>
        <v/>
      </c>
      <c r="CY852" s="128">
        <f>IFERROR(AM852*$V852,)</f>
        <v/>
      </c>
      <c r="CZ852" s="128">
        <f>IFERROR(AN852*$V852,)</f>
        <v/>
      </c>
      <c r="DA852" s="128">
        <f>IFERROR(AO852*$V852,)</f>
        <v/>
      </c>
      <c r="DB852" s="128">
        <f>IFERROR(AP852*$V852,)</f>
        <v/>
      </c>
      <c r="DC852" s="128">
        <f>IFERROR(AQ852*$V852,)</f>
        <v/>
      </c>
      <c r="DD852" s="128">
        <f>IFERROR(AR852*$V852,)</f>
        <v/>
      </c>
      <c r="DE852" s="128">
        <f>IFERROR(AS852*$V852,)</f>
        <v/>
      </c>
      <c r="DF852" s="128">
        <f>IFERROR(AT852*$V852,)</f>
        <v/>
      </c>
      <c r="DG852" s="128">
        <f>IFERROR(AU852*$V852,)</f>
        <v/>
      </c>
      <c r="DH852" s="128">
        <f>IFERROR(AV852*$V852,)</f>
        <v/>
      </c>
      <c r="DI852" s="128">
        <f>IFERROR(AW852*$V852,)</f>
        <v/>
      </c>
      <c r="DJ852" s="128">
        <f>IFERROR(AX852*$V852,)</f>
        <v/>
      </c>
      <c r="DK852" s="128">
        <f>IFERROR(AY852*$V852,)</f>
        <v/>
      </c>
      <c r="DL852" s="128">
        <f>IFERROR(AZ852*$V852,)</f>
        <v/>
      </c>
      <c r="DM852" s="129">
        <f>IFERROR(if($X852=0,($V852/1.2)*BA852,
BA852*$X852),)</f>
        <v/>
      </c>
      <c r="DN852" s="129">
        <f>IFERROR(if($X852=0,($V852/1.2)*BB852,
BB852*$X852),)</f>
        <v/>
      </c>
      <c r="DO852" s="129">
        <f>IFERROR(if($X852=0,($V852/1.2)*BC852,
BC852*$X852),)</f>
        <v/>
      </c>
      <c r="DP852" s="130">
        <f>IFERROR(if($Z852=0,($V852/1.35)*BD852,
BD852*$Z852),)</f>
        <v/>
      </c>
      <c r="DQ852" s="130">
        <f>IFERROR(if($Z852=0,($V852/1.35)*BE852,
BE852*$Z852),)</f>
        <v/>
      </c>
      <c r="DR852" s="130">
        <f>IFERROR(if($Z852=0,($V852/1.35)*BF852,
BF852*$Z852),)</f>
        <v/>
      </c>
      <c r="DS852" s="128">
        <f>IFERROR(IF($AB852=0,($V852/0.74)*BG852,
BG852*$AB852),)</f>
        <v/>
      </c>
      <c r="DT852" s="128">
        <f>IFERROR(IF($AB852=0,($V852/0.74)*BH852,
BH852*$AB852),)</f>
        <v/>
      </c>
      <c r="DU852" s="128">
        <f>IFERROR(IF($AB852=0,($V852/0.74)*BI852,
BI852*$AB852),)</f>
        <v/>
      </c>
    </row>
    <row r="853" ht="131.25" customHeight="1" s="162">
      <c r="A853" s="115" t="n"/>
      <c r="B853" s="115" t="n"/>
      <c r="C853" s="115" t="n"/>
      <c r="D853" s="115" t="n"/>
      <c r="E853" s="115" t="n"/>
      <c r="F853" s="115" t="n"/>
      <c r="G853" s="115" t="n"/>
      <c r="H853" s="115" t="n"/>
      <c r="I853" s="115" t="n"/>
      <c r="J853" s="115" t="n"/>
      <c r="K853" s="115" t="n"/>
      <c r="L853" s="115" t="n"/>
      <c r="M853" s="115" t="n"/>
      <c r="N853" s="115" t="n"/>
      <c r="O853" s="115" t="n"/>
      <c r="P853" s="115" t="n"/>
      <c r="Q853" s="115" t="n"/>
      <c r="R853" s="115" t="n"/>
      <c r="S853" s="115" t="n"/>
      <c r="T853" s="115" t="n"/>
      <c r="U853" s="116" t="n"/>
      <c r="V853" s="116" t="n"/>
      <c r="W853" s="117" t="n"/>
      <c r="X853" s="118" t="n"/>
      <c r="Y853" s="119" t="n"/>
      <c r="Z853" s="120" t="n"/>
      <c r="AA853" s="121" t="n"/>
      <c r="AB853" s="122" t="n"/>
      <c r="AC853" s="117" t="n"/>
      <c r="AD853" s="123">
        <f>IF(SUM($AE853:$AH853)=0,"",SUM($AE853:$AH853))</f>
        <v/>
      </c>
      <c r="AE853" s="123">
        <f>iferror(IF(SUM($AI853:$AZ853)=0,"",SUM($AI853:$AZ853)),"")</f>
        <v/>
      </c>
      <c r="AF853" s="123">
        <f>iferror(IF(SUM($BA853:$BC853)=0,"",SUM($BA853:$BC853)),"")</f>
        <v/>
      </c>
      <c r="AG853" s="123">
        <f>iferror(IF(SUM($BD853:$BF853)=0,"",SUM($BD853:$BF853)),"")</f>
        <v/>
      </c>
      <c r="AH853" s="124">
        <f>iferror(IF(SUM($BG853:$BI853)=0,"",SUM($BG853:$BI853)),"")</f>
        <v/>
      </c>
      <c r="AI853" s="131" t="n"/>
      <c r="AJ853" s="132" t="n"/>
      <c r="AK853" s="132" t="n"/>
      <c r="AL853" s="132" t="n"/>
      <c r="AM853" s="132" t="n"/>
      <c r="AN853" s="132" t="n"/>
      <c r="AO853" s="132" t="n"/>
      <c r="AP853" s="132" t="n"/>
      <c r="AQ853" s="132" t="n"/>
      <c r="AR853" s="132" t="n"/>
      <c r="AS853" s="132" t="n"/>
      <c r="AT853" s="132" t="n"/>
      <c r="AU853" s="132" t="n"/>
      <c r="AV853" s="132" t="n"/>
      <c r="AW853" s="132" t="n"/>
      <c r="AX853" s="132" t="n"/>
      <c r="AY853" s="132" t="n"/>
      <c r="AZ853" s="133" t="n"/>
      <c r="BA853" s="131" t="n"/>
      <c r="BB853" s="132" t="n"/>
      <c r="BC853" s="133" t="n"/>
      <c r="BD853" s="131" t="n"/>
      <c r="BE853" s="132" t="n"/>
      <c r="BF853" s="133" t="n"/>
      <c r="BG853" s="131" t="n"/>
      <c r="BH853" s="132" t="n"/>
      <c r="BI853" s="132" t="n"/>
      <c r="BJ853" s="128">
        <f>iferror(SUM($BK853,($BL853*1.2),($BM853*1.35),($BN853*0.74)),)</f>
        <v/>
      </c>
      <c r="BK853" s="128">
        <f>IFERROR(SUM($BT853:$CK853),)</f>
        <v/>
      </c>
      <c r="BL853" s="129">
        <f>IFERROR(SUM($CL853:$CN853),)</f>
        <v/>
      </c>
      <c r="BM853" s="130">
        <f>IFERROR(SUM($CO853:$CQ853),)</f>
        <v/>
      </c>
      <c r="BN853" s="128">
        <f>IFERROR(SUM($CR853:$CT853),)</f>
        <v/>
      </c>
      <c r="BO853" s="128">
        <f>iferror(SUM($BP853,($BQ853*1.2),($BR853*1.35),($BS853*0.74)),)</f>
        <v/>
      </c>
      <c r="BP853" s="128">
        <f>IFERROR(SUM($CU853:$DL853),)</f>
        <v/>
      </c>
      <c r="BQ853" s="128">
        <f>IFERROR(SUM($DM853:$DO853),)</f>
        <v/>
      </c>
      <c r="BR853" s="128">
        <f>IFERROR(SUM($DP853:$DR853),)</f>
        <v/>
      </c>
      <c r="BS853" s="128">
        <f>IFERROR(SUM($DS853:$DU853),)</f>
        <v/>
      </c>
      <c r="BT853" s="128">
        <f>IFERROR(AI853*$W853,)</f>
        <v/>
      </c>
      <c r="BU853" s="128">
        <f>IFERROR(AJ853*$W853,)</f>
        <v/>
      </c>
      <c r="BV853" s="128">
        <f>IFERROR(AK853*$W853,)</f>
        <v/>
      </c>
      <c r="BW853" s="128">
        <f>IFERROR(AL853*$W853,)</f>
        <v/>
      </c>
      <c r="BX853" s="128">
        <f>IFERROR(AM853*$W853,)</f>
        <v/>
      </c>
      <c r="BY853" s="128">
        <f>IFERROR(AN853*$W853,)</f>
        <v/>
      </c>
      <c r="BZ853" s="128">
        <f>IFERROR(AO853*$W853,)</f>
        <v/>
      </c>
      <c r="CA853" s="128">
        <f>IFERROR(AP853*$W853,)</f>
        <v/>
      </c>
      <c r="CB853" s="128">
        <f>IFERROR(AQ853*$W853,)</f>
        <v/>
      </c>
      <c r="CC853" s="128">
        <f>IFERROR(AR853*$W853,)</f>
        <v/>
      </c>
      <c r="CD853" s="128">
        <f>IFERROR(AS853*$W853,)</f>
        <v/>
      </c>
      <c r="CE853" s="128">
        <f>IFERROR(AT853*$W853,)</f>
        <v/>
      </c>
      <c r="CF853" s="128">
        <f>IFERROR(AU853*$W853,)</f>
        <v/>
      </c>
      <c r="CG853" s="128">
        <f>IFERROR(AV853*$W853,)</f>
        <v/>
      </c>
      <c r="CH853" s="128">
        <f>IFERROR(AW853*$W853,)</f>
        <v/>
      </c>
      <c r="CI853" s="128">
        <f>IFERROR(AX853*$W853,)</f>
        <v/>
      </c>
      <c r="CJ853" s="128">
        <f>IFERROR(AY853*$W853,)</f>
        <v/>
      </c>
      <c r="CK853" s="128">
        <f>IFERROR(AZ853*$W853,)</f>
        <v/>
      </c>
      <c r="CL853" s="129">
        <f>IFERROR(if($Y853=0,BA853*($W853/1.2),BA853*$Y853),"")</f>
        <v/>
      </c>
      <c r="CM853" s="129">
        <f>IFERROR(if($Y853=0,BB853*($W853/1.2),BB853*$Y853),"")</f>
        <v/>
      </c>
      <c r="CN853" s="129">
        <f>IFERROR(if($Y853=0,BC853*($W853/1.2),BC853*$Y853),"")</f>
        <v/>
      </c>
      <c r="CO853" s="130">
        <f>IFERROR(if($AA853=0,($W853/1.35)*BD853,BD853*$AA853),)</f>
        <v/>
      </c>
      <c r="CP853" s="130">
        <f>IFERROR(if($AA853=0,($W853/1.35)*BE853,BE853*$AA853),)</f>
        <v/>
      </c>
      <c r="CQ853" s="130">
        <f>IFERROR(if($AA853=0,($W853/1.35)*BF853,BF853*$AA853),)</f>
        <v/>
      </c>
      <c r="CR853" s="128">
        <f>IFERROR(if($AC853=0,($W853/0.74)*BG853,
BG853*$AC853),)</f>
        <v/>
      </c>
      <c r="CS853" s="128">
        <f>IFERROR(if($AC853=0,($W853/0.74)*BH853,
BH853*$AC853),)</f>
        <v/>
      </c>
      <c r="CT853" s="128">
        <f>IFERROR(if($AC853=0,($W853/0.74)*BI853,
BI853*$AC853),)</f>
        <v/>
      </c>
      <c r="CU853" s="128">
        <f>IFERROR(AI853*$V853,)</f>
        <v/>
      </c>
      <c r="CV853" s="128">
        <f>IFERROR(AJ853*$V853,)</f>
        <v/>
      </c>
      <c r="CW853" s="128">
        <f>IFERROR(AK853*$V853,)</f>
        <v/>
      </c>
      <c r="CX853" s="128">
        <f>IFERROR(AL853*$V853,)</f>
        <v/>
      </c>
      <c r="CY853" s="128">
        <f>IFERROR(AM853*$V853,)</f>
        <v/>
      </c>
      <c r="CZ853" s="128">
        <f>IFERROR(AN853*$V853,)</f>
        <v/>
      </c>
      <c r="DA853" s="128">
        <f>IFERROR(AO853*$V853,)</f>
        <v/>
      </c>
      <c r="DB853" s="128">
        <f>IFERROR(AP853*$V853,)</f>
        <v/>
      </c>
      <c r="DC853" s="128">
        <f>IFERROR(AQ853*$V853,)</f>
        <v/>
      </c>
      <c r="DD853" s="128">
        <f>IFERROR(AR853*$V853,)</f>
        <v/>
      </c>
      <c r="DE853" s="128">
        <f>IFERROR(AS853*$V853,)</f>
        <v/>
      </c>
      <c r="DF853" s="128">
        <f>IFERROR(AT853*$V853,)</f>
        <v/>
      </c>
      <c r="DG853" s="128">
        <f>IFERROR(AU853*$V853,)</f>
        <v/>
      </c>
      <c r="DH853" s="128">
        <f>IFERROR(AV853*$V853,)</f>
        <v/>
      </c>
      <c r="DI853" s="128">
        <f>IFERROR(AW853*$V853,)</f>
        <v/>
      </c>
      <c r="DJ853" s="128">
        <f>IFERROR(AX853*$V853,)</f>
        <v/>
      </c>
      <c r="DK853" s="128">
        <f>IFERROR(AY853*$V853,)</f>
        <v/>
      </c>
      <c r="DL853" s="128">
        <f>IFERROR(AZ853*$V853,)</f>
        <v/>
      </c>
      <c r="DM853" s="129">
        <f>IFERROR(if($X853=0,($V853/1.2)*BA853,
BA853*$X853),)</f>
        <v/>
      </c>
      <c r="DN853" s="129">
        <f>IFERROR(if($X853=0,($V853/1.2)*BB853,
BB853*$X853),)</f>
        <v/>
      </c>
      <c r="DO853" s="129">
        <f>IFERROR(if($X853=0,($V853/1.2)*BC853,
BC853*$X853),)</f>
        <v/>
      </c>
      <c r="DP853" s="130">
        <f>IFERROR(if($Z853=0,($V853/1.35)*BD853,
BD853*$Z853),)</f>
        <v/>
      </c>
      <c r="DQ853" s="130">
        <f>IFERROR(if($Z853=0,($V853/1.35)*BE853,
BE853*$Z853),)</f>
        <v/>
      </c>
      <c r="DR853" s="130">
        <f>IFERROR(if($Z853=0,($V853/1.35)*BF853,
BF853*$Z853),)</f>
        <v/>
      </c>
      <c r="DS853" s="128">
        <f>IFERROR(IF($AB853=0,($V853/0.74)*BG853,
BG853*$AB853),)</f>
        <v/>
      </c>
      <c r="DT853" s="128">
        <f>IFERROR(IF($AB853=0,($V853/0.74)*BH853,
BH853*$AB853),)</f>
        <v/>
      </c>
      <c r="DU853" s="128">
        <f>IFERROR(IF($AB853=0,($V853/0.74)*BI853,
BI853*$AB853),)</f>
        <v/>
      </c>
    </row>
    <row r="854" ht="131.25" customHeight="1" s="162">
      <c r="A854" s="115" t="n"/>
      <c r="B854" s="115" t="n"/>
      <c r="C854" s="115" t="n"/>
      <c r="D854" s="115" t="n"/>
      <c r="E854" s="115" t="n"/>
      <c r="F854" s="115" t="n"/>
      <c r="G854" s="115" t="n"/>
      <c r="H854" s="115" t="n"/>
      <c r="I854" s="115" t="n"/>
      <c r="J854" s="115" t="n"/>
      <c r="K854" s="115" t="n"/>
      <c r="L854" s="115" t="n"/>
      <c r="M854" s="115" t="n"/>
      <c r="N854" s="115" t="n"/>
      <c r="O854" s="115" t="n"/>
      <c r="P854" s="115" t="n"/>
      <c r="Q854" s="115" t="n"/>
      <c r="R854" s="115" t="n"/>
      <c r="S854" s="115" t="n"/>
      <c r="T854" s="115" t="n"/>
      <c r="U854" s="116" t="n"/>
      <c r="V854" s="116" t="n"/>
      <c r="W854" s="117" t="n"/>
      <c r="X854" s="118" t="n"/>
      <c r="Y854" s="119" t="n"/>
      <c r="Z854" s="120" t="n"/>
      <c r="AA854" s="121" t="n"/>
      <c r="AB854" s="122" t="n"/>
      <c r="AC854" s="117" t="n"/>
      <c r="AD854" s="123">
        <f>IF(SUM($AE854:$AH854)=0,"",SUM($AE854:$AH854))</f>
        <v/>
      </c>
      <c r="AE854" s="123">
        <f>iferror(IF(SUM($AI854:$AZ854)=0,"",SUM($AI854:$AZ854)),"")</f>
        <v/>
      </c>
      <c r="AF854" s="123">
        <f>iferror(IF(SUM($BA854:$BC854)=0,"",SUM($BA854:$BC854)),"")</f>
        <v/>
      </c>
      <c r="AG854" s="123">
        <f>iferror(IF(SUM($BD854:$BF854)=0,"",SUM($BD854:$BF854)),"")</f>
        <v/>
      </c>
      <c r="AH854" s="124">
        <f>iferror(IF(SUM($BG854:$BI854)=0,"",SUM($BG854:$BI854)),"")</f>
        <v/>
      </c>
      <c r="AI854" s="131" t="n"/>
      <c r="AJ854" s="132" t="n"/>
      <c r="AK854" s="132" t="n"/>
      <c r="AL854" s="132" t="n"/>
      <c r="AM854" s="132" t="n"/>
      <c r="AN854" s="132" t="n"/>
      <c r="AO854" s="132" t="n"/>
      <c r="AP854" s="132" t="n"/>
      <c r="AQ854" s="132" t="n"/>
      <c r="AR854" s="132" t="n"/>
      <c r="AS854" s="132" t="n"/>
      <c r="AT854" s="132" t="n"/>
      <c r="AU854" s="132" t="n"/>
      <c r="AV854" s="132" t="n"/>
      <c r="AW854" s="132" t="n"/>
      <c r="AX854" s="132" t="n"/>
      <c r="AY854" s="132" t="n"/>
      <c r="AZ854" s="133" t="n"/>
      <c r="BA854" s="131" t="n"/>
      <c r="BB854" s="132" t="n"/>
      <c r="BC854" s="133" t="n"/>
      <c r="BD854" s="131" t="n"/>
      <c r="BE854" s="132" t="n"/>
      <c r="BF854" s="133" t="n"/>
      <c r="BG854" s="131" t="n"/>
      <c r="BH854" s="132" t="n"/>
      <c r="BI854" s="132" t="n"/>
      <c r="BJ854" s="128">
        <f>iferror(SUM($BK854,($BL854*1.2),($BM854*1.35),($BN854*0.74)),)</f>
        <v/>
      </c>
      <c r="BK854" s="128">
        <f>IFERROR(SUM($BT854:$CK854),)</f>
        <v/>
      </c>
      <c r="BL854" s="129">
        <f>IFERROR(SUM($CL854:$CN854),)</f>
        <v/>
      </c>
      <c r="BM854" s="130">
        <f>IFERROR(SUM($CO854:$CQ854),)</f>
        <v/>
      </c>
      <c r="BN854" s="128">
        <f>IFERROR(SUM($CR854:$CT854),)</f>
        <v/>
      </c>
      <c r="BO854" s="128">
        <f>iferror(SUM($BP854,($BQ854*1.2),($BR854*1.35),($BS854*0.74)),)</f>
        <v/>
      </c>
      <c r="BP854" s="128">
        <f>IFERROR(SUM($CU854:$DL854),)</f>
        <v/>
      </c>
      <c r="BQ854" s="128">
        <f>IFERROR(SUM($DM854:$DO854),)</f>
        <v/>
      </c>
      <c r="BR854" s="128">
        <f>IFERROR(SUM($DP854:$DR854),)</f>
        <v/>
      </c>
      <c r="BS854" s="128">
        <f>IFERROR(SUM($DS854:$DU854),)</f>
        <v/>
      </c>
      <c r="BT854" s="128">
        <f>IFERROR(AI854*$W854,)</f>
        <v/>
      </c>
      <c r="BU854" s="128">
        <f>IFERROR(AJ854*$W854,)</f>
        <v/>
      </c>
      <c r="BV854" s="128">
        <f>IFERROR(AK854*$W854,)</f>
        <v/>
      </c>
      <c r="BW854" s="128">
        <f>IFERROR(AL854*$W854,)</f>
        <v/>
      </c>
      <c r="BX854" s="128">
        <f>IFERROR(AM854*$W854,)</f>
        <v/>
      </c>
      <c r="BY854" s="128">
        <f>IFERROR(AN854*$W854,)</f>
        <v/>
      </c>
      <c r="BZ854" s="128">
        <f>IFERROR(AO854*$W854,)</f>
        <v/>
      </c>
      <c r="CA854" s="128">
        <f>IFERROR(AP854*$W854,)</f>
        <v/>
      </c>
      <c r="CB854" s="128">
        <f>IFERROR(AQ854*$W854,)</f>
        <v/>
      </c>
      <c r="CC854" s="128">
        <f>IFERROR(AR854*$W854,)</f>
        <v/>
      </c>
      <c r="CD854" s="128">
        <f>IFERROR(AS854*$W854,)</f>
        <v/>
      </c>
      <c r="CE854" s="128">
        <f>IFERROR(AT854*$W854,)</f>
        <v/>
      </c>
      <c r="CF854" s="128">
        <f>IFERROR(AU854*$W854,)</f>
        <v/>
      </c>
      <c r="CG854" s="128">
        <f>IFERROR(AV854*$W854,)</f>
        <v/>
      </c>
      <c r="CH854" s="128">
        <f>IFERROR(AW854*$W854,)</f>
        <v/>
      </c>
      <c r="CI854" s="128">
        <f>IFERROR(AX854*$W854,)</f>
        <v/>
      </c>
      <c r="CJ854" s="128">
        <f>IFERROR(AY854*$W854,)</f>
        <v/>
      </c>
      <c r="CK854" s="128">
        <f>IFERROR(AZ854*$W854,)</f>
        <v/>
      </c>
      <c r="CL854" s="129">
        <f>IFERROR(if($Y854=0,BA854*($W854/1.2),BA854*$Y854),"")</f>
        <v/>
      </c>
      <c r="CM854" s="129">
        <f>IFERROR(if($Y854=0,BB854*($W854/1.2),BB854*$Y854),"")</f>
        <v/>
      </c>
      <c r="CN854" s="129">
        <f>IFERROR(if($Y854=0,BC854*($W854/1.2),BC854*$Y854),"")</f>
        <v/>
      </c>
      <c r="CO854" s="130">
        <f>IFERROR(if($AA854=0,($W854/1.35)*BD854,BD854*$AA854),)</f>
        <v/>
      </c>
      <c r="CP854" s="130">
        <f>IFERROR(if($AA854=0,($W854/1.35)*BE854,BE854*$AA854),)</f>
        <v/>
      </c>
      <c r="CQ854" s="130">
        <f>IFERROR(if($AA854=0,($W854/1.35)*BF854,BF854*$AA854),)</f>
        <v/>
      </c>
      <c r="CR854" s="128">
        <f>IFERROR(if($AC854=0,($W854/0.74)*BG854,
BG854*$AC854),)</f>
        <v/>
      </c>
      <c r="CS854" s="128">
        <f>IFERROR(if($AC854=0,($W854/0.74)*BH854,
BH854*$AC854),)</f>
        <v/>
      </c>
      <c r="CT854" s="128">
        <f>IFERROR(if($AC854=0,($W854/0.74)*BI854,
BI854*$AC854),)</f>
        <v/>
      </c>
      <c r="CU854" s="128">
        <f>IFERROR(AI854*$V854,)</f>
        <v/>
      </c>
      <c r="CV854" s="128">
        <f>IFERROR(AJ854*$V854,)</f>
        <v/>
      </c>
      <c r="CW854" s="128">
        <f>IFERROR(AK854*$V854,)</f>
        <v/>
      </c>
      <c r="CX854" s="128">
        <f>IFERROR(AL854*$V854,)</f>
        <v/>
      </c>
      <c r="CY854" s="128">
        <f>IFERROR(AM854*$V854,)</f>
        <v/>
      </c>
      <c r="CZ854" s="128">
        <f>IFERROR(AN854*$V854,)</f>
        <v/>
      </c>
      <c r="DA854" s="128">
        <f>IFERROR(AO854*$V854,)</f>
        <v/>
      </c>
      <c r="DB854" s="128">
        <f>IFERROR(AP854*$V854,)</f>
        <v/>
      </c>
      <c r="DC854" s="128">
        <f>IFERROR(AQ854*$V854,)</f>
        <v/>
      </c>
      <c r="DD854" s="128">
        <f>IFERROR(AR854*$V854,)</f>
        <v/>
      </c>
      <c r="DE854" s="128">
        <f>IFERROR(AS854*$V854,)</f>
        <v/>
      </c>
      <c r="DF854" s="128">
        <f>IFERROR(AT854*$V854,)</f>
        <v/>
      </c>
      <c r="DG854" s="128">
        <f>IFERROR(AU854*$V854,)</f>
        <v/>
      </c>
      <c r="DH854" s="128">
        <f>IFERROR(AV854*$V854,)</f>
        <v/>
      </c>
      <c r="DI854" s="128">
        <f>IFERROR(AW854*$V854,)</f>
        <v/>
      </c>
      <c r="DJ854" s="128">
        <f>IFERROR(AX854*$V854,)</f>
        <v/>
      </c>
      <c r="DK854" s="128">
        <f>IFERROR(AY854*$V854,)</f>
        <v/>
      </c>
      <c r="DL854" s="128">
        <f>IFERROR(AZ854*$V854,)</f>
        <v/>
      </c>
      <c r="DM854" s="129">
        <f>IFERROR(if($X854=0,($V854/1.2)*BA854,
BA854*$X854),)</f>
        <v/>
      </c>
      <c r="DN854" s="129">
        <f>IFERROR(if($X854=0,($V854/1.2)*BB854,
BB854*$X854),)</f>
        <v/>
      </c>
      <c r="DO854" s="129">
        <f>IFERROR(if($X854=0,($V854/1.2)*BC854,
BC854*$X854),)</f>
        <v/>
      </c>
      <c r="DP854" s="130">
        <f>IFERROR(if($Z854=0,($V854/1.35)*BD854,
BD854*$Z854),)</f>
        <v/>
      </c>
      <c r="DQ854" s="130">
        <f>IFERROR(if($Z854=0,($V854/1.35)*BE854,
BE854*$Z854),)</f>
        <v/>
      </c>
      <c r="DR854" s="130">
        <f>IFERROR(if($Z854=0,($V854/1.35)*BF854,
BF854*$Z854),)</f>
        <v/>
      </c>
      <c r="DS854" s="128">
        <f>IFERROR(IF($AB854=0,($V854/0.74)*BG854,
BG854*$AB854),)</f>
        <v/>
      </c>
      <c r="DT854" s="128">
        <f>IFERROR(IF($AB854=0,($V854/0.74)*BH854,
BH854*$AB854),)</f>
        <v/>
      </c>
      <c r="DU854" s="128">
        <f>IFERROR(IF($AB854=0,($V854/0.74)*BI854,
BI854*$AB854),)</f>
        <v/>
      </c>
    </row>
    <row r="855" ht="131.25" customHeight="1" s="162">
      <c r="A855" s="115" t="n"/>
      <c r="B855" s="115" t="n"/>
      <c r="C855" s="115" t="n"/>
      <c r="D855" s="115" t="n"/>
      <c r="E855" s="115" t="n"/>
      <c r="F855" s="115" t="n"/>
      <c r="G855" s="115" t="n"/>
      <c r="H855" s="115" t="n"/>
      <c r="I855" s="115" t="n"/>
      <c r="J855" s="115" t="n"/>
      <c r="K855" s="115" t="n"/>
      <c r="L855" s="115" t="n"/>
      <c r="M855" s="115" t="n"/>
      <c r="N855" s="115" t="n"/>
      <c r="O855" s="115" t="n"/>
      <c r="P855" s="115" t="n"/>
      <c r="Q855" s="115" t="n"/>
      <c r="R855" s="115" t="n"/>
      <c r="S855" s="115" t="n"/>
      <c r="T855" s="115" t="n"/>
      <c r="U855" s="116" t="n"/>
      <c r="V855" s="116" t="n"/>
      <c r="W855" s="117" t="n"/>
      <c r="X855" s="118" t="n"/>
      <c r="Y855" s="119" t="n"/>
      <c r="Z855" s="120" t="n"/>
      <c r="AA855" s="121" t="n"/>
      <c r="AB855" s="122" t="n"/>
      <c r="AC855" s="117" t="n"/>
      <c r="AD855" s="123">
        <f>IF(SUM($AE855:$AH855)=0,"",SUM($AE855:$AH855))</f>
        <v/>
      </c>
      <c r="AE855" s="123">
        <f>iferror(IF(SUM($AI855:$AZ855)=0,"",SUM($AI855:$AZ855)),"")</f>
        <v/>
      </c>
      <c r="AF855" s="123">
        <f>iferror(IF(SUM($BA855:$BC855)=0,"",SUM($BA855:$BC855)),"")</f>
        <v/>
      </c>
      <c r="AG855" s="123">
        <f>iferror(IF(SUM($BD855:$BF855)=0,"",SUM($BD855:$BF855)),"")</f>
        <v/>
      </c>
      <c r="AH855" s="124">
        <f>iferror(IF(SUM($BG855:$BI855)=0,"",SUM($BG855:$BI855)),"")</f>
        <v/>
      </c>
      <c r="AI855" s="131" t="n"/>
      <c r="AJ855" s="132" t="n"/>
      <c r="AK855" s="132" t="n"/>
      <c r="AL855" s="132" t="n"/>
      <c r="AM855" s="132" t="n"/>
      <c r="AN855" s="132" t="n"/>
      <c r="AO855" s="132" t="n"/>
      <c r="AP855" s="132" t="n"/>
      <c r="AQ855" s="132" t="n"/>
      <c r="AR855" s="132" t="n"/>
      <c r="AS855" s="132" t="n"/>
      <c r="AT855" s="132" t="n"/>
      <c r="AU855" s="132" t="n"/>
      <c r="AV855" s="132" t="n"/>
      <c r="AW855" s="132" t="n"/>
      <c r="AX855" s="132" t="n"/>
      <c r="AY855" s="132" t="n"/>
      <c r="AZ855" s="133" t="n"/>
      <c r="BA855" s="131" t="n"/>
      <c r="BB855" s="132" t="n"/>
      <c r="BC855" s="133" t="n"/>
      <c r="BD855" s="131" t="n"/>
      <c r="BE855" s="132" t="n"/>
      <c r="BF855" s="133" t="n"/>
      <c r="BG855" s="131" t="n"/>
      <c r="BH855" s="132" t="n"/>
      <c r="BI855" s="132" t="n"/>
      <c r="BJ855" s="128">
        <f>iferror(SUM($BK855,($BL855*1.2),($BM855*1.35),($BN855*0.74)),)</f>
        <v/>
      </c>
      <c r="BK855" s="128">
        <f>IFERROR(SUM($BT855:$CK855),)</f>
        <v/>
      </c>
      <c r="BL855" s="129">
        <f>IFERROR(SUM($CL855:$CN855),)</f>
        <v/>
      </c>
      <c r="BM855" s="130">
        <f>IFERROR(SUM($CO855:$CQ855),)</f>
        <v/>
      </c>
      <c r="BN855" s="128">
        <f>IFERROR(SUM($CR855:$CT855),)</f>
        <v/>
      </c>
      <c r="BO855" s="128">
        <f>iferror(SUM($BP855,($BQ855*1.2),($BR855*1.35),($BS855*0.74)),)</f>
        <v/>
      </c>
      <c r="BP855" s="128">
        <f>IFERROR(SUM($CU855:$DL855),)</f>
        <v/>
      </c>
      <c r="BQ855" s="128">
        <f>IFERROR(SUM($DM855:$DO855),)</f>
        <v/>
      </c>
      <c r="BR855" s="128">
        <f>IFERROR(SUM($DP855:$DR855),)</f>
        <v/>
      </c>
      <c r="BS855" s="128">
        <f>IFERROR(SUM($DS855:$DU855),)</f>
        <v/>
      </c>
      <c r="BT855" s="128">
        <f>IFERROR(AI855*$W855,)</f>
        <v/>
      </c>
      <c r="BU855" s="128">
        <f>IFERROR(AJ855*$W855,)</f>
        <v/>
      </c>
      <c r="BV855" s="128">
        <f>IFERROR(AK855*$W855,)</f>
        <v/>
      </c>
      <c r="BW855" s="128">
        <f>IFERROR(AL855*$W855,)</f>
        <v/>
      </c>
      <c r="BX855" s="128">
        <f>IFERROR(AM855*$W855,)</f>
        <v/>
      </c>
      <c r="BY855" s="128">
        <f>IFERROR(AN855*$W855,)</f>
        <v/>
      </c>
      <c r="BZ855" s="128">
        <f>IFERROR(AO855*$W855,)</f>
        <v/>
      </c>
      <c r="CA855" s="128">
        <f>IFERROR(AP855*$W855,)</f>
        <v/>
      </c>
      <c r="CB855" s="128">
        <f>IFERROR(AQ855*$W855,)</f>
        <v/>
      </c>
      <c r="CC855" s="128">
        <f>IFERROR(AR855*$W855,)</f>
        <v/>
      </c>
      <c r="CD855" s="128">
        <f>IFERROR(AS855*$W855,)</f>
        <v/>
      </c>
      <c r="CE855" s="128">
        <f>IFERROR(AT855*$W855,)</f>
        <v/>
      </c>
      <c r="CF855" s="128">
        <f>IFERROR(AU855*$W855,)</f>
        <v/>
      </c>
      <c r="CG855" s="128">
        <f>IFERROR(AV855*$W855,)</f>
        <v/>
      </c>
      <c r="CH855" s="128">
        <f>IFERROR(AW855*$W855,)</f>
        <v/>
      </c>
      <c r="CI855" s="128">
        <f>IFERROR(AX855*$W855,)</f>
        <v/>
      </c>
      <c r="CJ855" s="128">
        <f>IFERROR(AY855*$W855,)</f>
        <v/>
      </c>
      <c r="CK855" s="128">
        <f>IFERROR(AZ855*$W855,)</f>
        <v/>
      </c>
      <c r="CL855" s="129">
        <f>IFERROR(if($Y855=0,BA855*($W855/1.2),BA855*$Y855),"")</f>
        <v/>
      </c>
      <c r="CM855" s="129">
        <f>IFERROR(if($Y855=0,BB855*($W855/1.2),BB855*$Y855),"")</f>
        <v/>
      </c>
      <c r="CN855" s="129">
        <f>IFERROR(if($Y855=0,BC855*($W855/1.2),BC855*$Y855),"")</f>
        <v/>
      </c>
      <c r="CO855" s="130">
        <f>IFERROR(if($AA855=0,($W855/1.35)*BD855,BD855*$AA855),)</f>
        <v/>
      </c>
      <c r="CP855" s="130">
        <f>IFERROR(if($AA855=0,($W855/1.35)*BE855,BE855*$AA855),)</f>
        <v/>
      </c>
      <c r="CQ855" s="130">
        <f>IFERROR(if($AA855=0,($W855/1.35)*BF855,BF855*$AA855),)</f>
        <v/>
      </c>
      <c r="CR855" s="128">
        <f>IFERROR(if($AC855=0,($W855/0.74)*BG855,
BG855*$AC855),)</f>
        <v/>
      </c>
      <c r="CS855" s="128">
        <f>IFERROR(if($AC855=0,($W855/0.74)*BH855,
BH855*$AC855),)</f>
        <v/>
      </c>
      <c r="CT855" s="128">
        <f>IFERROR(if($AC855=0,($W855/0.74)*BI855,
BI855*$AC855),)</f>
        <v/>
      </c>
      <c r="CU855" s="128">
        <f>IFERROR(AI855*$V855,)</f>
        <v/>
      </c>
      <c r="CV855" s="128">
        <f>IFERROR(AJ855*$V855,)</f>
        <v/>
      </c>
      <c r="CW855" s="128">
        <f>IFERROR(AK855*$V855,)</f>
        <v/>
      </c>
      <c r="CX855" s="128">
        <f>IFERROR(AL855*$V855,)</f>
        <v/>
      </c>
      <c r="CY855" s="128">
        <f>IFERROR(AM855*$V855,)</f>
        <v/>
      </c>
      <c r="CZ855" s="128">
        <f>IFERROR(AN855*$V855,)</f>
        <v/>
      </c>
      <c r="DA855" s="128">
        <f>IFERROR(AO855*$V855,)</f>
        <v/>
      </c>
      <c r="DB855" s="128">
        <f>IFERROR(AP855*$V855,)</f>
        <v/>
      </c>
      <c r="DC855" s="128">
        <f>IFERROR(AQ855*$V855,)</f>
        <v/>
      </c>
      <c r="DD855" s="128">
        <f>IFERROR(AR855*$V855,)</f>
        <v/>
      </c>
      <c r="DE855" s="128">
        <f>IFERROR(AS855*$V855,)</f>
        <v/>
      </c>
      <c r="DF855" s="128">
        <f>IFERROR(AT855*$V855,)</f>
        <v/>
      </c>
      <c r="DG855" s="128">
        <f>IFERROR(AU855*$V855,)</f>
        <v/>
      </c>
      <c r="DH855" s="128">
        <f>IFERROR(AV855*$V855,)</f>
        <v/>
      </c>
      <c r="DI855" s="128">
        <f>IFERROR(AW855*$V855,)</f>
        <v/>
      </c>
      <c r="DJ855" s="128">
        <f>IFERROR(AX855*$V855,)</f>
        <v/>
      </c>
      <c r="DK855" s="128">
        <f>IFERROR(AY855*$V855,)</f>
        <v/>
      </c>
      <c r="DL855" s="128">
        <f>IFERROR(AZ855*$V855,)</f>
        <v/>
      </c>
      <c r="DM855" s="129">
        <f>IFERROR(if($X855=0,($V855/1.2)*BA855,
BA855*$X855),)</f>
        <v/>
      </c>
      <c r="DN855" s="129">
        <f>IFERROR(if($X855=0,($V855/1.2)*BB855,
BB855*$X855),)</f>
        <v/>
      </c>
      <c r="DO855" s="129">
        <f>IFERROR(if($X855=0,($V855/1.2)*BC855,
BC855*$X855),)</f>
        <v/>
      </c>
      <c r="DP855" s="130">
        <f>IFERROR(if($Z855=0,($V855/1.35)*BD855,
BD855*$Z855),)</f>
        <v/>
      </c>
      <c r="DQ855" s="130">
        <f>IFERROR(if($Z855=0,($V855/1.35)*BE855,
BE855*$Z855),)</f>
        <v/>
      </c>
      <c r="DR855" s="130">
        <f>IFERROR(if($Z855=0,($V855/1.35)*BF855,
BF855*$Z855),)</f>
        <v/>
      </c>
      <c r="DS855" s="128">
        <f>IFERROR(IF($AB855=0,($V855/0.74)*BG855,
BG855*$AB855),)</f>
        <v/>
      </c>
      <c r="DT855" s="128">
        <f>IFERROR(IF($AB855=0,($V855/0.74)*BH855,
BH855*$AB855),)</f>
        <v/>
      </c>
      <c r="DU855" s="128">
        <f>IFERROR(IF($AB855=0,($V855/0.74)*BI855,
BI855*$AB855),)</f>
        <v/>
      </c>
    </row>
    <row r="856" ht="131.25" customHeight="1" s="162">
      <c r="A856" s="115" t="n"/>
      <c r="B856" s="115" t="n"/>
      <c r="C856" s="115" t="n"/>
      <c r="D856" s="115" t="n"/>
      <c r="E856" s="115" t="n"/>
      <c r="F856" s="115" t="n"/>
      <c r="G856" s="115" t="n"/>
      <c r="H856" s="115" t="n"/>
      <c r="I856" s="115" t="n"/>
      <c r="J856" s="115" t="n"/>
      <c r="K856" s="115" t="n"/>
      <c r="L856" s="115" t="n"/>
      <c r="M856" s="115" t="n"/>
      <c r="N856" s="115" t="n"/>
      <c r="O856" s="115" t="n"/>
      <c r="P856" s="115" t="n"/>
      <c r="Q856" s="115" t="n"/>
      <c r="R856" s="115" t="n"/>
      <c r="S856" s="115" t="n"/>
      <c r="T856" s="115" t="n"/>
      <c r="U856" s="116" t="n"/>
      <c r="V856" s="116" t="n"/>
      <c r="W856" s="117" t="n"/>
      <c r="X856" s="118" t="n"/>
      <c r="Y856" s="119" t="n"/>
      <c r="Z856" s="120" t="n"/>
      <c r="AA856" s="121" t="n"/>
      <c r="AB856" s="122" t="n"/>
      <c r="AC856" s="117" t="n"/>
      <c r="AD856" s="123">
        <f>IF(SUM($AE856:$AH856)=0,"",SUM($AE856:$AH856))</f>
        <v/>
      </c>
      <c r="AE856" s="123">
        <f>iferror(IF(SUM($AI856:$AZ856)=0,"",SUM($AI856:$AZ856)),"")</f>
        <v/>
      </c>
      <c r="AF856" s="123">
        <f>iferror(IF(SUM($BA856:$BC856)=0,"",SUM($BA856:$BC856)),"")</f>
        <v/>
      </c>
      <c r="AG856" s="123">
        <f>iferror(IF(SUM($BD856:$BF856)=0,"",SUM($BD856:$BF856)),"")</f>
        <v/>
      </c>
      <c r="AH856" s="124">
        <f>iferror(IF(SUM($BG856:$BI856)=0,"",SUM($BG856:$BI856)),"")</f>
        <v/>
      </c>
      <c r="AI856" s="131" t="n"/>
      <c r="AJ856" s="132" t="n"/>
      <c r="AK856" s="132" t="n"/>
      <c r="AL856" s="132" t="n"/>
      <c r="AM856" s="132" t="n"/>
      <c r="AN856" s="132" t="n"/>
      <c r="AO856" s="132" t="n"/>
      <c r="AP856" s="132" t="n"/>
      <c r="AQ856" s="132" t="n"/>
      <c r="AR856" s="132" t="n"/>
      <c r="AS856" s="132" t="n"/>
      <c r="AT856" s="132" t="n"/>
      <c r="AU856" s="132" t="n"/>
      <c r="AV856" s="132" t="n"/>
      <c r="AW856" s="132" t="n"/>
      <c r="AX856" s="132" t="n"/>
      <c r="AY856" s="132" t="n"/>
      <c r="AZ856" s="133" t="n"/>
      <c r="BA856" s="131" t="n"/>
      <c r="BB856" s="132" t="n"/>
      <c r="BC856" s="133" t="n"/>
      <c r="BD856" s="131" t="n"/>
      <c r="BE856" s="132" t="n"/>
      <c r="BF856" s="133" t="n"/>
      <c r="BG856" s="131" t="n"/>
      <c r="BH856" s="132" t="n"/>
      <c r="BI856" s="132" t="n"/>
      <c r="BJ856" s="128">
        <f>iferror(SUM($BK856,($BL856*1.2),($BM856*1.35),($BN856*0.74)),)</f>
        <v/>
      </c>
      <c r="BK856" s="128">
        <f>IFERROR(SUM($BT856:$CK856),)</f>
        <v/>
      </c>
      <c r="BL856" s="129">
        <f>IFERROR(SUM($CL856:$CN856),)</f>
        <v/>
      </c>
      <c r="BM856" s="130">
        <f>IFERROR(SUM($CO856:$CQ856),)</f>
        <v/>
      </c>
      <c r="BN856" s="128">
        <f>IFERROR(SUM($CR856:$CT856),)</f>
        <v/>
      </c>
      <c r="BO856" s="128">
        <f>iferror(SUM($BP856,($BQ856*1.2),($BR856*1.35),($BS856*0.74)),)</f>
        <v/>
      </c>
      <c r="BP856" s="128">
        <f>IFERROR(SUM($CU856:$DL856),)</f>
        <v/>
      </c>
      <c r="BQ856" s="128">
        <f>IFERROR(SUM($DM856:$DO856),)</f>
        <v/>
      </c>
      <c r="BR856" s="128">
        <f>IFERROR(SUM($DP856:$DR856),)</f>
        <v/>
      </c>
      <c r="BS856" s="128">
        <f>IFERROR(SUM($DS856:$DU856),)</f>
        <v/>
      </c>
      <c r="BT856" s="128">
        <f>IFERROR(AI856*$W856,)</f>
        <v/>
      </c>
      <c r="BU856" s="128">
        <f>IFERROR(AJ856*$W856,)</f>
        <v/>
      </c>
      <c r="BV856" s="128">
        <f>IFERROR(AK856*$W856,)</f>
        <v/>
      </c>
      <c r="BW856" s="128">
        <f>IFERROR(AL856*$W856,)</f>
        <v/>
      </c>
      <c r="BX856" s="128">
        <f>IFERROR(AM856*$W856,)</f>
        <v/>
      </c>
      <c r="BY856" s="128">
        <f>IFERROR(AN856*$W856,)</f>
        <v/>
      </c>
      <c r="BZ856" s="128">
        <f>IFERROR(AO856*$W856,)</f>
        <v/>
      </c>
      <c r="CA856" s="128">
        <f>IFERROR(AP856*$W856,)</f>
        <v/>
      </c>
      <c r="CB856" s="128">
        <f>IFERROR(AQ856*$W856,)</f>
        <v/>
      </c>
      <c r="CC856" s="128">
        <f>IFERROR(AR856*$W856,)</f>
        <v/>
      </c>
      <c r="CD856" s="128">
        <f>IFERROR(AS856*$W856,)</f>
        <v/>
      </c>
      <c r="CE856" s="128">
        <f>IFERROR(AT856*$W856,)</f>
        <v/>
      </c>
      <c r="CF856" s="128">
        <f>IFERROR(AU856*$W856,)</f>
        <v/>
      </c>
      <c r="CG856" s="128">
        <f>IFERROR(AV856*$W856,)</f>
        <v/>
      </c>
      <c r="CH856" s="128">
        <f>IFERROR(AW856*$W856,)</f>
        <v/>
      </c>
      <c r="CI856" s="128">
        <f>IFERROR(AX856*$W856,)</f>
        <v/>
      </c>
      <c r="CJ856" s="128">
        <f>IFERROR(AY856*$W856,)</f>
        <v/>
      </c>
      <c r="CK856" s="128">
        <f>IFERROR(AZ856*$W856,)</f>
        <v/>
      </c>
      <c r="CL856" s="129">
        <f>IFERROR(if($Y856=0,BA856*($W856/1.2),BA856*$Y856),"")</f>
        <v/>
      </c>
      <c r="CM856" s="129">
        <f>IFERROR(if($Y856=0,BB856*($W856/1.2),BB856*$Y856),"")</f>
        <v/>
      </c>
      <c r="CN856" s="129">
        <f>IFERROR(if($Y856=0,BC856*($W856/1.2),BC856*$Y856),"")</f>
        <v/>
      </c>
      <c r="CO856" s="130">
        <f>IFERROR(if($AA856=0,($W856/1.35)*BD856,BD856*$AA856),)</f>
        <v/>
      </c>
      <c r="CP856" s="130">
        <f>IFERROR(if($AA856=0,($W856/1.35)*BE856,BE856*$AA856),)</f>
        <v/>
      </c>
      <c r="CQ856" s="130">
        <f>IFERROR(if($AA856=0,($W856/1.35)*BF856,BF856*$AA856),)</f>
        <v/>
      </c>
      <c r="CR856" s="128">
        <f>IFERROR(if($AC856=0,($W856/0.74)*BG856,
BG856*$AC856),)</f>
        <v/>
      </c>
      <c r="CS856" s="128">
        <f>IFERROR(if($AC856=0,($W856/0.74)*BH856,
BH856*$AC856),)</f>
        <v/>
      </c>
      <c r="CT856" s="128">
        <f>IFERROR(if($AC856=0,($W856/0.74)*BI856,
BI856*$AC856),)</f>
        <v/>
      </c>
      <c r="CU856" s="128">
        <f>IFERROR(AI856*$V856,)</f>
        <v/>
      </c>
      <c r="CV856" s="128">
        <f>IFERROR(AJ856*$V856,)</f>
        <v/>
      </c>
      <c r="CW856" s="128">
        <f>IFERROR(AK856*$V856,)</f>
        <v/>
      </c>
      <c r="CX856" s="128">
        <f>IFERROR(AL856*$V856,)</f>
        <v/>
      </c>
      <c r="CY856" s="128">
        <f>IFERROR(AM856*$V856,)</f>
        <v/>
      </c>
      <c r="CZ856" s="128">
        <f>IFERROR(AN856*$V856,)</f>
        <v/>
      </c>
      <c r="DA856" s="128">
        <f>IFERROR(AO856*$V856,)</f>
        <v/>
      </c>
      <c r="DB856" s="128">
        <f>IFERROR(AP856*$V856,)</f>
        <v/>
      </c>
      <c r="DC856" s="128">
        <f>IFERROR(AQ856*$V856,)</f>
        <v/>
      </c>
      <c r="DD856" s="128">
        <f>IFERROR(AR856*$V856,)</f>
        <v/>
      </c>
      <c r="DE856" s="128">
        <f>IFERROR(AS856*$V856,)</f>
        <v/>
      </c>
      <c r="DF856" s="128">
        <f>IFERROR(AT856*$V856,)</f>
        <v/>
      </c>
      <c r="DG856" s="128">
        <f>IFERROR(AU856*$V856,)</f>
        <v/>
      </c>
      <c r="DH856" s="128">
        <f>IFERROR(AV856*$V856,)</f>
        <v/>
      </c>
      <c r="DI856" s="128">
        <f>IFERROR(AW856*$V856,)</f>
        <v/>
      </c>
      <c r="DJ856" s="128">
        <f>IFERROR(AX856*$V856,)</f>
        <v/>
      </c>
      <c r="DK856" s="128">
        <f>IFERROR(AY856*$V856,)</f>
        <v/>
      </c>
      <c r="DL856" s="128">
        <f>IFERROR(AZ856*$V856,)</f>
        <v/>
      </c>
      <c r="DM856" s="129">
        <f>IFERROR(if($X856=0,($V856/1.2)*BA856,
BA856*$X856),)</f>
        <v/>
      </c>
      <c r="DN856" s="129">
        <f>IFERROR(if($X856=0,($V856/1.2)*BB856,
BB856*$X856),)</f>
        <v/>
      </c>
      <c r="DO856" s="129">
        <f>IFERROR(if($X856=0,($V856/1.2)*BC856,
BC856*$X856),)</f>
        <v/>
      </c>
      <c r="DP856" s="130">
        <f>IFERROR(if($Z856=0,($V856/1.35)*BD856,
BD856*$Z856),)</f>
        <v/>
      </c>
      <c r="DQ856" s="130">
        <f>IFERROR(if($Z856=0,($V856/1.35)*BE856,
BE856*$Z856),)</f>
        <v/>
      </c>
      <c r="DR856" s="130">
        <f>IFERROR(if($Z856=0,($V856/1.35)*BF856,
BF856*$Z856),)</f>
        <v/>
      </c>
      <c r="DS856" s="128">
        <f>IFERROR(IF($AB856=0,($V856/0.74)*BG856,
BG856*$AB856),)</f>
        <v/>
      </c>
      <c r="DT856" s="128">
        <f>IFERROR(IF($AB856=0,($V856/0.74)*BH856,
BH856*$AB856),)</f>
        <v/>
      </c>
      <c r="DU856" s="128">
        <f>IFERROR(IF($AB856=0,($V856/0.74)*BI856,
BI856*$AB856),)</f>
        <v/>
      </c>
    </row>
    <row r="857" ht="131.25" customHeight="1" s="162">
      <c r="A857" s="115" t="n"/>
      <c r="B857" s="115" t="n"/>
      <c r="C857" s="115" t="n"/>
      <c r="D857" s="115" t="n"/>
      <c r="E857" s="115" t="n"/>
      <c r="F857" s="115" t="n"/>
      <c r="G857" s="115" t="n"/>
      <c r="H857" s="115" t="n"/>
      <c r="I857" s="115" t="n"/>
      <c r="J857" s="115" t="n"/>
      <c r="K857" s="115" t="n"/>
      <c r="L857" s="115" t="n"/>
      <c r="M857" s="115" t="n"/>
      <c r="N857" s="115" t="n"/>
      <c r="O857" s="115" t="n"/>
      <c r="P857" s="115" t="n"/>
      <c r="Q857" s="115" t="n"/>
      <c r="R857" s="115" t="n"/>
      <c r="S857" s="115" t="n"/>
      <c r="T857" s="115" t="n"/>
      <c r="U857" s="116" t="n"/>
      <c r="V857" s="116" t="n"/>
      <c r="W857" s="117" t="n"/>
      <c r="X857" s="118" t="n"/>
      <c r="Y857" s="119" t="n"/>
      <c r="Z857" s="120" t="n"/>
      <c r="AA857" s="121" t="n"/>
      <c r="AB857" s="122" t="n"/>
      <c r="AC857" s="117" t="n"/>
      <c r="AD857" s="123">
        <f>IF(SUM($AE857:$AH857)=0,"",SUM($AE857:$AH857))</f>
        <v/>
      </c>
      <c r="AE857" s="123">
        <f>iferror(IF(SUM($AI857:$AZ857)=0,"",SUM($AI857:$AZ857)),"")</f>
        <v/>
      </c>
      <c r="AF857" s="123">
        <f>iferror(IF(SUM($BA857:$BC857)=0,"",SUM($BA857:$BC857)),"")</f>
        <v/>
      </c>
      <c r="AG857" s="123">
        <f>iferror(IF(SUM($BD857:$BF857)=0,"",SUM($BD857:$BF857)),"")</f>
        <v/>
      </c>
      <c r="AH857" s="124">
        <f>iferror(IF(SUM($BG857:$BI857)=0,"",SUM($BG857:$BI857)),"")</f>
        <v/>
      </c>
      <c r="AI857" s="131" t="n"/>
      <c r="AJ857" s="132" t="n"/>
      <c r="AK857" s="132" t="n"/>
      <c r="AL857" s="132" t="n"/>
      <c r="AM857" s="132" t="n"/>
      <c r="AN857" s="132" t="n"/>
      <c r="AO857" s="132" t="n"/>
      <c r="AP857" s="132" t="n"/>
      <c r="AQ857" s="132" t="n"/>
      <c r="AR857" s="132" t="n"/>
      <c r="AS857" s="132" t="n"/>
      <c r="AT857" s="132" t="n"/>
      <c r="AU857" s="132" t="n"/>
      <c r="AV857" s="132" t="n"/>
      <c r="AW857" s="132" t="n"/>
      <c r="AX857" s="132" t="n"/>
      <c r="AY857" s="132" t="n"/>
      <c r="AZ857" s="133" t="n"/>
      <c r="BA857" s="131" t="n"/>
      <c r="BB857" s="132" t="n"/>
      <c r="BC857" s="133" t="n"/>
      <c r="BD857" s="131" t="n"/>
      <c r="BE857" s="132" t="n"/>
      <c r="BF857" s="133" t="n"/>
      <c r="BG857" s="131" t="n"/>
      <c r="BH857" s="132" t="n"/>
      <c r="BI857" s="132" t="n"/>
      <c r="BJ857" s="128">
        <f>iferror(SUM($BK857,($BL857*1.2),($BM857*1.35),($BN857*0.74)),)</f>
        <v/>
      </c>
      <c r="BK857" s="128">
        <f>IFERROR(SUM($BT857:$CK857),)</f>
        <v/>
      </c>
      <c r="BL857" s="129">
        <f>IFERROR(SUM($CL857:$CN857),)</f>
        <v/>
      </c>
      <c r="BM857" s="130">
        <f>IFERROR(SUM($CO857:$CQ857),)</f>
        <v/>
      </c>
      <c r="BN857" s="128">
        <f>IFERROR(SUM($CR857:$CT857),)</f>
        <v/>
      </c>
      <c r="BO857" s="128">
        <f>iferror(SUM($BP857,($BQ857*1.2),($BR857*1.35),($BS857*0.74)),)</f>
        <v/>
      </c>
      <c r="BP857" s="128">
        <f>IFERROR(SUM($CU857:$DL857),)</f>
        <v/>
      </c>
      <c r="BQ857" s="128">
        <f>IFERROR(SUM($DM857:$DO857),)</f>
        <v/>
      </c>
      <c r="BR857" s="128">
        <f>IFERROR(SUM($DP857:$DR857),)</f>
        <v/>
      </c>
      <c r="BS857" s="128">
        <f>IFERROR(SUM($DS857:$DU857),)</f>
        <v/>
      </c>
      <c r="BT857" s="128">
        <f>IFERROR(AI857*$W857,)</f>
        <v/>
      </c>
      <c r="BU857" s="128">
        <f>IFERROR(AJ857*$W857,)</f>
        <v/>
      </c>
      <c r="BV857" s="128">
        <f>IFERROR(AK857*$W857,)</f>
        <v/>
      </c>
      <c r="BW857" s="128">
        <f>IFERROR(AL857*$W857,)</f>
        <v/>
      </c>
      <c r="BX857" s="128">
        <f>IFERROR(AM857*$W857,)</f>
        <v/>
      </c>
      <c r="BY857" s="128">
        <f>IFERROR(AN857*$W857,)</f>
        <v/>
      </c>
      <c r="BZ857" s="128">
        <f>IFERROR(AO857*$W857,)</f>
        <v/>
      </c>
      <c r="CA857" s="128">
        <f>IFERROR(AP857*$W857,)</f>
        <v/>
      </c>
      <c r="CB857" s="128">
        <f>IFERROR(AQ857*$W857,)</f>
        <v/>
      </c>
      <c r="CC857" s="128">
        <f>IFERROR(AR857*$W857,)</f>
        <v/>
      </c>
      <c r="CD857" s="128">
        <f>IFERROR(AS857*$W857,)</f>
        <v/>
      </c>
      <c r="CE857" s="128">
        <f>IFERROR(AT857*$W857,)</f>
        <v/>
      </c>
      <c r="CF857" s="128">
        <f>IFERROR(AU857*$W857,)</f>
        <v/>
      </c>
      <c r="CG857" s="128">
        <f>IFERROR(AV857*$W857,)</f>
        <v/>
      </c>
      <c r="CH857" s="128">
        <f>IFERROR(AW857*$W857,)</f>
        <v/>
      </c>
      <c r="CI857" s="128">
        <f>IFERROR(AX857*$W857,)</f>
        <v/>
      </c>
      <c r="CJ857" s="128">
        <f>IFERROR(AY857*$W857,)</f>
        <v/>
      </c>
      <c r="CK857" s="128">
        <f>IFERROR(AZ857*$W857,)</f>
        <v/>
      </c>
      <c r="CL857" s="129">
        <f>IFERROR(if($Y857=0,BA857*($W857/1.2),BA857*$Y857),"")</f>
        <v/>
      </c>
      <c r="CM857" s="129">
        <f>IFERROR(if($Y857=0,BB857*($W857/1.2),BB857*$Y857),"")</f>
        <v/>
      </c>
      <c r="CN857" s="129">
        <f>IFERROR(if($Y857=0,BC857*($W857/1.2),BC857*$Y857),"")</f>
        <v/>
      </c>
      <c r="CO857" s="130">
        <f>IFERROR(if($AA857=0,($W857/1.35)*BD857,BD857*$AA857),)</f>
        <v/>
      </c>
      <c r="CP857" s="130">
        <f>IFERROR(if($AA857=0,($W857/1.35)*BE857,BE857*$AA857),)</f>
        <v/>
      </c>
      <c r="CQ857" s="130">
        <f>IFERROR(if($AA857=0,($W857/1.35)*BF857,BF857*$AA857),)</f>
        <v/>
      </c>
      <c r="CR857" s="128">
        <f>IFERROR(if($AC857=0,($W857/0.74)*BG857,
BG857*$AC857),)</f>
        <v/>
      </c>
      <c r="CS857" s="128">
        <f>IFERROR(if($AC857=0,($W857/0.74)*BH857,
BH857*$AC857),)</f>
        <v/>
      </c>
      <c r="CT857" s="128">
        <f>IFERROR(if($AC857=0,($W857/0.74)*BI857,
BI857*$AC857),)</f>
        <v/>
      </c>
      <c r="CU857" s="128">
        <f>IFERROR(AI857*$V857,)</f>
        <v/>
      </c>
      <c r="CV857" s="128">
        <f>IFERROR(AJ857*$V857,)</f>
        <v/>
      </c>
      <c r="CW857" s="128">
        <f>IFERROR(AK857*$V857,)</f>
        <v/>
      </c>
      <c r="CX857" s="128">
        <f>IFERROR(AL857*$V857,)</f>
        <v/>
      </c>
      <c r="CY857" s="128">
        <f>IFERROR(AM857*$V857,)</f>
        <v/>
      </c>
      <c r="CZ857" s="128">
        <f>IFERROR(AN857*$V857,)</f>
        <v/>
      </c>
      <c r="DA857" s="128">
        <f>IFERROR(AO857*$V857,)</f>
        <v/>
      </c>
      <c r="DB857" s="128">
        <f>IFERROR(AP857*$V857,)</f>
        <v/>
      </c>
      <c r="DC857" s="128">
        <f>IFERROR(AQ857*$V857,)</f>
        <v/>
      </c>
      <c r="DD857" s="128">
        <f>IFERROR(AR857*$V857,)</f>
        <v/>
      </c>
      <c r="DE857" s="128">
        <f>IFERROR(AS857*$V857,)</f>
        <v/>
      </c>
      <c r="DF857" s="128">
        <f>IFERROR(AT857*$V857,)</f>
        <v/>
      </c>
      <c r="DG857" s="128">
        <f>IFERROR(AU857*$V857,)</f>
        <v/>
      </c>
      <c r="DH857" s="128">
        <f>IFERROR(AV857*$V857,)</f>
        <v/>
      </c>
      <c r="DI857" s="128">
        <f>IFERROR(AW857*$V857,)</f>
        <v/>
      </c>
      <c r="DJ857" s="128">
        <f>IFERROR(AX857*$V857,)</f>
        <v/>
      </c>
      <c r="DK857" s="128">
        <f>IFERROR(AY857*$V857,)</f>
        <v/>
      </c>
      <c r="DL857" s="128">
        <f>IFERROR(AZ857*$V857,)</f>
        <v/>
      </c>
      <c r="DM857" s="129">
        <f>IFERROR(if($X857=0,($V857/1.2)*BA857,
BA857*$X857),)</f>
        <v/>
      </c>
      <c r="DN857" s="129">
        <f>IFERROR(if($X857=0,($V857/1.2)*BB857,
BB857*$X857),)</f>
        <v/>
      </c>
      <c r="DO857" s="129">
        <f>IFERROR(if($X857=0,($V857/1.2)*BC857,
BC857*$X857),)</f>
        <v/>
      </c>
      <c r="DP857" s="130">
        <f>IFERROR(if($Z857=0,($V857/1.35)*BD857,
BD857*$Z857),)</f>
        <v/>
      </c>
      <c r="DQ857" s="130">
        <f>IFERROR(if($Z857=0,($V857/1.35)*BE857,
BE857*$Z857),)</f>
        <v/>
      </c>
      <c r="DR857" s="130">
        <f>IFERROR(if($Z857=0,($V857/1.35)*BF857,
BF857*$Z857),)</f>
        <v/>
      </c>
      <c r="DS857" s="128">
        <f>IFERROR(IF($AB857=0,($V857/0.74)*BG857,
BG857*$AB857),)</f>
        <v/>
      </c>
      <c r="DT857" s="128">
        <f>IFERROR(IF($AB857=0,($V857/0.74)*BH857,
BH857*$AB857),)</f>
        <v/>
      </c>
      <c r="DU857" s="128">
        <f>IFERROR(IF($AB857=0,($V857/0.74)*BI857,
BI857*$AB857),)</f>
        <v/>
      </c>
    </row>
    <row r="858" ht="131.25" customHeight="1" s="162">
      <c r="A858" s="115" t="n"/>
      <c r="B858" s="115" t="n"/>
      <c r="C858" s="115" t="n"/>
      <c r="D858" s="115" t="n"/>
      <c r="E858" s="115" t="n"/>
      <c r="F858" s="115" t="n"/>
      <c r="G858" s="115" t="n"/>
      <c r="H858" s="115" t="n"/>
      <c r="I858" s="115" t="n"/>
      <c r="J858" s="115" t="n"/>
      <c r="K858" s="115" t="n"/>
      <c r="L858" s="115" t="n"/>
      <c r="M858" s="115" t="n"/>
      <c r="N858" s="115" t="n"/>
      <c r="O858" s="115" t="n"/>
      <c r="P858" s="115" t="n"/>
      <c r="Q858" s="115" t="n"/>
      <c r="R858" s="115" t="n"/>
      <c r="S858" s="115" t="n"/>
      <c r="T858" s="115" t="n"/>
      <c r="U858" s="116" t="n"/>
      <c r="V858" s="116" t="n"/>
      <c r="W858" s="117" t="n"/>
      <c r="X858" s="118" t="n"/>
      <c r="Y858" s="119" t="n"/>
      <c r="Z858" s="120" t="n"/>
      <c r="AA858" s="121" t="n"/>
      <c r="AB858" s="122" t="n"/>
      <c r="AC858" s="117" t="n"/>
      <c r="AD858" s="123">
        <f>IF(SUM($AE858:$AH858)=0,"",SUM($AE858:$AH858))</f>
        <v/>
      </c>
      <c r="AE858" s="123">
        <f>iferror(IF(SUM($AI858:$AZ858)=0,"",SUM($AI858:$AZ858)),"")</f>
        <v/>
      </c>
      <c r="AF858" s="123">
        <f>iferror(IF(SUM($BA858:$BC858)=0,"",SUM($BA858:$BC858)),"")</f>
        <v/>
      </c>
      <c r="AG858" s="123">
        <f>iferror(IF(SUM($BD858:$BF858)=0,"",SUM($BD858:$BF858)),"")</f>
        <v/>
      </c>
      <c r="AH858" s="124">
        <f>iferror(IF(SUM($BG858:$BI858)=0,"",SUM($BG858:$BI858)),"")</f>
        <v/>
      </c>
      <c r="AI858" s="131" t="n"/>
      <c r="AJ858" s="132" t="n"/>
      <c r="AK858" s="132" t="n"/>
      <c r="AL858" s="132" t="n"/>
      <c r="AM858" s="132" t="n"/>
      <c r="AN858" s="132" t="n"/>
      <c r="AO858" s="132" t="n"/>
      <c r="AP858" s="132" t="n"/>
      <c r="AQ858" s="132" t="n"/>
      <c r="AR858" s="132" t="n"/>
      <c r="AS858" s="132" t="n"/>
      <c r="AT858" s="132" t="n"/>
      <c r="AU858" s="132" t="n"/>
      <c r="AV858" s="132" t="n"/>
      <c r="AW858" s="132" t="n"/>
      <c r="AX858" s="132" t="n"/>
      <c r="AY858" s="132" t="n"/>
      <c r="AZ858" s="133" t="n"/>
      <c r="BA858" s="131" t="n"/>
      <c r="BB858" s="132" t="n"/>
      <c r="BC858" s="133" t="n"/>
      <c r="BD858" s="131" t="n"/>
      <c r="BE858" s="132" t="n"/>
      <c r="BF858" s="133" t="n"/>
      <c r="BG858" s="131" t="n"/>
      <c r="BH858" s="132" t="n"/>
      <c r="BI858" s="132" t="n"/>
      <c r="BJ858" s="128">
        <f>iferror(SUM($BK858,($BL858*1.2),($BM858*1.35),($BN858*0.74)),)</f>
        <v/>
      </c>
      <c r="BK858" s="128">
        <f>IFERROR(SUM($BT858:$CK858),)</f>
        <v/>
      </c>
      <c r="BL858" s="129">
        <f>IFERROR(SUM($CL858:$CN858),)</f>
        <v/>
      </c>
      <c r="BM858" s="130">
        <f>IFERROR(SUM($CO858:$CQ858),)</f>
        <v/>
      </c>
      <c r="BN858" s="128">
        <f>IFERROR(SUM($CR858:$CT858),)</f>
        <v/>
      </c>
      <c r="BO858" s="128">
        <f>iferror(SUM($BP858,($BQ858*1.2),($BR858*1.35),($BS858*0.74)),)</f>
        <v/>
      </c>
      <c r="BP858" s="128">
        <f>IFERROR(SUM($CU858:$DL858),)</f>
        <v/>
      </c>
      <c r="BQ858" s="128">
        <f>IFERROR(SUM($DM858:$DO858),)</f>
        <v/>
      </c>
      <c r="BR858" s="128">
        <f>IFERROR(SUM($DP858:$DR858),)</f>
        <v/>
      </c>
      <c r="BS858" s="128">
        <f>IFERROR(SUM($DS858:$DU858),)</f>
        <v/>
      </c>
      <c r="BT858" s="128">
        <f>IFERROR(AI858*$W858,)</f>
        <v/>
      </c>
      <c r="BU858" s="128">
        <f>IFERROR(AJ858*$W858,)</f>
        <v/>
      </c>
      <c r="BV858" s="128">
        <f>IFERROR(AK858*$W858,)</f>
        <v/>
      </c>
      <c r="BW858" s="128">
        <f>IFERROR(AL858*$W858,)</f>
        <v/>
      </c>
      <c r="BX858" s="128">
        <f>IFERROR(AM858*$W858,)</f>
        <v/>
      </c>
      <c r="BY858" s="128">
        <f>IFERROR(AN858*$W858,)</f>
        <v/>
      </c>
      <c r="BZ858" s="128">
        <f>IFERROR(AO858*$W858,)</f>
        <v/>
      </c>
      <c r="CA858" s="128">
        <f>IFERROR(AP858*$W858,)</f>
        <v/>
      </c>
      <c r="CB858" s="128">
        <f>IFERROR(AQ858*$W858,)</f>
        <v/>
      </c>
      <c r="CC858" s="128">
        <f>IFERROR(AR858*$W858,)</f>
        <v/>
      </c>
      <c r="CD858" s="128">
        <f>IFERROR(AS858*$W858,)</f>
        <v/>
      </c>
      <c r="CE858" s="128">
        <f>IFERROR(AT858*$W858,)</f>
        <v/>
      </c>
      <c r="CF858" s="128">
        <f>IFERROR(AU858*$W858,)</f>
        <v/>
      </c>
      <c r="CG858" s="128">
        <f>IFERROR(AV858*$W858,)</f>
        <v/>
      </c>
      <c r="CH858" s="128">
        <f>IFERROR(AW858*$W858,)</f>
        <v/>
      </c>
      <c r="CI858" s="128">
        <f>IFERROR(AX858*$W858,)</f>
        <v/>
      </c>
      <c r="CJ858" s="128">
        <f>IFERROR(AY858*$W858,)</f>
        <v/>
      </c>
      <c r="CK858" s="128">
        <f>IFERROR(AZ858*$W858,)</f>
        <v/>
      </c>
      <c r="CL858" s="129">
        <f>IFERROR(if($Y858=0,BA858*($W858/1.2),BA858*$Y858),"")</f>
        <v/>
      </c>
      <c r="CM858" s="129">
        <f>IFERROR(if($Y858=0,BB858*($W858/1.2),BB858*$Y858),"")</f>
        <v/>
      </c>
      <c r="CN858" s="129">
        <f>IFERROR(if($Y858=0,BC858*($W858/1.2),BC858*$Y858),"")</f>
        <v/>
      </c>
      <c r="CO858" s="130">
        <f>IFERROR(if($AA858=0,($W858/1.35)*BD858,BD858*$AA858),)</f>
        <v/>
      </c>
      <c r="CP858" s="130">
        <f>IFERROR(if($AA858=0,($W858/1.35)*BE858,BE858*$AA858),)</f>
        <v/>
      </c>
      <c r="CQ858" s="130">
        <f>IFERROR(if($AA858=0,($W858/1.35)*BF858,BF858*$AA858),)</f>
        <v/>
      </c>
      <c r="CR858" s="128">
        <f>IFERROR(if($AC858=0,($W858/0.74)*BG858,
BG858*$AC858),)</f>
        <v/>
      </c>
      <c r="CS858" s="128">
        <f>IFERROR(if($AC858=0,($W858/0.74)*BH858,
BH858*$AC858),)</f>
        <v/>
      </c>
      <c r="CT858" s="128">
        <f>IFERROR(if($AC858=0,($W858/0.74)*BI858,
BI858*$AC858),)</f>
        <v/>
      </c>
      <c r="CU858" s="128">
        <f>IFERROR(AI858*$V858,)</f>
        <v/>
      </c>
      <c r="CV858" s="128">
        <f>IFERROR(AJ858*$V858,)</f>
        <v/>
      </c>
      <c r="CW858" s="128">
        <f>IFERROR(AK858*$V858,)</f>
        <v/>
      </c>
      <c r="CX858" s="128">
        <f>IFERROR(AL858*$V858,)</f>
        <v/>
      </c>
      <c r="CY858" s="128">
        <f>IFERROR(AM858*$V858,)</f>
        <v/>
      </c>
      <c r="CZ858" s="128">
        <f>IFERROR(AN858*$V858,)</f>
        <v/>
      </c>
      <c r="DA858" s="128">
        <f>IFERROR(AO858*$V858,)</f>
        <v/>
      </c>
      <c r="DB858" s="128">
        <f>IFERROR(AP858*$V858,)</f>
        <v/>
      </c>
      <c r="DC858" s="128">
        <f>IFERROR(AQ858*$V858,)</f>
        <v/>
      </c>
      <c r="DD858" s="128">
        <f>IFERROR(AR858*$V858,)</f>
        <v/>
      </c>
      <c r="DE858" s="128">
        <f>IFERROR(AS858*$V858,)</f>
        <v/>
      </c>
      <c r="DF858" s="128">
        <f>IFERROR(AT858*$V858,)</f>
        <v/>
      </c>
      <c r="DG858" s="128">
        <f>IFERROR(AU858*$V858,)</f>
        <v/>
      </c>
      <c r="DH858" s="128">
        <f>IFERROR(AV858*$V858,)</f>
        <v/>
      </c>
      <c r="DI858" s="128">
        <f>IFERROR(AW858*$V858,)</f>
        <v/>
      </c>
      <c r="DJ858" s="128">
        <f>IFERROR(AX858*$V858,)</f>
        <v/>
      </c>
      <c r="DK858" s="128">
        <f>IFERROR(AY858*$V858,)</f>
        <v/>
      </c>
      <c r="DL858" s="128">
        <f>IFERROR(AZ858*$V858,)</f>
        <v/>
      </c>
      <c r="DM858" s="129">
        <f>IFERROR(if($X858=0,($V858/1.2)*BA858,
BA858*$X858),)</f>
        <v/>
      </c>
      <c r="DN858" s="129">
        <f>IFERROR(if($X858=0,($V858/1.2)*BB858,
BB858*$X858),)</f>
        <v/>
      </c>
      <c r="DO858" s="129">
        <f>IFERROR(if($X858=0,($V858/1.2)*BC858,
BC858*$X858),)</f>
        <v/>
      </c>
      <c r="DP858" s="130">
        <f>IFERROR(if($Z858=0,($V858/1.35)*BD858,
BD858*$Z858),)</f>
        <v/>
      </c>
      <c r="DQ858" s="130">
        <f>IFERROR(if($Z858=0,($V858/1.35)*BE858,
BE858*$Z858),)</f>
        <v/>
      </c>
      <c r="DR858" s="130">
        <f>IFERROR(if($Z858=0,($V858/1.35)*BF858,
BF858*$Z858),)</f>
        <v/>
      </c>
      <c r="DS858" s="128">
        <f>IFERROR(IF($AB858=0,($V858/0.74)*BG858,
BG858*$AB858),)</f>
        <v/>
      </c>
      <c r="DT858" s="128">
        <f>IFERROR(IF($AB858=0,($V858/0.74)*BH858,
BH858*$AB858),)</f>
        <v/>
      </c>
      <c r="DU858" s="128">
        <f>IFERROR(IF($AB858=0,($V858/0.74)*BI858,
BI858*$AB858),)</f>
        <v/>
      </c>
    </row>
    <row r="859" ht="131.25" customHeight="1" s="162">
      <c r="A859" s="115" t="n"/>
      <c r="B859" s="115" t="n"/>
      <c r="C859" s="115" t="n"/>
      <c r="D859" s="115" t="n"/>
      <c r="E859" s="115" t="n"/>
      <c r="F859" s="115" t="n"/>
      <c r="G859" s="115" t="n"/>
      <c r="H859" s="115" t="n"/>
      <c r="I859" s="115" t="n"/>
      <c r="J859" s="115" t="n"/>
      <c r="K859" s="115" t="n"/>
      <c r="L859" s="115" t="n"/>
      <c r="M859" s="115" t="n"/>
      <c r="N859" s="115" t="n"/>
      <c r="O859" s="115" t="n"/>
      <c r="P859" s="115" t="n"/>
      <c r="Q859" s="115" t="n"/>
      <c r="R859" s="115" t="n"/>
      <c r="S859" s="115" t="n"/>
      <c r="T859" s="115" t="n"/>
      <c r="U859" s="116" t="n"/>
      <c r="V859" s="116" t="n"/>
      <c r="W859" s="117" t="n"/>
      <c r="X859" s="118" t="n"/>
      <c r="Y859" s="119" t="n"/>
      <c r="Z859" s="120" t="n"/>
      <c r="AA859" s="121" t="n"/>
      <c r="AB859" s="122" t="n"/>
      <c r="AC859" s="117" t="n"/>
      <c r="AD859" s="123">
        <f>IF(SUM($AE859:$AH859)=0,"",SUM($AE859:$AH859))</f>
        <v/>
      </c>
      <c r="AE859" s="123">
        <f>iferror(IF(SUM($AI859:$AZ859)=0,"",SUM($AI859:$AZ859)),"")</f>
        <v/>
      </c>
      <c r="AF859" s="123">
        <f>iferror(IF(SUM($BA859:$BC859)=0,"",SUM($BA859:$BC859)),"")</f>
        <v/>
      </c>
      <c r="AG859" s="123">
        <f>iferror(IF(SUM($BD859:$BF859)=0,"",SUM($BD859:$BF859)),"")</f>
        <v/>
      </c>
      <c r="AH859" s="124">
        <f>iferror(IF(SUM($BG859:$BI859)=0,"",SUM($BG859:$BI859)),"")</f>
        <v/>
      </c>
      <c r="AI859" s="131" t="n"/>
      <c r="AJ859" s="132" t="n"/>
      <c r="AK859" s="132" t="n"/>
      <c r="AL859" s="132" t="n"/>
      <c r="AM859" s="132" t="n"/>
      <c r="AN859" s="132" t="n"/>
      <c r="AO859" s="132" t="n"/>
      <c r="AP859" s="132" t="n"/>
      <c r="AQ859" s="132" t="n"/>
      <c r="AR859" s="132" t="n"/>
      <c r="AS859" s="132" t="n"/>
      <c r="AT859" s="132" t="n"/>
      <c r="AU859" s="132" t="n"/>
      <c r="AV859" s="132" t="n"/>
      <c r="AW859" s="132" t="n"/>
      <c r="AX859" s="132" t="n"/>
      <c r="AY859" s="132" t="n"/>
      <c r="AZ859" s="133" t="n"/>
      <c r="BA859" s="131" t="n"/>
      <c r="BB859" s="132" t="n"/>
      <c r="BC859" s="133" t="n"/>
      <c r="BD859" s="131" t="n"/>
      <c r="BE859" s="132" t="n"/>
      <c r="BF859" s="133" t="n"/>
      <c r="BG859" s="131" t="n"/>
      <c r="BH859" s="132" t="n"/>
      <c r="BI859" s="132" t="n"/>
      <c r="BJ859" s="128">
        <f>iferror(SUM($BK859,($BL859*1.2),($BM859*1.35),($BN859*0.74)),)</f>
        <v/>
      </c>
      <c r="BK859" s="128">
        <f>IFERROR(SUM($BT859:$CK859),)</f>
        <v/>
      </c>
      <c r="BL859" s="129">
        <f>IFERROR(SUM($CL859:$CN859),)</f>
        <v/>
      </c>
      <c r="BM859" s="130">
        <f>IFERROR(SUM($CO859:$CQ859),)</f>
        <v/>
      </c>
      <c r="BN859" s="128">
        <f>IFERROR(SUM($CR859:$CT859),)</f>
        <v/>
      </c>
      <c r="BO859" s="128">
        <f>iferror(SUM($BP859,($BQ859*1.2),($BR859*1.35),($BS859*0.74)),)</f>
        <v/>
      </c>
      <c r="BP859" s="128">
        <f>IFERROR(SUM($CU859:$DL859),)</f>
        <v/>
      </c>
      <c r="BQ859" s="128">
        <f>IFERROR(SUM($DM859:$DO859),)</f>
        <v/>
      </c>
      <c r="BR859" s="128">
        <f>IFERROR(SUM($DP859:$DR859),)</f>
        <v/>
      </c>
      <c r="BS859" s="128">
        <f>IFERROR(SUM($DS859:$DU859),)</f>
        <v/>
      </c>
      <c r="BT859" s="128">
        <f>IFERROR(AI859*$W859,)</f>
        <v/>
      </c>
      <c r="BU859" s="128">
        <f>IFERROR(AJ859*$W859,)</f>
        <v/>
      </c>
      <c r="BV859" s="128">
        <f>IFERROR(AK859*$W859,)</f>
        <v/>
      </c>
      <c r="BW859" s="128">
        <f>IFERROR(AL859*$W859,)</f>
        <v/>
      </c>
      <c r="BX859" s="128">
        <f>IFERROR(AM859*$W859,)</f>
        <v/>
      </c>
      <c r="BY859" s="128">
        <f>IFERROR(AN859*$W859,)</f>
        <v/>
      </c>
      <c r="BZ859" s="128">
        <f>IFERROR(AO859*$W859,)</f>
        <v/>
      </c>
      <c r="CA859" s="128">
        <f>IFERROR(AP859*$W859,)</f>
        <v/>
      </c>
      <c r="CB859" s="128">
        <f>IFERROR(AQ859*$W859,)</f>
        <v/>
      </c>
      <c r="CC859" s="128">
        <f>IFERROR(AR859*$W859,)</f>
        <v/>
      </c>
      <c r="CD859" s="128">
        <f>IFERROR(AS859*$W859,)</f>
        <v/>
      </c>
      <c r="CE859" s="128">
        <f>IFERROR(AT859*$W859,)</f>
        <v/>
      </c>
      <c r="CF859" s="128">
        <f>IFERROR(AU859*$W859,)</f>
        <v/>
      </c>
      <c r="CG859" s="128">
        <f>IFERROR(AV859*$W859,)</f>
        <v/>
      </c>
      <c r="CH859" s="128">
        <f>IFERROR(AW859*$W859,)</f>
        <v/>
      </c>
      <c r="CI859" s="128">
        <f>IFERROR(AX859*$W859,)</f>
        <v/>
      </c>
      <c r="CJ859" s="128">
        <f>IFERROR(AY859*$W859,)</f>
        <v/>
      </c>
      <c r="CK859" s="128">
        <f>IFERROR(AZ859*$W859,)</f>
        <v/>
      </c>
      <c r="CL859" s="129">
        <f>IFERROR(if($Y859=0,BA859*($W859/1.2),BA859*$Y859),"")</f>
        <v/>
      </c>
      <c r="CM859" s="129">
        <f>IFERROR(if($Y859=0,BB859*($W859/1.2),BB859*$Y859),"")</f>
        <v/>
      </c>
      <c r="CN859" s="129">
        <f>IFERROR(if($Y859=0,BC859*($W859/1.2),BC859*$Y859),"")</f>
        <v/>
      </c>
      <c r="CO859" s="130">
        <f>IFERROR(if($AA859=0,($W859/1.35)*BD859,BD859*$AA859),)</f>
        <v/>
      </c>
      <c r="CP859" s="130">
        <f>IFERROR(if($AA859=0,($W859/1.35)*BE859,BE859*$AA859),)</f>
        <v/>
      </c>
      <c r="CQ859" s="130">
        <f>IFERROR(if($AA859=0,($W859/1.35)*BF859,BF859*$AA859),)</f>
        <v/>
      </c>
      <c r="CR859" s="128">
        <f>IFERROR(if($AC859=0,($W859/0.74)*BG859,
BG859*$AC859),)</f>
        <v/>
      </c>
      <c r="CS859" s="128">
        <f>IFERROR(if($AC859=0,($W859/0.74)*BH859,
BH859*$AC859),)</f>
        <v/>
      </c>
      <c r="CT859" s="128">
        <f>IFERROR(if($AC859=0,($W859/0.74)*BI859,
BI859*$AC859),)</f>
        <v/>
      </c>
      <c r="CU859" s="128">
        <f>IFERROR(AI859*$V859,)</f>
        <v/>
      </c>
      <c r="CV859" s="128">
        <f>IFERROR(AJ859*$V859,)</f>
        <v/>
      </c>
      <c r="CW859" s="128">
        <f>IFERROR(AK859*$V859,)</f>
        <v/>
      </c>
      <c r="CX859" s="128">
        <f>IFERROR(AL859*$V859,)</f>
        <v/>
      </c>
      <c r="CY859" s="128">
        <f>IFERROR(AM859*$V859,)</f>
        <v/>
      </c>
      <c r="CZ859" s="128">
        <f>IFERROR(AN859*$V859,)</f>
        <v/>
      </c>
      <c r="DA859" s="128">
        <f>IFERROR(AO859*$V859,)</f>
        <v/>
      </c>
      <c r="DB859" s="128">
        <f>IFERROR(AP859*$V859,)</f>
        <v/>
      </c>
      <c r="DC859" s="128">
        <f>IFERROR(AQ859*$V859,)</f>
        <v/>
      </c>
      <c r="DD859" s="128">
        <f>IFERROR(AR859*$V859,)</f>
        <v/>
      </c>
      <c r="DE859" s="128">
        <f>IFERROR(AS859*$V859,)</f>
        <v/>
      </c>
      <c r="DF859" s="128">
        <f>IFERROR(AT859*$V859,)</f>
        <v/>
      </c>
      <c r="DG859" s="128">
        <f>IFERROR(AU859*$V859,)</f>
        <v/>
      </c>
      <c r="DH859" s="128">
        <f>IFERROR(AV859*$V859,)</f>
        <v/>
      </c>
      <c r="DI859" s="128">
        <f>IFERROR(AW859*$V859,)</f>
        <v/>
      </c>
      <c r="DJ859" s="128">
        <f>IFERROR(AX859*$V859,)</f>
        <v/>
      </c>
      <c r="DK859" s="128">
        <f>IFERROR(AY859*$V859,)</f>
        <v/>
      </c>
      <c r="DL859" s="128">
        <f>IFERROR(AZ859*$V859,)</f>
        <v/>
      </c>
      <c r="DM859" s="129">
        <f>IFERROR(if($X859=0,($V859/1.2)*BA859,
BA859*$X859),)</f>
        <v/>
      </c>
      <c r="DN859" s="129">
        <f>IFERROR(if($X859=0,($V859/1.2)*BB859,
BB859*$X859),)</f>
        <v/>
      </c>
      <c r="DO859" s="129">
        <f>IFERROR(if($X859=0,($V859/1.2)*BC859,
BC859*$X859),)</f>
        <v/>
      </c>
      <c r="DP859" s="130">
        <f>IFERROR(if($Z859=0,($V859/1.35)*BD859,
BD859*$Z859),)</f>
        <v/>
      </c>
      <c r="DQ859" s="130">
        <f>IFERROR(if($Z859=0,($V859/1.35)*BE859,
BE859*$Z859),)</f>
        <v/>
      </c>
      <c r="DR859" s="130">
        <f>IFERROR(if($Z859=0,($V859/1.35)*BF859,
BF859*$Z859),)</f>
        <v/>
      </c>
      <c r="DS859" s="128">
        <f>IFERROR(IF($AB859=0,($V859/0.74)*BG859,
BG859*$AB859),)</f>
        <v/>
      </c>
      <c r="DT859" s="128">
        <f>IFERROR(IF($AB859=0,($V859/0.74)*BH859,
BH859*$AB859),)</f>
        <v/>
      </c>
      <c r="DU859" s="128">
        <f>IFERROR(IF($AB859=0,($V859/0.74)*BI859,
BI859*$AB859),)</f>
        <v/>
      </c>
    </row>
    <row r="860" ht="131.25" customHeight="1" s="162">
      <c r="A860" s="115" t="n"/>
      <c r="B860" s="115" t="n"/>
      <c r="C860" s="115" t="n"/>
      <c r="D860" s="115" t="n"/>
      <c r="E860" s="115" t="n"/>
      <c r="F860" s="115" t="n"/>
      <c r="G860" s="115" t="n"/>
      <c r="H860" s="115" t="n"/>
      <c r="I860" s="115" t="n"/>
      <c r="J860" s="115" t="n"/>
      <c r="K860" s="115" t="n"/>
      <c r="L860" s="115" t="n"/>
      <c r="M860" s="115" t="n"/>
      <c r="N860" s="115" t="n"/>
      <c r="O860" s="115" t="n"/>
      <c r="P860" s="115" t="n"/>
      <c r="Q860" s="115" t="n"/>
      <c r="R860" s="115" t="n"/>
      <c r="S860" s="115" t="n"/>
      <c r="T860" s="115" t="n"/>
      <c r="U860" s="116" t="n"/>
      <c r="V860" s="116" t="n"/>
      <c r="W860" s="117" t="n"/>
      <c r="X860" s="118" t="n"/>
      <c r="Y860" s="119" t="n"/>
      <c r="Z860" s="120" t="n"/>
      <c r="AA860" s="121" t="n"/>
      <c r="AB860" s="122" t="n"/>
      <c r="AC860" s="117" t="n"/>
      <c r="AD860" s="123">
        <f>IF(SUM($AE860:$AH860)=0,"",SUM($AE860:$AH860))</f>
        <v/>
      </c>
      <c r="AE860" s="123">
        <f>iferror(IF(SUM($AI860:$AZ860)=0,"",SUM($AI860:$AZ860)),"")</f>
        <v/>
      </c>
      <c r="AF860" s="123">
        <f>iferror(IF(SUM($BA860:$BC860)=0,"",SUM($BA860:$BC860)),"")</f>
        <v/>
      </c>
      <c r="AG860" s="123">
        <f>iferror(IF(SUM($BD860:$BF860)=0,"",SUM($BD860:$BF860)),"")</f>
        <v/>
      </c>
      <c r="AH860" s="124">
        <f>iferror(IF(SUM($BG860:$BI860)=0,"",SUM($BG860:$BI860)),"")</f>
        <v/>
      </c>
      <c r="AI860" s="131" t="n"/>
      <c r="AJ860" s="132" t="n"/>
      <c r="AK860" s="132" t="n"/>
      <c r="AL860" s="132" t="n"/>
      <c r="AM860" s="132" t="n"/>
      <c r="AN860" s="132" t="n"/>
      <c r="AO860" s="132" t="n"/>
      <c r="AP860" s="132" t="n"/>
      <c r="AQ860" s="132" t="n"/>
      <c r="AR860" s="132" t="n"/>
      <c r="AS860" s="132" t="n"/>
      <c r="AT860" s="132" t="n"/>
      <c r="AU860" s="132" t="n"/>
      <c r="AV860" s="132" t="n"/>
      <c r="AW860" s="132" t="n"/>
      <c r="AX860" s="132" t="n"/>
      <c r="AY860" s="132" t="n"/>
      <c r="AZ860" s="133" t="n"/>
      <c r="BA860" s="131" t="n"/>
      <c r="BB860" s="132" t="n"/>
      <c r="BC860" s="133" t="n"/>
      <c r="BD860" s="131" t="n"/>
      <c r="BE860" s="132" t="n"/>
      <c r="BF860" s="133" t="n"/>
      <c r="BG860" s="131" t="n"/>
      <c r="BH860" s="132" t="n"/>
      <c r="BI860" s="132" t="n"/>
      <c r="BJ860" s="128">
        <f>iferror(SUM($BK860,($BL860*1.2),($BM860*1.35),($BN860*0.74)),)</f>
        <v/>
      </c>
      <c r="BK860" s="128">
        <f>IFERROR(SUM($BT860:$CK860),)</f>
        <v/>
      </c>
      <c r="BL860" s="129">
        <f>IFERROR(SUM($CL860:$CN860),)</f>
        <v/>
      </c>
      <c r="BM860" s="130">
        <f>IFERROR(SUM($CO860:$CQ860),)</f>
        <v/>
      </c>
      <c r="BN860" s="128">
        <f>IFERROR(SUM($CR860:$CT860),)</f>
        <v/>
      </c>
      <c r="BO860" s="128">
        <f>iferror(SUM($BP860,($BQ860*1.2),($BR860*1.35),($BS860*0.74)),)</f>
        <v/>
      </c>
      <c r="BP860" s="128">
        <f>IFERROR(SUM($CU860:$DL860),)</f>
        <v/>
      </c>
      <c r="BQ860" s="128">
        <f>IFERROR(SUM($DM860:$DO860),)</f>
        <v/>
      </c>
      <c r="BR860" s="128">
        <f>IFERROR(SUM($DP860:$DR860),)</f>
        <v/>
      </c>
      <c r="BS860" s="128">
        <f>IFERROR(SUM($DS860:$DU860),)</f>
        <v/>
      </c>
      <c r="BT860" s="128">
        <f>IFERROR(AI860*$W860,)</f>
        <v/>
      </c>
      <c r="BU860" s="128">
        <f>IFERROR(AJ860*$W860,)</f>
        <v/>
      </c>
      <c r="BV860" s="128">
        <f>IFERROR(AK860*$W860,)</f>
        <v/>
      </c>
      <c r="BW860" s="128">
        <f>IFERROR(AL860*$W860,)</f>
        <v/>
      </c>
      <c r="BX860" s="128">
        <f>IFERROR(AM860*$W860,)</f>
        <v/>
      </c>
      <c r="BY860" s="128">
        <f>IFERROR(AN860*$W860,)</f>
        <v/>
      </c>
      <c r="BZ860" s="128">
        <f>IFERROR(AO860*$W860,)</f>
        <v/>
      </c>
      <c r="CA860" s="128">
        <f>IFERROR(AP860*$W860,)</f>
        <v/>
      </c>
      <c r="CB860" s="128">
        <f>IFERROR(AQ860*$W860,)</f>
        <v/>
      </c>
      <c r="CC860" s="128">
        <f>IFERROR(AR860*$W860,)</f>
        <v/>
      </c>
      <c r="CD860" s="128">
        <f>IFERROR(AS860*$W860,)</f>
        <v/>
      </c>
      <c r="CE860" s="128">
        <f>IFERROR(AT860*$W860,)</f>
        <v/>
      </c>
      <c r="CF860" s="128">
        <f>IFERROR(AU860*$W860,)</f>
        <v/>
      </c>
      <c r="CG860" s="128">
        <f>IFERROR(AV860*$W860,)</f>
        <v/>
      </c>
      <c r="CH860" s="128">
        <f>IFERROR(AW860*$W860,)</f>
        <v/>
      </c>
      <c r="CI860" s="128">
        <f>IFERROR(AX860*$W860,)</f>
        <v/>
      </c>
      <c r="CJ860" s="128">
        <f>IFERROR(AY860*$W860,)</f>
        <v/>
      </c>
      <c r="CK860" s="128">
        <f>IFERROR(AZ860*$W860,)</f>
        <v/>
      </c>
      <c r="CL860" s="129">
        <f>IFERROR(if($Y860=0,BA860*($W860/1.2),BA860*$Y860),"")</f>
        <v/>
      </c>
      <c r="CM860" s="129">
        <f>IFERROR(if($Y860=0,BB860*($W860/1.2),BB860*$Y860),"")</f>
        <v/>
      </c>
      <c r="CN860" s="129">
        <f>IFERROR(if($Y860=0,BC860*($W860/1.2),BC860*$Y860),"")</f>
        <v/>
      </c>
      <c r="CO860" s="130">
        <f>IFERROR(if($AA860=0,($W860/1.35)*BD860,BD860*$AA860),)</f>
        <v/>
      </c>
      <c r="CP860" s="130">
        <f>IFERROR(if($AA860=0,($W860/1.35)*BE860,BE860*$AA860),)</f>
        <v/>
      </c>
      <c r="CQ860" s="130">
        <f>IFERROR(if($AA860=0,($W860/1.35)*BF860,BF860*$AA860),)</f>
        <v/>
      </c>
      <c r="CR860" s="128">
        <f>IFERROR(if($AC860=0,($W860/0.74)*BG860,
BG860*$AC860),)</f>
        <v/>
      </c>
      <c r="CS860" s="128">
        <f>IFERROR(if($AC860=0,($W860/0.74)*BH860,
BH860*$AC860),)</f>
        <v/>
      </c>
      <c r="CT860" s="128">
        <f>IFERROR(if($AC860=0,($W860/0.74)*BI860,
BI860*$AC860),)</f>
        <v/>
      </c>
      <c r="CU860" s="128">
        <f>IFERROR(AI860*$V860,)</f>
        <v/>
      </c>
      <c r="CV860" s="128">
        <f>IFERROR(AJ860*$V860,)</f>
        <v/>
      </c>
      <c r="CW860" s="128">
        <f>IFERROR(AK860*$V860,)</f>
        <v/>
      </c>
      <c r="CX860" s="128">
        <f>IFERROR(AL860*$V860,)</f>
        <v/>
      </c>
      <c r="CY860" s="128">
        <f>IFERROR(AM860*$V860,)</f>
        <v/>
      </c>
      <c r="CZ860" s="128">
        <f>IFERROR(AN860*$V860,)</f>
        <v/>
      </c>
      <c r="DA860" s="128">
        <f>IFERROR(AO860*$V860,)</f>
        <v/>
      </c>
      <c r="DB860" s="128">
        <f>IFERROR(AP860*$V860,)</f>
        <v/>
      </c>
      <c r="DC860" s="128">
        <f>IFERROR(AQ860*$V860,)</f>
        <v/>
      </c>
      <c r="DD860" s="128">
        <f>IFERROR(AR860*$V860,)</f>
        <v/>
      </c>
      <c r="DE860" s="128">
        <f>IFERROR(AS860*$V860,)</f>
        <v/>
      </c>
      <c r="DF860" s="128">
        <f>IFERROR(AT860*$V860,)</f>
        <v/>
      </c>
      <c r="DG860" s="128">
        <f>IFERROR(AU860*$V860,)</f>
        <v/>
      </c>
      <c r="DH860" s="128">
        <f>IFERROR(AV860*$V860,)</f>
        <v/>
      </c>
      <c r="DI860" s="128">
        <f>IFERROR(AW860*$V860,)</f>
        <v/>
      </c>
      <c r="DJ860" s="128">
        <f>IFERROR(AX860*$V860,)</f>
        <v/>
      </c>
      <c r="DK860" s="128">
        <f>IFERROR(AY860*$V860,)</f>
        <v/>
      </c>
      <c r="DL860" s="128">
        <f>IFERROR(AZ860*$V860,)</f>
        <v/>
      </c>
      <c r="DM860" s="129">
        <f>IFERROR(if($X860=0,($V860/1.2)*BA860,
BA860*$X860),)</f>
        <v/>
      </c>
      <c r="DN860" s="129">
        <f>IFERROR(if($X860=0,($V860/1.2)*BB860,
BB860*$X860),)</f>
        <v/>
      </c>
      <c r="DO860" s="129">
        <f>IFERROR(if($X860=0,($V860/1.2)*BC860,
BC860*$X860),)</f>
        <v/>
      </c>
      <c r="DP860" s="130">
        <f>IFERROR(if($Z860=0,($V860/1.35)*BD860,
BD860*$Z860),)</f>
        <v/>
      </c>
      <c r="DQ860" s="130">
        <f>IFERROR(if($Z860=0,($V860/1.35)*BE860,
BE860*$Z860),)</f>
        <v/>
      </c>
      <c r="DR860" s="130">
        <f>IFERROR(if($Z860=0,($V860/1.35)*BF860,
BF860*$Z860),)</f>
        <v/>
      </c>
      <c r="DS860" s="128">
        <f>IFERROR(IF($AB860=0,($V860/0.74)*BG860,
BG860*$AB860),)</f>
        <v/>
      </c>
      <c r="DT860" s="128">
        <f>IFERROR(IF($AB860=0,($V860/0.74)*BH860,
BH860*$AB860),)</f>
        <v/>
      </c>
      <c r="DU860" s="128">
        <f>IFERROR(IF($AB860=0,($V860/0.74)*BI860,
BI860*$AB860),)</f>
        <v/>
      </c>
    </row>
    <row r="861" ht="131.25" customHeight="1" s="162">
      <c r="A861" s="115" t="n"/>
      <c r="B861" s="115" t="n"/>
      <c r="C861" s="115" t="n"/>
      <c r="D861" s="115" t="n"/>
      <c r="E861" s="115" t="n"/>
      <c r="F861" s="115" t="n"/>
      <c r="G861" s="115" t="n"/>
      <c r="H861" s="115" t="n"/>
      <c r="I861" s="115" t="n"/>
      <c r="J861" s="115" t="n"/>
      <c r="K861" s="115" t="n"/>
      <c r="L861" s="115" t="n"/>
      <c r="M861" s="115" t="n"/>
      <c r="N861" s="115" t="n"/>
      <c r="O861" s="115" t="n"/>
      <c r="P861" s="115" t="n"/>
      <c r="Q861" s="115" t="n"/>
      <c r="R861" s="115" t="n"/>
      <c r="S861" s="115" t="n"/>
      <c r="T861" s="115" t="n"/>
      <c r="U861" s="116" t="n"/>
      <c r="V861" s="116" t="n"/>
      <c r="W861" s="117" t="n"/>
      <c r="X861" s="118" t="n"/>
      <c r="Y861" s="119" t="n"/>
      <c r="Z861" s="120" t="n"/>
      <c r="AA861" s="121" t="n"/>
      <c r="AB861" s="122" t="n"/>
      <c r="AC861" s="117" t="n"/>
      <c r="AD861" s="123">
        <f>IF(SUM($AE861:$AH861)=0,"",SUM($AE861:$AH861))</f>
        <v/>
      </c>
      <c r="AE861" s="123">
        <f>iferror(IF(SUM($AI861:$AZ861)=0,"",SUM($AI861:$AZ861)),"")</f>
        <v/>
      </c>
      <c r="AF861" s="123">
        <f>iferror(IF(SUM($BA861:$BC861)=0,"",SUM($BA861:$BC861)),"")</f>
        <v/>
      </c>
      <c r="AG861" s="123">
        <f>iferror(IF(SUM($BD861:$BF861)=0,"",SUM($BD861:$BF861)),"")</f>
        <v/>
      </c>
      <c r="AH861" s="124">
        <f>iferror(IF(SUM($BG861:$BI861)=0,"",SUM($BG861:$BI861)),"")</f>
        <v/>
      </c>
      <c r="AI861" s="131" t="n"/>
      <c r="AJ861" s="132" t="n"/>
      <c r="AK861" s="132" t="n"/>
      <c r="AL861" s="132" t="n"/>
      <c r="AM861" s="132" t="n"/>
      <c r="AN861" s="132" t="n"/>
      <c r="AO861" s="132" t="n"/>
      <c r="AP861" s="132" t="n"/>
      <c r="AQ861" s="132" t="n"/>
      <c r="AR861" s="132" t="n"/>
      <c r="AS861" s="132" t="n"/>
      <c r="AT861" s="132" t="n"/>
      <c r="AU861" s="132" t="n"/>
      <c r="AV861" s="132" t="n"/>
      <c r="AW861" s="132" t="n"/>
      <c r="AX861" s="132" t="n"/>
      <c r="AY861" s="132" t="n"/>
      <c r="AZ861" s="133" t="n"/>
      <c r="BA861" s="131" t="n"/>
      <c r="BB861" s="132" t="n"/>
      <c r="BC861" s="133" t="n"/>
      <c r="BD861" s="131" t="n"/>
      <c r="BE861" s="132" t="n"/>
      <c r="BF861" s="133" t="n"/>
      <c r="BG861" s="131" t="n"/>
      <c r="BH861" s="132" t="n"/>
      <c r="BI861" s="132" t="n"/>
      <c r="BJ861" s="128">
        <f>iferror(SUM($BK861,($BL861*1.2),($BM861*1.35),($BN861*0.74)),)</f>
        <v/>
      </c>
      <c r="BK861" s="128">
        <f>IFERROR(SUM($BT861:$CK861),)</f>
        <v/>
      </c>
      <c r="BL861" s="129">
        <f>IFERROR(SUM($CL861:$CN861),)</f>
        <v/>
      </c>
      <c r="BM861" s="130">
        <f>IFERROR(SUM($CO861:$CQ861),)</f>
        <v/>
      </c>
      <c r="BN861" s="128">
        <f>IFERROR(SUM($CR861:$CT861),)</f>
        <v/>
      </c>
      <c r="BO861" s="128">
        <f>iferror(SUM($BP861,($BQ861*1.2),($BR861*1.35),($BS861*0.74)),)</f>
        <v/>
      </c>
      <c r="BP861" s="128">
        <f>IFERROR(SUM($CU861:$DL861),)</f>
        <v/>
      </c>
      <c r="BQ861" s="128">
        <f>IFERROR(SUM($DM861:$DO861),)</f>
        <v/>
      </c>
      <c r="BR861" s="128">
        <f>IFERROR(SUM($DP861:$DR861),)</f>
        <v/>
      </c>
      <c r="BS861" s="128">
        <f>IFERROR(SUM($DS861:$DU861),)</f>
        <v/>
      </c>
      <c r="BT861" s="128">
        <f>IFERROR(AI861*$W861,)</f>
        <v/>
      </c>
      <c r="BU861" s="128">
        <f>IFERROR(AJ861*$W861,)</f>
        <v/>
      </c>
      <c r="BV861" s="128">
        <f>IFERROR(AK861*$W861,)</f>
        <v/>
      </c>
      <c r="BW861" s="128">
        <f>IFERROR(AL861*$W861,)</f>
        <v/>
      </c>
      <c r="BX861" s="128">
        <f>IFERROR(AM861*$W861,)</f>
        <v/>
      </c>
      <c r="BY861" s="128">
        <f>IFERROR(AN861*$W861,)</f>
        <v/>
      </c>
      <c r="BZ861" s="128">
        <f>IFERROR(AO861*$W861,)</f>
        <v/>
      </c>
      <c r="CA861" s="128">
        <f>IFERROR(AP861*$W861,)</f>
        <v/>
      </c>
      <c r="CB861" s="128">
        <f>IFERROR(AQ861*$W861,)</f>
        <v/>
      </c>
      <c r="CC861" s="128">
        <f>IFERROR(AR861*$W861,)</f>
        <v/>
      </c>
      <c r="CD861" s="128">
        <f>IFERROR(AS861*$W861,)</f>
        <v/>
      </c>
      <c r="CE861" s="128">
        <f>IFERROR(AT861*$W861,)</f>
        <v/>
      </c>
      <c r="CF861" s="128">
        <f>IFERROR(AU861*$W861,)</f>
        <v/>
      </c>
      <c r="CG861" s="128">
        <f>IFERROR(AV861*$W861,)</f>
        <v/>
      </c>
      <c r="CH861" s="128">
        <f>IFERROR(AW861*$W861,)</f>
        <v/>
      </c>
      <c r="CI861" s="128">
        <f>IFERROR(AX861*$W861,)</f>
        <v/>
      </c>
      <c r="CJ861" s="128">
        <f>IFERROR(AY861*$W861,)</f>
        <v/>
      </c>
      <c r="CK861" s="128">
        <f>IFERROR(AZ861*$W861,)</f>
        <v/>
      </c>
      <c r="CL861" s="129">
        <f>IFERROR(if($Y861=0,BA861*($W861/1.2),BA861*$Y861),"")</f>
        <v/>
      </c>
      <c r="CM861" s="129">
        <f>IFERROR(if($Y861=0,BB861*($W861/1.2),BB861*$Y861),"")</f>
        <v/>
      </c>
      <c r="CN861" s="129">
        <f>IFERROR(if($Y861=0,BC861*($W861/1.2),BC861*$Y861),"")</f>
        <v/>
      </c>
      <c r="CO861" s="130">
        <f>IFERROR(if($AA861=0,($W861/1.35)*BD861,BD861*$AA861),)</f>
        <v/>
      </c>
      <c r="CP861" s="130">
        <f>IFERROR(if($AA861=0,($W861/1.35)*BE861,BE861*$AA861),)</f>
        <v/>
      </c>
      <c r="CQ861" s="130">
        <f>IFERROR(if($AA861=0,($W861/1.35)*BF861,BF861*$AA861),)</f>
        <v/>
      </c>
      <c r="CR861" s="128">
        <f>IFERROR(if($AC861=0,($W861/0.74)*BG861,
BG861*$AC861),)</f>
        <v/>
      </c>
      <c r="CS861" s="128">
        <f>IFERROR(if($AC861=0,($W861/0.74)*BH861,
BH861*$AC861),)</f>
        <v/>
      </c>
      <c r="CT861" s="128">
        <f>IFERROR(if($AC861=0,($W861/0.74)*BI861,
BI861*$AC861),)</f>
        <v/>
      </c>
      <c r="CU861" s="128">
        <f>IFERROR(AI861*$V861,)</f>
        <v/>
      </c>
      <c r="CV861" s="128">
        <f>IFERROR(AJ861*$V861,)</f>
        <v/>
      </c>
      <c r="CW861" s="128">
        <f>IFERROR(AK861*$V861,)</f>
        <v/>
      </c>
      <c r="CX861" s="128">
        <f>IFERROR(AL861*$V861,)</f>
        <v/>
      </c>
      <c r="CY861" s="128">
        <f>IFERROR(AM861*$V861,)</f>
        <v/>
      </c>
      <c r="CZ861" s="128">
        <f>IFERROR(AN861*$V861,)</f>
        <v/>
      </c>
      <c r="DA861" s="128">
        <f>IFERROR(AO861*$V861,)</f>
        <v/>
      </c>
      <c r="DB861" s="128">
        <f>IFERROR(AP861*$V861,)</f>
        <v/>
      </c>
      <c r="DC861" s="128">
        <f>IFERROR(AQ861*$V861,)</f>
        <v/>
      </c>
      <c r="DD861" s="128">
        <f>IFERROR(AR861*$V861,)</f>
        <v/>
      </c>
      <c r="DE861" s="128">
        <f>IFERROR(AS861*$V861,)</f>
        <v/>
      </c>
      <c r="DF861" s="128">
        <f>IFERROR(AT861*$V861,)</f>
        <v/>
      </c>
      <c r="DG861" s="128">
        <f>IFERROR(AU861*$V861,)</f>
        <v/>
      </c>
      <c r="DH861" s="128">
        <f>IFERROR(AV861*$V861,)</f>
        <v/>
      </c>
      <c r="DI861" s="128">
        <f>IFERROR(AW861*$V861,)</f>
        <v/>
      </c>
      <c r="DJ861" s="128">
        <f>IFERROR(AX861*$V861,)</f>
        <v/>
      </c>
      <c r="DK861" s="128">
        <f>IFERROR(AY861*$V861,)</f>
        <v/>
      </c>
      <c r="DL861" s="128">
        <f>IFERROR(AZ861*$V861,)</f>
        <v/>
      </c>
      <c r="DM861" s="129">
        <f>IFERROR(if($X861=0,($V861/1.2)*BA861,
BA861*$X861),)</f>
        <v/>
      </c>
      <c r="DN861" s="129">
        <f>IFERROR(if($X861=0,($V861/1.2)*BB861,
BB861*$X861),)</f>
        <v/>
      </c>
      <c r="DO861" s="129">
        <f>IFERROR(if($X861=0,($V861/1.2)*BC861,
BC861*$X861),)</f>
        <v/>
      </c>
      <c r="DP861" s="130">
        <f>IFERROR(if($Z861=0,($V861/1.35)*BD861,
BD861*$Z861),)</f>
        <v/>
      </c>
      <c r="DQ861" s="130">
        <f>IFERROR(if($Z861=0,($V861/1.35)*BE861,
BE861*$Z861),)</f>
        <v/>
      </c>
      <c r="DR861" s="130">
        <f>IFERROR(if($Z861=0,($V861/1.35)*BF861,
BF861*$Z861),)</f>
        <v/>
      </c>
      <c r="DS861" s="128">
        <f>IFERROR(IF($AB861=0,($V861/0.74)*BG861,
BG861*$AB861),)</f>
        <v/>
      </c>
      <c r="DT861" s="128">
        <f>IFERROR(IF($AB861=0,($V861/0.74)*BH861,
BH861*$AB861),)</f>
        <v/>
      </c>
      <c r="DU861" s="128">
        <f>IFERROR(IF($AB861=0,($V861/0.74)*BI861,
BI861*$AB861),)</f>
        <v/>
      </c>
    </row>
    <row r="862" ht="131.25" customHeight="1" s="162">
      <c r="A862" s="115" t="n"/>
      <c r="B862" s="115" t="n"/>
      <c r="C862" s="115" t="n"/>
      <c r="D862" s="115" t="n"/>
      <c r="E862" s="115" t="n"/>
      <c r="F862" s="115" t="n"/>
      <c r="G862" s="115" t="n"/>
      <c r="H862" s="115" t="n"/>
      <c r="I862" s="115" t="n"/>
      <c r="J862" s="115" t="n"/>
      <c r="K862" s="115" t="n"/>
      <c r="L862" s="115" t="n"/>
      <c r="M862" s="115" t="n"/>
      <c r="N862" s="115" t="n"/>
      <c r="O862" s="115" t="n"/>
      <c r="P862" s="115" t="n"/>
      <c r="Q862" s="115" t="n"/>
      <c r="R862" s="115" t="n"/>
      <c r="S862" s="115" t="n"/>
      <c r="T862" s="115" t="n"/>
      <c r="U862" s="116" t="n"/>
      <c r="V862" s="116" t="n"/>
      <c r="W862" s="117" t="n"/>
      <c r="X862" s="118" t="n"/>
      <c r="Y862" s="119" t="n"/>
      <c r="Z862" s="120" t="n"/>
      <c r="AA862" s="121" t="n"/>
      <c r="AB862" s="122" t="n"/>
      <c r="AC862" s="117" t="n"/>
      <c r="AD862" s="123">
        <f>IF(SUM($AE862:$AH862)=0,"",SUM($AE862:$AH862))</f>
        <v/>
      </c>
      <c r="AE862" s="123">
        <f>iferror(IF(SUM($AI862:$AZ862)=0,"",SUM($AI862:$AZ862)),"")</f>
        <v/>
      </c>
      <c r="AF862" s="123">
        <f>iferror(IF(SUM($BA862:$BC862)=0,"",SUM($BA862:$BC862)),"")</f>
        <v/>
      </c>
      <c r="AG862" s="123">
        <f>iferror(IF(SUM($BD862:$BF862)=0,"",SUM($BD862:$BF862)),"")</f>
        <v/>
      </c>
      <c r="AH862" s="124">
        <f>iferror(IF(SUM($BG862:$BI862)=0,"",SUM($BG862:$BI862)),"")</f>
        <v/>
      </c>
      <c r="AI862" s="131" t="n"/>
      <c r="AJ862" s="132" t="n"/>
      <c r="AK862" s="132" t="n"/>
      <c r="AL862" s="132" t="n"/>
      <c r="AM862" s="132" t="n"/>
      <c r="AN862" s="132" t="n"/>
      <c r="AO862" s="132" t="n"/>
      <c r="AP862" s="132" t="n"/>
      <c r="AQ862" s="132" t="n"/>
      <c r="AR862" s="132" t="n"/>
      <c r="AS862" s="132" t="n"/>
      <c r="AT862" s="132" t="n"/>
      <c r="AU862" s="132" t="n"/>
      <c r="AV862" s="132" t="n"/>
      <c r="AW862" s="132" t="n"/>
      <c r="AX862" s="132" t="n"/>
      <c r="AY862" s="132" t="n"/>
      <c r="AZ862" s="133" t="n"/>
      <c r="BA862" s="131" t="n"/>
      <c r="BB862" s="132" t="n"/>
      <c r="BC862" s="133" t="n"/>
      <c r="BD862" s="131" t="n"/>
      <c r="BE862" s="132" t="n"/>
      <c r="BF862" s="133" t="n"/>
      <c r="BG862" s="131" t="n"/>
      <c r="BH862" s="132" t="n"/>
      <c r="BI862" s="132" t="n"/>
      <c r="BJ862" s="128">
        <f>iferror(SUM($BK862,($BL862*1.2),($BM862*1.35),($BN862*0.74)),)</f>
        <v/>
      </c>
      <c r="BK862" s="128">
        <f>IFERROR(SUM($BT862:$CK862),)</f>
        <v/>
      </c>
      <c r="BL862" s="129">
        <f>IFERROR(SUM($CL862:$CN862),)</f>
        <v/>
      </c>
      <c r="BM862" s="130">
        <f>IFERROR(SUM($CO862:$CQ862),)</f>
        <v/>
      </c>
      <c r="BN862" s="128">
        <f>IFERROR(SUM($CR862:$CT862),)</f>
        <v/>
      </c>
      <c r="BO862" s="128">
        <f>iferror(SUM($BP862,($BQ862*1.2),($BR862*1.35),($BS862*0.74)),)</f>
        <v/>
      </c>
      <c r="BP862" s="128">
        <f>IFERROR(SUM($CU862:$DL862),)</f>
        <v/>
      </c>
      <c r="BQ862" s="128">
        <f>IFERROR(SUM($DM862:$DO862),)</f>
        <v/>
      </c>
      <c r="BR862" s="128">
        <f>IFERROR(SUM($DP862:$DR862),)</f>
        <v/>
      </c>
      <c r="BS862" s="128">
        <f>IFERROR(SUM($DS862:$DU862),)</f>
        <v/>
      </c>
      <c r="BT862" s="128">
        <f>IFERROR(AI862*$W862,)</f>
        <v/>
      </c>
      <c r="BU862" s="128">
        <f>IFERROR(AJ862*$W862,)</f>
        <v/>
      </c>
      <c r="BV862" s="128">
        <f>IFERROR(AK862*$W862,)</f>
        <v/>
      </c>
      <c r="BW862" s="128">
        <f>IFERROR(AL862*$W862,)</f>
        <v/>
      </c>
      <c r="BX862" s="128">
        <f>IFERROR(AM862*$W862,)</f>
        <v/>
      </c>
      <c r="BY862" s="128">
        <f>IFERROR(AN862*$W862,)</f>
        <v/>
      </c>
      <c r="BZ862" s="128">
        <f>IFERROR(AO862*$W862,)</f>
        <v/>
      </c>
      <c r="CA862" s="128">
        <f>IFERROR(AP862*$W862,)</f>
        <v/>
      </c>
      <c r="CB862" s="128">
        <f>IFERROR(AQ862*$W862,)</f>
        <v/>
      </c>
      <c r="CC862" s="128">
        <f>IFERROR(AR862*$W862,)</f>
        <v/>
      </c>
      <c r="CD862" s="128">
        <f>IFERROR(AS862*$W862,)</f>
        <v/>
      </c>
      <c r="CE862" s="128">
        <f>IFERROR(AT862*$W862,)</f>
        <v/>
      </c>
      <c r="CF862" s="128">
        <f>IFERROR(AU862*$W862,)</f>
        <v/>
      </c>
      <c r="CG862" s="128">
        <f>IFERROR(AV862*$W862,)</f>
        <v/>
      </c>
      <c r="CH862" s="128">
        <f>IFERROR(AW862*$W862,)</f>
        <v/>
      </c>
      <c r="CI862" s="128">
        <f>IFERROR(AX862*$W862,)</f>
        <v/>
      </c>
      <c r="CJ862" s="128">
        <f>IFERROR(AY862*$W862,)</f>
        <v/>
      </c>
      <c r="CK862" s="128">
        <f>IFERROR(AZ862*$W862,)</f>
        <v/>
      </c>
      <c r="CL862" s="129">
        <f>IFERROR(if($Y862=0,BA862*($W862/1.2),BA862*$Y862),"")</f>
        <v/>
      </c>
      <c r="CM862" s="129">
        <f>IFERROR(if($Y862=0,BB862*($W862/1.2),BB862*$Y862),"")</f>
        <v/>
      </c>
      <c r="CN862" s="129">
        <f>IFERROR(if($Y862=0,BC862*($W862/1.2),BC862*$Y862),"")</f>
        <v/>
      </c>
      <c r="CO862" s="130">
        <f>IFERROR(if($AA862=0,($W862/1.35)*BD862,BD862*$AA862),)</f>
        <v/>
      </c>
      <c r="CP862" s="130">
        <f>IFERROR(if($AA862=0,($W862/1.35)*BE862,BE862*$AA862),)</f>
        <v/>
      </c>
      <c r="CQ862" s="130">
        <f>IFERROR(if($AA862=0,($W862/1.35)*BF862,BF862*$AA862),)</f>
        <v/>
      </c>
      <c r="CR862" s="128">
        <f>IFERROR(if($AC862=0,($W862/0.74)*BG862,
BG862*$AC862),)</f>
        <v/>
      </c>
      <c r="CS862" s="128">
        <f>IFERROR(if($AC862=0,($W862/0.74)*BH862,
BH862*$AC862),)</f>
        <v/>
      </c>
      <c r="CT862" s="128">
        <f>IFERROR(if($AC862=0,($W862/0.74)*BI862,
BI862*$AC862),)</f>
        <v/>
      </c>
      <c r="CU862" s="128">
        <f>IFERROR(AI862*$V862,)</f>
        <v/>
      </c>
      <c r="CV862" s="128">
        <f>IFERROR(AJ862*$V862,)</f>
        <v/>
      </c>
      <c r="CW862" s="128">
        <f>IFERROR(AK862*$V862,)</f>
        <v/>
      </c>
      <c r="CX862" s="128">
        <f>IFERROR(AL862*$V862,)</f>
        <v/>
      </c>
      <c r="CY862" s="128">
        <f>IFERROR(AM862*$V862,)</f>
        <v/>
      </c>
      <c r="CZ862" s="128">
        <f>IFERROR(AN862*$V862,)</f>
        <v/>
      </c>
      <c r="DA862" s="128">
        <f>IFERROR(AO862*$V862,)</f>
        <v/>
      </c>
      <c r="DB862" s="128">
        <f>IFERROR(AP862*$V862,)</f>
        <v/>
      </c>
      <c r="DC862" s="128">
        <f>IFERROR(AQ862*$V862,)</f>
        <v/>
      </c>
      <c r="DD862" s="128">
        <f>IFERROR(AR862*$V862,)</f>
        <v/>
      </c>
      <c r="DE862" s="128">
        <f>IFERROR(AS862*$V862,)</f>
        <v/>
      </c>
      <c r="DF862" s="128">
        <f>IFERROR(AT862*$V862,)</f>
        <v/>
      </c>
      <c r="DG862" s="128">
        <f>IFERROR(AU862*$V862,)</f>
        <v/>
      </c>
      <c r="DH862" s="128">
        <f>IFERROR(AV862*$V862,)</f>
        <v/>
      </c>
      <c r="DI862" s="128">
        <f>IFERROR(AW862*$V862,)</f>
        <v/>
      </c>
      <c r="DJ862" s="128">
        <f>IFERROR(AX862*$V862,)</f>
        <v/>
      </c>
      <c r="DK862" s="128">
        <f>IFERROR(AY862*$V862,)</f>
        <v/>
      </c>
      <c r="DL862" s="128">
        <f>IFERROR(AZ862*$V862,)</f>
        <v/>
      </c>
      <c r="DM862" s="129">
        <f>IFERROR(if($X862=0,($V862/1.2)*BA862,
BA862*$X862),)</f>
        <v/>
      </c>
      <c r="DN862" s="129">
        <f>IFERROR(if($X862=0,($V862/1.2)*BB862,
BB862*$X862),)</f>
        <v/>
      </c>
      <c r="DO862" s="129">
        <f>IFERROR(if($X862=0,($V862/1.2)*BC862,
BC862*$X862),)</f>
        <v/>
      </c>
      <c r="DP862" s="130">
        <f>IFERROR(if($Z862=0,($V862/1.35)*BD862,
BD862*$Z862),)</f>
        <v/>
      </c>
      <c r="DQ862" s="130">
        <f>IFERROR(if($Z862=0,($V862/1.35)*BE862,
BE862*$Z862),)</f>
        <v/>
      </c>
      <c r="DR862" s="130">
        <f>IFERROR(if($Z862=0,($V862/1.35)*BF862,
BF862*$Z862),)</f>
        <v/>
      </c>
      <c r="DS862" s="128">
        <f>IFERROR(IF($AB862=0,($V862/0.74)*BG862,
BG862*$AB862),)</f>
        <v/>
      </c>
      <c r="DT862" s="128">
        <f>IFERROR(IF($AB862=0,($V862/0.74)*BH862,
BH862*$AB862),)</f>
        <v/>
      </c>
      <c r="DU862" s="128">
        <f>IFERROR(IF($AB862=0,($V862/0.74)*BI862,
BI862*$AB862),)</f>
        <v/>
      </c>
    </row>
    <row r="863" ht="131.25" customHeight="1" s="162">
      <c r="A863" s="115" t="n"/>
      <c r="B863" s="115" t="n"/>
      <c r="C863" s="115" t="n"/>
      <c r="D863" s="115" t="n"/>
      <c r="E863" s="115" t="n"/>
      <c r="F863" s="115" t="n"/>
      <c r="G863" s="115" t="n"/>
      <c r="H863" s="115" t="n"/>
      <c r="I863" s="115" t="n"/>
      <c r="J863" s="115" t="n"/>
      <c r="K863" s="115" t="n"/>
      <c r="L863" s="115" t="n"/>
      <c r="M863" s="115" t="n"/>
      <c r="N863" s="115" t="n"/>
      <c r="O863" s="115" t="n"/>
      <c r="P863" s="115" t="n"/>
      <c r="Q863" s="115" t="n"/>
      <c r="R863" s="115" t="n"/>
      <c r="S863" s="115" t="n"/>
      <c r="T863" s="115" t="n"/>
      <c r="U863" s="116" t="n"/>
      <c r="V863" s="116" t="n"/>
      <c r="W863" s="117" t="n"/>
      <c r="X863" s="118" t="n"/>
      <c r="Y863" s="119" t="n"/>
      <c r="Z863" s="120" t="n"/>
      <c r="AA863" s="121" t="n"/>
      <c r="AB863" s="122" t="n"/>
      <c r="AC863" s="117" t="n"/>
      <c r="AD863" s="123">
        <f>IF(SUM($AE863:$AH863)=0,"",SUM($AE863:$AH863))</f>
        <v/>
      </c>
      <c r="AE863" s="123">
        <f>iferror(IF(SUM($AI863:$AZ863)=0,"",SUM($AI863:$AZ863)),"")</f>
        <v/>
      </c>
      <c r="AF863" s="123">
        <f>iferror(IF(SUM($BA863:$BC863)=0,"",SUM($BA863:$BC863)),"")</f>
        <v/>
      </c>
      <c r="AG863" s="123">
        <f>iferror(IF(SUM($BD863:$BF863)=0,"",SUM($BD863:$BF863)),"")</f>
        <v/>
      </c>
      <c r="AH863" s="124">
        <f>iferror(IF(SUM($BG863:$BI863)=0,"",SUM($BG863:$BI863)),"")</f>
        <v/>
      </c>
      <c r="AI863" s="131" t="n"/>
      <c r="AJ863" s="132" t="n"/>
      <c r="AK863" s="132" t="n"/>
      <c r="AL863" s="132" t="n"/>
      <c r="AM863" s="132" t="n"/>
      <c r="AN863" s="132" t="n"/>
      <c r="AO863" s="132" t="n"/>
      <c r="AP863" s="132" t="n"/>
      <c r="AQ863" s="132" t="n"/>
      <c r="AR863" s="132" t="n"/>
      <c r="AS863" s="132" t="n"/>
      <c r="AT863" s="132" t="n"/>
      <c r="AU863" s="132" t="n"/>
      <c r="AV863" s="132" t="n"/>
      <c r="AW863" s="132" t="n"/>
      <c r="AX863" s="132" t="n"/>
      <c r="AY863" s="132" t="n"/>
      <c r="AZ863" s="133" t="n"/>
      <c r="BA863" s="131" t="n"/>
      <c r="BB863" s="132" t="n"/>
      <c r="BC863" s="133" t="n"/>
      <c r="BD863" s="131" t="n"/>
      <c r="BE863" s="132" t="n"/>
      <c r="BF863" s="133" t="n"/>
      <c r="BG863" s="131" t="n"/>
      <c r="BH863" s="132" t="n"/>
      <c r="BI863" s="132" t="n"/>
      <c r="BJ863" s="128">
        <f>iferror(SUM($BK863,($BL863*1.2),($BM863*1.35),($BN863*0.74)),)</f>
        <v/>
      </c>
      <c r="BK863" s="128">
        <f>IFERROR(SUM($BT863:$CK863),)</f>
        <v/>
      </c>
      <c r="BL863" s="129">
        <f>IFERROR(SUM($CL863:$CN863),)</f>
        <v/>
      </c>
      <c r="BM863" s="130">
        <f>IFERROR(SUM($CO863:$CQ863),)</f>
        <v/>
      </c>
      <c r="BN863" s="128">
        <f>IFERROR(SUM($CR863:$CT863),)</f>
        <v/>
      </c>
      <c r="BO863" s="128">
        <f>iferror(SUM($BP863,($BQ863*1.2),($BR863*1.35),($BS863*0.74)),)</f>
        <v/>
      </c>
      <c r="BP863" s="128">
        <f>IFERROR(SUM($CU863:$DL863),)</f>
        <v/>
      </c>
      <c r="BQ863" s="128">
        <f>IFERROR(SUM($DM863:$DO863),)</f>
        <v/>
      </c>
      <c r="BR863" s="128">
        <f>IFERROR(SUM($DP863:$DR863),)</f>
        <v/>
      </c>
      <c r="BS863" s="128">
        <f>IFERROR(SUM($DS863:$DU863),)</f>
        <v/>
      </c>
      <c r="BT863" s="128">
        <f>IFERROR(AI863*$W863,)</f>
        <v/>
      </c>
      <c r="BU863" s="128">
        <f>IFERROR(AJ863*$W863,)</f>
        <v/>
      </c>
      <c r="BV863" s="128">
        <f>IFERROR(AK863*$W863,)</f>
        <v/>
      </c>
      <c r="BW863" s="128">
        <f>IFERROR(AL863*$W863,)</f>
        <v/>
      </c>
      <c r="BX863" s="128">
        <f>IFERROR(AM863*$W863,)</f>
        <v/>
      </c>
      <c r="BY863" s="128">
        <f>IFERROR(AN863*$W863,)</f>
        <v/>
      </c>
      <c r="BZ863" s="128">
        <f>IFERROR(AO863*$W863,)</f>
        <v/>
      </c>
      <c r="CA863" s="128">
        <f>IFERROR(AP863*$W863,)</f>
        <v/>
      </c>
      <c r="CB863" s="128">
        <f>IFERROR(AQ863*$W863,)</f>
        <v/>
      </c>
      <c r="CC863" s="128">
        <f>IFERROR(AR863*$W863,)</f>
        <v/>
      </c>
      <c r="CD863" s="128">
        <f>IFERROR(AS863*$W863,)</f>
        <v/>
      </c>
      <c r="CE863" s="128">
        <f>IFERROR(AT863*$W863,)</f>
        <v/>
      </c>
      <c r="CF863" s="128">
        <f>IFERROR(AU863*$W863,)</f>
        <v/>
      </c>
      <c r="CG863" s="128">
        <f>IFERROR(AV863*$W863,)</f>
        <v/>
      </c>
      <c r="CH863" s="128">
        <f>IFERROR(AW863*$W863,)</f>
        <v/>
      </c>
      <c r="CI863" s="128">
        <f>IFERROR(AX863*$W863,)</f>
        <v/>
      </c>
      <c r="CJ863" s="128">
        <f>IFERROR(AY863*$W863,)</f>
        <v/>
      </c>
      <c r="CK863" s="128">
        <f>IFERROR(AZ863*$W863,)</f>
        <v/>
      </c>
      <c r="CL863" s="129">
        <f>IFERROR(if($Y863=0,BA863*($W863/1.2),BA863*$Y863),"")</f>
        <v/>
      </c>
      <c r="CM863" s="129">
        <f>IFERROR(if($Y863=0,BB863*($W863/1.2),BB863*$Y863),"")</f>
        <v/>
      </c>
      <c r="CN863" s="129">
        <f>IFERROR(if($Y863=0,BC863*($W863/1.2),BC863*$Y863),"")</f>
        <v/>
      </c>
      <c r="CO863" s="130">
        <f>IFERROR(if($AA863=0,($W863/1.35)*BD863,BD863*$AA863),)</f>
        <v/>
      </c>
      <c r="CP863" s="130">
        <f>IFERROR(if($AA863=0,($W863/1.35)*BE863,BE863*$AA863),)</f>
        <v/>
      </c>
      <c r="CQ863" s="130">
        <f>IFERROR(if($AA863=0,($W863/1.35)*BF863,BF863*$AA863),)</f>
        <v/>
      </c>
      <c r="CR863" s="128">
        <f>IFERROR(if($AC863=0,($W863/0.74)*BG863,
BG863*$AC863),)</f>
        <v/>
      </c>
      <c r="CS863" s="128">
        <f>IFERROR(if($AC863=0,($W863/0.74)*BH863,
BH863*$AC863),)</f>
        <v/>
      </c>
      <c r="CT863" s="128">
        <f>IFERROR(if($AC863=0,($W863/0.74)*BI863,
BI863*$AC863),)</f>
        <v/>
      </c>
      <c r="CU863" s="128">
        <f>IFERROR(AI863*$V863,)</f>
        <v/>
      </c>
      <c r="CV863" s="128">
        <f>IFERROR(AJ863*$V863,)</f>
        <v/>
      </c>
      <c r="CW863" s="128">
        <f>IFERROR(AK863*$V863,)</f>
        <v/>
      </c>
      <c r="CX863" s="128">
        <f>IFERROR(AL863*$V863,)</f>
        <v/>
      </c>
      <c r="CY863" s="128">
        <f>IFERROR(AM863*$V863,)</f>
        <v/>
      </c>
      <c r="CZ863" s="128">
        <f>IFERROR(AN863*$V863,)</f>
        <v/>
      </c>
      <c r="DA863" s="128">
        <f>IFERROR(AO863*$V863,)</f>
        <v/>
      </c>
      <c r="DB863" s="128">
        <f>IFERROR(AP863*$V863,)</f>
        <v/>
      </c>
      <c r="DC863" s="128">
        <f>IFERROR(AQ863*$V863,)</f>
        <v/>
      </c>
      <c r="DD863" s="128">
        <f>IFERROR(AR863*$V863,)</f>
        <v/>
      </c>
      <c r="DE863" s="128">
        <f>IFERROR(AS863*$V863,)</f>
        <v/>
      </c>
      <c r="DF863" s="128">
        <f>IFERROR(AT863*$V863,)</f>
        <v/>
      </c>
      <c r="DG863" s="128">
        <f>IFERROR(AU863*$V863,)</f>
        <v/>
      </c>
      <c r="DH863" s="128">
        <f>IFERROR(AV863*$V863,)</f>
        <v/>
      </c>
      <c r="DI863" s="128">
        <f>IFERROR(AW863*$V863,)</f>
        <v/>
      </c>
      <c r="DJ863" s="128">
        <f>IFERROR(AX863*$V863,)</f>
        <v/>
      </c>
      <c r="DK863" s="128">
        <f>IFERROR(AY863*$V863,)</f>
        <v/>
      </c>
      <c r="DL863" s="128">
        <f>IFERROR(AZ863*$V863,)</f>
        <v/>
      </c>
      <c r="DM863" s="129">
        <f>IFERROR(if($X863=0,($V863/1.2)*BA863,
BA863*$X863),)</f>
        <v/>
      </c>
      <c r="DN863" s="129">
        <f>IFERROR(if($X863=0,($V863/1.2)*BB863,
BB863*$X863),)</f>
        <v/>
      </c>
      <c r="DO863" s="129">
        <f>IFERROR(if($X863=0,($V863/1.2)*BC863,
BC863*$X863),)</f>
        <v/>
      </c>
      <c r="DP863" s="130">
        <f>IFERROR(if($Z863=0,($V863/1.35)*BD863,
BD863*$Z863),)</f>
        <v/>
      </c>
      <c r="DQ863" s="130">
        <f>IFERROR(if($Z863=0,($V863/1.35)*BE863,
BE863*$Z863),)</f>
        <v/>
      </c>
      <c r="DR863" s="130">
        <f>IFERROR(if($Z863=0,($V863/1.35)*BF863,
BF863*$Z863),)</f>
        <v/>
      </c>
      <c r="DS863" s="128">
        <f>IFERROR(IF($AB863=0,($V863/0.74)*BG863,
BG863*$AB863),)</f>
        <v/>
      </c>
      <c r="DT863" s="128">
        <f>IFERROR(IF($AB863=0,($V863/0.74)*BH863,
BH863*$AB863),)</f>
        <v/>
      </c>
      <c r="DU863" s="128">
        <f>IFERROR(IF($AB863=0,($V863/0.74)*BI863,
BI863*$AB863),)</f>
        <v/>
      </c>
    </row>
    <row r="864" ht="131.25" customHeight="1" s="162">
      <c r="A864" s="115" t="n"/>
      <c r="B864" s="115" t="n"/>
      <c r="C864" s="115" t="n"/>
      <c r="D864" s="115" t="n"/>
      <c r="E864" s="115" t="n"/>
      <c r="F864" s="115" t="n"/>
      <c r="G864" s="115" t="n"/>
      <c r="H864" s="115" t="n"/>
      <c r="I864" s="115" t="n"/>
      <c r="J864" s="115" t="n"/>
      <c r="K864" s="115" t="n"/>
      <c r="L864" s="115" t="n"/>
      <c r="M864" s="115" t="n"/>
      <c r="N864" s="115" t="n"/>
      <c r="O864" s="115" t="n"/>
      <c r="P864" s="115" t="n"/>
      <c r="Q864" s="115" t="n"/>
      <c r="R864" s="115" t="n"/>
      <c r="S864" s="115" t="n"/>
      <c r="T864" s="115" t="n"/>
      <c r="U864" s="116" t="n"/>
      <c r="V864" s="116" t="n"/>
      <c r="W864" s="117" t="n"/>
      <c r="X864" s="118" t="n"/>
      <c r="Y864" s="119" t="n"/>
      <c r="Z864" s="120" t="n"/>
      <c r="AA864" s="121" t="n"/>
      <c r="AB864" s="122" t="n"/>
      <c r="AC864" s="117" t="n"/>
      <c r="AD864" s="123">
        <f>IF(SUM($AE864:$AH864)=0,"",SUM($AE864:$AH864))</f>
        <v/>
      </c>
      <c r="AE864" s="123">
        <f>iferror(IF(SUM($AI864:$AZ864)=0,"",SUM($AI864:$AZ864)),"")</f>
        <v/>
      </c>
      <c r="AF864" s="123">
        <f>iferror(IF(SUM($BA864:$BC864)=0,"",SUM($BA864:$BC864)),"")</f>
        <v/>
      </c>
      <c r="AG864" s="123">
        <f>iferror(IF(SUM($BD864:$BF864)=0,"",SUM($BD864:$BF864)),"")</f>
        <v/>
      </c>
      <c r="AH864" s="124">
        <f>iferror(IF(SUM($BG864:$BI864)=0,"",SUM($BG864:$BI864)),"")</f>
        <v/>
      </c>
      <c r="AI864" s="131" t="n"/>
      <c r="AJ864" s="132" t="n"/>
      <c r="AK864" s="132" t="n"/>
      <c r="AL864" s="132" t="n"/>
      <c r="AM864" s="132" t="n"/>
      <c r="AN864" s="132" t="n"/>
      <c r="AO864" s="132" t="n"/>
      <c r="AP864" s="132" t="n"/>
      <c r="AQ864" s="132" t="n"/>
      <c r="AR864" s="132" t="n"/>
      <c r="AS864" s="132" t="n"/>
      <c r="AT864" s="132" t="n"/>
      <c r="AU864" s="132" t="n"/>
      <c r="AV864" s="132" t="n"/>
      <c r="AW864" s="132" t="n"/>
      <c r="AX864" s="132" t="n"/>
      <c r="AY864" s="132" t="n"/>
      <c r="AZ864" s="133" t="n"/>
      <c r="BA864" s="131" t="n"/>
      <c r="BB864" s="132" t="n"/>
      <c r="BC864" s="133" t="n"/>
      <c r="BD864" s="131" t="n"/>
      <c r="BE864" s="132" t="n"/>
      <c r="BF864" s="133" t="n"/>
      <c r="BG864" s="131" t="n"/>
      <c r="BH864" s="132" t="n"/>
      <c r="BI864" s="132" t="n"/>
      <c r="BJ864" s="128">
        <f>iferror(SUM($BK864,($BL864*1.2),($BM864*1.35),($BN864*0.74)),)</f>
        <v/>
      </c>
      <c r="BK864" s="128">
        <f>IFERROR(SUM($BT864:$CK864),)</f>
        <v/>
      </c>
      <c r="BL864" s="129">
        <f>IFERROR(SUM($CL864:$CN864),)</f>
        <v/>
      </c>
      <c r="BM864" s="130">
        <f>IFERROR(SUM($CO864:$CQ864),)</f>
        <v/>
      </c>
      <c r="BN864" s="128">
        <f>IFERROR(SUM($CR864:$CT864),)</f>
        <v/>
      </c>
      <c r="BO864" s="128">
        <f>iferror(SUM($BP864,($BQ864*1.2),($BR864*1.35),($BS864*0.74)),)</f>
        <v/>
      </c>
      <c r="BP864" s="128">
        <f>IFERROR(SUM($CU864:$DL864),)</f>
        <v/>
      </c>
      <c r="BQ864" s="128">
        <f>IFERROR(SUM($DM864:$DO864),)</f>
        <v/>
      </c>
      <c r="BR864" s="128">
        <f>IFERROR(SUM($DP864:$DR864),)</f>
        <v/>
      </c>
      <c r="BS864" s="128">
        <f>IFERROR(SUM($DS864:$DU864),)</f>
        <v/>
      </c>
      <c r="BT864" s="128">
        <f>IFERROR(AI864*$W864,)</f>
        <v/>
      </c>
      <c r="BU864" s="128">
        <f>IFERROR(AJ864*$W864,)</f>
        <v/>
      </c>
      <c r="BV864" s="128">
        <f>IFERROR(AK864*$W864,)</f>
        <v/>
      </c>
      <c r="BW864" s="128">
        <f>IFERROR(AL864*$W864,)</f>
        <v/>
      </c>
      <c r="BX864" s="128">
        <f>IFERROR(AM864*$W864,)</f>
        <v/>
      </c>
      <c r="BY864" s="128">
        <f>IFERROR(AN864*$W864,)</f>
        <v/>
      </c>
      <c r="BZ864" s="128">
        <f>IFERROR(AO864*$W864,)</f>
        <v/>
      </c>
      <c r="CA864" s="128">
        <f>IFERROR(AP864*$W864,)</f>
        <v/>
      </c>
      <c r="CB864" s="128">
        <f>IFERROR(AQ864*$W864,)</f>
        <v/>
      </c>
      <c r="CC864" s="128">
        <f>IFERROR(AR864*$W864,)</f>
        <v/>
      </c>
      <c r="CD864" s="128">
        <f>IFERROR(AS864*$W864,)</f>
        <v/>
      </c>
      <c r="CE864" s="128">
        <f>IFERROR(AT864*$W864,)</f>
        <v/>
      </c>
      <c r="CF864" s="128">
        <f>IFERROR(AU864*$W864,)</f>
        <v/>
      </c>
      <c r="CG864" s="128">
        <f>IFERROR(AV864*$W864,)</f>
        <v/>
      </c>
      <c r="CH864" s="128">
        <f>IFERROR(AW864*$W864,)</f>
        <v/>
      </c>
      <c r="CI864" s="128">
        <f>IFERROR(AX864*$W864,)</f>
        <v/>
      </c>
      <c r="CJ864" s="128">
        <f>IFERROR(AY864*$W864,)</f>
        <v/>
      </c>
      <c r="CK864" s="128">
        <f>IFERROR(AZ864*$W864,)</f>
        <v/>
      </c>
      <c r="CL864" s="129">
        <f>IFERROR(if($Y864=0,BA864*($W864/1.2),BA864*$Y864),"")</f>
        <v/>
      </c>
      <c r="CM864" s="129">
        <f>IFERROR(if($Y864=0,BB864*($W864/1.2),BB864*$Y864),"")</f>
        <v/>
      </c>
      <c r="CN864" s="129">
        <f>IFERROR(if($Y864=0,BC864*($W864/1.2),BC864*$Y864),"")</f>
        <v/>
      </c>
      <c r="CO864" s="130">
        <f>IFERROR(if($AA864=0,($W864/1.35)*BD864,BD864*$AA864),)</f>
        <v/>
      </c>
      <c r="CP864" s="130">
        <f>IFERROR(if($AA864=0,($W864/1.35)*BE864,BE864*$AA864),)</f>
        <v/>
      </c>
      <c r="CQ864" s="130">
        <f>IFERROR(if($AA864=0,($W864/1.35)*BF864,BF864*$AA864),)</f>
        <v/>
      </c>
      <c r="CR864" s="128">
        <f>IFERROR(if($AC864=0,($W864/0.74)*BG864,
BG864*$AC864),)</f>
        <v/>
      </c>
      <c r="CS864" s="128">
        <f>IFERROR(if($AC864=0,($W864/0.74)*BH864,
BH864*$AC864),)</f>
        <v/>
      </c>
      <c r="CT864" s="128">
        <f>IFERROR(if($AC864=0,($W864/0.74)*BI864,
BI864*$AC864),)</f>
        <v/>
      </c>
      <c r="CU864" s="128">
        <f>IFERROR(AI864*$V864,)</f>
        <v/>
      </c>
      <c r="CV864" s="128">
        <f>IFERROR(AJ864*$V864,)</f>
        <v/>
      </c>
      <c r="CW864" s="128">
        <f>IFERROR(AK864*$V864,)</f>
        <v/>
      </c>
      <c r="CX864" s="128">
        <f>IFERROR(AL864*$V864,)</f>
        <v/>
      </c>
      <c r="CY864" s="128">
        <f>IFERROR(AM864*$V864,)</f>
        <v/>
      </c>
      <c r="CZ864" s="128">
        <f>IFERROR(AN864*$V864,)</f>
        <v/>
      </c>
      <c r="DA864" s="128">
        <f>IFERROR(AO864*$V864,)</f>
        <v/>
      </c>
      <c r="DB864" s="128">
        <f>IFERROR(AP864*$V864,)</f>
        <v/>
      </c>
      <c r="DC864" s="128">
        <f>IFERROR(AQ864*$V864,)</f>
        <v/>
      </c>
      <c r="DD864" s="128">
        <f>IFERROR(AR864*$V864,)</f>
        <v/>
      </c>
      <c r="DE864" s="128">
        <f>IFERROR(AS864*$V864,)</f>
        <v/>
      </c>
      <c r="DF864" s="128">
        <f>IFERROR(AT864*$V864,)</f>
        <v/>
      </c>
      <c r="DG864" s="128">
        <f>IFERROR(AU864*$V864,)</f>
        <v/>
      </c>
      <c r="DH864" s="128">
        <f>IFERROR(AV864*$V864,)</f>
        <v/>
      </c>
      <c r="DI864" s="128">
        <f>IFERROR(AW864*$V864,)</f>
        <v/>
      </c>
      <c r="DJ864" s="128">
        <f>IFERROR(AX864*$V864,)</f>
        <v/>
      </c>
      <c r="DK864" s="128">
        <f>IFERROR(AY864*$V864,)</f>
        <v/>
      </c>
      <c r="DL864" s="128">
        <f>IFERROR(AZ864*$V864,)</f>
        <v/>
      </c>
      <c r="DM864" s="129">
        <f>IFERROR(if($X864=0,($V864/1.2)*BA864,
BA864*$X864),)</f>
        <v/>
      </c>
      <c r="DN864" s="129">
        <f>IFERROR(if($X864=0,($V864/1.2)*BB864,
BB864*$X864),)</f>
        <v/>
      </c>
      <c r="DO864" s="129">
        <f>IFERROR(if($X864=0,($V864/1.2)*BC864,
BC864*$X864),)</f>
        <v/>
      </c>
      <c r="DP864" s="130">
        <f>IFERROR(if($Z864=0,($V864/1.35)*BD864,
BD864*$Z864),)</f>
        <v/>
      </c>
      <c r="DQ864" s="130">
        <f>IFERROR(if($Z864=0,($V864/1.35)*BE864,
BE864*$Z864),)</f>
        <v/>
      </c>
      <c r="DR864" s="130">
        <f>IFERROR(if($Z864=0,($V864/1.35)*BF864,
BF864*$Z864),)</f>
        <v/>
      </c>
      <c r="DS864" s="128">
        <f>IFERROR(IF($AB864=0,($V864/0.74)*BG864,
BG864*$AB864),)</f>
        <v/>
      </c>
      <c r="DT864" s="128">
        <f>IFERROR(IF($AB864=0,($V864/0.74)*BH864,
BH864*$AB864),)</f>
        <v/>
      </c>
      <c r="DU864" s="128">
        <f>IFERROR(IF($AB864=0,($V864/0.74)*BI864,
BI864*$AB864),)</f>
        <v/>
      </c>
    </row>
    <row r="865" ht="131.25" customHeight="1" s="162">
      <c r="A865" s="115" t="n"/>
      <c r="B865" s="115" t="n"/>
      <c r="C865" s="115" t="n"/>
      <c r="D865" s="115" t="n"/>
      <c r="E865" s="115" t="n"/>
      <c r="F865" s="115" t="n"/>
      <c r="G865" s="115" t="n"/>
      <c r="H865" s="115" t="n"/>
      <c r="I865" s="115" t="n"/>
      <c r="J865" s="115" t="n"/>
      <c r="K865" s="115" t="n"/>
      <c r="L865" s="115" t="n"/>
      <c r="M865" s="115" t="n"/>
      <c r="N865" s="115" t="n"/>
      <c r="O865" s="115" t="n"/>
      <c r="P865" s="115" t="n"/>
      <c r="Q865" s="115" t="n"/>
      <c r="R865" s="115" t="n"/>
      <c r="S865" s="115" t="n"/>
      <c r="T865" s="115" t="n"/>
      <c r="U865" s="116" t="n"/>
      <c r="V865" s="116" t="n"/>
      <c r="W865" s="117" t="n"/>
      <c r="X865" s="118" t="n"/>
      <c r="Y865" s="119" t="n"/>
      <c r="Z865" s="120" t="n"/>
      <c r="AA865" s="121" t="n"/>
      <c r="AB865" s="122" t="n"/>
      <c r="AC865" s="117" t="n"/>
      <c r="AD865" s="123">
        <f>IF(SUM($AE865:$AH865)=0,"",SUM($AE865:$AH865))</f>
        <v/>
      </c>
      <c r="AE865" s="123">
        <f>iferror(IF(SUM($AI865:$AZ865)=0,"",SUM($AI865:$AZ865)),"")</f>
        <v/>
      </c>
      <c r="AF865" s="123">
        <f>iferror(IF(SUM($BA865:$BC865)=0,"",SUM($BA865:$BC865)),"")</f>
        <v/>
      </c>
      <c r="AG865" s="123">
        <f>iferror(IF(SUM($BD865:$BF865)=0,"",SUM($BD865:$BF865)),"")</f>
        <v/>
      </c>
      <c r="AH865" s="124">
        <f>iferror(IF(SUM($BG865:$BI865)=0,"",SUM($BG865:$BI865)),"")</f>
        <v/>
      </c>
      <c r="AI865" s="131" t="n"/>
      <c r="AJ865" s="132" t="n"/>
      <c r="AK865" s="132" t="n"/>
      <c r="AL865" s="132" t="n"/>
      <c r="AM865" s="132" t="n"/>
      <c r="AN865" s="132" t="n"/>
      <c r="AO865" s="132" t="n"/>
      <c r="AP865" s="132" t="n"/>
      <c r="AQ865" s="132" t="n"/>
      <c r="AR865" s="132" t="n"/>
      <c r="AS865" s="132" t="n"/>
      <c r="AT865" s="132" t="n"/>
      <c r="AU865" s="132" t="n"/>
      <c r="AV865" s="132" t="n"/>
      <c r="AW865" s="132" t="n"/>
      <c r="AX865" s="132" t="n"/>
      <c r="AY865" s="132" t="n"/>
      <c r="AZ865" s="133" t="n"/>
      <c r="BA865" s="131" t="n"/>
      <c r="BB865" s="132" t="n"/>
      <c r="BC865" s="133" t="n"/>
      <c r="BD865" s="131" t="n"/>
      <c r="BE865" s="132" t="n"/>
      <c r="BF865" s="133" t="n"/>
      <c r="BG865" s="131" t="n"/>
      <c r="BH865" s="132" t="n"/>
      <c r="BI865" s="132" t="n"/>
      <c r="BJ865" s="128">
        <f>iferror(SUM($BK865,($BL865*1.2),($BM865*1.35),($BN865*0.74)),)</f>
        <v/>
      </c>
      <c r="BK865" s="128">
        <f>IFERROR(SUM($BT865:$CK865),)</f>
        <v/>
      </c>
      <c r="BL865" s="129">
        <f>IFERROR(SUM($CL865:$CN865),)</f>
        <v/>
      </c>
      <c r="BM865" s="130">
        <f>IFERROR(SUM($CO865:$CQ865),)</f>
        <v/>
      </c>
      <c r="BN865" s="128">
        <f>IFERROR(SUM($CR865:$CT865),)</f>
        <v/>
      </c>
      <c r="BO865" s="128">
        <f>iferror(SUM($BP865,($BQ865*1.2),($BR865*1.35),($BS865*0.74)),)</f>
        <v/>
      </c>
      <c r="BP865" s="128">
        <f>IFERROR(SUM($CU865:$DL865),)</f>
        <v/>
      </c>
      <c r="BQ865" s="128">
        <f>IFERROR(SUM($DM865:$DO865),)</f>
        <v/>
      </c>
      <c r="BR865" s="128">
        <f>IFERROR(SUM($DP865:$DR865),)</f>
        <v/>
      </c>
      <c r="BS865" s="128">
        <f>IFERROR(SUM($DS865:$DU865),)</f>
        <v/>
      </c>
      <c r="BT865" s="128">
        <f>IFERROR(AI865*$W865,)</f>
        <v/>
      </c>
      <c r="BU865" s="128">
        <f>IFERROR(AJ865*$W865,)</f>
        <v/>
      </c>
      <c r="BV865" s="128">
        <f>IFERROR(AK865*$W865,)</f>
        <v/>
      </c>
      <c r="BW865" s="128">
        <f>IFERROR(AL865*$W865,)</f>
        <v/>
      </c>
      <c r="BX865" s="128">
        <f>IFERROR(AM865*$W865,)</f>
        <v/>
      </c>
      <c r="BY865" s="128">
        <f>IFERROR(AN865*$W865,)</f>
        <v/>
      </c>
      <c r="BZ865" s="128">
        <f>IFERROR(AO865*$W865,)</f>
        <v/>
      </c>
      <c r="CA865" s="128">
        <f>IFERROR(AP865*$W865,)</f>
        <v/>
      </c>
      <c r="CB865" s="128">
        <f>IFERROR(AQ865*$W865,)</f>
        <v/>
      </c>
      <c r="CC865" s="128">
        <f>IFERROR(AR865*$W865,)</f>
        <v/>
      </c>
      <c r="CD865" s="128">
        <f>IFERROR(AS865*$W865,)</f>
        <v/>
      </c>
      <c r="CE865" s="128">
        <f>IFERROR(AT865*$W865,)</f>
        <v/>
      </c>
      <c r="CF865" s="128">
        <f>IFERROR(AU865*$W865,)</f>
        <v/>
      </c>
      <c r="CG865" s="128">
        <f>IFERROR(AV865*$W865,)</f>
        <v/>
      </c>
      <c r="CH865" s="128">
        <f>IFERROR(AW865*$W865,)</f>
        <v/>
      </c>
      <c r="CI865" s="128">
        <f>IFERROR(AX865*$W865,)</f>
        <v/>
      </c>
      <c r="CJ865" s="128">
        <f>IFERROR(AY865*$W865,)</f>
        <v/>
      </c>
      <c r="CK865" s="128">
        <f>IFERROR(AZ865*$W865,)</f>
        <v/>
      </c>
      <c r="CL865" s="129">
        <f>IFERROR(if($Y865=0,BA865*($W865/1.2),BA865*$Y865),"")</f>
        <v/>
      </c>
      <c r="CM865" s="129">
        <f>IFERROR(if($Y865=0,BB865*($W865/1.2),BB865*$Y865),"")</f>
        <v/>
      </c>
      <c r="CN865" s="129">
        <f>IFERROR(if($Y865=0,BC865*($W865/1.2),BC865*$Y865),"")</f>
        <v/>
      </c>
      <c r="CO865" s="130">
        <f>IFERROR(if($AA865=0,($W865/1.35)*BD865,BD865*$AA865),)</f>
        <v/>
      </c>
      <c r="CP865" s="130">
        <f>IFERROR(if($AA865=0,($W865/1.35)*BE865,BE865*$AA865),)</f>
        <v/>
      </c>
      <c r="CQ865" s="130">
        <f>IFERROR(if($AA865=0,($W865/1.35)*BF865,BF865*$AA865),)</f>
        <v/>
      </c>
      <c r="CR865" s="128">
        <f>IFERROR(if($AC865=0,($W865/0.74)*BG865,
BG865*$AC865),)</f>
        <v/>
      </c>
      <c r="CS865" s="128">
        <f>IFERROR(if($AC865=0,($W865/0.74)*BH865,
BH865*$AC865),)</f>
        <v/>
      </c>
      <c r="CT865" s="128">
        <f>IFERROR(if($AC865=0,($W865/0.74)*BI865,
BI865*$AC865),)</f>
        <v/>
      </c>
      <c r="CU865" s="128">
        <f>IFERROR(AI865*$V865,)</f>
        <v/>
      </c>
      <c r="CV865" s="128">
        <f>IFERROR(AJ865*$V865,)</f>
        <v/>
      </c>
      <c r="CW865" s="128">
        <f>IFERROR(AK865*$V865,)</f>
        <v/>
      </c>
      <c r="CX865" s="128">
        <f>IFERROR(AL865*$V865,)</f>
        <v/>
      </c>
      <c r="CY865" s="128">
        <f>IFERROR(AM865*$V865,)</f>
        <v/>
      </c>
      <c r="CZ865" s="128">
        <f>IFERROR(AN865*$V865,)</f>
        <v/>
      </c>
      <c r="DA865" s="128">
        <f>IFERROR(AO865*$V865,)</f>
        <v/>
      </c>
      <c r="DB865" s="128">
        <f>IFERROR(AP865*$V865,)</f>
        <v/>
      </c>
      <c r="DC865" s="128">
        <f>IFERROR(AQ865*$V865,)</f>
        <v/>
      </c>
      <c r="DD865" s="128">
        <f>IFERROR(AR865*$V865,)</f>
        <v/>
      </c>
      <c r="DE865" s="128">
        <f>IFERROR(AS865*$V865,)</f>
        <v/>
      </c>
      <c r="DF865" s="128">
        <f>IFERROR(AT865*$V865,)</f>
        <v/>
      </c>
      <c r="DG865" s="128">
        <f>IFERROR(AU865*$V865,)</f>
        <v/>
      </c>
      <c r="DH865" s="128">
        <f>IFERROR(AV865*$V865,)</f>
        <v/>
      </c>
      <c r="DI865" s="128">
        <f>IFERROR(AW865*$V865,)</f>
        <v/>
      </c>
      <c r="DJ865" s="128">
        <f>IFERROR(AX865*$V865,)</f>
        <v/>
      </c>
      <c r="DK865" s="128">
        <f>IFERROR(AY865*$V865,)</f>
        <v/>
      </c>
      <c r="DL865" s="128">
        <f>IFERROR(AZ865*$V865,)</f>
        <v/>
      </c>
      <c r="DM865" s="129">
        <f>IFERROR(if($X865=0,($V865/1.2)*BA865,
BA865*$X865),)</f>
        <v/>
      </c>
      <c r="DN865" s="129">
        <f>IFERROR(if($X865=0,($V865/1.2)*BB865,
BB865*$X865),)</f>
        <v/>
      </c>
      <c r="DO865" s="129">
        <f>IFERROR(if($X865=0,($V865/1.2)*BC865,
BC865*$X865),)</f>
        <v/>
      </c>
      <c r="DP865" s="130">
        <f>IFERROR(if($Z865=0,($V865/1.35)*BD865,
BD865*$Z865),)</f>
        <v/>
      </c>
      <c r="DQ865" s="130">
        <f>IFERROR(if($Z865=0,($V865/1.35)*BE865,
BE865*$Z865),)</f>
        <v/>
      </c>
      <c r="DR865" s="130">
        <f>IFERROR(if($Z865=0,($V865/1.35)*BF865,
BF865*$Z865),)</f>
        <v/>
      </c>
      <c r="DS865" s="128">
        <f>IFERROR(IF($AB865=0,($V865/0.74)*BG865,
BG865*$AB865),)</f>
        <v/>
      </c>
      <c r="DT865" s="128">
        <f>IFERROR(IF($AB865=0,($V865/0.74)*BH865,
BH865*$AB865),)</f>
        <v/>
      </c>
      <c r="DU865" s="128">
        <f>IFERROR(IF($AB865=0,($V865/0.74)*BI865,
BI865*$AB865),)</f>
        <v/>
      </c>
    </row>
    <row r="866" ht="131.25" customHeight="1" s="162">
      <c r="A866" s="115" t="n"/>
      <c r="B866" s="115" t="n"/>
      <c r="C866" s="115" t="n"/>
      <c r="D866" s="115" t="n"/>
      <c r="E866" s="115" t="n"/>
      <c r="F866" s="115" t="n"/>
      <c r="G866" s="115" t="n"/>
      <c r="H866" s="115" t="n"/>
      <c r="I866" s="115" t="n"/>
      <c r="J866" s="115" t="n"/>
      <c r="K866" s="115" t="n"/>
      <c r="L866" s="115" t="n"/>
      <c r="M866" s="115" t="n"/>
      <c r="N866" s="115" t="n"/>
      <c r="O866" s="115" t="n"/>
      <c r="P866" s="115" t="n"/>
      <c r="Q866" s="115" t="n"/>
      <c r="R866" s="115" t="n"/>
      <c r="S866" s="115" t="n"/>
      <c r="T866" s="115" t="n"/>
      <c r="U866" s="116" t="n"/>
      <c r="V866" s="116" t="n"/>
      <c r="W866" s="117" t="n"/>
      <c r="X866" s="118" t="n"/>
      <c r="Y866" s="119" t="n"/>
      <c r="Z866" s="120" t="n"/>
      <c r="AA866" s="121" t="n"/>
      <c r="AB866" s="122" t="n"/>
      <c r="AC866" s="117" t="n"/>
      <c r="AD866" s="123">
        <f>IF(SUM($AE866:$AH866)=0,"",SUM($AE866:$AH866))</f>
        <v/>
      </c>
      <c r="AE866" s="123">
        <f>iferror(IF(SUM($AI866:$AZ866)=0,"",SUM($AI866:$AZ866)),"")</f>
        <v/>
      </c>
      <c r="AF866" s="123">
        <f>iferror(IF(SUM($BA866:$BC866)=0,"",SUM($BA866:$BC866)),"")</f>
        <v/>
      </c>
      <c r="AG866" s="123">
        <f>iferror(IF(SUM($BD866:$BF866)=0,"",SUM($BD866:$BF866)),"")</f>
        <v/>
      </c>
      <c r="AH866" s="124">
        <f>iferror(IF(SUM($BG866:$BI866)=0,"",SUM($BG866:$BI866)),"")</f>
        <v/>
      </c>
      <c r="AI866" s="131" t="n"/>
      <c r="AJ866" s="132" t="n"/>
      <c r="AK866" s="132" t="n"/>
      <c r="AL866" s="132" t="n"/>
      <c r="AM866" s="132" t="n"/>
      <c r="AN866" s="132" t="n"/>
      <c r="AO866" s="132" t="n"/>
      <c r="AP866" s="132" t="n"/>
      <c r="AQ866" s="132" t="n"/>
      <c r="AR866" s="132" t="n"/>
      <c r="AS866" s="132" t="n"/>
      <c r="AT866" s="132" t="n"/>
      <c r="AU866" s="132" t="n"/>
      <c r="AV866" s="132" t="n"/>
      <c r="AW866" s="132" t="n"/>
      <c r="AX866" s="132" t="n"/>
      <c r="AY866" s="132" t="n"/>
      <c r="AZ866" s="133" t="n"/>
      <c r="BA866" s="131" t="n"/>
      <c r="BB866" s="132" t="n"/>
      <c r="BC866" s="133" t="n"/>
      <c r="BD866" s="131" t="n"/>
      <c r="BE866" s="132" t="n"/>
      <c r="BF866" s="133" t="n"/>
      <c r="BG866" s="131" t="n"/>
      <c r="BH866" s="132" t="n"/>
      <c r="BI866" s="132" t="n"/>
      <c r="BJ866" s="128">
        <f>iferror(SUM($BK866,($BL866*1.2),($BM866*1.35),($BN866*0.74)),)</f>
        <v/>
      </c>
      <c r="BK866" s="128">
        <f>IFERROR(SUM($BT866:$CK866),)</f>
        <v/>
      </c>
      <c r="BL866" s="129">
        <f>IFERROR(SUM($CL866:$CN866),)</f>
        <v/>
      </c>
      <c r="BM866" s="130">
        <f>IFERROR(SUM($CO866:$CQ866),)</f>
        <v/>
      </c>
      <c r="BN866" s="128">
        <f>IFERROR(SUM($CR866:$CT866),)</f>
        <v/>
      </c>
      <c r="BO866" s="128">
        <f>iferror(SUM($BP866,($BQ866*1.2),($BR866*1.35),($BS866*0.74)),)</f>
        <v/>
      </c>
      <c r="BP866" s="128">
        <f>IFERROR(SUM($CU866:$DL866),)</f>
        <v/>
      </c>
      <c r="BQ866" s="128">
        <f>IFERROR(SUM($DM866:$DO866),)</f>
        <v/>
      </c>
      <c r="BR866" s="128">
        <f>IFERROR(SUM($DP866:$DR866),)</f>
        <v/>
      </c>
      <c r="BS866" s="128">
        <f>IFERROR(SUM($DS866:$DU866),)</f>
        <v/>
      </c>
      <c r="BT866" s="128">
        <f>IFERROR(AI866*$W866,)</f>
        <v/>
      </c>
      <c r="BU866" s="128">
        <f>IFERROR(AJ866*$W866,)</f>
        <v/>
      </c>
      <c r="BV866" s="128">
        <f>IFERROR(AK866*$W866,)</f>
        <v/>
      </c>
      <c r="BW866" s="128">
        <f>IFERROR(AL866*$W866,)</f>
        <v/>
      </c>
      <c r="BX866" s="128">
        <f>IFERROR(AM866*$W866,)</f>
        <v/>
      </c>
      <c r="BY866" s="128">
        <f>IFERROR(AN866*$W866,)</f>
        <v/>
      </c>
      <c r="BZ866" s="128">
        <f>IFERROR(AO866*$W866,)</f>
        <v/>
      </c>
      <c r="CA866" s="128">
        <f>IFERROR(AP866*$W866,)</f>
        <v/>
      </c>
      <c r="CB866" s="128">
        <f>IFERROR(AQ866*$W866,)</f>
        <v/>
      </c>
      <c r="CC866" s="128">
        <f>IFERROR(AR866*$W866,)</f>
        <v/>
      </c>
      <c r="CD866" s="128">
        <f>IFERROR(AS866*$W866,)</f>
        <v/>
      </c>
      <c r="CE866" s="128">
        <f>IFERROR(AT866*$W866,)</f>
        <v/>
      </c>
      <c r="CF866" s="128">
        <f>IFERROR(AU866*$W866,)</f>
        <v/>
      </c>
      <c r="CG866" s="128">
        <f>IFERROR(AV866*$W866,)</f>
        <v/>
      </c>
      <c r="CH866" s="128">
        <f>IFERROR(AW866*$W866,)</f>
        <v/>
      </c>
      <c r="CI866" s="128">
        <f>IFERROR(AX866*$W866,)</f>
        <v/>
      </c>
      <c r="CJ866" s="128">
        <f>IFERROR(AY866*$W866,)</f>
        <v/>
      </c>
      <c r="CK866" s="128">
        <f>IFERROR(AZ866*$W866,)</f>
        <v/>
      </c>
      <c r="CL866" s="129">
        <f>IFERROR(if($Y866=0,BA866*($W866/1.2),BA866*$Y866),"")</f>
        <v/>
      </c>
      <c r="CM866" s="129">
        <f>IFERROR(if($Y866=0,BB866*($W866/1.2),BB866*$Y866),"")</f>
        <v/>
      </c>
      <c r="CN866" s="129">
        <f>IFERROR(if($Y866=0,BC866*($W866/1.2),BC866*$Y866),"")</f>
        <v/>
      </c>
      <c r="CO866" s="130">
        <f>IFERROR(if($AA866=0,($W866/1.35)*BD866,BD866*$AA866),)</f>
        <v/>
      </c>
      <c r="CP866" s="130">
        <f>IFERROR(if($AA866=0,($W866/1.35)*BE866,BE866*$AA866),)</f>
        <v/>
      </c>
      <c r="CQ866" s="130">
        <f>IFERROR(if($AA866=0,($W866/1.35)*BF866,BF866*$AA866),)</f>
        <v/>
      </c>
      <c r="CR866" s="128">
        <f>IFERROR(if($AC866=0,($W866/0.74)*BG866,
BG866*$AC866),)</f>
        <v/>
      </c>
      <c r="CS866" s="128">
        <f>IFERROR(if($AC866=0,($W866/0.74)*BH866,
BH866*$AC866),)</f>
        <v/>
      </c>
      <c r="CT866" s="128">
        <f>IFERROR(if($AC866=0,($W866/0.74)*BI866,
BI866*$AC866),)</f>
        <v/>
      </c>
      <c r="CU866" s="128">
        <f>IFERROR(AI866*$V866,)</f>
        <v/>
      </c>
      <c r="CV866" s="128">
        <f>IFERROR(AJ866*$V866,)</f>
        <v/>
      </c>
      <c r="CW866" s="128">
        <f>IFERROR(AK866*$V866,)</f>
        <v/>
      </c>
      <c r="CX866" s="128">
        <f>IFERROR(AL866*$V866,)</f>
        <v/>
      </c>
      <c r="CY866" s="128">
        <f>IFERROR(AM866*$V866,)</f>
        <v/>
      </c>
      <c r="CZ866" s="128">
        <f>IFERROR(AN866*$V866,)</f>
        <v/>
      </c>
      <c r="DA866" s="128">
        <f>IFERROR(AO866*$V866,)</f>
        <v/>
      </c>
      <c r="DB866" s="128">
        <f>IFERROR(AP866*$V866,)</f>
        <v/>
      </c>
      <c r="DC866" s="128">
        <f>IFERROR(AQ866*$V866,)</f>
        <v/>
      </c>
      <c r="DD866" s="128">
        <f>IFERROR(AR866*$V866,)</f>
        <v/>
      </c>
      <c r="DE866" s="128">
        <f>IFERROR(AS866*$V866,)</f>
        <v/>
      </c>
      <c r="DF866" s="128">
        <f>IFERROR(AT866*$V866,)</f>
        <v/>
      </c>
      <c r="DG866" s="128">
        <f>IFERROR(AU866*$V866,)</f>
        <v/>
      </c>
      <c r="DH866" s="128">
        <f>IFERROR(AV866*$V866,)</f>
        <v/>
      </c>
      <c r="DI866" s="128">
        <f>IFERROR(AW866*$V866,)</f>
        <v/>
      </c>
      <c r="DJ866" s="128">
        <f>IFERROR(AX866*$V866,)</f>
        <v/>
      </c>
      <c r="DK866" s="128">
        <f>IFERROR(AY866*$V866,)</f>
        <v/>
      </c>
      <c r="DL866" s="128">
        <f>IFERROR(AZ866*$V866,)</f>
        <v/>
      </c>
      <c r="DM866" s="129">
        <f>IFERROR(if($X866=0,($V866/1.2)*BA866,
BA866*$X866),)</f>
        <v/>
      </c>
      <c r="DN866" s="129">
        <f>IFERROR(if($X866=0,($V866/1.2)*BB866,
BB866*$X866),)</f>
        <v/>
      </c>
      <c r="DO866" s="129">
        <f>IFERROR(if($X866=0,($V866/1.2)*BC866,
BC866*$X866),)</f>
        <v/>
      </c>
      <c r="DP866" s="130">
        <f>IFERROR(if($Z866=0,($V866/1.35)*BD866,
BD866*$Z866),)</f>
        <v/>
      </c>
      <c r="DQ866" s="130">
        <f>IFERROR(if($Z866=0,($V866/1.35)*BE866,
BE866*$Z866),)</f>
        <v/>
      </c>
      <c r="DR866" s="130">
        <f>IFERROR(if($Z866=0,($V866/1.35)*BF866,
BF866*$Z866),)</f>
        <v/>
      </c>
      <c r="DS866" s="128">
        <f>IFERROR(IF($AB866=0,($V866/0.74)*BG866,
BG866*$AB866),)</f>
        <v/>
      </c>
      <c r="DT866" s="128">
        <f>IFERROR(IF($AB866=0,($V866/0.74)*BH866,
BH866*$AB866),)</f>
        <v/>
      </c>
      <c r="DU866" s="128">
        <f>IFERROR(IF($AB866=0,($V866/0.74)*BI866,
BI866*$AB866),)</f>
        <v/>
      </c>
    </row>
    <row r="867" ht="131.25" customHeight="1" s="162">
      <c r="A867" s="115" t="n"/>
      <c r="B867" s="115" t="n"/>
      <c r="C867" s="115" t="n"/>
      <c r="D867" s="115" t="n"/>
      <c r="E867" s="115" t="n"/>
      <c r="F867" s="115" t="n"/>
      <c r="G867" s="115" t="n"/>
      <c r="H867" s="115" t="n"/>
      <c r="I867" s="115" t="n"/>
      <c r="J867" s="115" t="n"/>
      <c r="K867" s="115" t="n"/>
      <c r="L867" s="115" t="n"/>
      <c r="M867" s="115" t="n"/>
      <c r="N867" s="115" t="n"/>
      <c r="O867" s="115" t="n"/>
      <c r="P867" s="115" t="n"/>
      <c r="Q867" s="115" t="n"/>
      <c r="R867" s="115" t="n"/>
      <c r="S867" s="115" t="n"/>
      <c r="T867" s="115" t="n"/>
      <c r="U867" s="116" t="n"/>
      <c r="V867" s="116" t="n"/>
      <c r="W867" s="117" t="n"/>
      <c r="X867" s="118" t="n"/>
      <c r="Y867" s="119" t="n"/>
      <c r="Z867" s="120" t="n"/>
      <c r="AA867" s="121" t="n"/>
      <c r="AB867" s="122" t="n"/>
      <c r="AC867" s="117" t="n"/>
      <c r="AD867" s="123">
        <f>IF(SUM($AE867:$AH867)=0,"",SUM($AE867:$AH867))</f>
        <v/>
      </c>
      <c r="AE867" s="123">
        <f>iferror(IF(SUM($AI867:$AZ867)=0,"",SUM($AI867:$AZ867)),"")</f>
        <v/>
      </c>
      <c r="AF867" s="123">
        <f>iferror(IF(SUM($BA867:$BC867)=0,"",SUM($BA867:$BC867)),"")</f>
        <v/>
      </c>
      <c r="AG867" s="123">
        <f>iferror(IF(SUM($BD867:$BF867)=0,"",SUM($BD867:$BF867)),"")</f>
        <v/>
      </c>
      <c r="AH867" s="124">
        <f>iferror(IF(SUM($BG867:$BI867)=0,"",SUM($BG867:$BI867)),"")</f>
        <v/>
      </c>
      <c r="AI867" s="131" t="n"/>
      <c r="AJ867" s="132" t="n"/>
      <c r="AK867" s="132" t="n"/>
      <c r="AL867" s="132" t="n"/>
      <c r="AM867" s="132" t="n"/>
      <c r="AN867" s="132" t="n"/>
      <c r="AO867" s="132" t="n"/>
      <c r="AP867" s="132" t="n"/>
      <c r="AQ867" s="132" t="n"/>
      <c r="AR867" s="132" t="n"/>
      <c r="AS867" s="132" t="n"/>
      <c r="AT867" s="132" t="n"/>
      <c r="AU867" s="132" t="n"/>
      <c r="AV867" s="132" t="n"/>
      <c r="AW867" s="132" t="n"/>
      <c r="AX867" s="132" t="n"/>
      <c r="AY867" s="132" t="n"/>
      <c r="AZ867" s="133" t="n"/>
      <c r="BA867" s="131" t="n"/>
      <c r="BB867" s="132" t="n"/>
      <c r="BC867" s="133" t="n"/>
      <c r="BD867" s="131" t="n"/>
      <c r="BE867" s="132" t="n"/>
      <c r="BF867" s="133" t="n"/>
      <c r="BG867" s="131" t="n"/>
      <c r="BH867" s="132" t="n"/>
      <c r="BI867" s="132" t="n"/>
      <c r="BJ867" s="128">
        <f>iferror(SUM($BK867,($BL867*1.2),($BM867*1.35),($BN867*0.74)),)</f>
        <v/>
      </c>
      <c r="BK867" s="128">
        <f>IFERROR(SUM($BT867:$CK867),)</f>
        <v/>
      </c>
      <c r="BL867" s="129">
        <f>IFERROR(SUM($CL867:$CN867),)</f>
        <v/>
      </c>
      <c r="BM867" s="130">
        <f>IFERROR(SUM($CO867:$CQ867),)</f>
        <v/>
      </c>
      <c r="BN867" s="128">
        <f>IFERROR(SUM($CR867:$CT867),)</f>
        <v/>
      </c>
      <c r="BO867" s="128">
        <f>iferror(SUM($BP867,($BQ867*1.2),($BR867*1.35),($BS867*0.74)),)</f>
        <v/>
      </c>
      <c r="BP867" s="128">
        <f>IFERROR(SUM($CU867:$DL867),)</f>
        <v/>
      </c>
      <c r="BQ867" s="128">
        <f>IFERROR(SUM($DM867:$DO867),)</f>
        <v/>
      </c>
      <c r="BR867" s="128">
        <f>IFERROR(SUM($DP867:$DR867),)</f>
        <v/>
      </c>
      <c r="BS867" s="128">
        <f>IFERROR(SUM($DS867:$DU867),)</f>
        <v/>
      </c>
      <c r="BT867" s="128">
        <f>IFERROR(AI867*$W867,)</f>
        <v/>
      </c>
      <c r="BU867" s="128">
        <f>IFERROR(AJ867*$W867,)</f>
        <v/>
      </c>
      <c r="BV867" s="128">
        <f>IFERROR(AK867*$W867,)</f>
        <v/>
      </c>
      <c r="BW867" s="128">
        <f>IFERROR(AL867*$W867,)</f>
        <v/>
      </c>
      <c r="BX867" s="128">
        <f>IFERROR(AM867*$W867,)</f>
        <v/>
      </c>
      <c r="BY867" s="128">
        <f>IFERROR(AN867*$W867,)</f>
        <v/>
      </c>
      <c r="BZ867" s="128">
        <f>IFERROR(AO867*$W867,)</f>
        <v/>
      </c>
      <c r="CA867" s="128">
        <f>IFERROR(AP867*$W867,)</f>
        <v/>
      </c>
      <c r="CB867" s="128">
        <f>IFERROR(AQ867*$W867,)</f>
        <v/>
      </c>
      <c r="CC867" s="128">
        <f>IFERROR(AR867*$W867,)</f>
        <v/>
      </c>
      <c r="CD867" s="128">
        <f>IFERROR(AS867*$W867,)</f>
        <v/>
      </c>
      <c r="CE867" s="128">
        <f>IFERROR(AT867*$W867,)</f>
        <v/>
      </c>
      <c r="CF867" s="128">
        <f>IFERROR(AU867*$W867,)</f>
        <v/>
      </c>
      <c r="CG867" s="128">
        <f>IFERROR(AV867*$W867,)</f>
        <v/>
      </c>
      <c r="CH867" s="128">
        <f>IFERROR(AW867*$W867,)</f>
        <v/>
      </c>
      <c r="CI867" s="128">
        <f>IFERROR(AX867*$W867,)</f>
        <v/>
      </c>
      <c r="CJ867" s="128">
        <f>IFERROR(AY867*$W867,)</f>
        <v/>
      </c>
      <c r="CK867" s="128">
        <f>IFERROR(AZ867*$W867,)</f>
        <v/>
      </c>
      <c r="CL867" s="129">
        <f>IFERROR(if($Y867=0,BA867*($W867/1.2),BA867*$Y867),"")</f>
        <v/>
      </c>
      <c r="CM867" s="129">
        <f>IFERROR(if($Y867=0,BB867*($W867/1.2),BB867*$Y867),"")</f>
        <v/>
      </c>
      <c r="CN867" s="129">
        <f>IFERROR(if($Y867=0,BC867*($W867/1.2),BC867*$Y867),"")</f>
        <v/>
      </c>
      <c r="CO867" s="130">
        <f>IFERROR(if($AA867=0,($W867/1.35)*BD867,BD867*$AA867),)</f>
        <v/>
      </c>
      <c r="CP867" s="130">
        <f>IFERROR(if($AA867=0,($W867/1.35)*BE867,BE867*$AA867),)</f>
        <v/>
      </c>
      <c r="CQ867" s="130">
        <f>IFERROR(if($AA867=0,($W867/1.35)*BF867,BF867*$AA867),)</f>
        <v/>
      </c>
      <c r="CR867" s="128">
        <f>IFERROR(if($AC867=0,($W867/0.74)*BG867,
BG867*$AC867),)</f>
        <v/>
      </c>
      <c r="CS867" s="128">
        <f>IFERROR(if($AC867=0,($W867/0.74)*BH867,
BH867*$AC867),)</f>
        <v/>
      </c>
      <c r="CT867" s="128">
        <f>IFERROR(if($AC867=0,($W867/0.74)*BI867,
BI867*$AC867),)</f>
        <v/>
      </c>
      <c r="CU867" s="128">
        <f>IFERROR(AI867*$V867,)</f>
        <v/>
      </c>
      <c r="CV867" s="128">
        <f>IFERROR(AJ867*$V867,)</f>
        <v/>
      </c>
      <c r="CW867" s="128">
        <f>IFERROR(AK867*$V867,)</f>
        <v/>
      </c>
      <c r="CX867" s="128">
        <f>IFERROR(AL867*$V867,)</f>
        <v/>
      </c>
      <c r="CY867" s="128">
        <f>IFERROR(AM867*$V867,)</f>
        <v/>
      </c>
      <c r="CZ867" s="128">
        <f>IFERROR(AN867*$V867,)</f>
        <v/>
      </c>
      <c r="DA867" s="128">
        <f>IFERROR(AO867*$V867,)</f>
        <v/>
      </c>
      <c r="DB867" s="128">
        <f>IFERROR(AP867*$V867,)</f>
        <v/>
      </c>
      <c r="DC867" s="128">
        <f>IFERROR(AQ867*$V867,)</f>
        <v/>
      </c>
      <c r="DD867" s="128">
        <f>IFERROR(AR867*$V867,)</f>
        <v/>
      </c>
      <c r="DE867" s="128">
        <f>IFERROR(AS867*$V867,)</f>
        <v/>
      </c>
      <c r="DF867" s="128">
        <f>IFERROR(AT867*$V867,)</f>
        <v/>
      </c>
      <c r="DG867" s="128">
        <f>IFERROR(AU867*$V867,)</f>
        <v/>
      </c>
      <c r="DH867" s="128">
        <f>IFERROR(AV867*$V867,)</f>
        <v/>
      </c>
      <c r="DI867" s="128">
        <f>IFERROR(AW867*$V867,)</f>
        <v/>
      </c>
      <c r="DJ867" s="128">
        <f>IFERROR(AX867*$V867,)</f>
        <v/>
      </c>
      <c r="DK867" s="128">
        <f>IFERROR(AY867*$V867,)</f>
        <v/>
      </c>
      <c r="DL867" s="128">
        <f>IFERROR(AZ867*$V867,)</f>
        <v/>
      </c>
      <c r="DM867" s="129">
        <f>IFERROR(if($X867=0,($V867/1.2)*BA867,
BA867*$X867),)</f>
        <v/>
      </c>
      <c r="DN867" s="129">
        <f>IFERROR(if($X867=0,($V867/1.2)*BB867,
BB867*$X867),)</f>
        <v/>
      </c>
      <c r="DO867" s="129">
        <f>IFERROR(if($X867=0,($V867/1.2)*BC867,
BC867*$X867),)</f>
        <v/>
      </c>
      <c r="DP867" s="130">
        <f>IFERROR(if($Z867=0,($V867/1.35)*BD867,
BD867*$Z867),)</f>
        <v/>
      </c>
      <c r="DQ867" s="130">
        <f>IFERROR(if($Z867=0,($V867/1.35)*BE867,
BE867*$Z867),)</f>
        <v/>
      </c>
      <c r="DR867" s="130">
        <f>IFERROR(if($Z867=0,($V867/1.35)*BF867,
BF867*$Z867),)</f>
        <v/>
      </c>
      <c r="DS867" s="128">
        <f>IFERROR(IF($AB867=0,($V867/0.74)*BG867,
BG867*$AB867),)</f>
        <v/>
      </c>
      <c r="DT867" s="128">
        <f>IFERROR(IF($AB867=0,($V867/0.74)*BH867,
BH867*$AB867),)</f>
        <v/>
      </c>
      <c r="DU867" s="128">
        <f>IFERROR(IF($AB867=0,($V867/0.74)*BI867,
BI867*$AB867),)</f>
        <v/>
      </c>
    </row>
    <row r="868" ht="131.25" customHeight="1" s="162">
      <c r="A868" s="115" t="n"/>
      <c r="B868" s="115" t="n"/>
      <c r="C868" s="115" t="n"/>
      <c r="D868" s="115" t="n"/>
      <c r="E868" s="115" t="n"/>
      <c r="F868" s="115" t="n"/>
      <c r="G868" s="115" t="n"/>
      <c r="H868" s="115" t="n"/>
      <c r="I868" s="115" t="n"/>
      <c r="J868" s="115" t="n"/>
      <c r="K868" s="115" t="n"/>
      <c r="L868" s="115" t="n"/>
      <c r="M868" s="115" t="n"/>
      <c r="N868" s="115" t="n"/>
      <c r="O868" s="115" t="n"/>
      <c r="P868" s="115" t="n"/>
      <c r="Q868" s="115" t="n"/>
      <c r="R868" s="115" t="n"/>
      <c r="S868" s="115" t="n"/>
      <c r="T868" s="115" t="n"/>
      <c r="U868" s="116" t="n"/>
      <c r="V868" s="116" t="n"/>
      <c r="W868" s="117" t="n"/>
      <c r="X868" s="118" t="n"/>
      <c r="Y868" s="119" t="n"/>
      <c r="Z868" s="120" t="n"/>
      <c r="AA868" s="121" t="n"/>
      <c r="AB868" s="122" t="n"/>
      <c r="AC868" s="117" t="n"/>
      <c r="AD868" s="123">
        <f>IF(SUM($AE868:$AH868)=0,"",SUM($AE868:$AH868))</f>
        <v/>
      </c>
      <c r="AE868" s="123">
        <f>iferror(IF(SUM($AI868:$AZ868)=0,"",SUM($AI868:$AZ868)),"")</f>
        <v/>
      </c>
      <c r="AF868" s="123">
        <f>iferror(IF(SUM($BA868:$BC868)=0,"",SUM($BA868:$BC868)),"")</f>
        <v/>
      </c>
      <c r="AG868" s="123">
        <f>iferror(IF(SUM($BD868:$BF868)=0,"",SUM($BD868:$BF868)),"")</f>
        <v/>
      </c>
      <c r="AH868" s="124">
        <f>iferror(IF(SUM($BG868:$BI868)=0,"",SUM($BG868:$BI868)),"")</f>
        <v/>
      </c>
      <c r="AI868" s="131" t="n"/>
      <c r="AJ868" s="132" t="n"/>
      <c r="AK868" s="132" t="n"/>
      <c r="AL868" s="132" t="n"/>
      <c r="AM868" s="132" t="n"/>
      <c r="AN868" s="132" t="n"/>
      <c r="AO868" s="132" t="n"/>
      <c r="AP868" s="132" t="n"/>
      <c r="AQ868" s="132" t="n"/>
      <c r="AR868" s="132" t="n"/>
      <c r="AS868" s="132" t="n"/>
      <c r="AT868" s="132" t="n"/>
      <c r="AU868" s="132" t="n"/>
      <c r="AV868" s="132" t="n"/>
      <c r="AW868" s="132" t="n"/>
      <c r="AX868" s="132" t="n"/>
      <c r="AY868" s="132" t="n"/>
      <c r="AZ868" s="133" t="n"/>
      <c r="BA868" s="131" t="n"/>
      <c r="BB868" s="132" t="n"/>
      <c r="BC868" s="133" t="n"/>
      <c r="BD868" s="131" t="n"/>
      <c r="BE868" s="132" t="n"/>
      <c r="BF868" s="133" t="n"/>
      <c r="BG868" s="131" t="n"/>
      <c r="BH868" s="132" t="n"/>
      <c r="BI868" s="132" t="n"/>
      <c r="BJ868" s="128">
        <f>iferror(SUM($BK868,($BL868*1.2),($BM868*1.35),($BN868*0.74)),)</f>
        <v/>
      </c>
      <c r="BK868" s="128">
        <f>IFERROR(SUM($BT868:$CK868),)</f>
        <v/>
      </c>
      <c r="BL868" s="129">
        <f>IFERROR(SUM($CL868:$CN868),)</f>
        <v/>
      </c>
      <c r="BM868" s="130">
        <f>IFERROR(SUM($CO868:$CQ868),)</f>
        <v/>
      </c>
      <c r="BN868" s="128">
        <f>IFERROR(SUM($CR868:$CT868),)</f>
        <v/>
      </c>
      <c r="BO868" s="128">
        <f>iferror(SUM($BP868,($BQ868*1.2),($BR868*1.35),($BS868*0.74)),)</f>
        <v/>
      </c>
      <c r="BP868" s="128">
        <f>IFERROR(SUM($CU868:$DL868),)</f>
        <v/>
      </c>
      <c r="BQ868" s="128">
        <f>IFERROR(SUM($DM868:$DO868),)</f>
        <v/>
      </c>
      <c r="BR868" s="128">
        <f>IFERROR(SUM($DP868:$DR868),)</f>
        <v/>
      </c>
      <c r="BS868" s="128">
        <f>IFERROR(SUM($DS868:$DU868),)</f>
        <v/>
      </c>
      <c r="BT868" s="128">
        <f>IFERROR(AI868*$W868,)</f>
        <v/>
      </c>
      <c r="BU868" s="128">
        <f>IFERROR(AJ868*$W868,)</f>
        <v/>
      </c>
      <c r="BV868" s="128">
        <f>IFERROR(AK868*$W868,)</f>
        <v/>
      </c>
      <c r="BW868" s="128">
        <f>IFERROR(AL868*$W868,)</f>
        <v/>
      </c>
      <c r="BX868" s="128">
        <f>IFERROR(AM868*$W868,)</f>
        <v/>
      </c>
      <c r="BY868" s="128">
        <f>IFERROR(AN868*$W868,)</f>
        <v/>
      </c>
      <c r="BZ868" s="128">
        <f>IFERROR(AO868*$W868,)</f>
        <v/>
      </c>
      <c r="CA868" s="128">
        <f>IFERROR(AP868*$W868,)</f>
        <v/>
      </c>
      <c r="CB868" s="128">
        <f>IFERROR(AQ868*$W868,)</f>
        <v/>
      </c>
      <c r="CC868" s="128">
        <f>IFERROR(AR868*$W868,)</f>
        <v/>
      </c>
      <c r="CD868" s="128">
        <f>IFERROR(AS868*$W868,)</f>
        <v/>
      </c>
      <c r="CE868" s="128">
        <f>IFERROR(AT868*$W868,)</f>
        <v/>
      </c>
      <c r="CF868" s="128">
        <f>IFERROR(AU868*$W868,)</f>
        <v/>
      </c>
      <c r="CG868" s="128">
        <f>IFERROR(AV868*$W868,)</f>
        <v/>
      </c>
      <c r="CH868" s="128">
        <f>IFERROR(AW868*$W868,)</f>
        <v/>
      </c>
      <c r="CI868" s="128">
        <f>IFERROR(AX868*$W868,)</f>
        <v/>
      </c>
      <c r="CJ868" s="128">
        <f>IFERROR(AY868*$W868,)</f>
        <v/>
      </c>
      <c r="CK868" s="128">
        <f>IFERROR(AZ868*$W868,)</f>
        <v/>
      </c>
      <c r="CL868" s="129">
        <f>IFERROR(if($Y868=0,BA868*($W868/1.2),BA868*$Y868),"")</f>
        <v/>
      </c>
      <c r="CM868" s="129">
        <f>IFERROR(if($Y868=0,BB868*($W868/1.2),BB868*$Y868),"")</f>
        <v/>
      </c>
      <c r="CN868" s="129">
        <f>IFERROR(if($Y868=0,BC868*($W868/1.2),BC868*$Y868),"")</f>
        <v/>
      </c>
      <c r="CO868" s="130">
        <f>IFERROR(if($AA868=0,($W868/1.35)*BD868,BD868*$AA868),)</f>
        <v/>
      </c>
      <c r="CP868" s="130">
        <f>IFERROR(if($AA868=0,($W868/1.35)*BE868,BE868*$AA868),)</f>
        <v/>
      </c>
      <c r="CQ868" s="130">
        <f>IFERROR(if($AA868=0,($W868/1.35)*BF868,BF868*$AA868),)</f>
        <v/>
      </c>
      <c r="CR868" s="128">
        <f>IFERROR(if($AC868=0,($W868/0.74)*BG868,
BG868*$AC868),)</f>
        <v/>
      </c>
      <c r="CS868" s="128">
        <f>IFERROR(if($AC868=0,($W868/0.74)*BH868,
BH868*$AC868),)</f>
        <v/>
      </c>
      <c r="CT868" s="128">
        <f>IFERROR(if($AC868=0,($W868/0.74)*BI868,
BI868*$AC868),)</f>
        <v/>
      </c>
      <c r="CU868" s="128">
        <f>IFERROR(AI868*$V868,)</f>
        <v/>
      </c>
      <c r="CV868" s="128">
        <f>IFERROR(AJ868*$V868,)</f>
        <v/>
      </c>
      <c r="CW868" s="128">
        <f>IFERROR(AK868*$V868,)</f>
        <v/>
      </c>
      <c r="CX868" s="128">
        <f>IFERROR(AL868*$V868,)</f>
        <v/>
      </c>
      <c r="CY868" s="128">
        <f>IFERROR(AM868*$V868,)</f>
        <v/>
      </c>
      <c r="CZ868" s="128">
        <f>IFERROR(AN868*$V868,)</f>
        <v/>
      </c>
      <c r="DA868" s="128">
        <f>IFERROR(AO868*$V868,)</f>
        <v/>
      </c>
      <c r="DB868" s="128">
        <f>IFERROR(AP868*$V868,)</f>
        <v/>
      </c>
      <c r="DC868" s="128">
        <f>IFERROR(AQ868*$V868,)</f>
        <v/>
      </c>
      <c r="DD868" s="128">
        <f>IFERROR(AR868*$V868,)</f>
        <v/>
      </c>
      <c r="DE868" s="128">
        <f>IFERROR(AS868*$V868,)</f>
        <v/>
      </c>
      <c r="DF868" s="128">
        <f>IFERROR(AT868*$V868,)</f>
        <v/>
      </c>
      <c r="DG868" s="128">
        <f>IFERROR(AU868*$V868,)</f>
        <v/>
      </c>
      <c r="DH868" s="128">
        <f>IFERROR(AV868*$V868,)</f>
        <v/>
      </c>
      <c r="DI868" s="128">
        <f>IFERROR(AW868*$V868,)</f>
        <v/>
      </c>
      <c r="DJ868" s="128">
        <f>IFERROR(AX868*$V868,)</f>
        <v/>
      </c>
      <c r="DK868" s="128">
        <f>IFERROR(AY868*$V868,)</f>
        <v/>
      </c>
      <c r="DL868" s="128">
        <f>IFERROR(AZ868*$V868,)</f>
        <v/>
      </c>
      <c r="DM868" s="129">
        <f>IFERROR(if($X868=0,($V868/1.2)*BA868,
BA868*$X868),)</f>
        <v/>
      </c>
      <c r="DN868" s="129">
        <f>IFERROR(if($X868=0,($V868/1.2)*BB868,
BB868*$X868),)</f>
        <v/>
      </c>
      <c r="DO868" s="129">
        <f>IFERROR(if($X868=0,($V868/1.2)*BC868,
BC868*$X868),)</f>
        <v/>
      </c>
      <c r="DP868" s="130">
        <f>IFERROR(if($Z868=0,($V868/1.35)*BD868,
BD868*$Z868),)</f>
        <v/>
      </c>
      <c r="DQ868" s="130">
        <f>IFERROR(if($Z868=0,($V868/1.35)*BE868,
BE868*$Z868),)</f>
        <v/>
      </c>
      <c r="DR868" s="130">
        <f>IFERROR(if($Z868=0,($V868/1.35)*BF868,
BF868*$Z868),)</f>
        <v/>
      </c>
      <c r="DS868" s="128">
        <f>IFERROR(IF($AB868=0,($V868/0.74)*BG868,
BG868*$AB868),)</f>
        <v/>
      </c>
      <c r="DT868" s="128">
        <f>IFERROR(IF($AB868=0,($V868/0.74)*BH868,
BH868*$AB868),)</f>
        <v/>
      </c>
      <c r="DU868" s="128">
        <f>IFERROR(IF($AB868=0,($V868/0.74)*BI868,
BI868*$AB868),)</f>
        <v/>
      </c>
    </row>
    <row r="869" ht="131.25" customHeight="1" s="162">
      <c r="A869" s="115" t="n"/>
      <c r="B869" s="115" t="n"/>
      <c r="C869" s="115" t="n"/>
      <c r="D869" s="115" t="n"/>
      <c r="E869" s="115" t="n"/>
      <c r="F869" s="115" t="n"/>
      <c r="G869" s="115" t="n"/>
      <c r="H869" s="115" t="n"/>
      <c r="I869" s="115" t="n"/>
      <c r="J869" s="115" t="n"/>
      <c r="K869" s="115" t="n"/>
      <c r="L869" s="115" t="n"/>
      <c r="M869" s="115" t="n"/>
      <c r="N869" s="115" t="n"/>
      <c r="O869" s="115" t="n"/>
      <c r="P869" s="115" t="n"/>
      <c r="Q869" s="115" t="n"/>
      <c r="R869" s="115" t="n"/>
      <c r="S869" s="115" t="n"/>
      <c r="T869" s="115" t="n"/>
      <c r="U869" s="116" t="n"/>
      <c r="V869" s="116" t="n"/>
      <c r="W869" s="117" t="n"/>
      <c r="X869" s="118" t="n"/>
      <c r="Y869" s="119" t="n"/>
      <c r="Z869" s="120" t="n"/>
      <c r="AA869" s="121" t="n"/>
      <c r="AB869" s="122" t="n"/>
      <c r="AC869" s="117" t="n"/>
      <c r="AD869" s="123">
        <f>IF(SUM($AE869:$AH869)=0,"",SUM($AE869:$AH869))</f>
        <v/>
      </c>
      <c r="AE869" s="123">
        <f>iferror(IF(SUM($AI869:$AZ869)=0,"",SUM($AI869:$AZ869)),"")</f>
        <v/>
      </c>
      <c r="AF869" s="123">
        <f>iferror(IF(SUM($BA869:$BC869)=0,"",SUM($BA869:$BC869)),"")</f>
        <v/>
      </c>
      <c r="AG869" s="123">
        <f>iferror(IF(SUM($BD869:$BF869)=0,"",SUM($BD869:$BF869)),"")</f>
        <v/>
      </c>
      <c r="AH869" s="124">
        <f>iferror(IF(SUM($BG869:$BI869)=0,"",SUM($BG869:$BI869)),"")</f>
        <v/>
      </c>
      <c r="AI869" s="131" t="n"/>
      <c r="AJ869" s="132" t="n"/>
      <c r="AK869" s="132" t="n"/>
      <c r="AL869" s="132" t="n"/>
      <c r="AM869" s="132" t="n"/>
      <c r="AN869" s="132" t="n"/>
      <c r="AO869" s="132" t="n"/>
      <c r="AP869" s="132" t="n"/>
      <c r="AQ869" s="132" t="n"/>
      <c r="AR869" s="132" t="n"/>
      <c r="AS869" s="132" t="n"/>
      <c r="AT869" s="132" t="n"/>
      <c r="AU869" s="132" t="n"/>
      <c r="AV869" s="132" t="n"/>
      <c r="AW869" s="132" t="n"/>
      <c r="AX869" s="132" t="n"/>
      <c r="AY869" s="132" t="n"/>
      <c r="AZ869" s="133" t="n"/>
      <c r="BA869" s="131" t="n"/>
      <c r="BB869" s="132" t="n"/>
      <c r="BC869" s="133" t="n"/>
      <c r="BD869" s="131" t="n"/>
      <c r="BE869" s="132" t="n"/>
      <c r="BF869" s="133" t="n"/>
      <c r="BG869" s="131" t="n"/>
      <c r="BH869" s="132" t="n"/>
      <c r="BI869" s="132" t="n"/>
      <c r="BJ869" s="128">
        <f>iferror(SUM($BK869,($BL869*1.2),($BM869*1.35),($BN869*0.74)),)</f>
        <v/>
      </c>
      <c r="BK869" s="128">
        <f>IFERROR(SUM($BT869:$CK869),)</f>
        <v/>
      </c>
      <c r="BL869" s="129">
        <f>IFERROR(SUM($CL869:$CN869),)</f>
        <v/>
      </c>
      <c r="BM869" s="130">
        <f>IFERROR(SUM($CO869:$CQ869),)</f>
        <v/>
      </c>
      <c r="BN869" s="128">
        <f>IFERROR(SUM($CR869:$CT869),)</f>
        <v/>
      </c>
      <c r="BO869" s="128">
        <f>iferror(SUM($BP869,($BQ869*1.2),($BR869*1.35),($BS869*0.74)),)</f>
        <v/>
      </c>
      <c r="BP869" s="128">
        <f>IFERROR(SUM($CU869:$DL869),)</f>
        <v/>
      </c>
      <c r="BQ869" s="128">
        <f>IFERROR(SUM($DM869:$DO869),)</f>
        <v/>
      </c>
      <c r="BR869" s="128">
        <f>IFERROR(SUM($DP869:$DR869),)</f>
        <v/>
      </c>
      <c r="BS869" s="128">
        <f>IFERROR(SUM($DS869:$DU869),)</f>
        <v/>
      </c>
      <c r="BT869" s="128">
        <f>IFERROR(AI869*$W869,)</f>
        <v/>
      </c>
      <c r="BU869" s="128">
        <f>IFERROR(AJ869*$W869,)</f>
        <v/>
      </c>
      <c r="BV869" s="128">
        <f>IFERROR(AK869*$W869,)</f>
        <v/>
      </c>
      <c r="BW869" s="128">
        <f>IFERROR(AL869*$W869,)</f>
        <v/>
      </c>
      <c r="BX869" s="128">
        <f>IFERROR(AM869*$W869,)</f>
        <v/>
      </c>
      <c r="BY869" s="128">
        <f>IFERROR(AN869*$W869,)</f>
        <v/>
      </c>
      <c r="BZ869" s="128">
        <f>IFERROR(AO869*$W869,)</f>
        <v/>
      </c>
      <c r="CA869" s="128">
        <f>IFERROR(AP869*$W869,)</f>
        <v/>
      </c>
      <c r="CB869" s="128">
        <f>IFERROR(AQ869*$W869,)</f>
        <v/>
      </c>
      <c r="CC869" s="128">
        <f>IFERROR(AR869*$W869,)</f>
        <v/>
      </c>
      <c r="CD869" s="128">
        <f>IFERROR(AS869*$W869,)</f>
        <v/>
      </c>
      <c r="CE869" s="128">
        <f>IFERROR(AT869*$W869,)</f>
        <v/>
      </c>
      <c r="CF869" s="128">
        <f>IFERROR(AU869*$W869,)</f>
        <v/>
      </c>
      <c r="CG869" s="128">
        <f>IFERROR(AV869*$W869,)</f>
        <v/>
      </c>
      <c r="CH869" s="128">
        <f>IFERROR(AW869*$W869,)</f>
        <v/>
      </c>
      <c r="CI869" s="128">
        <f>IFERROR(AX869*$W869,)</f>
        <v/>
      </c>
      <c r="CJ869" s="128">
        <f>IFERROR(AY869*$W869,)</f>
        <v/>
      </c>
      <c r="CK869" s="128">
        <f>IFERROR(AZ869*$W869,)</f>
        <v/>
      </c>
      <c r="CL869" s="129">
        <f>IFERROR(if($Y869=0,BA869*($W869/1.2),BA869*$Y869),"")</f>
        <v/>
      </c>
      <c r="CM869" s="129">
        <f>IFERROR(if($Y869=0,BB869*($W869/1.2),BB869*$Y869),"")</f>
        <v/>
      </c>
      <c r="CN869" s="129">
        <f>IFERROR(if($Y869=0,BC869*($W869/1.2),BC869*$Y869),"")</f>
        <v/>
      </c>
      <c r="CO869" s="130">
        <f>IFERROR(if($AA869=0,($W869/1.35)*BD869,BD869*$AA869),)</f>
        <v/>
      </c>
      <c r="CP869" s="130">
        <f>IFERROR(if($AA869=0,($W869/1.35)*BE869,BE869*$AA869),)</f>
        <v/>
      </c>
      <c r="CQ869" s="130">
        <f>IFERROR(if($AA869=0,($W869/1.35)*BF869,BF869*$AA869),)</f>
        <v/>
      </c>
      <c r="CR869" s="128">
        <f>IFERROR(if($AC869=0,($W869/0.74)*BG869,
BG869*$AC869),)</f>
        <v/>
      </c>
      <c r="CS869" s="128">
        <f>IFERROR(if($AC869=0,($W869/0.74)*BH869,
BH869*$AC869),)</f>
        <v/>
      </c>
      <c r="CT869" s="128">
        <f>IFERROR(if($AC869=0,($W869/0.74)*BI869,
BI869*$AC869),)</f>
        <v/>
      </c>
      <c r="CU869" s="128">
        <f>IFERROR(AI869*$V869,)</f>
        <v/>
      </c>
      <c r="CV869" s="128">
        <f>IFERROR(AJ869*$V869,)</f>
        <v/>
      </c>
      <c r="CW869" s="128">
        <f>IFERROR(AK869*$V869,)</f>
        <v/>
      </c>
      <c r="CX869" s="128">
        <f>IFERROR(AL869*$V869,)</f>
        <v/>
      </c>
      <c r="CY869" s="128">
        <f>IFERROR(AM869*$V869,)</f>
        <v/>
      </c>
      <c r="CZ869" s="128">
        <f>IFERROR(AN869*$V869,)</f>
        <v/>
      </c>
      <c r="DA869" s="128">
        <f>IFERROR(AO869*$V869,)</f>
        <v/>
      </c>
      <c r="DB869" s="128">
        <f>IFERROR(AP869*$V869,)</f>
        <v/>
      </c>
      <c r="DC869" s="128">
        <f>IFERROR(AQ869*$V869,)</f>
        <v/>
      </c>
      <c r="DD869" s="128">
        <f>IFERROR(AR869*$V869,)</f>
        <v/>
      </c>
      <c r="DE869" s="128">
        <f>IFERROR(AS869*$V869,)</f>
        <v/>
      </c>
      <c r="DF869" s="128">
        <f>IFERROR(AT869*$V869,)</f>
        <v/>
      </c>
      <c r="DG869" s="128">
        <f>IFERROR(AU869*$V869,)</f>
        <v/>
      </c>
      <c r="DH869" s="128">
        <f>IFERROR(AV869*$V869,)</f>
        <v/>
      </c>
      <c r="DI869" s="128">
        <f>IFERROR(AW869*$V869,)</f>
        <v/>
      </c>
      <c r="DJ869" s="128">
        <f>IFERROR(AX869*$V869,)</f>
        <v/>
      </c>
      <c r="DK869" s="128">
        <f>IFERROR(AY869*$V869,)</f>
        <v/>
      </c>
      <c r="DL869" s="128">
        <f>IFERROR(AZ869*$V869,)</f>
        <v/>
      </c>
      <c r="DM869" s="129">
        <f>IFERROR(if($X869=0,($V869/1.2)*BA869,
BA869*$X869),)</f>
        <v/>
      </c>
      <c r="DN869" s="129">
        <f>IFERROR(if($X869=0,($V869/1.2)*BB869,
BB869*$X869),)</f>
        <v/>
      </c>
      <c r="DO869" s="129">
        <f>IFERROR(if($X869=0,($V869/1.2)*BC869,
BC869*$X869),)</f>
        <v/>
      </c>
      <c r="DP869" s="130">
        <f>IFERROR(if($Z869=0,($V869/1.35)*BD869,
BD869*$Z869),)</f>
        <v/>
      </c>
      <c r="DQ869" s="130">
        <f>IFERROR(if($Z869=0,($V869/1.35)*BE869,
BE869*$Z869),)</f>
        <v/>
      </c>
      <c r="DR869" s="130">
        <f>IFERROR(if($Z869=0,($V869/1.35)*BF869,
BF869*$Z869),)</f>
        <v/>
      </c>
      <c r="DS869" s="128">
        <f>IFERROR(IF($AB869=0,($V869/0.74)*BG869,
BG869*$AB869),)</f>
        <v/>
      </c>
      <c r="DT869" s="128">
        <f>IFERROR(IF($AB869=0,($V869/0.74)*BH869,
BH869*$AB869),)</f>
        <v/>
      </c>
      <c r="DU869" s="128">
        <f>IFERROR(IF($AB869=0,($V869/0.74)*BI869,
BI869*$AB869),)</f>
        <v/>
      </c>
    </row>
    <row r="870" ht="131.25" customHeight="1" s="162">
      <c r="A870" s="115" t="n"/>
      <c r="B870" s="115" t="n"/>
      <c r="C870" s="115" t="n"/>
      <c r="D870" s="115" t="n"/>
      <c r="E870" s="115" t="n"/>
      <c r="F870" s="115" t="n"/>
      <c r="G870" s="115" t="n"/>
      <c r="H870" s="115" t="n"/>
      <c r="I870" s="115" t="n"/>
      <c r="J870" s="115" t="n"/>
      <c r="K870" s="115" t="n"/>
      <c r="L870" s="115" t="n"/>
      <c r="M870" s="115" t="n"/>
      <c r="N870" s="115" t="n"/>
      <c r="O870" s="115" t="n"/>
      <c r="P870" s="115" t="n"/>
      <c r="Q870" s="115" t="n"/>
      <c r="R870" s="115" t="n"/>
      <c r="S870" s="115" t="n"/>
      <c r="T870" s="115" t="n"/>
      <c r="U870" s="116" t="n"/>
      <c r="V870" s="116" t="n"/>
      <c r="W870" s="117" t="n"/>
      <c r="X870" s="118" t="n"/>
      <c r="Y870" s="119" t="n"/>
      <c r="Z870" s="120" t="n"/>
      <c r="AA870" s="121" t="n"/>
      <c r="AB870" s="122" t="n"/>
      <c r="AC870" s="117" t="n"/>
      <c r="AD870" s="123">
        <f>IF(SUM($AE870:$AH870)=0,"",SUM($AE870:$AH870))</f>
        <v/>
      </c>
      <c r="AE870" s="123">
        <f>iferror(IF(SUM($AI870:$AZ870)=0,"",SUM($AI870:$AZ870)),"")</f>
        <v/>
      </c>
      <c r="AF870" s="123">
        <f>iferror(IF(SUM($BA870:$BC870)=0,"",SUM($BA870:$BC870)),"")</f>
        <v/>
      </c>
      <c r="AG870" s="123">
        <f>iferror(IF(SUM($BD870:$BF870)=0,"",SUM($BD870:$BF870)),"")</f>
        <v/>
      </c>
      <c r="AH870" s="124">
        <f>iferror(IF(SUM($BG870:$BI870)=0,"",SUM($BG870:$BI870)),"")</f>
        <v/>
      </c>
      <c r="AI870" s="131" t="n"/>
      <c r="AJ870" s="132" t="n"/>
      <c r="AK870" s="132" t="n"/>
      <c r="AL870" s="132" t="n"/>
      <c r="AM870" s="132" t="n"/>
      <c r="AN870" s="132" t="n"/>
      <c r="AO870" s="132" t="n"/>
      <c r="AP870" s="132" t="n"/>
      <c r="AQ870" s="132" t="n"/>
      <c r="AR870" s="132" t="n"/>
      <c r="AS870" s="132" t="n"/>
      <c r="AT870" s="132" t="n"/>
      <c r="AU870" s="132" t="n"/>
      <c r="AV870" s="132" t="n"/>
      <c r="AW870" s="132" t="n"/>
      <c r="AX870" s="132" t="n"/>
      <c r="AY870" s="132" t="n"/>
      <c r="AZ870" s="133" t="n"/>
      <c r="BA870" s="131" t="n"/>
      <c r="BB870" s="132" t="n"/>
      <c r="BC870" s="133" t="n"/>
      <c r="BD870" s="131" t="n"/>
      <c r="BE870" s="132" t="n"/>
      <c r="BF870" s="133" t="n"/>
      <c r="BG870" s="131" t="n"/>
      <c r="BH870" s="132" t="n"/>
      <c r="BI870" s="132" t="n"/>
      <c r="BJ870" s="128">
        <f>iferror(SUM($BK870,($BL870*1.2),($BM870*1.35),($BN870*0.74)),)</f>
        <v/>
      </c>
      <c r="BK870" s="128">
        <f>IFERROR(SUM($BT870:$CK870),)</f>
        <v/>
      </c>
      <c r="BL870" s="129">
        <f>IFERROR(SUM($CL870:$CN870),)</f>
        <v/>
      </c>
      <c r="BM870" s="130">
        <f>IFERROR(SUM($CO870:$CQ870),)</f>
        <v/>
      </c>
      <c r="BN870" s="128">
        <f>IFERROR(SUM($CR870:$CT870),)</f>
        <v/>
      </c>
      <c r="BO870" s="128">
        <f>iferror(SUM($BP870,($BQ870*1.2),($BR870*1.35),($BS870*0.74)),)</f>
        <v/>
      </c>
      <c r="BP870" s="128">
        <f>IFERROR(SUM($CU870:$DL870),)</f>
        <v/>
      </c>
      <c r="BQ870" s="128">
        <f>IFERROR(SUM($DM870:$DO870),)</f>
        <v/>
      </c>
      <c r="BR870" s="128">
        <f>IFERROR(SUM($DP870:$DR870),)</f>
        <v/>
      </c>
      <c r="BS870" s="128">
        <f>IFERROR(SUM($DS870:$DU870),)</f>
        <v/>
      </c>
      <c r="BT870" s="128">
        <f>IFERROR(AI870*$W870,)</f>
        <v/>
      </c>
      <c r="BU870" s="128">
        <f>IFERROR(AJ870*$W870,)</f>
        <v/>
      </c>
      <c r="BV870" s="128">
        <f>IFERROR(AK870*$W870,)</f>
        <v/>
      </c>
      <c r="BW870" s="128">
        <f>IFERROR(AL870*$W870,)</f>
        <v/>
      </c>
      <c r="BX870" s="128">
        <f>IFERROR(AM870*$W870,)</f>
        <v/>
      </c>
      <c r="BY870" s="128">
        <f>IFERROR(AN870*$W870,)</f>
        <v/>
      </c>
      <c r="BZ870" s="128">
        <f>IFERROR(AO870*$W870,)</f>
        <v/>
      </c>
      <c r="CA870" s="128">
        <f>IFERROR(AP870*$W870,)</f>
        <v/>
      </c>
      <c r="CB870" s="128">
        <f>IFERROR(AQ870*$W870,)</f>
        <v/>
      </c>
      <c r="CC870" s="128">
        <f>IFERROR(AR870*$W870,)</f>
        <v/>
      </c>
      <c r="CD870" s="128">
        <f>IFERROR(AS870*$W870,)</f>
        <v/>
      </c>
      <c r="CE870" s="128">
        <f>IFERROR(AT870*$W870,)</f>
        <v/>
      </c>
      <c r="CF870" s="128">
        <f>IFERROR(AU870*$W870,)</f>
        <v/>
      </c>
      <c r="CG870" s="128">
        <f>IFERROR(AV870*$W870,)</f>
        <v/>
      </c>
      <c r="CH870" s="128">
        <f>IFERROR(AW870*$W870,)</f>
        <v/>
      </c>
      <c r="CI870" s="128">
        <f>IFERROR(AX870*$W870,)</f>
        <v/>
      </c>
      <c r="CJ870" s="128">
        <f>IFERROR(AY870*$W870,)</f>
        <v/>
      </c>
      <c r="CK870" s="128">
        <f>IFERROR(AZ870*$W870,)</f>
        <v/>
      </c>
      <c r="CL870" s="129">
        <f>IFERROR(if($Y870=0,BA870*($W870/1.2),BA870*$Y870),"")</f>
        <v/>
      </c>
      <c r="CM870" s="129">
        <f>IFERROR(if($Y870=0,BB870*($W870/1.2),BB870*$Y870),"")</f>
        <v/>
      </c>
      <c r="CN870" s="129">
        <f>IFERROR(if($Y870=0,BC870*($W870/1.2),BC870*$Y870),"")</f>
        <v/>
      </c>
      <c r="CO870" s="130">
        <f>IFERROR(if($AA870=0,($W870/1.35)*BD870,BD870*$AA870),)</f>
        <v/>
      </c>
      <c r="CP870" s="130">
        <f>IFERROR(if($AA870=0,($W870/1.35)*BE870,BE870*$AA870),)</f>
        <v/>
      </c>
      <c r="CQ870" s="130">
        <f>IFERROR(if($AA870=0,($W870/1.35)*BF870,BF870*$AA870),)</f>
        <v/>
      </c>
      <c r="CR870" s="128">
        <f>IFERROR(if($AC870=0,($W870/0.74)*BG870,
BG870*$AC870),)</f>
        <v/>
      </c>
      <c r="CS870" s="128">
        <f>IFERROR(if($AC870=0,($W870/0.74)*BH870,
BH870*$AC870),)</f>
        <v/>
      </c>
      <c r="CT870" s="128">
        <f>IFERROR(if($AC870=0,($W870/0.74)*BI870,
BI870*$AC870),)</f>
        <v/>
      </c>
      <c r="CU870" s="128">
        <f>IFERROR(AI870*$V870,)</f>
        <v/>
      </c>
      <c r="CV870" s="128">
        <f>IFERROR(AJ870*$V870,)</f>
        <v/>
      </c>
      <c r="CW870" s="128">
        <f>IFERROR(AK870*$V870,)</f>
        <v/>
      </c>
      <c r="CX870" s="128">
        <f>IFERROR(AL870*$V870,)</f>
        <v/>
      </c>
      <c r="CY870" s="128">
        <f>IFERROR(AM870*$V870,)</f>
        <v/>
      </c>
      <c r="CZ870" s="128">
        <f>IFERROR(AN870*$V870,)</f>
        <v/>
      </c>
      <c r="DA870" s="128">
        <f>IFERROR(AO870*$V870,)</f>
        <v/>
      </c>
      <c r="DB870" s="128">
        <f>IFERROR(AP870*$V870,)</f>
        <v/>
      </c>
      <c r="DC870" s="128">
        <f>IFERROR(AQ870*$V870,)</f>
        <v/>
      </c>
      <c r="DD870" s="128">
        <f>IFERROR(AR870*$V870,)</f>
        <v/>
      </c>
      <c r="DE870" s="128">
        <f>IFERROR(AS870*$V870,)</f>
        <v/>
      </c>
      <c r="DF870" s="128">
        <f>IFERROR(AT870*$V870,)</f>
        <v/>
      </c>
      <c r="DG870" s="128">
        <f>IFERROR(AU870*$V870,)</f>
        <v/>
      </c>
      <c r="DH870" s="128">
        <f>IFERROR(AV870*$V870,)</f>
        <v/>
      </c>
      <c r="DI870" s="128">
        <f>IFERROR(AW870*$V870,)</f>
        <v/>
      </c>
      <c r="DJ870" s="128">
        <f>IFERROR(AX870*$V870,)</f>
        <v/>
      </c>
      <c r="DK870" s="128">
        <f>IFERROR(AY870*$V870,)</f>
        <v/>
      </c>
      <c r="DL870" s="128">
        <f>IFERROR(AZ870*$V870,)</f>
        <v/>
      </c>
      <c r="DM870" s="129">
        <f>IFERROR(if($X870=0,($V870/1.2)*BA870,
BA870*$X870),)</f>
        <v/>
      </c>
      <c r="DN870" s="129">
        <f>IFERROR(if($X870=0,($V870/1.2)*BB870,
BB870*$X870),)</f>
        <v/>
      </c>
      <c r="DO870" s="129">
        <f>IFERROR(if($X870=0,($V870/1.2)*BC870,
BC870*$X870),)</f>
        <v/>
      </c>
      <c r="DP870" s="130">
        <f>IFERROR(if($Z870=0,($V870/1.35)*BD870,
BD870*$Z870),)</f>
        <v/>
      </c>
      <c r="DQ870" s="130">
        <f>IFERROR(if($Z870=0,($V870/1.35)*BE870,
BE870*$Z870),)</f>
        <v/>
      </c>
      <c r="DR870" s="130">
        <f>IFERROR(if($Z870=0,($V870/1.35)*BF870,
BF870*$Z870),)</f>
        <v/>
      </c>
      <c r="DS870" s="128">
        <f>IFERROR(IF($AB870=0,($V870/0.74)*BG870,
BG870*$AB870),)</f>
        <v/>
      </c>
      <c r="DT870" s="128">
        <f>IFERROR(IF($AB870=0,($V870/0.74)*BH870,
BH870*$AB870),)</f>
        <v/>
      </c>
      <c r="DU870" s="128">
        <f>IFERROR(IF($AB870=0,($V870/0.74)*BI870,
BI870*$AB870),)</f>
        <v/>
      </c>
    </row>
    <row r="871" ht="131.25" customHeight="1" s="162">
      <c r="A871" s="115" t="n"/>
      <c r="B871" s="115" t="n"/>
      <c r="C871" s="115" t="n"/>
      <c r="D871" s="115" t="n"/>
      <c r="E871" s="115" t="n"/>
      <c r="F871" s="115" t="n"/>
      <c r="G871" s="115" t="n"/>
      <c r="H871" s="115" t="n"/>
      <c r="I871" s="115" t="n"/>
      <c r="J871" s="115" t="n"/>
      <c r="K871" s="115" t="n"/>
      <c r="L871" s="115" t="n"/>
      <c r="M871" s="115" t="n"/>
      <c r="N871" s="115" t="n"/>
      <c r="O871" s="115" t="n"/>
      <c r="P871" s="115" t="n"/>
      <c r="Q871" s="115" t="n"/>
      <c r="R871" s="115" t="n"/>
      <c r="S871" s="115" t="n"/>
      <c r="T871" s="115" t="n"/>
      <c r="U871" s="116" t="n"/>
      <c r="V871" s="116" t="n"/>
      <c r="W871" s="117" t="n"/>
      <c r="X871" s="118" t="n"/>
      <c r="Y871" s="119" t="n"/>
      <c r="Z871" s="120" t="n"/>
      <c r="AA871" s="121" t="n"/>
      <c r="AB871" s="122" t="n"/>
      <c r="AC871" s="117" t="n"/>
      <c r="AD871" s="123">
        <f>IF(SUM($AE871:$AH871)=0,"",SUM($AE871:$AH871))</f>
        <v/>
      </c>
      <c r="AE871" s="123">
        <f>iferror(IF(SUM($AI871:$AZ871)=0,"",SUM($AI871:$AZ871)),"")</f>
        <v/>
      </c>
      <c r="AF871" s="123">
        <f>iferror(IF(SUM($BA871:$BC871)=0,"",SUM($BA871:$BC871)),"")</f>
        <v/>
      </c>
      <c r="AG871" s="123">
        <f>iferror(IF(SUM($BD871:$BF871)=0,"",SUM($BD871:$BF871)),"")</f>
        <v/>
      </c>
      <c r="AH871" s="124">
        <f>iferror(IF(SUM($BG871:$BI871)=0,"",SUM($BG871:$BI871)),"")</f>
        <v/>
      </c>
      <c r="AI871" s="131" t="n"/>
      <c r="AJ871" s="132" t="n"/>
      <c r="AK871" s="132" t="n"/>
      <c r="AL871" s="132" t="n"/>
      <c r="AM871" s="132" t="n"/>
      <c r="AN871" s="132" t="n"/>
      <c r="AO871" s="132" t="n"/>
      <c r="AP871" s="132" t="n"/>
      <c r="AQ871" s="132" t="n"/>
      <c r="AR871" s="132" t="n"/>
      <c r="AS871" s="132" t="n"/>
      <c r="AT871" s="132" t="n"/>
      <c r="AU871" s="132" t="n"/>
      <c r="AV871" s="132" t="n"/>
      <c r="AW871" s="132" t="n"/>
      <c r="AX871" s="132" t="n"/>
      <c r="AY871" s="132" t="n"/>
      <c r="AZ871" s="133" t="n"/>
      <c r="BA871" s="131" t="n"/>
      <c r="BB871" s="132" t="n"/>
      <c r="BC871" s="133" t="n"/>
      <c r="BD871" s="131" t="n"/>
      <c r="BE871" s="132" t="n"/>
      <c r="BF871" s="133" t="n"/>
      <c r="BG871" s="131" t="n"/>
      <c r="BH871" s="132" t="n"/>
      <c r="BI871" s="132" t="n"/>
      <c r="BJ871" s="128">
        <f>iferror(SUM($BK871,($BL871*1.2),($BM871*1.35),($BN871*0.74)),)</f>
        <v/>
      </c>
      <c r="BK871" s="128">
        <f>IFERROR(SUM($BT871:$CK871),)</f>
        <v/>
      </c>
      <c r="BL871" s="129">
        <f>IFERROR(SUM($CL871:$CN871),)</f>
        <v/>
      </c>
      <c r="BM871" s="130">
        <f>IFERROR(SUM($CO871:$CQ871),)</f>
        <v/>
      </c>
      <c r="BN871" s="128">
        <f>IFERROR(SUM($CR871:$CT871),)</f>
        <v/>
      </c>
      <c r="BO871" s="128">
        <f>iferror(SUM($BP871,($BQ871*1.2),($BR871*1.35),($BS871*0.74)),)</f>
        <v/>
      </c>
      <c r="BP871" s="128">
        <f>IFERROR(SUM($CU871:$DL871),)</f>
        <v/>
      </c>
      <c r="BQ871" s="128">
        <f>IFERROR(SUM($DM871:$DO871),)</f>
        <v/>
      </c>
      <c r="BR871" s="128">
        <f>IFERROR(SUM($DP871:$DR871),)</f>
        <v/>
      </c>
      <c r="BS871" s="128">
        <f>IFERROR(SUM($DS871:$DU871),)</f>
        <v/>
      </c>
      <c r="BT871" s="128">
        <f>IFERROR(AI871*$W871,)</f>
        <v/>
      </c>
      <c r="BU871" s="128">
        <f>IFERROR(AJ871*$W871,)</f>
        <v/>
      </c>
      <c r="BV871" s="128">
        <f>IFERROR(AK871*$W871,)</f>
        <v/>
      </c>
      <c r="BW871" s="128">
        <f>IFERROR(AL871*$W871,)</f>
        <v/>
      </c>
      <c r="BX871" s="128">
        <f>IFERROR(AM871*$W871,)</f>
        <v/>
      </c>
      <c r="BY871" s="128">
        <f>IFERROR(AN871*$W871,)</f>
        <v/>
      </c>
      <c r="BZ871" s="128">
        <f>IFERROR(AO871*$W871,)</f>
        <v/>
      </c>
      <c r="CA871" s="128">
        <f>IFERROR(AP871*$W871,)</f>
        <v/>
      </c>
      <c r="CB871" s="128">
        <f>IFERROR(AQ871*$W871,)</f>
        <v/>
      </c>
      <c r="CC871" s="128">
        <f>IFERROR(AR871*$W871,)</f>
        <v/>
      </c>
      <c r="CD871" s="128">
        <f>IFERROR(AS871*$W871,)</f>
        <v/>
      </c>
      <c r="CE871" s="128">
        <f>IFERROR(AT871*$W871,)</f>
        <v/>
      </c>
      <c r="CF871" s="128">
        <f>IFERROR(AU871*$W871,)</f>
        <v/>
      </c>
      <c r="CG871" s="128">
        <f>IFERROR(AV871*$W871,)</f>
        <v/>
      </c>
      <c r="CH871" s="128">
        <f>IFERROR(AW871*$W871,)</f>
        <v/>
      </c>
      <c r="CI871" s="128">
        <f>IFERROR(AX871*$W871,)</f>
        <v/>
      </c>
      <c r="CJ871" s="128">
        <f>IFERROR(AY871*$W871,)</f>
        <v/>
      </c>
      <c r="CK871" s="128">
        <f>IFERROR(AZ871*$W871,)</f>
        <v/>
      </c>
      <c r="CL871" s="129">
        <f>IFERROR(if($Y871=0,BA871*($W871/1.2),BA871*$Y871),"")</f>
        <v/>
      </c>
      <c r="CM871" s="129">
        <f>IFERROR(if($Y871=0,BB871*($W871/1.2),BB871*$Y871),"")</f>
        <v/>
      </c>
      <c r="CN871" s="129">
        <f>IFERROR(if($Y871=0,BC871*($W871/1.2),BC871*$Y871),"")</f>
        <v/>
      </c>
      <c r="CO871" s="130">
        <f>IFERROR(if($AA871=0,($W871/1.35)*BD871,BD871*$AA871),)</f>
        <v/>
      </c>
      <c r="CP871" s="130">
        <f>IFERROR(if($AA871=0,($W871/1.35)*BE871,BE871*$AA871),)</f>
        <v/>
      </c>
      <c r="CQ871" s="130">
        <f>IFERROR(if($AA871=0,($W871/1.35)*BF871,BF871*$AA871),)</f>
        <v/>
      </c>
      <c r="CR871" s="128">
        <f>IFERROR(if($AC871=0,($W871/0.74)*BG871,
BG871*$AC871),)</f>
        <v/>
      </c>
      <c r="CS871" s="128">
        <f>IFERROR(if($AC871=0,($W871/0.74)*BH871,
BH871*$AC871),)</f>
        <v/>
      </c>
      <c r="CT871" s="128">
        <f>IFERROR(if($AC871=0,($W871/0.74)*BI871,
BI871*$AC871),)</f>
        <v/>
      </c>
      <c r="CU871" s="128">
        <f>IFERROR(AI871*$V871,)</f>
        <v/>
      </c>
      <c r="CV871" s="128">
        <f>IFERROR(AJ871*$V871,)</f>
        <v/>
      </c>
      <c r="CW871" s="128">
        <f>IFERROR(AK871*$V871,)</f>
        <v/>
      </c>
      <c r="CX871" s="128">
        <f>IFERROR(AL871*$V871,)</f>
        <v/>
      </c>
      <c r="CY871" s="128">
        <f>IFERROR(AM871*$V871,)</f>
        <v/>
      </c>
      <c r="CZ871" s="128">
        <f>IFERROR(AN871*$V871,)</f>
        <v/>
      </c>
      <c r="DA871" s="128">
        <f>IFERROR(AO871*$V871,)</f>
        <v/>
      </c>
      <c r="DB871" s="128">
        <f>IFERROR(AP871*$V871,)</f>
        <v/>
      </c>
      <c r="DC871" s="128">
        <f>IFERROR(AQ871*$V871,)</f>
        <v/>
      </c>
      <c r="DD871" s="128">
        <f>IFERROR(AR871*$V871,)</f>
        <v/>
      </c>
      <c r="DE871" s="128">
        <f>IFERROR(AS871*$V871,)</f>
        <v/>
      </c>
      <c r="DF871" s="128">
        <f>IFERROR(AT871*$V871,)</f>
        <v/>
      </c>
      <c r="DG871" s="128">
        <f>IFERROR(AU871*$V871,)</f>
        <v/>
      </c>
      <c r="DH871" s="128">
        <f>IFERROR(AV871*$V871,)</f>
        <v/>
      </c>
      <c r="DI871" s="128">
        <f>IFERROR(AW871*$V871,)</f>
        <v/>
      </c>
      <c r="DJ871" s="128">
        <f>IFERROR(AX871*$V871,)</f>
        <v/>
      </c>
      <c r="DK871" s="128">
        <f>IFERROR(AY871*$V871,)</f>
        <v/>
      </c>
      <c r="DL871" s="128">
        <f>IFERROR(AZ871*$V871,)</f>
        <v/>
      </c>
      <c r="DM871" s="129">
        <f>IFERROR(if($X871=0,($V871/1.2)*BA871,
BA871*$X871),)</f>
        <v/>
      </c>
      <c r="DN871" s="129">
        <f>IFERROR(if($X871=0,($V871/1.2)*BB871,
BB871*$X871),)</f>
        <v/>
      </c>
      <c r="DO871" s="129">
        <f>IFERROR(if($X871=0,($V871/1.2)*BC871,
BC871*$X871),)</f>
        <v/>
      </c>
      <c r="DP871" s="130">
        <f>IFERROR(if($Z871=0,($V871/1.35)*BD871,
BD871*$Z871),)</f>
        <v/>
      </c>
      <c r="DQ871" s="130">
        <f>IFERROR(if($Z871=0,($V871/1.35)*BE871,
BE871*$Z871),)</f>
        <v/>
      </c>
      <c r="DR871" s="130">
        <f>IFERROR(if($Z871=0,($V871/1.35)*BF871,
BF871*$Z871),)</f>
        <v/>
      </c>
      <c r="DS871" s="128">
        <f>IFERROR(IF($AB871=0,($V871/0.74)*BG871,
BG871*$AB871),)</f>
        <v/>
      </c>
      <c r="DT871" s="128">
        <f>IFERROR(IF($AB871=0,($V871/0.74)*BH871,
BH871*$AB871),)</f>
        <v/>
      </c>
      <c r="DU871" s="128">
        <f>IFERROR(IF($AB871=0,($V871/0.74)*BI871,
BI871*$AB871),)</f>
        <v/>
      </c>
    </row>
    <row r="872" ht="131.25" customHeight="1" s="162">
      <c r="A872" s="115" t="n"/>
      <c r="B872" s="115" t="n"/>
      <c r="C872" s="115" t="n"/>
      <c r="D872" s="115" t="n"/>
      <c r="E872" s="115" t="n"/>
      <c r="F872" s="115" t="n"/>
      <c r="G872" s="115" t="n"/>
      <c r="H872" s="115" t="n"/>
      <c r="I872" s="115" t="n"/>
      <c r="J872" s="115" t="n"/>
      <c r="K872" s="115" t="n"/>
      <c r="L872" s="115" t="n"/>
      <c r="M872" s="115" t="n"/>
      <c r="N872" s="115" t="n"/>
      <c r="O872" s="115" t="n"/>
      <c r="P872" s="115" t="n"/>
      <c r="Q872" s="115" t="n"/>
      <c r="R872" s="115" t="n"/>
      <c r="S872" s="115" t="n"/>
      <c r="T872" s="115" t="n"/>
      <c r="U872" s="116" t="n"/>
      <c r="V872" s="116" t="n"/>
      <c r="W872" s="117" t="n"/>
      <c r="X872" s="118" t="n"/>
      <c r="Y872" s="119" t="n"/>
      <c r="Z872" s="120" t="n"/>
      <c r="AA872" s="121" t="n"/>
      <c r="AB872" s="122" t="n"/>
      <c r="AC872" s="117" t="n"/>
      <c r="AD872" s="123">
        <f>IF(SUM($AE872:$AH872)=0,"",SUM($AE872:$AH872))</f>
        <v/>
      </c>
      <c r="AE872" s="123">
        <f>iferror(IF(SUM($AI872:$AZ872)=0,"",SUM($AI872:$AZ872)),"")</f>
        <v/>
      </c>
      <c r="AF872" s="123">
        <f>iferror(IF(SUM($BA872:$BC872)=0,"",SUM($BA872:$BC872)),"")</f>
        <v/>
      </c>
      <c r="AG872" s="123">
        <f>iferror(IF(SUM($BD872:$BF872)=0,"",SUM($BD872:$BF872)),"")</f>
        <v/>
      </c>
      <c r="AH872" s="124">
        <f>iferror(IF(SUM($BG872:$BI872)=0,"",SUM($BG872:$BI872)),"")</f>
        <v/>
      </c>
      <c r="AI872" s="131" t="n"/>
      <c r="AJ872" s="132" t="n"/>
      <c r="AK872" s="132" t="n"/>
      <c r="AL872" s="132" t="n"/>
      <c r="AM872" s="132" t="n"/>
      <c r="AN872" s="132" t="n"/>
      <c r="AO872" s="132" t="n"/>
      <c r="AP872" s="132" t="n"/>
      <c r="AQ872" s="132" t="n"/>
      <c r="AR872" s="132" t="n"/>
      <c r="AS872" s="132" t="n"/>
      <c r="AT872" s="132" t="n"/>
      <c r="AU872" s="132" t="n"/>
      <c r="AV872" s="132" t="n"/>
      <c r="AW872" s="132" t="n"/>
      <c r="AX872" s="132" t="n"/>
      <c r="AY872" s="132" t="n"/>
      <c r="AZ872" s="133" t="n"/>
      <c r="BA872" s="131" t="n"/>
      <c r="BB872" s="132" t="n"/>
      <c r="BC872" s="133" t="n"/>
      <c r="BD872" s="131" t="n"/>
      <c r="BE872" s="132" t="n"/>
      <c r="BF872" s="133" t="n"/>
      <c r="BG872" s="131" t="n"/>
      <c r="BH872" s="132" t="n"/>
      <c r="BI872" s="132" t="n"/>
      <c r="BJ872" s="128">
        <f>iferror(SUM($BK872,($BL872*1.2),($BM872*1.35),($BN872*0.74)),)</f>
        <v/>
      </c>
      <c r="BK872" s="128">
        <f>IFERROR(SUM($BT872:$CK872),)</f>
        <v/>
      </c>
      <c r="BL872" s="129">
        <f>IFERROR(SUM($CL872:$CN872),)</f>
        <v/>
      </c>
      <c r="BM872" s="130">
        <f>IFERROR(SUM($CO872:$CQ872),)</f>
        <v/>
      </c>
      <c r="BN872" s="128">
        <f>IFERROR(SUM($CR872:$CT872),)</f>
        <v/>
      </c>
      <c r="BO872" s="128">
        <f>iferror(SUM($BP872,($BQ872*1.2),($BR872*1.35),($BS872*0.74)),)</f>
        <v/>
      </c>
      <c r="BP872" s="128">
        <f>IFERROR(SUM($CU872:$DL872),)</f>
        <v/>
      </c>
      <c r="BQ872" s="128">
        <f>IFERROR(SUM($DM872:$DO872),)</f>
        <v/>
      </c>
      <c r="BR872" s="128">
        <f>IFERROR(SUM($DP872:$DR872),)</f>
        <v/>
      </c>
      <c r="BS872" s="128">
        <f>IFERROR(SUM($DS872:$DU872),)</f>
        <v/>
      </c>
      <c r="BT872" s="128">
        <f>IFERROR(AI872*$W872,)</f>
        <v/>
      </c>
      <c r="BU872" s="128">
        <f>IFERROR(AJ872*$W872,)</f>
        <v/>
      </c>
      <c r="BV872" s="128">
        <f>IFERROR(AK872*$W872,)</f>
        <v/>
      </c>
      <c r="BW872" s="128">
        <f>IFERROR(AL872*$W872,)</f>
        <v/>
      </c>
      <c r="BX872" s="128">
        <f>IFERROR(AM872*$W872,)</f>
        <v/>
      </c>
      <c r="BY872" s="128">
        <f>IFERROR(AN872*$W872,)</f>
        <v/>
      </c>
      <c r="BZ872" s="128">
        <f>IFERROR(AO872*$W872,)</f>
        <v/>
      </c>
      <c r="CA872" s="128">
        <f>IFERROR(AP872*$W872,)</f>
        <v/>
      </c>
      <c r="CB872" s="128">
        <f>IFERROR(AQ872*$W872,)</f>
        <v/>
      </c>
      <c r="CC872" s="128">
        <f>IFERROR(AR872*$W872,)</f>
        <v/>
      </c>
      <c r="CD872" s="128">
        <f>IFERROR(AS872*$W872,)</f>
        <v/>
      </c>
      <c r="CE872" s="128">
        <f>IFERROR(AT872*$W872,)</f>
        <v/>
      </c>
      <c r="CF872" s="128">
        <f>IFERROR(AU872*$W872,)</f>
        <v/>
      </c>
      <c r="CG872" s="128">
        <f>IFERROR(AV872*$W872,)</f>
        <v/>
      </c>
      <c r="CH872" s="128">
        <f>IFERROR(AW872*$W872,)</f>
        <v/>
      </c>
      <c r="CI872" s="128">
        <f>IFERROR(AX872*$W872,)</f>
        <v/>
      </c>
      <c r="CJ872" s="128">
        <f>IFERROR(AY872*$W872,)</f>
        <v/>
      </c>
      <c r="CK872" s="128">
        <f>IFERROR(AZ872*$W872,)</f>
        <v/>
      </c>
      <c r="CL872" s="129">
        <f>IFERROR(if($Y872=0,BA872*($W872/1.2),BA872*$Y872),"")</f>
        <v/>
      </c>
      <c r="CM872" s="129">
        <f>IFERROR(if($Y872=0,BB872*($W872/1.2),BB872*$Y872),"")</f>
        <v/>
      </c>
      <c r="CN872" s="129">
        <f>IFERROR(if($Y872=0,BC872*($W872/1.2),BC872*$Y872),"")</f>
        <v/>
      </c>
      <c r="CO872" s="130">
        <f>IFERROR(if($AA872=0,($W872/1.35)*BD872,BD872*$AA872),)</f>
        <v/>
      </c>
      <c r="CP872" s="130">
        <f>IFERROR(if($AA872=0,($W872/1.35)*BE872,BE872*$AA872),)</f>
        <v/>
      </c>
      <c r="CQ872" s="130">
        <f>IFERROR(if($AA872=0,($W872/1.35)*BF872,BF872*$AA872),)</f>
        <v/>
      </c>
      <c r="CR872" s="128">
        <f>IFERROR(if($AC872=0,($W872/0.74)*BG872,
BG872*$AC872),)</f>
        <v/>
      </c>
      <c r="CS872" s="128">
        <f>IFERROR(if($AC872=0,($W872/0.74)*BH872,
BH872*$AC872),)</f>
        <v/>
      </c>
      <c r="CT872" s="128">
        <f>IFERROR(if($AC872=0,($W872/0.74)*BI872,
BI872*$AC872),)</f>
        <v/>
      </c>
      <c r="CU872" s="128">
        <f>IFERROR(AI872*$V872,)</f>
        <v/>
      </c>
      <c r="CV872" s="128">
        <f>IFERROR(AJ872*$V872,)</f>
        <v/>
      </c>
      <c r="CW872" s="128">
        <f>IFERROR(AK872*$V872,)</f>
        <v/>
      </c>
      <c r="CX872" s="128">
        <f>IFERROR(AL872*$V872,)</f>
        <v/>
      </c>
      <c r="CY872" s="128">
        <f>IFERROR(AM872*$V872,)</f>
        <v/>
      </c>
      <c r="CZ872" s="128">
        <f>IFERROR(AN872*$V872,)</f>
        <v/>
      </c>
      <c r="DA872" s="128">
        <f>IFERROR(AO872*$V872,)</f>
        <v/>
      </c>
      <c r="DB872" s="128">
        <f>IFERROR(AP872*$V872,)</f>
        <v/>
      </c>
      <c r="DC872" s="128">
        <f>IFERROR(AQ872*$V872,)</f>
        <v/>
      </c>
      <c r="DD872" s="128">
        <f>IFERROR(AR872*$V872,)</f>
        <v/>
      </c>
      <c r="DE872" s="128">
        <f>IFERROR(AS872*$V872,)</f>
        <v/>
      </c>
      <c r="DF872" s="128">
        <f>IFERROR(AT872*$V872,)</f>
        <v/>
      </c>
      <c r="DG872" s="128">
        <f>IFERROR(AU872*$V872,)</f>
        <v/>
      </c>
      <c r="DH872" s="128">
        <f>IFERROR(AV872*$V872,)</f>
        <v/>
      </c>
      <c r="DI872" s="128">
        <f>IFERROR(AW872*$V872,)</f>
        <v/>
      </c>
      <c r="DJ872" s="128">
        <f>IFERROR(AX872*$V872,)</f>
        <v/>
      </c>
      <c r="DK872" s="128">
        <f>IFERROR(AY872*$V872,)</f>
        <v/>
      </c>
      <c r="DL872" s="128">
        <f>IFERROR(AZ872*$V872,)</f>
        <v/>
      </c>
      <c r="DM872" s="129">
        <f>IFERROR(if($X872=0,($V872/1.2)*BA872,
BA872*$X872),)</f>
        <v/>
      </c>
      <c r="DN872" s="129">
        <f>IFERROR(if($X872=0,($V872/1.2)*BB872,
BB872*$X872),)</f>
        <v/>
      </c>
      <c r="DO872" s="129">
        <f>IFERROR(if($X872=0,($V872/1.2)*BC872,
BC872*$X872),)</f>
        <v/>
      </c>
      <c r="DP872" s="130">
        <f>IFERROR(if($Z872=0,($V872/1.35)*BD872,
BD872*$Z872),)</f>
        <v/>
      </c>
      <c r="DQ872" s="130">
        <f>IFERROR(if($Z872=0,($V872/1.35)*BE872,
BE872*$Z872),)</f>
        <v/>
      </c>
      <c r="DR872" s="130">
        <f>IFERROR(if($Z872=0,($V872/1.35)*BF872,
BF872*$Z872),)</f>
        <v/>
      </c>
      <c r="DS872" s="128">
        <f>IFERROR(IF($AB872=0,($V872/0.74)*BG872,
BG872*$AB872),)</f>
        <v/>
      </c>
      <c r="DT872" s="128">
        <f>IFERROR(IF($AB872=0,($V872/0.74)*BH872,
BH872*$AB872),)</f>
        <v/>
      </c>
      <c r="DU872" s="128">
        <f>IFERROR(IF($AB872=0,($V872/0.74)*BI872,
BI872*$AB872),)</f>
        <v/>
      </c>
    </row>
    <row r="873" ht="131.25" customHeight="1" s="162">
      <c r="A873" s="115" t="n"/>
      <c r="B873" s="115" t="n"/>
      <c r="C873" s="115" t="n"/>
      <c r="D873" s="115" t="n"/>
      <c r="E873" s="115" t="n"/>
      <c r="F873" s="115" t="n"/>
      <c r="G873" s="115" t="n"/>
      <c r="H873" s="115" t="n"/>
      <c r="I873" s="115" t="n"/>
      <c r="J873" s="115" t="n"/>
      <c r="K873" s="115" t="n"/>
      <c r="L873" s="115" t="n"/>
      <c r="M873" s="115" t="n"/>
      <c r="N873" s="115" t="n"/>
      <c r="O873" s="115" t="n"/>
      <c r="P873" s="115" t="n"/>
      <c r="Q873" s="115" t="n"/>
      <c r="R873" s="115" t="n"/>
      <c r="S873" s="115" t="n"/>
      <c r="T873" s="115" t="n"/>
      <c r="U873" s="116" t="n"/>
      <c r="V873" s="116" t="n"/>
      <c r="W873" s="117" t="n"/>
      <c r="X873" s="118" t="n"/>
      <c r="Y873" s="119" t="n"/>
      <c r="Z873" s="120" t="n"/>
      <c r="AA873" s="121" t="n"/>
      <c r="AB873" s="122" t="n"/>
      <c r="AC873" s="117" t="n"/>
      <c r="AD873" s="123">
        <f>IF(SUM($AE873:$AH873)=0,"",SUM($AE873:$AH873))</f>
        <v/>
      </c>
      <c r="AE873" s="123">
        <f>iferror(IF(SUM($AI873:$AZ873)=0,"",SUM($AI873:$AZ873)),"")</f>
        <v/>
      </c>
      <c r="AF873" s="123">
        <f>iferror(IF(SUM($BA873:$BC873)=0,"",SUM($BA873:$BC873)),"")</f>
        <v/>
      </c>
      <c r="AG873" s="123">
        <f>iferror(IF(SUM($BD873:$BF873)=0,"",SUM($BD873:$BF873)),"")</f>
        <v/>
      </c>
      <c r="AH873" s="124">
        <f>iferror(IF(SUM($BG873:$BI873)=0,"",SUM($BG873:$BI873)),"")</f>
        <v/>
      </c>
      <c r="AI873" s="131" t="n"/>
      <c r="AJ873" s="132" t="n"/>
      <c r="AK873" s="132" t="n"/>
      <c r="AL873" s="132" t="n"/>
      <c r="AM873" s="132" t="n"/>
      <c r="AN873" s="132" t="n"/>
      <c r="AO873" s="132" t="n"/>
      <c r="AP873" s="132" t="n"/>
      <c r="AQ873" s="132" t="n"/>
      <c r="AR873" s="132" t="n"/>
      <c r="AS873" s="132" t="n"/>
      <c r="AT873" s="132" t="n"/>
      <c r="AU873" s="132" t="n"/>
      <c r="AV873" s="132" t="n"/>
      <c r="AW873" s="132" t="n"/>
      <c r="AX873" s="132" t="n"/>
      <c r="AY873" s="132" t="n"/>
      <c r="AZ873" s="133" t="n"/>
      <c r="BA873" s="131" t="n"/>
      <c r="BB873" s="132" t="n"/>
      <c r="BC873" s="133" t="n"/>
      <c r="BD873" s="131" t="n"/>
      <c r="BE873" s="132" t="n"/>
      <c r="BF873" s="133" t="n"/>
      <c r="BG873" s="131" t="n"/>
      <c r="BH873" s="132" t="n"/>
      <c r="BI873" s="132" t="n"/>
      <c r="BJ873" s="128">
        <f>iferror(SUM($BK873,($BL873*1.2),($BM873*1.35),($BN873*0.74)),)</f>
        <v/>
      </c>
      <c r="BK873" s="128">
        <f>IFERROR(SUM($BT873:$CK873),)</f>
        <v/>
      </c>
      <c r="BL873" s="129">
        <f>IFERROR(SUM($CL873:$CN873),)</f>
        <v/>
      </c>
      <c r="BM873" s="130">
        <f>IFERROR(SUM($CO873:$CQ873),)</f>
        <v/>
      </c>
      <c r="BN873" s="128">
        <f>IFERROR(SUM($CR873:$CT873),)</f>
        <v/>
      </c>
      <c r="BO873" s="128">
        <f>iferror(SUM($BP873,($BQ873*1.2),($BR873*1.35),($BS873*0.74)),)</f>
        <v/>
      </c>
      <c r="BP873" s="128">
        <f>IFERROR(SUM($CU873:$DL873),)</f>
        <v/>
      </c>
      <c r="BQ873" s="128">
        <f>IFERROR(SUM($DM873:$DO873),)</f>
        <v/>
      </c>
      <c r="BR873" s="128">
        <f>IFERROR(SUM($DP873:$DR873),)</f>
        <v/>
      </c>
      <c r="BS873" s="128">
        <f>IFERROR(SUM($DS873:$DU873),)</f>
        <v/>
      </c>
      <c r="BT873" s="128">
        <f>IFERROR(AI873*$W873,)</f>
        <v/>
      </c>
      <c r="BU873" s="128">
        <f>IFERROR(AJ873*$W873,)</f>
        <v/>
      </c>
      <c r="BV873" s="128">
        <f>IFERROR(AK873*$W873,)</f>
        <v/>
      </c>
      <c r="BW873" s="128">
        <f>IFERROR(AL873*$W873,)</f>
        <v/>
      </c>
      <c r="BX873" s="128">
        <f>IFERROR(AM873*$W873,)</f>
        <v/>
      </c>
      <c r="BY873" s="128">
        <f>IFERROR(AN873*$W873,)</f>
        <v/>
      </c>
      <c r="BZ873" s="128">
        <f>IFERROR(AO873*$W873,)</f>
        <v/>
      </c>
      <c r="CA873" s="128">
        <f>IFERROR(AP873*$W873,)</f>
        <v/>
      </c>
      <c r="CB873" s="128">
        <f>IFERROR(AQ873*$W873,)</f>
        <v/>
      </c>
      <c r="CC873" s="128">
        <f>IFERROR(AR873*$W873,)</f>
        <v/>
      </c>
      <c r="CD873" s="128">
        <f>IFERROR(AS873*$W873,)</f>
        <v/>
      </c>
      <c r="CE873" s="128">
        <f>IFERROR(AT873*$W873,)</f>
        <v/>
      </c>
      <c r="CF873" s="128">
        <f>IFERROR(AU873*$W873,)</f>
        <v/>
      </c>
      <c r="CG873" s="128">
        <f>IFERROR(AV873*$W873,)</f>
        <v/>
      </c>
      <c r="CH873" s="128">
        <f>IFERROR(AW873*$W873,)</f>
        <v/>
      </c>
      <c r="CI873" s="128">
        <f>IFERROR(AX873*$W873,)</f>
        <v/>
      </c>
      <c r="CJ873" s="128">
        <f>IFERROR(AY873*$W873,)</f>
        <v/>
      </c>
      <c r="CK873" s="128">
        <f>IFERROR(AZ873*$W873,)</f>
        <v/>
      </c>
      <c r="CL873" s="129">
        <f>IFERROR(if($Y873=0,BA873*($W873/1.2),BA873*$Y873),"")</f>
        <v/>
      </c>
      <c r="CM873" s="129">
        <f>IFERROR(if($Y873=0,BB873*($W873/1.2),BB873*$Y873),"")</f>
        <v/>
      </c>
      <c r="CN873" s="129">
        <f>IFERROR(if($Y873=0,BC873*($W873/1.2),BC873*$Y873),"")</f>
        <v/>
      </c>
      <c r="CO873" s="130">
        <f>IFERROR(if($AA873=0,($W873/1.35)*BD873,BD873*$AA873),)</f>
        <v/>
      </c>
      <c r="CP873" s="130">
        <f>IFERROR(if($AA873=0,($W873/1.35)*BE873,BE873*$AA873),)</f>
        <v/>
      </c>
      <c r="CQ873" s="130">
        <f>IFERROR(if($AA873=0,($W873/1.35)*BF873,BF873*$AA873),)</f>
        <v/>
      </c>
      <c r="CR873" s="128">
        <f>IFERROR(if($AC873=0,($W873/0.74)*BG873,
BG873*$AC873),)</f>
        <v/>
      </c>
      <c r="CS873" s="128">
        <f>IFERROR(if($AC873=0,($W873/0.74)*BH873,
BH873*$AC873),)</f>
        <v/>
      </c>
      <c r="CT873" s="128">
        <f>IFERROR(if($AC873=0,($W873/0.74)*BI873,
BI873*$AC873),)</f>
        <v/>
      </c>
      <c r="CU873" s="128">
        <f>IFERROR(AI873*$V873,)</f>
        <v/>
      </c>
      <c r="CV873" s="128">
        <f>IFERROR(AJ873*$V873,)</f>
        <v/>
      </c>
      <c r="CW873" s="128">
        <f>IFERROR(AK873*$V873,)</f>
        <v/>
      </c>
      <c r="CX873" s="128">
        <f>IFERROR(AL873*$V873,)</f>
        <v/>
      </c>
      <c r="CY873" s="128">
        <f>IFERROR(AM873*$V873,)</f>
        <v/>
      </c>
      <c r="CZ873" s="128">
        <f>IFERROR(AN873*$V873,)</f>
        <v/>
      </c>
      <c r="DA873" s="128">
        <f>IFERROR(AO873*$V873,)</f>
        <v/>
      </c>
      <c r="DB873" s="128">
        <f>IFERROR(AP873*$V873,)</f>
        <v/>
      </c>
      <c r="DC873" s="128">
        <f>IFERROR(AQ873*$V873,)</f>
        <v/>
      </c>
      <c r="DD873" s="128">
        <f>IFERROR(AR873*$V873,)</f>
        <v/>
      </c>
      <c r="DE873" s="128">
        <f>IFERROR(AS873*$V873,)</f>
        <v/>
      </c>
      <c r="DF873" s="128">
        <f>IFERROR(AT873*$V873,)</f>
        <v/>
      </c>
      <c r="DG873" s="128">
        <f>IFERROR(AU873*$V873,)</f>
        <v/>
      </c>
      <c r="DH873" s="128">
        <f>IFERROR(AV873*$V873,)</f>
        <v/>
      </c>
      <c r="DI873" s="128">
        <f>IFERROR(AW873*$V873,)</f>
        <v/>
      </c>
      <c r="DJ873" s="128">
        <f>IFERROR(AX873*$V873,)</f>
        <v/>
      </c>
      <c r="DK873" s="128">
        <f>IFERROR(AY873*$V873,)</f>
        <v/>
      </c>
      <c r="DL873" s="128">
        <f>IFERROR(AZ873*$V873,)</f>
        <v/>
      </c>
      <c r="DM873" s="129">
        <f>IFERROR(if($X873=0,($V873/1.2)*BA873,
BA873*$X873),)</f>
        <v/>
      </c>
      <c r="DN873" s="129">
        <f>IFERROR(if($X873=0,($V873/1.2)*BB873,
BB873*$X873),)</f>
        <v/>
      </c>
      <c r="DO873" s="129">
        <f>IFERROR(if($X873=0,($V873/1.2)*BC873,
BC873*$X873),)</f>
        <v/>
      </c>
      <c r="DP873" s="130">
        <f>IFERROR(if($Z873=0,($V873/1.35)*BD873,
BD873*$Z873),)</f>
        <v/>
      </c>
      <c r="DQ873" s="130">
        <f>IFERROR(if($Z873=0,($V873/1.35)*BE873,
BE873*$Z873),)</f>
        <v/>
      </c>
      <c r="DR873" s="130">
        <f>IFERROR(if($Z873=0,($V873/1.35)*BF873,
BF873*$Z873),)</f>
        <v/>
      </c>
      <c r="DS873" s="128">
        <f>IFERROR(IF($AB873=0,($V873/0.74)*BG873,
BG873*$AB873),)</f>
        <v/>
      </c>
      <c r="DT873" s="128">
        <f>IFERROR(IF($AB873=0,($V873/0.74)*BH873,
BH873*$AB873),)</f>
        <v/>
      </c>
      <c r="DU873" s="128">
        <f>IFERROR(IF($AB873=0,($V873/0.74)*BI873,
BI873*$AB873),)</f>
        <v/>
      </c>
    </row>
    <row r="874" ht="131.25" customHeight="1" s="162">
      <c r="A874" s="115" t="n"/>
      <c r="B874" s="115" t="n"/>
      <c r="C874" s="115" t="n"/>
      <c r="D874" s="115" t="n"/>
      <c r="E874" s="115" t="n"/>
      <c r="F874" s="115" t="n"/>
      <c r="G874" s="115" t="n"/>
      <c r="H874" s="115" t="n"/>
      <c r="I874" s="115" t="n"/>
      <c r="J874" s="115" t="n"/>
      <c r="K874" s="115" t="n"/>
      <c r="L874" s="115" t="n"/>
      <c r="M874" s="115" t="n"/>
      <c r="N874" s="115" t="n"/>
      <c r="O874" s="115" t="n"/>
      <c r="P874" s="115" t="n"/>
      <c r="Q874" s="115" t="n"/>
      <c r="R874" s="115" t="n"/>
      <c r="S874" s="115" t="n"/>
      <c r="T874" s="115" t="n"/>
      <c r="U874" s="116" t="n"/>
      <c r="V874" s="116" t="n"/>
      <c r="W874" s="117" t="n"/>
      <c r="X874" s="118" t="n"/>
      <c r="Y874" s="119" t="n"/>
      <c r="Z874" s="120" t="n"/>
      <c r="AA874" s="121" t="n"/>
      <c r="AB874" s="122" t="n"/>
      <c r="AC874" s="117" t="n"/>
      <c r="AD874" s="123">
        <f>IF(SUM($AE874:$AH874)=0,"",SUM($AE874:$AH874))</f>
        <v/>
      </c>
      <c r="AE874" s="123">
        <f>iferror(IF(SUM($AI874:$AZ874)=0,"",SUM($AI874:$AZ874)),"")</f>
        <v/>
      </c>
      <c r="AF874" s="123">
        <f>iferror(IF(SUM($BA874:$BC874)=0,"",SUM($BA874:$BC874)),"")</f>
        <v/>
      </c>
      <c r="AG874" s="123">
        <f>iferror(IF(SUM($BD874:$BF874)=0,"",SUM($BD874:$BF874)),"")</f>
        <v/>
      </c>
      <c r="AH874" s="124">
        <f>iferror(IF(SUM($BG874:$BI874)=0,"",SUM($BG874:$BI874)),"")</f>
        <v/>
      </c>
      <c r="AI874" s="131" t="n"/>
      <c r="AJ874" s="132" t="n"/>
      <c r="AK874" s="132" t="n"/>
      <c r="AL874" s="132" t="n"/>
      <c r="AM874" s="132" t="n"/>
      <c r="AN874" s="132" t="n"/>
      <c r="AO874" s="132" t="n"/>
      <c r="AP874" s="132" t="n"/>
      <c r="AQ874" s="132" t="n"/>
      <c r="AR874" s="132" t="n"/>
      <c r="AS874" s="132" t="n"/>
      <c r="AT874" s="132" t="n"/>
      <c r="AU874" s="132" t="n"/>
      <c r="AV874" s="132" t="n"/>
      <c r="AW874" s="132" t="n"/>
      <c r="AX874" s="132" t="n"/>
      <c r="AY874" s="132" t="n"/>
      <c r="AZ874" s="133" t="n"/>
      <c r="BA874" s="131" t="n"/>
      <c r="BB874" s="132" t="n"/>
      <c r="BC874" s="133" t="n"/>
      <c r="BD874" s="131" t="n"/>
      <c r="BE874" s="132" t="n"/>
      <c r="BF874" s="133" t="n"/>
      <c r="BG874" s="131" t="n"/>
      <c r="BH874" s="132" t="n"/>
      <c r="BI874" s="132" t="n"/>
      <c r="BJ874" s="128">
        <f>iferror(SUM($BK874,($BL874*1.2),($BM874*1.35),($BN874*0.74)),)</f>
        <v/>
      </c>
      <c r="BK874" s="128">
        <f>IFERROR(SUM($BT874:$CK874),)</f>
        <v/>
      </c>
      <c r="BL874" s="129">
        <f>IFERROR(SUM($CL874:$CN874),)</f>
        <v/>
      </c>
      <c r="BM874" s="130">
        <f>IFERROR(SUM($CO874:$CQ874),)</f>
        <v/>
      </c>
      <c r="BN874" s="128">
        <f>IFERROR(SUM($CR874:$CT874),)</f>
        <v/>
      </c>
      <c r="BO874" s="128">
        <f>iferror(SUM($BP874,($BQ874*1.2),($BR874*1.35),($BS874*0.74)),)</f>
        <v/>
      </c>
      <c r="BP874" s="128">
        <f>IFERROR(SUM($CU874:$DL874),)</f>
        <v/>
      </c>
      <c r="BQ874" s="128">
        <f>IFERROR(SUM($DM874:$DO874),)</f>
        <v/>
      </c>
      <c r="BR874" s="128">
        <f>IFERROR(SUM($DP874:$DR874),)</f>
        <v/>
      </c>
      <c r="BS874" s="128">
        <f>IFERROR(SUM($DS874:$DU874),)</f>
        <v/>
      </c>
      <c r="BT874" s="128">
        <f>IFERROR(AI874*$W874,)</f>
        <v/>
      </c>
      <c r="BU874" s="128">
        <f>IFERROR(AJ874*$W874,)</f>
        <v/>
      </c>
      <c r="BV874" s="128">
        <f>IFERROR(AK874*$W874,)</f>
        <v/>
      </c>
      <c r="BW874" s="128">
        <f>IFERROR(AL874*$W874,)</f>
        <v/>
      </c>
      <c r="BX874" s="128">
        <f>IFERROR(AM874*$W874,)</f>
        <v/>
      </c>
      <c r="BY874" s="128">
        <f>IFERROR(AN874*$W874,)</f>
        <v/>
      </c>
      <c r="BZ874" s="128">
        <f>IFERROR(AO874*$W874,)</f>
        <v/>
      </c>
      <c r="CA874" s="128">
        <f>IFERROR(AP874*$W874,)</f>
        <v/>
      </c>
      <c r="CB874" s="128">
        <f>IFERROR(AQ874*$W874,)</f>
        <v/>
      </c>
      <c r="CC874" s="128">
        <f>IFERROR(AR874*$W874,)</f>
        <v/>
      </c>
      <c r="CD874" s="128">
        <f>IFERROR(AS874*$W874,)</f>
        <v/>
      </c>
      <c r="CE874" s="128">
        <f>IFERROR(AT874*$W874,)</f>
        <v/>
      </c>
      <c r="CF874" s="128">
        <f>IFERROR(AU874*$W874,)</f>
        <v/>
      </c>
      <c r="CG874" s="128">
        <f>IFERROR(AV874*$W874,)</f>
        <v/>
      </c>
      <c r="CH874" s="128">
        <f>IFERROR(AW874*$W874,)</f>
        <v/>
      </c>
      <c r="CI874" s="128">
        <f>IFERROR(AX874*$W874,)</f>
        <v/>
      </c>
      <c r="CJ874" s="128">
        <f>IFERROR(AY874*$W874,)</f>
        <v/>
      </c>
      <c r="CK874" s="128">
        <f>IFERROR(AZ874*$W874,)</f>
        <v/>
      </c>
      <c r="CL874" s="129">
        <f>IFERROR(if($Y874=0,BA874*($W874/1.2),BA874*$Y874),"")</f>
        <v/>
      </c>
      <c r="CM874" s="129">
        <f>IFERROR(if($Y874=0,BB874*($W874/1.2),BB874*$Y874),"")</f>
        <v/>
      </c>
      <c r="CN874" s="129">
        <f>IFERROR(if($Y874=0,BC874*($W874/1.2),BC874*$Y874),"")</f>
        <v/>
      </c>
      <c r="CO874" s="130">
        <f>IFERROR(if($AA874=0,($W874/1.35)*BD874,BD874*$AA874),)</f>
        <v/>
      </c>
      <c r="CP874" s="130">
        <f>IFERROR(if($AA874=0,($W874/1.35)*BE874,BE874*$AA874),)</f>
        <v/>
      </c>
      <c r="CQ874" s="130">
        <f>IFERROR(if($AA874=0,($W874/1.35)*BF874,BF874*$AA874),)</f>
        <v/>
      </c>
      <c r="CR874" s="128">
        <f>IFERROR(if($AC874=0,($W874/0.74)*BG874,
BG874*$AC874),)</f>
        <v/>
      </c>
      <c r="CS874" s="128">
        <f>IFERROR(if($AC874=0,($W874/0.74)*BH874,
BH874*$AC874),)</f>
        <v/>
      </c>
      <c r="CT874" s="128">
        <f>IFERROR(if($AC874=0,($W874/0.74)*BI874,
BI874*$AC874),)</f>
        <v/>
      </c>
      <c r="CU874" s="128">
        <f>IFERROR(AI874*$V874,)</f>
        <v/>
      </c>
      <c r="CV874" s="128">
        <f>IFERROR(AJ874*$V874,)</f>
        <v/>
      </c>
      <c r="CW874" s="128">
        <f>IFERROR(AK874*$V874,)</f>
        <v/>
      </c>
      <c r="CX874" s="128">
        <f>IFERROR(AL874*$V874,)</f>
        <v/>
      </c>
      <c r="CY874" s="128">
        <f>IFERROR(AM874*$V874,)</f>
        <v/>
      </c>
      <c r="CZ874" s="128">
        <f>IFERROR(AN874*$V874,)</f>
        <v/>
      </c>
      <c r="DA874" s="128">
        <f>IFERROR(AO874*$V874,)</f>
        <v/>
      </c>
      <c r="DB874" s="128">
        <f>IFERROR(AP874*$V874,)</f>
        <v/>
      </c>
      <c r="DC874" s="128">
        <f>IFERROR(AQ874*$V874,)</f>
        <v/>
      </c>
      <c r="DD874" s="128">
        <f>IFERROR(AR874*$V874,)</f>
        <v/>
      </c>
      <c r="DE874" s="128">
        <f>IFERROR(AS874*$V874,)</f>
        <v/>
      </c>
      <c r="DF874" s="128">
        <f>IFERROR(AT874*$V874,)</f>
        <v/>
      </c>
      <c r="DG874" s="128">
        <f>IFERROR(AU874*$V874,)</f>
        <v/>
      </c>
      <c r="DH874" s="128">
        <f>IFERROR(AV874*$V874,)</f>
        <v/>
      </c>
      <c r="DI874" s="128">
        <f>IFERROR(AW874*$V874,)</f>
        <v/>
      </c>
      <c r="DJ874" s="128">
        <f>IFERROR(AX874*$V874,)</f>
        <v/>
      </c>
      <c r="DK874" s="128">
        <f>IFERROR(AY874*$V874,)</f>
        <v/>
      </c>
      <c r="DL874" s="128">
        <f>IFERROR(AZ874*$V874,)</f>
        <v/>
      </c>
      <c r="DM874" s="129">
        <f>IFERROR(if($X874=0,($V874/1.2)*BA874,
BA874*$X874),)</f>
        <v/>
      </c>
      <c r="DN874" s="129">
        <f>IFERROR(if($X874=0,($V874/1.2)*BB874,
BB874*$X874),)</f>
        <v/>
      </c>
      <c r="DO874" s="129">
        <f>IFERROR(if($X874=0,($V874/1.2)*BC874,
BC874*$X874),)</f>
        <v/>
      </c>
      <c r="DP874" s="130">
        <f>IFERROR(if($Z874=0,($V874/1.35)*BD874,
BD874*$Z874),)</f>
        <v/>
      </c>
      <c r="DQ874" s="130">
        <f>IFERROR(if($Z874=0,($V874/1.35)*BE874,
BE874*$Z874),)</f>
        <v/>
      </c>
      <c r="DR874" s="130">
        <f>IFERROR(if($Z874=0,($V874/1.35)*BF874,
BF874*$Z874),)</f>
        <v/>
      </c>
      <c r="DS874" s="128">
        <f>IFERROR(IF($AB874=0,($V874/0.74)*BG874,
BG874*$AB874),)</f>
        <v/>
      </c>
      <c r="DT874" s="128">
        <f>IFERROR(IF($AB874=0,($V874/0.74)*BH874,
BH874*$AB874),)</f>
        <v/>
      </c>
      <c r="DU874" s="128">
        <f>IFERROR(IF($AB874=0,($V874/0.74)*BI874,
BI874*$AB874),)</f>
        <v/>
      </c>
    </row>
    <row r="875" ht="131.25" customHeight="1" s="162">
      <c r="A875" s="115" t="n"/>
      <c r="B875" s="115" t="n"/>
      <c r="C875" s="115" t="n"/>
      <c r="D875" s="115" t="n"/>
      <c r="E875" s="115" t="n"/>
      <c r="F875" s="115" t="n"/>
      <c r="G875" s="115" t="n"/>
      <c r="H875" s="115" t="n"/>
      <c r="I875" s="115" t="n"/>
      <c r="J875" s="115" t="n"/>
      <c r="K875" s="115" t="n"/>
      <c r="L875" s="115" t="n"/>
      <c r="M875" s="115" t="n"/>
      <c r="N875" s="115" t="n"/>
      <c r="O875" s="115" t="n"/>
      <c r="P875" s="115" t="n"/>
      <c r="Q875" s="115" t="n"/>
      <c r="R875" s="115" t="n"/>
      <c r="S875" s="115" t="n"/>
      <c r="T875" s="115" t="n"/>
      <c r="U875" s="116" t="n"/>
      <c r="V875" s="116" t="n"/>
      <c r="W875" s="117" t="n"/>
      <c r="X875" s="118" t="n"/>
      <c r="Y875" s="119" t="n"/>
      <c r="Z875" s="120" t="n"/>
      <c r="AA875" s="121" t="n"/>
      <c r="AB875" s="122" t="n"/>
      <c r="AC875" s="117" t="n"/>
      <c r="AD875" s="123">
        <f>IF(SUM($AE875:$AH875)=0,"",SUM($AE875:$AH875))</f>
        <v/>
      </c>
      <c r="AE875" s="123">
        <f>iferror(IF(SUM($AI875:$AZ875)=0,"",SUM($AI875:$AZ875)),"")</f>
        <v/>
      </c>
      <c r="AF875" s="123">
        <f>iferror(IF(SUM($BA875:$BC875)=0,"",SUM($BA875:$BC875)),"")</f>
        <v/>
      </c>
      <c r="AG875" s="123">
        <f>iferror(IF(SUM($BD875:$BF875)=0,"",SUM($BD875:$BF875)),"")</f>
        <v/>
      </c>
      <c r="AH875" s="124">
        <f>iferror(IF(SUM($BG875:$BI875)=0,"",SUM($BG875:$BI875)),"")</f>
        <v/>
      </c>
      <c r="AI875" s="131" t="n"/>
      <c r="AJ875" s="132" t="n"/>
      <c r="AK875" s="132" t="n"/>
      <c r="AL875" s="132" t="n"/>
      <c r="AM875" s="132" t="n"/>
      <c r="AN875" s="132" t="n"/>
      <c r="AO875" s="132" t="n"/>
      <c r="AP875" s="132" t="n"/>
      <c r="AQ875" s="132" t="n"/>
      <c r="AR875" s="132" t="n"/>
      <c r="AS875" s="132" t="n"/>
      <c r="AT875" s="132" t="n"/>
      <c r="AU875" s="132" t="n"/>
      <c r="AV875" s="132" t="n"/>
      <c r="AW875" s="132" t="n"/>
      <c r="AX875" s="132" t="n"/>
      <c r="AY875" s="132" t="n"/>
      <c r="AZ875" s="133" t="n"/>
      <c r="BA875" s="131" t="n"/>
      <c r="BB875" s="132" t="n"/>
      <c r="BC875" s="133" t="n"/>
      <c r="BD875" s="131" t="n"/>
      <c r="BE875" s="132" t="n"/>
      <c r="BF875" s="133" t="n"/>
      <c r="BG875" s="131" t="n"/>
      <c r="BH875" s="132" t="n"/>
      <c r="BI875" s="132" t="n"/>
      <c r="BJ875" s="128">
        <f>iferror(SUM($BK875,($BL875*1.2),($BM875*1.35),($BN875*0.74)),)</f>
        <v/>
      </c>
      <c r="BK875" s="128">
        <f>IFERROR(SUM($BT875:$CK875),)</f>
        <v/>
      </c>
      <c r="BL875" s="129">
        <f>IFERROR(SUM($CL875:$CN875),)</f>
        <v/>
      </c>
      <c r="BM875" s="130">
        <f>IFERROR(SUM($CO875:$CQ875),)</f>
        <v/>
      </c>
      <c r="BN875" s="128">
        <f>IFERROR(SUM($CR875:$CT875),)</f>
        <v/>
      </c>
      <c r="BO875" s="128">
        <f>iferror(SUM($BP875,($BQ875*1.2),($BR875*1.35),($BS875*0.74)),)</f>
        <v/>
      </c>
      <c r="BP875" s="128">
        <f>IFERROR(SUM($CU875:$DL875),)</f>
        <v/>
      </c>
      <c r="BQ875" s="128">
        <f>IFERROR(SUM($DM875:$DO875),)</f>
        <v/>
      </c>
      <c r="BR875" s="128">
        <f>IFERROR(SUM($DP875:$DR875),)</f>
        <v/>
      </c>
      <c r="BS875" s="128">
        <f>IFERROR(SUM($DS875:$DU875),)</f>
        <v/>
      </c>
      <c r="BT875" s="128">
        <f>IFERROR(AI875*$W875,)</f>
        <v/>
      </c>
      <c r="BU875" s="128">
        <f>IFERROR(AJ875*$W875,)</f>
        <v/>
      </c>
      <c r="BV875" s="128">
        <f>IFERROR(AK875*$W875,)</f>
        <v/>
      </c>
      <c r="BW875" s="128">
        <f>IFERROR(AL875*$W875,)</f>
        <v/>
      </c>
      <c r="BX875" s="128">
        <f>IFERROR(AM875*$W875,)</f>
        <v/>
      </c>
      <c r="BY875" s="128">
        <f>IFERROR(AN875*$W875,)</f>
        <v/>
      </c>
      <c r="BZ875" s="128">
        <f>IFERROR(AO875*$W875,)</f>
        <v/>
      </c>
      <c r="CA875" s="128">
        <f>IFERROR(AP875*$W875,)</f>
        <v/>
      </c>
      <c r="CB875" s="128">
        <f>IFERROR(AQ875*$W875,)</f>
        <v/>
      </c>
      <c r="CC875" s="128">
        <f>IFERROR(AR875*$W875,)</f>
        <v/>
      </c>
      <c r="CD875" s="128">
        <f>IFERROR(AS875*$W875,)</f>
        <v/>
      </c>
      <c r="CE875" s="128">
        <f>IFERROR(AT875*$W875,)</f>
        <v/>
      </c>
      <c r="CF875" s="128">
        <f>IFERROR(AU875*$W875,)</f>
        <v/>
      </c>
      <c r="CG875" s="128">
        <f>IFERROR(AV875*$W875,)</f>
        <v/>
      </c>
      <c r="CH875" s="128">
        <f>IFERROR(AW875*$W875,)</f>
        <v/>
      </c>
      <c r="CI875" s="128">
        <f>IFERROR(AX875*$W875,)</f>
        <v/>
      </c>
      <c r="CJ875" s="128">
        <f>IFERROR(AY875*$W875,)</f>
        <v/>
      </c>
      <c r="CK875" s="128">
        <f>IFERROR(AZ875*$W875,)</f>
        <v/>
      </c>
      <c r="CL875" s="129">
        <f>IFERROR(if($Y875=0,BA875*($W875/1.2),BA875*$Y875),"")</f>
        <v/>
      </c>
      <c r="CM875" s="129">
        <f>IFERROR(if($Y875=0,BB875*($W875/1.2),BB875*$Y875),"")</f>
        <v/>
      </c>
      <c r="CN875" s="129">
        <f>IFERROR(if($Y875=0,BC875*($W875/1.2),BC875*$Y875),"")</f>
        <v/>
      </c>
      <c r="CO875" s="130">
        <f>IFERROR(if($AA875=0,($W875/1.35)*BD875,BD875*$AA875),)</f>
        <v/>
      </c>
      <c r="CP875" s="130">
        <f>IFERROR(if($AA875=0,($W875/1.35)*BE875,BE875*$AA875),)</f>
        <v/>
      </c>
      <c r="CQ875" s="130">
        <f>IFERROR(if($AA875=0,($W875/1.35)*BF875,BF875*$AA875),)</f>
        <v/>
      </c>
      <c r="CR875" s="128">
        <f>IFERROR(if($AC875=0,($W875/0.74)*BG875,
BG875*$AC875),)</f>
        <v/>
      </c>
      <c r="CS875" s="128">
        <f>IFERROR(if($AC875=0,($W875/0.74)*BH875,
BH875*$AC875),)</f>
        <v/>
      </c>
      <c r="CT875" s="128">
        <f>IFERROR(if($AC875=0,($W875/0.74)*BI875,
BI875*$AC875),)</f>
        <v/>
      </c>
      <c r="CU875" s="128">
        <f>IFERROR(AI875*$V875,)</f>
        <v/>
      </c>
      <c r="CV875" s="128">
        <f>IFERROR(AJ875*$V875,)</f>
        <v/>
      </c>
      <c r="CW875" s="128">
        <f>IFERROR(AK875*$V875,)</f>
        <v/>
      </c>
      <c r="CX875" s="128">
        <f>IFERROR(AL875*$V875,)</f>
        <v/>
      </c>
      <c r="CY875" s="128">
        <f>IFERROR(AM875*$V875,)</f>
        <v/>
      </c>
      <c r="CZ875" s="128">
        <f>IFERROR(AN875*$V875,)</f>
        <v/>
      </c>
      <c r="DA875" s="128">
        <f>IFERROR(AO875*$V875,)</f>
        <v/>
      </c>
      <c r="DB875" s="128">
        <f>IFERROR(AP875*$V875,)</f>
        <v/>
      </c>
      <c r="DC875" s="128">
        <f>IFERROR(AQ875*$V875,)</f>
        <v/>
      </c>
      <c r="DD875" s="128">
        <f>IFERROR(AR875*$V875,)</f>
        <v/>
      </c>
      <c r="DE875" s="128">
        <f>IFERROR(AS875*$V875,)</f>
        <v/>
      </c>
      <c r="DF875" s="128">
        <f>IFERROR(AT875*$V875,)</f>
        <v/>
      </c>
      <c r="DG875" s="128">
        <f>IFERROR(AU875*$V875,)</f>
        <v/>
      </c>
      <c r="DH875" s="128">
        <f>IFERROR(AV875*$V875,)</f>
        <v/>
      </c>
      <c r="DI875" s="128">
        <f>IFERROR(AW875*$V875,)</f>
        <v/>
      </c>
      <c r="DJ875" s="128">
        <f>IFERROR(AX875*$V875,)</f>
        <v/>
      </c>
      <c r="DK875" s="128">
        <f>IFERROR(AY875*$V875,)</f>
        <v/>
      </c>
      <c r="DL875" s="128">
        <f>IFERROR(AZ875*$V875,)</f>
        <v/>
      </c>
      <c r="DM875" s="129">
        <f>IFERROR(if($X875=0,($V875/1.2)*BA875,
BA875*$X875),)</f>
        <v/>
      </c>
      <c r="DN875" s="129">
        <f>IFERROR(if($X875=0,($V875/1.2)*BB875,
BB875*$X875),)</f>
        <v/>
      </c>
      <c r="DO875" s="129">
        <f>IFERROR(if($X875=0,($V875/1.2)*BC875,
BC875*$X875),)</f>
        <v/>
      </c>
      <c r="DP875" s="130">
        <f>IFERROR(if($Z875=0,($V875/1.35)*BD875,
BD875*$Z875),)</f>
        <v/>
      </c>
      <c r="DQ875" s="130">
        <f>IFERROR(if($Z875=0,($V875/1.35)*BE875,
BE875*$Z875),)</f>
        <v/>
      </c>
      <c r="DR875" s="130">
        <f>IFERROR(if($Z875=0,($V875/1.35)*BF875,
BF875*$Z875),)</f>
        <v/>
      </c>
      <c r="DS875" s="128">
        <f>IFERROR(IF($AB875=0,($V875/0.74)*BG875,
BG875*$AB875),)</f>
        <v/>
      </c>
      <c r="DT875" s="128">
        <f>IFERROR(IF($AB875=0,($V875/0.74)*BH875,
BH875*$AB875),)</f>
        <v/>
      </c>
      <c r="DU875" s="128">
        <f>IFERROR(IF($AB875=0,($V875/0.74)*BI875,
BI875*$AB875),)</f>
        <v/>
      </c>
    </row>
    <row r="876" ht="131.25" customHeight="1" s="162">
      <c r="A876" s="115" t="n"/>
      <c r="B876" s="115" t="n"/>
      <c r="C876" s="115" t="n"/>
      <c r="D876" s="115" t="n"/>
      <c r="E876" s="115" t="n"/>
      <c r="F876" s="115" t="n"/>
      <c r="G876" s="115" t="n"/>
      <c r="H876" s="115" t="n"/>
      <c r="I876" s="115" t="n"/>
      <c r="J876" s="115" t="n"/>
      <c r="K876" s="115" t="n"/>
      <c r="L876" s="115" t="n"/>
      <c r="M876" s="115" t="n"/>
      <c r="N876" s="115" t="n"/>
      <c r="O876" s="115" t="n"/>
      <c r="P876" s="115" t="n"/>
      <c r="Q876" s="115" t="n"/>
      <c r="R876" s="115" t="n"/>
      <c r="S876" s="115" t="n"/>
      <c r="T876" s="115" t="n"/>
      <c r="U876" s="116" t="n"/>
      <c r="V876" s="116" t="n"/>
      <c r="W876" s="117" t="n"/>
      <c r="X876" s="118" t="n"/>
      <c r="Y876" s="119" t="n"/>
      <c r="Z876" s="120" t="n"/>
      <c r="AA876" s="121" t="n"/>
      <c r="AB876" s="122" t="n"/>
      <c r="AC876" s="117" t="n"/>
      <c r="AD876" s="123">
        <f>IF(SUM($AE876:$AH876)=0,"",SUM($AE876:$AH876))</f>
        <v/>
      </c>
      <c r="AE876" s="123">
        <f>iferror(IF(SUM($AI876:$AZ876)=0,"",SUM($AI876:$AZ876)),"")</f>
        <v/>
      </c>
      <c r="AF876" s="123">
        <f>iferror(IF(SUM($BA876:$BC876)=0,"",SUM($BA876:$BC876)),"")</f>
        <v/>
      </c>
      <c r="AG876" s="123">
        <f>iferror(IF(SUM($BD876:$BF876)=0,"",SUM($BD876:$BF876)),"")</f>
        <v/>
      </c>
      <c r="AH876" s="124">
        <f>iferror(IF(SUM($BG876:$BI876)=0,"",SUM($BG876:$BI876)),"")</f>
        <v/>
      </c>
      <c r="AI876" s="131" t="n"/>
      <c r="AJ876" s="132" t="n"/>
      <c r="AK876" s="132" t="n"/>
      <c r="AL876" s="132" t="n"/>
      <c r="AM876" s="132" t="n"/>
      <c r="AN876" s="132" t="n"/>
      <c r="AO876" s="132" t="n"/>
      <c r="AP876" s="132" t="n"/>
      <c r="AQ876" s="132" t="n"/>
      <c r="AR876" s="132" t="n"/>
      <c r="AS876" s="132" t="n"/>
      <c r="AT876" s="132" t="n"/>
      <c r="AU876" s="132" t="n"/>
      <c r="AV876" s="132" t="n"/>
      <c r="AW876" s="132" t="n"/>
      <c r="AX876" s="132" t="n"/>
      <c r="AY876" s="132" t="n"/>
      <c r="AZ876" s="133" t="n"/>
      <c r="BA876" s="131" t="n"/>
      <c r="BB876" s="132" t="n"/>
      <c r="BC876" s="133" t="n"/>
      <c r="BD876" s="131" t="n"/>
      <c r="BE876" s="132" t="n"/>
      <c r="BF876" s="133" t="n"/>
      <c r="BG876" s="131" t="n"/>
      <c r="BH876" s="132" t="n"/>
      <c r="BI876" s="132" t="n"/>
      <c r="BJ876" s="128">
        <f>iferror(SUM($BK876,($BL876*1.2),($BM876*1.35),($BN876*0.74)),)</f>
        <v/>
      </c>
      <c r="BK876" s="128">
        <f>IFERROR(SUM($BT876:$CK876),)</f>
        <v/>
      </c>
      <c r="BL876" s="129">
        <f>IFERROR(SUM($CL876:$CN876),)</f>
        <v/>
      </c>
      <c r="BM876" s="130">
        <f>IFERROR(SUM($CO876:$CQ876),)</f>
        <v/>
      </c>
      <c r="BN876" s="128">
        <f>IFERROR(SUM($CR876:$CT876),)</f>
        <v/>
      </c>
      <c r="BO876" s="128">
        <f>iferror(SUM($BP876,($BQ876*1.2),($BR876*1.35),($BS876*0.74)),)</f>
        <v/>
      </c>
      <c r="BP876" s="128">
        <f>IFERROR(SUM($CU876:$DL876),)</f>
        <v/>
      </c>
      <c r="BQ876" s="128">
        <f>IFERROR(SUM($DM876:$DO876),)</f>
        <v/>
      </c>
      <c r="BR876" s="128">
        <f>IFERROR(SUM($DP876:$DR876),)</f>
        <v/>
      </c>
      <c r="BS876" s="128">
        <f>IFERROR(SUM($DS876:$DU876),)</f>
        <v/>
      </c>
      <c r="BT876" s="128">
        <f>IFERROR(AI876*$W876,)</f>
        <v/>
      </c>
      <c r="BU876" s="128">
        <f>IFERROR(AJ876*$W876,)</f>
        <v/>
      </c>
      <c r="BV876" s="128">
        <f>IFERROR(AK876*$W876,)</f>
        <v/>
      </c>
      <c r="BW876" s="128">
        <f>IFERROR(AL876*$W876,)</f>
        <v/>
      </c>
      <c r="BX876" s="128">
        <f>IFERROR(AM876*$W876,)</f>
        <v/>
      </c>
      <c r="BY876" s="128">
        <f>IFERROR(AN876*$W876,)</f>
        <v/>
      </c>
      <c r="BZ876" s="128">
        <f>IFERROR(AO876*$W876,)</f>
        <v/>
      </c>
      <c r="CA876" s="128">
        <f>IFERROR(AP876*$W876,)</f>
        <v/>
      </c>
      <c r="CB876" s="128">
        <f>IFERROR(AQ876*$W876,)</f>
        <v/>
      </c>
      <c r="CC876" s="128">
        <f>IFERROR(AR876*$W876,)</f>
        <v/>
      </c>
      <c r="CD876" s="128">
        <f>IFERROR(AS876*$W876,)</f>
        <v/>
      </c>
      <c r="CE876" s="128">
        <f>IFERROR(AT876*$W876,)</f>
        <v/>
      </c>
      <c r="CF876" s="128">
        <f>IFERROR(AU876*$W876,)</f>
        <v/>
      </c>
      <c r="CG876" s="128">
        <f>IFERROR(AV876*$W876,)</f>
        <v/>
      </c>
      <c r="CH876" s="128">
        <f>IFERROR(AW876*$W876,)</f>
        <v/>
      </c>
      <c r="CI876" s="128">
        <f>IFERROR(AX876*$W876,)</f>
        <v/>
      </c>
      <c r="CJ876" s="128">
        <f>IFERROR(AY876*$W876,)</f>
        <v/>
      </c>
      <c r="CK876" s="128">
        <f>IFERROR(AZ876*$W876,)</f>
        <v/>
      </c>
      <c r="CL876" s="129">
        <f>IFERROR(if($Y876=0,BA876*($W876/1.2),BA876*$Y876),"")</f>
        <v/>
      </c>
      <c r="CM876" s="129">
        <f>IFERROR(if($Y876=0,BB876*($W876/1.2),BB876*$Y876),"")</f>
        <v/>
      </c>
      <c r="CN876" s="129">
        <f>IFERROR(if($Y876=0,BC876*($W876/1.2),BC876*$Y876),"")</f>
        <v/>
      </c>
      <c r="CO876" s="130">
        <f>IFERROR(if($AA876=0,($W876/1.35)*BD876,BD876*$AA876),)</f>
        <v/>
      </c>
      <c r="CP876" s="130">
        <f>IFERROR(if($AA876=0,($W876/1.35)*BE876,BE876*$AA876),)</f>
        <v/>
      </c>
      <c r="CQ876" s="130">
        <f>IFERROR(if($AA876=0,($W876/1.35)*BF876,BF876*$AA876),)</f>
        <v/>
      </c>
      <c r="CR876" s="128">
        <f>IFERROR(if($AC876=0,($W876/0.74)*BG876,
BG876*$AC876),)</f>
        <v/>
      </c>
      <c r="CS876" s="128">
        <f>IFERROR(if($AC876=0,($W876/0.74)*BH876,
BH876*$AC876),)</f>
        <v/>
      </c>
      <c r="CT876" s="128">
        <f>IFERROR(if($AC876=0,($W876/0.74)*BI876,
BI876*$AC876),)</f>
        <v/>
      </c>
      <c r="CU876" s="128">
        <f>IFERROR(AI876*$V876,)</f>
        <v/>
      </c>
      <c r="CV876" s="128">
        <f>IFERROR(AJ876*$V876,)</f>
        <v/>
      </c>
      <c r="CW876" s="128">
        <f>IFERROR(AK876*$V876,)</f>
        <v/>
      </c>
      <c r="CX876" s="128">
        <f>IFERROR(AL876*$V876,)</f>
        <v/>
      </c>
      <c r="CY876" s="128">
        <f>IFERROR(AM876*$V876,)</f>
        <v/>
      </c>
      <c r="CZ876" s="128">
        <f>IFERROR(AN876*$V876,)</f>
        <v/>
      </c>
      <c r="DA876" s="128">
        <f>IFERROR(AO876*$V876,)</f>
        <v/>
      </c>
      <c r="DB876" s="128">
        <f>IFERROR(AP876*$V876,)</f>
        <v/>
      </c>
      <c r="DC876" s="128">
        <f>IFERROR(AQ876*$V876,)</f>
        <v/>
      </c>
      <c r="DD876" s="128">
        <f>IFERROR(AR876*$V876,)</f>
        <v/>
      </c>
      <c r="DE876" s="128">
        <f>IFERROR(AS876*$V876,)</f>
        <v/>
      </c>
      <c r="DF876" s="128">
        <f>IFERROR(AT876*$V876,)</f>
        <v/>
      </c>
      <c r="DG876" s="128">
        <f>IFERROR(AU876*$V876,)</f>
        <v/>
      </c>
      <c r="DH876" s="128">
        <f>IFERROR(AV876*$V876,)</f>
        <v/>
      </c>
      <c r="DI876" s="128">
        <f>IFERROR(AW876*$V876,)</f>
        <v/>
      </c>
      <c r="DJ876" s="128">
        <f>IFERROR(AX876*$V876,)</f>
        <v/>
      </c>
      <c r="DK876" s="128">
        <f>IFERROR(AY876*$V876,)</f>
        <v/>
      </c>
      <c r="DL876" s="128">
        <f>IFERROR(AZ876*$V876,)</f>
        <v/>
      </c>
      <c r="DM876" s="129">
        <f>IFERROR(if($X876=0,($V876/1.2)*BA876,
BA876*$X876),)</f>
        <v/>
      </c>
      <c r="DN876" s="129">
        <f>IFERROR(if($X876=0,($V876/1.2)*BB876,
BB876*$X876),)</f>
        <v/>
      </c>
      <c r="DO876" s="129">
        <f>IFERROR(if($X876=0,($V876/1.2)*BC876,
BC876*$X876),)</f>
        <v/>
      </c>
      <c r="DP876" s="130">
        <f>IFERROR(if($Z876=0,($V876/1.35)*BD876,
BD876*$Z876),)</f>
        <v/>
      </c>
      <c r="DQ876" s="130">
        <f>IFERROR(if($Z876=0,($V876/1.35)*BE876,
BE876*$Z876),)</f>
        <v/>
      </c>
      <c r="DR876" s="130">
        <f>IFERROR(if($Z876=0,($V876/1.35)*BF876,
BF876*$Z876),)</f>
        <v/>
      </c>
      <c r="DS876" s="128">
        <f>IFERROR(IF($AB876=0,($V876/0.74)*BG876,
BG876*$AB876),)</f>
        <v/>
      </c>
      <c r="DT876" s="128">
        <f>IFERROR(IF($AB876=0,($V876/0.74)*BH876,
BH876*$AB876),)</f>
        <v/>
      </c>
      <c r="DU876" s="128">
        <f>IFERROR(IF($AB876=0,($V876/0.74)*BI876,
BI876*$AB876),)</f>
        <v/>
      </c>
    </row>
    <row r="877" ht="131.25" customHeight="1" s="162">
      <c r="A877" s="115" t="n"/>
      <c r="B877" s="115" t="n"/>
      <c r="C877" s="115" t="n"/>
      <c r="D877" s="115" t="n"/>
      <c r="E877" s="115" t="n"/>
      <c r="F877" s="115" t="n"/>
      <c r="G877" s="115" t="n"/>
      <c r="H877" s="115" t="n"/>
      <c r="I877" s="115" t="n"/>
      <c r="J877" s="115" t="n"/>
      <c r="K877" s="115" t="n"/>
      <c r="L877" s="115" t="n"/>
      <c r="M877" s="115" t="n"/>
      <c r="N877" s="115" t="n"/>
      <c r="O877" s="115" t="n"/>
      <c r="P877" s="115" t="n"/>
      <c r="Q877" s="115" t="n"/>
      <c r="R877" s="115" t="n"/>
      <c r="S877" s="115" t="n"/>
      <c r="T877" s="115" t="n"/>
      <c r="U877" s="116" t="n"/>
      <c r="V877" s="116" t="n"/>
      <c r="W877" s="117" t="n"/>
      <c r="X877" s="118" t="n"/>
      <c r="Y877" s="119" t="n"/>
      <c r="Z877" s="120" t="n"/>
      <c r="AA877" s="121" t="n"/>
      <c r="AB877" s="122" t="n"/>
      <c r="AC877" s="117" t="n"/>
      <c r="AD877" s="123">
        <f>IF(SUM($AE877:$AH877)=0,"",SUM($AE877:$AH877))</f>
        <v/>
      </c>
      <c r="AE877" s="123">
        <f>iferror(IF(SUM($AI877:$AZ877)=0,"",SUM($AI877:$AZ877)),"")</f>
        <v/>
      </c>
      <c r="AF877" s="123">
        <f>iferror(IF(SUM($BA877:$BC877)=0,"",SUM($BA877:$BC877)),"")</f>
        <v/>
      </c>
      <c r="AG877" s="123">
        <f>iferror(IF(SUM($BD877:$BF877)=0,"",SUM($BD877:$BF877)),"")</f>
        <v/>
      </c>
      <c r="AH877" s="124">
        <f>iferror(IF(SUM($BG877:$BI877)=0,"",SUM($BG877:$BI877)),"")</f>
        <v/>
      </c>
      <c r="AI877" s="131" t="n"/>
      <c r="AJ877" s="132" t="n"/>
      <c r="AK877" s="132" t="n"/>
      <c r="AL877" s="132" t="n"/>
      <c r="AM877" s="132" t="n"/>
      <c r="AN877" s="132" t="n"/>
      <c r="AO877" s="132" t="n"/>
      <c r="AP877" s="132" t="n"/>
      <c r="AQ877" s="132" t="n"/>
      <c r="AR877" s="132" t="n"/>
      <c r="AS877" s="132" t="n"/>
      <c r="AT877" s="132" t="n"/>
      <c r="AU877" s="132" t="n"/>
      <c r="AV877" s="132" t="n"/>
      <c r="AW877" s="132" t="n"/>
      <c r="AX877" s="132" t="n"/>
      <c r="AY877" s="132" t="n"/>
      <c r="AZ877" s="133" t="n"/>
      <c r="BA877" s="131" t="n"/>
      <c r="BB877" s="132" t="n"/>
      <c r="BC877" s="133" t="n"/>
      <c r="BD877" s="131" t="n"/>
      <c r="BE877" s="132" t="n"/>
      <c r="BF877" s="133" t="n"/>
      <c r="BG877" s="131" t="n"/>
      <c r="BH877" s="132" t="n"/>
      <c r="BI877" s="132" t="n"/>
      <c r="BJ877" s="128">
        <f>iferror(SUM($BK877,($BL877*1.2),($BM877*1.35),($BN877*0.74)),)</f>
        <v/>
      </c>
      <c r="BK877" s="128">
        <f>IFERROR(SUM($BT877:$CK877),)</f>
        <v/>
      </c>
      <c r="BL877" s="129">
        <f>IFERROR(SUM($CL877:$CN877),)</f>
        <v/>
      </c>
      <c r="BM877" s="130">
        <f>IFERROR(SUM($CO877:$CQ877),)</f>
        <v/>
      </c>
      <c r="BN877" s="128">
        <f>IFERROR(SUM($CR877:$CT877),)</f>
        <v/>
      </c>
      <c r="BO877" s="128">
        <f>iferror(SUM($BP877,($BQ877*1.2),($BR877*1.35),($BS877*0.74)),)</f>
        <v/>
      </c>
      <c r="BP877" s="128">
        <f>IFERROR(SUM($CU877:$DL877),)</f>
        <v/>
      </c>
      <c r="BQ877" s="128">
        <f>IFERROR(SUM($DM877:$DO877),)</f>
        <v/>
      </c>
      <c r="BR877" s="128">
        <f>IFERROR(SUM($DP877:$DR877),)</f>
        <v/>
      </c>
      <c r="BS877" s="128">
        <f>IFERROR(SUM($DS877:$DU877),)</f>
        <v/>
      </c>
      <c r="BT877" s="128">
        <f>IFERROR(AI877*$W877,)</f>
        <v/>
      </c>
      <c r="BU877" s="128">
        <f>IFERROR(AJ877*$W877,)</f>
        <v/>
      </c>
      <c r="BV877" s="128">
        <f>IFERROR(AK877*$W877,)</f>
        <v/>
      </c>
      <c r="BW877" s="128">
        <f>IFERROR(AL877*$W877,)</f>
        <v/>
      </c>
      <c r="BX877" s="128">
        <f>IFERROR(AM877*$W877,)</f>
        <v/>
      </c>
      <c r="BY877" s="128">
        <f>IFERROR(AN877*$W877,)</f>
        <v/>
      </c>
      <c r="BZ877" s="128">
        <f>IFERROR(AO877*$W877,)</f>
        <v/>
      </c>
      <c r="CA877" s="128">
        <f>IFERROR(AP877*$W877,)</f>
        <v/>
      </c>
      <c r="CB877" s="128">
        <f>IFERROR(AQ877*$W877,)</f>
        <v/>
      </c>
      <c r="CC877" s="128">
        <f>IFERROR(AR877*$W877,)</f>
        <v/>
      </c>
      <c r="CD877" s="128">
        <f>IFERROR(AS877*$W877,)</f>
        <v/>
      </c>
      <c r="CE877" s="128">
        <f>IFERROR(AT877*$W877,)</f>
        <v/>
      </c>
      <c r="CF877" s="128">
        <f>IFERROR(AU877*$W877,)</f>
        <v/>
      </c>
      <c r="CG877" s="128">
        <f>IFERROR(AV877*$W877,)</f>
        <v/>
      </c>
      <c r="CH877" s="128">
        <f>IFERROR(AW877*$W877,)</f>
        <v/>
      </c>
      <c r="CI877" s="128">
        <f>IFERROR(AX877*$W877,)</f>
        <v/>
      </c>
      <c r="CJ877" s="128">
        <f>IFERROR(AY877*$W877,)</f>
        <v/>
      </c>
      <c r="CK877" s="128">
        <f>IFERROR(AZ877*$W877,)</f>
        <v/>
      </c>
      <c r="CL877" s="129">
        <f>IFERROR(if($Y877=0,BA877*($W877/1.2),BA877*$Y877),"")</f>
        <v/>
      </c>
      <c r="CM877" s="129">
        <f>IFERROR(if($Y877=0,BB877*($W877/1.2),BB877*$Y877),"")</f>
        <v/>
      </c>
      <c r="CN877" s="129">
        <f>IFERROR(if($Y877=0,BC877*($W877/1.2),BC877*$Y877),"")</f>
        <v/>
      </c>
      <c r="CO877" s="130">
        <f>IFERROR(if($AA877=0,($W877/1.35)*BD877,BD877*$AA877),)</f>
        <v/>
      </c>
      <c r="CP877" s="130">
        <f>IFERROR(if($AA877=0,($W877/1.35)*BE877,BE877*$AA877),)</f>
        <v/>
      </c>
      <c r="CQ877" s="130">
        <f>IFERROR(if($AA877=0,($W877/1.35)*BF877,BF877*$AA877),)</f>
        <v/>
      </c>
      <c r="CR877" s="128">
        <f>IFERROR(if($AC877=0,($W877/0.74)*BG877,
BG877*$AC877),)</f>
        <v/>
      </c>
      <c r="CS877" s="128">
        <f>IFERROR(if($AC877=0,($W877/0.74)*BH877,
BH877*$AC877),)</f>
        <v/>
      </c>
      <c r="CT877" s="128">
        <f>IFERROR(if($AC877=0,($W877/0.74)*BI877,
BI877*$AC877),)</f>
        <v/>
      </c>
      <c r="CU877" s="128">
        <f>IFERROR(AI877*$V877,)</f>
        <v/>
      </c>
      <c r="CV877" s="128">
        <f>IFERROR(AJ877*$V877,)</f>
        <v/>
      </c>
      <c r="CW877" s="128">
        <f>IFERROR(AK877*$V877,)</f>
        <v/>
      </c>
      <c r="CX877" s="128">
        <f>IFERROR(AL877*$V877,)</f>
        <v/>
      </c>
      <c r="CY877" s="128">
        <f>IFERROR(AM877*$V877,)</f>
        <v/>
      </c>
      <c r="CZ877" s="128">
        <f>IFERROR(AN877*$V877,)</f>
        <v/>
      </c>
      <c r="DA877" s="128">
        <f>IFERROR(AO877*$V877,)</f>
        <v/>
      </c>
      <c r="DB877" s="128">
        <f>IFERROR(AP877*$V877,)</f>
        <v/>
      </c>
      <c r="DC877" s="128">
        <f>IFERROR(AQ877*$V877,)</f>
        <v/>
      </c>
      <c r="DD877" s="128">
        <f>IFERROR(AR877*$V877,)</f>
        <v/>
      </c>
      <c r="DE877" s="128">
        <f>IFERROR(AS877*$V877,)</f>
        <v/>
      </c>
      <c r="DF877" s="128">
        <f>IFERROR(AT877*$V877,)</f>
        <v/>
      </c>
      <c r="DG877" s="128">
        <f>IFERROR(AU877*$V877,)</f>
        <v/>
      </c>
      <c r="DH877" s="128">
        <f>IFERROR(AV877*$V877,)</f>
        <v/>
      </c>
      <c r="DI877" s="128">
        <f>IFERROR(AW877*$V877,)</f>
        <v/>
      </c>
      <c r="DJ877" s="128">
        <f>IFERROR(AX877*$V877,)</f>
        <v/>
      </c>
      <c r="DK877" s="128">
        <f>IFERROR(AY877*$V877,)</f>
        <v/>
      </c>
      <c r="DL877" s="128">
        <f>IFERROR(AZ877*$V877,)</f>
        <v/>
      </c>
      <c r="DM877" s="129">
        <f>IFERROR(if($X877=0,($V877/1.2)*BA877,
BA877*$X877),)</f>
        <v/>
      </c>
      <c r="DN877" s="129">
        <f>IFERROR(if($X877=0,($V877/1.2)*BB877,
BB877*$X877),)</f>
        <v/>
      </c>
      <c r="DO877" s="129">
        <f>IFERROR(if($X877=0,($V877/1.2)*BC877,
BC877*$X877),)</f>
        <v/>
      </c>
      <c r="DP877" s="130">
        <f>IFERROR(if($Z877=0,($V877/1.35)*BD877,
BD877*$Z877),)</f>
        <v/>
      </c>
      <c r="DQ877" s="130">
        <f>IFERROR(if($Z877=0,($V877/1.35)*BE877,
BE877*$Z877),)</f>
        <v/>
      </c>
      <c r="DR877" s="130">
        <f>IFERROR(if($Z877=0,($V877/1.35)*BF877,
BF877*$Z877),)</f>
        <v/>
      </c>
      <c r="DS877" s="128">
        <f>IFERROR(IF($AB877=0,($V877/0.74)*BG877,
BG877*$AB877),)</f>
        <v/>
      </c>
      <c r="DT877" s="128">
        <f>IFERROR(IF($AB877=0,($V877/0.74)*BH877,
BH877*$AB877),)</f>
        <v/>
      </c>
      <c r="DU877" s="128">
        <f>IFERROR(IF($AB877=0,($V877/0.74)*BI877,
BI877*$AB877),)</f>
        <v/>
      </c>
    </row>
    <row r="878" ht="131.25" customHeight="1" s="162">
      <c r="A878" s="115" t="n"/>
      <c r="B878" s="115" t="n"/>
      <c r="C878" s="115" t="n"/>
      <c r="D878" s="115" t="n"/>
      <c r="E878" s="115" t="n"/>
      <c r="F878" s="115" t="n"/>
      <c r="G878" s="115" t="n"/>
      <c r="H878" s="115" t="n"/>
      <c r="I878" s="115" t="n"/>
      <c r="J878" s="115" t="n"/>
      <c r="K878" s="115" t="n"/>
      <c r="L878" s="115" t="n"/>
      <c r="M878" s="115" t="n"/>
      <c r="N878" s="115" t="n"/>
      <c r="O878" s="115" t="n"/>
      <c r="P878" s="115" t="n"/>
      <c r="Q878" s="115" t="n"/>
      <c r="R878" s="115" t="n"/>
      <c r="S878" s="115" t="n"/>
      <c r="T878" s="115" t="n"/>
      <c r="U878" s="116" t="n"/>
      <c r="V878" s="116" t="n"/>
      <c r="W878" s="117" t="n"/>
      <c r="X878" s="118" t="n"/>
      <c r="Y878" s="119" t="n"/>
      <c r="Z878" s="120" t="n"/>
      <c r="AA878" s="121" t="n"/>
      <c r="AB878" s="122" t="n"/>
      <c r="AC878" s="117" t="n"/>
      <c r="AD878" s="123">
        <f>IF(SUM($AE878:$AH878)=0,"",SUM($AE878:$AH878))</f>
        <v/>
      </c>
      <c r="AE878" s="123">
        <f>iferror(IF(SUM($AI878:$AZ878)=0,"",SUM($AI878:$AZ878)),"")</f>
        <v/>
      </c>
      <c r="AF878" s="123">
        <f>iferror(IF(SUM($BA878:$BC878)=0,"",SUM($BA878:$BC878)),"")</f>
        <v/>
      </c>
      <c r="AG878" s="123">
        <f>iferror(IF(SUM($BD878:$BF878)=0,"",SUM($BD878:$BF878)),"")</f>
        <v/>
      </c>
      <c r="AH878" s="124">
        <f>iferror(IF(SUM($BG878:$BI878)=0,"",SUM($BG878:$BI878)),"")</f>
        <v/>
      </c>
      <c r="AI878" s="131" t="n"/>
      <c r="AJ878" s="132" t="n"/>
      <c r="AK878" s="132" t="n"/>
      <c r="AL878" s="132" t="n"/>
      <c r="AM878" s="132" t="n"/>
      <c r="AN878" s="132" t="n"/>
      <c r="AO878" s="132" t="n"/>
      <c r="AP878" s="132" t="n"/>
      <c r="AQ878" s="132" t="n"/>
      <c r="AR878" s="132" t="n"/>
      <c r="AS878" s="132" t="n"/>
      <c r="AT878" s="132" t="n"/>
      <c r="AU878" s="132" t="n"/>
      <c r="AV878" s="132" t="n"/>
      <c r="AW878" s="132" t="n"/>
      <c r="AX878" s="132" t="n"/>
      <c r="AY878" s="132" t="n"/>
      <c r="AZ878" s="133" t="n"/>
      <c r="BA878" s="131" t="n"/>
      <c r="BB878" s="132" t="n"/>
      <c r="BC878" s="133" t="n"/>
      <c r="BD878" s="131" t="n"/>
      <c r="BE878" s="132" t="n"/>
      <c r="BF878" s="133" t="n"/>
      <c r="BG878" s="131" t="n"/>
      <c r="BH878" s="132" t="n"/>
      <c r="BI878" s="132" t="n"/>
      <c r="BJ878" s="128">
        <f>iferror(SUM($BK878,($BL878*1.2),($BM878*1.35),($BN878*0.74)),)</f>
        <v/>
      </c>
      <c r="BK878" s="128">
        <f>IFERROR(SUM($BT878:$CK878),)</f>
        <v/>
      </c>
      <c r="BL878" s="129">
        <f>IFERROR(SUM($CL878:$CN878),)</f>
        <v/>
      </c>
      <c r="BM878" s="130">
        <f>IFERROR(SUM($CO878:$CQ878),)</f>
        <v/>
      </c>
      <c r="BN878" s="128">
        <f>IFERROR(SUM($CR878:$CT878),)</f>
        <v/>
      </c>
      <c r="BO878" s="128">
        <f>iferror(SUM($BP878,($BQ878*1.2),($BR878*1.35),($BS878*0.74)),)</f>
        <v/>
      </c>
      <c r="BP878" s="128">
        <f>IFERROR(SUM($CU878:$DL878),)</f>
        <v/>
      </c>
      <c r="BQ878" s="128">
        <f>IFERROR(SUM($DM878:$DO878),)</f>
        <v/>
      </c>
      <c r="BR878" s="128">
        <f>IFERROR(SUM($DP878:$DR878),)</f>
        <v/>
      </c>
      <c r="BS878" s="128">
        <f>IFERROR(SUM($DS878:$DU878),)</f>
        <v/>
      </c>
      <c r="BT878" s="128">
        <f>IFERROR(AI878*$W878,)</f>
        <v/>
      </c>
      <c r="BU878" s="128">
        <f>IFERROR(AJ878*$W878,)</f>
        <v/>
      </c>
      <c r="BV878" s="128">
        <f>IFERROR(AK878*$W878,)</f>
        <v/>
      </c>
      <c r="BW878" s="128">
        <f>IFERROR(AL878*$W878,)</f>
        <v/>
      </c>
      <c r="BX878" s="128">
        <f>IFERROR(AM878*$W878,)</f>
        <v/>
      </c>
      <c r="BY878" s="128">
        <f>IFERROR(AN878*$W878,)</f>
        <v/>
      </c>
      <c r="BZ878" s="128">
        <f>IFERROR(AO878*$W878,)</f>
        <v/>
      </c>
      <c r="CA878" s="128">
        <f>IFERROR(AP878*$W878,)</f>
        <v/>
      </c>
      <c r="CB878" s="128">
        <f>IFERROR(AQ878*$W878,)</f>
        <v/>
      </c>
      <c r="CC878" s="128">
        <f>IFERROR(AR878*$W878,)</f>
        <v/>
      </c>
      <c r="CD878" s="128">
        <f>IFERROR(AS878*$W878,)</f>
        <v/>
      </c>
      <c r="CE878" s="128">
        <f>IFERROR(AT878*$W878,)</f>
        <v/>
      </c>
      <c r="CF878" s="128">
        <f>IFERROR(AU878*$W878,)</f>
        <v/>
      </c>
      <c r="CG878" s="128">
        <f>IFERROR(AV878*$W878,)</f>
        <v/>
      </c>
      <c r="CH878" s="128">
        <f>IFERROR(AW878*$W878,)</f>
        <v/>
      </c>
      <c r="CI878" s="128">
        <f>IFERROR(AX878*$W878,)</f>
        <v/>
      </c>
      <c r="CJ878" s="128">
        <f>IFERROR(AY878*$W878,)</f>
        <v/>
      </c>
      <c r="CK878" s="128">
        <f>IFERROR(AZ878*$W878,)</f>
        <v/>
      </c>
      <c r="CL878" s="129">
        <f>IFERROR(if($Y878=0,BA878*($W878/1.2),BA878*$Y878),"")</f>
        <v/>
      </c>
      <c r="CM878" s="129">
        <f>IFERROR(if($Y878=0,BB878*($W878/1.2),BB878*$Y878),"")</f>
        <v/>
      </c>
      <c r="CN878" s="129">
        <f>IFERROR(if($Y878=0,BC878*($W878/1.2),BC878*$Y878),"")</f>
        <v/>
      </c>
      <c r="CO878" s="130">
        <f>IFERROR(if($AA878=0,($W878/1.35)*BD878,BD878*$AA878),)</f>
        <v/>
      </c>
      <c r="CP878" s="130">
        <f>IFERROR(if($AA878=0,($W878/1.35)*BE878,BE878*$AA878),)</f>
        <v/>
      </c>
      <c r="CQ878" s="130">
        <f>IFERROR(if($AA878=0,($W878/1.35)*BF878,BF878*$AA878),)</f>
        <v/>
      </c>
      <c r="CR878" s="128">
        <f>IFERROR(if($AC878=0,($W878/0.74)*BG878,
BG878*$AC878),)</f>
        <v/>
      </c>
      <c r="CS878" s="128">
        <f>IFERROR(if($AC878=0,($W878/0.74)*BH878,
BH878*$AC878),)</f>
        <v/>
      </c>
      <c r="CT878" s="128">
        <f>IFERROR(if($AC878=0,($W878/0.74)*BI878,
BI878*$AC878),)</f>
        <v/>
      </c>
      <c r="CU878" s="128">
        <f>IFERROR(AI878*$V878,)</f>
        <v/>
      </c>
      <c r="CV878" s="128">
        <f>IFERROR(AJ878*$V878,)</f>
        <v/>
      </c>
      <c r="CW878" s="128">
        <f>IFERROR(AK878*$V878,)</f>
        <v/>
      </c>
      <c r="CX878" s="128">
        <f>IFERROR(AL878*$V878,)</f>
        <v/>
      </c>
      <c r="CY878" s="128">
        <f>IFERROR(AM878*$V878,)</f>
        <v/>
      </c>
      <c r="CZ878" s="128">
        <f>IFERROR(AN878*$V878,)</f>
        <v/>
      </c>
      <c r="DA878" s="128">
        <f>IFERROR(AO878*$V878,)</f>
        <v/>
      </c>
      <c r="DB878" s="128">
        <f>IFERROR(AP878*$V878,)</f>
        <v/>
      </c>
      <c r="DC878" s="128">
        <f>IFERROR(AQ878*$V878,)</f>
        <v/>
      </c>
      <c r="DD878" s="128">
        <f>IFERROR(AR878*$V878,)</f>
        <v/>
      </c>
      <c r="DE878" s="128">
        <f>IFERROR(AS878*$V878,)</f>
        <v/>
      </c>
      <c r="DF878" s="128">
        <f>IFERROR(AT878*$V878,)</f>
        <v/>
      </c>
      <c r="DG878" s="128">
        <f>IFERROR(AU878*$V878,)</f>
        <v/>
      </c>
      <c r="DH878" s="128">
        <f>IFERROR(AV878*$V878,)</f>
        <v/>
      </c>
      <c r="DI878" s="128">
        <f>IFERROR(AW878*$V878,)</f>
        <v/>
      </c>
      <c r="DJ878" s="128">
        <f>IFERROR(AX878*$V878,)</f>
        <v/>
      </c>
      <c r="DK878" s="128">
        <f>IFERROR(AY878*$V878,)</f>
        <v/>
      </c>
      <c r="DL878" s="128">
        <f>IFERROR(AZ878*$V878,)</f>
        <v/>
      </c>
      <c r="DM878" s="129">
        <f>IFERROR(if($X878=0,($V878/1.2)*BA878,
BA878*$X878),)</f>
        <v/>
      </c>
      <c r="DN878" s="129">
        <f>IFERROR(if($X878=0,($V878/1.2)*BB878,
BB878*$X878),)</f>
        <v/>
      </c>
      <c r="DO878" s="129">
        <f>IFERROR(if($X878=0,($V878/1.2)*BC878,
BC878*$X878),)</f>
        <v/>
      </c>
      <c r="DP878" s="130">
        <f>IFERROR(if($Z878=0,($V878/1.35)*BD878,
BD878*$Z878),)</f>
        <v/>
      </c>
      <c r="DQ878" s="130">
        <f>IFERROR(if($Z878=0,($V878/1.35)*BE878,
BE878*$Z878),)</f>
        <v/>
      </c>
      <c r="DR878" s="130">
        <f>IFERROR(if($Z878=0,($V878/1.35)*BF878,
BF878*$Z878),)</f>
        <v/>
      </c>
      <c r="DS878" s="128">
        <f>IFERROR(IF($AB878=0,($V878/0.74)*BG878,
BG878*$AB878),)</f>
        <v/>
      </c>
      <c r="DT878" s="128">
        <f>IFERROR(IF($AB878=0,($V878/0.74)*BH878,
BH878*$AB878),)</f>
        <v/>
      </c>
      <c r="DU878" s="128">
        <f>IFERROR(IF($AB878=0,($V878/0.74)*BI878,
BI878*$AB878),)</f>
        <v/>
      </c>
    </row>
    <row r="879" ht="131.25" customHeight="1" s="162">
      <c r="A879" s="115" t="n"/>
      <c r="B879" s="115" t="n"/>
      <c r="C879" s="115" t="n"/>
      <c r="D879" s="115" t="n"/>
      <c r="E879" s="115" t="n"/>
      <c r="F879" s="115" t="n"/>
      <c r="G879" s="115" t="n"/>
      <c r="H879" s="115" t="n"/>
      <c r="I879" s="115" t="n"/>
      <c r="J879" s="115" t="n"/>
      <c r="K879" s="115" t="n"/>
      <c r="L879" s="115" t="n"/>
      <c r="M879" s="115" t="n"/>
      <c r="N879" s="115" t="n"/>
      <c r="O879" s="115" t="n"/>
      <c r="P879" s="115" t="n"/>
      <c r="Q879" s="115" t="n"/>
      <c r="R879" s="115" t="n"/>
      <c r="S879" s="115" t="n"/>
      <c r="T879" s="115" t="n"/>
      <c r="U879" s="116" t="n"/>
      <c r="V879" s="116" t="n"/>
      <c r="W879" s="117" t="n"/>
      <c r="X879" s="118" t="n"/>
      <c r="Y879" s="119" t="n"/>
      <c r="Z879" s="120" t="n"/>
      <c r="AA879" s="121" t="n"/>
      <c r="AB879" s="122" t="n"/>
      <c r="AC879" s="117" t="n"/>
      <c r="AD879" s="123">
        <f>IF(SUM($AE879:$AH879)=0,"",SUM($AE879:$AH879))</f>
        <v/>
      </c>
      <c r="AE879" s="123">
        <f>iferror(IF(SUM($AI879:$AZ879)=0,"",SUM($AI879:$AZ879)),"")</f>
        <v/>
      </c>
      <c r="AF879" s="123">
        <f>iferror(IF(SUM($BA879:$BC879)=0,"",SUM($BA879:$BC879)),"")</f>
        <v/>
      </c>
      <c r="AG879" s="123">
        <f>iferror(IF(SUM($BD879:$BF879)=0,"",SUM($BD879:$BF879)),"")</f>
        <v/>
      </c>
      <c r="AH879" s="124">
        <f>iferror(IF(SUM($BG879:$BI879)=0,"",SUM($BG879:$BI879)),"")</f>
        <v/>
      </c>
      <c r="AI879" s="131" t="n"/>
      <c r="AJ879" s="132" t="n"/>
      <c r="AK879" s="132" t="n"/>
      <c r="AL879" s="132" t="n"/>
      <c r="AM879" s="132" t="n"/>
      <c r="AN879" s="132" t="n"/>
      <c r="AO879" s="132" t="n"/>
      <c r="AP879" s="132" t="n"/>
      <c r="AQ879" s="132" t="n"/>
      <c r="AR879" s="132" t="n"/>
      <c r="AS879" s="132" t="n"/>
      <c r="AT879" s="132" t="n"/>
      <c r="AU879" s="132" t="n"/>
      <c r="AV879" s="132" t="n"/>
      <c r="AW879" s="132" t="n"/>
      <c r="AX879" s="132" t="n"/>
      <c r="AY879" s="132" t="n"/>
      <c r="AZ879" s="133" t="n"/>
      <c r="BA879" s="131" t="n"/>
      <c r="BB879" s="132" t="n"/>
      <c r="BC879" s="133" t="n"/>
      <c r="BD879" s="131" t="n"/>
      <c r="BE879" s="132" t="n"/>
      <c r="BF879" s="133" t="n"/>
      <c r="BG879" s="131" t="n"/>
      <c r="BH879" s="132" t="n"/>
      <c r="BI879" s="132" t="n"/>
      <c r="BJ879" s="128">
        <f>iferror(SUM($BK879,($BL879*1.2),($BM879*1.35),($BN879*0.74)),)</f>
        <v/>
      </c>
      <c r="BK879" s="128">
        <f>IFERROR(SUM($BT879:$CK879),)</f>
        <v/>
      </c>
      <c r="BL879" s="129">
        <f>IFERROR(SUM($CL879:$CN879),)</f>
        <v/>
      </c>
      <c r="BM879" s="130">
        <f>IFERROR(SUM($CO879:$CQ879),)</f>
        <v/>
      </c>
      <c r="BN879" s="128">
        <f>IFERROR(SUM($CR879:$CT879),)</f>
        <v/>
      </c>
      <c r="BO879" s="128">
        <f>iferror(SUM($BP879,($BQ879*1.2),($BR879*1.35),($BS879*0.74)),)</f>
        <v/>
      </c>
      <c r="BP879" s="128">
        <f>IFERROR(SUM($CU879:$DL879),)</f>
        <v/>
      </c>
      <c r="BQ879" s="128">
        <f>IFERROR(SUM($DM879:$DO879),)</f>
        <v/>
      </c>
      <c r="BR879" s="128">
        <f>IFERROR(SUM($DP879:$DR879),)</f>
        <v/>
      </c>
      <c r="BS879" s="128">
        <f>IFERROR(SUM($DS879:$DU879),)</f>
        <v/>
      </c>
      <c r="BT879" s="128">
        <f>IFERROR(AI879*$W879,)</f>
        <v/>
      </c>
      <c r="BU879" s="128">
        <f>IFERROR(AJ879*$W879,)</f>
        <v/>
      </c>
      <c r="BV879" s="128">
        <f>IFERROR(AK879*$W879,)</f>
        <v/>
      </c>
      <c r="BW879" s="128">
        <f>IFERROR(AL879*$W879,)</f>
        <v/>
      </c>
      <c r="BX879" s="128">
        <f>IFERROR(AM879*$W879,)</f>
        <v/>
      </c>
      <c r="BY879" s="128">
        <f>IFERROR(AN879*$W879,)</f>
        <v/>
      </c>
      <c r="BZ879" s="128">
        <f>IFERROR(AO879*$W879,)</f>
        <v/>
      </c>
      <c r="CA879" s="128">
        <f>IFERROR(AP879*$W879,)</f>
        <v/>
      </c>
      <c r="CB879" s="128">
        <f>IFERROR(AQ879*$W879,)</f>
        <v/>
      </c>
      <c r="CC879" s="128">
        <f>IFERROR(AR879*$W879,)</f>
        <v/>
      </c>
      <c r="CD879" s="128">
        <f>IFERROR(AS879*$W879,)</f>
        <v/>
      </c>
      <c r="CE879" s="128">
        <f>IFERROR(AT879*$W879,)</f>
        <v/>
      </c>
      <c r="CF879" s="128">
        <f>IFERROR(AU879*$W879,)</f>
        <v/>
      </c>
      <c r="CG879" s="128">
        <f>IFERROR(AV879*$W879,)</f>
        <v/>
      </c>
      <c r="CH879" s="128">
        <f>IFERROR(AW879*$W879,)</f>
        <v/>
      </c>
      <c r="CI879" s="128">
        <f>IFERROR(AX879*$W879,)</f>
        <v/>
      </c>
      <c r="CJ879" s="128">
        <f>IFERROR(AY879*$W879,)</f>
        <v/>
      </c>
      <c r="CK879" s="128">
        <f>IFERROR(AZ879*$W879,)</f>
        <v/>
      </c>
      <c r="CL879" s="129">
        <f>IFERROR(if($Y879=0,BA879*($W879/1.2),BA879*$Y879),"")</f>
        <v/>
      </c>
      <c r="CM879" s="129">
        <f>IFERROR(if($Y879=0,BB879*($W879/1.2),BB879*$Y879),"")</f>
        <v/>
      </c>
      <c r="CN879" s="129">
        <f>IFERROR(if($Y879=0,BC879*($W879/1.2),BC879*$Y879),"")</f>
        <v/>
      </c>
      <c r="CO879" s="130">
        <f>IFERROR(if($AA879=0,($W879/1.35)*BD879,BD879*$AA879),)</f>
        <v/>
      </c>
      <c r="CP879" s="130">
        <f>IFERROR(if($AA879=0,($W879/1.35)*BE879,BE879*$AA879),)</f>
        <v/>
      </c>
      <c r="CQ879" s="130">
        <f>IFERROR(if($AA879=0,($W879/1.35)*BF879,BF879*$AA879),)</f>
        <v/>
      </c>
      <c r="CR879" s="128">
        <f>IFERROR(if($AC879=0,($W879/0.74)*BG879,
BG879*$AC879),)</f>
        <v/>
      </c>
      <c r="CS879" s="128">
        <f>IFERROR(if($AC879=0,($W879/0.74)*BH879,
BH879*$AC879),)</f>
        <v/>
      </c>
      <c r="CT879" s="128">
        <f>IFERROR(if($AC879=0,($W879/0.74)*BI879,
BI879*$AC879),)</f>
        <v/>
      </c>
      <c r="CU879" s="128">
        <f>IFERROR(AI879*$V879,)</f>
        <v/>
      </c>
      <c r="CV879" s="128">
        <f>IFERROR(AJ879*$V879,)</f>
        <v/>
      </c>
      <c r="CW879" s="128">
        <f>IFERROR(AK879*$V879,)</f>
        <v/>
      </c>
      <c r="CX879" s="128">
        <f>IFERROR(AL879*$V879,)</f>
        <v/>
      </c>
      <c r="CY879" s="128">
        <f>IFERROR(AM879*$V879,)</f>
        <v/>
      </c>
      <c r="CZ879" s="128">
        <f>IFERROR(AN879*$V879,)</f>
        <v/>
      </c>
      <c r="DA879" s="128">
        <f>IFERROR(AO879*$V879,)</f>
        <v/>
      </c>
      <c r="DB879" s="128">
        <f>IFERROR(AP879*$V879,)</f>
        <v/>
      </c>
      <c r="DC879" s="128">
        <f>IFERROR(AQ879*$V879,)</f>
        <v/>
      </c>
      <c r="DD879" s="128">
        <f>IFERROR(AR879*$V879,)</f>
        <v/>
      </c>
      <c r="DE879" s="128">
        <f>IFERROR(AS879*$V879,)</f>
        <v/>
      </c>
      <c r="DF879" s="128">
        <f>IFERROR(AT879*$V879,)</f>
        <v/>
      </c>
      <c r="DG879" s="128">
        <f>IFERROR(AU879*$V879,)</f>
        <v/>
      </c>
      <c r="DH879" s="128">
        <f>IFERROR(AV879*$V879,)</f>
        <v/>
      </c>
      <c r="DI879" s="128">
        <f>IFERROR(AW879*$V879,)</f>
        <v/>
      </c>
      <c r="DJ879" s="128">
        <f>IFERROR(AX879*$V879,)</f>
        <v/>
      </c>
      <c r="DK879" s="128">
        <f>IFERROR(AY879*$V879,)</f>
        <v/>
      </c>
      <c r="DL879" s="128">
        <f>IFERROR(AZ879*$V879,)</f>
        <v/>
      </c>
      <c r="DM879" s="129">
        <f>IFERROR(if($X879=0,($V879/1.2)*BA879,
BA879*$X879),)</f>
        <v/>
      </c>
      <c r="DN879" s="129">
        <f>IFERROR(if($X879=0,($V879/1.2)*BB879,
BB879*$X879),)</f>
        <v/>
      </c>
      <c r="DO879" s="129">
        <f>IFERROR(if($X879=0,($V879/1.2)*BC879,
BC879*$X879),)</f>
        <v/>
      </c>
      <c r="DP879" s="130">
        <f>IFERROR(if($Z879=0,($V879/1.35)*BD879,
BD879*$Z879),)</f>
        <v/>
      </c>
      <c r="DQ879" s="130">
        <f>IFERROR(if($Z879=0,($V879/1.35)*BE879,
BE879*$Z879),)</f>
        <v/>
      </c>
      <c r="DR879" s="130">
        <f>IFERROR(if($Z879=0,($V879/1.35)*BF879,
BF879*$Z879),)</f>
        <v/>
      </c>
      <c r="DS879" s="128">
        <f>IFERROR(IF($AB879=0,($V879/0.74)*BG879,
BG879*$AB879),)</f>
        <v/>
      </c>
      <c r="DT879" s="128">
        <f>IFERROR(IF($AB879=0,($V879/0.74)*BH879,
BH879*$AB879),)</f>
        <v/>
      </c>
      <c r="DU879" s="128">
        <f>IFERROR(IF($AB879=0,($V879/0.74)*BI879,
BI879*$AB879),)</f>
        <v/>
      </c>
    </row>
    <row r="880" ht="131.25" customHeight="1" s="162">
      <c r="A880" s="115" t="n"/>
      <c r="B880" s="115" t="n"/>
      <c r="C880" s="115" t="n"/>
      <c r="D880" s="115" t="n"/>
      <c r="E880" s="115" t="n"/>
      <c r="F880" s="115" t="n"/>
      <c r="G880" s="115" t="n"/>
      <c r="H880" s="115" t="n"/>
      <c r="I880" s="115" t="n"/>
      <c r="J880" s="115" t="n"/>
      <c r="K880" s="115" t="n"/>
      <c r="L880" s="115" t="n"/>
      <c r="M880" s="115" t="n"/>
      <c r="N880" s="115" t="n"/>
      <c r="O880" s="115" t="n"/>
      <c r="P880" s="115" t="n"/>
      <c r="Q880" s="115" t="n"/>
      <c r="R880" s="115" t="n"/>
      <c r="S880" s="115" t="n"/>
      <c r="T880" s="115" t="n"/>
      <c r="U880" s="116" t="n"/>
      <c r="V880" s="116" t="n"/>
      <c r="W880" s="117" t="n"/>
      <c r="X880" s="118" t="n"/>
      <c r="Y880" s="119" t="n"/>
      <c r="Z880" s="120" t="n"/>
      <c r="AA880" s="121" t="n"/>
      <c r="AB880" s="122" t="n"/>
      <c r="AC880" s="117" t="n"/>
      <c r="AD880" s="123">
        <f>IF(SUM($AE880:$AH880)=0,"",SUM($AE880:$AH880))</f>
        <v/>
      </c>
      <c r="AE880" s="123">
        <f>iferror(IF(SUM($AI880:$AZ880)=0,"",SUM($AI880:$AZ880)),"")</f>
        <v/>
      </c>
      <c r="AF880" s="123">
        <f>iferror(IF(SUM($BA880:$BC880)=0,"",SUM($BA880:$BC880)),"")</f>
        <v/>
      </c>
      <c r="AG880" s="123">
        <f>iferror(IF(SUM($BD880:$BF880)=0,"",SUM($BD880:$BF880)),"")</f>
        <v/>
      </c>
      <c r="AH880" s="124">
        <f>iferror(IF(SUM($BG880:$BI880)=0,"",SUM($BG880:$BI880)),"")</f>
        <v/>
      </c>
      <c r="AI880" s="131" t="n"/>
      <c r="AJ880" s="132" t="n"/>
      <c r="AK880" s="132" t="n"/>
      <c r="AL880" s="132" t="n"/>
      <c r="AM880" s="132" t="n"/>
      <c r="AN880" s="132" t="n"/>
      <c r="AO880" s="132" t="n"/>
      <c r="AP880" s="132" t="n"/>
      <c r="AQ880" s="132" t="n"/>
      <c r="AR880" s="132" t="n"/>
      <c r="AS880" s="132" t="n"/>
      <c r="AT880" s="132" t="n"/>
      <c r="AU880" s="132" t="n"/>
      <c r="AV880" s="132" t="n"/>
      <c r="AW880" s="132" t="n"/>
      <c r="AX880" s="132" t="n"/>
      <c r="AY880" s="132" t="n"/>
      <c r="AZ880" s="133" t="n"/>
      <c r="BA880" s="131" t="n"/>
      <c r="BB880" s="132" t="n"/>
      <c r="BC880" s="133" t="n"/>
      <c r="BD880" s="131" t="n"/>
      <c r="BE880" s="132" t="n"/>
      <c r="BF880" s="133" t="n"/>
      <c r="BG880" s="131" t="n"/>
      <c r="BH880" s="132" t="n"/>
      <c r="BI880" s="132" t="n"/>
      <c r="BJ880" s="128">
        <f>iferror(SUM($BK880,($BL880*1.2),($BM880*1.35),($BN880*0.74)),)</f>
        <v/>
      </c>
      <c r="BK880" s="128">
        <f>IFERROR(SUM($BT880:$CK880),)</f>
        <v/>
      </c>
      <c r="BL880" s="129">
        <f>IFERROR(SUM($CL880:$CN880),)</f>
        <v/>
      </c>
      <c r="BM880" s="130">
        <f>IFERROR(SUM($CO880:$CQ880),)</f>
        <v/>
      </c>
      <c r="BN880" s="128">
        <f>IFERROR(SUM($CR880:$CT880),)</f>
        <v/>
      </c>
      <c r="BO880" s="128">
        <f>iferror(SUM($BP880,($BQ880*1.2),($BR880*1.35),($BS880*0.74)),)</f>
        <v/>
      </c>
      <c r="BP880" s="128">
        <f>IFERROR(SUM($CU880:$DL880),)</f>
        <v/>
      </c>
      <c r="BQ880" s="128">
        <f>IFERROR(SUM($DM880:$DO880),)</f>
        <v/>
      </c>
      <c r="BR880" s="128">
        <f>IFERROR(SUM($DP880:$DR880),)</f>
        <v/>
      </c>
      <c r="BS880" s="128">
        <f>IFERROR(SUM($DS880:$DU880),)</f>
        <v/>
      </c>
      <c r="BT880" s="128">
        <f>IFERROR(AI880*$W880,)</f>
        <v/>
      </c>
      <c r="BU880" s="128">
        <f>IFERROR(AJ880*$W880,)</f>
        <v/>
      </c>
      <c r="BV880" s="128">
        <f>IFERROR(AK880*$W880,)</f>
        <v/>
      </c>
      <c r="BW880" s="128">
        <f>IFERROR(AL880*$W880,)</f>
        <v/>
      </c>
      <c r="BX880" s="128">
        <f>IFERROR(AM880*$W880,)</f>
        <v/>
      </c>
      <c r="BY880" s="128">
        <f>IFERROR(AN880*$W880,)</f>
        <v/>
      </c>
      <c r="BZ880" s="128">
        <f>IFERROR(AO880*$W880,)</f>
        <v/>
      </c>
      <c r="CA880" s="128">
        <f>IFERROR(AP880*$W880,)</f>
        <v/>
      </c>
      <c r="CB880" s="128">
        <f>IFERROR(AQ880*$W880,)</f>
        <v/>
      </c>
      <c r="CC880" s="128">
        <f>IFERROR(AR880*$W880,)</f>
        <v/>
      </c>
      <c r="CD880" s="128">
        <f>IFERROR(AS880*$W880,)</f>
        <v/>
      </c>
      <c r="CE880" s="128">
        <f>IFERROR(AT880*$W880,)</f>
        <v/>
      </c>
      <c r="CF880" s="128">
        <f>IFERROR(AU880*$W880,)</f>
        <v/>
      </c>
      <c r="CG880" s="128">
        <f>IFERROR(AV880*$W880,)</f>
        <v/>
      </c>
      <c r="CH880" s="128">
        <f>IFERROR(AW880*$W880,)</f>
        <v/>
      </c>
      <c r="CI880" s="128">
        <f>IFERROR(AX880*$W880,)</f>
        <v/>
      </c>
      <c r="CJ880" s="128">
        <f>IFERROR(AY880*$W880,)</f>
        <v/>
      </c>
      <c r="CK880" s="128">
        <f>IFERROR(AZ880*$W880,)</f>
        <v/>
      </c>
      <c r="CL880" s="129">
        <f>IFERROR(if($Y880=0,BA880*($W880/1.2),BA880*$Y880),"")</f>
        <v/>
      </c>
      <c r="CM880" s="129">
        <f>IFERROR(if($Y880=0,BB880*($W880/1.2),BB880*$Y880),"")</f>
        <v/>
      </c>
      <c r="CN880" s="129">
        <f>IFERROR(if($Y880=0,BC880*($W880/1.2),BC880*$Y880),"")</f>
        <v/>
      </c>
      <c r="CO880" s="130">
        <f>IFERROR(if($AA880=0,($W880/1.35)*BD880,BD880*$AA880),)</f>
        <v/>
      </c>
      <c r="CP880" s="130">
        <f>IFERROR(if($AA880=0,($W880/1.35)*BE880,BE880*$AA880),)</f>
        <v/>
      </c>
      <c r="CQ880" s="130">
        <f>IFERROR(if($AA880=0,($W880/1.35)*BF880,BF880*$AA880),)</f>
        <v/>
      </c>
      <c r="CR880" s="128">
        <f>IFERROR(if($AC880=0,($W880/0.74)*BG880,
BG880*$AC880),)</f>
        <v/>
      </c>
      <c r="CS880" s="128">
        <f>IFERROR(if($AC880=0,($W880/0.74)*BH880,
BH880*$AC880),)</f>
        <v/>
      </c>
      <c r="CT880" s="128">
        <f>IFERROR(if($AC880=0,($W880/0.74)*BI880,
BI880*$AC880),)</f>
        <v/>
      </c>
      <c r="CU880" s="128">
        <f>IFERROR(AI880*$V880,)</f>
        <v/>
      </c>
      <c r="CV880" s="128">
        <f>IFERROR(AJ880*$V880,)</f>
        <v/>
      </c>
      <c r="CW880" s="128">
        <f>IFERROR(AK880*$V880,)</f>
        <v/>
      </c>
      <c r="CX880" s="128">
        <f>IFERROR(AL880*$V880,)</f>
        <v/>
      </c>
      <c r="CY880" s="128">
        <f>IFERROR(AM880*$V880,)</f>
        <v/>
      </c>
      <c r="CZ880" s="128">
        <f>IFERROR(AN880*$V880,)</f>
        <v/>
      </c>
      <c r="DA880" s="128">
        <f>IFERROR(AO880*$V880,)</f>
        <v/>
      </c>
      <c r="DB880" s="128">
        <f>IFERROR(AP880*$V880,)</f>
        <v/>
      </c>
      <c r="DC880" s="128">
        <f>IFERROR(AQ880*$V880,)</f>
        <v/>
      </c>
      <c r="DD880" s="128">
        <f>IFERROR(AR880*$V880,)</f>
        <v/>
      </c>
      <c r="DE880" s="128">
        <f>IFERROR(AS880*$V880,)</f>
        <v/>
      </c>
      <c r="DF880" s="128">
        <f>IFERROR(AT880*$V880,)</f>
        <v/>
      </c>
      <c r="DG880" s="128">
        <f>IFERROR(AU880*$V880,)</f>
        <v/>
      </c>
      <c r="DH880" s="128">
        <f>IFERROR(AV880*$V880,)</f>
        <v/>
      </c>
      <c r="DI880" s="128">
        <f>IFERROR(AW880*$V880,)</f>
        <v/>
      </c>
      <c r="DJ880" s="128">
        <f>IFERROR(AX880*$V880,)</f>
        <v/>
      </c>
      <c r="DK880" s="128">
        <f>IFERROR(AY880*$V880,)</f>
        <v/>
      </c>
      <c r="DL880" s="128">
        <f>IFERROR(AZ880*$V880,)</f>
        <v/>
      </c>
      <c r="DM880" s="129">
        <f>IFERROR(if($X880=0,($V880/1.2)*BA880,
BA880*$X880),)</f>
        <v/>
      </c>
      <c r="DN880" s="129">
        <f>IFERROR(if($X880=0,($V880/1.2)*BB880,
BB880*$X880),)</f>
        <v/>
      </c>
      <c r="DO880" s="129">
        <f>IFERROR(if($X880=0,($V880/1.2)*BC880,
BC880*$X880),)</f>
        <v/>
      </c>
      <c r="DP880" s="130">
        <f>IFERROR(if($Z880=0,($V880/1.35)*BD880,
BD880*$Z880),)</f>
        <v/>
      </c>
      <c r="DQ880" s="130">
        <f>IFERROR(if($Z880=0,($V880/1.35)*BE880,
BE880*$Z880),)</f>
        <v/>
      </c>
      <c r="DR880" s="130">
        <f>IFERROR(if($Z880=0,($V880/1.35)*BF880,
BF880*$Z880),)</f>
        <v/>
      </c>
      <c r="DS880" s="128">
        <f>IFERROR(IF($AB880=0,($V880/0.74)*BG880,
BG880*$AB880),)</f>
        <v/>
      </c>
      <c r="DT880" s="128">
        <f>IFERROR(IF($AB880=0,($V880/0.74)*BH880,
BH880*$AB880),)</f>
        <v/>
      </c>
      <c r="DU880" s="128">
        <f>IFERROR(IF($AB880=0,($V880/0.74)*BI880,
BI880*$AB880),)</f>
        <v/>
      </c>
    </row>
    <row r="881" ht="131.25" customHeight="1" s="162">
      <c r="A881" s="115" t="n"/>
      <c r="B881" s="115" t="n"/>
      <c r="C881" s="115" t="n"/>
      <c r="D881" s="115" t="n"/>
      <c r="E881" s="115" t="n"/>
      <c r="F881" s="115" t="n"/>
      <c r="G881" s="115" t="n"/>
      <c r="H881" s="115" t="n"/>
      <c r="I881" s="115" t="n"/>
      <c r="J881" s="115" t="n"/>
      <c r="K881" s="115" t="n"/>
      <c r="L881" s="115" t="n"/>
      <c r="M881" s="115" t="n"/>
      <c r="N881" s="115" t="n"/>
      <c r="O881" s="115" t="n"/>
      <c r="P881" s="115" t="n"/>
      <c r="Q881" s="115" t="n"/>
      <c r="R881" s="115" t="n"/>
      <c r="S881" s="115" t="n"/>
      <c r="T881" s="115" t="n"/>
      <c r="U881" s="116" t="n"/>
      <c r="V881" s="116" t="n"/>
      <c r="W881" s="117" t="n"/>
      <c r="X881" s="118" t="n"/>
      <c r="Y881" s="119" t="n"/>
      <c r="Z881" s="120" t="n"/>
      <c r="AA881" s="121" t="n"/>
      <c r="AB881" s="122" t="n"/>
      <c r="AC881" s="117" t="n"/>
      <c r="AD881" s="123">
        <f>IF(SUM($AE881:$AH881)=0,"",SUM($AE881:$AH881))</f>
        <v/>
      </c>
      <c r="AE881" s="123">
        <f>iferror(IF(SUM($AI881:$AZ881)=0,"",SUM($AI881:$AZ881)),"")</f>
        <v/>
      </c>
      <c r="AF881" s="123">
        <f>iferror(IF(SUM($BA881:$BC881)=0,"",SUM($BA881:$BC881)),"")</f>
        <v/>
      </c>
      <c r="AG881" s="123">
        <f>iferror(IF(SUM($BD881:$BF881)=0,"",SUM($BD881:$BF881)),"")</f>
        <v/>
      </c>
      <c r="AH881" s="124">
        <f>iferror(IF(SUM($BG881:$BI881)=0,"",SUM($BG881:$BI881)),"")</f>
        <v/>
      </c>
      <c r="AI881" s="131" t="n"/>
      <c r="AJ881" s="132" t="n"/>
      <c r="AK881" s="132" t="n"/>
      <c r="AL881" s="132" t="n"/>
      <c r="AM881" s="132" t="n"/>
      <c r="AN881" s="132" t="n"/>
      <c r="AO881" s="132" t="n"/>
      <c r="AP881" s="132" t="n"/>
      <c r="AQ881" s="132" t="n"/>
      <c r="AR881" s="132" t="n"/>
      <c r="AS881" s="132" t="n"/>
      <c r="AT881" s="132" t="n"/>
      <c r="AU881" s="132" t="n"/>
      <c r="AV881" s="132" t="n"/>
      <c r="AW881" s="132" t="n"/>
      <c r="AX881" s="132" t="n"/>
      <c r="AY881" s="132" t="n"/>
      <c r="AZ881" s="133" t="n"/>
      <c r="BA881" s="131" t="n"/>
      <c r="BB881" s="132" t="n"/>
      <c r="BC881" s="133" t="n"/>
      <c r="BD881" s="131" t="n"/>
      <c r="BE881" s="132" t="n"/>
      <c r="BF881" s="133" t="n"/>
      <c r="BG881" s="131" t="n"/>
      <c r="BH881" s="132" t="n"/>
      <c r="BI881" s="132" t="n"/>
      <c r="BJ881" s="128">
        <f>iferror(SUM($BK881,($BL881*1.2),($BM881*1.35),($BN881*0.74)),)</f>
        <v/>
      </c>
      <c r="BK881" s="128">
        <f>IFERROR(SUM($BT881:$CK881),)</f>
        <v/>
      </c>
      <c r="BL881" s="129">
        <f>IFERROR(SUM($CL881:$CN881),)</f>
        <v/>
      </c>
      <c r="BM881" s="130">
        <f>IFERROR(SUM($CO881:$CQ881),)</f>
        <v/>
      </c>
      <c r="BN881" s="128">
        <f>IFERROR(SUM($CR881:$CT881),)</f>
        <v/>
      </c>
      <c r="BO881" s="128">
        <f>iferror(SUM($BP881,($BQ881*1.2),($BR881*1.35),($BS881*0.74)),)</f>
        <v/>
      </c>
      <c r="BP881" s="128">
        <f>IFERROR(SUM($CU881:$DL881),)</f>
        <v/>
      </c>
      <c r="BQ881" s="128">
        <f>IFERROR(SUM($DM881:$DO881),)</f>
        <v/>
      </c>
      <c r="BR881" s="128">
        <f>IFERROR(SUM($DP881:$DR881),)</f>
        <v/>
      </c>
      <c r="BS881" s="128">
        <f>IFERROR(SUM($DS881:$DU881),)</f>
        <v/>
      </c>
      <c r="BT881" s="128">
        <f>IFERROR(AI881*$W881,)</f>
        <v/>
      </c>
      <c r="BU881" s="128">
        <f>IFERROR(AJ881*$W881,)</f>
        <v/>
      </c>
      <c r="BV881" s="128">
        <f>IFERROR(AK881*$W881,)</f>
        <v/>
      </c>
      <c r="BW881" s="128">
        <f>IFERROR(AL881*$W881,)</f>
        <v/>
      </c>
      <c r="BX881" s="128">
        <f>IFERROR(AM881*$W881,)</f>
        <v/>
      </c>
      <c r="BY881" s="128">
        <f>IFERROR(AN881*$W881,)</f>
        <v/>
      </c>
      <c r="BZ881" s="128">
        <f>IFERROR(AO881*$W881,)</f>
        <v/>
      </c>
      <c r="CA881" s="128">
        <f>IFERROR(AP881*$W881,)</f>
        <v/>
      </c>
      <c r="CB881" s="128">
        <f>IFERROR(AQ881*$W881,)</f>
        <v/>
      </c>
      <c r="CC881" s="128">
        <f>IFERROR(AR881*$W881,)</f>
        <v/>
      </c>
      <c r="CD881" s="128">
        <f>IFERROR(AS881*$W881,)</f>
        <v/>
      </c>
      <c r="CE881" s="128">
        <f>IFERROR(AT881*$W881,)</f>
        <v/>
      </c>
      <c r="CF881" s="128">
        <f>IFERROR(AU881*$W881,)</f>
        <v/>
      </c>
      <c r="CG881" s="128">
        <f>IFERROR(AV881*$W881,)</f>
        <v/>
      </c>
      <c r="CH881" s="128">
        <f>IFERROR(AW881*$W881,)</f>
        <v/>
      </c>
      <c r="CI881" s="128">
        <f>IFERROR(AX881*$W881,)</f>
        <v/>
      </c>
      <c r="CJ881" s="128">
        <f>IFERROR(AY881*$W881,)</f>
        <v/>
      </c>
      <c r="CK881" s="128">
        <f>IFERROR(AZ881*$W881,)</f>
        <v/>
      </c>
      <c r="CL881" s="129">
        <f>IFERROR(if($Y881=0,BA881*($W881/1.2),BA881*$Y881),"")</f>
        <v/>
      </c>
      <c r="CM881" s="129">
        <f>IFERROR(if($Y881=0,BB881*($W881/1.2),BB881*$Y881),"")</f>
        <v/>
      </c>
      <c r="CN881" s="129">
        <f>IFERROR(if($Y881=0,BC881*($W881/1.2),BC881*$Y881),"")</f>
        <v/>
      </c>
      <c r="CO881" s="130">
        <f>IFERROR(if($AA881=0,($W881/1.35)*BD881,BD881*$AA881),)</f>
        <v/>
      </c>
      <c r="CP881" s="130">
        <f>IFERROR(if($AA881=0,($W881/1.35)*BE881,BE881*$AA881),)</f>
        <v/>
      </c>
      <c r="CQ881" s="130">
        <f>IFERROR(if($AA881=0,($W881/1.35)*BF881,BF881*$AA881),)</f>
        <v/>
      </c>
      <c r="CR881" s="128">
        <f>IFERROR(if($AC881=0,($W881/0.74)*BG881,
BG881*$AC881),)</f>
        <v/>
      </c>
      <c r="CS881" s="128">
        <f>IFERROR(if($AC881=0,($W881/0.74)*BH881,
BH881*$AC881),)</f>
        <v/>
      </c>
      <c r="CT881" s="128">
        <f>IFERROR(if($AC881=0,($W881/0.74)*BI881,
BI881*$AC881),)</f>
        <v/>
      </c>
      <c r="CU881" s="128">
        <f>IFERROR(AI881*$V881,)</f>
        <v/>
      </c>
      <c r="CV881" s="128">
        <f>IFERROR(AJ881*$V881,)</f>
        <v/>
      </c>
      <c r="CW881" s="128">
        <f>IFERROR(AK881*$V881,)</f>
        <v/>
      </c>
      <c r="CX881" s="128">
        <f>IFERROR(AL881*$V881,)</f>
        <v/>
      </c>
      <c r="CY881" s="128">
        <f>IFERROR(AM881*$V881,)</f>
        <v/>
      </c>
      <c r="CZ881" s="128">
        <f>IFERROR(AN881*$V881,)</f>
        <v/>
      </c>
      <c r="DA881" s="128">
        <f>IFERROR(AO881*$V881,)</f>
        <v/>
      </c>
      <c r="DB881" s="128">
        <f>IFERROR(AP881*$V881,)</f>
        <v/>
      </c>
      <c r="DC881" s="128">
        <f>IFERROR(AQ881*$V881,)</f>
        <v/>
      </c>
      <c r="DD881" s="128">
        <f>IFERROR(AR881*$V881,)</f>
        <v/>
      </c>
      <c r="DE881" s="128">
        <f>IFERROR(AS881*$V881,)</f>
        <v/>
      </c>
      <c r="DF881" s="128">
        <f>IFERROR(AT881*$V881,)</f>
        <v/>
      </c>
      <c r="DG881" s="128">
        <f>IFERROR(AU881*$V881,)</f>
        <v/>
      </c>
      <c r="DH881" s="128">
        <f>IFERROR(AV881*$V881,)</f>
        <v/>
      </c>
      <c r="DI881" s="128">
        <f>IFERROR(AW881*$V881,)</f>
        <v/>
      </c>
      <c r="DJ881" s="128">
        <f>IFERROR(AX881*$V881,)</f>
        <v/>
      </c>
      <c r="DK881" s="128">
        <f>IFERROR(AY881*$V881,)</f>
        <v/>
      </c>
      <c r="DL881" s="128">
        <f>IFERROR(AZ881*$V881,)</f>
        <v/>
      </c>
      <c r="DM881" s="129">
        <f>IFERROR(if($X881=0,($V881/1.2)*BA881,
BA881*$X881),)</f>
        <v/>
      </c>
      <c r="DN881" s="129">
        <f>IFERROR(if($X881=0,($V881/1.2)*BB881,
BB881*$X881),)</f>
        <v/>
      </c>
      <c r="DO881" s="129">
        <f>IFERROR(if($X881=0,($V881/1.2)*BC881,
BC881*$X881),)</f>
        <v/>
      </c>
      <c r="DP881" s="130">
        <f>IFERROR(if($Z881=0,($V881/1.35)*BD881,
BD881*$Z881),)</f>
        <v/>
      </c>
      <c r="DQ881" s="130">
        <f>IFERROR(if($Z881=0,($V881/1.35)*BE881,
BE881*$Z881),)</f>
        <v/>
      </c>
      <c r="DR881" s="130">
        <f>IFERROR(if($Z881=0,($V881/1.35)*BF881,
BF881*$Z881),)</f>
        <v/>
      </c>
      <c r="DS881" s="128">
        <f>IFERROR(IF($AB881=0,($V881/0.74)*BG881,
BG881*$AB881),)</f>
        <v/>
      </c>
      <c r="DT881" s="128">
        <f>IFERROR(IF($AB881=0,($V881/0.74)*BH881,
BH881*$AB881),)</f>
        <v/>
      </c>
      <c r="DU881" s="128">
        <f>IFERROR(IF($AB881=0,($V881/0.74)*BI881,
BI881*$AB881),)</f>
        <v/>
      </c>
    </row>
    <row r="882" ht="131.25" customHeight="1" s="162">
      <c r="A882" s="115" t="n"/>
      <c r="B882" s="115" t="n"/>
      <c r="C882" s="115" t="n"/>
      <c r="D882" s="115" t="n"/>
      <c r="E882" s="115" t="n"/>
      <c r="F882" s="115" t="n"/>
      <c r="G882" s="115" t="n"/>
      <c r="H882" s="115" t="n"/>
      <c r="I882" s="115" t="n"/>
      <c r="J882" s="115" t="n"/>
      <c r="K882" s="115" t="n"/>
      <c r="L882" s="115" t="n"/>
      <c r="M882" s="115" t="n"/>
      <c r="N882" s="115" t="n"/>
      <c r="O882" s="115" t="n"/>
      <c r="P882" s="115" t="n"/>
      <c r="Q882" s="115" t="n"/>
      <c r="R882" s="115" t="n"/>
      <c r="S882" s="115" t="n"/>
      <c r="T882" s="115" t="n"/>
      <c r="U882" s="116" t="n"/>
      <c r="V882" s="116" t="n"/>
      <c r="W882" s="117" t="n"/>
      <c r="X882" s="118" t="n"/>
      <c r="Y882" s="119" t="n"/>
      <c r="Z882" s="120" t="n"/>
      <c r="AA882" s="121" t="n"/>
      <c r="AB882" s="122" t="n"/>
      <c r="AC882" s="117" t="n"/>
      <c r="AD882" s="123">
        <f>IF(SUM($AE882:$AH882)=0,"",SUM($AE882:$AH882))</f>
        <v/>
      </c>
      <c r="AE882" s="123">
        <f>iferror(IF(SUM($AI882:$AZ882)=0,"",SUM($AI882:$AZ882)),"")</f>
        <v/>
      </c>
      <c r="AF882" s="123">
        <f>iferror(IF(SUM($BA882:$BC882)=0,"",SUM($BA882:$BC882)),"")</f>
        <v/>
      </c>
      <c r="AG882" s="123">
        <f>iferror(IF(SUM($BD882:$BF882)=0,"",SUM($BD882:$BF882)),"")</f>
        <v/>
      </c>
      <c r="AH882" s="124">
        <f>iferror(IF(SUM($BG882:$BI882)=0,"",SUM($BG882:$BI882)),"")</f>
        <v/>
      </c>
      <c r="AI882" s="131" t="n"/>
      <c r="AJ882" s="132" t="n"/>
      <c r="AK882" s="132" t="n"/>
      <c r="AL882" s="132" t="n"/>
      <c r="AM882" s="132" t="n"/>
      <c r="AN882" s="132" t="n"/>
      <c r="AO882" s="132" t="n"/>
      <c r="AP882" s="132" t="n"/>
      <c r="AQ882" s="132" t="n"/>
      <c r="AR882" s="132" t="n"/>
      <c r="AS882" s="132" t="n"/>
      <c r="AT882" s="132" t="n"/>
      <c r="AU882" s="132" t="n"/>
      <c r="AV882" s="132" t="n"/>
      <c r="AW882" s="132" t="n"/>
      <c r="AX882" s="132" t="n"/>
      <c r="AY882" s="132" t="n"/>
      <c r="AZ882" s="133" t="n"/>
      <c r="BA882" s="131" t="n"/>
      <c r="BB882" s="132" t="n"/>
      <c r="BC882" s="133" t="n"/>
      <c r="BD882" s="131" t="n"/>
      <c r="BE882" s="132" t="n"/>
      <c r="BF882" s="133" t="n"/>
      <c r="BG882" s="131" t="n"/>
      <c r="BH882" s="132" t="n"/>
      <c r="BI882" s="132" t="n"/>
      <c r="BJ882" s="128">
        <f>iferror(SUM($BK882,($BL882*1.2),($BM882*1.35),($BN882*0.74)),)</f>
        <v/>
      </c>
      <c r="BK882" s="128">
        <f>IFERROR(SUM($BT882:$CK882),)</f>
        <v/>
      </c>
      <c r="BL882" s="129">
        <f>IFERROR(SUM($CL882:$CN882),)</f>
        <v/>
      </c>
      <c r="BM882" s="130">
        <f>IFERROR(SUM($CO882:$CQ882),)</f>
        <v/>
      </c>
      <c r="BN882" s="128">
        <f>IFERROR(SUM($CR882:$CT882),)</f>
        <v/>
      </c>
      <c r="BO882" s="128">
        <f>iferror(SUM($BP882,($BQ882*1.2),($BR882*1.35),($BS882*0.74)),)</f>
        <v/>
      </c>
      <c r="BP882" s="128">
        <f>IFERROR(SUM($CU882:$DL882),)</f>
        <v/>
      </c>
      <c r="BQ882" s="128">
        <f>IFERROR(SUM($DM882:$DO882),)</f>
        <v/>
      </c>
      <c r="BR882" s="128">
        <f>IFERROR(SUM($DP882:$DR882),)</f>
        <v/>
      </c>
      <c r="BS882" s="128">
        <f>IFERROR(SUM($DS882:$DU882),)</f>
        <v/>
      </c>
      <c r="BT882" s="128">
        <f>IFERROR(AI882*$W882,)</f>
        <v/>
      </c>
      <c r="BU882" s="128">
        <f>IFERROR(AJ882*$W882,)</f>
        <v/>
      </c>
      <c r="BV882" s="128">
        <f>IFERROR(AK882*$W882,)</f>
        <v/>
      </c>
      <c r="BW882" s="128">
        <f>IFERROR(AL882*$W882,)</f>
        <v/>
      </c>
      <c r="BX882" s="128">
        <f>IFERROR(AM882*$W882,)</f>
        <v/>
      </c>
      <c r="BY882" s="128">
        <f>IFERROR(AN882*$W882,)</f>
        <v/>
      </c>
      <c r="BZ882" s="128">
        <f>IFERROR(AO882*$W882,)</f>
        <v/>
      </c>
      <c r="CA882" s="128">
        <f>IFERROR(AP882*$W882,)</f>
        <v/>
      </c>
      <c r="CB882" s="128">
        <f>IFERROR(AQ882*$W882,)</f>
        <v/>
      </c>
      <c r="CC882" s="128">
        <f>IFERROR(AR882*$W882,)</f>
        <v/>
      </c>
      <c r="CD882" s="128">
        <f>IFERROR(AS882*$W882,)</f>
        <v/>
      </c>
      <c r="CE882" s="128">
        <f>IFERROR(AT882*$W882,)</f>
        <v/>
      </c>
      <c r="CF882" s="128">
        <f>IFERROR(AU882*$W882,)</f>
        <v/>
      </c>
      <c r="CG882" s="128">
        <f>IFERROR(AV882*$W882,)</f>
        <v/>
      </c>
      <c r="CH882" s="128">
        <f>IFERROR(AW882*$W882,)</f>
        <v/>
      </c>
      <c r="CI882" s="128">
        <f>IFERROR(AX882*$W882,)</f>
        <v/>
      </c>
      <c r="CJ882" s="128">
        <f>IFERROR(AY882*$W882,)</f>
        <v/>
      </c>
      <c r="CK882" s="128">
        <f>IFERROR(AZ882*$W882,)</f>
        <v/>
      </c>
      <c r="CL882" s="129">
        <f>IFERROR(if($Y882=0,BA882*($W882/1.2),BA882*$Y882),"")</f>
        <v/>
      </c>
      <c r="CM882" s="129">
        <f>IFERROR(if($Y882=0,BB882*($W882/1.2),BB882*$Y882),"")</f>
        <v/>
      </c>
      <c r="CN882" s="129">
        <f>IFERROR(if($Y882=0,BC882*($W882/1.2),BC882*$Y882),"")</f>
        <v/>
      </c>
      <c r="CO882" s="130">
        <f>IFERROR(if($AA882=0,($W882/1.35)*BD882,BD882*$AA882),)</f>
        <v/>
      </c>
      <c r="CP882" s="130">
        <f>IFERROR(if($AA882=0,($W882/1.35)*BE882,BE882*$AA882),)</f>
        <v/>
      </c>
      <c r="CQ882" s="130">
        <f>IFERROR(if($AA882=0,($W882/1.35)*BF882,BF882*$AA882),)</f>
        <v/>
      </c>
      <c r="CR882" s="128">
        <f>IFERROR(if($AC882=0,($W882/0.74)*BG882,
BG882*$AC882),)</f>
        <v/>
      </c>
      <c r="CS882" s="128">
        <f>IFERROR(if($AC882=0,($W882/0.74)*BH882,
BH882*$AC882),)</f>
        <v/>
      </c>
      <c r="CT882" s="128">
        <f>IFERROR(if($AC882=0,($W882/0.74)*BI882,
BI882*$AC882),)</f>
        <v/>
      </c>
      <c r="CU882" s="128">
        <f>IFERROR(AI882*$V882,)</f>
        <v/>
      </c>
      <c r="CV882" s="128">
        <f>IFERROR(AJ882*$V882,)</f>
        <v/>
      </c>
      <c r="CW882" s="128">
        <f>IFERROR(AK882*$V882,)</f>
        <v/>
      </c>
      <c r="CX882" s="128">
        <f>IFERROR(AL882*$V882,)</f>
        <v/>
      </c>
      <c r="CY882" s="128">
        <f>IFERROR(AM882*$V882,)</f>
        <v/>
      </c>
      <c r="CZ882" s="128">
        <f>IFERROR(AN882*$V882,)</f>
        <v/>
      </c>
      <c r="DA882" s="128">
        <f>IFERROR(AO882*$V882,)</f>
        <v/>
      </c>
      <c r="DB882" s="128">
        <f>IFERROR(AP882*$V882,)</f>
        <v/>
      </c>
      <c r="DC882" s="128">
        <f>IFERROR(AQ882*$V882,)</f>
        <v/>
      </c>
      <c r="DD882" s="128">
        <f>IFERROR(AR882*$V882,)</f>
        <v/>
      </c>
      <c r="DE882" s="128">
        <f>IFERROR(AS882*$V882,)</f>
        <v/>
      </c>
      <c r="DF882" s="128">
        <f>IFERROR(AT882*$V882,)</f>
        <v/>
      </c>
      <c r="DG882" s="128">
        <f>IFERROR(AU882*$V882,)</f>
        <v/>
      </c>
      <c r="DH882" s="128">
        <f>IFERROR(AV882*$V882,)</f>
        <v/>
      </c>
      <c r="DI882" s="128">
        <f>IFERROR(AW882*$V882,)</f>
        <v/>
      </c>
      <c r="DJ882" s="128">
        <f>IFERROR(AX882*$V882,)</f>
        <v/>
      </c>
      <c r="DK882" s="128">
        <f>IFERROR(AY882*$V882,)</f>
        <v/>
      </c>
      <c r="DL882" s="128">
        <f>IFERROR(AZ882*$V882,)</f>
        <v/>
      </c>
      <c r="DM882" s="129">
        <f>IFERROR(if($X882=0,($V882/1.2)*BA882,
BA882*$X882),)</f>
        <v/>
      </c>
      <c r="DN882" s="129">
        <f>IFERROR(if($X882=0,($V882/1.2)*BB882,
BB882*$X882),)</f>
        <v/>
      </c>
      <c r="DO882" s="129">
        <f>IFERROR(if($X882=0,($V882/1.2)*BC882,
BC882*$X882),)</f>
        <v/>
      </c>
      <c r="DP882" s="130">
        <f>IFERROR(if($Z882=0,($V882/1.35)*BD882,
BD882*$Z882),)</f>
        <v/>
      </c>
      <c r="DQ882" s="130">
        <f>IFERROR(if($Z882=0,($V882/1.35)*BE882,
BE882*$Z882),)</f>
        <v/>
      </c>
      <c r="DR882" s="130">
        <f>IFERROR(if($Z882=0,($V882/1.35)*BF882,
BF882*$Z882),)</f>
        <v/>
      </c>
      <c r="DS882" s="128">
        <f>IFERROR(IF($AB882=0,($V882/0.74)*BG882,
BG882*$AB882),)</f>
        <v/>
      </c>
      <c r="DT882" s="128">
        <f>IFERROR(IF($AB882=0,($V882/0.74)*BH882,
BH882*$AB882),)</f>
        <v/>
      </c>
      <c r="DU882" s="128">
        <f>IFERROR(IF($AB882=0,($V882/0.74)*BI882,
BI882*$AB882),)</f>
        <v/>
      </c>
    </row>
    <row r="883" ht="131.25" customHeight="1" s="162">
      <c r="A883" s="115" t="n"/>
      <c r="B883" s="115" t="n"/>
      <c r="C883" s="115" t="n"/>
      <c r="D883" s="115" t="n"/>
      <c r="E883" s="115" t="n"/>
      <c r="F883" s="115" t="n"/>
      <c r="G883" s="115" t="n"/>
      <c r="H883" s="115" t="n"/>
      <c r="I883" s="115" t="n"/>
      <c r="J883" s="115" t="n"/>
      <c r="K883" s="115" t="n"/>
      <c r="L883" s="115" t="n"/>
      <c r="M883" s="115" t="n"/>
      <c r="N883" s="115" t="n"/>
      <c r="O883" s="115" t="n"/>
      <c r="P883" s="115" t="n"/>
      <c r="Q883" s="115" t="n"/>
      <c r="R883" s="115" t="n"/>
      <c r="S883" s="115" t="n"/>
      <c r="T883" s="115" t="n"/>
      <c r="U883" s="116" t="n"/>
      <c r="V883" s="116" t="n"/>
      <c r="W883" s="117" t="n"/>
      <c r="X883" s="118" t="n"/>
      <c r="Y883" s="119" t="n"/>
      <c r="Z883" s="120" t="n"/>
      <c r="AA883" s="121" t="n"/>
      <c r="AB883" s="122" t="n"/>
      <c r="AC883" s="117" t="n"/>
      <c r="AD883" s="123">
        <f>IF(SUM($AE883:$AH883)=0,"",SUM($AE883:$AH883))</f>
        <v/>
      </c>
      <c r="AE883" s="123">
        <f>iferror(IF(SUM($AI883:$AZ883)=0,"",SUM($AI883:$AZ883)),"")</f>
        <v/>
      </c>
      <c r="AF883" s="123">
        <f>iferror(IF(SUM($BA883:$BC883)=0,"",SUM($BA883:$BC883)),"")</f>
        <v/>
      </c>
      <c r="AG883" s="123">
        <f>iferror(IF(SUM($BD883:$BF883)=0,"",SUM($BD883:$BF883)),"")</f>
        <v/>
      </c>
      <c r="AH883" s="124">
        <f>iferror(IF(SUM($BG883:$BI883)=0,"",SUM($BG883:$BI883)),"")</f>
        <v/>
      </c>
      <c r="AI883" s="134" t="n"/>
      <c r="AJ883" s="135" t="n"/>
      <c r="AK883" s="135" t="n"/>
      <c r="AL883" s="135" t="n"/>
      <c r="AM883" s="135" t="n"/>
      <c r="AN883" s="135" t="n"/>
      <c r="AO883" s="135" t="n"/>
      <c r="AP883" s="135" t="n"/>
      <c r="AQ883" s="135" t="n"/>
      <c r="AR883" s="135" t="n"/>
      <c r="AS883" s="135" t="n"/>
      <c r="AT883" s="135" t="n"/>
      <c r="AU883" s="135" t="n"/>
      <c r="AV883" s="135" t="n"/>
      <c r="AW883" s="135" t="n"/>
      <c r="AX883" s="135" t="n"/>
      <c r="AY883" s="135" t="n"/>
      <c r="AZ883" s="136" t="n"/>
      <c r="BA883" s="134" t="n"/>
      <c r="BB883" s="135" t="n"/>
      <c r="BC883" s="136" t="n"/>
      <c r="BD883" s="134" t="n"/>
      <c r="BE883" s="135" t="n"/>
      <c r="BF883" s="136" t="n"/>
      <c r="BG883" s="134" t="n"/>
      <c r="BH883" s="135" t="n"/>
      <c r="BI883" s="135" t="n"/>
      <c r="BJ883" s="128">
        <f>iferror(SUM($BK883,($BL883*1.2),($BM883*1.35),($BN883*0.74)),)</f>
        <v/>
      </c>
      <c r="BK883" s="128">
        <f>IFERROR(SUM($BT883:$CK883),)</f>
        <v/>
      </c>
      <c r="BL883" s="129">
        <f>IFERROR(SUM($CL883:$CN883),)</f>
        <v/>
      </c>
      <c r="BM883" s="130">
        <f>IFERROR(SUM($CO883:$CQ883),)</f>
        <v/>
      </c>
      <c r="BN883" s="128">
        <f>IFERROR(SUM($CR883:$CT883),)</f>
        <v/>
      </c>
      <c r="BO883" s="128">
        <f>iferror(SUM($BP883,($BQ883*1.2),($BR883*1.35),($BS883*0.74)),)</f>
        <v/>
      </c>
      <c r="BP883" s="128">
        <f>IFERROR(SUM($CU883:$DL883),)</f>
        <v/>
      </c>
      <c r="BQ883" s="128">
        <f>IFERROR(SUM($DM883:$DO883),)</f>
        <v/>
      </c>
      <c r="BR883" s="128">
        <f>IFERROR(SUM($DP883:$DR883),)</f>
        <v/>
      </c>
      <c r="BS883" s="128">
        <f>IFERROR(SUM($DS883:$DU883),)</f>
        <v/>
      </c>
      <c r="BT883" s="128">
        <f>IFERROR(AI883*$W883,)</f>
        <v/>
      </c>
      <c r="BU883" s="128">
        <f>IFERROR(AJ883*$W883,)</f>
        <v/>
      </c>
      <c r="BV883" s="128">
        <f>IFERROR(AK883*$W883,)</f>
        <v/>
      </c>
      <c r="BW883" s="128">
        <f>IFERROR(AL883*$W883,)</f>
        <v/>
      </c>
      <c r="BX883" s="128">
        <f>IFERROR(AM883*$W883,)</f>
        <v/>
      </c>
      <c r="BY883" s="128">
        <f>IFERROR(AN883*$W883,)</f>
        <v/>
      </c>
      <c r="BZ883" s="128">
        <f>IFERROR(AO883*$W883,)</f>
        <v/>
      </c>
      <c r="CA883" s="128">
        <f>IFERROR(AP883*$W883,)</f>
        <v/>
      </c>
      <c r="CB883" s="128">
        <f>IFERROR(AQ883*$W883,)</f>
        <v/>
      </c>
      <c r="CC883" s="128">
        <f>IFERROR(AR883*$W883,)</f>
        <v/>
      </c>
      <c r="CD883" s="128">
        <f>IFERROR(AS883*$W883,)</f>
        <v/>
      </c>
      <c r="CE883" s="128">
        <f>IFERROR(AT883*$W883,)</f>
        <v/>
      </c>
      <c r="CF883" s="128">
        <f>IFERROR(AU883*$W883,)</f>
        <v/>
      </c>
      <c r="CG883" s="128">
        <f>IFERROR(AV883*$W883,)</f>
        <v/>
      </c>
      <c r="CH883" s="128">
        <f>IFERROR(AW883*$W883,)</f>
        <v/>
      </c>
      <c r="CI883" s="128">
        <f>IFERROR(AX883*$W883,)</f>
        <v/>
      </c>
      <c r="CJ883" s="128">
        <f>IFERROR(AY883*$W883,)</f>
        <v/>
      </c>
      <c r="CK883" s="128">
        <f>IFERROR(AZ883*$W883,)</f>
        <v/>
      </c>
      <c r="CL883" s="129">
        <f>IFERROR(if($Y883=0,BA883*($W883/1.2),BA883*$Y883),"")</f>
        <v/>
      </c>
      <c r="CM883" s="129">
        <f>IFERROR(if($Y883=0,BB883*($W883/1.2),BB883*$Y883),"")</f>
        <v/>
      </c>
      <c r="CN883" s="129">
        <f>IFERROR(if($Y883=0,BC883*($W883/1.2),BC883*$Y883),"")</f>
        <v/>
      </c>
      <c r="CO883" s="130">
        <f>IFERROR(if($AA883=0,($W883/1.35)*BD883,BD883*$AA883),)</f>
        <v/>
      </c>
      <c r="CP883" s="130">
        <f>IFERROR(if($AA883=0,($W883/1.35)*BE883,BE883*$AA883),)</f>
        <v/>
      </c>
      <c r="CQ883" s="130">
        <f>IFERROR(if($AA883=0,($W883/1.35)*BF883,BF883*$AA883),)</f>
        <v/>
      </c>
      <c r="CR883" s="128">
        <f>IFERROR(if($AC883=0,($W883/0.74)*BG883,
BG883*$AC883),)</f>
        <v/>
      </c>
      <c r="CS883" s="128">
        <f>IFERROR(if($AC883=0,($W883/0.74)*BH883,
BH883*$AC883),)</f>
        <v/>
      </c>
      <c r="CT883" s="128">
        <f>IFERROR(if($AC883=0,($W883/0.74)*BI883,
BI883*$AC883),)</f>
        <v/>
      </c>
      <c r="CU883" s="128">
        <f>IFERROR(AI883*$V883,)</f>
        <v/>
      </c>
      <c r="CV883" s="128">
        <f>IFERROR(AJ883*$V883,)</f>
        <v/>
      </c>
      <c r="CW883" s="128">
        <f>IFERROR(AK883*$V883,)</f>
        <v/>
      </c>
      <c r="CX883" s="128">
        <f>IFERROR(AL883*$V883,)</f>
        <v/>
      </c>
      <c r="CY883" s="128">
        <f>IFERROR(AM883*$V883,)</f>
        <v/>
      </c>
      <c r="CZ883" s="128">
        <f>IFERROR(AN883*$V883,)</f>
        <v/>
      </c>
      <c r="DA883" s="128">
        <f>IFERROR(AO883*$V883,)</f>
        <v/>
      </c>
      <c r="DB883" s="128">
        <f>IFERROR(AP883*$V883,)</f>
        <v/>
      </c>
      <c r="DC883" s="128">
        <f>IFERROR(AQ883*$V883,)</f>
        <v/>
      </c>
      <c r="DD883" s="128">
        <f>IFERROR(AR883*$V883,)</f>
        <v/>
      </c>
      <c r="DE883" s="128">
        <f>IFERROR(AS883*$V883,)</f>
        <v/>
      </c>
      <c r="DF883" s="128">
        <f>IFERROR(AT883*$V883,)</f>
        <v/>
      </c>
      <c r="DG883" s="128">
        <f>IFERROR(AU883*$V883,)</f>
        <v/>
      </c>
      <c r="DH883" s="128">
        <f>IFERROR(AV883*$V883,)</f>
        <v/>
      </c>
      <c r="DI883" s="128">
        <f>IFERROR(AW883*$V883,)</f>
        <v/>
      </c>
      <c r="DJ883" s="128">
        <f>IFERROR(AX883*$V883,)</f>
        <v/>
      </c>
      <c r="DK883" s="128">
        <f>IFERROR(AY883*$V883,)</f>
        <v/>
      </c>
      <c r="DL883" s="128">
        <f>IFERROR(AZ883*$V883,)</f>
        <v/>
      </c>
      <c r="DM883" s="129">
        <f>IFERROR(if($X883=0,($V883/1.2)*BA883,
BA883*$X883),)</f>
        <v/>
      </c>
      <c r="DN883" s="129">
        <f>IFERROR(if($X883=0,($V883/1.2)*BB883,
BB883*$X883),)</f>
        <v/>
      </c>
      <c r="DO883" s="129">
        <f>IFERROR(if($X883=0,($V883/1.2)*BC883,
BC883*$X883),)</f>
        <v/>
      </c>
      <c r="DP883" s="130">
        <f>IFERROR(if($Z883=0,($V883/1.35)*BD883,
BD883*$Z883),)</f>
        <v/>
      </c>
      <c r="DQ883" s="130">
        <f>IFERROR(if($Z883=0,($V883/1.35)*BE883,
BE883*$Z883),)</f>
        <v/>
      </c>
      <c r="DR883" s="130">
        <f>IFERROR(if($Z883=0,($V883/1.35)*BF883,
BF883*$Z883),)</f>
        <v/>
      </c>
      <c r="DS883" s="128">
        <f>IFERROR(IF($AB883=0,($V883/0.74)*BG883,
BG883*$AB883),)</f>
        <v/>
      </c>
      <c r="DT883" s="128">
        <f>IFERROR(IF($AB883=0,($V883/0.74)*BH883,
BH883*$AB883),)</f>
        <v/>
      </c>
      <c r="DU883" s="128">
        <f>IFERROR(IF($AB883=0,($V883/0.74)*BI883,
BI883*$AB883),)</f>
        <v/>
      </c>
    </row>
  </sheetData>
  <conditionalFormatting sqref="AI10:BI883">
    <cfRule type="notContainsBlanks" priority="1" dxfId="3">
      <formula>LEN(TRIM(AI10))&gt;0</formula>
    </cfRule>
  </conditionalFormatting>
  <conditionalFormatting sqref="AD10:AH883">
    <cfRule type="notContainsBlanks" priority="2" dxfId="3">
      <formula>LEN(TRIM(AD10))&gt;0</formula>
    </cfRule>
  </conditionalFormatting>
  <dataValidations count="10">
    <dataValidation sqref="J10:J883" showDropDown="0" showInputMessage="0" showErrorMessage="1" allowBlank="1" type="list">
      <formula1>'Product Data'!$E$2:$E$8</formula1>
    </dataValidation>
    <dataValidation sqref="C10:C883" showDropDown="0" showInputMessage="0" showErrorMessage="1" allowBlank="1" type="list">
      <formula1>'Product Data'!$A$2:$A$4</formula1>
    </dataValidation>
    <dataValidation sqref="B2" showDropDown="0" showInputMessage="0" showErrorMessage="1" allowBlank="1" type="list">
      <formula1>Season!$A$2:$A$1000</formula1>
    </dataValidation>
    <dataValidation sqref="B1" showDropDown="0" showInputMessage="0" showErrorMessage="1" allowBlank="1" type="list">
      <formula1>'Vendor Data'!$A$2:$A$1000</formula1>
    </dataValidation>
    <dataValidation sqref="D10:D883" showDropDown="0" showInputMessage="0" showErrorMessage="1" allowBlank="1" type="list">
      <formula1>'Product Data'!$B$2:$B$9</formula1>
    </dataValidation>
    <dataValidation sqref="H10:H883" showDropDown="0" showInputMessage="0" showErrorMessage="1" allowBlank="1" type="list">
      <formula1>'Product Data'!$D$2:$D$18</formula1>
    </dataValidation>
    <dataValidation sqref="K10:K883" showDropDown="0" showInputMessage="0" showErrorMessage="1" allowBlank="1" type="list">
      <formula1>'Product Data'!$F$2:$F$3</formula1>
    </dataValidation>
    <dataValidation sqref="E10:E883" showDropDown="0" showInputMessage="0" showErrorMessage="1" allowBlank="1" type="list">
      <formula1>'Product Data'!$C$2:$C$15</formula1>
    </dataValidation>
    <dataValidation sqref="I10:I883" showDropDown="0" showInputMessage="0" showErrorMessage="1" allowBlank="1" type="list">
      <formula1>'Product Data'!$H$2:$H$15</formula1>
    </dataValidation>
    <dataValidation sqref="P10:P883" showDropDown="0" showInputMessage="0" showErrorMessage="1" allowBlank="1" type="list">
      <formula1>'Product Data'!$G$2:$G$13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E15"/>
  <sheetViews>
    <sheetView showGridLines="0" workbookViewId="0">
      <selection activeCell="A1" sqref="A1"/>
    </sheetView>
  </sheetViews>
  <sheetFormatPr baseColWidth="8" defaultColWidth="12.63" defaultRowHeight="15.75" customHeight="1"/>
  <cols>
    <col width="7.63" customWidth="1" style="162" min="2" max="31"/>
  </cols>
  <sheetData>
    <row r="1" ht="27" customHeight="1" s="162">
      <c r="A1" s="137" t="inlineStr">
        <is>
          <t>PRE SIZE</t>
        </is>
      </c>
      <c r="B1" s="138" t="inlineStr">
        <is>
          <t>Sizes1</t>
        </is>
      </c>
      <c r="C1" s="138" t="inlineStr">
        <is>
          <t>Sizes2</t>
        </is>
      </c>
      <c r="D1" s="138" t="inlineStr">
        <is>
          <t>Sizes3</t>
        </is>
      </c>
      <c r="E1" s="138" t="inlineStr">
        <is>
          <t>Sizes4</t>
        </is>
      </c>
      <c r="F1" s="138" t="inlineStr">
        <is>
          <t>Sizes5</t>
        </is>
      </c>
      <c r="G1" s="138" t="inlineStr">
        <is>
          <t>Sizes6</t>
        </is>
      </c>
      <c r="H1" s="138" t="inlineStr">
        <is>
          <t>Sizes7</t>
        </is>
      </c>
      <c r="I1" s="138" t="inlineStr">
        <is>
          <t>Sizes8</t>
        </is>
      </c>
      <c r="J1" s="138" t="inlineStr">
        <is>
          <t>Sizes9</t>
        </is>
      </c>
      <c r="K1" s="138" t="inlineStr">
        <is>
          <t>Sizes10</t>
        </is>
      </c>
      <c r="L1" s="138" t="inlineStr">
        <is>
          <t>Sizes11</t>
        </is>
      </c>
      <c r="M1" s="138" t="inlineStr">
        <is>
          <t>Sizes12</t>
        </is>
      </c>
      <c r="N1" s="138" t="inlineStr">
        <is>
          <t>Sizes13</t>
        </is>
      </c>
      <c r="O1" s="138" t="inlineStr">
        <is>
          <t>Sizes14</t>
        </is>
      </c>
      <c r="P1" s="138" t="inlineStr">
        <is>
          <t>Sizes15</t>
        </is>
      </c>
      <c r="Q1" s="138" t="inlineStr">
        <is>
          <t>Sizes16</t>
        </is>
      </c>
      <c r="R1" s="138" t="inlineStr">
        <is>
          <t>Sizes17</t>
        </is>
      </c>
      <c r="S1" s="138" t="inlineStr">
        <is>
          <t>Sizes18</t>
        </is>
      </c>
      <c r="T1" s="138" t="inlineStr">
        <is>
          <t>Sizes19</t>
        </is>
      </c>
      <c r="U1" s="138" t="inlineStr">
        <is>
          <t>Sizes20</t>
        </is>
      </c>
      <c r="V1" s="138" t="inlineStr">
        <is>
          <t>Sizes21</t>
        </is>
      </c>
      <c r="W1" s="138" t="inlineStr">
        <is>
          <t>Sizes22</t>
        </is>
      </c>
      <c r="X1" s="138" t="inlineStr">
        <is>
          <t>Sizes23</t>
        </is>
      </c>
      <c r="Y1" s="138" t="inlineStr">
        <is>
          <t>Sizes24</t>
        </is>
      </c>
      <c r="Z1" s="138" t="inlineStr">
        <is>
          <t>Sizes25</t>
        </is>
      </c>
      <c r="AA1" s="138" t="inlineStr">
        <is>
          <t>Sizes26</t>
        </is>
      </c>
      <c r="AB1" s="138" t="inlineStr">
        <is>
          <t>Sizes27</t>
        </is>
      </c>
      <c r="AC1" s="138" t="inlineStr">
        <is>
          <t>Sizes28</t>
        </is>
      </c>
      <c r="AD1" s="138" t="inlineStr">
        <is>
          <t>Sizes29</t>
        </is>
      </c>
      <c r="AE1" s="138" t="inlineStr">
        <is>
          <t>Sizes30</t>
        </is>
      </c>
    </row>
    <row r="2">
      <c r="A2" s="139" t="inlineStr">
        <is>
          <t>M US</t>
        </is>
      </c>
      <c r="B2" s="140" t="n">
        <v>3</v>
      </c>
      <c r="C2" s="140" t="n">
        <v>3.5</v>
      </c>
      <c r="D2" s="140" t="n">
        <v>4</v>
      </c>
      <c r="E2" s="140" t="n">
        <v>4.5</v>
      </c>
      <c r="F2" s="140" t="n">
        <v>5</v>
      </c>
      <c r="G2" s="140" t="n">
        <v>5.5</v>
      </c>
      <c r="H2" s="140" t="n">
        <v>6</v>
      </c>
      <c r="I2" s="140" t="n">
        <v>6.5</v>
      </c>
      <c r="J2" s="141" t="n">
        <v>7</v>
      </c>
      <c r="K2" s="141" t="n">
        <v>7.5</v>
      </c>
      <c r="L2" s="141" t="n">
        <v>8</v>
      </c>
      <c r="M2" s="141" t="n">
        <v>8.5</v>
      </c>
      <c r="N2" s="141" t="n">
        <v>9</v>
      </c>
      <c r="O2" s="141" t="n">
        <v>9.5</v>
      </c>
      <c r="P2" s="141" t="n">
        <v>10</v>
      </c>
      <c r="Q2" s="141" t="n">
        <v>10.5</v>
      </c>
      <c r="R2" s="141" t="n">
        <v>11</v>
      </c>
      <c r="S2" s="141" t="n">
        <v>11.5</v>
      </c>
      <c r="T2" s="141" t="n">
        <v>12</v>
      </c>
      <c r="U2" s="140" t="n">
        <v>12.5</v>
      </c>
      <c r="V2" s="141" t="n">
        <v>13</v>
      </c>
      <c r="W2" s="140" t="n">
        <v>13.5</v>
      </c>
      <c r="X2" s="140" t="n">
        <v>14</v>
      </c>
      <c r="Y2" s="140" t="n">
        <v>14.5</v>
      </c>
      <c r="Z2" s="140" t="n">
        <v>15</v>
      </c>
      <c r="AA2" s="140" t="n">
        <v>15.5</v>
      </c>
      <c r="AB2" s="140" t="n">
        <v>16</v>
      </c>
      <c r="AC2" s="140" t="n">
        <v>16.5</v>
      </c>
      <c r="AD2" s="140" t="n">
        <v>17</v>
      </c>
      <c r="AE2" s="143" t="n">
        <v>18</v>
      </c>
    </row>
    <row r="3">
      <c r="A3" s="139" t="inlineStr">
        <is>
          <t>W US</t>
        </is>
      </c>
      <c r="B3" s="140" t="n">
        <v>3</v>
      </c>
      <c r="C3" s="140" t="n">
        <v>3.5</v>
      </c>
      <c r="D3" s="140" t="n">
        <v>4</v>
      </c>
      <c r="E3" s="140" t="n">
        <v>4.5</v>
      </c>
      <c r="F3" s="141" t="n">
        <v>5</v>
      </c>
      <c r="G3" s="141" t="n">
        <v>5.5</v>
      </c>
      <c r="H3" s="141" t="n">
        <v>6</v>
      </c>
      <c r="I3" s="141" t="n">
        <v>6.5</v>
      </c>
      <c r="J3" s="141" t="n">
        <v>7</v>
      </c>
      <c r="K3" s="141" t="n">
        <v>7.5</v>
      </c>
      <c r="L3" s="141" t="n">
        <v>8</v>
      </c>
      <c r="M3" s="141" t="n">
        <v>8.5</v>
      </c>
      <c r="N3" s="141" t="n">
        <v>9</v>
      </c>
      <c r="O3" s="141" t="n">
        <v>9.5</v>
      </c>
      <c r="P3" s="141" t="n">
        <v>10</v>
      </c>
      <c r="Q3" s="140" t="n">
        <v>10.5</v>
      </c>
      <c r="R3" s="140" t="n">
        <v>11</v>
      </c>
      <c r="S3" s="140" t="n">
        <v>11.5</v>
      </c>
      <c r="T3" s="140" t="n">
        <v>12</v>
      </c>
      <c r="U3" s="140" t="n">
        <v>12.5</v>
      </c>
      <c r="V3" s="140" t="n">
        <v>13</v>
      </c>
      <c r="W3" s="140" t="n">
        <v>13.5</v>
      </c>
      <c r="X3" s="140" t="n">
        <v>14</v>
      </c>
      <c r="Y3" s="140" t="n">
        <v>14.5</v>
      </c>
      <c r="Z3" s="140" t="n">
        <v>15</v>
      </c>
      <c r="AA3" s="140" t="n">
        <v>15.5</v>
      </c>
      <c r="AB3" s="140" t="n">
        <v>16</v>
      </c>
      <c r="AC3" s="140" t="n">
        <v>16.5</v>
      </c>
      <c r="AD3" s="140" t="n">
        <v>17</v>
      </c>
      <c r="AE3" s="143" t="n">
        <v>18</v>
      </c>
    </row>
    <row r="4">
      <c r="A4" s="139" t="inlineStr">
        <is>
          <t>U US</t>
        </is>
      </c>
      <c r="B4" s="141" t="n">
        <v>3</v>
      </c>
      <c r="C4" s="140" t="n">
        <v>3.5</v>
      </c>
      <c r="D4" s="141" t="n">
        <v>4</v>
      </c>
      <c r="E4" s="141" t="n">
        <v>4.5</v>
      </c>
      <c r="F4" s="141" t="n">
        <v>5</v>
      </c>
      <c r="G4" s="141" t="n">
        <v>5.5</v>
      </c>
      <c r="H4" s="141" t="n">
        <v>6</v>
      </c>
      <c r="I4" s="141" t="n">
        <v>6.5</v>
      </c>
      <c r="J4" s="141" t="n">
        <v>7</v>
      </c>
      <c r="K4" s="141" t="n">
        <v>7.5</v>
      </c>
      <c r="L4" s="141" t="n">
        <v>8</v>
      </c>
      <c r="M4" s="141" t="n">
        <v>8.5</v>
      </c>
      <c r="N4" s="141" t="n">
        <v>9</v>
      </c>
      <c r="O4" s="141" t="n">
        <v>9.5</v>
      </c>
      <c r="P4" s="141" t="n">
        <v>10</v>
      </c>
      <c r="Q4" s="141" t="n">
        <v>10.5</v>
      </c>
      <c r="R4" s="141" t="n">
        <v>11</v>
      </c>
      <c r="S4" s="141" t="n">
        <v>11.5</v>
      </c>
      <c r="T4" s="141" t="n">
        <v>12</v>
      </c>
      <c r="U4" s="140" t="n">
        <v>12.5</v>
      </c>
      <c r="V4" s="141" t="n">
        <v>13</v>
      </c>
      <c r="W4" s="140" t="n">
        <v>13.5</v>
      </c>
      <c r="X4" s="140" t="n">
        <v>14</v>
      </c>
      <c r="Y4" s="140" t="n">
        <v>14.5</v>
      </c>
      <c r="Z4" s="140" t="n">
        <v>15</v>
      </c>
      <c r="AA4" s="140" t="n">
        <v>15.5</v>
      </c>
      <c r="AB4" s="140" t="n">
        <v>16</v>
      </c>
      <c r="AC4" s="140" t="n">
        <v>16.5</v>
      </c>
      <c r="AD4" s="140" t="n">
        <v>17</v>
      </c>
      <c r="AE4" s="143" t="n">
        <v>18</v>
      </c>
    </row>
    <row r="5">
      <c r="A5" s="139" t="inlineStr">
        <is>
          <t>M EUR</t>
        </is>
      </c>
      <c r="B5" s="140" t="n">
        <v>35</v>
      </c>
      <c r="C5" s="140" t="n">
        <v>35.5</v>
      </c>
      <c r="D5" s="140" t="n">
        <v>36</v>
      </c>
      <c r="E5" s="140" t="n">
        <v>36.5</v>
      </c>
      <c r="F5" s="140" t="n">
        <v>37</v>
      </c>
      <c r="G5" s="140" t="n">
        <v>37.5</v>
      </c>
      <c r="H5" s="140" t="n">
        <v>38</v>
      </c>
      <c r="I5" s="140" t="n">
        <v>38.5</v>
      </c>
      <c r="J5" s="140" t="n">
        <v>39</v>
      </c>
      <c r="K5" s="140" t="n">
        <v>39.5</v>
      </c>
      <c r="L5" s="141" t="n">
        <v>40</v>
      </c>
      <c r="M5" s="140" t="n">
        <v>40.5</v>
      </c>
      <c r="N5" s="141" t="n">
        <v>41</v>
      </c>
      <c r="O5" s="140" t="n">
        <v>41.5</v>
      </c>
      <c r="P5" s="141" t="n">
        <v>42</v>
      </c>
      <c r="Q5" s="140" t="n">
        <v>42.5</v>
      </c>
      <c r="R5" s="141" t="n">
        <v>43</v>
      </c>
      <c r="S5" s="140" t="n">
        <v>43.5</v>
      </c>
      <c r="T5" s="141" t="n">
        <v>44</v>
      </c>
      <c r="U5" s="140" t="n">
        <v>44.5</v>
      </c>
      <c r="V5" s="141" t="n">
        <v>45</v>
      </c>
      <c r="W5" s="140" t="n">
        <v>45.5</v>
      </c>
      <c r="X5" s="141" t="n">
        <v>46</v>
      </c>
      <c r="Y5" s="140" t="n">
        <v>46.5</v>
      </c>
      <c r="Z5" s="140" t="n">
        <v>47</v>
      </c>
      <c r="AA5" s="140" t="n">
        <v>47.5</v>
      </c>
      <c r="AB5" s="140" t="n">
        <v>48</v>
      </c>
      <c r="AC5" s="140" t="n">
        <v>48.5</v>
      </c>
      <c r="AD5" s="140" t="n">
        <v>49</v>
      </c>
      <c r="AE5" s="143" t="n"/>
    </row>
    <row r="6">
      <c r="A6" s="144" t="inlineStr">
        <is>
          <t>W EUR</t>
        </is>
      </c>
      <c r="B6" s="147" t="n">
        <v>35</v>
      </c>
      <c r="C6" s="147" t="n">
        <v>35.5</v>
      </c>
      <c r="D6" s="146" t="n">
        <v>36</v>
      </c>
      <c r="E6" s="147" t="n">
        <v>36.5</v>
      </c>
      <c r="F6" s="146" t="n">
        <v>37</v>
      </c>
      <c r="G6" s="147" t="n">
        <v>37.5</v>
      </c>
      <c r="H6" s="146" t="n">
        <v>38</v>
      </c>
      <c r="I6" s="147" t="n">
        <v>38.5</v>
      </c>
      <c r="J6" s="146" t="n">
        <v>39</v>
      </c>
      <c r="K6" s="147" t="n">
        <v>39.5</v>
      </c>
      <c r="L6" s="146" t="n">
        <v>40</v>
      </c>
      <c r="M6" s="147" t="n">
        <v>40.5</v>
      </c>
      <c r="N6" s="146" t="n">
        <v>41</v>
      </c>
      <c r="O6" s="147" t="n">
        <v>41.5</v>
      </c>
      <c r="P6" s="146" t="n">
        <v>42</v>
      </c>
      <c r="Q6" s="147" t="n">
        <v>42.5</v>
      </c>
      <c r="R6" s="147" t="n">
        <v>43</v>
      </c>
      <c r="S6" s="147" t="n">
        <v>43.5</v>
      </c>
      <c r="T6" s="147" t="n">
        <v>44</v>
      </c>
      <c r="U6" s="147" t="n">
        <v>44.5</v>
      </c>
      <c r="V6" s="147" t="n">
        <v>45</v>
      </c>
      <c r="W6" s="147" t="n">
        <v>45.5</v>
      </c>
      <c r="X6" s="147" t="n">
        <v>46</v>
      </c>
      <c r="Y6" s="147" t="n">
        <v>46.5</v>
      </c>
      <c r="Z6" s="147" t="n">
        <v>47</v>
      </c>
      <c r="AA6" s="147" t="n">
        <v>47.5</v>
      </c>
      <c r="AB6" s="147" t="n">
        <v>48</v>
      </c>
      <c r="AC6" s="147" t="n">
        <v>48.5</v>
      </c>
      <c r="AD6" s="147" t="n">
        <v>49</v>
      </c>
      <c r="AE6" s="147" t="n"/>
    </row>
    <row r="7">
      <c r="A7" s="144" t="inlineStr">
        <is>
          <t>U EUR</t>
        </is>
      </c>
      <c r="B7" s="147" t="n">
        <v>35</v>
      </c>
      <c r="C7" s="147" t="n">
        <v>35.5</v>
      </c>
      <c r="D7" s="146" t="n">
        <v>36</v>
      </c>
      <c r="E7" s="147" t="n">
        <v>36.5</v>
      </c>
      <c r="F7" s="146" t="n">
        <v>37</v>
      </c>
      <c r="G7" s="147" t="n">
        <v>37.5</v>
      </c>
      <c r="H7" s="146" t="n">
        <v>38</v>
      </c>
      <c r="I7" s="147" t="n">
        <v>38.5</v>
      </c>
      <c r="J7" s="146" t="n">
        <v>39</v>
      </c>
      <c r="K7" s="147" t="n">
        <v>39.5</v>
      </c>
      <c r="L7" s="146" t="n">
        <v>40</v>
      </c>
      <c r="M7" s="147" t="n">
        <v>40.5</v>
      </c>
      <c r="N7" s="146" t="n">
        <v>41</v>
      </c>
      <c r="O7" s="147" t="n">
        <v>41.5</v>
      </c>
      <c r="P7" s="146" t="n">
        <v>42</v>
      </c>
      <c r="Q7" s="147" t="n">
        <v>42.5</v>
      </c>
      <c r="R7" s="146" t="n">
        <v>43</v>
      </c>
      <c r="S7" s="147" t="n">
        <v>43.5</v>
      </c>
      <c r="T7" s="146" t="n">
        <v>44</v>
      </c>
      <c r="U7" s="147" t="n">
        <v>44.5</v>
      </c>
      <c r="V7" s="146" t="n">
        <v>45</v>
      </c>
      <c r="W7" s="147" t="n">
        <v>45.5</v>
      </c>
      <c r="X7" s="146" t="n">
        <v>46</v>
      </c>
      <c r="Y7" s="147" t="n">
        <v>46.5</v>
      </c>
      <c r="Z7" s="147" t="n">
        <v>47</v>
      </c>
      <c r="AA7" s="147" t="n">
        <v>47.5</v>
      </c>
      <c r="AB7" s="147" t="n">
        <v>48</v>
      </c>
      <c r="AC7" s="147" t="n">
        <v>48.5</v>
      </c>
      <c r="AD7" s="147" t="n">
        <v>49</v>
      </c>
      <c r="AE7" s="147" t="n"/>
    </row>
    <row r="8">
      <c r="A8" s="144" t="inlineStr">
        <is>
          <t>TD</t>
        </is>
      </c>
      <c r="B8" s="148" t="inlineStr">
        <is>
          <t>0C</t>
        </is>
      </c>
      <c r="C8" s="148" t="inlineStr">
        <is>
          <t>1C</t>
        </is>
      </c>
      <c r="D8" s="148" t="inlineStr">
        <is>
          <t>1.5C</t>
        </is>
      </c>
      <c r="E8" s="148" t="inlineStr">
        <is>
          <t>2C</t>
        </is>
      </c>
      <c r="F8" s="148" t="inlineStr">
        <is>
          <t>2.5C</t>
        </is>
      </c>
      <c r="G8" s="148" t="inlineStr">
        <is>
          <t>3C</t>
        </is>
      </c>
      <c r="H8" s="148" t="inlineStr">
        <is>
          <t>3.5C</t>
        </is>
      </c>
      <c r="I8" s="149" t="inlineStr">
        <is>
          <t>4C</t>
        </is>
      </c>
      <c r="J8" s="148" t="inlineStr">
        <is>
          <t>4.5C</t>
        </is>
      </c>
      <c r="K8" s="149" t="inlineStr">
        <is>
          <t>5C</t>
        </is>
      </c>
      <c r="L8" s="148" t="inlineStr">
        <is>
          <t>5.5C</t>
        </is>
      </c>
      <c r="M8" s="149" t="inlineStr">
        <is>
          <t>6C</t>
        </is>
      </c>
      <c r="N8" s="148" t="inlineStr">
        <is>
          <t>6.5C</t>
        </is>
      </c>
      <c r="O8" s="149" t="inlineStr">
        <is>
          <t>7C</t>
        </is>
      </c>
      <c r="P8" s="148" t="inlineStr">
        <is>
          <t>7.5C</t>
        </is>
      </c>
      <c r="Q8" s="149" t="inlineStr">
        <is>
          <t>8C</t>
        </is>
      </c>
      <c r="R8" s="148" t="inlineStr">
        <is>
          <t>8.5C</t>
        </is>
      </c>
      <c r="S8" s="149" t="inlineStr">
        <is>
          <t>9C</t>
        </is>
      </c>
      <c r="T8" s="148" t="inlineStr">
        <is>
          <t>9.5C</t>
        </is>
      </c>
      <c r="U8" s="149" t="inlineStr">
        <is>
          <t>10C</t>
        </is>
      </c>
      <c r="V8" s="148" t="inlineStr">
        <is>
          <t>10.5C</t>
        </is>
      </c>
      <c r="W8" s="148" t="inlineStr">
        <is>
          <t>11C</t>
        </is>
      </c>
      <c r="X8" s="148" t="inlineStr">
        <is>
          <t>11.5C</t>
        </is>
      </c>
      <c r="Y8" s="148" t="inlineStr">
        <is>
          <t>12C</t>
        </is>
      </c>
      <c r="Z8" s="148" t="inlineStr">
        <is>
          <t>12.5C</t>
        </is>
      </c>
      <c r="AA8" s="148" t="inlineStr">
        <is>
          <t>13C</t>
        </is>
      </c>
      <c r="AB8" s="148" t="inlineStr">
        <is>
          <t>13.5C</t>
        </is>
      </c>
      <c r="AC8" s="147" t="n"/>
      <c r="AD8" s="147" t="n"/>
      <c r="AE8" s="147" t="n"/>
    </row>
    <row r="9">
      <c r="A9" s="144" t="inlineStr">
        <is>
          <t>PS</t>
        </is>
      </c>
      <c r="B9" s="148" t="inlineStr">
        <is>
          <t>8C</t>
        </is>
      </c>
      <c r="C9" s="148" t="inlineStr">
        <is>
          <t>8.5C</t>
        </is>
      </c>
      <c r="D9" s="148" t="inlineStr">
        <is>
          <t>9C</t>
        </is>
      </c>
      <c r="E9" s="148" t="inlineStr">
        <is>
          <t>9.5C</t>
        </is>
      </c>
      <c r="F9" s="148" t="inlineStr">
        <is>
          <t>10C</t>
        </is>
      </c>
      <c r="G9" s="148" t="inlineStr">
        <is>
          <t>10.5C</t>
        </is>
      </c>
      <c r="H9" s="149" t="inlineStr">
        <is>
          <t>11C</t>
        </is>
      </c>
      <c r="I9" s="149" t="inlineStr">
        <is>
          <t>11.5C</t>
        </is>
      </c>
      <c r="J9" s="149" t="inlineStr">
        <is>
          <t>12C</t>
        </is>
      </c>
      <c r="K9" s="149" t="inlineStr">
        <is>
          <t>12.5C</t>
        </is>
      </c>
      <c r="L9" s="149" t="inlineStr">
        <is>
          <t>13C</t>
        </is>
      </c>
      <c r="M9" s="149" t="inlineStr">
        <is>
          <t>13.5C</t>
        </is>
      </c>
      <c r="N9" s="149" t="inlineStr">
        <is>
          <t>1Y</t>
        </is>
      </c>
      <c r="O9" s="149" t="inlineStr">
        <is>
          <t>1.5Y</t>
        </is>
      </c>
      <c r="P9" s="149" t="inlineStr">
        <is>
          <t>2Y</t>
        </is>
      </c>
      <c r="Q9" s="149" t="inlineStr">
        <is>
          <t>2.5Y</t>
        </is>
      </c>
      <c r="R9" s="149" t="inlineStr">
        <is>
          <t>3Y</t>
        </is>
      </c>
      <c r="S9" s="148" t="inlineStr">
        <is>
          <t>3.5Y</t>
        </is>
      </c>
      <c r="T9" s="148" t="inlineStr">
        <is>
          <t>4Y</t>
        </is>
      </c>
      <c r="U9" s="148" t="inlineStr">
        <is>
          <t>4.5Y</t>
        </is>
      </c>
      <c r="V9" s="148" t="inlineStr">
        <is>
          <t>5Y</t>
        </is>
      </c>
      <c r="W9" s="148" t="inlineStr">
        <is>
          <t>5.5Y</t>
        </is>
      </c>
      <c r="X9" s="148" t="inlineStr">
        <is>
          <t>6Y</t>
        </is>
      </c>
      <c r="Y9" s="148" t="inlineStr">
        <is>
          <t>6.5Y</t>
        </is>
      </c>
      <c r="Z9" s="148" t="inlineStr">
        <is>
          <t>7Y</t>
        </is>
      </c>
      <c r="AA9" s="147" t="n"/>
      <c r="AB9" s="147" t="n"/>
      <c r="AC9" s="147" t="n"/>
      <c r="AD9" s="147" t="n"/>
      <c r="AE9" s="147" t="n"/>
    </row>
    <row r="10">
      <c r="A10" s="144" t="inlineStr">
        <is>
          <t>GS</t>
        </is>
      </c>
      <c r="B10" s="147" t="n">
        <v>3</v>
      </c>
      <c r="C10" s="146" t="n">
        <v>3.5</v>
      </c>
      <c r="D10" s="146" t="n">
        <v>4</v>
      </c>
      <c r="E10" s="146" t="n">
        <v>4.5</v>
      </c>
      <c r="F10" s="146" t="n">
        <v>5</v>
      </c>
      <c r="G10" s="146" t="n">
        <v>5.5</v>
      </c>
      <c r="H10" s="146" t="n">
        <v>6</v>
      </c>
      <c r="I10" s="146" t="n">
        <v>6.5</v>
      </c>
      <c r="J10" s="146" t="n">
        <v>7</v>
      </c>
      <c r="K10" s="147" t="n">
        <v>7.5</v>
      </c>
      <c r="L10" s="147" t="n">
        <v>8</v>
      </c>
      <c r="M10" s="147" t="n">
        <v>8.5</v>
      </c>
      <c r="N10" s="147" t="n">
        <v>9</v>
      </c>
      <c r="O10" s="147" t="n">
        <v>9.5</v>
      </c>
      <c r="P10" s="147" t="n">
        <v>10</v>
      </c>
      <c r="Q10" s="147" t="n">
        <v>10.5</v>
      </c>
      <c r="R10" s="147" t="n">
        <v>11</v>
      </c>
      <c r="S10" s="147" t="n">
        <v>11.5</v>
      </c>
      <c r="T10" s="147" t="n">
        <v>12</v>
      </c>
      <c r="U10" s="147" t="n">
        <v>12.5</v>
      </c>
      <c r="V10" s="147" t="n">
        <v>13</v>
      </c>
      <c r="W10" s="147" t="n">
        <v>13.5</v>
      </c>
      <c r="X10" s="147" t="n">
        <v>14</v>
      </c>
      <c r="Y10" s="147" t="n">
        <v>14.5</v>
      </c>
      <c r="Z10" s="147" t="n">
        <v>15</v>
      </c>
      <c r="AA10" s="147" t="n">
        <v>15.5</v>
      </c>
      <c r="AB10" s="147" t="n">
        <v>16</v>
      </c>
      <c r="AC10" s="147" t="n">
        <v>16.5</v>
      </c>
      <c r="AD10" s="147" t="n">
        <v>17</v>
      </c>
      <c r="AE10" s="147" t="n">
        <v>18</v>
      </c>
    </row>
    <row r="11">
      <c r="A11" s="144" t="inlineStr">
        <is>
          <t>K-EUR1</t>
        </is>
      </c>
      <c r="B11" s="147" t="n">
        <v>15</v>
      </c>
      <c r="C11" s="147" t="n">
        <v>16</v>
      </c>
      <c r="D11" s="147" t="n">
        <v>17</v>
      </c>
      <c r="E11" s="147" t="n">
        <v>18</v>
      </c>
      <c r="F11" s="146" t="n">
        <v>19</v>
      </c>
      <c r="G11" s="146" t="n">
        <v>20</v>
      </c>
      <c r="H11" s="146" t="n">
        <v>21</v>
      </c>
      <c r="I11" s="146" t="n">
        <v>22</v>
      </c>
      <c r="J11" s="146" t="n">
        <v>23</v>
      </c>
      <c r="K11" s="147" t="n">
        <v>24</v>
      </c>
      <c r="L11" s="147" t="n">
        <v>25</v>
      </c>
      <c r="M11" s="147" t="n">
        <v>26</v>
      </c>
      <c r="N11" s="147" t="n">
        <v>27</v>
      </c>
      <c r="O11" s="147" t="n">
        <v>28</v>
      </c>
      <c r="P11" s="147" t="n">
        <v>29</v>
      </c>
      <c r="Q11" s="147" t="n"/>
      <c r="R11" s="147" t="n"/>
      <c r="S11" s="147" t="n"/>
      <c r="T11" s="147" t="n"/>
      <c r="U11" s="147" t="n"/>
      <c r="V11" s="150" t="n"/>
      <c r="W11" s="147" t="n"/>
      <c r="X11" s="150" t="n"/>
      <c r="Y11" s="147" t="n"/>
      <c r="Z11" s="147" t="n"/>
      <c r="AA11" s="147" t="n"/>
      <c r="AB11" s="147" t="n"/>
      <c r="AC11" s="147" t="n"/>
      <c r="AD11" s="147" t="n"/>
      <c r="AE11" s="147" t="n"/>
    </row>
    <row r="12">
      <c r="A12" s="144" t="inlineStr">
        <is>
          <t>K-EUR2</t>
        </is>
      </c>
      <c r="B12" s="147" t="n">
        <v>21</v>
      </c>
      <c r="C12" s="147" t="n">
        <v>22</v>
      </c>
      <c r="D12" s="146" t="n">
        <v>23</v>
      </c>
      <c r="E12" s="146" t="n">
        <v>24</v>
      </c>
      <c r="F12" s="146" t="n">
        <v>25</v>
      </c>
      <c r="G12" s="146" t="n">
        <v>26</v>
      </c>
      <c r="H12" s="146" t="n">
        <v>27</v>
      </c>
      <c r="I12" s="146" t="n">
        <v>28</v>
      </c>
      <c r="J12" s="146" t="n">
        <v>29</v>
      </c>
      <c r="K12" s="146" t="n">
        <v>30</v>
      </c>
      <c r="L12" s="146" t="n">
        <v>31</v>
      </c>
      <c r="M12" s="146" t="n">
        <v>32</v>
      </c>
      <c r="N12" s="146" t="n">
        <v>33</v>
      </c>
      <c r="O12" s="146" t="n">
        <v>34</v>
      </c>
      <c r="P12" s="147" t="n">
        <v>35</v>
      </c>
      <c r="Q12" s="147" t="n">
        <v>36</v>
      </c>
      <c r="R12" s="147" t="n">
        <v>37</v>
      </c>
      <c r="S12" s="147" t="n">
        <v>38</v>
      </c>
      <c r="T12" s="147" t="n">
        <v>39</v>
      </c>
      <c r="U12" s="150" t="n"/>
      <c r="V12" s="150" t="n"/>
      <c r="W12" s="150" t="n"/>
      <c r="X12" s="150" t="n"/>
      <c r="Y12" s="150" t="n"/>
      <c r="Z12" s="150" t="n"/>
      <c r="AA12" s="150" t="n"/>
      <c r="AB12" s="150" t="n"/>
      <c r="AC12" s="150" t="n"/>
      <c r="AD12" s="150" t="n"/>
      <c r="AE12" s="150" t="n"/>
    </row>
    <row r="13">
      <c r="A13" s="144" t="inlineStr">
        <is>
          <t>MOONBOOTS</t>
        </is>
      </c>
      <c r="B13" s="148" t="inlineStr">
        <is>
          <t>33/35</t>
        </is>
      </c>
      <c r="C13" s="149" t="inlineStr">
        <is>
          <t>36/38</t>
        </is>
      </c>
      <c r="D13" s="149" t="inlineStr">
        <is>
          <t>39/41</t>
        </is>
      </c>
      <c r="E13" s="149" t="inlineStr">
        <is>
          <t>42/44</t>
        </is>
      </c>
      <c r="F13" s="148" t="inlineStr">
        <is>
          <t>45/47</t>
        </is>
      </c>
      <c r="G13" s="150" t="n"/>
      <c r="H13" s="150" t="n"/>
      <c r="I13" s="150" t="n"/>
      <c r="J13" s="150" t="n"/>
      <c r="K13" s="150" t="n"/>
      <c r="L13" s="150" t="n"/>
      <c r="M13" s="150" t="n"/>
      <c r="N13" s="150" t="n"/>
      <c r="O13" s="150" t="n"/>
      <c r="P13" s="147" t="n"/>
      <c r="Q13" s="147" t="n"/>
      <c r="R13" s="147" t="n"/>
      <c r="S13" s="147" t="n"/>
      <c r="T13" s="147" t="n"/>
      <c r="U13" s="150" t="n"/>
      <c r="V13" s="150" t="n"/>
      <c r="W13" s="150" t="n"/>
      <c r="X13" s="150" t="n"/>
      <c r="Y13" s="150" t="n"/>
      <c r="Z13" s="150" t="n"/>
      <c r="AA13" s="150" t="n"/>
      <c r="AB13" s="150" t="n"/>
      <c r="AC13" s="150" t="n"/>
      <c r="AD13" s="150" t="n"/>
      <c r="AE13" s="150" t="n"/>
    </row>
    <row r="14">
      <c r="A14" s="144" t="inlineStr">
        <is>
          <t>ALPHA</t>
        </is>
      </c>
      <c r="B14" s="151" t="inlineStr">
        <is>
          <t>XXS</t>
        </is>
      </c>
      <c r="C14" s="151" t="inlineStr">
        <is>
          <t>XS</t>
        </is>
      </c>
      <c r="D14" s="151" t="inlineStr">
        <is>
          <t>S</t>
        </is>
      </c>
      <c r="E14" s="152" t="inlineStr">
        <is>
          <t>M</t>
        </is>
      </c>
      <c r="F14" s="152" t="inlineStr">
        <is>
          <t>L</t>
        </is>
      </c>
      <c r="G14" s="152" t="inlineStr">
        <is>
          <t>XL</t>
        </is>
      </c>
      <c r="H14" s="151" t="inlineStr">
        <is>
          <t>XXL</t>
        </is>
      </c>
      <c r="I14" s="151" t="inlineStr">
        <is>
          <t>XXXL</t>
        </is>
      </c>
      <c r="J14" s="151" t="inlineStr">
        <is>
          <t>4XL</t>
        </is>
      </c>
      <c r="K14" s="150" t="n"/>
      <c r="L14" s="150" t="n"/>
      <c r="M14" s="150" t="n"/>
      <c r="N14" s="150" t="n"/>
      <c r="O14" s="150" t="n"/>
      <c r="P14" s="150" t="n"/>
      <c r="Q14" s="150" t="n"/>
      <c r="R14" s="150" t="n"/>
      <c r="S14" s="150" t="n"/>
      <c r="T14" s="150" t="n"/>
      <c r="U14" s="150" t="n"/>
      <c r="V14" s="150" t="n"/>
      <c r="W14" s="150" t="n"/>
      <c r="X14" s="150" t="n"/>
      <c r="Y14" s="150" t="n"/>
      <c r="Z14" s="150" t="n"/>
      <c r="AA14" s="150" t="n"/>
      <c r="AB14" s="150" t="n"/>
      <c r="AC14" s="150" t="n"/>
      <c r="AD14" s="150" t="n"/>
      <c r="AE14" s="150" t="n"/>
    </row>
    <row r="15">
      <c r="A15" s="153" t="inlineStr">
        <is>
          <t>OS</t>
        </is>
      </c>
      <c r="B15" s="154" t="inlineStr">
        <is>
          <t>OS</t>
        </is>
      </c>
      <c r="C15" s="155" t="n"/>
      <c r="D15" s="155" t="n"/>
      <c r="E15" s="155" t="n"/>
      <c r="F15" s="155" t="n"/>
      <c r="G15" s="155" t="n"/>
      <c r="H15" s="155" t="n"/>
      <c r="I15" s="155" t="n"/>
      <c r="J15" s="155" t="n"/>
      <c r="K15" s="155" t="n"/>
      <c r="L15" s="155" t="n"/>
      <c r="M15" s="155" t="n"/>
      <c r="N15" s="155" t="n"/>
      <c r="O15" s="155" t="n"/>
      <c r="P15" s="155" t="n"/>
      <c r="Q15" s="155" t="n"/>
      <c r="R15" s="155" t="n"/>
      <c r="S15" s="155" t="n"/>
      <c r="T15" s="155" t="n"/>
      <c r="U15" s="155" t="n"/>
      <c r="V15" s="155" t="n"/>
      <c r="W15" s="155" t="n"/>
      <c r="X15" s="155" t="n"/>
      <c r="Y15" s="155" t="n"/>
      <c r="Z15" s="155" t="n"/>
      <c r="AA15" s="155" t="n"/>
      <c r="AB15" s="155" t="n"/>
      <c r="AC15" s="155" t="n"/>
      <c r="AD15" s="155" t="n"/>
      <c r="AE15" s="15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2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56" t="inlineStr">
        <is>
          <t>Season</t>
        </is>
      </c>
      <c r="B1" s="156" t="inlineStr">
        <is>
          <t>Release Date</t>
        </is>
      </c>
    </row>
    <row r="2">
      <c r="A2" s="156" t="inlineStr">
        <is>
          <t>2027-Q1</t>
        </is>
      </c>
      <c r="B2" s="157" t="n">
        <v>46388</v>
      </c>
    </row>
    <row r="3">
      <c r="A3" s="156" t="inlineStr">
        <is>
          <t>2027-Q2</t>
        </is>
      </c>
      <c r="B3" s="157" t="n">
        <v>46478</v>
      </c>
    </row>
    <row r="4">
      <c r="A4" s="156" t="inlineStr">
        <is>
          <t>2027-Q3</t>
        </is>
      </c>
      <c r="B4" s="157" t="n">
        <v>46569</v>
      </c>
    </row>
    <row r="5">
      <c r="A5" s="156" t="inlineStr">
        <is>
          <t>2027-Q4</t>
        </is>
      </c>
      <c r="B5" s="157" t="n">
        <v>46661</v>
      </c>
    </row>
    <row r="6">
      <c r="A6" s="156" t="inlineStr">
        <is>
          <t>Fall-2027</t>
        </is>
      </c>
      <c r="B6" s="157" t="n">
        <v>46631</v>
      </c>
    </row>
    <row r="7">
      <c r="A7" s="156" t="inlineStr">
        <is>
          <t>PreFall-2027</t>
        </is>
      </c>
      <c r="B7" s="157" t="n">
        <v>46569</v>
      </c>
    </row>
    <row r="8">
      <c r="A8" s="156" t="inlineStr">
        <is>
          <t>PreSpring-2027</t>
        </is>
      </c>
      <c r="B8" s="157" t="n">
        <v>46419</v>
      </c>
    </row>
    <row r="9">
      <c r="A9" s="156" t="inlineStr">
        <is>
          <t>Resort-2027</t>
        </is>
      </c>
      <c r="B9" s="157" t="n">
        <v>46357</v>
      </c>
    </row>
    <row r="10">
      <c r="A10" s="156" t="inlineStr">
        <is>
          <t>Spring-2027</t>
        </is>
      </c>
      <c r="B10" s="157" t="n">
        <v>46478</v>
      </c>
    </row>
    <row r="11">
      <c r="A11" s="156" t="inlineStr">
        <is>
          <t>CORE</t>
        </is>
      </c>
      <c r="B11" s="157" t="n">
        <v>46023</v>
      </c>
    </row>
    <row r="12">
      <c r="A12" s="156" t="inlineStr">
        <is>
          <t>2028-Q1</t>
        </is>
      </c>
      <c r="B12" s="157" t="n">
        <v>46753</v>
      </c>
    </row>
    <row r="13">
      <c r="A13" s="156" t="inlineStr">
        <is>
          <t>2028-Q2</t>
        </is>
      </c>
      <c r="B13" s="157" t="n">
        <v>46844</v>
      </c>
    </row>
    <row r="14">
      <c r="A14" s="156" t="inlineStr">
        <is>
          <t>2028-Q3</t>
        </is>
      </c>
      <c r="B14" s="157" t="n">
        <v>46935</v>
      </c>
    </row>
    <row r="15">
      <c r="A15" s="156" t="inlineStr">
        <is>
          <t>2028-Q4</t>
        </is>
      </c>
      <c r="B15" s="157" t="n">
        <v>47027</v>
      </c>
    </row>
    <row r="16">
      <c r="A16" s="156" t="inlineStr">
        <is>
          <t>Fall-2028</t>
        </is>
      </c>
      <c r="B16" s="157" t="n">
        <v>46997</v>
      </c>
    </row>
    <row r="17">
      <c r="A17" s="156" t="inlineStr">
        <is>
          <t>PreFall-2028</t>
        </is>
      </c>
      <c r="B17" s="157" t="n">
        <v>46935</v>
      </c>
    </row>
    <row r="18">
      <c r="A18" s="156" t="inlineStr">
        <is>
          <t>PreSpring-2028</t>
        </is>
      </c>
      <c r="B18" s="157" t="n">
        <v>46784</v>
      </c>
    </row>
    <row r="19">
      <c r="A19" s="156" t="inlineStr">
        <is>
          <t>Resort-2028</t>
        </is>
      </c>
      <c r="B19" s="157" t="n">
        <v>46722</v>
      </c>
    </row>
    <row r="20">
      <c r="A20" s="156" t="inlineStr">
        <is>
          <t>Spring-2028</t>
        </is>
      </c>
      <c r="B20" s="157" t="n">
        <v>46844</v>
      </c>
    </row>
    <row r="21">
      <c r="A21" s="156" t="inlineStr">
        <is>
          <t>2026-Q1</t>
        </is>
      </c>
      <c r="B21" s="157" t="n">
        <v>46023</v>
      </c>
    </row>
    <row r="22">
      <c r="A22" s="156" t="inlineStr">
        <is>
          <t>2026-Q2</t>
        </is>
      </c>
      <c r="B22" s="157" t="n">
        <v>46113</v>
      </c>
    </row>
    <row r="23">
      <c r="A23" s="156" t="inlineStr">
        <is>
          <t>2026-Q3</t>
        </is>
      </c>
      <c r="B23" s="157" t="n">
        <v>46204</v>
      </c>
    </row>
    <row r="24">
      <c r="A24" s="156" t="inlineStr">
        <is>
          <t>2026-Q4</t>
        </is>
      </c>
      <c r="B24" s="157" t="n">
        <v>46296</v>
      </c>
    </row>
    <row r="25">
      <c r="A25" s="156" t="inlineStr">
        <is>
          <t>Fall-2026</t>
        </is>
      </c>
      <c r="B25" s="157" t="n">
        <v>46266</v>
      </c>
    </row>
    <row r="26">
      <c r="A26" s="156" t="inlineStr">
        <is>
          <t>PreFall-2026</t>
        </is>
      </c>
      <c r="B26" s="157" t="n">
        <v>46204</v>
      </c>
    </row>
    <row r="27">
      <c r="A27" s="156" t="inlineStr">
        <is>
          <t>PreSpring-2026</t>
        </is>
      </c>
      <c r="B27" s="157" t="n">
        <v>46054</v>
      </c>
    </row>
    <row r="28">
      <c r="A28" s="156" t="inlineStr">
        <is>
          <t>Resort-2026</t>
        </is>
      </c>
      <c r="B28" s="157" t="n">
        <v>45992</v>
      </c>
    </row>
    <row r="29">
      <c r="A29" s="156" t="inlineStr">
        <is>
          <t>Spring-2026</t>
        </is>
      </c>
      <c r="B29" s="157" t="n">
        <v>46113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H18"/>
  <sheetViews>
    <sheetView workbookViewId="0">
      <selection activeCell="A1" sqref="A1"/>
    </sheetView>
  </sheetViews>
  <sheetFormatPr baseColWidth="8" defaultColWidth="12.63" defaultRowHeight="15.75" customHeight="1"/>
  <cols>
    <col width="14.25" customWidth="1" style="162" min="3" max="3"/>
  </cols>
  <sheetData>
    <row r="1">
      <c r="A1" s="158" t="inlineStr">
        <is>
          <t>MG</t>
        </is>
      </c>
      <c r="B1" s="158" t="inlineStr">
        <is>
          <t>SG</t>
        </is>
      </c>
      <c r="C1" s="158" t="inlineStr">
        <is>
          <t>SSG</t>
        </is>
      </c>
      <c r="D1" s="158" t="inlineStr">
        <is>
          <t>Color</t>
        </is>
      </c>
      <c r="E1" s="158" t="inlineStr">
        <is>
          <t>PU1</t>
        </is>
      </c>
      <c r="F1" s="158" t="inlineStr">
        <is>
          <t>REO</t>
        </is>
      </c>
      <c r="G1" s="158" t="inlineStr">
        <is>
          <t>Intro Date</t>
        </is>
      </c>
      <c r="H1" s="159" t="inlineStr">
        <is>
          <t>Pre-Size</t>
        </is>
      </c>
    </row>
    <row r="2">
      <c r="A2" s="160" t="inlineStr">
        <is>
          <t>M-Footwear</t>
        </is>
      </c>
      <c r="B2" s="160" t="n"/>
      <c r="C2" s="160" t="n"/>
      <c r="D2" s="160" t="inlineStr">
        <is>
          <t>Beige</t>
        </is>
      </c>
      <c r="E2" s="160" t="n"/>
      <c r="F2" s="160" t="inlineStr">
        <is>
          <t>Yes</t>
        </is>
      </c>
      <c r="G2" s="160" t="inlineStr">
        <is>
          <t>JAN</t>
        </is>
      </c>
      <c r="H2" s="156" t="inlineStr">
        <is>
          <t>M US</t>
        </is>
      </c>
    </row>
    <row r="3">
      <c r="A3" s="160" t="inlineStr">
        <is>
          <t>W-Footwear</t>
        </is>
      </c>
      <c r="B3" s="160" t="inlineStr">
        <is>
          <t>Sneakers</t>
        </is>
      </c>
      <c r="C3" s="160" t="inlineStr">
        <is>
          <t>Basketball</t>
        </is>
      </c>
      <c r="D3" s="160" t="inlineStr">
        <is>
          <t>Black</t>
        </is>
      </c>
      <c r="E3" s="160" t="inlineStr">
        <is>
          <t>Consignment</t>
        </is>
      </c>
      <c r="F3" s="160" t="inlineStr">
        <is>
          <t>No</t>
        </is>
      </c>
      <c r="G3" s="160" t="inlineStr">
        <is>
          <t>FEB</t>
        </is>
      </c>
      <c r="H3" s="156" t="inlineStr">
        <is>
          <t>W US</t>
        </is>
      </c>
    </row>
    <row r="4">
      <c r="A4" s="160" t="inlineStr">
        <is>
          <t>K-Footwear</t>
        </is>
      </c>
      <c r="B4" s="160" t="inlineStr">
        <is>
          <t>Boots</t>
        </is>
      </c>
      <c r="C4" s="160" t="inlineStr">
        <is>
          <t>Causal Shoe</t>
        </is>
      </c>
      <c r="D4" s="160" t="inlineStr">
        <is>
          <t>Blue</t>
        </is>
      </c>
      <c r="E4" s="160" t="inlineStr">
        <is>
          <t>Core</t>
        </is>
      </c>
      <c r="F4" s="160" t="n"/>
      <c r="G4" s="160" t="inlineStr">
        <is>
          <t>MAR</t>
        </is>
      </c>
      <c r="H4" s="156" t="inlineStr">
        <is>
          <t>U US</t>
        </is>
      </c>
    </row>
    <row r="5">
      <c r="A5" s="160" t="n"/>
      <c r="B5" s="160" t="inlineStr">
        <is>
          <t>Heels</t>
        </is>
      </c>
      <c r="C5" s="160" t="inlineStr">
        <is>
          <t>Court</t>
        </is>
      </c>
      <c r="D5" s="160" t="inlineStr">
        <is>
          <t>Brown</t>
        </is>
      </c>
      <c r="E5" s="160" t="inlineStr">
        <is>
          <t>In Line</t>
        </is>
      </c>
      <c r="F5" s="160" t="n"/>
      <c r="G5" s="160" t="inlineStr">
        <is>
          <t>APR</t>
        </is>
      </c>
      <c r="H5" s="156" t="inlineStr">
        <is>
          <t>M EUR</t>
        </is>
      </c>
    </row>
    <row r="6">
      <c r="A6" s="160" t="n"/>
      <c r="B6" s="160" t="inlineStr">
        <is>
          <t>Miscellaneous</t>
        </is>
      </c>
      <c r="C6" s="160" t="inlineStr">
        <is>
          <t>Cupsole</t>
        </is>
      </c>
      <c r="D6" s="160" t="inlineStr">
        <is>
          <t>Burgundy</t>
        </is>
      </c>
      <c r="E6" s="160" t="inlineStr">
        <is>
          <t>Quickstrike</t>
        </is>
      </c>
      <c r="F6" s="160" t="n"/>
      <c r="G6" s="160" t="inlineStr">
        <is>
          <t>MAY</t>
        </is>
      </c>
      <c r="H6" s="156" t="inlineStr">
        <is>
          <t>W EUR</t>
        </is>
      </c>
    </row>
    <row r="7">
      <c r="A7" s="160" t="n"/>
      <c r="B7" s="160" t="inlineStr">
        <is>
          <t>Sandals</t>
        </is>
      </c>
      <c r="C7" s="160" t="inlineStr">
        <is>
          <t>Flats</t>
        </is>
      </c>
      <c r="D7" s="160" t="inlineStr">
        <is>
          <t>Clear</t>
        </is>
      </c>
      <c r="E7" s="160" t="inlineStr">
        <is>
          <t>RF</t>
        </is>
      </c>
      <c r="F7" s="160" t="n"/>
      <c r="G7" s="160" t="inlineStr">
        <is>
          <t>JUN</t>
        </is>
      </c>
      <c r="H7" s="156" t="inlineStr">
        <is>
          <t>U EUR</t>
        </is>
      </c>
    </row>
    <row r="8">
      <c r="A8" s="160" t="n"/>
      <c r="B8" s="160" t="inlineStr">
        <is>
          <t>Shoes</t>
        </is>
      </c>
      <c r="C8" s="160" t="inlineStr">
        <is>
          <t>Heels</t>
        </is>
      </c>
      <c r="D8" s="160" t="inlineStr">
        <is>
          <t>Gold</t>
        </is>
      </c>
      <c r="E8" s="160" t="inlineStr">
        <is>
          <t>SMU</t>
        </is>
      </c>
      <c r="F8" s="160" t="n"/>
      <c r="G8" s="160" t="inlineStr">
        <is>
          <t>JUL</t>
        </is>
      </c>
      <c r="H8" s="156" t="inlineStr">
        <is>
          <t>TD</t>
        </is>
      </c>
    </row>
    <row r="9">
      <c r="A9" s="160" t="n"/>
      <c r="B9" s="160" t="inlineStr">
        <is>
          <t>Slippers</t>
        </is>
      </c>
      <c r="C9" s="160" t="inlineStr">
        <is>
          <t>Miscellaneous</t>
        </is>
      </c>
      <c r="D9" s="160" t="inlineStr">
        <is>
          <t>Gold/Silver</t>
        </is>
      </c>
      <c r="G9" s="160" t="inlineStr">
        <is>
          <t>AUG</t>
        </is>
      </c>
      <c r="H9" s="156" t="inlineStr">
        <is>
          <t>PS</t>
        </is>
      </c>
    </row>
    <row r="10">
      <c r="A10" s="160" t="n"/>
      <c r="B10" s="160" t="n"/>
      <c r="C10" s="160" t="inlineStr">
        <is>
          <t>Modern Comfort</t>
        </is>
      </c>
      <c r="D10" s="160" t="inlineStr">
        <is>
          <t>Green</t>
        </is>
      </c>
      <c r="G10" s="160" t="inlineStr">
        <is>
          <t>SEP</t>
        </is>
      </c>
      <c r="H10" s="156" t="inlineStr">
        <is>
          <t>GS</t>
        </is>
      </c>
    </row>
    <row r="11">
      <c r="A11" s="160" t="n"/>
      <c r="B11" s="160" t="n"/>
      <c r="C11" s="160" t="inlineStr">
        <is>
          <t>Running</t>
        </is>
      </c>
      <c r="D11" s="160" t="inlineStr">
        <is>
          <t>Grey</t>
        </is>
      </c>
      <c r="G11" s="160" t="inlineStr">
        <is>
          <t>OCT</t>
        </is>
      </c>
      <c r="H11" s="156" t="inlineStr">
        <is>
          <t>K-EUR1</t>
        </is>
      </c>
    </row>
    <row r="12">
      <c r="A12" s="160" t="n"/>
      <c r="B12" s="160" t="n"/>
      <c r="C12" s="160" t="inlineStr">
        <is>
          <t>Slip On</t>
        </is>
      </c>
      <c r="D12" s="160" t="inlineStr">
        <is>
          <t>Multi</t>
        </is>
      </c>
      <c r="G12" s="160" t="inlineStr">
        <is>
          <t>NOV</t>
        </is>
      </c>
      <c r="H12" s="156" t="inlineStr">
        <is>
          <t>K-EUR2</t>
        </is>
      </c>
    </row>
    <row r="13">
      <c r="A13" s="160" t="n"/>
      <c r="B13" s="160" t="n"/>
      <c r="C13" s="160" t="inlineStr">
        <is>
          <t>Sneakerboot</t>
        </is>
      </c>
      <c r="D13" s="160" t="inlineStr">
        <is>
          <t>Orange</t>
        </is>
      </c>
      <c r="G13" s="160" t="inlineStr">
        <is>
          <t>DEC</t>
        </is>
      </c>
      <c r="H13" s="156" t="inlineStr">
        <is>
          <t>MOONBOOTS</t>
        </is>
      </c>
    </row>
    <row r="14">
      <c r="A14" s="160" t="n"/>
      <c r="B14" s="160" t="n"/>
      <c r="C14" s="160" t="inlineStr">
        <is>
          <t>Training</t>
        </is>
      </c>
      <c r="D14" s="160" t="inlineStr">
        <is>
          <t>Pink</t>
        </is>
      </c>
      <c r="H14" s="156" t="inlineStr">
        <is>
          <t>ALPHA</t>
        </is>
      </c>
    </row>
    <row r="15">
      <c r="A15" s="160" t="n"/>
      <c r="B15" s="160" t="n"/>
      <c r="C15" s="160" t="inlineStr">
        <is>
          <t>Vulcanized</t>
        </is>
      </c>
      <c r="D15" s="160" t="inlineStr">
        <is>
          <t>Purple</t>
        </is>
      </c>
      <c r="H15" s="156" t="inlineStr">
        <is>
          <t>OS</t>
        </is>
      </c>
    </row>
    <row r="16">
      <c r="D16" s="160" t="inlineStr">
        <is>
          <t>Red</t>
        </is>
      </c>
    </row>
    <row r="17">
      <c r="D17" s="160" t="inlineStr">
        <is>
          <t>White</t>
        </is>
      </c>
    </row>
    <row r="18">
      <c r="D18" s="160" t="inlineStr">
        <is>
          <t>Yellow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B555"/>
  <sheetViews>
    <sheetView workbookViewId="0">
      <selection activeCell="A1" sqref="A1"/>
    </sheetView>
  </sheetViews>
  <sheetFormatPr baseColWidth="8" defaultColWidth="12.63" defaultRowHeight="15.75" customHeight="1"/>
  <cols>
    <col width="21.25" customWidth="1" style="162" min="1" max="1"/>
  </cols>
  <sheetData>
    <row r="1" ht="28.5" customHeight="1" s="162">
      <c r="A1" s="161" t="inlineStr">
        <is>
          <t>vendorid</t>
        </is>
      </c>
      <c r="B1" s="161" t="inlineStr">
        <is>
          <t>ProductPrefix</t>
        </is>
      </c>
    </row>
    <row r="2">
      <c r="A2" s="156" t="inlineStr">
        <is>
          <t>16Arlington</t>
        </is>
      </c>
      <c r="B2" s="156" t="inlineStr">
        <is>
          <t>16A</t>
        </is>
      </c>
    </row>
    <row r="3">
      <c r="A3" s="156" t="inlineStr">
        <is>
          <t>19-69</t>
        </is>
      </c>
      <c r="B3" s="156" t="inlineStr">
        <is>
          <t>NSN</t>
        </is>
      </c>
    </row>
    <row r="4">
      <c r="A4" s="156" t="inlineStr">
        <is>
          <t>4S Designs</t>
        </is>
      </c>
      <c r="B4" s="156" t="inlineStr">
        <is>
          <t>4SD</t>
        </is>
      </c>
    </row>
    <row r="5">
      <c r="A5" s="156" t="inlineStr">
        <is>
          <t>7 Days Active</t>
        </is>
      </c>
      <c r="B5" s="156" t="inlineStr">
        <is>
          <t>7DA</t>
        </is>
      </c>
    </row>
    <row r="6">
      <c r="A6" s="156" t="inlineStr">
        <is>
          <t>9 Seed</t>
        </is>
      </c>
      <c r="B6" s="156" t="inlineStr">
        <is>
          <t>9SD</t>
        </is>
      </c>
    </row>
    <row r="7">
      <c r="A7" s="156" t="inlineStr">
        <is>
          <t>A TWIN LIKE YOU</t>
        </is>
      </c>
      <c r="B7" s="156" t="inlineStr">
        <is>
          <t>ATL</t>
        </is>
      </c>
    </row>
    <row r="8">
      <c r="A8" s="156" t="inlineStr">
        <is>
          <t>A-Cold-Wall*</t>
        </is>
      </c>
      <c r="B8" s="156" t="inlineStr">
        <is>
          <t>ACW</t>
        </is>
      </c>
    </row>
    <row r="9">
      <c r="A9" s="156" t="inlineStr">
        <is>
          <t>A.P.C.</t>
        </is>
      </c>
      <c r="B9" s="156" t="inlineStr">
        <is>
          <t>APC</t>
        </is>
      </c>
    </row>
    <row r="10">
      <c r="A10" s="156" t="inlineStr">
        <is>
          <t>ABEL</t>
        </is>
      </c>
      <c r="B10" s="156" t="inlineStr">
        <is>
          <t>ABL</t>
        </is>
      </c>
    </row>
    <row r="11">
      <c r="A11" s="156" t="inlineStr">
        <is>
          <t>Abra</t>
        </is>
      </c>
      <c r="B11" s="156" t="inlineStr">
        <is>
          <t>ABA</t>
        </is>
      </c>
    </row>
    <row r="12">
      <c r="A12" s="156" t="inlineStr">
        <is>
          <t>Abrams</t>
        </is>
      </c>
      <c r="B12" s="156" t="inlineStr">
        <is>
          <t>ABR</t>
        </is>
      </c>
    </row>
    <row r="13">
      <c r="A13" s="156" t="inlineStr">
        <is>
          <t>Acne Studios</t>
        </is>
      </c>
      <c r="B13" s="156" t="inlineStr">
        <is>
          <t>ACN</t>
        </is>
      </c>
    </row>
    <row r="14">
      <c r="A14" s="156" t="inlineStr">
        <is>
          <t>Acronym</t>
        </is>
      </c>
      <c r="B14" s="156" t="inlineStr">
        <is>
          <t>ACR</t>
        </is>
      </c>
    </row>
    <row r="15">
      <c r="A15" s="156" t="inlineStr">
        <is>
          <t>Ader Error</t>
        </is>
      </c>
      <c r="B15" s="156" t="inlineStr">
        <is>
          <t>ADE</t>
        </is>
      </c>
    </row>
    <row r="16">
      <c r="A16" s="156" t="inlineStr">
        <is>
          <t>adidas</t>
        </is>
      </c>
      <c r="B16" s="156" t="inlineStr">
        <is>
          <t>ADI</t>
        </is>
      </c>
    </row>
    <row r="17">
      <c r="A17" s="156" t="inlineStr">
        <is>
          <t>adidas by Stella McCartney</t>
        </is>
      </c>
      <c r="B17" s="156" t="inlineStr">
        <is>
          <t>ASM</t>
        </is>
      </c>
    </row>
    <row r="18">
      <c r="A18" s="156" t="inlineStr">
        <is>
          <t>Adish</t>
        </is>
      </c>
      <c r="B18" s="156" t="inlineStr">
        <is>
          <t>ADS</t>
        </is>
      </c>
    </row>
    <row r="19">
      <c r="A19" s="156" t="inlineStr">
        <is>
          <t>ADRIAN CASHMERE</t>
        </is>
      </c>
      <c r="B19" s="156" t="inlineStr">
        <is>
          <t>ADC</t>
        </is>
      </c>
    </row>
    <row r="20">
      <c r="A20" s="156" t="inlineStr">
        <is>
          <t>Advisory Board Cry stals</t>
        </is>
      </c>
      <c r="B20" s="156" t="inlineStr">
        <is>
          <t>ABC</t>
        </is>
      </c>
    </row>
    <row r="21">
      <c r="A21" s="156" t="inlineStr">
        <is>
          <t>Aesthetic Movement</t>
        </is>
      </c>
      <c r="B21" s="156" t="inlineStr">
        <is>
          <t>AES</t>
        </is>
      </c>
    </row>
    <row r="22">
      <c r="A22" s="156" t="inlineStr">
        <is>
          <t>Agolde</t>
        </is>
      </c>
      <c r="B22" s="156" t="inlineStr">
        <is>
          <t>AGO</t>
        </is>
      </c>
    </row>
    <row r="23">
      <c r="A23" s="156" t="inlineStr">
        <is>
          <t>Akila</t>
        </is>
      </c>
      <c r="B23" s="156" t="inlineStr">
        <is>
          <t>AKi</t>
        </is>
      </c>
    </row>
    <row r="24">
      <c r="A24" s="156" t="inlineStr">
        <is>
          <t>Akoia</t>
        </is>
      </c>
      <c r="B24" s="156" t="inlineStr">
        <is>
          <t>AKO</t>
        </is>
      </c>
    </row>
    <row r="25">
      <c r="A25" s="156" t="inlineStr">
        <is>
          <t>Alan Crocetti</t>
        </is>
      </c>
      <c r="B25" s="156" t="inlineStr">
        <is>
          <t>ALA</t>
        </is>
      </c>
    </row>
    <row r="26">
      <c r="A26" s="156" t="inlineStr">
        <is>
          <t>Alexander Wang</t>
        </is>
      </c>
      <c r="B26" s="156" t="inlineStr">
        <is>
          <t>ALW</t>
        </is>
      </c>
    </row>
    <row r="27">
      <c r="A27" s="156" t="inlineStr">
        <is>
          <t>Alexis Bittar</t>
        </is>
      </c>
      <c r="B27" s="156" t="inlineStr">
        <is>
          <t>ALE</t>
        </is>
      </c>
    </row>
    <row r="28">
      <c r="A28" s="156" t="inlineStr">
        <is>
          <t>Alix</t>
        </is>
      </c>
      <c r="B28" s="156" t="inlineStr">
        <is>
          <t>ALI</t>
        </is>
      </c>
    </row>
    <row r="29">
      <c r="A29" s="156" t="inlineStr">
        <is>
          <t>All Gone</t>
        </is>
      </c>
      <c r="B29" s="156" t="inlineStr">
        <is>
          <t>ALL</t>
        </is>
      </c>
    </row>
    <row r="30">
      <c r="A30" s="156" t="inlineStr">
        <is>
          <t>ALLIANCE ENTERTAINME</t>
        </is>
      </c>
      <c r="B30" s="156" t="inlineStr">
        <is>
          <t>ANE</t>
        </is>
      </c>
    </row>
    <row r="31">
      <c r="A31" s="156" t="inlineStr">
        <is>
          <t>Alpha Industries</t>
        </is>
      </c>
      <c r="B31" s="156" t="inlineStr">
        <is>
          <t>ALP</t>
        </is>
      </c>
    </row>
    <row r="32">
      <c r="A32" s="156" t="inlineStr">
        <is>
          <t>Alyx</t>
        </is>
      </c>
      <c r="B32" s="156" t="inlineStr">
        <is>
          <t>ALY</t>
        </is>
      </c>
    </row>
    <row r="33">
      <c r="A33" s="156" t="inlineStr">
        <is>
          <t>Ambush</t>
        </is>
      </c>
      <c r="B33" s="156" t="inlineStr">
        <is>
          <t>AMB</t>
        </is>
      </c>
    </row>
    <row r="34">
      <c r="A34" s="156" t="inlineStr">
        <is>
          <t>Amina Muaddi</t>
        </is>
      </c>
      <c r="B34" s="156" t="inlineStr">
        <is>
          <t>AMU</t>
        </is>
      </c>
    </row>
    <row r="35">
      <c r="A35" s="156" t="inlineStr">
        <is>
          <t>An Only Child</t>
        </is>
      </c>
      <c r="B35" s="156" t="inlineStr">
        <is>
          <t>AOC</t>
        </is>
      </c>
    </row>
    <row r="36">
      <c r="A36" s="156" t="inlineStr">
        <is>
          <t>Andersons</t>
        </is>
      </c>
      <c r="B36" s="156" t="inlineStr">
        <is>
          <t>AND</t>
        </is>
      </c>
    </row>
    <row r="37">
      <c r="A37" s="156" t="inlineStr">
        <is>
          <t>Anni Lu</t>
        </is>
      </c>
      <c r="B37" s="156" t="inlineStr">
        <is>
          <t>ANL</t>
        </is>
      </c>
    </row>
    <row r="38">
      <c r="A38" s="156" t="inlineStr">
        <is>
          <t>Annika Inez</t>
        </is>
      </c>
      <c r="B38" s="156" t="inlineStr">
        <is>
          <t>ANI</t>
        </is>
      </c>
    </row>
    <row r="39">
      <c r="A39" s="156" t="inlineStr">
        <is>
          <t>ANONLYCHILD</t>
        </is>
      </c>
      <c r="B39" s="156" t="inlineStr">
        <is>
          <t>ANO</t>
        </is>
      </c>
    </row>
    <row r="40">
      <c r="A40" s="156" t="inlineStr">
        <is>
          <t>Apartamento</t>
        </is>
      </c>
      <c r="B40" s="156" t="inlineStr">
        <is>
          <t>APT</t>
        </is>
      </c>
    </row>
    <row r="41">
      <c r="A41" s="156" t="inlineStr">
        <is>
          <t>Arcteryx</t>
        </is>
      </c>
      <c r="B41" s="156" t="inlineStr">
        <is>
          <t>ARC</t>
        </is>
      </c>
    </row>
    <row r="42">
      <c r="A42" s="156" t="inlineStr">
        <is>
          <t>Area</t>
        </is>
      </c>
      <c r="B42" s="156" t="inlineStr">
        <is>
          <t>ARE</t>
        </is>
      </c>
    </row>
    <row r="43">
      <c r="A43" s="156" t="inlineStr">
        <is>
          <t>AREAWARE</t>
        </is>
      </c>
      <c r="B43" s="156" t="inlineStr">
        <is>
          <t>ARW</t>
        </is>
      </c>
    </row>
    <row r="44">
      <c r="A44" s="156" t="inlineStr">
        <is>
          <t>ARSN</t>
        </is>
      </c>
      <c r="B44" s="156" t="inlineStr">
        <is>
          <t>ARS</t>
        </is>
      </c>
    </row>
    <row r="45">
      <c r="A45" s="156" t="inlineStr">
        <is>
          <t>Artbook</t>
        </is>
      </c>
      <c r="B45" s="156" t="inlineStr">
        <is>
          <t>ARB</t>
        </is>
      </c>
    </row>
    <row r="46">
      <c r="A46" s="156" t="inlineStr">
        <is>
          <t>ARTICLE No</t>
        </is>
      </c>
      <c r="B46" s="156" t="inlineStr">
        <is>
          <t>ART</t>
        </is>
      </c>
    </row>
    <row r="47">
      <c r="A47" s="156" t="inlineStr">
        <is>
          <t>Asespi</t>
        </is>
      </c>
      <c r="B47" s="156" t="inlineStr">
        <is>
          <t>ASE</t>
        </is>
      </c>
    </row>
    <row r="48">
      <c r="A48" s="156" t="inlineStr">
        <is>
          <t>ASICS</t>
        </is>
      </c>
      <c r="B48" s="156" t="inlineStr">
        <is>
          <t>ASI</t>
        </is>
      </c>
    </row>
    <row r="49">
      <c r="A49" s="156" t="inlineStr">
        <is>
          <t>ASOLO</t>
        </is>
      </c>
      <c r="B49" s="156" t="inlineStr">
        <is>
          <t>ASL</t>
        </is>
      </c>
    </row>
    <row r="50">
      <c r="A50" s="156" t="inlineStr">
        <is>
          <t>Assouline</t>
        </is>
      </c>
      <c r="B50" s="156" t="inlineStr">
        <is>
          <t>ASS</t>
        </is>
      </c>
    </row>
    <row r="51">
      <c r="A51" s="156" t="inlineStr">
        <is>
          <t>Asta Resort</t>
        </is>
      </c>
      <c r="B51" s="156" t="inlineStr">
        <is>
          <t>AST</t>
        </is>
      </c>
    </row>
    <row r="52">
      <c r="A52" s="156" t="inlineStr">
        <is>
          <t>ATON</t>
        </is>
      </c>
      <c r="B52" s="156" t="inlineStr">
        <is>
          <t>ATO</t>
        </is>
      </c>
    </row>
    <row r="53">
      <c r="A53" s="156" t="inlineStr">
        <is>
          <t>Augustinus Bader</t>
        </is>
      </c>
      <c r="B53" s="156" t="inlineStr">
        <is>
          <t>AUG</t>
        </is>
      </c>
    </row>
    <row r="54">
      <c r="A54" s="156" t="inlineStr">
        <is>
          <t>Auralee</t>
        </is>
      </c>
      <c r="B54" s="156" t="inlineStr">
        <is>
          <t>AUR</t>
        </is>
      </c>
    </row>
    <row r="55">
      <c r="A55" s="156" t="inlineStr">
        <is>
          <t>Autre Magazine</t>
        </is>
      </c>
      <c r="B55" s="156" t="inlineStr">
        <is>
          <t>Aut</t>
        </is>
      </c>
    </row>
    <row r="56">
      <c r="A56" s="156" t="inlineStr">
        <is>
          <t>Avirex</t>
        </is>
      </c>
      <c r="B56" s="156" t="inlineStr">
        <is>
          <t>AVI</t>
        </is>
      </c>
    </row>
    <row r="57">
      <c r="A57" s="156" t="inlineStr">
        <is>
          <t>Awake</t>
        </is>
      </c>
      <c r="B57" s="156" t="inlineStr">
        <is>
          <t>AWA</t>
        </is>
      </c>
    </row>
    <row r="58">
      <c r="A58" s="156" t="inlineStr">
        <is>
          <t>Away</t>
        </is>
      </c>
      <c r="B58" s="156" t="inlineStr">
        <is>
          <t>AWY</t>
        </is>
      </c>
    </row>
    <row r="59">
      <c r="A59" s="156" t="inlineStr">
        <is>
          <t>Aya Muse</t>
        </is>
      </c>
      <c r="B59" s="156" t="inlineStr">
        <is>
          <t>AYA</t>
        </is>
      </c>
    </row>
    <row r="60">
      <c r="A60" s="156" t="inlineStr">
        <is>
          <t>Azeeza</t>
        </is>
      </c>
      <c r="B60" s="156" t="inlineStr">
        <is>
          <t>AZE</t>
        </is>
      </c>
    </row>
    <row r="61">
      <c r="A61" s="156" t="inlineStr">
        <is>
          <t>Babiators</t>
        </is>
      </c>
      <c r="B61" s="156" t="inlineStr">
        <is>
          <t>BAB</t>
        </is>
      </c>
    </row>
    <row r="62">
      <c r="A62" s="156" t="inlineStr">
        <is>
          <t>Balenciaga</t>
        </is>
      </c>
      <c r="B62" s="156" t="inlineStr">
        <is>
          <t>BAL</t>
        </is>
      </c>
    </row>
    <row r="63">
      <c r="A63" s="156" t="inlineStr">
        <is>
          <t>Bally</t>
        </is>
      </c>
      <c r="B63" s="156" t="inlineStr">
        <is>
          <t>BLL</t>
        </is>
      </c>
    </row>
    <row r="64">
      <c r="A64" s="156" t="inlineStr">
        <is>
          <t>Balmain</t>
        </is>
      </c>
      <c r="B64" s="156" t="inlineStr">
        <is>
          <t>BLM</t>
        </is>
      </c>
    </row>
    <row r="65">
      <c r="A65" s="156" t="inlineStr">
        <is>
          <t>Bamford Watches</t>
        </is>
      </c>
      <c r="B65" s="156" t="inlineStr">
        <is>
          <t>BMF</t>
        </is>
      </c>
    </row>
    <row r="66">
      <c r="A66" s="156" t="inlineStr">
        <is>
          <t>Bang &amp; Olufsen</t>
        </is>
      </c>
      <c r="B66" s="156" t="inlineStr">
        <is>
          <t>BAO</t>
        </is>
      </c>
    </row>
    <row r="67">
      <c r="A67" s="156" t="inlineStr">
        <is>
          <t>Banwood</t>
        </is>
      </c>
      <c r="B67" s="156" t="inlineStr">
        <is>
          <t>BAN</t>
        </is>
      </c>
    </row>
    <row r="68">
      <c r="A68" s="156" t="inlineStr">
        <is>
          <t>Barena</t>
        </is>
      </c>
      <c r="B68" s="156" t="inlineStr">
        <is>
          <t>BAR</t>
        </is>
      </c>
    </row>
    <row r="69">
      <c r="A69" s="156" t="inlineStr">
        <is>
          <t>Bauer</t>
        </is>
      </c>
      <c r="B69" s="156" t="inlineStr">
        <is>
          <t>BAU</t>
        </is>
      </c>
    </row>
    <row r="70">
      <c r="A70" s="156" t="inlineStr">
        <is>
          <t>BearBrick</t>
        </is>
      </c>
      <c r="B70" s="156" t="inlineStr">
        <is>
          <t>BRB</t>
        </is>
      </c>
    </row>
    <row r="71">
      <c r="A71" s="156" t="inlineStr">
        <is>
          <t>BELLE ANNA</t>
        </is>
      </c>
      <c r="B71" s="156" t="inlineStr">
        <is>
          <t>BEL</t>
        </is>
      </c>
    </row>
    <row r="72">
      <c r="A72" s="156" t="inlineStr">
        <is>
          <t>Benedict Radcliffe</t>
        </is>
      </c>
      <c r="B72" s="156" t="inlineStr">
        <is>
          <t>BEN</t>
        </is>
      </c>
    </row>
    <row r="73">
      <c r="A73" s="156" t="inlineStr">
        <is>
          <t>Birkenstock</t>
        </is>
      </c>
      <c r="B73" s="156" t="inlineStr">
        <is>
          <t>BIR</t>
        </is>
      </c>
    </row>
    <row r="74">
      <c r="A74" s="156" t="inlineStr">
        <is>
          <t>Birkenstock 1774</t>
        </is>
      </c>
      <c r="B74" s="156" t="inlineStr">
        <is>
          <t>BRK</t>
        </is>
      </c>
    </row>
    <row r="75">
      <c r="A75" s="156" t="inlineStr">
        <is>
          <t>Black Suede Studio</t>
        </is>
      </c>
      <c r="B75" s="156" t="inlineStr">
        <is>
          <t>BSS</t>
        </is>
      </c>
    </row>
    <row r="76">
      <c r="A76" s="156" t="inlineStr">
        <is>
          <t>Black Suede Studios</t>
        </is>
      </c>
      <c r="B76" s="156" t="inlineStr">
        <is>
          <t>BLA</t>
        </is>
      </c>
    </row>
    <row r="77">
      <c r="A77" s="156" t="inlineStr">
        <is>
          <t>Blackstock &amp; Weber</t>
        </is>
      </c>
      <c r="B77" s="156" t="inlineStr">
        <is>
          <t>BLW</t>
        </is>
      </c>
    </row>
    <row r="78">
      <c r="A78" s="156" t="inlineStr">
        <is>
          <t>Bleue Burnham</t>
        </is>
      </c>
      <c r="B78" s="156" t="inlineStr">
        <is>
          <t>BLE</t>
        </is>
      </c>
    </row>
    <row r="79">
      <c r="A79" s="156" t="inlineStr">
        <is>
          <t>Bloumme</t>
        </is>
      </c>
      <c r="B79" s="156" t="inlineStr">
        <is>
          <t>BLO</t>
        </is>
      </c>
    </row>
    <row r="80">
      <c r="A80" s="156" t="inlineStr">
        <is>
          <t>Bond-Eye</t>
        </is>
      </c>
      <c r="B80" s="156" t="inlineStr">
        <is>
          <t>BON</t>
        </is>
      </c>
    </row>
    <row r="81">
      <c r="A81" s="156" t="inlineStr">
        <is>
          <t>BornxRaised</t>
        </is>
      </c>
      <c r="B81" s="156" t="inlineStr">
        <is>
          <t>BXR</t>
        </is>
      </c>
    </row>
    <row r="82">
      <c r="A82" s="156" t="inlineStr">
        <is>
          <t>Bose Corporation</t>
        </is>
      </c>
      <c r="B82" s="156" t="inlineStr">
        <is>
          <t>BOS</t>
        </is>
      </c>
    </row>
    <row r="83">
      <c r="A83" s="156" t="inlineStr">
        <is>
          <t>Bottega Veneta</t>
        </is>
      </c>
      <c r="B83" s="156" t="inlineStr">
        <is>
          <t>BOT</t>
        </is>
      </c>
    </row>
    <row r="84">
      <c r="A84" s="156" t="inlineStr">
        <is>
          <t>Boy Smells</t>
        </is>
      </c>
      <c r="B84" s="156" t="inlineStr">
        <is>
          <t>BYS</t>
        </is>
      </c>
    </row>
    <row r="85">
      <c r="A85" s="156" t="inlineStr">
        <is>
          <t>Brain Dead</t>
        </is>
      </c>
      <c r="B85" s="156" t="inlineStr">
        <is>
          <t>BRD</t>
        </is>
      </c>
    </row>
    <row r="86">
      <c r="A86" s="156" t="inlineStr">
        <is>
          <t>Brandon Blackwood</t>
        </is>
      </c>
      <c r="B86" s="156" t="inlineStr">
        <is>
          <t>BBL</t>
        </is>
      </c>
    </row>
    <row r="87">
      <c r="A87" s="156" t="inlineStr">
        <is>
          <t>Braun</t>
        </is>
      </c>
      <c r="B87" s="156" t="inlineStr">
        <is>
          <t>BRA</t>
        </is>
      </c>
    </row>
    <row r="88">
      <c r="A88" s="156" t="inlineStr">
        <is>
          <t>Bru Eyewear</t>
        </is>
      </c>
      <c r="B88" s="156" t="inlineStr">
        <is>
          <t>BRU</t>
        </is>
      </c>
    </row>
    <row r="89">
      <c r="A89" s="156" t="inlineStr">
        <is>
          <t>Buci</t>
        </is>
      </c>
      <c r="B89" s="156" t="inlineStr">
        <is>
          <t>BUC</t>
        </is>
      </c>
    </row>
    <row r="90">
      <c r="A90" s="156" t="inlineStr">
        <is>
          <t>BUGABOO</t>
        </is>
      </c>
      <c r="B90" s="156" t="inlineStr">
        <is>
          <t>BUG</t>
        </is>
      </c>
    </row>
    <row r="91">
      <c r="A91" s="156" t="inlineStr">
        <is>
          <t>By Far</t>
        </is>
      </c>
      <c r="B91" s="156" t="inlineStr">
        <is>
          <t>BY</t>
        </is>
      </c>
    </row>
    <row r="92">
      <c r="A92" s="156" t="inlineStr">
        <is>
          <t>Byredo</t>
        </is>
      </c>
      <c r="B92" s="156" t="inlineStr">
        <is>
          <t>BYR</t>
        </is>
      </c>
    </row>
    <row r="93">
      <c r="A93" s="156" t="inlineStr">
        <is>
          <t>C2H4</t>
        </is>
      </c>
      <c r="B93" s="156" t="inlineStr">
        <is>
          <t>C2H</t>
        </is>
      </c>
    </row>
    <row r="94">
      <c r="A94" s="156" t="inlineStr">
        <is>
          <t>CALE</t>
        </is>
      </c>
      <c r="B94" s="156" t="inlineStr">
        <is>
          <t>CLE</t>
        </is>
      </c>
    </row>
    <row r="95">
      <c r="A95" s="156" t="inlineStr">
        <is>
          <t>Calvin Klein</t>
        </is>
      </c>
      <c r="B95" s="156" t="inlineStr">
        <is>
          <t>CAL</t>
        </is>
      </c>
    </row>
    <row r="96">
      <c r="A96" s="156" t="inlineStr">
        <is>
          <t>Caminando</t>
        </is>
      </c>
      <c r="B96" s="156" t="inlineStr">
        <is>
          <t>CAD</t>
        </is>
      </c>
    </row>
    <row r="97">
      <c r="A97" s="156" t="inlineStr">
        <is>
          <t>Camper</t>
        </is>
      </c>
      <c r="B97" s="156" t="inlineStr">
        <is>
          <t>CAM</t>
        </is>
      </c>
    </row>
    <row r="98">
      <c r="A98" s="156" t="inlineStr">
        <is>
          <t>Canada Goose</t>
        </is>
      </c>
      <c r="B98" s="156" t="inlineStr">
        <is>
          <t>CAG</t>
        </is>
      </c>
    </row>
    <row r="99">
      <c r="A99" s="156" t="inlineStr">
        <is>
          <t>Candylab</t>
        </is>
      </c>
      <c r="B99" s="156" t="inlineStr">
        <is>
          <t>CDL</t>
        </is>
      </c>
    </row>
    <row r="100">
      <c r="A100" s="156" t="inlineStr">
        <is>
          <t>Capita</t>
        </is>
      </c>
      <c r="B100" s="156" t="inlineStr">
        <is>
          <t>CAP</t>
        </is>
      </c>
    </row>
    <row r="101">
      <c r="A101" s="156" t="inlineStr">
        <is>
          <t>Carhartt WIP</t>
        </is>
      </c>
      <c r="B101" s="156" t="inlineStr">
        <is>
          <t>CRW</t>
        </is>
      </c>
    </row>
    <row r="102">
      <c r="A102" s="156" t="inlineStr">
        <is>
          <t>Cartier</t>
        </is>
      </c>
      <c r="B102" s="156" t="inlineStr">
        <is>
          <t>CRT</t>
        </is>
      </c>
    </row>
    <row r="103">
      <c r="A103" s="156" t="inlineStr">
        <is>
          <t>Casablanca</t>
        </is>
      </c>
      <c r="B103" s="156" t="inlineStr">
        <is>
          <t>CAS</t>
        </is>
      </c>
    </row>
    <row r="104">
      <c r="A104" s="156" t="inlineStr">
        <is>
          <t>CDG Homme</t>
        </is>
      </c>
      <c r="B104" s="156" t="inlineStr">
        <is>
          <t>CDH</t>
        </is>
      </c>
    </row>
    <row r="105">
      <c r="A105" s="156" t="inlineStr">
        <is>
          <t>CDG Pocket</t>
        </is>
      </c>
      <c r="B105" s="156" t="inlineStr">
        <is>
          <t>CDP</t>
        </is>
      </c>
    </row>
    <row r="106">
      <c r="A106" s="156" t="inlineStr">
        <is>
          <t>CDG Shirt</t>
        </is>
      </c>
      <c r="B106" s="156" t="inlineStr">
        <is>
          <t>CDS</t>
        </is>
      </c>
    </row>
    <row r="107">
      <c r="A107" s="156" t="inlineStr">
        <is>
          <t>Cent LDN</t>
        </is>
      </c>
      <c r="B107" s="156" t="inlineStr">
        <is>
          <t>CLD</t>
        </is>
      </c>
    </row>
    <row r="108">
      <c r="A108" s="156" t="inlineStr">
        <is>
          <t>Centric Brand</t>
        </is>
      </c>
      <c r="B108" s="156" t="inlineStr">
        <is>
          <t>CEB</t>
        </is>
      </c>
    </row>
    <row r="109">
      <c r="A109" s="156" t="inlineStr">
        <is>
          <t>Champion</t>
        </is>
      </c>
      <c r="B109" s="156" t="inlineStr">
        <is>
          <t>CHP</t>
        </is>
      </c>
    </row>
    <row r="110">
      <c r="A110" s="156" t="inlineStr">
        <is>
          <t>Chamula</t>
        </is>
      </c>
      <c r="B110" s="156" t="inlineStr">
        <is>
          <t>CHA</t>
        </is>
      </c>
    </row>
    <row r="111">
      <c r="A111" s="156" t="inlineStr">
        <is>
          <t>Channel Island</t>
        </is>
      </c>
      <c r="B111" s="156" t="inlineStr">
        <is>
          <t>CNI</t>
        </is>
      </c>
    </row>
    <row r="112">
      <c r="A112" s="156" t="inlineStr">
        <is>
          <t>Christopher Esber</t>
        </is>
      </c>
      <c r="B112" s="156" t="inlineStr">
        <is>
          <t>CSE</t>
        </is>
      </c>
    </row>
    <row r="113">
      <c r="A113" s="156" t="inlineStr">
        <is>
          <t>Cinelli</t>
        </is>
      </c>
      <c r="B113" s="156" t="inlineStr">
        <is>
          <t>CNL</t>
        </is>
      </c>
    </row>
    <row r="114">
      <c r="A114" s="156" t="inlineStr">
        <is>
          <t>Circle Zero Eight</t>
        </is>
      </c>
      <c r="B114" s="156" t="inlineStr">
        <is>
          <t>CZE</t>
        </is>
      </c>
    </row>
    <row r="115">
      <c r="A115" s="156" t="inlineStr">
        <is>
          <t>CIRIACO</t>
        </is>
      </c>
      <c r="B115" s="156" t="inlineStr">
        <is>
          <t>CRC</t>
        </is>
      </c>
    </row>
    <row r="116">
      <c r="A116" s="156" t="inlineStr">
        <is>
          <t>Clae</t>
        </is>
      </c>
      <c r="B116" s="156" t="inlineStr">
        <is>
          <t>CLA</t>
        </is>
      </c>
    </row>
    <row r="117">
      <c r="A117" s="156" t="inlineStr">
        <is>
          <t>Clarks</t>
        </is>
      </c>
      <c r="B117" s="156" t="inlineStr">
        <is>
          <t>CLK</t>
        </is>
      </c>
    </row>
    <row r="118">
      <c r="A118" s="156" t="inlineStr">
        <is>
          <t>Columbia</t>
        </is>
      </c>
      <c r="B118" s="156" t="inlineStr">
        <is>
          <t>COL</t>
        </is>
      </c>
    </row>
    <row r="119">
      <c r="A119" s="156" t="inlineStr">
        <is>
          <t>Common Projects</t>
        </is>
      </c>
      <c r="B119" s="156" t="inlineStr">
        <is>
          <t>COM</t>
        </is>
      </c>
    </row>
    <row r="120">
      <c r="A120" s="156" t="inlineStr">
        <is>
          <t>Conner Ives</t>
        </is>
      </c>
      <c r="B120" s="156" t="inlineStr">
        <is>
          <t>COR</t>
        </is>
      </c>
    </row>
    <row r="121">
      <c r="A121" s="156" t="inlineStr">
        <is>
          <t>Converse</t>
        </is>
      </c>
      <c r="B121" s="156" t="inlineStr">
        <is>
          <t>CON</t>
        </is>
      </c>
    </row>
    <row r="122">
      <c r="A122" s="156" t="inlineStr">
        <is>
          <t>Coperni</t>
        </is>
      </c>
      <c r="B122" s="156" t="inlineStr">
        <is>
          <t>COP</t>
        </is>
      </c>
    </row>
    <row r="123">
      <c r="A123" s="156" t="inlineStr">
        <is>
          <t>Corkcicle</t>
        </is>
      </c>
      <c r="B123" s="156" t="inlineStr">
        <is>
          <t>CKC</t>
        </is>
      </c>
    </row>
    <row r="124">
      <c r="A124" s="156" t="inlineStr">
        <is>
          <t>Cotton Citizen</t>
        </is>
      </c>
      <c r="B124" s="156" t="inlineStr">
        <is>
          <t>COT</t>
        </is>
      </c>
    </row>
    <row r="125">
      <c r="A125" s="156" t="inlineStr">
        <is>
          <t>Coyote Promotions</t>
        </is>
      </c>
      <c r="B125" s="156" t="inlineStr">
        <is>
          <t>CPR</t>
        </is>
      </c>
    </row>
    <row r="126">
      <c r="A126" s="156" t="inlineStr">
        <is>
          <t>CP Company</t>
        </is>
      </c>
      <c r="B126" s="156" t="inlineStr">
        <is>
          <t>CPC</t>
        </is>
      </c>
    </row>
    <row r="127">
      <c r="A127" s="156" t="inlineStr">
        <is>
          <t>Craig Green</t>
        </is>
      </c>
      <c r="B127" s="156" t="inlineStr">
        <is>
          <t>CRG</t>
        </is>
      </c>
    </row>
    <row r="128">
      <c r="A128" s="156" t="inlineStr">
        <is>
          <t>Crocs</t>
        </is>
      </c>
      <c r="B128" s="156" t="inlineStr">
        <is>
          <t>CRO</t>
        </is>
      </c>
    </row>
    <row r="129">
      <c r="A129" s="156" t="inlineStr">
        <is>
          <t>Crystal Haze</t>
        </is>
      </c>
      <c r="B129" s="156" t="inlineStr">
        <is>
          <t>CRY</t>
        </is>
      </c>
    </row>
    <row r="130">
      <c r="A130" s="156" t="inlineStr">
        <is>
          <t>Cult Gaia</t>
        </is>
      </c>
      <c r="B130" s="156" t="inlineStr">
        <is>
          <t>CUL</t>
        </is>
      </c>
    </row>
    <row r="131">
      <c r="A131" s="156" t="inlineStr">
        <is>
          <t>D1 Milano</t>
        </is>
      </c>
      <c r="B131" s="156" t="inlineStr">
        <is>
          <t>DOM</t>
        </is>
      </c>
    </row>
    <row r="132">
      <c r="A132" s="156" t="inlineStr">
        <is>
          <t>Daily Paper</t>
        </is>
      </c>
      <c r="B132" s="156" t="inlineStr">
        <is>
          <t>DAI</t>
        </is>
      </c>
    </row>
    <row r="133">
      <c r="A133" s="156" t="inlineStr">
        <is>
          <t>Daniel Arsham</t>
        </is>
      </c>
      <c r="B133" s="156" t="inlineStr">
        <is>
          <t>DLA</t>
        </is>
      </c>
    </row>
    <row r="134">
      <c r="A134" s="156" t="inlineStr">
        <is>
          <t>Danielle Guizio</t>
        </is>
      </c>
      <c r="B134" s="156" t="inlineStr">
        <is>
          <t>DGU</t>
        </is>
      </c>
    </row>
    <row r="135">
      <c r="A135" s="156" t="inlineStr">
        <is>
          <t>Dannijo</t>
        </is>
      </c>
      <c r="B135" s="156" t="inlineStr">
        <is>
          <t>DJO</t>
        </is>
      </c>
    </row>
    <row r="136">
      <c r="A136" s="156" t="inlineStr">
        <is>
          <t>Danzy</t>
        </is>
      </c>
      <c r="B136" s="156" t="inlineStr">
        <is>
          <t>DZY</t>
        </is>
      </c>
    </row>
    <row r="137">
      <c r="A137" s="156" t="inlineStr">
        <is>
          <t>Des Phemmes</t>
        </is>
      </c>
      <c r="B137" s="156" t="inlineStr">
        <is>
          <t>DSP</t>
        </is>
      </c>
    </row>
    <row r="138">
      <c r="A138" s="156" t="inlineStr">
        <is>
          <t>Devialet</t>
        </is>
      </c>
      <c r="B138" s="156" t="inlineStr">
        <is>
          <t>DEV</t>
        </is>
      </c>
    </row>
    <row r="139">
      <c r="A139" s="156" t="inlineStr">
        <is>
          <t>Diaper Book Club</t>
        </is>
      </c>
      <c r="B139" s="156" t="inlineStr">
        <is>
          <t>DIA</t>
        </is>
      </c>
    </row>
    <row r="140">
      <c r="A140" s="156" t="inlineStr">
        <is>
          <t>Diemme</t>
        </is>
      </c>
      <c r="B140" s="156" t="inlineStr">
        <is>
          <t>DME</t>
        </is>
      </c>
    </row>
    <row r="141">
      <c r="A141" s="156" t="inlineStr">
        <is>
          <t>Diesel</t>
        </is>
      </c>
      <c r="B141" s="156" t="inlineStr">
        <is>
          <t>DSL</t>
        </is>
      </c>
    </row>
    <row r="142">
      <c r="A142" s="156" t="inlineStr">
        <is>
          <t>Dion Lee</t>
        </is>
      </c>
      <c r="B142" s="156" t="inlineStr">
        <is>
          <t>DIO</t>
        </is>
      </c>
    </row>
    <row r="143">
      <c r="A143" s="156" t="inlineStr">
        <is>
          <t>Diptyque</t>
        </is>
      </c>
      <c r="B143" s="156" t="inlineStr">
        <is>
          <t>DIP</t>
        </is>
      </c>
    </row>
    <row r="144">
      <c r="A144" s="156" t="inlineStr">
        <is>
          <t>District Vision</t>
        </is>
      </c>
      <c r="B144" s="156" t="inlineStr">
        <is>
          <t>DIS</t>
        </is>
      </c>
    </row>
    <row r="145">
      <c r="A145" s="156" t="inlineStr">
        <is>
          <t>DMY BY DMY</t>
        </is>
      </c>
      <c r="B145" s="156" t="inlineStr">
        <is>
          <t>DMY</t>
        </is>
      </c>
    </row>
    <row r="146">
      <c r="A146" s="156" t="inlineStr">
        <is>
          <t>DMY Studios</t>
        </is>
      </c>
      <c r="B146" s="156" t="inlineStr">
        <is>
          <t>DMS</t>
        </is>
      </c>
    </row>
    <row r="147">
      <c r="A147" s="156" t="inlineStr">
        <is>
          <t>Do Remember</t>
        </is>
      </c>
      <c r="B147" s="156" t="inlineStr">
        <is>
          <t>DOR</t>
        </is>
      </c>
    </row>
    <row r="148">
      <c r="A148" s="156" t="inlineStr">
        <is>
          <t>Dotthz</t>
        </is>
      </c>
      <c r="B148" s="156" t="inlineStr">
        <is>
          <t>DTZ</t>
        </is>
      </c>
    </row>
    <row r="149">
      <c r="A149" s="156" t="inlineStr">
        <is>
          <t>DR. MARTENS</t>
        </is>
      </c>
      <c r="B149" s="156" t="inlineStr">
        <is>
          <t>DRM</t>
        </is>
      </c>
    </row>
    <row r="150">
      <c r="A150" s="156" t="inlineStr">
        <is>
          <t>Dries Van Noten</t>
        </is>
      </c>
      <c r="B150" s="156" t="inlineStr">
        <is>
          <t>DRI</t>
        </is>
      </c>
    </row>
    <row r="151">
      <c r="A151" s="156" t="inlineStr">
        <is>
          <t>DS &amp; Durga</t>
        </is>
      </c>
      <c r="B151" s="156" t="inlineStr">
        <is>
          <t>DSD</t>
        </is>
      </c>
    </row>
    <row r="152">
      <c r="A152" s="156" t="inlineStr">
        <is>
          <t>Duke &amp; Dexter</t>
        </is>
      </c>
      <c r="B152" s="156" t="inlineStr">
        <is>
          <t>DAD</t>
        </is>
      </c>
    </row>
    <row r="153">
      <c r="A153" s="156" t="inlineStr">
        <is>
          <t>Eastpak</t>
        </is>
      </c>
      <c r="B153" s="156" t="inlineStr">
        <is>
          <t>EAS</t>
        </is>
      </c>
    </row>
    <row r="154">
      <c r="A154" s="156" t="inlineStr">
        <is>
          <t>EB Denim</t>
        </is>
      </c>
      <c r="B154" s="156" t="inlineStr">
        <is>
          <t>EBD</t>
        </is>
      </c>
    </row>
    <row r="155">
      <c r="A155" s="156" t="inlineStr">
        <is>
          <t>Edie Parker</t>
        </is>
      </c>
      <c r="B155" s="156" t="inlineStr">
        <is>
          <t>EDI</t>
        </is>
      </c>
    </row>
    <row r="156">
      <c r="A156" s="156" t="inlineStr">
        <is>
          <t>Eliou</t>
        </is>
      </c>
      <c r="B156" s="156" t="inlineStr">
        <is>
          <t>ELI</t>
        </is>
      </c>
    </row>
    <row r="157">
      <c r="A157" s="156" t="inlineStr">
        <is>
          <t>Elisa Johnson</t>
        </is>
      </c>
      <c r="B157" s="156" t="inlineStr">
        <is>
          <t>ELJ</t>
        </is>
      </c>
    </row>
    <row r="158">
      <c r="A158" s="156" t="inlineStr">
        <is>
          <t>Emanuele Bicocchi</t>
        </is>
      </c>
      <c r="B158" s="156" t="inlineStr">
        <is>
          <t>EMA</t>
        </is>
      </c>
    </row>
    <row r="159">
      <c r="A159" s="156" t="inlineStr">
        <is>
          <t>EmersonThorpe</t>
        </is>
      </c>
      <c r="B159" s="156" t="inlineStr">
        <is>
          <t>EMT</t>
        </is>
      </c>
    </row>
    <row r="160">
      <c r="A160" s="156" t="inlineStr">
        <is>
          <t>EMM KUO</t>
        </is>
      </c>
      <c r="B160" s="156" t="inlineStr">
        <is>
          <t>EMK</t>
        </is>
      </c>
    </row>
    <row r="161">
      <c r="A161" s="156" t="inlineStr">
        <is>
          <t>Engineered Garments</t>
        </is>
      </c>
      <c r="B161" s="156" t="inlineStr">
        <is>
          <t>ENG</t>
        </is>
      </c>
    </row>
    <row r="162">
      <c r="A162" s="156" t="inlineStr">
        <is>
          <t>Entire Studios</t>
        </is>
      </c>
      <c r="B162" s="156" t="inlineStr">
        <is>
          <t>ENT</t>
        </is>
      </c>
    </row>
    <row r="163">
      <c r="A163" s="156" t="inlineStr">
        <is>
          <t>ERL</t>
        </is>
      </c>
      <c r="B163" s="156" t="inlineStr">
        <is>
          <t>ERL</t>
        </is>
      </c>
    </row>
    <row r="164">
      <c r="A164" s="156" t="inlineStr">
        <is>
          <t>Essentials</t>
        </is>
      </c>
      <c r="B164" s="156" t="inlineStr">
        <is>
          <t>ESS</t>
        </is>
      </c>
    </row>
    <row r="165">
      <c r="A165" s="156" t="inlineStr">
        <is>
          <t>Estee Lauder</t>
        </is>
      </c>
      <c r="B165" s="156" t="inlineStr">
        <is>
          <t>EEL</t>
        </is>
      </c>
    </row>
    <row r="166">
      <c r="A166" s="156" t="inlineStr">
        <is>
          <t>Farai London</t>
        </is>
      </c>
      <c r="B166" s="156" t="inlineStr">
        <is>
          <t>FLO</t>
        </is>
      </c>
    </row>
    <row r="167">
      <c r="A167" s="156" t="inlineStr">
        <is>
          <t>Faris</t>
        </is>
      </c>
      <c r="B167" s="156" t="inlineStr">
        <is>
          <t>FRS</t>
        </is>
      </c>
    </row>
    <row r="168">
      <c r="A168" s="156" t="inlineStr">
        <is>
          <t>Fear Of God</t>
        </is>
      </c>
      <c r="B168" s="156" t="inlineStr">
        <is>
          <t>FEA</t>
        </is>
      </c>
    </row>
    <row r="169">
      <c r="A169" s="156" t="inlineStr">
        <is>
          <t>Fellow</t>
        </is>
      </c>
      <c r="B169" s="156" t="inlineStr">
        <is>
          <t>FLW</t>
        </is>
      </c>
    </row>
    <row r="170">
      <c r="A170" s="156" t="inlineStr">
        <is>
          <t>Femme LA</t>
        </is>
      </c>
      <c r="B170" s="156" t="inlineStr">
        <is>
          <t>FEM</t>
        </is>
      </c>
    </row>
    <row r="171">
      <c r="A171" s="156" t="inlineStr">
        <is>
          <t>Fender</t>
        </is>
      </c>
      <c r="B171" s="156" t="inlineStr">
        <is>
          <t>FND</t>
        </is>
      </c>
    </row>
    <row r="172">
      <c r="A172" s="156" t="inlineStr">
        <is>
          <t>Filling Pieces</t>
        </is>
      </c>
      <c r="B172" s="156" t="inlineStr">
        <is>
          <t>FIL</t>
        </is>
      </c>
    </row>
    <row r="173">
      <c r="A173" s="156" t="inlineStr">
        <is>
          <t>Fiorucci</t>
        </is>
      </c>
      <c r="B173" s="156" t="inlineStr">
        <is>
          <t>FIO</t>
        </is>
      </c>
    </row>
    <row r="174">
      <c r="A174" s="156" t="inlineStr">
        <is>
          <t>Flamingo Estate</t>
        </is>
      </c>
      <c r="B174" s="156" t="inlineStr">
        <is>
          <t>FAE</t>
        </is>
      </c>
    </row>
    <row r="175">
      <c r="A175" s="156" t="inlineStr">
        <is>
          <t>FLAMINGO ESTATE</t>
        </is>
      </c>
      <c r="B175" s="156" t="inlineStr">
        <is>
          <t>FLM</t>
        </is>
      </c>
    </row>
    <row r="176">
      <c r="A176" s="156" t="inlineStr">
        <is>
          <t>Flatlist</t>
        </is>
      </c>
      <c r="B176" s="156" t="inlineStr">
        <is>
          <t>FLA</t>
        </is>
      </c>
    </row>
    <row r="177">
      <c r="A177" s="156" t="inlineStr">
        <is>
          <t>Fleur du Mal</t>
        </is>
      </c>
      <c r="B177" s="156" t="inlineStr">
        <is>
          <t>FLE</t>
        </is>
      </c>
    </row>
    <row r="178">
      <c r="A178" s="156" t="inlineStr">
        <is>
          <t>Fracap</t>
        </is>
      </c>
      <c r="B178" s="156" t="inlineStr">
        <is>
          <t>FRP</t>
        </is>
      </c>
    </row>
    <row r="179">
      <c r="A179" s="156" t="inlineStr">
        <is>
          <t>Frankies</t>
        </is>
      </c>
      <c r="B179" s="156" t="inlineStr">
        <is>
          <t>FRK</t>
        </is>
      </c>
    </row>
    <row r="180">
      <c r="A180" s="156" t="inlineStr">
        <is>
          <t>Free City</t>
        </is>
      </c>
      <c r="B180" s="156" t="inlineStr">
        <is>
          <t>FRE</t>
        </is>
      </c>
    </row>
    <row r="181">
      <c r="A181" s="156" t="inlineStr">
        <is>
          <t>Free City</t>
        </is>
      </c>
      <c r="B181" s="156" t="inlineStr">
        <is>
          <t>FRC</t>
        </is>
      </c>
    </row>
    <row r="182">
      <c r="A182" s="156" t="inlineStr">
        <is>
          <t>G-SHOCK</t>
        </is>
      </c>
      <c r="B182" s="156" t="inlineStr">
        <is>
          <t>GSK</t>
        </is>
      </c>
    </row>
    <row r="183">
      <c r="A183" s="156" t="inlineStr">
        <is>
          <t>G-Star</t>
        </is>
      </c>
      <c r="B183" s="156" t="inlineStr">
        <is>
          <t>G-S</t>
        </is>
      </c>
    </row>
    <row r="184">
      <c r="A184" s="156" t="inlineStr">
        <is>
          <t>G.H. Bass</t>
        </is>
      </c>
      <c r="B184" s="156" t="inlineStr">
        <is>
          <t>GHB</t>
        </is>
      </c>
    </row>
    <row r="185">
      <c r="A185" s="156" t="inlineStr">
        <is>
          <t>Ganni</t>
        </is>
      </c>
      <c r="B185" s="156" t="inlineStr">
        <is>
          <t>GAN</t>
        </is>
      </c>
    </row>
    <row r="186">
      <c r="A186" s="156" t="inlineStr">
        <is>
          <t>Garia Inc.</t>
        </is>
      </c>
      <c r="B186" s="156" t="inlineStr">
        <is>
          <t>GRI</t>
        </is>
      </c>
    </row>
    <row r="187">
      <c r="A187" s="156" t="inlineStr">
        <is>
          <t>Garrett Leight</t>
        </is>
      </c>
      <c r="B187" s="156" t="inlineStr">
        <is>
          <t>GAR</t>
        </is>
      </c>
    </row>
    <row r="188">
      <c r="A188" s="156" t="inlineStr">
        <is>
          <t>General Mills</t>
        </is>
      </c>
      <c r="B188" s="156" t="inlineStr">
        <is>
          <t>GRM</t>
        </is>
      </c>
    </row>
    <row r="189">
      <c r="A189" s="156" t="inlineStr">
        <is>
          <t>Gia Borghini</t>
        </is>
      </c>
      <c r="B189" s="156" t="inlineStr">
        <is>
          <t>GIA</t>
        </is>
      </c>
    </row>
    <row r="190">
      <c r="A190" s="156" t="inlineStr">
        <is>
          <t>Gianvito Rossi</t>
        </is>
      </c>
      <c r="B190" s="156" t="inlineStr">
        <is>
          <t>GVR</t>
        </is>
      </c>
    </row>
    <row r="191">
      <c r="A191" s="156" t="inlineStr">
        <is>
          <t>Golden Bear</t>
        </is>
      </c>
      <c r="B191" s="156" t="inlineStr">
        <is>
          <t>GOB</t>
        </is>
      </c>
    </row>
    <row r="192">
      <c r="A192" s="156" t="inlineStr">
        <is>
          <t>Gonza</t>
        </is>
      </c>
      <c r="B192" s="156" t="inlineStr">
        <is>
          <t>GON</t>
        </is>
      </c>
    </row>
    <row r="193">
      <c r="A193" s="156" t="inlineStr">
        <is>
          <t>Good Art Hollywood</t>
        </is>
      </c>
      <c r="B193" s="156" t="inlineStr">
        <is>
          <t>GAH</t>
        </is>
      </c>
    </row>
    <row r="194">
      <c r="A194" s="156" t="inlineStr">
        <is>
          <t>GRAMICCI</t>
        </is>
      </c>
      <c r="B194" s="156" t="inlineStr">
        <is>
          <t>GRC</t>
        </is>
      </c>
    </row>
    <row r="195">
      <c r="A195" s="156" t="inlineStr">
        <is>
          <t>Grand Azur</t>
        </is>
      </c>
      <c r="B195" s="156" t="inlineStr">
        <is>
          <t>GRA</t>
        </is>
      </c>
    </row>
    <row r="196">
      <c r="A196" s="156" t="inlineStr">
        <is>
          <t>Green Rabit Holdings</t>
        </is>
      </c>
      <c r="B196" s="156" t="inlineStr">
        <is>
          <t>GRH</t>
        </is>
      </c>
    </row>
    <row r="197">
      <c r="A197" s="156" t="inlineStr">
        <is>
          <t>Greg Lauren</t>
        </is>
      </c>
      <c r="B197" s="156" t="inlineStr">
        <is>
          <t>GRL</t>
        </is>
      </c>
    </row>
    <row r="198">
      <c r="A198" s="156" t="inlineStr">
        <is>
          <t>Greg Yuna</t>
        </is>
      </c>
      <c r="B198" s="156" t="inlineStr">
        <is>
          <t>GRY</t>
        </is>
      </c>
    </row>
    <row r="199">
      <c r="A199" s="156" t="inlineStr">
        <is>
          <t>Grounds</t>
        </is>
      </c>
      <c r="B199" s="156" t="inlineStr">
        <is>
          <t>GRO</t>
        </is>
      </c>
    </row>
    <row r="200">
      <c r="A200" s="156" t="inlineStr">
        <is>
          <t>GShock</t>
        </is>
      </c>
      <c r="B200" s="156" t="inlineStr">
        <is>
          <t>GSH</t>
        </is>
      </c>
    </row>
    <row r="201">
      <c r="A201" s="156" t="inlineStr">
        <is>
          <t>Gucci Eyewear</t>
        </is>
      </c>
      <c r="B201" s="156" t="inlineStr">
        <is>
          <t>GUC</t>
        </is>
      </c>
    </row>
    <row r="202">
      <c r="A202" s="156" t="inlineStr">
        <is>
          <t>Hachette</t>
        </is>
      </c>
      <c r="B202" s="156" t="inlineStr">
        <is>
          <t>HCT</t>
        </is>
      </c>
    </row>
    <row r="203">
      <c r="A203" s="156" t="inlineStr">
        <is>
          <t>Haikure</t>
        </is>
      </c>
      <c r="B203" s="156" t="inlineStr">
        <is>
          <t>HAI</t>
        </is>
      </c>
    </row>
    <row r="204">
      <c r="A204" s="156" t="inlineStr">
        <is>
          <t>Hammy Industries LLC</t>
        </is>
      </c>
      <c r="B204" s="156" t="inlineStr">
        <is>
          <t>HAM</t>
        </is>
      </c>
    </row>
    <row r="205">
      <c r="A205" s="156" t="inlineStr">
        <is>
          <t>HARRIET ALLURE</t>
        </is>
      </c>
      <c r="B205" s="156" t="inlineStr">
        <is>
          <t>HRA</t>
        </is>
      </c>
    </row>
    <row r="206">
      <c r="A206" s="156" t="inlineStr">
        <is>
          <t>Hartcopy</t>
        </is>
      </c>
      <c r="B206" s="156" t="inlineStr">
        <is>
          <t>HRC</t>
        </is>
      </c>
    </row>
    <row r="207">
      <c r="A207" s="156" t="inlineStr">
        <is>
          <t>Hatton Labs</t>
        </is>
      </c>
      <c r="B207" s="156" t="inlineStr">
        <is>
          <t>HAT</t>
        </is>
      </c>
    </row>
    <row r="208">
      <c r="A208" s="156" t="inlineStr">
        <is>
          <t>Heaven Mayhem</t>
        </is>
      </c>
      <c r="B208" s="156" t="inlineStr">
        <is>
          <t>HVM</t>
        </is>
      </c>
    </row>
    <row r="209">
      <c r="A209" s="156" t="inlineStr">
        <is>
          <t>Heavy Manners</t>
        </is>
      </c>
      <c r="B209" s="156" t="inlineStr">
        <is>
          <t>HEA</t>
        </is>
      </c>
    </row>
    <row r="210">
      <c r="A210" s="156" t="inlineStr">
        <is>
          <t>Helmut Lang</t>
        </is>
      </c>
      <c r="B210" s="156" t="inlineStr">
        <is>
          <t>HML</t>
        </is>
      </c>
    </row>
    <row r="211">
      <c r="A211" s="156" t="inlineStr">
        <is>
          <t>Hender Scheme</t>
        </is>
      </c>
      <c r="B211" s="156" t="inlineStr">
        <is>
          <t>HEN</t>
        </is>
      </c>
    </row>
    <row r="212">
      <c r="A212" s="156" t="inlineStr">
        <is>
          <t>Her Children</t>
        </is>
      </c>
      <c r="B212" s="156" t="inlineStr">
        <is>
          <t>HCH</t>
        </is>
      </c>
    </row>
    <row r="213">
      <c r="A213" s="156" t="inlineStr">
        <is>
          <t>Heron Preston</t>
        </is>
      </c>
      <c r="B213" s="156" t="inlineStr">
        <is>
          <t>HER</t>
        </is>
      </c>
    </row>
    <row r="214">
      <c r="A214" s="156" t="inlineStr">
        <is>
          <t>HOKA</t>
        </is>
      </c>
      <c r="B214" s="156" t="inlineStr">
        <is>
          <t>HOK</t>
        </is>
      </c>
    </row>
    <row r="215">
      <c r="A215" s="156" t="inlineStr">
        <is>
          <t>HOMME GIRLS</t>
        </is>
      </c>
      <c r="B215" s="156" t="inlineStr">
        <is>
          <t>HMG</t>
        </is>
      </c>
    </row>
    <row r="216">
      <c r="A216" s="156" t="inlineStr">
        <is>
          <t>HONEY HALO</t>
        </is>
      </c>
      <c r="B216" s="156" t="inlineStr">
        <is>
          <t>HOH</t>
        </is>
      </c>
    </row>
    <row r="217">
      <c r="A217" s="156" t="inlineStr">
        <is>
          <t>Hoorsenbuhs</t>
        </is>
      </c>
      <c r="B217" s="156" t="inlineStr">
        <is>
          <t>HOO</t>
        </is>
      </c>
    </row>
    <row r="218">
      <c r="A218" s="156" t="inlineStr">
        <is>
          <t>HOUSEPLANT</t>
        </is>
      </c>
      <c r="B218" s="156" t="inlineStr">
        <is>
          <t>HOU</t>
        </is>
      </c>
    </row>
    <row r="219">
      <c r="A219" s="156" t="inlineStr">
        <is>
          <t>Humanrace</t>
        </is>
      </c>
      <c r="B219" s="156" t="inlineStr">
        <is>
          <t>HUM</t>
        </is>
      </c>
    </row>
    <row r="220">
      <c r="A220" s="156" t="inlineStr">
        <is>
          <t>Hunter</t>
        </is>
      </c>
      <c r="B220" s="156" t="inlineStr">
        <is>
          <t>HTR</t>
        </is>
      </c>
    </row>
    <row r="221">
      <c r="A221" s="156" t="inlineStr">
        <is>
          <t>Hunza G</t>
        </is>
      </c>
      <c r="B221" s="156" t="inlineStr">
        <is>
          <t>HZG</t>
        </is>
      </c>
    </row>
    <row r="222">
      <c r="A222" s="156" t="inlineStr">
        <is>
          <t>Hyein Seo</t>
        </is>
      </c>
      <c r="B222" s="156" t="inlineStr">
        <is>
          <t>HYE</t>
        </is>
      </c>
    </row>
    <row r="223">
      <c r="A223" s="156" t="inlineStr">
        <is>
          <t>Hypebeast</t>
        </is>
      </c>
      <c r="B223" s="156" t="inlineStr">
        <is>
          <t>HPB</t>
        </is>
      </c>
    </row>
    <row r="224">
      <c r="A224" s="156" t="inlineStr">
        <is>
          <t>IDEA</t>
        </is>
      </c>
      <c r="B224" s="156" t="inlineStr">
        <is>
          <t>IDE</t>
        </is>
      </c>
    </row>
    <row r="225">
      <c r="A225" s="156" t="inlineStr">
        <is>
          <t>Ingram</t>
        </is>
      </c>
      <c r="B225" s="156" t="inlineStr">
        <is>
          <t>ING</t>
        </is>
      </c>
    </row>
    <row r="226">
      <c r="A226" s="156" t="inlineStr">
        <is>
          <t>Interart</t>
        </is>
      </c>
      <c r="B226" s="156" t="inlineStr">
        <is>
          <t>INT</t>
        </is>
      </c>
    </row>
    <row r="227">
      <c r="A227" s="156" t="inlineStr">
        <is>
          <t>Isa Boulder</t>
        </is>
      </c>
      <c r="B227" s="156" t="inlineStr">
        <is>
          <t>ISA</t>
        </is>
      </c>
    </row>
    <row r="228">
      <c r="A228" s="156" t="inlineStr">
        <is>
          <t>Isa Grutman</t>
        </is>
      </c>
      <c r="B228" s="156" t="inlineStr">
        <is>
          <t>ISG</t>
        </is>
      </c>
    </row>
    <row r="229">
      <c r="A229" s="156" t="inlineStr">
        <is>
          <t>Its Now Cool</t>
        </is>
      </c>
      <c r="B229" s="156" t="inlineStr">
        <is>
          <t>ITS</t>
        </is>
      </c>
    </row>
    <row r="230">
      <c r="A230" s="156" t="inlineStr">
        <is>
          <t>Izipizi</t>
        </is>
      </c>
      <c r="B230" s="156" t="inlineStr">
        <is>
          <t>IZI</t>
        </is>
      </c>
    </row>
    <row r="231">
      <c r="A231" s="156" t="inlineStr">
        <is>
          <t>J Logan Home</t>
        </is>
      </c>
      <c r="B231" s="156" t="inlineStr">
        <is>
          <t>JLH</t>
        </is>
      </c>
    </row>
    <row r="232">
      <c r="A232" s="156" t="inlineStr">
        <is>
          <t>J.L_A.L</t>
        </is>
      </c>
      <c r="B232" s="156" t="inlineStr">
        <is>
          <t>JLA</t>
        </is>
      </c>
    </row>
    <row r="233">
      <c r="A233" s="156" t="inlineStr">
        <is>
          <t>Jacquemus</t>
        </is>
      </c>
      <c r="B233" s="156" t="inlineStr">
        <is>
          <t>JMS</t>
        </is>
      </c>
    </row>
    <row r="234">
      <c r="A234" s="156" t="inlineStr">
        <is>
          <t>Jacques Marie Mage</t>
        </is>
      </c>
      <c r="B234" s="156" t="inlineStr">
        <is>
          <t>JAC</t>
        </is>
      </c>
    </row>
    <row r="235">
      <c r="A235" s="156" t="inlineStr">
        <is>
          <t>JADA TOYS, INC.</t>
        </is>
      </c>
      <c r="B235" s="156" t="inlineStr">
        <is>
          <t>JAT</t>
        </is>
      </c>
    </row>
    <row r="236">
      <c r="A236" s="156" t="inlineStr">
        <is>
          <t>JADE</t>
        </is>
      </c>
      <c r="B236" s="156" t="inlineStr">
        <is>
          <t>JAD</t>
        </is>
      </c>
    </row>
    <row r="237">
      <c r="A237" s="156" t="inlineStr">
        <is>
          <t>Jason Markk</t>
        </is>
      </c>
      <c r="B237" s="156" t="inlineStr">
        <is>
          <t>JAS</t>
        </is>
      </c>
    </row>
    <row r="238">
      <c r="A238" s="156" t="inlineStr">
        <is>
          <t>JBD</t>
        </is>
      </c>
      <c r="B238" s="156" t="inlineStr">
        <is>
          <t>JBD</t>
        </is>
      </c>
    </row>
    <row r="239">
      <c r="A239" s="156" t="inlineStr">
        <is>
          <t>Jean Paul Gaultier</t>
        </is>
      </c>
      <c r="B239" s="156" t="inlineStr">
        <is>
          <t>JPG</t>
        </is>
      </c>
    </row>
    <row r="240">
      <c r="A240" s="156" t="inlineStr">
        <is>
          <t>Jessica Rich</t>
        </is>
      </c>
      <c r="B240" s="156" t="inlineStr">
        <is>
          <t>JES</t>
        </is>
      </c>
    </row>
    <row r="241">
      <c r="A241" s="156" t="inlineStr">
        <is>
          <t>Jil Sander</t>
        </is>
      </c>
      <c r="B241" s="156" t="inlineStr">
        <is>
          <t>JIL</t>
        </is>
      </c>
    </row>
    <row r="242">
      <c r="A242" s="156" t="inlineStr">
        <is>
          <t>Jkeefer</t>
        </is>
      </c>
      <c r="B242" s="156" t="inlineStr">
        <is>
          <t>JKE</t>
        </is>
      </c>
    </row>
    <row r="243">
      <c r="A243" s="156" t="inlineStr">
        <is>
          <t>John Elliott</t>
        </is>
      </c>
      <c r="B243" s="156" t="inlineStr">
        <is>
          <t>JOH</t>
        </is>
      </c>
    </row>
    <row r="244">
      <c r="A244" s="156" t="inlineStr">
        <is>
          <t>Jonathan Simkhai</t>
        </is>
      </c>
      <c r="B244" s="156" t="inlineStr">
        <is>
          <t>JON</t>
        </is>
      </c>
    </row>
    <row r="245">
      <c r="A245" s="156" t="inlineStr">
        <is>
          <t>Jordan</t>
        </is>
      </c>
      <c r="B245" s="156" t="inlineStr">
        <is>
          <t>JOR</t>
        </is>
      </c>
    </row>
    <row r="246">
      <c r="A246" s="156" t="inlineStr">
        <is>
          <t>Joya</t>
        </is>
      </c>
      <c r="B246" s="156" t="inlineStr">
        <is>
          <t>JYA</t>
        </is>
      </c>
    </row>
    <row r="247">
      <c r="A247" s="156" t="inlineStr">
        <is>
          <t>JR286</t>
        </is>
      </c>
      <c r="B247" s="156" t="inlineStr">
        <is>
          <t>JR2</t>
        </is>
      </c>
    </row>
    <row r="248">
      <c r="A248" s="156" t="inlineStr">
        <is>
          <t>Junya Man</t>
        </is>
      </c>
      <c r="B248" s="156" t="inlineStr">
        <is>
          <t>JUN</t>
        </is>
      </c>
    </row>
    <row r="249">
      <c r="A249" s="156" t="inlineStr">
        <is>
          <t>Justine Clenquet</t>
        </is>
      </c>
      <c r="B249" s="156" t="inlineStr">
        <is>
          <t>JUC</t>
        </is>
      </c>
    </row>
    <row r="250">
      <c r="A250" s="156" t="inlineStr">
        <is>
          <t>JW Anderson</t>
        </is>
      </c>
      <c r="B250" s="156" t="inlineStr">
        <is>
          <t>JWA</t>
        </is>
      </c>
    </row>
    <row r="251">
      <c r="A251" s="156" t="inlineStr">
        <is>
          <t>K Swiss</t>
        </is>
      </c>
      <c r="B251" s="156" t="inlineStr">
        <is>
          <t>KSI</t>
        </is>
      </c>
    </row>
    <row r="252">
      <c r="A252" s="156" t="inlineStr">
        <is>
          <t>Kangol</t>
        </is>
      </c>
      <c r="B252" s="156" t="inlineStr">
        <is>
          <t>KAN</t>
        </is>
      </c>
    </row>
    <row r="253">
      <c r="A253" s="156" t="inlineStr">
        <is>
          <t>Keen</t>
        </is>
      </c>
      <c r="B253" s="156" t="inlineStr">
        <is>
          <t>KEE</t>
        </is>
      </c>
    </row>
    <row r="254">
      <c r="A254" s="156" t="inlineStr">
        <is>
          <t>Kenzo</t>
        </is>
      </c>
      <c r="B254" s="156" t="inlineStr">
        <is>
          <t>KEN</t>
        </is>
      </c>
    </row>
    <row r="255">
      <c r="A255" s="156" t="inlineStr">
        <is>
          <t>KHOKI</t>
        </is>
      </c>
      <c r="B255" s="156" t="inlineStr">
        <is>
          <t>KHO</t>
        </is>
      </c>
    </row>
    <row r="256">
      <c r="A256" s="156" t="inlineStr">
        <is>
          <t>Khoki</t>
        </is>
      </c>
      <c r="B256" s="156" t="inlineStr">
        <is>
          <t>KHK</t>
        </is>
      </c>
    </row>
    <row r="257">
      <c r="A257" s="156" t="inlineStr">
        <is>
          <t>Kidrobot</t>
        </is>
      </c>
      <c r="B257" s="156" t="inlineStr">
        <is>
          <t>KID</t>
        </is>
      </c>
    </row>
    <row r="258">
      <c r="A258" s="156" t="inlineStr">
        <is>
          <t>Kiko Kostadinov</t>
        </is>
      </c>
      <c r="B258" s="156" t="inlineStr">
        <is>
          <t>KIK</t>
        </is>
      </c>
    </row>
    <row r="259">
      <c r="A259" s="156" t="inlineStr">
        <is>
          <t>Kiko+GG</t>
        </is>
      </c>
      <c r="B259" s="156" t="inlineStr">
        <is>
          <t>KKG</t>
        </is>
      </c>
    </row>
    <row r="260">
      <c r="A260" s="156" t="inlineStr">
        <is>
          <t>Kim Shui</t>
        </is>
      </c>
      <c r="B260" s="156" t="inlineStr">
        <is>
          <t>KIM</t>
        </is>
      </c>
    </row>
    <row r="261">
      <c r="A261" s="156" t="inlineStr">
        <is>
          <t>Kimeze</t>
        </is>
      </c>
      <c r="B261" s="156" t="inlineStr">
        <is>
          <t>KZE</t>
        </is>
      </c>
    </row>
    <row r="262">
      <c r="A262" s="156" t="inlineStr">
        <is>
          <t>KNWLS</t>
        </is>
      </c>
      <c r="B262" s="156" t="inlineStr">
        <is>
          <t>KNW</t>
        </is>
      </c>
    </row>
    <row r="263">
      <c r="A263" s="156" t="inlineStr">
        <is>
          <t>KOZABURO</t>
        </is>
      </c>
      <c r="B263" s="156" t="inlineStr">
        <is>
          <t>KOZ</t>
        </is>
      </c>
    </row>
    <row r="264">
      <c r="A264" s="156" t="inlineStr">
        <is>
          <t>Ksubi</t>
        </is>
      </c>
      <c r="B264" s="156" t="inlineStr">
        <is>
          <t>KSU</t>
        </is>
      </c>
    </row>
    <row r="265">
      <c r="A265" s="156" t="inlineStr">
        <is>
          <t>L`Agence</t>
        </is>
      </c>
      <c r="B265" s="156" t="inlineStr">
        <is>
          <t>LAG</t>
        </is>
      </c>
    </row>
    <row r="266">
      <c r="A266" s="156" t="inlineStr">
        <is>
          <t>Laarvee</t>
        </is>
      </c>
      <c r="B266" s="156" t="inlineStr">
        <is>
          <t>LAA</t>
        </is>
      </c>
    </row>
    <row r="267">
      <c r="A267" s="156" t="inlineStr">
        <is>
          <t>Lack of Color</t>
        </is>
      </c>
      <c r="B267" s="156" t="inlineStr">
        <is>
          <t>LAC</t>
        </is>
      </c>
    </row>
    <row r="268">
      <c r="A268" s="156" t="inlineStr">
        <is>
          <t>Lanvin</t>
        </is>
      </c>
      <c r="B268" s="156" t="inlineStr">
        <is>
          <t>LAN</t>
        </is>
      </c>
    </row>
    <row r="269">
      <c r="A269" s="156" t="inlineStr">
        <is>
          <t>Le Collection-Heure</t>
        </is>
      </c>
      <c r="B269" s="156" t="inlineStr">
        <is>
          <t>LCH</t>
        </is>
      </c>
    </row>
    <row r="270">
      <c r="A270" s="156" t="inlineStr">
        <is>
          <t>Le Gramme</t>
        </is>
      </c>
      <c r="B270" s="156" t="inlineStr">
        <is>
          <t>LGR</t>
        </is>
      </c>
    </row>
    <row r="271">
      <c r="A271" s="156" t="inlineStr">
        <is>
          <t>Le Mile</t>
        </is>
      </c>
      <c r="B271" s="156" t="inlineStr">
        <is>
          <t>LML</t>
        </is>
      </c>
    </row>
    <row r="272">
      <c r="A272" s="156" t="inlineStr">
        <is>
          <t>Leblon Delienne</t>
        </is>
      </c>
      <c r="B272" s="156" t="inlineStr">
        <is>
          <t>LEB</t>
        </is>
      </c>
    </row>
    <row r="273">
      <c r="A273" s="156" t="inlineStr">
        <is>
          <t>Leica</t>
        </is>
      </c>
      <c r="B273" s="156" t="inlineStr">
        <is>
          <t>LEI</t>
        </is>
      </c>
    </row>
    <row r="274">
      <c r="A274" s="156" t="inlineStr">
        <is>
          <t>Lemaire</t>
        </is>
      </c>
      <c r="B274" s="156" t="inlineStr">
        <is>
          <t>LEM</t>
        </is>
      </c>
    </row>
    <row r="275">
      <c r="A275" s="156" t="inlineStr">
        <is>
          <t>Levi`s</t>
        </is>
      </c>
      <c r="B275" s="156" t="inlineStr">
        <is>
          <t>LEV</t>
        </is>
      </c>
    </row>
    <row r="276">
      <c r="A276" s="156" t="inlineStr">
        <is>
          <t>Li-Ning</t>
        </is>
      </c>
      <c r="B276" s="156" t="inlineStr">
        <is>
          <t>LIN</t>
        </is>
      </c>
    </row>
    <row r="277">
      <c r="A277" s="156" t="inlineStr">
        <is>
          <t>Lightning Clutch</t>
        </is>
      </c>
      <c r="B277" s="156" t="inlineStr">
        <is>
          <t>LIG</t>
        </is>
      </c>
    </row>
    <row r="278">
      <c r="A278" s="156" t="inlineStr">
        <is>
          <t>Linda Farrow</t>
        </is>
      </c>
      <c r="B278" s="156" t="inlineStr">
        <is>
          <t>LFW</t>
        </is>
      </c>
    </row>
    <row r="279">
      <c r="A279" s="156" t="inlineStr">
        <is>
          <t>Literally Balling</t>
        </is>
      </c>
      <c r="B279" s="156" t="inlineStr">
        <is>
          <t>LIB</t>
        </is>
      </c>
    </row>
    <row r="280">
      <c r="A280" s="156" t="inlineStr">
        <is>
          <t>Local European</t>
        </is>
      </c>
      <c r="B280" s="156" t="inlineStr">
        <is>
          <t>LOC</t>
        </is>
      </c>
    </row>
    <row r="281">
      <c r="A281" s="156" t="inlineStr">
        <is>
          <t>Loewe</t>
        </is>
      </c>
      <c r="B281" s="156" t="inlineStr">
        <is>
          <t>LWE</t>
        </is>
      </c>
    </row>
    <row r="282">
      <c r="A282" s="156" t="inlineStr">
        <is>
          <t>Lola James Harper</t>
        </is>
      </c>
      <c r="B282" s="156" t="inlineStr">
        <is>
          <t>LOL</t>
        </is>
      </c>
    </row>
    <row r="283">
      <c r="A283" s="156" t="inlineStr">
        <is>
          <t>Longchamp</t>
        </is>
      </c>
      <c r="B283" s="156" t="inlineStr">
        <is>
          <t>LON</t>
        </is>
      </c>
    </row>
    <row r="284">
      <c r="A284" s="156" t="inlineStr">
        <is>
          <t>Louisa Ballou</t>
        </is>
      </c>
      <c r="B284" s="156" t="inlineStr">
        <is>
          <t>LOU</t>
        </is>
      </c>
    </row>
    <row r="285">
      <c r="A285" s="156" t="inlineStr">
        <is>
          <t>Ludwig Reiter</t>
        </is>
      </c>
      <c r="B285" s="156" t="inlineStr">
        <is>
          <t>LDR</t>
        </is>
      </c>
    </row>
    <row r="286">
      <c r="A286" s="156" t="inlineStr">
        <is>
          <t>Luv AJ</t>
        </is>
      </c>
      <c r="B286" s="156" t="inlineStr">
        <is>
          <t>LUV</t>
        </is>
      </c>
    </row>
    <row r="287">
      <c r="A287" s="156" t="inlineStr">
        <is>
          <t>Mack Books</t>
        </is>
      </c>
      <c r="B287" s="156" t="inlineStr">
        <is>
          <t>MAC</t>
        </is>
      </c>
    </row>
    <row r="288">
      <c r="A288" s="156" t="inlineStr">
        <is>
          <t>MAD Paris</t>
        </is>
      </c>
      <c r="B288" s="156" t="inlineStr">
        <is>
          <t>MAD</t>
        </is>
      </c>
    </row>
    <row r="289">
      <c r="A289" s="156" t="inlineStr">
        <is>
          <t>Madesome</t>
        </is>
      </c>
      <c r="B289" s="156" t="inlineStr">
        <is>
          <t>MDS</t>
        </is>
      </c>
    </row>
    <row r="290">
      <c r="A290" s="156" t="inlineStr">
        <is>
          <t>Maharishi</t>
        </is>
      </c>
      <c r="B290" s="156" t="inlineStr">
        <is>
          <t>MAH</t>
        </is>
      </c>
    </row>
    <row r="291">
      <c r="A291" s="156" t="inlineStr">
        <is>
          <t>Maisie Wilen</t>
        </is>
      </c>
      <c r="B291" s="156" t="inlineStr">
        <is>
          <t>MWI</t>
        </is>
      </c>
    </row>
    <row r="292">
      <c r="A292" s="156" t="inlineStr">
        <is>
          <t>MAISON D`ETTO</t>
        </is>
      </c>
      <c r="B292" s="156" t="inlineStr">
        <is>
          <t>MDE</t>
        </is>
      </c>
    </row>
    <row r="293">
      <c r="A293" s="156" t="inlineStr">
        <is>
          <t>MalinGoetz</t>
        </is>
      </c>
      <c r="B293" s="156" t="inlineStr">
        <is>
          <t>MLG</t>
        </is>
      </c>
    </row>
    <row r="294">
      <c r="A294" s="156" t="inlineStr">
        <is>
          <t>Maor</t>
        </is>
      </c>
      <c r="B294" s="156" t="inlineStr">
        <is>
          <t>MAO</t>
        </is>
      </c>
    </row>
    <row r="295">
      <c r="A295" s="156" t="inlineStr">
        <is>
          <t>Margesherwood</t>
        </is>
      </c>
      <c r="B295" s="156" t="inlineStr">
        <is>
          <t>MSH</t>
        </is>
      </c>
    </row>
    <row r="296">
      <c r="A296" s="156" t="inlineStr">
        <is>
          <t>Margiela</t>
        </is>
      </c>
      <c r="B296" s="156" t="inlineStr">
        <is>
          <t>MMM</t>
        </is>
      </c>
    </row>
    <row r="297">
      <c r="A297" s="156" t="inlineStr">
        <is>
          <t>Margiela Replica</t>
        </is>
      </c>
      <c r="B297" s="156" t="inlineStr">
        <is>
          <t>MMR</t>
        </is>
      </c>
    </row>
    <row r="298">
      <c r="A298" s="156" t="inlineStr">
        <is>
          <t>MARGIN</t>
        </is>
      </c>
      <c r="B298" s="156" t="inlineStr">
        <is>
          <t>MRG</t>
        </is>
      </c>
    </row>
    <row r="299">
      <c r="A299" s="156" t="inlineStr">
        <is>
          <t>Marine Serre</t>
        </is>
      </c>
      <c r="B299" s="156" t="inlineStr">
        <is>
          <t>MSE</t>
        </is>
      </c>
    </row>
    <row r="300">
      <c r="A300" s="156" t="inlineStr">
        <is>
          <t>Marmot</t>
        </is>
      </c>
      <c r="B300" s="156" t="inlineStr">
        <is>
          <t>MRM</t>
        </is>
      </c>
    </row>
    <row r="301">
      <c r="A301" s="156" t="inlineStr">
        <is>
          <t>Marni</t>
        </is>
      </c>
      <c r="B301" s="156" t="inlineStr">
        <is>
          <t>MRN</t>
        </is>
      </c>
    </row>
    <row r="302">
      <c r="A302" s="156" t="inlineStr">
        <is>
          <t>Marshall</t>
        </is>
      </c>
      <c r="B302" s="156" t="inlineStr">
        <is>
          <t>MAR</t>
        </is>
      </c>
    </row>
    <row r="303">
      <c r="A303" s="156" t="inlineStr">
        <is>
          <t>Marshall Columbia</t>
        </is>
      </c>
      <c r="B303" s="156" t="inlineStr">
        <is>
          <t>MRC</t>
        </is>
      </c>
    </row>
    <row r="304">
      <c r="A304" s="156" t="inlineStr">
        <is>
          <t>Martine Ali</t>
        </is>
      </c>
      <c r="B304" s="156" t="inlineStr">
        <is>
          <t>MTA</t>
        </is>
      </c>
    </row>
    <row r="305">
      <c r="A305" s="156" t="inlineStr">
        <is>
          <t>Martine Rose</t>
        </is>
      </c>
      <c r="B305" s="156" t="inlineStr">
        <is>
          <t>MTR</t>
        </is>
      </c>
    </row>
    <row r="306">
      <c r="A306" s="156" t="inlineStr">
        <is>
          <t>Massimo Alba</t>
        </is>
      </c>
      <c r="B306" s="156" t="inlineStr">
        <is>
          <t>MSA</t>
        </is>
      </c>
    </row>
    <row r="307">
      <c r="A307" s="156" t="inlineStr">
        <is>
          <t>Master &amp; Dynamic</t>
        </is>
      </c>
      <c r="B307" s="156" t="inlineStr">
        <is>
          <t>MSD</t>
        </is>
      </c>
    </row>
    <row r="308">
      <c r="A308" s="156" t="inlineStr">
        <is>
          <t>Mastermind</t>
        </is>
      </c>
      <c r="B308" s="156" t="inlineStr">
        <is>
          <t>MSM</t>
        </is>
      </c>
    </row>
    <row r="309">
      <c r="A309" s="156" t="inlineStr">
        <is>
          <t>Mattel</t>
        </is>
      </c>
      <c r="B309" s="156" t="inlineStr">
        <is>
          <t>MAT</t>
        </is>
      </c>
    </row>
    <row r="310">
      <c r="A310" s="156" t="inlineStr">
        <is>
          <t>MATTHEW BAIN CO.</t>
        </is>
      </c>
      <c r="B310" s="156" t="inlineStr">
        <is>
          <t>MBC</t>
        </is>
      </c>
    </row>
    <row r="311">
      <c r="A311" s="156" t="inlineStr">
        <is>
          <t>Medicom Toy</t>
        </is>
      </c>
      <c r="B311" s="156" t="inlineStr">
        <is>
          <t>MED</t>
        </is>
      </c>
    </row>
    <row r="312">
      <c r="A312" s="156" t="inlineStr">
        <is>
          <t>Melissa</t>
        </is>
      </c>
      <c r="B312" s="156" t="inlineStr">
        <is>
          <t>MEL</t>
        </is>
      </c>
    </row>
    <row r="313">
      <c r="A313" s="156" t="inlineStr">
        <is>
          <t>Melissa Simone</t>
        </is>
      </c>
      <c r="B313" s="156" t="inlineStr">
        <is>
          <t>MLS</t>
        </is>
      </c>
    </row>
    <row r="314">
      <c r="A314" s="156" t="inlineStr">
        <is>
          <t>Mephisto</t>
        </is>
      </c>
      <c r="B314" s="156" t="inlineStr">
        <is>
          <t>MEP</t>
        </is>
      </c>
    </row>
    <row r="315">
      <c r="A315" s="156" t="inlineStr">
        <is>
          <t>Merrell</t>
        </is>
      </c>
      <c r="B315" s="156" t="inlineStr">
        <is>
          <t>MER</t>
        </is>
      </c>
    </row>
    <row r="316">
      <c r="A316" s="156" t="inlineStr">
        <is>
          <t>METALWOOD</t>
        </is>
      </c>
      <c r="B316" s="156" t="inlineStr">
        <is>
          <t>MTW</t>
        </is>
      </c>
    </row>
    <row r="317">
      <c r="A317" s="156" t="inlineStr">
        <is>
          <t>Miaou</t>
        </is>
      </c>
      <c r="B317" s="156" t="inlineStr">
        <is>
          <t>MIA</t>
        </is>
      </c>
    </row>
    <row r="318">
      <c r="A318" s="156" t="inlineStr">
        <is>
          <t>Mighty Jaxx</t>
        </is>
      </c>
      <c r="B318" s="156" t="inlineStr">
        <is>
          <t>MIG</t>
        </is>
      </c>
    </row>
    <row r="319">
      <c r="A319" s="156" t="inlineStr">
        <is>
          <t>Mihara Yasuhiro</t>
        </is>
      </c>
      <c r="B319" s="156" t="inlineStr">
        <is>
          <t>MIH</t>
        </is>
      </c>
    </row>
    <row r="320">
      <c r="A320" s="156" t="inlineStr">
        <is>
          <t>Miista</t>
        </is>
      </c>
      <c r="B320" s="156" t="inlineStr">
        <is>
          <t>MII</t>
        </is>
      </c>
    </row>
    <row r="321">
      <c r="A321" s="156" t="inlineStr">
        <is>
          <t>Mikoh</t>
        </is>
      </c>
      <c r="B321" s="156" t="inlineStr">
        <is>
          <t>MIK</t>
        </is>
      </c>
    </row>
    <row r="322">
      <c r="A322" s="156" t="inlineStr">
        <is>
          <t>MINDS Paris</t>
        </is>
      </c>
      <c r="B322" s="156" t="inlineStr">
        <is>
          <t>MIP</t>
        </is>
      </c>
    </row>
    <row r="323">
      <c r="A323" s="156" t="inlineStr">
        <is>
          <t>Minichamps GmbH &amp; Co</t>
        </is>
      </c>
      <c r="B323" s="156" t="inlineStr">
        <is>
          <t>MCG</t>
        </is>
      </c>
    </row>
    <row r="324">
      <c r="A324" s="156" t="inlineStr">
        <is>
          <t>MISBHV</t>
        </is>
      </c>
      <c r="B324" s="156" t="inlineStr">
        <is>
          <t>MBH</t>
        </is>
      </c>
    </row>
    <row r="325">
      <c r="A325" s="156" t="inlineStr">
        <is>
          <t>Missoni</t>
        </is>
      </c>
      <c r="B325" s="156" t="inlineStr">
        <is>
          <t>MIS</t>
        </is>
      </c>
    </row>
    <row r="326">
      <c r="A326" s="156" t="inlineStr">
        <is>
          <t>MitchellNess</t>
        </is>
      </c>
      <c r="B326" s="156" t="inlineStr">
        <is>
          <t>MHN</t>
        </is>
      </c>
    </row>
    <row r="327">
      <c r="A327" s="156" t="inlineStr">
        <is>
          <t>Mizuno</t>
        </is>
      </c>
      <c r="B327" s="156" t="inlineStr">
        <is>
          <t>MIZ</t>
        </is>
      </c>
    </row>
    <row r="328">
      <c r="A328" s="156" t="inlineStr">
        <is>
          <t>MM6</t>
        </is>
      </c>
      <c r="B328" s="156" t="inlineStr">
        <is>
          <t>MM6</t>
        </is>
      </c>
    </row>
    <row r="329">
      <c r="A329" s="156" t="inlineStr">
        <is>
          <t>Modernica</t>
        </is>
      </c>
      <c r="B329" s="156" t="inlineStr">
        <is>
          <t>MOD</t>
        </is>
      </c>
    </row>
    <row r="330">
      <c r="A330" s="156" t="inlineStr">
        <is>
          <t>MOLO</t>
        </is>
      </c>
      <c r="B330" s="156" t="inlineStr">
        <is>
          <t>MLO</t>
        </is>
      </c>
    </row>
    <row r="331">
      <c r="A331" s="156" t="inlineStr">
        <is>
          <t>Moncler</t>
        </is>
      </c>
      <c r="B331" s="156" t="inlineStr">
        <is>
          <t>MCL</t>
        </is>
      </c>
    </row>
    <row r="332">
      <c r="A332" s="156" t="inlineStr">
        <is>
          <t>Monitaly</t>
        </is>
      </c>
      <c r="B332" s="156" t="inlineStr">
        <is>
          <t>MTL</t>
        </is>
      </c>
    </row>
    <row r="333">
      <c r="A333" s="156" t="inlineStr">
        <is>
          <t>Monogram Paris</t>
        </is>
      </c>
      <c r="B333" s="156" t="inlineStr">
        <is>
          <t>MNP</t>
        </is>
      </c>
    </row>
    <row r="334">
      <c r="A334" s="156" t="inlineStr">
        <is>
          <t>Moon Boot</t>
        </is>
      </c>
      <c r="B334" s="156" t="inlineStr">
        <is>
          <t>MOB</t>
        </is>
      </c>
    </row>
    <row r="335">
      <c r="A335" s="156" t="inlineStr">
        <is>
          <t>Mordecai</t>
        </is>
      </c>
      <c r="B335" s="156" t="inlineStr">
        <is>
          <t>MRD</t>
        </is>
      </c>
    </row>
    <row r="336">
      <c r="A336" s="156" t="inlineStr">
        <is>
          <t>MSCHF</t>
        </is>
      </c>
      <c r="B336" s="156" t="inlineStr">
        <is>
          <t>MSF</t>
        </is>
      </c>
    </row>
    <row r="337">
      <c r="A337" s="156" t="inlineStr">
        <is>
          <t>Mudpuppy</t>
        </is>
      </c>
      <c r="B337" s="156" t="inlineStr">
        <is>
          <t>MDP</t>
        </is>
      </c>
    </row>
    <row r="338">
      <c r="A338" s="156" t="inlineStr">
        <is>
          <t>Mugler</t>
        </is>
      </c>
      <c r="B338" s="156" t="inlineStr">
        <is>
          <t>MGL</t>
        </is>
      </c>
    </row>
    <row r="339">
      <c r="A339" s="156" t="inlineStr">
        <is>
          <t>Mushie</t>
        </is>
      </c>
      <c r="B339" s="156" t="inlineStr">
        <is>
          <t>MUS</t>
        </is>
      </c>
    </row>
    <row r="340">
      <c r="A340" s="156" t="inlineStr">
        <is>
          <t>NAHMIAS</t>
        </is>
      </c>
      <c r="B340" s="156" t="inlineStr">
        <is>
          <t>NHM</t>
        </is>
      </c>
    </row>
    <row r="341">
      <c r="A341" s="156" t="inlineStr">
        <is>
          <t>Napapijri</t>
        </is>
      </c>
      <c r="B341" s="156" t="inlineStr">
        <is>
          <t>NAP</t>
        </is>
      </c>
    </row>
    <row r="342">
      <c r="A342" s="156" t="inlineStr">
        <is>
          <t>Naranja Furcado</t>
        </is>
      </c>
      <c r="B342" s="156" t="inlineStr">
        <is>
          <t>NRF</t>
        </is>
      </c>
    </row>
    <row r="343">
      <c r="A343" s="156" t="inlineStr">
        <is>
          <t>Needles</t>
        </is>
      </c>
      <c r="B343" s="156" t="inlineStr">
        <is>
          <t>NEE</t>
        </is>
      </c>
    </row>
    <row r="344">
      <c r="A344" s="156" t="inlineStr">
        <is>
          <t>Neighborhood</t>
        </is>
      </c>
      <c r="B344" s="156" t="inlineStr">
        <is>
          <t>NEI</t>
        </is>
      </c>
    </row>
    <row r="345">
      <c r="A345" s="156" t="inlineStr">
        <is>
          <t>Nensi Dojaka</t>
        </is>
      </c>
      <c r="B345" s="156" t="inlineStr">
        <is>
          <t>NEN</t>
        </is>
      </c>
    </row>
    <row r="346">
      <c r="A346" s="156" t="inlineStr">
        <is>
          <t>Netta</t>
        </is>
      </c>
      <c r="B346" s="156" t="inlineStr">
        <is>
          <t>NTA</t>
        </is>
      </c>
    </row>
    <row r="347">
      <c r="A347" s="156" t="inlineStr">
        <is>
          <t>NEW BALANCE</t>
        </is>
      </c>
      <c r="B347" s="156" t="inlineStr">
        <is>
          <t>NWB</t>
        </is>
      </c>
    </row>
    <row r="348">
      <c r="A348" s="156" t="inlineStr">
        <is>
          <t>New Era</t>
        </is>
      </c>
      <c r="B348" s="156" t="inlineStr">
        <is>
          <t>NWE</t>
        </is>
      </c>
    </row>
    <row r="349">
      <c r="A349" s="156" t="inlineStr">
        <is>
          <t>NICENESS</t>
        </is>
      </c>
      <c r="B349" s="156" t="inlineStr">
        <is>
          <t>NCN</t>
        </is>
      </c>
    </row>
    <row r="350">
      <c r="A350" s="156" t="inlineStr">
        <is>
          <t>Niceness</t>
        </is>
      </c>
      <c r="B350" s="156" t="inlineStr">
        <is>
          <t>NCS</t>
        </is>
      </c>
    </row>
    <row r="351">
      <c r="A351" s="156" t="inlineStr">
        <is>
          <t>Nicholas Daley</t>
        </is>
      </c>
      <c r="B351" s="156" t="inlineStr">
        <is>
          <t>NCD</t>
        </is>
      </c>
    </row>
    <row r="352">
      <c r="A352" s="156" t="inlineStr">
        <is>
          <t>Nicholas Daley</t>
        </is>
      </c>
      <c r="B352" s="156" t="inlineStr">
        <is>
          <t>NID</t>
        </is>
      </c>
    </row>
    <row r="353">
      <c r="A353" s="156" t="inlineStr">
        <is>
          <t>Nike</t>
        </is>
      </c>
      <c r="B353" s="156" t="inlineStr">
        <is>
          <t>NIK</t>
        </is>
      </c>
    </row>
    <row r="354">
      <c r="A354" s="156" t="inlineStr">
        <is>
          <t>Nodaleto</t>
        </is>
      </c>
      <c r="B354" s="156" t="inlineStr">
        <is>
          <t>NLT</t>
        </is>
      </c>
    </row>
    <row r="355">
      <c r="A355" s="156" t="inlineStr">
        <is>
          <t>NONFICTION</t>
        </is>
      </c>
      <c r="B355" s="156" t="inlineStr">
        <is>
          <t>NON</t>
        </is>
      </c>
    </row>
    <row r="356">
      <c r="A356" s="156" t="inlineStr">
        <is>
          <t>Noodoll</t>
        </is>
      </c>
      <c r="B356" s="156" t="inlineStr">
        <is>
          <t>NOO</t>
        </is>
      </c>
    </row>
    <row r="357">
      <c r="A357" s="156" t="inlineStr">
        <is>
          <t>Noongoons</t>
        </is>
      </c>
      <c r="B357" s="156" t="inlineStr">
        <is>
          <t>NGN</t>
        </is>
      </c>
    </row>
    <row r="358">
      <c r="A358" s="156" t="inlineStr">
        <is>
          <t>Nora Lozza</t>
        </is>
      </c>
      <c r="B358" s="156" t="inlineStr">
        <is>
          <t>NRL</t>
        </is>
      </c>
    </row>
    <row r="359">
      <c r="A359" s="156" t="inlineStr">
        <is>
          <t>Norda</t>
        </is>
      </c>
      <c r="B359" s="156" t="inlineStr">
        <is>
          <t>NRD</t>
        </is>
      </c>
    </row>
    <row r="360">
      <c r="A360" s="156" t="inlineStr">
        <is>
          <t>Norma Kamali</t>
        </is>
      </c>
      <c r="B360" s="156" t="inlineStr">
        <is>
          <t>NKA</t>
        </is>
      </c>
    </row>
    <row r="361">
      <c r="A361" s="156" t="inlineStr">
        <is>
          <t>Nothing</t>
        </is>
      </c>
      <c r="B361" s="156" t="inlineStr">
        <is>
          <t>NOT</t>
        </is>
      </c>
    </row>
    <row r="362">
      <c r="A362" s="156" t="inlineStr">
        <is>
          <t>Notte</t>
        </is>
      </c>
      <c r="B362" s="156" t="inlineStr">
        <is>
          <t>NTE</t>
        </is>
      </c>
    </row>
    <row r="363">
      <c r="A363" s="156" t="inlineStr">
        <is>
          <t>NRGY</t>
        </is>
      </c>
      <c r="B363" s="156" t="inlineStr">
        <is>
          <t>NRG</t>
        </is>
      </c>
    </row>
    <row r="364">
      <c r="A364" s="156" t="inlineStr">
        <is>
          <t>Oakley</t>
        </is>
      </c>
      <c r="B364" s="156" t="inlineStr">
        <is>
          <t>OAK</t>
        </is>
      </c>
    </row>
    <row r="365">
      <c r="A365" s="156" t="inlineStr">
        <is>
          <t>Off-White</t>
        </is>
      </c>
      <c r="B365" s="156" t="inlineStr">
        <is>
          <t>OFF</t>
        </is>
      </c>
    </row>
    <row r="366">
      <c r="A366" s="156" t="inlineStr">
        <is>
          <t>Ohana Hatake</t>
        </is>
      </c>
      <c r="B366" s="156" t="inlineStr">
        <is>
          <t>OHA</t>
        </is>
      </c>
    </row>
    <row r="367">
      <c r="A367" s="156" t="inlineStr">
        <is>
          <t>On Running</t>
        </is>
      </c>
      <c r="B367" s="156" t="inlineStr">
        <is>
          <t>ONR</t>
        </is>
      </c>
    </row>
    <row r="368">
      <c r="A368" s="156" t="inlineStr">
        <is>
          <t>One Nation</t>
        </is>
      </c>
      <c r="B368" s="156" t="inlineStr">
        <is>
          <t>ONE</t>
        </is>
      </c>
    </row>
    <row r="369">
      <c r="A369" s="156" t="inlineStr">
        <is>
          <t>Onitsuka Tiger</t>
        </is>
      </c>
      <c r="B369" s="156" t="inlineStr">
        <is>
          <t>ONT</t>
        </is>
      </c>
    </row>
    <row r="370">
      <c r="A370" s="156" t="inlineStr">
        <is>
          <t>Orlebar Brown</t>
        </is>
      </c>
      <c r="B370" s="156" t="inlineStr">
        <is>
          <t>ORL</t>
        </is>
      </c>
    </row>
    <row r="371">
      <c r="A371" s="156" t="inlineStr">
        <is>
          <t>ORSLOW</t>
        </is>
      </c>
      <c r="B371" s="156" t="inlineStr">
        <is>
          <t>ORS</t>
        </is>
      </c>
    </row>
    <row r="372">
      <c r="A372" s="156" t="inlineStr">
        <is>
          <t>ORU KAYAK</t>
        </is>
      </c>
      <c r="B372" s="156" t="inlineStr">
        <is>
          <t>ORU</t>
        </is>
      </c>
    </row>
    <row r="373">
      <c r="A373" s="156" t="inlineStr">
        <is>
          <t>Oseree</t>
        </is>
      </c>
      <c r="B373" s="156" t="inlineStr">
        <is>
          <t>OSE</t>
        </is>
      </c>
    </row>
    <row r="374">
      <c r="A374" s="156" t="inlineStr">
        <is>
          <t>Osoi</t>
        </is>
      </c>
      <c r="B374" s="156" t="inlineStr">
        <is>
          <t>OSO</t>
        </is>
      </c>
    </row>
    <row r="375">
      <c r="A375" s="156" t="inlineStr">
        <is>
          <t>Ostrya</t>
        </is>
      </c>
      <c r="B375" s="156" t="inlineStr">
        <is>
          <t>OST</t>
        </is>
      </c>
    </row>
    <row r="376">
      <c r="A376" s="156" t="inlineStr">
        <is>
          <t>Ottolinger</t>
        </is>
      </c>
      <c r="B376" s="156" t="inlineStr">
        <is>
          <t>OTT</t>
        </is>
      </c>
    </row>
    <row r="377">
      <c r="A377" s="156" t="inlineStr">
        <is>
          <t>Our Legacy</t>
        </is>
      </c>
      <c r="B377" s="156" t="inlineStr">
        <is>
          <t>OUR</t>
        </is>
      </c>
    </row>
    <row r="378">
      <c r="A378" s="156" t="inlineStr">
        <is>
          <t>P.E Nation</t>
        </is>
      </c>
      <c r="B378" s="156" t="inlineStr">
        <is>
          <t>PEN</t>
        </is>
      </c>
    </row>
    <row r="379">
      <c r="A379" s="156" t="inlineStr">
        <is>
          <t>Palm Angels</t>
        </is>
      </c>
      <c r="B379" s="156" t="inlineStr">
        <is>
          <t>PAL</t>
        </is>
      </c>
    </row>
    <row r="380">
      <c r="A380" s="156" t="inlineStr">
        <is>
          <t>Paraboot</t>
        </is>
      </c>
      <c r="B380" s="156" t="inlineStr">
        <is>
          <t>PRB</t>
        </is>
      </c>
    </row>
    <row r="381">
      <c r="A381" s="156" t="inlineStr">
        <is>
          <t>Parachute</t>
        </is>
      </c>
      <c r="B381" s="156" t="inlineStr">
        <is>
          <t>PCH</t>
        </is>
      </c>
    </row>
    <row r="382">
      <c r="A382" s="156" t="inlineStr">
        <is>
          <t>Parchie Pal</t>
        </is>
      </c>
      <c r="B382" s="156" t="inlineStr">
        <is>
          <t>PRP</t>
        </is>
      </c>
    </row>
    <row r="383">
      <c r="A383" s="156" t="inlineStr">
        <is>
          <t>Paris Texas</t>
        </is>
      </c>
      <c r="B383" s="156" t="inlineStr">
        <is>
          <t>PRT</t>
        </is>
      </c>
    </row>
    <row r="384">
      <c r="A384" s="156" t="inlineStr">
        <is>
          <t>Parra</t>
        </is>
      </c>
      <c r="B384" s="156" t="inlineStr">
        <is>
          <t>PAR</t>
        </is>
      </c>
    </row>
    <row r="385">
      <c r="A385" s="156" t="inlineStr">
        <is>
          <t>Peachy Den</t>
        </is>
      </c>
      <c r="B385" s="156" t="inlineStr">
        <is>
          <t>PEA</t>
        </is>
      </c>
    </row>
    <row r="386">
      <c r="A386" s="156" t="inlineStr">
        <is>
          <t>PERFUMER H</t>
        </is>
      </c>
      <c r="B386" s="156" t="inlineStr">
        <is>
          <t>PFH</t>
        </is>
      </c>
    </row>
    <row r="387">
      <c r="A387" s="156" t="inlineStr">
        <is>
          <t>PHAIDON</t>
        </is>
      </c>
      <c r="B387" s="156" t="inlineStr">
        <is>
          <t>PHA</t>
        </is>
      </c>
    </row>
    <row r="388">
      <c r="A388" s="156" t="inlineStr">
        <is>
          <t>Phileo</t>
        </is>
      </c>
      <c r="B388" s="156" t="inlineStr">
        <is>
          <t>PHI</t>
        </is>
      </c>
    </row>
    <row r="389">
      <c r="A389" s="156" t="inlineStr">
        <is>
          <t>PiccoliNY</t>
        </is>
      </c>
      <c r="B389" s="156" t="inlineStr">
        <is>
          <t>PIC</t>
        </is>
      </c>
    </row>
    <row r="390">
      <c r="A390" s="156" t="inlineStr">
        <is>
          <t>Pinel &amp; Pinel</t>
        </is>
      </c>
      <c r="B390" s="156" t="inlineStr">
        <is>
          <t>PIP</t>
        </is>
      </c>
    </row>
    <row r="391">
      <c r="A391" s="156" t="inlineStr">
        <is>
          <t>PLACES AND SPACES</t>
        </is>
      </c>
      <c r="B391" s="156" t="inlineStr">
        <is>
          <t>PAS</t>
        </is>
      </c>
    </row>
    <row r="392">
      <c r="A392" s="156" t="inlineStr">
        <is>
          <t>Polaroid</t>
        </is>
      </c>
      <c r="B392" s="156" t="inlineStr">
        <is>
          <t>POL</t>
        </is>
      </c>
    </row>
    <row r="393">
      <c r="A393" s="156" t="inlineStr">
        <is>
          <t>Poppy Lissiman</t>
        </is>
      </c>
      <c r="B393" s="156" t="inlineStr">
        <is>
          <t>POP</t>
        </is>
      </c>
    </row>
    <row r="394">
      <c r="A394" s="156" t="inlineStr">
        <is>
          <t>Port Tanger</t>
        </is>
      </c>
      <c r="B394" s="156" t="inlineStr">
        <is>
          <t>POR</t>
        </is>
      </c>
    </row>
    <row r="395">
      <c r="A395" s="156" t="inlineStr">
        <is>
          <t>Porter</t>
        </is>
      </c>
      <c r="B395" s="156" t="inlineStr">
        <is>
          <t>PTR</t>
        </is>
      </c>
    </row>
    <row r="396">
      <c r="A396" s="156" t="inlineStr">
        <is>
          <t>Precious Dreams</t>
        </is>
      </c>
      <c r="B396" s="156" t="inlineStr">
        <is>
          <t>PRE</t>
        </is>
      </c>
    </row>
    <row r="397">
      <c r="A397" s="156" t="inlineStr">
        <is>
          <t>Princeton Press</t>
        </is>
      </c>
      <c r="B397" s="156" t="inlineStr">
        <is>
          <t>PRI</t>
        </is>
      </c>
    </row>
    <row r="398">
      <c r="A398" s="156" t="inlineStr">
        <is>
          <t>PRM</t>
        </is>
      </c>
      <c r="B398" s="156" t="inlineStr">
        <is>
          <t>PRM</t>
        </is>
      </c>
    </row>
    <row r="399">
      <c r="A399" s="156" t="inlineStr">
        <is>
          <t>Prodism</t>
        </is>
      </c>
      <c r="B399" s="156" t="inlineStr">
        <is>
          <t>PRO</t>
        </is>
      </c>
    </row>
    <row r="400">
      <c r="A400" s="156" t="inlineStr">
        <is>
          <t>Proenza Schouler</t>
        </is>
      </c>
      <c r="B400" s="156" t="inlineStr">
        <is>
          <t>PRS</t>
        </is>
      </c>
    </row>
    <row r="401">
      <c r="A401" s="156" t="inlineStr">
        <is>
          <t>Proleta Re Art</t>
        </is>
      </c>
      <c r="B401" s="156" t="inlineStr">
        <is>
          <t>PRA</t>
        </is>
      </c>
    </row>
    <row r="402">
      <c r="A402" s="156" t="inlineStr">
        <is>
          <t>Published By</t>
        </is>
      </c>
      <c r="B402" s="156" t="inlineStr">
        <is>
          <t>PUB</t>
        </is>
      </c>
    </row>
    <row r="403">
      <c r="A403" s="156" t="inlineStr">
        <is>
          <t>Puma</t>
        </is>
      </c>
      <c r="B403" s="156" t="inlineStr">
        <is>
          <t>PUM</t>
        </is>
      </c>
    </row>
    <row r="404">
      <c r="A404" s="156" t="inlineStr">
        <is>
          <t>Quarto Books</t>
        </is>
      </c>
      <c r="B404" s="156" t="inlineStr">
        <is>
          <t>QUA</t>
        </is>
      </c>
    </row>
    <row r="405">
      <c r="A405" s="156" t="inlineStr">
        <is>
          <t>R13</t>
        </is>
      </c>
      <c r="B405" s="156" t="inlineStr">
        <is>
          <t>R13</t>
        </is>
      </c>
    </row>
    <row r="406">
      <c r="A406" s="156" t="inlineStr">
        <is>
          <t>Racemark</t>
        </is>
      </c>
      <c r="B406" s="156" t="inlineStr">
        <is>
          <t>RAM</t>
        </is>
      </c>
    </row>
    <row r="407">
      <c r="A407" s="156" t="inlineStr">
        <is>
          <t>Rains</t>
        </is>
      </c>
      <c r="B407" s="156" t="inlineStr">
        <is>
          <t>RAN</t>
        </is>
      </c>
    </row>
    <row r="408">
      <c r="A408" s="156" t="inlineStr">
        <is>
          <t>Ray Ban</t>
        </is>
      </c>
      <c r="B408" s="156" t="inlineStr">
        <is>
          <t>RBN</t>
        </is>
      </c>
    </row>
    <row r="409">
      <c r="A409" s="156" t="inlineStr">
        <is>
          <t>ReDone</t>
        </is>
      </c>
      <c r="B409" s="156" t="inlineStr">
        <is>
          <t>RED</t>
        </is>
      </c>
    </row>
    <row r="410">
      <c r="A410" s="156" t="inlineStr">
        <is>
          <t>Reebok</t>
        </is>
      </c>
      <c r="B410" s="156" t="inlineStr">
        <is>
          <t>REE</t>
        </is>
      </c>
    </row>
    <row r="411">
      <c r="A411" s="156" t="inlineStr">
        <is>
          <t>Reina Olga</t>
        </is>
      </c>
      <c r="B411" s="156" t="inlineStr">
        <is>
          <t>REI</t>
        </is>
      </c>
    </row>
    <row r="412">
      <c r="A412" s="156" t="inlineStr">
        <is>
          <t>Retrofete</t>
        </is>
      </c>
      <c r="B412" s="156" t="inlineStr">
        <is>
          <t>RTF</t>
        </is>
      </c>
    </row>
    <row r="413">
      <c r="A413" s="156" t="inlineStr">
        <is>
          <t>RETROSUPERFUTURE</t>
        </is>
      </c>
      <c r="B413" s="156" t="inlineStr">
        <is>
          <t>RSP</t>
        </is>
      </c>
    </row>
    <row r="414">
      <c r="A414" s="156" t="inlineStr">
        <is>
          <t>Revo</t>
        </is>
      </c>
      <c r="B414" s="156" t="inlineStr">
        <is>
          <t>REV</t>
        </is>
      </c>
    </row>
    <row r="415">
      <c r="A415" s="156" t="inlineStr">
        <is>
          <t>Rhude</t>
        </is>
      </c>
      <c r="B415" s="156" t="inlineStr">
        <is>
          <t>RHU</t>
        </is>
      </c>
    </row>
    <row r="416">
      <c r="A416" s="156" t="inlineStr">
        <is>
          <t>Rick Owens</t>
        </is>
      </c>
      <c r="B416" s="156" t="inlineStr">
        <is>
          <t>RIC</t>
        </is>
      </c>
    </row>
    <row r="417">
      <c r="A417" s="156" t="inlineStr">
        <is>
          <t>RIDDELL</t>
        </is>
      </c>
      <c r="B417" s="156" t="inlineStr">
        <is>
          <t>RID</t>
        </is>
      </c>
    </row>
    <row r="418">
      <c r="A418" s="156" t="inlineStr">
        <is>
          <t>Riot Swim</t>
        </is>
      </c>
      <c r="B418" s="156" t="inlineStr">
        <is>
          <t>RIO</t>
        </is>
      </c>
    </row>
    <row r="419">
      <c r="A419" s="156" t="inlineStr">
        <is>
          <t>ripple home</t>
        </is>
      </c>
      <c r="B419" s="156" t="inlineStr">
        <is>
          <t>RPH</t>
        </is>
      </c>
    </row>
    <row r="420">
      <c r="A420" s="156" t="inlineStr">
        <is>
          <t>Rira Objects</t>
        </is>
      </c>
      <c r="B420" s="156" t="inlineStr">
        <is>
          <t>RIR</t>
        </is>
      </c>
    </row>
    <row r="421">
      <c r="A421" s="156" t="inlineStr">
        <is>
          <t>RIZZOLI</t>
        </is>
      </c>
      <c r="B421" s="156" t="inlineStr">
        <is>
          <t>RIZ</t>
        </is>
      </c>
    </row>
    <row r="422">
      <c r="A422" s="156" t="inlineStr">
        <is>
          <t>ROA</t>
        </is>
      </c>
      <c r="B422" s="156" t="inlineStr">
        <is>
          <t>ROA</t>
        </is>
      </c>
    </row>
    <row r="423">
      <c r="A423" s="156" t="inlineStr">
        <is>
          <t>Ronny Kobo</t>
        </is>
      </c>
      <c r="B423" s="156" t="inlineStr">
        <is>
          <t>RON</t>
        </is>
      </c>
    </row>
    <row r="424">
      <c r="A424" s="156" t="inlineStr">
        <is>
          <t>RSF Marni</t>
        </is>
      </c>
      <c r="B424" s="156" t="inlineStr">
        <is>
          <t>RSF</t>
        </is>
      </c>
    </row>
    <row r="425">
      <c r="A425" s="156" t="inlineStr">
        <is>
          <t>Saint Laurent</t>
        </is>
      </c>
      <c r="B425" s="156" t="inlineStr">
        <is>
          <t>SAI</t>
        </is>
      </c>
    </row>
    <row r="426">
      <c r="A426" s="156" t="inlineStr">
        <is>
          <t>Salomon</t>
        </is>
      </c>
      <c r="B426" s="156" t="inlineStr">
        <is>
          <t>SAL</t>
        </is>
      </c>
    </row>
    <row r="427">
      <c r="A427" s="156" t="inlineStr">
        <is>
          <t>Sami Miro Vintage</t>
        </is>
      </c>
      <c r="B427" s="156" t="inlineStr">
        <is>
          <t>SAM</t>
        </is>
      </c>
    </row>
    <row r="428">
      <c r="A428" s="156" t="inlineStr">
        <is>
          <t>Sandy Liang</t>
        </is>
      </c>
      <c r="B428" s="156" t="inlineStr">
        <is>
          <t>SAN</t>
        </is>
      </c>
    </row>
    <row r="429">
      <c r="A429" s="156" t="inlineStr">
        <is>
          <t>Santlov</t>
        </is>
      </c>
      <c r="B429" s="156" t="inlineStr">
        <is>
          <t>STL</t>
        </is>
      </c>
    </row>
    <row r="430">
      <c r="A430" s="156" t="inlineStr">
        <is>
          <t>Satisfy</t>
        </is>
      </c>
      <c r="B430" s="156" t="inlineStr">
        <is>
          <t>STF</t>
        </is>
      </c>
    </row>
    <row r="431">
      <c r="A431" s="156" t="inlineStr">
        <is>
          <t>Saucony</t>
        </is>
      </c>
      <c r="B431" s="156" t="inlineStr">
        <is>
          <t>SAU</t>
        </is>
      </c>
    </row>
    <row r="432">
      <c r="A432" s="156" t="inlineStr">
        <is>
          <t>SEBAGO</t>
        </is>
      </c>
      <c r="B432" s="156" t="inlineStr">
        <is>
          <t>SEB</t>
        </is>
      </c>
    </row>
    <row r="433">
      <c r="A433" s="156" t="inlineStr">
        <is>
          <t>Second Skin</t>
        </is>
      </c>
      <c r="B433" s="156" t="inlineStr">
        <is>
          <t>SEC</t>
        </is>
      </c>
    </row>
    <row r="434">
      <c r="A434" s="156" t="inlineStr">
        <is>
          <t>Second/Layer</t>
        </is>
      </c>
      <c r="B434" s="156" t="inlineStr">
        <is>
          <t>SCL</t>
        </is>
      </c>
    </row>
    <row r="435">
      <c r="A435" s="156" t="inlineStr">
        <is>
          <t>Self Portrait</t>
        </is>
      </c>
      <c r="B435" s="156" t="inlineStr">
        <is>
          <t>SPO</t>
        </is>
      </c>
    </row>
    <row r="436">
      <c r="A436" s="156" t="inlineStr">
        <is>
          <t>Self-Portrait</t>
        </is>
      </c>
      <c r="B436" s="156" t="inlineStr">
        <is>
          <t>SEL</t>
        </is>
      </c>
    </row>
    <row r="437">
      <c r="A437" s="156" t="inlineStr">
        <is>
          <t>SHAREYOURLUCE</t>
        </is>
      </c>
      <c r="B437" s="156" t="inlineStr">
        <is>
          <t>SYL</t>
        </is>
      </c>
    </row>
    <row r="438">
      <c r="A438" s="156" t="inlineStr">
        <is>
          <t>Shashi</t>
        </is>
      </c>
      <c r="B438" s="156" t="inlineStr">
        <is>
          <t>SHA</t>
        </is>
      </c>
    </row>
    <row r="439">
      <c r="A439" s="156" t="inlineStr">
        <is>
          <t>Shoe Master</t>
        </is>
      </c>
      <c r="B439" s="156" t="inlineStr">
        <is>
          <t>SHO</t>
        </is>
      </c>
    </row>
    <row r="440">
      <c r="A440" s="156" t="inlineStr">
        <is>
          <t>Shoes Master</t>
        </is>
      </c>
      <c r="B440" s="156" t="inlineStr">
        <is>
          <t>SHM</t>
        </is>
      </c>
    </row>
    <row r="441">
      <c r="A441" s="156" t="inlineStr">
        <is>
          <t>Sidia</t>
        </is>
      </c>
      <c r="B441" s="156" t="inlineStr">
        <is>
          <t>SID</t>
        </is>
      </c>
    </row>
    <row r="442">
      <c r="A442" s="156" t="inlineStr">
        <is>
          <t>Siedres</t>
        </is>
      </c>
      <c r="B442" s="156" t="inlineStr">
        <is>
          <t>SIE</t>
        </is>
      </c>
    </row>
    <row r="443">
      <c r="A443" s="156" t="inlineStr">
        <is>
          <t>Simkhai</t>
        </is>
      </c>
      <c r="B443" s="156" t="inlineStr">
        <is>
          <t>SIM</t>
        </is>
      </c>
    </row>
    <row r="444">
      <c r="A444" s="156" t="inlineStr">
        <is>
          <t>Simon &amp; Schuster</t>
        </is>
      </c>
      <c r="B444" s="156" t="inlineStr">
        <is>
          <t>SSR</t>
        </is>
      </c>
    </row>
    <row r="445">
      <c r="A445" s="156" t="inlineStr">
        <is>
          <t>Simon Miller</t>
        </is>
      </c>
      <c r="B445" s="156" t="inlineStr">
        <is>
          <t>SMI</t>
        </is>
      </c>
    </row>
    <row r="446">
      <c r="A446" s="156" t="inlineStr">
        <is>
          <t>SIR.</t>
        </is>
      </c>
      <c r="B446" s="156" t="inlineStr">
        <is>
          <t>SIR</t>
        </is>
      </c>
    </row>
    <row r="447">
      <c r="A447" s="156" t="inlineStr">
        <is>
          <t>Sky High Farms</t>
        </is>
      </c>
      <c r="B447" s="156" t="inlineStr">
        <is>
          <t>SHF</t>
        </is>
      </c>
    </row>
    <row r="448">
      <c r="A448" s="156" t="inlineStr">
        <is>
          <t>Skyline Chess</t>
        </is>
      </c>
      <c r="B448" s="156" t="inlineStr">
        <is>
          <t>SKY</t>
        </is>
      </c>
    </row>
    <row r="449">
      <c r="A449" s="156" t="inlineStr">
        <is>
          <t>Slam Media</t>
        </is>
      </c>
      <c r="B449" s="156" t="inlineStr">
        <is>
          <t>SLA</t>
        </is>
      </c>
    </row>
    <row r="450">
      <c r="A450" s="156" t="inlineStr">
        <is>
          <t>Sneaker Law</t>
        </is>
      </c>
      <c r="B450" s="156" t="inlineStr">
        <is>
          <t>SNE</t>
        </is>
      </c>
    </row>
    <row r="451">
      <c r="A451" s="156" t="inlineStr">
        <is>
          <t>Solid &amp; Striped</t>
        </is>
      </c>
      <c r="B451" s="156" t="inlineStr">
        <is>
          <t>SOL</t>
        </is>
      </c>
    </row>
    <row r="452">
      <c r="A452" s="156" t="inlineStr">
        <is>
          <t>Solido</t>
        </is>
      </c>
      <c r="B452" s="156" t="inlineStr">
        <is>
          <t>SLD</t>
        </is>
      </c>
    </row>
    <row r="453">
      <c r="A453" s="156" t="inlineStr">
        <is>
          <t>SOSHIOTSUKI</t>
        </is>
      </c>
      <c r="B453" s="156" t="inlineStr">
        <is>
          <t>SSH</t>
        </is>
      </c>
    </row>
    <row r="454">
      <c r="A454" s="156" t="inlineStr">
        <is>
          <t xml:space="preserve">SOSHIOTSUKI </t>
        </is>
      </c>
      <c r="B454" s="156" t="inlineStr">
        <is>
          <t>SHT</t>
        </is>
      </c>
    </row>
    <row r="455">
      <c r="A455" s="156" t="inlineStr">
        <is>
          <t>South2 West8</t>
        </is>
      </c>
      <c r="B455" s="156" t="inlineStr">
        <is>
          <t>SOU</t>
        </is>
      </c>
    </row>
    <row r="456">
      <c r="A456" s="156" t="inlineStr">
        <is>
          <t>SPEKS</t>
        </is>
      </c>
      <c r="B456" s="156" t="inlineStr">
        <is>
          <t>SPK</t>
        </is>
      </c>
    </row>
    <row r="457">
      <c r="A457" s="156" t="inlineStr">
        <is>
          <t>Sperry</t>
        </is>
      </c>
      <c r="B457" s="156" t="inlineStr">
        <is>
          <t>SPE</t>
        </is>
      </c>
    </row>
    <row r="458">
      <c r="A458" s="156" t="inlineStr">
        <is>
          <t>Spinelli Kilcollin</t>
        </is>
      </c>
      <c r="B458" s="156" t="inlineStr">
        <is>
          <t>SPI</t>
        </is>
      </c>
    </row>
    <row r="459">
      <c r="A459" s="156" t="inlineStr">
        <is>
          <t>SSIL</t>
        </is>
      </c>
      <c r="B459" s="156" t="inlineStr">
        <is>
          <t>SIL</t>
        </is>
      </c>
    </row>
    <row r="460">
      <c r="A460" s="156" t="inlineStr">
        <is>
          <t>Stampd</t>
        </is>
      </c>
      <c r="B460" s="156" t="inlineStr">
        <is>
          <t>STA</t>
        </is>
      </c>
    </row>
    <row r="461">
      <c r="A461" s="156" t="inlineStr">
        <is>
          <t>Stance</t>
        </is>
      </c>
      <c r="B461" s="156" t="inlineStr">
        <is>
          <t>STN</t>
        </is>
      </c>
    </row>
    <row r="462">
      <c r="A462" s="156" t="inlineStr">
        <is>
          <t>Stand Studio</t>
        </is>
      </c>
      <c r="B462" s="156" t="inlineStr">
        <is>
          <t>STS</t>
        </is>
      </c>
    </row>
    <row r="463">
      <c r="A463" s="156" t="inlineStr">
        <is>
          <t>Staple &amp; Hue</t>
        </is>
      </c>
      <c r="B463" s="156" t="inlineStr">
        <is>
          <t>STH</t>
        </is>
      </c>
    </row>
    <row r="464">
      <c r="A464" s="156" t="inlineStr">
        <is>
          <t>Steamery</t>
        </is>
      </c>
      <c r="B464" s="156" t="inlineStr">
        <is>
          <t>STE</t>
        </is>
      </c>
    </row>
    <row r="465">
      <c r="A465" s="156" t="inlineStr">
        <is>
          <t>Stepney Workers Club</t>
        </is>
      </c>
      <c r="B465" s="156" t="inlineStr">
        <is>
          <t>SWC</t>
        </is>
      </c>
    </row>
    <row r="466">
      <c r="A466" s="156" t="inlineStr">
        <is>
          <t>Stone Island</t>
        </is>
      </c>
      <c r="B466" s="156" t="inlineStr">
        <is>
          <t>STO</t>
        </is>
      </c>
    </row>
    <row r="467">
      <c r="A467" s="156" t="inlineStr">
        <is>
          <t>Studio Amelia</t>
        </is>
      </c>
      <c r="B467" s="156" t="inlineStr">
        <is>
          <t>SME</t>
        </is>
      </c>
    </row>
    <row r="468">
      <c r="A468" s="156" t="inlineStr">
        <is>
          <t>Studio Darlin</t>
        </is>
      </c>
      <c r="B468" s="156" t="inlineStr">
        <is>
          <t>STD</t>
        </is>
      </c>
    </row>
    <row r="469">
      <c r="A469" s="156" t="inlineStr">
        <is>
          <t>Studio Nicholson</t>
        </is>
      </c>
      <c r="B469" s="156" t="inlineStr">
        <is>
          <t>SNL</t>
        </is>
      </c>
    </row>
    <row r="470">
      <c r="A470" s="156" t="inlineStr">
        <is>
          <t>Suicoke</t>
        </is>
      </c>
      <c r="B470" s="156" t="inlineStr">
        <is>
          <t>SUI</t>
        </is>
      </c>
    </row>
    <row r="471">
      <c r="A471" s="156" t="inlineStr">
        <is>
          <t>Sunflower</t>
        </is>
      </c>
      <c r="B471" s="156" t="inlineStr">
        <is>
          <t>SUN</t>
        </is>
      </c>
    </row>
    <row r="472">
      <c r="A472" s="156" t="inlineStr">
        <is>
          <t>Supergoop!</t>
        </is>
      </c>
      <c r="B472" s="156" t="inlineStr">
        <is>
          <t>SUP</t>
        </is>
      </c>
    </row>
    <row r="473">
      <c r="A473" s="156" t="inlineStr">
        <is>
          <t>Swarovski</t>
        </is>
      </c>
      <c r="B473" s="156" t="inlineStr">
        <is>
          <t>SWV</t>
        </is>
      </c>
    </row>
    <row r="474">
      <c r="A474" s="156" t="inlineStr">
        <is>
          <t>System Magazine</t>
        </is>
      </c>
      <c r="B474" s="156" t="inlineStr">
        <is>
          <t>SYM</t>
        </is>
      </c>
    </row>
    <row r="475">
      <c r="A475" s="156" t="inlineStr">
        <is>
          <t>T by Alexander Wang</t>
        </is>
      </c>
      <c r="B475" s="156" t="inlineStr">
        <is>
          <t>T B</t>
        </is>
      </c>
    </row>
    <row r="476">
      <c r="A476" s="156" t="inlineStr">
        <is>
          <t>Tabi</t>
        </is>
      </c>
      <c r="B476" s="156" t="inlineStr">
        <is>
          <t>TAB</t>
        </is>
      </c>
    </row>
    <row r="477">
      <c r="A477" s="156" t="inlineStr">
        <is>
          <t>Tae Park</t>
        </is>
      </c>
      <c r="B477" s="156" t="inlineStr">
        <is>
          <t>TAP</t>
        </is>
      </c>
    </row>
    <row r="478">
      <c r="A478" s="156" t="inlineStr">
        <is>
          <t>TAITH</t>
        </is>
      </c>
      <c r="B478" s="156" t="inlineStr">
        <is>
          <t>TAH</t>
        </is>
      </c>
    </row>
    <row r="479">
      <c r="A479" s="156" t="inlineStr">
        <is>
          <t>Talel</t>
        </is>
      </c>
      <c r="B479" s="156" t="inlineStr">
        <is>
          <t>TLL</t>
        </is>
      </c>
    </row>
    <row r="480">
      <c r="A480" s="156" t="inlineStr">
        <is>
          <t>TANAKA</t>
        </is>
      </c>
      <c r="B480" s="156" t="inlineStr">
        <is>
          <t>TNK</t>
        </is>
      </c>
    </row>
    <row r="481">
      <c r="A481" s="156" t="inlineStr">
        <is>
          <t>TANAKA</t>
        </is>
      </c>
      <c r="B481" s="156" t="inlineStr">
        <is>
          <t>TAN</t>
        </is>
      </c>
    </row>
    <row r="482">
      <c r="A482" s="156" t="inlineStr">
        <is>
          <t>TANKATA</t>
        </is>
      </c>
      <c r="B482" s="156" t="inlineStr">
        <is>
          <t>TKT</t>
        </is>
      </c>
    </row>
    <row r="483">
      <c r="A483" s="156" t="inlineStr">
        <is>
          <t>TASCHEN</t>
        </is>
      </c>
      <c r="B483" s="156" t="inlineStr">
        <is>
          <t>TAS</t>
        </is>
      </c>
    </row>
    <row r="484">
      <c r="A484" s="156" t="inlineStr">
        <is>
          <t>Taylormade</t>
        </is>
      </c>
      <c r="B484" s="156" t="inlineStr">
        <is>
          <t>TAY</t>
        </is>
      </c>
    </row>
    <row r="485">
      <c r="A485" s="156" t="inlineStr">
        <is>
          <t>TbyAlexanderWang</t>
        </is>
      </c>
      <c r="B485" s="156" t="inlineStr">
        <is>
          <t>TBA</t>
        </is>
      </c>
    </row>
    <row r="486">
      <c r="A486" s="156" t="inlineStr">
        <is>
          <t>Teatora</t>
        </is>
      </c>
      <c r="B486" s="156" t="inlineStr">
        <is>
          <t>TEA</t>
        </is>
      </c>
    </row>
    <row r="487">
      <c r="A487" s="156" t="inlineStr">
        <is>
          <t>Téjahn Burnett</t>
        </is>
      </c>
      <c r="B487" s="156" t="inlineStr">
        <is>
          <t>TBU</t>
        </is>
      </c>
    </row>
    <row r="488">
      <c r="A488" s="156" t="inlineStr">
        <is>
          <t>Tekla</t>
        </is>
      </c>
      <c r="B488" s="156" t="inlineStr">
        <is>
          <t>TEK</t>
        </is>
      </c>
    </row>
    <row r="489">
      <c r="A489" s="156" t="inlineStr">
        <is>
          <t>The Attico</t>
        </is>
      </c>
      <c r="B489" s="156" t="inlineStr">
        <is>
          <t>TAT</t>
        </is>
      </c>
    </row>
    <row r="490">
      <c r="A490" s="156" t="inlineStr">
        <is>
          <t>The Goat Series</t>
        </is>
      </c>
      <c r="B490" s="156" t="inlineStr">
        <is>
          <t>GOT</t>
        </is>
      </c>
    </row>
    <row r="491">
      <c r="A491" s="156" t="inlineStr">
        <is>
          <t>The Line by K</t>
        </is>
      </c>
      <c r="B491" s="156" t="inlineStr">
        <is>
          <t>TLK</t>
        </is>
      </c>
    </row>
    <row r="492">
      <c r="A492" s="156" t="inlineStr">
        <is>
          <t>The Local Love Club</t>
        </is>
      </c>
      <c r="B492" s="156" t="inlineStr">
        <is>
          <t>LLC</t>
        </is>
      </c>
    </row>
    <row r="493">
      <c r="A493" s="156" t="inlineStr">
        <is>
          <t>The Noble Collection</t>
        </is>
      </c>
      <c r="B493" s="156" t="inlineStr">
        <is>
          <t>TNC</t>
        </is>
      </c>
    </row>
    <row r="494">
      <c r="A494" s="156" t="inlineStr">
        <is>
          <t>The North Face</t>
        </is>
      </c>
      <c r="B494" s="156" t="inlineStr">
        <is>
          <t>TNF</t>
        </is>
      </c>
    </row>
    <row r="495">
      <c r="A495" s="156" t="inlineStr">
        <is>
          <t>The Row</t>
        </is>
      </c>
      <c r="B495" s="156" t="inlineStr">
        <is>
          <t>TRO</t>
        </is>
      </c>
    </row>
    <row r="496">
      <c r="A496" s="156" t="inlineStr">
        <is>
          <t>The Watch Stand</t>
        </is>
      </c>
      <c r="B496" s="156" t="inlineStr">
        <is>
          <t>TWS</t>
        </is>
      </c>
    </row>
    <row r="497">
      <c r="A497" s="156" t="inlineStr">
        <is>
          <t>Timberland</t>
        </is>
      </c>
      <c r="B497" s="156" t="inlineStr">
        <is>
          <t>TIM</t>
        </is>
      </c>
    </row>
    <row r="498">
      <c r="A498" s="156" t="inlineStr">
        <is>
          <t>Tkees</t>
        </is>
      </c>
      <c r="B498" s="156" t="inlineStr">
        <is>
          <t>TKE</t>
        </is>
      </c>
    </row>
    <row r="499">
      <c r="A499" s="156" t="inlineStr">
        <is>
          <t>Tom Wood</t>
        </is>
      </c>
      <c r="B499" s="156" t="inlineStr">
        <is>
          <t>TMW</t>
        </is>
      </c>
    </row>
    <row r="500">
      <c r="A500" s="156" t="inlineStr">
        <is>
          <t>Tomy</t>
        </is>
      </c>
      <c r="B500" s="156" t="inlineStr">
        <is>
          <t>TMY</t>
        </is>
      </c>
    </row>
    <row r="501">
      <c r="A501" s="156" t="inlineStr">
        <is>
          <t>Toyqube</t>
        </is>
      </c>
      <c r="B501" s="156" t="inlineStr">
        <is>
          <t>TOY</t>
        </is>
      </c>
    </row>
    <row r="502">
      <c r="A502" s="156" t="inlineStr">
        <is>
          <t>Transparent Sound</t>
        </is>
      </c>
      <c r="B502" s="156" t="inlineStr">
        <is>
          <t>TRS</t>
        </is>
      </c>
    </row>
    <row r="503">
      <c r="A503" s="156" t="inlineStr">
        <is>
          <t>Treaptyque</t>
        </is>
      </c>
      <c r="B503" s="156" t="inlineStr">
        <is>
          <t>TRQ</t>
        </is>
      </c>
    </row>
    <row r="504">
      <c r="A504" s="156" t="inlineStr">
        <is>
          <t>Triangl</t>
        </is>
      </c>
      <c r="B504" s="156" t="inlineStr">
        <is>
          <t>TGL</t>
        </is>
      </c>
    </row>
    <row r="505">
      <c r="A505" s="156" t="inlineStr">
        <is>
          <t>TROPIC OF C</t>
        </is>
      </c>
      <c r="B505" s="156" t="inlineStr">
        <is>
          <t>TOC</t>
        </is>
      </c>
    </row>
    <row r="506">
      <c r="A506" s="156" t="inlineStr">
        <is>
          <t>Tumi</t>
        </is>
      </c>
      <c r="B506" s="156" t="inlineStr">
        <is>
          <t>TMI</t>
        </is>
      </c>
    </row>
    <row r="507">
      <c r="A507" s="156" t="inlineStr">
        <is>
          <t>TUMI Inc</t>
        </is>
      </c>
      <c r="B507" s="156" t="inlineStr">
        <is>
          <t>TUM</t>
        </is>
      </c>
    </row>
    <row r="508">
      <c r="A508" s="156" t="inlineStr">
        <is>
          <t>Ugg</t>
        </is>
      </c>
      <c r="B508" s="156" t="inlineStr">
        <is>
          <t>UGG</t>
        </is>
      </c>
    </row>
    <row r="509">
      <c r="A509" s="156" t="inlineStr">
        <is>
          <t>Uma Objects</t>
        </is>
      </c>
      <c r="B509" s="156" t="inlineStr">
        <is>
          <t>UMO</t>
        </is>
      </c>
    </row>
    <row r="510">
      <c r="A510" s="156" t="inlineStr">
        <is>
          <t>Undercover</t>
        </is>
      </c>
      <c r="B510" s="156" t="inlineStr">
        <is>
          <t>UND</t>
        </is>
      </c>
    </row>
    <row r="511">
      <c r="A511" s="156" t="inlineStr">
        <is>
          <t>UNIFROM</t>
        </is>
      </c>
      <c r="B511" s="156" t="inlineStr">
        <is>
          <t>UNF</t>
        </is>
      </c>
    </row>
    <row r="512">
      <c r="A512" s="156" t="inlineStr">
        <is>
          <t>Universal Music</t>
        </is>
      </c>
      <c r="B512" s="156" t="inlineStr">
        <is>
          <t>UNI</t>
        </is>
      </c>
    </row>
    <row r="513">
      <c r="A513" s="156" t="inlineStr">
        <is>
          <t>Vacation</t>
        </is>
      </c>
      <c r="B513" s="156" t="inlineStr">
        <is>
          <t>VCA</t>
        </is>
      </c>
    </row>
    <row r="514">
      <c r="A514" s="156" t="inlineStr">
        <is>
          <t>Vans</t>
        </is>
      </c>
      <c r="B514" s="156" t="inlineStr">
        <is>
          <t>VAN</t>
        </is>
      </c>
    </row>
    <row r="515">
      <c r="A515" s="156" t="inlineStr">
        <is>
          <t>VASQUE</t>
        </is>
      </c>
      <c r="B515" s="156" t="inlineStr">
        <is>
          <t>VAS</t>
        </is>
      </c>
    </row>
    <row r="516">
      <c r="A516" s="156" t="inlineStr">
        <is>
          <t>Veert</t>
        </is>
      </c>
      <c r="B516" s="156" t="inlineStr">
        <is>
          <t>VEE</t>
        </is>
      </c>
    </row>
    <row r="517">
      <c r="A517" s="156" t="inlineStr">
        <is>
          <t>Veilance</t>
        </is>
      </c>
      <c r="B517" s="156" t="inlineStr">
        <is>
          <t>VEI</t>
        </is>
      </c>
    </row>
    <row r="518">
      <c r="A518" s="156" t="inlineStr">
        <is>
          <t>Veja</t>
        </is>
      </c>
      <c r="B518" s="156" t="inlineStr">
        <is>
          <t>VEJ</t>
        </is>
      </c>
    </row>
    <row r="519">
      <c r="A519" s="156" t="inlineStr">
        <is>
          <t>Veneda Carter</t>
        </is>
      </c>
      <c r="B519" s="156" t="inlineStr">
        <is>
          <t>VEN</t>
        </is>
      </c>
    </row>
    <row r="520">
      <c r="A520" s="156" t="inlineStr">
        <is>
          <t>Venuja</t>
        </is>
      </c>
      <c r="B520" s="156" t="inlineStr">
        <is>
          <t>VNJ</t>
        </is>
      </c>
    </row>
    <row r="521">
      <c r="A521" s="156" t="inlineStr">
        <is>
          <t>Venus Et Fleur</t>
        </is>
      </c>
      <c r="B521" s="156" t="inlineStr">
        <is>
          <t>VEF</t>
        </is>
      </c>
    </row>
    <row r="522">
      <c r="A522" s="156" t="inlineStr">
        <is>
          <t>Victor Solomon</t>
        </is>
      </c>
      <c r="B522" s="156" t="inlineStr">
        <is>
          <t>VIC</t>
        </is>
      </c>
    </row>
    <row r="523">
      <c r="A523" s="156" t="inlineStr">
        <is>
          <t>Vilhelm Parfumerie</t>
        </is>
      </c>
      <c r="B523" s="156" t="inlineStr">
        <is>
          <t>VPF</t>
        </is>
      </c>
    </row>
    <row r="524">
      <c r="A524" s="156" t="inlineStr">
        <is>
          <t>Village PM</t>
        </is>
      </c>
      <c r="B524" s="156" t="inlineStr">
        <is>
          <t>VPM</t>
        </is>
      </c>
    </row>
    <row r="525">
      <c r="A525" s="156" t="inlineStr">
        <is>
          <t>Vinny`s</t>
        </is>
      </c>
      <c r="B525" s="156" t="inlineStr">
        <is>
          <t>VIN</t>
        </is>
      </c>
    </row>
    <row r="526">
      <c r="A526" s="156" t="inlineStr">
        <is>
          <t>Vintage Frames</t>
        </is>
      </c>
      <c r="B526" s="156" t="inlineStr">
        <is>
          <t>VFR</t>
        </is>
      </c>
    </row>
    <row r="527">
      <c r="A527" s="156" t="inlineStr">
        <is>
          <t>Vintage Frames Kids</t>
        </is>
      </c>
      <c r="B527" s="156" t="inlineStr">
        <is>
          <t>VFK</t>
        </is>
      </c>
    </row>
    <row r="528">
      <c r="A528" s="156" t="inlineStr">
        <is>
          <t>Visvim</t>
        </is>
      </c>
      <c r="B528" s="156" t="inlineStr">
        <is>
          <t>VIS</t>
        </is>
      </c>
    </row>
    <row r="529">
      <c r="A529" s="156" t="inlineStr">
        <is>
          <t>Vivienne Westwood</t>
        </is>
      </c>
      <c r="B529" s="156" t="inlineStr">
        <is>
          <t>VIV</t>
        </is>
      </c>
    </row>
    <row r="530">
      <c r="A530" s="156" t="inlineStr">
        <is>
          <t>VL Cepher</t>
        </is>
      </c>
      <c r="B530" s="156" t="inlineStr">
        <is>
          <t>VLC</t>
        </is>
      </c>
    </row>
    <row r="531">
      <c r="A531" s="156" t="inlineStr">
        <is>
          <t>Vogue Paris</t>
        </is>
      </c>
      <c r="B531" s="156" t="inlineStr">
        <is>
          <t>VGP</t>
        </is>
      </c>
    </row>
    <row r="532">
      <c r="A532" s="156" t="inlineStr">
        <is>
          <t>VOWELS</t>
        </is>
      </c>
      <c r="B532" s="156" t="inlineStr">
        <is>
          <t>VWL</t>
        </is>
      </c>
    </row>
    <row r="533">
      <c r="A533" s="156" t="inlineStr">
        <is>
          <t>Vyrao</t>
        </is>
      </c>
      <c r="B533" s="156" t="inlineStr">
        <is>
          <t>VYR</t>
        </is>
      </c>
    </row>
    <row r="534">
      <c r="A534" s="156" t="inlineStr">
        <is>
          <t>Wales Bonner</t>
        </is>
      </c>
      <c r="B534" s="156" t="inlineStr">
        <is>
          <t>WAL</t>
        </is>
      </c>
    </row>
    <row r="535">
      <c r="A535" s="156" t="inlineStr">
        <is>
          <t>Watch Finder</t>
        </is>
      </c>
      <c r="B535" s="156" t="inlineStr">
        <is>
          <t>WAF</t>
        </is>
      </c>
    </row>
    <row r="536">
      <c r="A536" s="156" t="inlineStr">
        <is>
          <t>WAVE OF SAND</t>
        </is>
      </c>
      <c r="B536" s="156" t="inlineStr">
        <is>
          <t>WOS</t>
        </is>
      </c>
    </row>
    <row r="537">
      <c r="A537" s="156" t="inlineStr">
        <is>
          <t>WGACA</t>
        </is>
      </c>
      <c r="B537" s="156" t="inlineStr">
        <is>
          <t>WGA</t>
        </is>
      </c>
    </row>
    <row r="538">
      <c r="A538" s="156" t="inlineStr">
        <is>
          <t>White Circ</t>
        </is>
      </c>
      <c r="B538" s="156" t="inlineStr">
        <is>
          <t>WCI</t>
        </is>
      </c>
    </row>
    <row r="539">
      <c r="A539" s="156" t="inlineStr">
        <is>
          <t>Willy Chavarria</t>
        </is>
      </c>
      <c r="B539" s="156" t="inlineStr">
        <is>
          <t>WLC</t>
        </is>
      </c>
    </row>
    <row r="540">
      <c r="A540" s="156" t="inlineStr">
        <is>
          <t>Wilson</t>
        </is>
      </c>
      <c r="B540" s="156" t="inlineStr">
        <is>
          <t>WIL</t>
        </is>
      </c>
    </row>
    <row r="541">
      <c r="A541" s="156" t="inlineStr">
        <is>
          <t>Wilson Sports</t>
        </is>
      </c>
      <c r="B541" s="156" t="inlineStr">
        <is>
          <t>WIS</t>
        </is>
      </c>
    </row>
    <row r="542">
      <c r="A542" s="156" t="inlineStr">
        <is>
          <t>Wind Vintage</t>
        </is>
      </c>
      <c r="B542" s="156" t="inlineStr">
        <is>
          <t>WVT</t>
        </is>
      </c>
    </row>
    <row r="543">
      <c r="A543" s="156" t="inlineStr">
        <is>
          <t>WinningSolutions</t>
        </is>
      </c>
      <c r="B543" s="156" t="inlineStr">
        <is>
          <t>WIN</t>
        </is>
      </c>
    </row>
    <row r="544">
      <c r="A544" s="156" t="inlineStr">
        <is>
          <t>WTAPS</t>
        </is>
      </c>
      <c r="B544" s="156" t="inlineStr">
        <is>
          <t>WTA</t>
        </is>
      </c>
    </row>
    <row r="545">
      <c r="A545" s="156" t="inlineStr">
        <is>
          <t>Y3</t>
        </is>
      </c>
      <c r="B545" s="156" t="inlineStr">
        <is>
          <t>YYY</t>
        </is>
      </c>
    </row>
    <row r="546">
      <c r="A546" s="156" t="inlineStr">
        <is>
          <t>Year of Ours</t>
        </is>
      </c>
      <c r="B546" s="156" t="inlineStr">
        <is>
          <t>YOO</t>
        </is>
      </c>
    </row>
    <row r="547">
      <c r="A547" s="156" t="inlineStr">
        <is>
          <t>Yeti</t>
        </is>
      </c>
      <c r="B547" s="156" t="inlineStr">
        <is>
          <t>YTI</t>
        </is>
      </c>
    </row>
    <row r="548">
      <c r="A548" s="156" t="inlineStr">
        <is>
          <t>Yoku Moku of America</t>
        </is>
      </c>
      <c r="B548" s="156" t="inlineStr">
        <is>
          <t>YOK</t>
        </is>
      </c>
    </row>
    <row r="549">
      <c r="A549" s="156" t="inlineStr">
        <is>
          <t>Yuketen</t>
        </is>
      </c>
      <c r="B549" s="156" t="inlineStr">
        <is>
          <t>YUK</t>
        </is>
      </c>
    </row>
    <row r="550">
      <c r="A550" s="156" t="inlineStr">
        <is>
          <t>Yume Yume</t>
        </is>
      </c>
      <c r="B550" s="156" t="inlineStr">
        <is>
          <t>YUM</t>
        </is>
      </c>
    </row>
    <row r="551">
      <c r="A551" s="156" t="inlineStr">
        <is>
          <t>Yvonne Leon</t>
        </is>
      </c>
      <c r="B551" s="156" t="inlineStr">
        <is>
          <t>YVO</t>
        </is>
      </c>
    </row>
    <row r="552">
      <c r="A552" s="156" t="inlineStr">
        <is>
          <t>Zeon Ltd</t>
        </is>
      </c>
      <c r="B552" s="156" t="inlineStr">
        <is>
          <t>ZEO</t>
        </is>
      </c>
    </row>
    <row r="553">
      <c r="A553" s="156" t="inlineStr">
        <is>
          <t>Zoca</t>
        </is>
      </c>
      <c r="B553" s="156" t="inlineStr">
        <is>
          <t>ZOC</t>
        </is>
      </c>
    </row>
    <row r="554">
      <c r="A554" s="156" t="inlineStr">
        <is>
          <t>Zuri Rose</t>
        </is>
      </c>
      <c r="B554" s="156" t="inlineStr">
        <is>
          <t>ZUR</t>
        </is>
      </c>
    </row>
    <row r="555">
      <c r="A555" s="156" t="inlineStr">
        <is>
          <t>ZUT</t>
        </is>
      </c>
      <c r="B555" s="156" t="inlineStr">
        <is>
          <t>ZUT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2026-05-14T13:38:25Z</dcterms:created>
  <dcterms:modified xmlns:dcterms="http://purl.org/dc/terms/" xmlns:xsi="http://www.w3.org/2001/XMLSchema-instance" xsi:type="dcterms:W3CDTF">2026-05-15T01:02:17Z</dcterms:modified>
</cp:coreProperties>
</file>